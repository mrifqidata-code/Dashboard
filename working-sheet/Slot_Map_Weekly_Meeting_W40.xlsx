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ra Pakai" sheetId="1" state="visible" r:id="rId3"/>
    <sheet name="Ringkasan" sheetId="2" state="visible" r:id="rId4"/>
    <sheet name="KLM" sheetId="3" state="visible" r:id="rId5"/>
    <sheet name="KWC" sheetId="4" state="visible" r:id="rId6"/>
    <sheet name="PML" sheetId="5" state="visible" r:id="rId7"/>
    <sheet name="TMP" sheetId="6" state="visible" r:id="rId8"/>
    <sheet name="BTU" sheetId="7" state="visible" r:id="rId9"/>
    <sheet name="HIB" sheetId="8" state="visible" r:id="rId10"/>
    <sheet name="Reguler Class Availability" sheetId="9" state="visible" r:id="rId11"/>
  </sheets>
  <definedNames>
    <definedName function="false" hidden="true" localSheetId="6" name="_xlnm._FilterDatabase" vbProcedure="false">BTU!$A$126:$O$487</definedName>
    <definedName function="false" hidden="true" localSheetId="7" name="_xlnm._FilterDatabase" vbProcedure="false">HIB!$A$126:$O$467</definedName>
    <definedName function="false" hidden="true" localSheetId="2" name="_xlnm._FilterDatabase" vbProcedure="false">KLM!$A$126:$O$244</definedName>
    <definedName function="false" hidden="true" localSheetId="3" name="_xlnm._FilterDatabase" vbProcedure="false">KWC!$A$126:$O$281</definedName>
    <definedName function="false" hidden="true" localSheetId="4" name="_xlnm._FilterDatabase" vbProcedure="false">PML!$A$126:$O$279</definedName>
    <definedName function="false" hidden="true" localSheetId="5" name="_xlnm._FilterDatabase" vbProcedure="false">TMP!$A$126:$O$395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<sst xmlns="http://schemas.openxmlformats.org/spreadsheetml/2006/main" count="32266" uniqueCount="4832">
  <si>
    <t xml:space="preserve">Slot Map Weekly Meeting · Center Manager × Senior Coach</t>
  </si>
  <si>
    <t xml:space="preserve">Data per 26 Sep 2026 · untuk meeting W40 · 28 Sep – 4 Okt 2026 · sumber: Exboard › Reguler Class Availability</t>
  </si>
  <si>
    <t xml:space="preserve">Alur meeting</t>
  </si>
  <si>
    <t xml:space="preserve">1. Buka tab center</t>
  </si>
  <si>
    <t xml:space="preserve">Satu tab per center (KLM, KWC, PML, TMP, BTU, HIB). Mulai dari ringkasan di atas: utilisasi, jumlah kelas belum terisi, slot kosong.</t>
  </si>
  <si>
    <t xml:space="preserve">2. Lihat Slot Map</t>
  </si>
  <si>
    <t xml:space="preserve">Tampilan sama dengan tab Slot Map di Exboard, tanpa pilihan center. Grid per lane: baris = jam, kolom = hari. Tiap sel berisi age group, terisi/kapasitas (%), coach, dan assist coach. Merah = kelas sudah ada tapi 0 murid. Oranye = kapasitas ada tapi belum ada kelas.</t>
  </si>
  <si>
    <t xml:space="preserve">3. Putuskan di Daftar Diskusi</t>
  </si>
  <si>
    <t xml:space="preserve">Di bawah slot map ada daftar semua slot merah &amp; oranye. Isi kolom kuning: keputusan, age group yang dijual, coach PIC, target murid, catatan.</t>
  </si>
  <si>
    <t xml:space="preserve">4. Cek coach</t>
  </si>
  <si>
    <t xml:space="preserve">Kolom 'Coach available' menyarankan coach yang bertugas hari itu dan tidak sedang mengajar di jam tersebut, beserta age group yang biasa mereka ajar. Tabel Coach di bagian bawah tab menunjukkan beban tiap coach per hari.</t>
  </si>
  <si>
    <t xml:space="preserve">5. Kirim ke Student Advisor</t>
  </si>
  <si>
    <t xml:space="preserve">Filter kolom Keputusan = 'Jual minggu ini' atau 'Buka kelas baru'. Itulah daftar kelas yang dijual SA minggu itu.</t>
  </si>
  <si>
    <t xml:space="preserve">Arti warna status</t>
  </si>
  <si>
    <t xml:space="preserve">Belum terisi</t>
  </si>
  <si>
    <t xml:space="preserve">Kelas sudah punya age group, kapasitas &gt; 0, tapi 0 murid. Prioritas untuk dijual.</t>
  </si>
  <si>
    <t xml:space="preserve">Slot kosong</t>
  </si>
  <si>
    <t xml:space="preserve">Kapasitas &gt; 0 tapi belum ada age group/kelas. Bisa dibuka jadi kelas baru.</t>
  </si>
  <si>
    <t xml:space="preserve">Sebagian</t>
  </si>
  <si>
    <t xml:space="preserve">Sudah ada murid tapi belum penuh.</t>
  </si>
  <si>
    <t xml:space="preserve">Penuh</t>
  </si>
  <si>
    <t xml:space="preserve">Terisi = kapasitas.</t>
  </si>
  <si>
    <t xml:space="preserve">Lebih kapasitas</t>
  </si>
  <si>
    <t xml:space="preserve">Terisi melebihi kapasitas (termasuk slot kapasitas 0 yang masih ada murid). Perlu dicek.</t>
  </si>
  <si>
    <t xml:space="preserve">Tutup</t>
  </si>
  <si>
    <t xml:space="preserve">Kapasitas 0 dan tidak ada murid, tapi slot masih punya age group/coach.</t>
  </si>
  <si>
    <t xml:space="preserve">Tidak dibuka</t>
  </si>
  <si>
    <t xml:space="preserve">Kapasitas 0, tanpa kelas. Ditampilkan '–'.</t>
  </si>
  <si>
    <t xml:space="preserve">Sel yang diisi</t>
  </si>
  <si>
    <t xml:space="preserve">Kuning</t>
  </si>
  <si>
    <t xml:space="preserve">Hanya sel kuning yang diisi saat meeting (minggu, peserta, keputusan, age group dijual, coach PIC, target, catatan). Sel lain berisi rumus.</t>
  </si>
  <si>
    <t xml:space="preserve">Data sumber</t>
  </si>
  <si>
    <t xml:space="preserve">Tab Reguler Class Availability = salinan tab yang sama di Exboard (kolom A:L). Semua rumus membaca tab ini.</t>
  </si>
  <si>
    <t xml:space="preserve">Contoh pengisian</t>
  </si>
  <si>
    <t xml:space="preserve">Hari · Jam · Lane</t>
  </si>
  <si>
    <t xml:space="preserve">Selasa · 09:45 · Lane 2</t>
  </si>
  <si>
    <t xml:space="preserve">Status</t>
  </si>
  <si>
    <t xml:space="preserve">Coach available</t>
  </si>
  <si>
    <t xml:space="preserve">Danti (Baby, Little)</t>
  </si>
  <si>
    <t xml:space="preserve">Keputusan</t>
  </si>
  <si>
    <t xml:space="preserve">Jual minggu ini</t>
  </si>
  <si>
    <t xml:space="preserve">Age group dijual</t>
  </si>
  <si>
    <t xml:space="preserve">Tiny</t>
  </si>
  <si>
    <t xml:space="preserve">Coach PIC</t>
  </si>
  <si>
    <t xml:space="preserve">Danti</t>
  </si>
  <si>
    <t xml:space="preserve">Target murid</t>
  </si>
  <si>
    <t xml:space="preserve">Catatan</t>
  </si>
  <si>
    <t xml:space="preserve">Tawarkan ke leads trial Tiny minggu lalu</t>
  </si>
  <si>
    <t xml:space="preserve">•</t>
  </si>
  <si>
    <t xml:space="preserve">Coach available = coach yang punya jadwal di center itu pada hari yang sama dan tidak mengajar dalam rentang ±45 menit dari slot tersebut. Age group di dalam kurung = age group yang dia ajar minggu ini di center itu. Ini saran; cek ulang ke senior coach.</t>
  </si>
  <si>
    <t xml:space="preserve">Coach yang tidak punya jadwal sama sekali di hari itu tidak muncul sebagai available (bisa saja libur).</t>
  </si>
  <si>
    <t xml:space="preserve">Minggu berikutnya: copy kolom A:L dari tab Reguler Class Availability di Exboard, paste ke tab dengan nama sama di file ini. Slot map, ringkasan, status di Daftar Diskusi dan tabel Coach ikut menghitung ulang. Baris di Daftar Diskusi dan saran coach available dibuat saat file digenerate, jadi untuk daftar yang benar-benar baru, generate ulang file-nya.</t>
  </si>
  <si>
    <t xml:space="preserve">Ringkasan Utilisasi per Center</t>
  </si>
  <si>
    <t xml:space="preserve">Data per 26 Sep 2026 · meeting W40 · 28 Sep – 4 Okt 2026</t>
  </si>
  <si>
    <t xml:space="preserve">Center</t>
  </si>
  <si>
    <t xml:space="preserve">Utilisasi</t>
  </si>
  <si>
    <t xml:space="preserve">Kursi terisi</t>
  </si>
  <si>
    <t xml:space="preserve">Kapasitas</t>
  </si>
  <si>
    <t xml:space="preserve">Belum terisi
(kelas 0 murid)</t>
  </si>
  <si>
    <t xml:space="preserve">Slot kosong
(belum ada kelas)</t>
  </si>
  <si>
    <t xml:space="preserve">Buka tab</t>
  </si>
  <si>
    <t xml:space="preserve">KLM</t>
  </si>
  <si>
    <t xml:space="preserve">→ KLM</t>
  </si>
  <si>
    <t xml:space="preserve">KWC</t>
  </si>
  <si>
    <t xml:space="preserve">→ KWC</t>
  </si>
  <si>
    <t xml:space="preserve">PML</t>
  </si>
  <si>
    <t xml:space="preserve">→ PML</t>
  </si>
  <si>
    <t xml:space="preserve">TMP</t>
  </si>
  <si>
    <t xml:space="preserve">→ TMP</t>
  </si>
  <si>
    <t xml:space="preserve">BTU</t>
  </si>
  <si>
    <t xml:space="preserve">→ BTU</t>
  </si>
  <si>
    <t xml:space="preserve">HIB</t>
  </si>
  <si>
    <t xml:space="preserve">→ HIB</t>
  </si>
  <si>
    <t xml:space="preserve">Total</t>
  </si>
  <si>
    <t xml:space="preserve">Utilisasi = kursi terisi ÷ kapasitas, hanya slot dengan kapasitas &gt; 0.</t>
  </si>
  <si>
    <t xml:space="preserve">SLOT MAP — KLM</t>
  </si>
  <si>
    <t xml:space="preserve">helper: jam 15-menit per lane — jangan diubah</t>
  </si>
  <si>
    <t xml:space="preserve">Baris = jam, kolom = hari. Tiap sel: age group · terisi/kapasitas (%) · coach · assist coach. Warna = status keterisian.  ·  Data per 26 Sep 2026</t>
  </si>
  <si>
    <t xml:space="preserve">06:00</t>
  </si>
  <si>
    <t xml:space="preserve">06:15</t>
  </si>
  <si>
    <t xml:space="preserve">Minggu</t>
  </si>
  <si>
    <t xml:space="preserve">W40 · 28 Sep – 4 Okt 2026</t>
  </si>
  <si>
    <t xml:space="preserve">Center Manager</t>
  </si>
  <si>
    <t xml:space="preserve">Senior Coach</t>
  </si>
  <si>
    <t xml:space="preserve">06:30</t>
  </si>
  <si>
    <t xml:space="preserve">06:45</t>
  </si>
  <si>
    <t xml:space="preserve">Ringkasan</t>
  </si>
  <si>
    <t xml:space="preserve">Utilisasi center</t>
  </si>
  <si>
    <t xml:space="preserve">Kursi terisi / kapasitas</t>
  </si>
  <si>
    <t xml:space="preserve">07:00</t>
  </si>
  <si>
    <t xml:space="preserve">07:15</t>
  </si>
  <si>
    <t xml:space="preserve">07:30</t>
  </si>
  <si>
    <t xml:space="preserve">Warna</t>
  </si>
  <si>
    <t xml:space="preserve">Belum terisi (kelas ada, 0 murid)</t>
  </si>
  <si>
    <t xml:space="preserve">Slot kosong (belum ada kelas)</t>
  </si>
  <si>
    <t xml:space="preserve">Terisi &lt; 60%</t>
  </si>
  <si>
    <t xml:space="preserve">Terisi 60–99%</t>
  </si>
  <si>
    <t xml:space="preserve">Tutup (kapasitas 0)</t>
  </si>
  <si>
    <t xml:space="preserve">07:45</t>
  </si>
  <si>
    <t xml:space="preserve">Age group</t>
  </si>
  <si>
    <t xml:space="preserve">Baby · 6–17 bulan</t>
  </si>
  <si>
    <t xml:space="preserve">Tiny · 18–36 bulan</t>
  </si>
  <si>
    <t xml:space="preserve">Little · 3–5 tahun</t>
  </si>
  <si>
    <t xml:space="preserve">Kids · 5–8+ tahun</t>
  </si>
  <si>
    <t xml:space="preserve">Star · 9–12 tahun</t>
  </si>
  <si>
    <t xml:space="preserve">08:00</t>
  </si>
  <si>
    <t xml:space="preserve">Lompat ke</t>
  </si>
  <si>
    <t xml:space="preserve">→ Slot Map</t>
  </si>
  <si>
    <t xml:space="preserve">→ Daftar Diskusi</t>
  </si>
  <si>
    <t xml:space="preserve">→ Coach</t>
  </si>
  <si>
    <t xml:space="preserve">08:15</t>
  </si>
  <si>
    <t xml:space="preserve">LANE 1</t>
  </si>
  <si>
    <t xml:space="preserve">08:30</t>
  </si>
  <si>
    <t xml:space="preserve">Jam</t>
  </si>
  <si>
    <t xml:space="preserve">Senin</t>
  </si>
  <si>
    <t xml:space="preserve">Selasa</t>
  </si>
  <si>
    <t xml:space="preserve">Rabu</t>
  </si>
  <si>
    <t xml:space="preserve">Kamis</t>
  </si>
  <si>
    <t xml:space="preserve">Jumat</t>
  </si>
  <si>
    <t xml:space="preserve">Sabtu</t>
  </si>
  <si>
    <t xml:space="preserve">08:45</t>
  </si>
  <si>
    <t xml:space="preserve">09:00</t>
  </si>
  <si>
    <t xml:space="preserve">09:15</t>
  </si>
  <si>
    <t xml:space="preserve">09:30</t>
  </si>
  <si>
    <t xml:space="preserve">09:45</t>
  </si>
  <si>
    <t xml:space="preserve">10:00</t>
  </si>
  <si>
    <t xml:space="preserve">10:15</t>
  </si>
  <si>
    <t xml:space="preserve">10:30</t>
  </si>
  <si>
    <t xml:space="preserve">10:45</t>
  </si>
  <si>
    <t xml:space="preserve">11:00</t>
  </si>
  <si>
    <t xml:space="preserve">11:15</t>
  </si>
  <si>
    <t xml:space="preserve">11:30</t>
  </si>
  <si>
    <t xml:space="preserve">11:45</t>
  </si>
  <si>
    <t xml:space="preserve">12:00</t>
  </si>
  <si>
    <t xml:space="preserve">12:15</t>
  </si>
  <si>
    <t xml:space="preserve">12:30</t>
  </si>
  <si>
    <t xml:space="preserve">12:45</t>
  </si>
  <si>
    <t xml:space="preserve">Util</t>
  </si>
  <si>
    <t xml:space="preserve">13:00</t>
  </si>
  <si>
    <t xml:space="preserve">13:15</t>
  </si>
  <si>
    <t xml:space="preserve">LANE 2</t>
  </si>
  <si>
    <t xml:space="preserve">13:30</t>
  </si>
  <si>
    <t xml:space="preserve">13:45</t>
  </si>
  <si>
    <t xml:space="preserve">14:00</t>
  </si>
  <si>
    <t xml:space="preserve">14:15</t>
  </si>
  <si>
    <t xml:space="preserve">14:30</t>
  </si>
  <si>
    <t xml:space="preserve">14:45</t>
  </si>
  <si>
    <t xml:space="preserve">15:00</t>
  </si>
  <si>
    <t xml:space="preserve">15:15</t>
  </si>
  <si>
    <t xml:space="preserve">15:30</t>
  </si>
  <si>
    <t xml:space="preserve">15:45</t>
  </si>
  <si>
    <t xml:space="preserve">16:00</t>
  </si>
  <si>
    <t xml:space="preserve">16:15</t>
  </si>
  <si>
    <t xml:space="preserve">16:30</t>
  </si>
  <si>
    <t xml:space="preserve">16:45</t>
  </si>
  <si>
    <t xml:space="preserve">17:00</t>
  </si>
  <si>
    <t xml:space="preserve">17:15</t>
  </si>
  <si>
    <t xml:space="preserve">17:30</t>
  </si>
  <si>
    <t xml:space="preserve">17:45</t>
  </si>
  <si>
    <t xml:space="preserve">LANE 3</t>
  </si>
  <si>
    <t xml:space="preserve">18:00</t>
  </si>
  <si>
    <t xml:space="preserve">18:15</t>
  </si>
  <si>
    <t xml:space="preserve">18:30</t>
  </si>
  <si>
    <t xml:space="preserve">18:45</t>
  </si>
  <si>
    <t xml:space="preserve">19:00</t>
  </si>
  <si>
    <t xml:space="preserve">19:15</t>
  </si>
  <si>
    <t xml:space="preserve">19:30</t>
  </si>
  <si>
    <t xml:space="preserve">19:45</t>
  </si>
  <si>
    <t xml:space="preserve">20:00</t>
  </si>
  <si>
    <t xml:space="preserve">20:15</t>
  </si>
  <si>
    <t xml:space="preserve">20:30</t>
  </si>
  <si>
    <t xml:space="preserve">20:45</t>
  </si>
  <si>
    <t xml:space="preserve">LANE 4</t>
  </si>
  <si>
    <t xml:space="preserve">LANE 5</t>
  </si>
  <si>
    <t xml:space="preserve">LANE 6</t>
  </si>
  <si>
    <t xml:space="preserve">Catatan: sel kosong = jam itu tidak ada di jadwal lane tersebut. '–' = slot tidak dibuka (kapasitas 0, tanpa kelas). Kolom AN:BF tersembunyi berisi rumus bantu; jangan dihapus.</t>
  </si>
  <si>
    <t xml:space="preserve">DAFTAR DISKUSI · kelas yang belum terisi &amp; slot kosong</t>
  </si>
  <si>
    <t xml:space="preserve">Isi kolom kuning saat meeting. Filter kolom Keputusan untuk daftar yang dijual Student Advisor minggu ini.</t>
  </si>
  <si>
    <t xml:space="preserve">No</t>
  </si>
  <si>
    <t xml:space="preserve">Hari</t>
  </si>
  <si>
    <t xml:space="preserve">Lane</t>
  </si>
  <si>
    <t xml:space="preserve">Age group terjadwal</t>
  </si>
  <si>
    <t xml:space="preserve">Coach terjadwal</t>
  </si>
  <si>
    <t xml:space="preserve">Coach available
(age group yang diajar)</t>
  </si>
  <si>
    <t xml:space="preserve">Age group tersedia</t>
  </si>
  <si>
    <t xml:space="preserve">Zidane (Baby, Tiny, Little, Kids); Danti (Baby, Tiny, Little, Kids); Rischa (Baby, Tiny, Little, Kids); Daffa (Little, Kids); Dian (Little, Kids); Gita (Tiny, Little, Kids)</t>
  </si>
  <si>
    <t xml:space="preserve">Baby, Tiny, Little, Kids, Star</t>
  </si>
  <si>
    <t xml:space="preserve">Danti (Baby, Tiny, Little, Kids); Rischa (Baby, Tiny, Little, Kids); Dian (Little, Kids); Gita (Tiny, Little, Kids)</t>
  </si>
  <si>
    <t xml:space="preserve">Baby, Tiny, Little, Kids</t>
  </si>
  <si>
    <t xml:space="preserve">Danti (Baby, Tiny, Little, Kids); Rischa (Baby, Tiny, Little, Kids); Daffa (Little, Kids); Dian (Little, Kids); Gita (Tiny, Little, Kids)</t>
  </si>
  <si>
    <t xml:space="preserve">Danti (Baby, Tiny, Little, Kids); Rischa (Baby, Tiny, Little, Kids); Daffa (Little, Kids); Gita (Tiny, Little, Kids)</t>
  </si>
  <si>
    <t xml:space="preserve">Rischa (Baby, Tiny, Little, Kids); Daffa (Little, Kids); Gita (Tiny, Little, Kids)</t>
  </si>
  <si>
    <t xml:space="preserve">Zidane (Baby, Tiny, Little, Kids); Daffa (Little, Kids); Gita (Tiny, Little, Kids)</t>
  </si>
  <si>
    <t xml:space="preserve">Zidane (Baby, Tiny, Little, Kids); Daffa (Little, Kids); Dian (Little, Kids); Gita (Tiny, Little, Kids)</t>
  </si>
  <si>
    <t xml:space="preserve">Zidane (Baby, Tiny, Little, Kids); Danti (Baby, Tiny, Little, Kids); Daffa (Little, Kids); Dian (Little, Kids)</t>
  </si>
  <si>
    <t xml:space="preserve">Danti (Baby, Tiny, Little, Kids); Rischa (Baby, Tiny, Little, Kids); Daffa (Little, Kids); Dian (Little, Kids)</t>
  </si>
  <si>
    <t xml:space="preserve">Danti (Baby, Tiny, Little, Kids); Rischa (Baby, Tiny, Little, Kids)</t>
  </si>
  <si>
    <t xml:space="preserve">Gita (Tiny, Little, Kids)</t>
  </si>
  <si>
    <t xml:space="preserve">Tiny, Little, Kids</t>
  </si>
  <si>
    <t xml:space="preserve">Tidak ada coach lain yang bertugas &amp; kosong</t>
  </si>
  <si>
    <t xml:space="preserve">Zidane (Baby, Tiny, Little, Kids); Danti (Baby, Tiny, Little, Kids); Rischa (Baby, Tiny, Little, Kids); Dian (Little, Kids); Tessa (Baby, Tiny, Little, Kids); Gita (Tiny, Little, Kids)</t>
  </si>
  <si>
    <t xml:space="preserve">Danti (Baby, Tiny, Little, Kids); Rischa (Baby, Tiny, Little, Kids); Tessa (Baby, Tiny, Little, Kids); Gita (Tiny, Little, Kids)</t>
  </si>
  <si>
    <t xml:space="preserve">Danti (Baby, Tiny, Little, Kids); Tessa (Baby, Tiny, Little, Kids); Gita (Tiny, Little, Kids)</t>
  </si>
  <si>
    <t xml:space="preserve">Zidane (Baby, Tiny, Little, Kids); Tessa (Baby, Tiny, Little, Kids)</t>
  </si>
  <si>
    <t xml:space="preserve">Dian (Little, Kids); Tessa (Baby, Tiny, Little, Kids)</t>
  </si>
  <si>
    <t xml:space="preserve">Dian (Little, Kids); Tessa (Baby, Tiny, Little, Kids); Gita (Tiny, Little, Kids)</t>
  </si>
  <si>
    <t xml:space="preserve">Rischa (Baby, Tiny, Little, Kids); Dian (Little, Kids); Gita (Tiny, Little, Kids)</t>
  </si>
  <si>
    <t xml:space="preserve">Zidane (Baby, Tiny, Little, Kids); Danti (Baby, Tiny, Little, Kids); Rischa (Baby, Tiny, Little, Kids); Tessa (Baby, Tiny, Little, Kids); Gita (Tiny, Little, Kids)</t>
  </si>
  <si>
    <t xml:space="preserve">Rischa (Baby, Tiny, Little, Kids); Gita (Tiny, Little, Kids)</t>
  </si>
  <si>
    <t xml:space="preserve">Zidane (Baby, Tiny, Little, Kids); Danti (Baby, Tiny, Little, Kids); Gita (Tiny, Little, Kids)</t>
  </si>
  <si>
    <t xml:space="preserve">Tessa (Baby, Tiny, Little, Kids); Gita (Tiny, Little, Kids)</t>
  </si>
  <si>
    <t xml:space="preserve">Zidane (Baby, Tiny, Little, Kids); Danti (Baby, Tiny, Little, Kids); Eka (Baby, Tiny, Little, Kids); Surya (Baby, Tiny, Little, Kids); Nuky (Baby, Tiny, Little, Kids); Gita (Tiny, Little, Kids)</t>
  </si>
  <si>
    <t xml:space="preserve">Zidane (Baby, Tiny, Little, Kids); Surya (Baby, Tiny, Little, Kids)</t>
  </si>
  <si>
    <t xml:space="preserve">Danti (Baby, Tiny, Little, Kids); Eka (Baby, Tiny, Little, Kids); Nuky (Baby, Tiny, Little, Kids); Gita (Tiny, Little, Kids)</t>
  </si>
  <si>
    <t xml:space="preserve">Eka (Baby, Tiny, Little, Kids); Nuky (Baby, Tiny, Little, Kids); Gita (Tiny, Little, Kids)</t>
  </si>
  <si>
    <t xml:space="preserve">Zidane (Baby, Tiny, Little, Kids); Eka (Baby, Tiny, Little, Kids); Gita (Tiny, Little, Kids)</t>
  </si>
  <si>
    <t xml:space="preserve">Zidane (Baby, Tiny, Little, Kids); Eka (Baby, Tiny, Little, Kids); Surya (Baby, Tiny, Little, Kids); Gita (Tiny, Little, Kids)</t>
  </si>
  <si>
    <t xml:space="preserve">Zidane (Baby, Tiny, Little, Kids); Danti (Baby, Tiny, Little, Kids); Eka (Baby, Tiny, Little, Kids); Surya (Baby, Tiny, Little, Kids); Gita (Tiny, Little, Kids)</t>
  </si>
  <si>
    <t xml:space="preserve">Nuky (Baby, Tiny, Little, Kids); Gita (Tiny, Little, Kids)</t>
  </si>
  <si>
    <t xml:space="preserve">Zidane (Baby, Tiny, Little, Kids); Surya (Baby, Tiny, Little, Kids); Nuky (Baby, Tiny, Little, Kids); Gita (Tiny, Little, Kids)</t>
  </si>
  <si>
    <t xml:space="preserve">Zidane (Baby, Tiny, Little, Kids); Nuky (Baby, Tiny, Little, Kids); Gita (Tiny, Little, Kids)</t>
  </si>
  <si>
    <t xml:space="preserve">Danti (Baby, Tiny, Little, Kids); Gita (Tiny, Little, Kids)</t>
  </si>
  <si>
    <t xml:space="preserve">Eka (Baby, Tiny, Little, Kids); Surya (Baby, Tiny, Little, Kids); Nuky (Baby, Tiny, Little, Kids); Daffa (Little, Kids); Tessa (Baby, Tiny, Little, Kids)</t>
  </si>
  <si>
    <t xml:space="preserve">Eka (Baby, Tiny, Little, Kids); Nuky (Baby, Tiny, Little, Kids); Daffa (Little, Kids); Tessa (Baby, Tiny, Little, Kids)</t>
  </si>
  <si>
    <t xml:space="preserve">Eka (Baby, Tiny, Little, Kids); Nuky (Baby, Tiny, Little, Kids); Tessa (Baby, Tiny, Little, Kids)</t>
  </si>
  <si>
    <t xml:space="preserve">Nuky (Baby, Tiny, Little, Kids); Tessa (Baby, Tiny, Little, Kids)</t>
  </si>
  <si>
    <t xml:space="preserve">Surya (Baby, Tiny, Little, Kids); Nuky (Baby, Tiny, Little, Kids); Daffa (Little, Kids); Tessa (Baby, Tiny, Little, Kids)</t>
  </si>
  <si>
    <t xml:space="preserve">Nuky (Baby, Tiny, Little, Kids); Daffa (Little, Kids); Tessa (Baby, Tiny, Little, Kids)</t>
  </si>
  <si>
    <t xml:space="preserve">Eka (Baby, Tiny, Little, Kids); Surya (Baby, Tiny, Little, Kids); Tessa (Baby, Tiny, Little, Kids)</t>
  </si>
  <si>
    <t xml:space="preserve">Tessa (Baby, Tiny, Little, Kids)</t>
  </si>
  <si>
    <t xml:space="preserve">Daffa (Little, Kids)</t>
  </si>
  <si>
    <t xml:space="preserve">Surya (Baby, Tiny, Little, Kids); Tessa (Baby, Tiny, Little, Kids)</t>
  </si>
  <si>
    <t xml:space="preserve">Eka (Baby, Tiny, Little, Kids); Rischa (Baby, Tiny, Little, Kids); Surya (Baby, Tiny, Little, Kids); Nuky (Baby, Tiny, Little, Kids); Daffa (Little, Kids); Dian (Little, Kids); +2 lainnya</t>
  </si>
  <si>
    <t xml:space="preserve">Eka (Baby, Tiny, Little, Kids); Rischa (Baby, Tiny, Little, Kids); Nuky (Baby, Tiny, Little, Kids); Daffa (Little, Kids); Dian (Little, Kids); Tessa (Baby, Tiny, Little, Kids)</t>
  </si>
  <si>
    <t xml:space="preserve">Nuky (Baby, Tiny, Little, Kids); Daffa (Little, Kids); Dian (Little, Kids); Tessa (Baby, Tiny, Little, Kids); Gita (Tiny, Little, Kids)</t>
  </si>
  <si>
    <t xml:space="preserve">Surya (Baby, Tiny, Little, Kids); Nuky (Baby, Tiny, Little, Kids); Daffa (Little, Kids); Dian (Little, Kids); Tessa (Baby, Tiny, Little, Kids)</t>
  </si>
  <si>
    <t xml:space="preserve">Eka (Baby, Tiny, Little, Kids); Surya (Baby, Tiny, Little, Kids); Nuky (Baby, Tiny, Little, Kids); Daffa (Little, Kids); Dian (Little, Kids); Tessa (Baby, Tiny, Little, Kids); +1 lainnya</t>
  </si>
  <si>
    <t xml:space="preserve">Rischa (Baby, Tiny, Little, Kids); Surya (Baby, Tiny, Little, Kids); Tessa (Baby, Tiny, Little, Kids); Gita (Tiny, Little, Kids)</t>
  </si>
  <si>
    <t xml:space="preserve">Zidane (Baby, Tiny, Little, Kids); Danti (Baby, Tiny, Little, Kids); Eka (Baby, Tiny, Little, Kids); Rischa (Baby, Tiny, Little, Kids); Surya (Baby, Tiny, Little, Kids); Nuky (Baby, Tiny, Little, Kids); +5 lainnya</t>
  </si>
  <si>
    <t xml:space="preserve">Zidane (Baby, Tiny, Little, Kids); Eka (Baby, Tiny, Little, Kids); Rischa (Baby, Tiny, Little, Kids); Nuky (Baby, Tiny, Little, Kids); Dian (Little, Kids); Tessa (Baby, Tiny, Little, Kids); +2 lainnya</t>
  </si>
  <si>
    <t xml:space="preserve">Danti (Baby, Tiny, Little, Kids); Eka (Baby, Tiny, Little, Kids); Rischa (Baby, Tiny, Little, Kids); Daffa (Little, Kids); Dian (Little, Kids); Alan (Kids)</t>
  </si>
  <si>
    <t xml:space="preserve">Danti (Baby, Tiny, Little, Kids); Eka (Baby, Tiny, Little, Kids); Rischa (Baby, Tiny, Little, Kids); Surya (Baby, Tiny, Little, Kids); Daffa (Little, Kids); Dian (Little, Kids); +2 lainnya</t>
  </si>
  <si>
    <t xml:space="preserve">Zidane (Baby, Tiny, Little, Kids); Danti (Baby, Tiny, Little, Kids); Rischa (Baby, Tiny, Little, Kids); Surya (Baby, Tiny, Little, Kids); Daffa (Little, Kids); Tessa (Baby, Tiny, Little, Kids); +1 lainnya</t>
  </si>
  <si>
    <t xml:space="preserve">Zidane (Baby, Tiny, Little, Kids); Danti (Baby, Tiny, Little, Kids); Rischa (Baby, Tiny, Little, Kids); Surya (Baby, Tiny, Little, Kids); Nuky (Baby, Tiny, Little, Kids); Daffa (Little, Kids); +3 lainnya</t>
  </si>
  <si>
    <t xml:space="preserve">COACH · jadwal minggu ini di center ini</t>
  </si>
  <si>
    <t xml:space="preserve">Angka per hari = jumlah sesi (sebagai coach + assist). Dipakai untuk memilih coach PIC.</t>
  </si>
  <si>
    <t xml:space="preserve">Coach</t>
  </si>
  <si>
    <t xml:space="preserve">Age group diajar</t>
  </si>
  <si>
    <t xml:space="preserve">Sesi coach</t>
  </si>
  <si>
    <t xml:space="preserve">Sesi assist</t>
  </si>
  <si>
    <t xml:space="preserve">Jam pertama–terakhir</t>
  </si>
  <si>
    <t xml:space="preserve">Zidane</t>
  </si>
  <si>
    <t xml:space="preserve">08:45–17:00</t>
  </si>
  <si>
    <t xml:space="preserve">08:45–17:15</t>
  </si>
  <si>
    <t xml:space="preserve">Eka</t>
  </si>
  <si>
    <t xml:space="preserve">09:00–17:15</t>
  </si>
  <si>
    <t xml:space="preserve">Rischa</t>
  </si>
  <si>
    <t xml:space="preserve">Surya</t>
  </si>
  <si>
    <t xml:space="preserve">Nuky</t>
  </si>
  <si>
    <t xml:space="preserve">Daffa</t>
  </si>
  <si>
    <t xml:space="preserve">Little, Kids</t>
  </si>
  <si>
    <t xml:space="preserve">Dian</t>
  </si>
  <si>
    <t xml:space="preserve">Tessa</t>
  </si>
  <si>
    <t xml:space="preserve">11:15–17:15</t>
  </si>
  <si>
    <t xml:space="preserve">Gita</t>
  </si>
  <si>
    <t xml:space="preserve">Alan</t>
  </si>
  <si>
    <t xml:space="preserve">Kids</t>
  </si>
  <si>
    <t xml:space="preserve">10:15–17:00</t>
  </si>
  <si>
    <t xml:space="preserve">SLOT MAP — KWC</t>
  </si>
  <si>
    <t xml:space="preserve">Deyon (Baby, Tiny, Little, Kids, Star); Sri (Baby, Tiny, Little, Kids, Star); Eriek (Little, Kids); Frido (Little, Kids, Star); Eve (Baby, Tiny, Little, Kids); Ziran (Little, Kids)</t>
  </si>
  <si>
    <t xml:space="preserve">Deyon (Baby, Tiny, Little, Kids, Star); Eriek (Little, Kids); Frido (Little, Kids, Star); Ziran (Little, Kids)</t>
  </si>
  <si>
    <t xml:space="preserve">Deyon (Baby, Tiny, Little, Kids, Star); Sri (Baby, Tiny, Little, Kids, Star); Eriek (Little, Kids); Eve (Baby, Tiny, Little, Kids); Ziran (Little, Kids)</t>
  </si>
  <si>
    <t xml:space="preserve">Sri (Baby, Tiny, Little, Kids, Star); Eriek (Little, Kids); Frido (Little, Kids, Star); Eve (Baby, Tiny, Little, Kids); Ziran (Little, Kids)</t>
  </si>
  <si>
    <t xml:space="preserve">Eriek (Little, Kids); Frido (Little, Kids, Star); Eve (Baby, Tiny, Little, Kids); Ziran (Little, Kids)</t>
  </si>
  <si>
    <t xml:space="preserve">Deyon (Baby, Tiny, Little, Kids, Star); Eriek (Little, Kids); Frido (Little, Kids, Star); Eve (Baby, Tiny, Little, Kids); Ziran (Little, Kids)</t>
  </si>
  <si>
    <t xml:space="preserve">Deyon (Baby, Tiny, Little, Kids, Star); Eriek (Little, Kids); Eve (Baby, Tiny, Little, Kids)</t>
  </si>
  <si>
    <t xml:space="preserve">Deyon (Baby, Tiny, Little, Kids, Star); Eriek (Little, Kids)</t>
  </si>
  <si>
    <t xml:space="preserve">Frido (Little, Kids, Star); Ziran (Little, Kids)</t>
  </si>
  <si>
    <t xml:space="preserve">Baby, Little, Kids, Star</t>
  </si>
  <si>
    <t xml:space="preserve">Tiny, Little, Kids, Star</t>
  </si>
  <si>
    <t xml:space="preserve">Sri (Baby, Tiny, Little, Kids, Star); Frido (Little, Kids, Star); Eve (Baby, Tiny, Little, Kids); Ziran (Little, Kids)</t>
  </si>
  <si>
    <t xml:space="preserve">Deyon (Baby, Tiny, Little, Kids, Star); Sri (Baby, Tiny, Little, Kids, Star); Eriek (Little, Kids); Frido (Little, Kids, Star); Eve (Baby, Tiny, Little, Kids)</t>
  </si>
  <si>
    <t xml:space="preserve">Sri (Baby, Tiny, Little, Kids, Star); Eriek (Little, Kids); Frido (Little, Kids, Star)</t>
  </si>
  <si>
    <t xml:space="preserve">Eriek (Little, Kids); Frido (Little, Kids, Star)</t>
  </si>
  <si>
    <t xml:space="preserve">Little, Kids, Star</t>
  </si>
  <si>
    <t xml:space="preserve">Deyon (Baby, Tiny, Little, Kids, Star); Eriek (Little, Kids); Frido (Little, Kids, Star); Eve (Baby, Tiny, Little, Kids)</t>
  </si>
  <si>
    <t xml:space="preserve">Deyon (Baby, Tiny, Little, Kids, Star); Eriek (Little, Kids); Frido (Little, Kids, Star)</t>
  </si>
  <si>
    <t xml:space="preserve">Eriek (Little, Kids)</t>
  </si>
  <si>
    <t xml:space="preserve">Baby, Little, Kids</t>
  </si>
  <si>
    <t xml:space="preserve">Eriek (Little, Kids); Frido (Little, Kids, Star); Eve (Baby, Tiny, Little, Kids)</t>
  </si>
  <si>
    <t xml:space="preserve">Frido (Little, Kids, Star); Eve (Baby, Tiny, Little, Kids)</t>
  </si>
  <si>
    <t xml:space="preserve">Eve (Baby, Tiny, Little, Kids)</t>
  </si>
  <si>
    <t xml:space="preserve">Sri (Baby, Tiny, Little, Kids, Star); Frido (Little, Kids, Star); Eve (Baby, Tiny, Little, Kids)</t>
  </si>
  <si>
    <t xml:space="preserve">Andreas (Baby, Tiny, Little, Kids, Star); Nabila (Baby, Tiny, Little, Kids); Sri (Baby, Tiny, Little, Kids, Star); Icis (Baby, Tiny, Little, Kids); Eriek (Little, Kids); Eve (Baby, Tiny, Little, Kids)</t>
  </si>
  <si>
    <t xml:space="preserve">Andreas (Baby, Tiny, Little, Kids, Star); Nabila (Baby, Tiny, Little, Kids); Sri (Baby, Tiny, Little, Kids, Star); Icis (Baby, Tiny, Little, Kids); Eve (Baby, Tiny, Little, Kids)</t>
  </si>
  <si>
    <t xml:space="preserve">Andreas (Baby, Tiny, Little, Kids, Star); Icis (Baby, Tiny, Little, Kids); Eve (Baby, Tiny, Little, Kids)</t>
  </si>
  <si>
    <t xml:space="preserve">Andreas (Baby, Tiny, Little, Kids, Star); Eriek (Little, Kids); Eve (Baby, Tiny, Little, Kids)</t>
  </si>
  <si>
    <t xml:space="preserve">Andreas (Baby, Tiny, Little, Kids, Star); Nabila (Baby, Tiny, Little, Kids); Sri (Baby, Tiny, Little, Kids, Star); Eriek (Little, Kids); Eve (Baby, Tiny, Little, Kids)</t>
  </si>
  <si>
    <t xml:space="preserve">Nabila (Baby, Tiny, Little, Kids); Sri (Baby, Tiny, Little, Kids, Star); Eriek (Little, Kids); Eve (Baby, Tiny, Little, Kids)</t>
  </si>
  <si>
    <t xml:space="preserve">Sri (Baby, Tiny, Little, Kids, Star); Eriek (Little, Kids); Eve (Baby, Tiny, Little, Kids)</t>
  </si>
  <si>
    <t xml:space="preserve">Nabila (Baby, Tiny, Little, Kids); Icis (Baby, Tiny, Little, Kids); Eriek (Little, Kids); Eve (Baby, Tiny, Little, Kids)</t>
  </si>
  <si>
    <t xml:space="preserve">Icis (Baby, Tiny, Little, Kids); Eriek (Little, Kids); Eve (Baby, Tiny, Little, Kids)</t>
  </si>
  <si>
    <t xml:space="preserve">Icis (Baby, Tiny, Little, Kids); Eve (Baby, Tiny, Little, Kids)</t>
  </si>
  <si>
    <t xml:space="preserve">Baby</t>
  </si>
  <si>
    <t xml:space="preserve">Nabila (Baby, Tiny, Little, Kids); Eve (Baby, Tiny, Little, Kids)</t>
  </si>
  <si>
    <t xml:space="preserve">Andreas (Baby, Tiny, Little, Kids, Star); Nabila (Baby, Tiny, Little, Kids); Icis (Baby, Tiny, Little, Kids); Ziran (Little, Kids)</t>
  </si>
  <si>
    <t xml:space="preserve">Nabila (Baby, Tiny, Little, Kids); Icis (Baby, Tiny, Little, Kids); Ziran (Little, Kids)</t>
  </si>
  <si>
    <t xml:space="preserve">Icis (Baby, Tiny, Little, Kids); Ziran (Little, Kids)</t>
  </si>
  <si>
    <t xml:space="preserve">Ziran (Little, Kids)</t>
  </si>
  <si>
    <t xml:space="preserve">–</t>
  </si>
  <si>
    <t xml:space="preserve">Icis (Baby, Tiny, Little, Kids)</t>
  </si>
  <si>
    <t xml:space="preserve">Deyon (Baby, Tiny, Little, Kids, Star); Andreas (Baby, Tiny, Little, Kids, Star); Nabila (Baby, Tiny, Little, Kids); Icis (Baby, Tiny, Little, Kids); Frido (Little, Kids, Star); Ziran (Little, Kids)</t>
  </si>
  <si>
    <t xml:space="preserve">Deyon (Baby, Tiny, Little, Kids, Star); Nabila (Baby, Tiny, Little, Kids); Icis (Baby, Tiny, Little, Kids); Frido (Little, Kids, Star); Ziran (Little, Kids)</t>
  </si>
  <si>
    <t xml:space="preserve">Deyon (Baby, Tiny, Little, Kids, Star); Icis (Baby, Tiny, Little, Kids); Frido (Little, Kids, Star); Ziran (Little, Kids)</t>
  </si>
  <si>
    <t xml:space="preserve">Andreas (Baby, Tiny, Little, Kids, Star); Icis (Baby, Tiny, Little, Kids); Frido (Little, Kids, Star)</t>
  </si>
  <si>
    <t xml:space="preserve">Deyon (Baby, Tiny, Little, Kids, Star); Andreas (Baby, Tiny, Little, Kids, Star); Frido (Little, Kids, Star); Ziran (Little, Kids)</t>
  </si>
  <si>
    <t xml:space="preserve">Deyon (Baby, Tiny, Little, Kids, Star); Andreas (Baby, Tiny, Little, Kids, Star); Nabila (Baby, Tiny, Little, Kids); Frido (Little, Kids, Star); Ziran (Little, Kids)</t>
  </si>
  <si>
    <t xml:space="preserve">Andreas (Baby, Tiny, Little, Kids, Star); Frido (Little, Kids, Star)</t>
  </si>
  <si>
    <t xml:space="preserve">Deyon (Baby, Tiny, Little, Kids, Star); Andreas (Baby, Tiny, Little, Kids, Star)</t>
  </si>
  <si>
    <t xml:space="preserve">Frido (Little, Kids, Star)</t>
  </si>
  <si>
    <t xml:space="preserve">Andreas (Baby, Tiny, Little, Kids, Star); Nabila (Baby, Tiny, Little, Kids); Eriek (Little, Kids); Frido (Little, Kids, Star); Eve (Baby, Tiny, Little, Kids)</t>
  </si>
  <si>
    <t xml:space="preserve">Deyon (Baby, Tiny, Little, Kids, Star); Andreas (Baby, Tiny, Little, Kids, Star); Sri (Baby, Tiny, Little, Kids, Star); Frido (Little, Kids, Star); Eve (Baby, Tiny, Little, Kids); Ziran (Little, Kids); +1 lainnya</t>
  </si>
  <si>
    <t xml:space="preserve">Deyon (Baby, Tiny, Little, Kids, Star); Frido (Little, Kids, Star); Ziran (Little, Kids); Faris (Little)</t>
  </si>
  <si>
    <t xml:space="preserve">Nabila (Baby, Tiny, Little, Kids); Eve (Baby, Tiny, Little, Kids); Ziran (Little, Kids); Faris (Little)</t>
  </si>
  <si>
    <t xml:space="preserve">Andreas (Baby, Tiny, Little, Kids, Star); Sri (Baby, Tiny, Little, Kids, Star); Icis (Baby, Tiny, Little, Kids); Eriek (Little, Kids); Faris (Little)</t>
  </si>
  <si>
    <t xml:space="preserve">Deyon (Baby, Tiny, Little, Kids, Star); Andreas (Baby, Tiny, Little, Kids, Star); Nabila (Baby, Tiny, Little, Kids); Sri (Baby, Tiny, Little, Kids, Star); Icis (Baby, Tiny, Little, Kids); Eriek (Little, Kids); +4 lainnya</t>
  </si>
  <si>
    <t xml:space="preserve">Deyon (Baby, Tiny, Little, Kids, Star); Andreas (Baby, Tiny, Little, Kids, Star); Nabila (Baby, Tiny, Little, Kids); Sri (Baby, Tiny, Little, Kids, Star); Icis (Baby, Tiny, Little, Kids); Eriek (Little, Kids); +3 lainnya</t>
  </si>
  <si>
    <t xml:space="preserve">Andreas (Baby, Tiny, Little, Kids, Star); Sri (Baby, Tiny, Little, Kids, Star); Eriek (Little, Kids); Eve (Baby, Tiny, Little, Kids); Ziran (Little, Kids)</t>
  </si>
  <si>
    <t xml:space="preserve">Nabila (Baby, Tiny, Little, Kids); Icis (Baby, Tiny, Little, Kids); Eriek (Little, Kids); Frido (Little, Kids, Star); Eve (Baby, Tiny, Little, Kids)</t>
  </si>
  <si>
    <t xml:space="preserve">Andreas (Baby, Tiny, Little, Kids, Star); Nabila (Baby, Tiny, Little, Kids); Frido (Little, Kids, Star); Eve (Baby, Tiny, Little, Kids)</t>
  </si>
  <si>
    <t xml:space="preserve">Sri (Baby, Tiny, Little, Kids, Star); Frido (Little, Kids, Star); Ziran (Little, Kids)</t>
  </si>
  <si>
    <t xml:space="preserve">Andreas (Baby, Tiny, Little, Kids, Star); Icis (Baby, Tiny, Little, Kids); Frido (Little, Kids, Star); Eve (Baby, Tiny, Little, Kids); Ziran (Little, Kids)</t>
  </si>
  <si>
    <t xml:space="preserve">Deyon</t>
  </si>
  <si>
    <t xml:space="preserve">07:30–17:15</t>
  </si>
  <si>
    <t xml:space="preserve">Andreas</t>
  </si>
  <si>
    <t xml:space="preserve">08:45–18:00</t>
  </si>
  <si>
    <t xml:space="preserve">Nabila</t>
  </si>
  <si>
    <t xml:space="preserve">Sri</t>
  </si>
  <si>
    <t xml:space="preserve">Icis</t>
  </si>
  <si>
    <t xml:space="preserve">Eriek</t>
  </si>
  <si>
    <t xml:space="preserve">Frido</t>
  </si>
  <si>
    <t xml:space="preserve">09:00–18:00</t>
  </si>
  <si>
    <t xml:space="preserve">Eve</t>
  </si>
  <si>
    <t xml:space="preserve">Ziran</t>
  </si>
  <si>
    <t xml:space="preserve">Faris</t>
  </si>
  <si>
    <t xml:space="preserve">Little</t>
  </si>
  <si>
    <t xml:space="preserve">11:15–11:15</t>
  </si>
  <si>
    <t xml:space="preserve">SLOT MAP — PML</t>
  </si>
  <si>
    <t xml:space="preserve">Damai (Baby, Tiny, Little, Kids); Kamal (Baby, Tiny, Little, Kids, Star); Dadi (Little, Kids)</t>
  </si>
  <si>
    <t xml:space="preserve">Damai (Baby, Tiny, Little, Kids); Dadi (Little, Kids)</t>
  </si>
  <si>
    <t xml:space="preserve">Damai (Baby, Tiny, Little, Kids)</t>
  </si>
  <si>
    <t xml:space="preserve">Dadi (Little, Kids)</t>
  </si>
  <si>
    <t xml:space="preserve">Kamal (Baby, Tiny, Little, Kids, Star); Dadi (Little, Kids)</t>
  </si>
  <si>
    <t xml:space="preserve">Kamal (Baby, Tiny, Little, Kids, Star)</t>
  </si>
  <si>
    <t xml:space="preserve">Damai (Baby, Tiny, Little, Kids); Shofwan (Baby, Tiny, Little, Kids); Dadi (Little, Kids); Dyana (Little, Kids)</t>
  </si>
  <si>
    <t xml:space="preserve">Damai (Baby, Tiny, Little, Kids); Dadi (Little, Kids); Dyana (Little, Kids)</t>
  </si>
  <si>
    <t xml:space="preserve">Dadi (Little, Kids); Dyana (Little, Kids)</t>
  </si>
  <si>
    <t xml:space="preserve">Dyana (Little, Kids)</t>
  </si>
  <si>
    <t xml:space="preserve">Shofwan (Baby, Tiny, Little, Kids); Dyana (Little, Kids)</t>
  </si>
  <si>
    <t xml:space="preserve">Shofwan (Baby, Tiny, Little, Kids); Dadi (Little, Kids); Dyana (Little, Kids)</t>
  </si>
  <si>
    <t xml:space="preserve">Indah (Baby, Tiny, Little, Kids); Zidan (Little, Kids); Laksamana (Baby, Tiny, Little, Kids); Dadi (Little, Kids)</t>
  </si>
  <si>
    <t xml:space="preserve">Zidan (Little, Kids); Dadi (Little, Kids)</t>
  </si>
  <si>
    <t xml:space="preserve">Laksamana (Baby, Tiny, Little, Kids); Dadi (Little, Kids)</t>
  </si>
  <si>
    <t xml:space="preserve">Indah (Baby, Tiny, Little, Kids); Dadi (Little, Kids)</t>
  </si>
  <si>
    <t xml:space="preserve">Indah (Baby, Tiny, Little, Kids); Zidan (Little, Kids)</t>
  </si>
  <si>
    <t xml:space="preserve">Indah (Baby, Tiny, Little, Kids); Kamal (Baby, Tiny, Little, Kids, Star); Zidan (Little, Kids); Shofwan (Baby, Tiny, Little, Kids); Laksamana (Baby, Tiny, Little, Kids)</t>
  </si>
  <si>
    <t xml:space="preserve">Indah (Baby, Tiny, Little, Kids); Kamal (Baby, Tiny, Little, Kids, Star); Shofwan (Baby, Tiny, Little, Kids); Laksamana (Baby, Tiny, Little, Kids)</t>
  </si>
  <si>
    <t xml:space="preserve">Indah (Baby, Tiny, Little, Kids); Shofwan (Baby, Tiny, Little, Kids); Laksamana (Baby, Tiny, Little, Kids)</t>
  </si>
  <si>
    <t xml:space="preserve">Shofwan (Baby, Tiny, Little, Kids); Laksamana (Baby, Tiny, Little, Kids)</t>
  </si>
  <si>
    <t xml:space="preserve">Zidan (Little, Kids); Shofwan (Baby, Tiny, Little, Kids); Laksamana (Baby, Tiny, Little, Kids)</t>
  </si>
  <si>
    <t xml:space="preserve">Kamal (Baby, Tiny, Little, Kids, Star); Shofwan (Baby, Tiny, Little, Kids); Laksamana (Baby, Tiny, Little, Kids)</t>
  </si>
  <si>
    <t xml:space="preserve">Kamal (Baby, Tiny, Little, Kids, Star); Shofwan (Baby, Tiny, Little, Kids)</t>
  </si>
  <si>
    <t xml:space="preserve">Laksamana (Baby, Tiny, Little, Kids)</t>
  </si>
  <si>
    <t xml:space="preserve">Indah (Baby, Tiny, Little, Kids); Damai (Baby, Tiny, Little, Kids); Kamal (Baby, Tiny, Little, Kids, Star); Zidan (Little, Kids); Shofwan (Baby, Tiny, Little, Kids); Laksamana (Baby, Tiny, Little, Kids)</t>
  </si>
  <si>
    <t xml:space="preserve">Kamal (Baby, Tiny, Little, Kids, Star); Zidan (Little, Kids)</t>
  </si>
  <si>
    <t xml:space="preserve">Zidan (Little, Kids); Shofwan (Baby, Tiny, Little, Kids)</t>
  </si>
  <si>
    <t xml:space="preserve">Indah (Baby, Tiny, Little, Kids); Zidan (Little, Kids); Shofwan (Baby, Tiny, Little, Kids)</t>
  </si>
  <si>
    <t xml:space="preserve">Kamal (Baby, Tiny, Little, Kids, Star); Zidan (Little, Kids); Shofwan (Baby, Tiny, Little, Kids)</t>
  </si>
  <si>
    <t xml:space="preserve">Damai (Baby, Tiny, Little, Kids); Kamal (Baby, Tiny, Little, Kids, Star); Zidan (Little, Kids); Shofwan (Baby, Tiny, Little, Kids)</t>
  </si>
  <si>
    <t xml:space="preserve">Damai (Baby, Tiny, Little, Kids); Kamal (Baby, Tiny, Little, Kids, Star); Zidan (Little, Kids); Shofwan (Baby, Tiny, Little, Kids); Laksamana (Baby, Tiny, Little, Kids)</t>
  </si>
  <si>
    <t xml:space="preserve">Indah (Baby, Tiny, Little, Kids); Laksamana (Baby, Tiny, Little, Kids)</t>
  </si>
  <si>
    <t xml:space="preserve">Indah (Baby, Tiny, Little, Kids); Damai (Baby, Tiny, Little, Kids); Kamal (Baby, Tiny, Little, Kids, Star); Zidan (Little, Kids); Shofwan (Baby, Tiny, Little, Kids); Laksamana (Baby, Tiny, Little, Kids); +1 lainnya</t>
  </si>
  <si>
    <t xml:space="preserve">Indah (Baby, Tiny, Little, Kids); Damai (Baby, Tiny, Little, Kids); Shofwan (Baby, Tiny, Little, Kids); Laksamana (Baby, Tiny, Little, Kids)</t>
  </si>
  <si>
    <t xml:space="preserve">Kamal (Baby, Tiny, Little, Kids, Star); Zidan (Little, Kids); Shofwan (Baby, Tiny, Little, Kids); Laksamana (Baby, Tiny, Little, Kids); Dadi (Little, Kids)</t>
  </si>
  <si>
    <t xml:space="preserve">Kamal (Baby, Tiny, Little, Kids, Star); Shofwan (Baby, Tiny, Little, Kids); Laksamana (Baby, Tiny, Little, Kids); Dadi (Little, Kids)</t>
  </si>
  <si>
    <t xml:space="preserve">Indah (Baby, Tiny, Little, Kids); Kamal (Baby, Tiny, Little, Kids, Star); Laksamana (Baby, Tiny, Little, Kids); Dadi (Little, Kids)</t>
  </si>
  <si>
    <t xml:space="preserve">Damai (Baby, Tiny, Little, Kids); Zidan (Little, Kids); Dadi (Little, Kids)</t>
  </si>
  <si>
    <t xml:space="preserve">Kamal (Baby, Tiny, Little, Kids, Star); Zidan (Little, Kids); Laksamana (Baby, Tiny, Little, Kids)</t>
  </si>
  <si>
    <t xml:space="preserve">Indah (Baby, Tiny, Little, Kids); Damai (Baby, Tiny, Little, Kids); Zidan (Little, Kids); Dadi (Little, Kids)</t>
  </si>
  <si>
    <t xml:space="preserve">Damai (Baby, Tiny, Little, Kids); Laksamana (Baby, Tiny, Little, Kids); Dadi (Little, Kids)</t>
  </si>
  <si>
    <t xml:space="preserve">Indah (Baby, Tiny, Little, Kids); Shofwan (Baby, Tiny, Little, Kids); Laksamana (Baby, Tiny, Little, Kids); Dadi (Little, Kids)</t>
  </si>
  <si>
    <t xml:space="preserve">Indah (Baby, Tiny, Little, Kids); Damai (Baby, Tiny, Little, Kids); Kamal (Baby, Tiny, Little, Kids, Star); Laksamana (Baby, Tiny, Little, Kids); Dadi (Little, Kids)</t>
  </si>
  <si>
    <t xml:space="preserve">Kamal (Baby, Tiny, Little, Kids, Star); Zidan (Little, Kids); Shofwan (Baby, Tiny, Little, Kids); Dadi (Little, Kids)</t>
  </si>
  <si>
    <t xml:space="preserve">Zidan (Little, Kids); Shofwan (Baby, Tiny, Little, Kids); Dadi (Little, Kids)</t>
  </si>
  <si>
    <t xml:space="preserve">Damai (Baby, Tiny, Little, Kids); Zidan (Little, Kids); Shofwan (Baby, Tiny, Little, Kids); Dadi (Little, Kids)</t>
  </si>
  <si>
    <t xml:space="preserve">Damai (Baby, Tiny, Little, Kids); Shofwan (Baby, Tiny, Little, Kids)</t>
  </si>
  <si>
    <t xml:space="preserve">Kamal (Baby, Tiny, Little, Kids, Star); Laksamana (Baby, Tiny, Little, Kids)</t>
  </si>
  <si>
    <t xml:space="preserve">Indah (Baby, Tiny, Little, Kids); Damai (Baby, Tiny, Little, Kids); Kamal (Baby, Tiny, Little, Kids, Star); Shofwan (Baby, Tiny, Little, Kids); Dadi (Little, Kids)</t>
  </si>
  <si>
    <t xml:space="preserve">Indah (Baby, Tiny, Little, Kids); Damai (Baby, Tiny, Little, Kids); Kamal (Baby, Tiny, Little, Kids, Star); Shofwan (Baby, Tiny, Little, Kids); Laksamana (Baby, Tiny, Little, Kids); Dadi (Little, Kids)</t>
  </si>
  <si>
    <t xml:space="preserve">Indah</t>
  </si>
  <si>
    <t xml:space="preserve">Damai</t>
  </si>
  <si>
    <t xml:space="preserve">09:00–17:00</t>
  </si>
  <si>
    <t xml:space="preserve">Kamal</t>
  </si>
  <si>
    <t xml:space="preserve">Zidan</t>
  </si>
  <si>
    <t xml:space="preserve">Shofwan</t>
  </si>
  <si>
    <t xml:space="preserve">Laksamana</t>
  </si>
  <si>
    <t xml:space="preserve">Dadi</t>
  </si>
  <si>
    <t xml:space="preserve">Dyana</t>
  </si>
  <si>
    <t xml:space="preserve">14:45–16:15</t>
  </si>
  <si>
    <t xml:space="preserve">SLOT MAP — TMP</t>
  </si>
  <si>
    <t xml:space="preserve">Iqbal (Baby, Tiny, Little, Kids); Irvan (Little, Kids)</t>
  </si>
  <si>
    <t xml:space="preserve">Irvan (Little, Kids)</t>
  </si>
  <si>
    <t xml:space="preserve">Iqbal (Baby, Tiny, Little, Kids)</t>
  </si>
  <si>
    <t xml:space="preserve">Iqbal (Baby, Tiny, Little, Kids); Irvan (Little, Kids); Soon Book Coach Irvan (Kids)</t>
  </si>
  <si>
    <t xml:space="preserve">Iqbal (Baby, Tiny, Little, Kids); Soon Book Coach Irvan (Kids)</t>
  </si>
  <si>
    <t xml:space="preserve">Soon Book Coach Irvan (Kids)</t>
  </si>
  <si>
    <t xml:space="preserve">Irvan (Little, Kids); Soon Book Coach Irvan (Kids)</t>
  </si>
  <si>
    <t xml:space="preserve">Adam (Baby, Tiny, Little, Kids); Iqbal (Baby, Tiny, Little, Kids); Hanif (Little, Kids)</t>
  </si>
  <si>
    <t xml:space="preserve">Iqbal (Baby, Tiny, Little, Kids); Hanif (Little, Kids)</t>
  </si>
  <si>
    <t xml:space="preserve">Adam (Baby, Tiny, Little, Kids); Hanif (Little, Kids)</t>
  </si>
  <si>
    <t xml:space="preserve">Adam (Baby, Tiny, Little, Kids); Iqbal (Baby, Tiny, Little, Kids)</t>
  </si>
  <si>
    <t xml:space="preserve">Hanif (Little, Kids)</t>
  </si>
  <si>
    <t xml:space="preserve">Adam (Baby, Tiny, Little, Kids); Agas (Tiny, Little)</t>
  </si>
  <si>
    <t xml:space="preserve">Adam (Baby, Tiny, Little, Kids)</t>
  </si>
  <si>
    <t xml:space="preserve">Agas (Tiny, Little)</t>
  </si>
  <si>
    <t xml:space="preserve">Tiny, Little</t>
  </si>
  <si>
    <t xml:space="preserve">Baby, Tiny, Little</t>
  </si>
  <si>
    <t xml:space="preserve">Adam (Baby, Tiny, Little, Kids); Irvan (Little, Kids); Agas (Tiny, Little)</t>
  </si>
  <si>
    <t xml:space="preserve">Irvan (Little, Kids); Agas (Tiny, Little)</t>
  </si>
  <si>
    <t xml:space="preserve">Adam (Baby, Tiny, Little, Kids); Iqbal (Baby, Tiny, Little, Kids); Irvan (Little, Kids); Hanif (Little, Kids)</t>
  </si>
  <si>
    <t xml:space="preserve">Adam (Baby, Tiny, Little, Kids); Irvan (Little, Kids); Hanif (Little, Kids)</t>
  </si>
  <si>
    <t xml:space="preserve">Irvan (Little, Kids); Hanif (Little, Kids)</t>
  </si>
  <si>
    <t xml:space="preserve">Iqbal (Baby, Tiny, Little, Kids); Irvan (Little, Kids); Hanif (Little, Kids)</t>
  </si>
  <si>
    <t xml:space="preserve">Adam (Baby, Tiny, Little, Kids); Irvan (Little, Kids)</t>
  </si>
  <si>
    <t xml:space="preserve">Adam (Baby, Tiny, Little, Kids); Iqbal (Baby, Tiny, Little, Kids); Irvan (Little, Kids)</t>
  </si>
  <si>
    <t xml:space="preserve">Adam (Baby, Tiny, Little, Kids); Iqbal (Baby, Tiny, Little, Kids); Irvan (Little, Kids); Agas (Tiny, Little); Hanif (Little, Kids)</t>
  </si>
  <si>
    <t xml:space="preserve">Iqbal (Baby, Tiny, Little, Kids); Irvan (Little, Kids); Agas (Tiny, Little); Hanif (Little, Kids)</t>
  </si>
  <si>
    <t xml:space="preserve">Irvan (Little, Kids); Agas (Tiny, Little); Hanif (Little, Kids)</t>
  </si>
  <si>
    <t xml:space="preserve">Adam (Baby, Tiny, Little, Kids); Agas (Tiny, Little); Hanif (Little, Kids)</t>
  </si>
  <si>
    <t xml:space="preserve">Agas (Tiny, Little); Hanif (Little, Kids)</t>
  </si>
  <si>
    <t xml:space="preserve">Iqbal (Baby, Tiny, Little, Kids); Agas (Tiny, Little); Hanif (Little, Kids)</t>
  </si>
  <si>
    <t xml:space="preserve">Adam (Baby, Tiny, Little, Kids); Iqbal (Baby, Tiny, Little, Kids); Irvan (Little, Kids); Agas (Tiny, Little)</t>
  </si>
  <si>
    <t xml:space="preserve">Adam</t>
  </si>
  <si>
    <t xml:space="preserve">Iqbal</t>
  </si>
  <si>
    <t xml:space="preserve">Irvan</t>
  </si>
  <si>
    <t xml:space="preserve">09:30–17:15</t>
  </si>
  <si>
    <t xml:space="preserve">Agas</t>
  </si>
  <si>
    <t xml:space="preserve">Hanif</t>
  </si>
  <si>
    <t xml:space="preserve">14:45–17:00</t>
  </si>
  <si>
    <t xml:space="preserve">Soon Book Coach Irvan</t>
  </si>
  <si>
    <t xml:space="preserve">SLOT MAP — BTU</t>
  </si>
  <si>
    <t xml:space="preserve">Alfi (Baby, Tiny, Little, Kids); Maulana (Little, Kids); Doni (Baby, Tiny, Little, Kids); Tara (Baby, Tiny, Little, Kids); Aldi (Little, Kids)</t>
  </si>
  <si>
    <t xml:space="preserve">Alfi (Baby, Tiny, Little, Kids); Maulana (Little, Kids); Doni (Baby, Tiny, Little, Kids); Aldi (Little, Kids)</t>
  </si>
  <si>
    <t xml:space="preserve">Maulana (Little, Kids); Tara (Baby, Tiny, Little, Kids); Aldi (Little, Kids)</t>
  </si>
  <si>
    <t xml:space="preserve">Maulana (Little, Kids)</t>
  </si>
  <si>
    <t xml:space="preserve">Alfi (Baby, Tiny, Little, Kids); Doni (Baby, Tiny, Little, Kids)</t>
  </si>
  <si>
    <t xml:space="preserve">Alfi (Baby, Tiny, Little, Kids); Doni (Baby, Tiny, Little, Kids); Tara (Baby, Tiny, Little, Kids); Aldi (Little, Kids)</t>
  </si>
  <si>
    <t xml:space="preserve">Doni (Baby, Tiny, Little, Kids); Tara (Baby, Tiny, Little, Kids); Aldi (Little, Kids)</t>
  </si>
  <si>
    <t xml:space="preserve">Maulana (Little, Kids); Doni (Baby, Tiny, Little, Kids); Tara (Baby, Tiny, Little, Kids)</t>
  </si>
  <si>
    <t xml:space="preserve">Maulana (Little, Kids); Tara (Baby, Tiny, Little, Kids)</t>
  </si>
  <si>
    <t xml:space="preserve">Doni (Baby, Tiny, Little, Kids); Tara (Baby, Tiny, Little, Kids)</t>
  </si>
  <si>
    <t xml:space="preserve">Doni (Baby, Tiny, Little, Kids)</t>
  </si>
  <si>
    <t xml:space="preserve">Maulana (Little, Kids); Doni (Baby, Tiny, Little, Kids)</t>
  </si>
  <si>
    <t xml:space="preserve">Shofi (Baby, Tiny, Little, Kids); Maulana (Little, Kids); Doni (Baby, Tiny, Little, Kids); Bagas (Little, Kids)</t>
  </si>
  <si>
    <t xml:space="preserve">Maulana (Little, Kids); Bagas (Little, Kids)</t>
  </si>
  <si>
    <t xml:space="preserve">Maulana (Little, Kids); Doni (Baby, Tiny, Little, Kids); Bagas (Little, Kids)</t>
  </si>
  <si>
    <t xml:space="preserve">Shofi (Baby, Tiny, Little, Kids); Doni (Baby, Tiny, Little, Kids); Bagas (Little, Kids)</t>
  </si>
  <si>
    <t xml:space="preserve">Shofi (Baby, Tiny, Little, Kids); Doni (Baby, Tiny, Little, Kids)</t>
  </si>
  <si>
    <t xml:space="preserve">Doni (Baby, Tiny, Little, Kids); Bagas (Little, Kids)</t>
  </si>
  <si>
    <t xml:space="preserve">Shofi (Baby, Tiny, Little, Kids); Alfi (Baby, Tiny, Little, Kids); Bagas (Little, Kids); Aldi (Little, Kids)</t>
  </si>
  <si>
    <t xml:space="preserve">Shofi (Baby, Tiny, Little, Kids); Bagas (Little, Kids); Aldi (Little, Kids)</t>
  </si>
  <si>
    <t xml:space="preserve">Alfi (Baby, Tiny, Little, Kids); Bagas (Little, Kids); Aldi (Little, Kids)</t>
  </si>
  <si>
    <t xml:space="preserve">Bagas (Little, Kids); Aldi (Little, Kids)</t>
  </si>
  <si>
    <t xml:space="preserve">Shofi (Baby, Tiny, Little, Kids); Alfi (Baby, Tiny, Little, Kids); Aldi (Little, Kids)</t>
  </si>
  <si>
    <t xml:space="preserve">Aldi (Little, Kids)</t>
  </si>
  <si>
    <t xml:space="preserve">Alfi (Baby, Tiny, Little, Kids)</t>
  </si>
  <si>
    <t xml:space="preserve">Shofi (Baby, Tiny, Little, Kids); Alfi (Baby, Tiny, Little, Kids); Bagas (Little, Kids)</t>
  </si>
  <si>
    <t xml:space="preserve">Shofi (Baby, Tiny, Little, Kids); Alfi (Baby, Tiny, Little, Kids); Bagas (Little, Kids); Tara (Baby, Tiny, Little, Kids); Aldi (Little, Kids)</t>
  </si>
  <si>
    <t xml:space="preserve">Bagas (Little, Kids); Tara (Baby, Tiny, Little, Kids); Aldi (Little, Kids)</t>
  </si>
  <si>
    <t xml:space="preserve">Shofi (Baby, Tiny, Little, Kids); Bagas (Little, Kids); Tara (Baby, Tiny, Little, Kids); Aldi (Little, Kids)</t>
  </si>
  <si>
    <t xml:space="preserve">Tara (Baby, Tiny, Little, Kids); Aldi (Little, Kids)</t>
  </si>
  <si>
    <t xml:space="preserve">Tara (Baby, Tiny, Little, Kids)</t>
  </si>
  <si>
    <t xml:space="preserve">Shofi (Baby, Tiny, Little, Kids); Alfi (Baby, Tiny, Little, Kids); Maulana (Little, Kids); Doni (Baby, Tiny, Little, Kids); Bagas (Little, Kids); Tara (Baby, Tiny, Little, Kids); +1 lainnya</t>
  </si>
  <si>
    <t xml:space="preserve">Alfi (Baby, Tiny, Little, Kids); Maulana (Little, Kids); Doni (Baby, Tiny, Little, Kids); Bagas (Little, Kids); Aldi (Little, Kids)</t>
  </si>
  <si>
    <t xml:space="preserve">Alfi (Baby, Tiny, Little, Kids); Doni (Baby, Tiny, Little, Kids); Bagas (Little, Kids); Aldi (Little, Kids)</t>
  </si>
  <si>
    <t xml:space="preserve">Doni (Baby, Tiny, Little, Kids); Bagas (Little, Kids); Tara (Baby, Tiny, Little, Kids); Aldi (Little, Kids)</t>
  </si>
  <si>
    <t xml:space="preserve">Shofi (Baby, Tiny, Little, Kids); Alfi (Baby, Tiny, Little, Kids); Maulana (Little, Kids); Tara (Baby, Tiny, Little, Kids); Aldi (Little, Kids)</t>
  </si>
  <si>
    <t xml:space="preserve">Shofi (Baby, Tiny, Little, Kids); Maulana (Little, Kids); Doni (Baby, Tiny, Little, Kids); Bagas (Little, Kids); Tara (Baby, Tiny, Little, Kids); Aldi (Little, Kids)</t>
  </si>
  <si>
    <t xml:space="preserve">Alfi (Baby, Tiny, Little, Kids); Maulana (Little, Kids); Doni (Baby, Tiny, Little, Kids); Bagas (Little, Kids); Tara (Baby, Tiny, Little, Kids); Aldi (Little, Kids)</t>
  </si>
  <si>
    <t xml:space="preserve">Shofi (Baby, Tiny, Little, Kids); Alfi (Baby, Tiny, Little, Kids); Maulana (Little, Kids); Bagas (Little, Kids); Tara (Baby, Tiny, Little, Kids); Aldi (Little, Kids)</t>
  </si>
  <si>
    <t xml:space="preserve">Shofi (Baby, Tiny, Little, Kids); Alfi (Baby, Tiny, Little, Kids); Maulana (Little, Kids); Bagas (Little, Kids); Tara (Baby, Tiny, Little, Kids)</t>
  </si>
  <si>
    <t xml:space="preserve">Shofi (Baby, Tiny, Little, Kids); Alfi (Baby, Tiny, Little, Kids); Maulana (Little, Kids); Doni (Baby, Tiny, Little, Kids); Bagas (Little, Kids); Tara (Baby, Tiny, Little, Kids)</t>
  </si>
  <si>
    <t xml:space="preserve">Shofi (Baby, Tiny, Little, Kids); Alfi (Baby, Tiny, Little, Kids); Maulana (Little, Kids); Doni (Baby, Tiny, Little, Kids); Tara (Baby, Tiny, Little, Kids)</t>
  </si>
  <si>
    <t xml:space="preserve">Shofi (Baby, Tiny, Little, Kids); Doni (Baby, Tiny, Little, Kids); Bagas (Little, Kids); Tara (Baby, Tiny, Little, Kids); Aldi (Little, Kids)</t>
  </si>
  <si>
    <t xml:space="preserve">Shofi (Baby, Tiny, Little, Kids); Alfi (Baby, Tiny, Little, Kids); Maulana (Little, Kids); Doni (Baby, Tiny, Little, Kids)</t>
  </si>
  <si>
    <t xml:space="preserve">Alfi (Baby, Tiny, Little, Kids); Maulana (Little, Kids); Doni (Baby, Tiny, Little, Kids)</t>
  </si>
  <si>
    <t xml:space="preserve">Shofi (Baby, Tiny, Little, Kids); Alfi (Baby, Tiny, Little, Kids); Doni (Baby, Tiny, Little, Kids)</t>
  </si>
  <si>
    <t xml:space="preserve">Alfi (Baby, Tiny, Little, Kids); Maulana (Little, Kids)</t>
  </si>
  <si>
    <t xml:space="preserve">Shofi (Baby, Tiny, Little, Kids); Alfi (Baby, Tiny, Little, Kids); Maulana (Little, Kids)</t>
  </si>
  <si>
    <t xml:space="preserve">Shofi (Baby, Tiny, Little, Kids); Maulana (Little, Kids); Doni (Baby, Tiny, Little, Kids)</t>
  </si>
  <si>
    <t xml:space="preserve">Shofi</t>
  </si>
  <si>
    <t xml:space="preserve">08:45–16:30</t>
  </si>
  <si>
    <t xml:space="preserve">Alfi</t>
  </si>
  <si>
    <t xml:space="preserve">Maulana</t>
  </si>
  <si>
    <t xml:space="preserve">09:00–16:30</t>
  </si>
  <si>
    <t xml:space="preserve">Doni</t>
  </si>
  <si>
    <t xml:space="preserve">08:45–15:00</t>
  </si>
  <si>
    <t xml:space="preserve">Bagas</t>
  </si>
  <si>
    <t xml:space="preserve">10:30–17:15</t>
  </si>
  <si>
    <t xml:space="preserve">Tara</t>
  </si>
  <si>
    <t xml:space="preserve">Aldi</t>
  </si>
  <si>
    <t xml:space="preserve">15:00–17:15</t>
  </si>
  <si>
    <t xml:space="preserve">SLOT MAP — HIB</t>
  </si>
  <si>
    <t xml:space="preserve">Silvi (Little, Kids); Angga (Little, Kids); Shabrina (Baby, Tiny, Little)</t>
  </si>
  <si>
    <t xml:space="preserve">Angga (Little, Kids); Shabrina (Baby, Tiny, Little)</t>
  </si>
  <si>
    <t xml:space="preserve">Angga (Little, Kids)</t>
  </si>
  <si>
    <t xml:space="preserve">Silvi (Little, Kids); Shabrina (Baby, Tiny, Little)</t>
  </si>
  <si>
    <t xml:space="preserve">Silvi (Little, Kids); Angga (Little, Kids)</t>
  </si>
  <si>
    <t xml:space="preserve">Silvi (Little, Kids)</t>
  </si>
  <si>
    <t xml:space="preserve">Rizky (Baby, Tiny, Kids, Star); Angga (Little, Kids); Shabrina (Baby, Tiny, Little); Indra (Little, Kids)</t>
  </si>
  <si>
    <t xml:space="preserve">Rizky (Baby, Tiny, Kids, Star); Angga (Little, Kids); Indra (Little, Kids)</t>
  </si>
  <si>
    <t xml:space="preserve">Angga (Little, Kids); Indra (Little, Kids)</t>
  </si>
  <si>
    <t xml:space="preserve">Angga (Little, Kids); Shabrina (Baby, Tiny, Little); Indra (Little, Kids)</t>
  </si>
  <si>
    <t xml:space="preserve">Shabrina (Baby, Tiny, Little); Indra (Little, Kids)</t>
  </si>
  <si>
    <t xml:space="preserve">Rizky (Baby, Tiny, Kids, Star); Shabrina (Baby, Tiny, Little); Indra (Little, Kids)</t>
  </si>
  <si>
    <t xml:space="preserve">Rizky (Baby, Tiny, Kids, Star); Indra (Little, Kids)</t>
  </si>
  <si>
    <t xml:space="preserve">Indra (Little, Kids)</t>
  </si>
  <si>
    <t xml:space="preserve">Shabrina (Baby, Tiny, Little)</t>
  </si>
  <si>
    <t xml:space="preserve">Rizky (Baby, Tiny, Kids, Star)</t>
  </si>
  <si>
    <t xml:space="preserve">Baby, Tiny, Kids, Star</t>
  </si>
  <si>
    <t xml:space="preserve">Rizky (Baby, Tiny, Kids, Star); Juan (Little, Kids); Indra (Little, Kids)</t>
  </si>
  <si>
    <t xml:space="preserve">Juan (Little, Kids); Indra (Little, Kids)</t>
  </si>
  <si>
    <t xml:space="preserve">Rizky (Baby, Tiny, Kids, Star); Juan (Little, Kids)</t>
  </si>
  <si>
    <t xml:space="preserve">Rizky (Baby, Tiny, Kids, Star); Juan (Little, Kids); Silvi (Little, Kids); Indra (Little, Kids)</t>
  </si>
  <si>
    <t xml:space="preserve">Juan (Little, Kids); Silvi (Little, Kids); Indra (Little, Kids)</t>
  </si>
  <si>
    <t xml:space="preserve">Rizky (Baby, Tiny, Kids, Star); Silvi (Little, Kids); Indra (Little, Kids)</t>
  </si>
  <si>
    <t xml:space="preserve">Rizky (Baby, Tiny, Kids, Star); Juan (Little, Kids); Silvi (Little, Kids)</t>
  </si>
  <si>
    <t xml:space="preserve">Juan (Little, Kids); Silvi (Little, Kids); Angga (Little, Kids); Shabrina (Baby, Tiny, Little); Indra (Little, Kids)</t>
  </si>
  <si>
    <t xml:space="preserve">Juan (Little, Kids); Silvi (Little, Kids); Angga (Little, Kids); Indra (Little, Kids)</t>
  </si>
  <si>
    <t xml:space="preserve">Silvi (Little, Kids); Angga (Little, Kids); Indra (Little, Kids)</t>
  </si>
  <si>
    <t xml:space="preserve">Rizky (Baby, Tiny, Kids, Star); Silvi (Little, Kids); Shabrina (Baby, Tiny, Little)</t>
  </si>
  <si>
    <t xml:space="preserve">Juan (Little, Kids); Silvi (Little, Kids); Shabrina (Baby, Tiny, Little)</t>
  </si>
  <si>
    <t xml:space="preserve">Juan (Little, Kids); Silvi (Little, Kids); Shabrina (Baby, Tiny, Little); Indra (Little, Kids)</t>
  </si>
  <si>
    <t xml:space="preserve">Rizky (Baby, Tiny, Kids, Star); Juan (Little, Kids); Silvi (Little, Kids); Angga (Little, Kids); Indra (Little, Kids)</t>
  </si>
  <si>
    <t xml:space="preserve">Rizky (Baby, Tiny, Kids, Star); Silvi (Little, Kids); Angga (Little, Kids); Indra (Little, Kids)</t>
  </si>
  <si>
    <t xml:space="preserve">Rizky (Baby, Tiny, Kids, Star); Silvi (Little, Kids); Angga (Little, Kids); Shabrina (Baby, Tiny, Little); Indra (Little, Kids)</t>
  </si>
  <si>
    <t xml:space="preserve">Rizky (Baby, Tiny, Kids, Star); Juan (Little, Kids); Silvi (Little, Kids); Angga (Little, Kids); Shabrina (Baby, Tiny, Little); Indra (Little, Kids)</t>
  </si>
  <si>
    <t xml:space="preserve">Rizky (Baby, Tiny, Kids, Star); Juan (Little, Kids); Silvi (Little, Kids); Angga (Little, Kids); Indra (Little, Kids); Gita (–)</t>
  </si>
  <si>
    <t xml:space="preserve">Juan (Little, Kids); Silvi (Little, Kids); Angga (Little, Kids); Indra (Little, Kids); Gita (–)</t>
  </si>
  <si>
    <t xml:space="preserve">Juan (Little, Kids); Indra (Little, Kids); Gita (–)</t>
  </si>
  <si>
    <t xml:space="preserve">Juan (Little, Kids); Silvi (Little, Kids); Indra (Little, Kids); Gita (–)</t>
  </si>
  <si>
    <t xml:space="preserve">Rizky (Baby, Tiny, Kids, Star); Indra (Little, Kids); Gita (–)</t>
  </si>
  <si>
    <t xml:space="preserve">Angga (Little, Kids); Gita (–)</t>
  </si>
  <si>
    <t xml:space="preserve">Juan (Little, Kids); Silvi (Little, Kids); Angga (Little, Kids); Gita (–)</t>
  </si>
  <si>
    <t xml:space="preserve">Rizky (Baby, Tiny, Kids, Star); Juan (Little, Kids); Silvi (Little, Kids); Angga (Little, Kids); Gita (–)</t>
  </si>
  <si>
    <t xml:space="preserve">Rizky (Baby, Tiny, Kids, Star); Silvi (Little, Kids); Angga (Little, Kids); Indra (Little, Kids); Gita (–)</t>
  </si>
  <si>
    <t xml:space="preserve">Rizky</t>
  </si>
  <si>
    <t xml:space="preserve">07:30–16:15</t>
  </si>
  <si>
    <t xml:space="preserve">Juan</t>
  </si>
  <si>
    <t xml:space="preserve">09:45–17:15</t>
  </si>
  <si>
    <t xml:space="preserve">Silvi</t>
  </si>
  <si>
    <t xml:space="preserve">Angga</t>
  </si>
  <si>
    <t xml:space="preserve">Shabrina</t>
  </si>
  <si>
    <t xml:space="preserve">08:45–16:15</t>
  </si>
  <si>
    <t xml:space="preserve">Indra</t>
  </si>
  <si>
    <t xml:space="preserve">16:15–16:15</t>
  </si>
  <si>
    <t xml:space="preserve">Age Group</t>
  </si>
  <si>
    <t xml:space="preserve">Day</t>
  </si>
  <si>
    <t xml:space="preserve">Time</t>
  </si>
  <si>
    <t xml:space="preserve">Slot</t>
  </si>
  <si>
    <t xml:space="preserve">Cap</t>
  </si>
  <si>
    <t xml:space="preserve">Used</t>
  </si>
  <si>
    <t xml:space="preserve">Availability</t>
  </si>
  <si>
    <t xml:space="preserve">Asst. Coach</t>
  </si>
  <si>
    <t xml:space="preserve">Sesi</t>
  </si>
  <si>
    <t xml:space="preserve">Key (helper)</t>
  </si>
  <si>
    <t xml:space="preserve">Salinan tab Reguler Class Availability dari Exboard (kolom A:L). Minggu berikutnya: paste data terbaru ke A:L di tab ini, semua tab center ikut menghitung ulang.</t>
  </si>
  <si>
    <t xml:space="preserve">- Lane 1 - Senin</t>
  </si>
  <si>
    <t xml:space="preserve">8:15</t>
  </si>
  <si>
    <t xml:space="preserve"> - Lane 1 - Senin - 08:15</t>
  </si>
  <si>
    <t xml:space="preserve">NOT AVAILABLE</t>
  </si>
  <si>
    <t xml:space="preserve">Sesi 1</t>
  </si>
  <si>
    <t xml:space="preserve">KLM|- Lane 1 - Senin|08:15</t>
  </si>
  <si>
    <t xml:space="preserve">9:00</t>
  </si>
  <si>
    <t xml:space="preserve"> - Lane 1 - Senin - 09:00</t>
  </si>
  <si>
    <t xml:space="preserve">AVAILABLE</t>
  </si>
  <si>
    <t xml:space="preserve">Sesi 2</t>
  </si>
  <si>
    <t xml:space="preserve">KLM|- Lane 1 - Senin|09:00</t>
  </si>
  <si>
    <t xml:space="preserve">9:45</t>
  </si>
  <si>
    <t xml:space="preserve"> - Lane 1 - Senin - 09:45</t>
  </si>
  <si>
    <t xml:space="preserve">Sesi 3</t>
  </si>
  <si>
    <t xml:space="preserve">KLM|- Lane 1 - Senin|09:45</t>
  </si>
  <si>
    <t xml:space="preserve">Baby - Lane 1 - Senin - 10:30</t>
  </si>
  <si>
    <t xml:space="preserve">DANTI</t>
  </si>
  <si>
    <t xml:space="preserve">Sesi 4</t>
  </si>
  <si>
    <t xml:space="preserve">KLM|- Lane 1 - Senin|10:30</t>
  </si>
  <si>
    <t xml:space="preserve"> - Lane 1 - Senin - 11:15</t>
  </si>
  <si>
    <t xml:space="preserve">Sesi 5</t>
  </si>
  <si>
    <t xml:space="preserve">KLM|- Lane 1 - Senin|11:15</t>
  </si>
  <si>
    <t xml:space="preserve">Baby - Lane 1 - Senin - 12:00</t>
  </si>
  <si>
    <t xml:space="preserve">Sesi 6</t>
  </si>
  <si>
    <t xml:space="preserve">KLM|- Lane 1 - Senin|12:00</t>
  </si>
  <si>
    <t xml:space="preserve">Little - Lane 1 - Senin - 13:30</t>
  </si>
  <si>
    <t xml:space="preserve">GITA</t>
  </si>
  <si>
    <t xml:space="preserve">Sesi 7</t>
  </si>
  <si>
    <t xml:space="preserve">KLM|- Lane 1 - Senin|13:30</t>
  </si>
  <si>
    <t xml:space="preserve"> - Lane 1 - Senin - 14:15</t>
  </si>
  <si>
    <t xml:space="preserve">Sesi 8</t>
  </si>
  <si>
    <t xml:space="preserve">KLM|- Lane 1 - Senin|14:15</t>
  </si>
  <si>
    <t xml:space="preserve">Little - Lane 1 - Senin - 15:00</t>
  </si>
  <si>
    <t xml:space="preserve">Sesi 9</t>
  </si>
  <si>
    <t xml:space="preserve">KLM|- Lane 1 - Senin|15:00</t>
  </si>
  <si>
    <t xml:space="preserve"> - Lane 1 - Senin - 15:45</t>
  </si>
  <si>
    <t xml:space="preserve">Sesi 10</t>
  </si>
  <si>
    <t xml:space="preserve">KLM|- Lane 1 - Senin|15:45</t>
  </si>
  <si>
    <t xml:space="preserve">Kids - Lane 1 - Senin - 16:30</t>
  </si>
  <si>
    <t xml:space="preserve">Sesi 11</t>
  </si>
  <si>
    <t xml:space="preserve">KLM|- Lane 1 - Senin|16:30</t>
  </si>
  <si>
    <t xml:space="preserve">Baby - Lane 1 - Senin - 17:15</t>
  </si>
  <si>
    <t xml:space="preserve">RISCHA</t>
  </si>
  <si>
    <t xml:space="preserve">Sesi 12</t>
  </si>
  <si>
    <t xml:space="preserve">KLM|- Lane 1 - Senin|17:15</t>
  </si>
  <si>
    <t xml:space="preserve">- Lane 1 - Selasa</t>
  </si>
  <si>
    <t xml:space="preserve"> - Lane 1 - Selasa - 08:15</t>
  </si>
  <si>
    <t xml:space="preserve">KLM|- Lane 1 - Selasa|08:15</t>
  </si>
  <si>
    <t xml:space="preserve"> - Lane 1 - Selasa - 09:00</t>
  </si>
  <si>
    <t xml:space="preserve">KLM|- Lane 1 - Selasa|09:00</t>
  </si>
  <si>
    <t xml:space="preserve"> - Lane 1 - Selasa - 09:45</t>
  </si>
  <si>
    <t xml:space="preserve">KLM|- Lane 1 - Selasa|09:45</t>
  </si>
  <si>
    <t xml:space="preserve">Baby - Lane 1 - Selasa - 10:30</t>
  </si>
  <si>
    <t xml:space="preserve">ZIDANE</t>
  </si>
  <si>
    <t xml:space="preserve">KLM|- Lane 1 - Selasa|10:30</t>
  </si>
  <si>
    <t xml:space="preserve">Baby - Lane 1 - Selasa - 11:15</t>
  </si>
  <si>
    <t xml:space="preserve">KLM|- Lane 1 - Selasa|11:15</t>
  </si>
  <si>
    <t xml:space="preserve"> - Lane 1 - Selasa - 12:00</t>
  </si>
  <si>
    <t xml:space="preserve">KLM|- Lane 1 - Selasa|12:00</t>
  </si>
  <si>
    <t xml:space="preserve"> - Lane 1 - Selasa - 13:30</t>
  </si>
  <si>
    <t xml:space="preserve">KLM|- Lane 1 - Selasa|13:30</t>
  </si>
  <si>
    <t xml:space="preserve"> - Lane 1 - Selasa - 14:15</t>
  </si>
  <si>
    <t xml:space="preserve">KLM|- Lane 1 - Selasa|14:15</t>
  </si>
  <si>
    <t xml:space="preserve">Kids - Lane 1 - Selasa - 15:00</t>
  </si>
  <si>
    <t xml:space="preserve">TESSA</t>
  </si>
  <si>
    <t xml:space="preserve">KLM|- Lane 1 - Selasa|15:00</t>
  </si>
  <si>
    <t xml:space="preserve"> - Lane 1 - Selasa - 15:45</t>
  </si>
  <si>
    <t xml:space="preserve">KLM|- Lane 1 - Selasa|15:45</t>
  </si>
  <si>
    <t xml:space="preserve"> - Lane 1 - Selasa - 16:30</t>
  </si>
  <si>
    <t xml:space="preserve">KLM|- Lane 1 - Selasa|16:30</t>
  </si>
  <si>
    <t xml:space="preserve">Baby - Lane 1 - Selasa - 17:15</t>
  </si>
  <si>
    <t xml:space="preserve">KLM|- Lane 1 - Selasa|17:15</t>
  </si>
  <si>
    <t xml:space="preserve">- Lane 1 - Rabu</t>
  </si>
  <si>
    <t xml:space="preserve"> - Lane 1 - Rabu - 08:15</t>
  </si>
  <si>
    <t xml:space="preserve">KLM|- Lane 1 - Rabu|08:15</t>
  </si>
  <si>
    <t xml:space="preserve">Baby - Lane 1 - Rabu - 09:00</t>
  </si>
  <si>
    <t xml:space="preserve">NUKY</t>
  </si>
  <si>
    <t xml:space="preserve">KLM|- Lane 1 - Rabu|09:00</t>
  </si>
  <si>
    <t xml:space="preserve"> - Lane 1 - Rabu - 09:45</t>
  </si>
  <si>
    <t xml:space="preserve">KLM|- Lane 1 - Rabu|09:45</t>
  </si>
  <si>
    <t xml:space="preserve"> - Lane 1 - Rabu - 10:30</t>
  </si>
  <si>
    <t xml:space="preserve">KLM|- Lane 1 - Rabu|10:30</t>
  </si>
  <si>
    <t xml:space="preserve">Baby - Lane 1 - Rabu - 11:15</t>
  </si>
  <si>
    <t xml:space="preserve">KLM|- Lane 1 - Rabu|11:15</t>
  </si>
  <si>
    <t xml:space="preserve"> - Lane 1 - Rabu - 12:00</t>
  </si>
  <si>
    <t xml:space="preserve">KLM|- Lane 1 - Rabu|12:00</t>
  </si>
  <si>
    <t xml:space="preserve">Baby - Lane 1 - Rabu - 13:30</t>
  </si>
  <si>
    <t xml:space="preserve">KLM|- Lane 1 - Rabu|13:30</t>
  </si>
  <si>
    <t xml:space="preserve"> - Lane 1 - Rabu - 14:15</t>
  </si>
  <si>
    <t xml:space="preserve">KLM|- Lane 1 - Rabu|14:15</t>
  </si>
  <si>
    <t xml:space="preserve">Baby - Lane 1 - Rabu - 15:00</t>
  </si>
  <si>
    <t xml:space="preserve">KLM|- Lane 1 - Rabu|15:00</t>
  </si>
  <si>
    <t xml:space="preserve">Little - Lane 1 - Rabu - 15:45</t>
  </si>
  <si>
    <t xml:space="preserve">KLM|- Lane 1 - Rabu|15:45</t>
  </si>
  <si>
    <t xml:space="preserve"> - Lane 1 - Rabu - 16:30</t>
  </si>
  <si>
    <t xml:space="preserve">KLM|- Lane 1 - Rabu|16:30</t>
  </si>
  <si>
    <t xml:space="preserve"> - Lane 1 - Rabu - 17:15</t>
  </si>
  <si>
    <t xml:space="preserve">KLM|- Lane 1 - Rabu|17:15</t>
  </si>
  <si>
    <t xml:space="preserve">- Lane 1 - Kamis</t>
  </si>
  <si>
    <t xml:space="preserve"> - Lane 1 - Kamis - 08:15</t>
  </si>
  <si>
    <t xml:space="preserve">KLM|- Lane 1 - Kamis|08:15</t>
  </si>
  <si>
    <t xml:space="preserve"> - Lane 1 - Kamis - 09:00</t>
  </si>
  <si>
    <t xml:space="preserve">KLM|- Lane 1 - Kamis|09:00</t>
  </si>
  <si>
    <t xml:space="preserve"> - Lane 1 - Kamis - 09:45</t>
  </si>
  <si>
    <t xml:space="preserve">KLM|- Lane 1 - Kamis|09:45</t>
  </si>
  <si>
    <t xml:space="preserve"> - Lane 1 - Kamis - 10:30</t>
  </si>
  <si>
    <t xml:space="preserve">KLM|- Lane 1 - Kamis|10:30</t>
  </si>
  <si>
    <t xml:space="preserve"> - Lane 1 - Kamis - 11:15</t>
  </si>
  <si>
    <t xml:space="preserve">KLM|- Lane 1 - Kamis|11:15</t>
  </si>
  <si>
    <t xml:space="preserve"> - Lane 1 - Kamis - 12:00</t>
  </si>
  <si>
    <t xml:space="preserve">KLM|- Lane 1 - Kamis|12:00</t>
  </si>
  <si>
    <t xml:space="preserve"> - Lane 1 - Kamis - 13:30</t>
  </si>
  <si>
    <t xml:space="preserve">KLM|- Lane 1 - Kamis|13:30</t>
  </si>
  <si>
    <t xml:space="preserve">Kids - Lane 1 - Kamis - 14:15</t>
  </si>
  <si>
    <t xml:space="preserve">KLM|- Lane 1 - Kamis|14:15</t>
  </si>
  <si>
    <t xml:space="preserve">Baby - Lane 1 - Kamis - 15:00</t>
  </si>
  <si>
    <t xml:space="preserve">KLM|- Lane 1 - Kamis|15:00</t>
  </si>
  <si>
    <t xml:space="preserve">Kids - Lane 1 - Kamis - 15:45</t>
  </si>
  <si>
    <t xml:space="preserve">DAFFA</t>
  </si>
  <si>
    <t xml:space="preserve">KLM|- Lane 1 - Kamis|15:45</t>
  </si>
  <si>
    <t xml:space="preserve">Kids - Lane 1 - Kamis - 16:30</t>
  </si>
  <si>
    <t xml:space="preserve">KLM|- Lane 1 - Kamis|16:30</t>
  </si>
  <si>
    <t xml:space="preserve"> - Lane 1 - Kamis - 17:15</t>
  </si>
  <si>
    <t xml:space="preserve">KLM|- Lane 1 - Kamis|17:15</t>
  </si>
  <si>
    <t xml:space="preserve">- Lane 1 - Jumat</t>
  </si>
  <si>
    <t xml:space="preserve"> - Lane 1 - Jumat - 08:15</t>
  </si>
  <si>
    <t xml:space="preserve">KLM|- Lane 1 - Jumat|08:15</t>
  </si>
  <si>
    <t xml:space="preserve">Baby - Lane 1 - Jumat - 09:00</t>
  </si>
  <si>
    <t xml:space="preserve">SURYA</t>
  </si>
  <si>
    <t xml:space="preserve">KLM|- Lane 1 - Jumat|09:00</t>
  </si>
  <si>
    <t xml:space="preserve"> - Lane 1 - Jumat - 09:45</t>
  </si>
  <si>
    <t xml:space="preserve">KLM|- Lane 1 - Jumat|09:45</t>
  </si>
  <si>
    <t xml:space="preserve"> - Lane 1 - Jumat - 10:30</t>
  </si>
  <si>
    <t xml:space="preserve">KLM|- Lane 1 - Jumat|10:30</t>
  </si>
  <si>
    <t xml:space="preserve"> - Lane 1 - Jumat - 11:15</t>
  </si>
  <si>
    <t xml:space="preserve">KLM|- Lane 1 - Jumat|11:15</t>
  </si>
  <si>
    <t xml:space="preserve"> - Lane 1 - Jumat - 12:00</t>
  </si>
  <si>
    <t xml:space="preserve">KLM|- Lane 1 - Jumat|12:00</t>
  </si>
  <si>
    <t xml:space="preserve"> - Lane 1 - Jumat - 13:30</t>
  </si>
  <si>
    <t xml:space="preserve">KLM|- Lane 1 - Jumat|13:30</t>
  </si>
  <si>
    <t xml:space="preserve">Kids - Lane 1 - Jumat - 14:15</t>
  </si>
  <si>
    <t xml:space="preserve">KLM|- Lane 1 - Jumat|14:15</t>
  </si>
  <si>
    <t xml:space="preserve">Little - Lane 1 - Jumat - 15:00</t>
  </si>
  <si>
    <t xml:space="preserve">DIAN</t>
  </si>
  <si>
    <t xml:space="preserve">KLM|- Lane 1 - Jumat|15:00</t>
  </si>
  <si>
    <t xml:space="preserve">Kids - Lane 1 - Jumat - 15:45</t>
  </si>
  <si>
    <t xml:space="preserve">KLM|- Lane 1 - Jumat|15:45</t>
  </si>
  <si>
    <t xml:space="preserve">Little - Lane 1 - Jumat - 16:30</t>
  </si>
  <si>
    <t xml:space="preserve">KLM|- Lane 1 - Jumat|16:30</t>
  </si>
  <si>
    <t xml:space="preserve">Baby - Lane 1 - Jumat - 17:15</t>
  </si>
  <si>
    <t xml:space="preserve">KLM|- Lane 1 - Jumat|17:15</t>
  </si>
  <si>
    <t xml:space="preserve">- Lane 1 - Sabtu</t>
  </si>
  <si>
    <t xml:space="preserve"> - Lane 1 - Sabtu - 08:15</t>
  </si>
  <si>
    <t xml:space="preserve">KLM|- Lane 1 - Sabtu|08:15</t>
  </si>
  <si>
    <t xml:space="preserve">Baby - Lane 1 - Sabtu - 09:00</t>
  </si>
  <si>
    <t xml:space="preserve">EKA</t>
  </si>
  <si>
    <t xml:space="preserve">KLM|- Lane 1 - Sabtu|09:00</t>
  </si>
  <si>
    <t xml:space="preserve">Baby - Lane 1 - Sabtu - 09:45</t>
  </si>
  <si>
    <t xml:space="preserve">KLM|- Lane 1 - Sabtu|09:45</t>
  </si>
  <si>
    <t xml:space="preserve">Baby - Lane 1 - Sabtu - 10:30</t>
  </si>
  <si>
    <t xml:space="preserve">KLM|- Lane 1 - Sabtu|10:30</t>
  </si>
  <si>
    <t xml:space="preserve">Little - Lane 1 - Sabtu - 11:15</t>
  </si>
  <si>
    <t xml:space="preserve">KLM|- Lane 1 - Sabtu|11:15</t>
  </si>
  <si>
    <t xml:space="preserve">Little - Lane 1 - Sabtu - 12:00</t>
  </si>
  <si>
    <t xml:space="preserve">KLM|- Lane 1 - Sabtu|12:00</t>
  </si>
  <si>
    <t xml:space="preserve">Baby - Lane 1 - Sabtu - 13:30</t>
  </si>
  <si>
    <t xml:space="preserve">KLM|- Lane 1 - Sabtu|13:30</t>
  </si>
  <si>
    <t xml:space="preserve">Kids - Lane 1 - Sabtu - 14:15</t>
  </si>
  <si>
    <t xml:space="preserve">KLM|- Lane 1 - Sabtu|14:15</t>
  </si>
  <si>
    <t xml:space="preserve">Baby - Lane 1 - Sabtu - 15:00</t>
  </si>
  <si>
    <t xml:space="preserve">KLM|- Lane 1 - Sabtu|15:00</t>
  </si>
  <si>
    <t xml:space="preserve">Little - Lane 1 - Sabtu - 15:45</t>
  </si>
  <si>
    <t xml:space="preserve">KLM|- Lane 1 - Sabtu|15:45</t>
  </si>
  <si>
    <t xml:space="preserve">Baby - Lane 1 - Sabtu - 16:30</t>
  </si>
  <si>
    <t xml:space="preserve">KLM|- Lane 1 - Sabtu|16:30</t>
  </si>
  <si>
    <t xml:space="preserve"> - Lane 1 - Sabtu - 17:15</t>
  </si>
  <si>
    <t xml:space="preserve">KLM|- Lane 1 - Sabtu|17:15</t>
  </si>
  <si>
    <t xml:space="preserve">- Lane 1 - Minggu</t>
  </si>
  <si>
    <t xml:space="preserve"> - Lane 1 - Minggu - 08:15</t>
  </si>
  <si>
    <t xml:space="preserve">KLM|- Lane 1 - Minggu|08:15</t>
  </si>
  <si>
    <t xml:space="preserve">Baby - Lane 1 - Minggu - 09:00</t>
  </si>
  <si>
    <t xml:space="preserve">KLM|- Lane 1 - Minggu|09:00</t>
  </si>
  <si>
    <t xml:space="preserve">Baby - Lane 1 - Minggu - 09:45</t>
  </si>
  <si>
    <t xml:space="preserve">KLM|- Lane 1 - Minggu|09:45</t>
  </si>
  <si>
    <t xml:space="preserve">Baby - Lane 1 - Minggu - 10:30</t>
  </si>
  <si>
    <t xml:space="preserve">KLM|- Lane 1 - Minggu|10:30</t>
  </si>
  <si>
    <t xml:space="preserve">Little - Lane 1 - Minggu - 11:15</t>
  </si>
  <si>
    <t xml:space="preserve">KLM|- Lane 1 - Minggu|11:15</t>
  </si>
  <si>
    <t xml:space="preserve"> - Lane 1 - Minggu - 12:00</t>
  </si>
  <si>
    <t xml:space="preserve">KLM|- Lane 1 - Minggu|12:00</t>
  </si>
  <si>
    <t xml:space="preserve">Baby - Lane 1 - Minggu - 13:30</t>
  </si>
  <si>
    <t xml:space="preserve">KLM|- Lane 1 - Minggu|13:30</t>
  </si>
  <si>
    <t xml:space="preserve">Kids - Lane 1 - Minggu - 14:15</t>
  </si>
  <si>
    <t xml:space="preserve">KLM|- Lane 1 - Minggu|14:15</t>
  </si>
  <si>
    <t xml:space="preserve">Baby - Lane 1 - Minggu - 15:00</t>
  </si>
  <si>
    <t xml:space="preserve">KLM|- Lane 1 - Minggu|15:00</t>
  </si>
  <si>
    <t xml:space="preserve">Kids - Lane 1 - Minggu - 15:45</t>
  </si>
  <si>
    <t xml:space="preserve">KLM|- Lane 1 - Minggu|15:45</t>
  </si>
  <si>
    <t xml:space="preserve">Little - Lane 1 - Minggu - 16:30</t>
  </si>
  <si>
    <t xml:space="preserve">KLM|- Lane 1 - Minggu|16:30</t>
  </si>
  <si>
    <t xml:space="preserve"> - Lane 1 - Minggu - 17:15</t>
  </si>
  <si>
    <t xml:space="preserve">KLM|- Lane 1 - Minggu|17:15</t>
  </si>
  <si>
    <t xml:space="preserve">Star</t>
  </si>
  <si>
    <t xml:space="preserve">7:30</t>
  </si>
  <si>
    <t xml:space="preserve">Star - Lane 1 - Senin - 07:30</t>
  </si>
  <si>
    <t xml:space="preserve">Sesi Star</t>
  </si>
  <si>
    <t xml:space="preserve">KLM|- Lane 1 - Senin|07:30</t>
  </si>
  <si>
    <t xml:space="preserve">Star - Lane 1 - Selasa - 07:30</t>
  </si>
  <si>
    <t xml:space="preserve">KLM|- Lane 1 - Selasa|07:30</t>
  </si>
  <si>
    <t xml:space="preserve">Star - Lane 1 - Rabu - 07:30</t>
  </si>
  <si>
    <t xml:space="preserve">KLM|- Lane 1 - Rabu|07:30</t>
  </si>
  <si>
    <t xml:space="preserve">Star - Lane 1 - Kamis - 07:30</t>
  </si>
  <si>
    <t xml:space="preserve">KLM|- Lane 1 - Kamis|07:30</t>
  </si>
  <si>
    <t xml:space="preserve">Star - Lane 1 - Jumat - 07:30</t>
  </si>
  <si>
    <t xml:space="preserve">KLM|- Lane 1 - Jumat|07:30</t>
  </si>
  <si>
    <t xml:space="preserve">Star - Lane 1 - Sabtu - 07:30</t>
  </si>
  <si>
    <t xml:space="preserve">KLM|- Lane 1 - Sabtu|07:30</t>
  </si>
  <si>
    <t xml:space="preserve">Star - Lane 1 - Minggu - 07:30</t>
  </si>
  <si>
    <t xml:space="preserve">KLM|- Lane 1 - Minggu|07:30</t>
  </si>
  <si>
    <t xml:space="preserve">Star - Lane 1 - Senin - 18:00</t>
  </si>
  <si>
    <t xml:space="preserve">KLM|- Lane 1 - Senin|18:00</t>
  </si>
  <si>
    <t xml:space="preserve">Star - Lane 1 - Selasa - 18:00</t>
  </si>
  <si>
    <t xml:space="preserve">KLM|- Lane 1 - Selasa|18:00</t>
  </si>
  <si>
    <t xml:space="preserve">Star - Lane 1 - Rabu - 18:00</t>
  </si>
  <si>
    <t xml:space="preserve">KLM|- Lane 1 - Rabu|18:00</t>
  </si>
  <si>
    <t xml:space="preserve">Star - Lane 1 - Kamis - 18:00</t>
  </si>
  <si>
    <t xml:space="preserve">KLM|- Lane 1 - Kamis|18:00</t>
  </si>
  <si>
    <t xml:space="preserve">Star - Lane 1 - Jumat - 18:00</t>
  </si>
  <si>
    <t xml:space="preserve">KLM|- Lane 1 - Jumat|18:00</t>
  </si>
  <si>
    <t xml:space="preserve">Star - Lane 1 - Sabtu - 18:00</t>
  </si>
  <si>
    <t xml:space="preserve">KLM|- Lane 1 - Sabtu|18:00</t>
  </si>
  <si>
    <t xml:space="preserve">Star - Lane 1 - Minggu - 18:00</t>
  </si>
  <si>
    <t xml:space="preserve">KLM|- Lane 1 - Minggu|18:00</t>
  </si>
  <si>
    <t xml:space="preserve">- Lane 2 - Senin</t>
  </si>
  <si>
    <t xml:space="preserve">Tiny - Lane 2 - Senin - 08:15</t>
  </si>
  <si>
    <t xml:space="preserve">KLM|- Lane 2 - Senin|08:15</t>
  </si>
  <si>
    <t xml:space="preserve">Tiny - Lane 2 - Senin - 09:00</t>
  </si>
  <si>
    <t xml:space="preserve">KLM|- Lane 2 - Senin|09:00</t>
  </si>
  <si>
    <t xml:space="preserve">Tiny - Lane 2 - Senin - 09:45</t>
  </si>
  <si>
    <t xml:space="preserve">KLM|- Lane 2 - Senin|09:45</t>
  </si>
  <si>
    <t xml:space="preserve">Tiny - Lane 2 - Senin - 10:30</t>
  </si>
  <si>
    <t xml:space="preserve">KLM|- Lane 2 - Senin|10:30</t>
  </si>
  <si>
    <t xml:space="preserve">Tiny - Lane 2 - Senin - 11:15</t>
  </si>
  <si>
    <t xml:space="preserve">KLM|- Lane 2 - Senin|11:15</t>
  </si>
  <si>
    <t xml:space="preserve">Tiny - Lane 2 - Senin - 12:00</t>
  </si>
  <si>
    <t xml:space="preserve">KLM|- Lane 2 - Senin|12:00</t>
  </si>
  <si>
    <t xml:space="preserve">Tiny - Lane 2 - Senin - 13:30</t>
  </si>
  <si>
    <t xml:space="preserve">KLM|- Lane 2 - Senin|13:30</t>
  </si>
  <si>
    <t xml:space="preserve">Tiny - Lane 2 - Senin - 14:15</t>
  </si>
  <si>
    <t xml:space="preserve">KLM|- Lane 2 - Senin|14:15</t>
  </si>
  <si>
    <t xml:space="preserve">Tiny - Lane 2 - Senin - 15:00</t>
  </si>
  <si>
    <t xml:space="preserve">KLM|- Lane 2 - Senin|15:00</t>
  </si>
  <si>
    <t xml:space="preserve">Tiny - Lane 2 - Senin - 15:45</t>
  </si>
  <si>
    <t xml:space="preserve">KLM|- Lane 2 - Senin|15:45</t>
  </si>
  <si>
    <t xml:space="preserve">Tiny - Lane 2 - Senin - 16:30</t>
  </si>
  <si>
    <t xml:space="preserve">KLM|- Lane 2 - Senin|16:30</t>
  </si>
  <si>
    <t xml:space="preserve">Tiny - Lane 2 - Senin - 17:15</t>
  </si>
  <si>
    <t xml:space="preserve">KLM|- Lane 2 - Senin|17:15</t>
  </si>
  <si>
    <t xml:space="preserve">- Lane 2 - Selasa</t>
  </si>
  <si>
    <t xml:space="preserve">Tiny - Lane 2 - Selasa - 08:15</t>
  </si>
  <si>
    <t xml:space="preserve">KLM|- Lane 2 - Selasa|08:15</t>
  </si>
  <si>
    <t xml:space="preserve">Tiny - Lane 2 - Selasa - 09:00</t>
  </si>
  <si>
    <t xml:space="preserve">KLM|- Lane 2 - Selasa|09:00</t>
  </si>
  <si>
    <t xml:space="preserve">Tiny - Lane 2 - Selasa - 09:45</t>
  </si>
  <si>
    <t xml:space="preserve">KLM|- Lane 2 - Selasa|09:45</t>
  </si>
  <si>
    <t xml:space="preserve">Tiny - Lane 2 - Selasa - 10:30</t>
  </si>
  <si>
    <t xml:space="preserve">KLM|- Lane 2 - Selasa|10:30</t>
  </si>
  <si>
    <t xml:space="preserve">Tiny - Lane 2 - Selasa - 11:15</t>
  </si>
  <si>
    <t xml:space="preserve">KLM|- Lane 2 - Selasa|11:15</t>
  </si>
  <si>
    <t xml:space="preserve">Tiny - Lane 2 - Selasa - 12:00</t>
  </si>
  <si>
    <t xml:space="preserve">KLM|- Lane 2 - Selasa|12:00</t>
  </si>
  <si>
    <t xml:space="preserve">Tiny - Lane 2 - Selasa - 13:30</t>
  </si>
  <si>
    <t xml:space="preserve">KLM|- Lane 2 - Selasa|13:30</t>
  </si>
  <si>
    <t xml:space="preserve">Tiny - Lane 2 - Selasa - 14:15</t>
  </si>
  <si>
    <t xml:space="preserve">KLM|- Lane 2 - Selasa|14:15</t>
  </si>
  <si>
    <t xml:space="preserve">Tiny - Lane 2 - Selasa - 15:00</t>
  </si>
  <si>
    <t xml:space="preserve">KLM|- Lane 2 - Selasa|15:00</t>
  </si>
  <si>
    <t xml:space="preserve">Kids - Lane 2 - Selasa - 15:45</t>
  </si>
  <si>
    <t xml:space="preserve">KLM|- Lane 2 - Selasa|15:45</t>
  </si>
  <si>
    <t xml:space="preserve">Tiny - Lane 2 - Selasa - 16:30</t>
  </si>
  <si>
    <t xml:space="preserve">KLM|- Lane 2 - Selasa|16:30</t>
  </si>
  <si>
    <t xml:space="preserve">Tiny - Lane 2 - Selasa - 17:15</t>
  </si>
  <si>
    <t xml:space="preserve">KLM|- Lane 2 - Selasa|17:15</t>
  </si>
  <si>
    <t xml:space="preserve">- Lane 2 - Rabu</t>
  </si>
  <si>
    <t xml:space="preserve">Tiny - Lane 2 - Rabu - 08:15</t>
  </si>
  <si>
    <t xml:space="preserve">KLM|- Lane 2 - Rabu|08:15</t>
  </si>
  <si>
    <t xml:space="preserve">Tiny - Lane 2 - Rabu - 09:00</t>
  </si>
  <si>
    <t xml:space="preserve">KLM|- Lane 2 - Rabu|09:00</t>
  </si>
  <si>
    <t xml:space="preserve">Tiny - Lane 2 - Rabu - 09:45</t>
  </si>
  <si>
    <t xml:space="preserve">KLM|- Lane 2 - Rabu|09:45</t>
  </si>
  <si>
    <t xml:space="preserve">Tiny - Lane 2 - Rabu - 10:30</t>
  </si>
  <si>
    <t xml:space="preserve">KLM|- Lane 2 - Rabu|10:30</t>
  </si>
  <si>
    <t xml:space="preserve">Tiny - Lane 2 - Rabu - 11:15</t>
  </si>
  <si>
    <t xml:space="preserve">KLM|- Lane 2 - Rabu|11:15</t>
  </si>
  <si>
    <t xml:space="preserve">Tiny - Lane 2 - Rabu - 12:00</t>
  </si>
  <si>
    <t xml:space="preserve">KLM|- Lane 2 - Rabu|12:00</t>
  </si>
  <si>
    <t xml:space="preserve">Tiny - Lane 2 - Rabu - 13:30</t>
  </si>
  <si>
    <t xml:space="preserve">KLM|- Lane 2 - Rabu|13:30</t>
  </si>
  <si>
    <t xml:space="preserve">Tiny - Lane 2 - Rabu - 14:15</t>
  </si>
  <si>
    <t xml:space="preserve">KLM|- Lane 2 - Rabu|14:15</t>
  </si>
  <si>
    <t xml:space="preserve">Tiny - Lane 2 - Rabu - 15:00</t>
  </si>
  <si>
    <t xml:space="preserve">KLM|- Lane 2 - Rabu|15:00</t>
  </si>
  <si>
    <t xml:space="preserve">Tiny - Lane 2 - Rabu - 15:45</t>
  </si>
  <si>
    <t xml:space="preserve">KLM|- Lane 2 - Rabu|15:45</t>
  </si>
  <si>
    <t xml:space="preserve">Tiny - Lane 2 - Rabu - 16:30</t>
  </si>
  <si>
    <t xml:space="preserve">KLM|- Lane 2 - Rabu|16:30</t>
  </si>
  <si>
    <t xml:space="preserve">Tiny - Lane 2 - Rabu - 17:15</t>
  </si>
  <si>
    <t xml:space="preserve">KLM|- Lane 2 - Rabu|17:15</t>
  </si>
  <si>
    <t xml:space="preserve">- Lane 2 - Kamis</t>
  </si>
  <si>
    <t xml:space="preserve">Tiny - Lane 2 - Kamis - 08:15</t>
  </si>
  <si>
    <t xml:space="preserve">KLM|- Lane 2 - Kamis|08:15</t>
  </si>
  <si>
    <t xml:space="preserve">Tiny - Lane 2 - Kamis - 09:00</t>
  </si>
  <si>
    <t xml:space="preserve">KLM|- Lane 2 - Kamis|09:00</t>
  </si>
  <si>
    <t xml:space="preserve">Tiny - Lane 2 - Kamis - 09:45</t>
  </si>
  <si>
    <t xml:space="preserve">KLM|- Lane 2 - Kamis|09:45</t>
  </si>
  <si>
    <t xml:space="preserve">Tiny - Lane 2 - Kamis - 10:30</t>
  </si>
  <si>
    <t xml:space="preserve">KLM|- Lane 2 - Kamis|10:30</t>
  </si>
  <si>
    <t xml:space="preserve">Tiny - Lane 2 - Kamis - 11:15</t>
  </si>
  <si>
    <t xml:space="preserve">KLM|- Lane 2 - Kamis|11:15</t>
  </si>
  <si>
    <t xml:space="preserve">Tiny - Lane 2 - Kamis - 12:00</t>
  </si>
  <si>
    <t xml:space="preserve">KLM|- Lane 2 - Kamis|12:00</t>
  </si>
  <si>
    <t xml:space="preserve">Tiny - Lane 2 - Kamis - 13:30</t>
  </si>
  <si>
    <t xml:space="preserve">KLM|- Lane 2 - Kamis|13:30</t>
  </si>
  <si>
    <t xml:space="preserve">Tiny - Lane 2 - Kamis - 14:15</t>
  </si>
  <si>
    <t xml:space="preserve">KLM|- Lane 2 - Kamis|14:15</t>
  </si>
  <si>
    <t xml:space="preserve">Tiny - Lane 2 - Kamis - 15:00</t>
  </si>
  <si>
    <t xml:space="preserve">KLM|- Lane 2 - Kamis|15:00</t>
  </si>
  <si>
    <t xml:space="preserve">Tiny - Lane 2 - Kamis - 15:45</t>
  </si>
  <si>
    <t xml:space="preserve">KLM|- Lane 2 - Kamis|15:45</t>
  </si>
  <si>
    <t xml:space="preserve">Tiny - Lane 2 - Kamis - 16:30</t>
  </si>
  <si>
    <t xml:space="preserve">KLM|- Lane 2 - Kamis|16:30</t>
  </si>
  <si>
    <t xml:space="preserve">Tiny - Lane 2 - Kamis - 17:15</t>
  </si>
  <si>
    <t xml:space="preserve">KLM|- Lane 2 - Kamis|17:15</t>
  </si>
  <si>
    <t xml:space="preserve">- Lane 2 - Jumat</t>
  </si>
  <si>
    <t xml:space="preserve">Tiny - Lane 2 - Jumat - 08:15</t>
  </si>
  <si>
    <t xml:space="preserve">KLM|- Lane 2 - Jumat|08:15</t>
  </si>
  <si>
    <t xml:space="preserve">Tiny - Lane 2 - Jumat - 09:00</t>
  </si>
  <si>
    <t xml:space="preserve">KLM|- Lane 2 - Jumat|09:00</t>
  </si>
  <si>
    <t xml:space="preserve">Tiny - Lane 2 - Jumat - 09:45</t>
  </si>
  <si>
    <t xml:space="preserve">KLM|- Lane 2 - Jumat|09:45</t>
  </si>
  <si>
    <t xml:space="preserve">Tiny - Lane 2 - Jumat - 10:30</t>
  </si>
  <si>
    <t xml:space="preserve">KLM|- Lane 2 - Jumat|10:30</t>
  </si>
  <si>
    <t xml:space="preserve">Tiny - Lane 2 - Jumat - 11:15</t>
  </si>
  <si>
    <t xml:space="preserve">KLM|- Lane 2 - Jumat|11:15</t>
  </si>
  <si>
    <t xml:space="preserve">Tiny - Lane 2 - Jumat - 12:00</t>
  </si>
  <si>
    <t xml:space="preserve">KLM|- Lane 2 - Jumat|12:00</t>
  </si>
  <si>
    <t xml:space="preserve">Tiny - Lane 2 - Jumat - 13:30</t>
  </si>
  <si>
    <t xml:space="preserve">KLM|- Lane 2 - Jumat|13:30</t>
  </si>
  <si>
    <t xml:space="preserve">Tiny - Lane 2 - Jumat - 14:15</t>
  </si>
  <si>
    <t xml:space="preserve">KLM|- Lane 2 - Jumat|14:15</t>
  </si>
  <si>
    <t xml:space="preserve">Tiny - Lane 2 - Jumat - 15:00</t>
  </si>
  <si>
    <t xml:space="preserve">KLM|- Lane 2 - Jumat|15:00</t>
  </si>
  <si>
    <t xml:space="preserve">Kids - Lane 2 - Jumat - 15:45</t>
  </si>
  <si>
    <t xml:space="preserve">KLM|- Lane 2 - Jumat|15:45</t>
  </si>
  <si>
    <t xml:space="preserve">Tiny - Lane 2 - Jumat - 16:30</t>
  </si>
  <si>
    <t xml:space="preserve">KLM|- Lane 2 - Jumat|16:30</t>
  </si>
  <si>
    <t xml:space="preserve">Tiny - Lane 2 - Jumat - 17:15</t>
  </si>
  <si>
    <t xml:space="preserve">KLM|- Lane 2 - Jumat|17:15</t>
  </si>
  <si>
    <t xml:space="preserve">- Lane 2 - Sabtu</t>
  </si>
  <si>
    <t xml:space="preserve">Tiny - Lane 2 - Sabtu - 08:15</t>
  </si>
  <si>
    <t xml:space="preserve">KLM|- Lane 2 - Sabtu|08:15</t>
  </si>
  <si>
    <t xml:space="preserve">Tiny - Lane 2 - Sabtu - 09:00</t>
  </si>
  <si>
    <t xml:space="preserve">KLM|- Lane 2 - Sabtu|09:00</t>
  </si>
  <si>
    <t xml:space="preserve">Tiny - Lane 2 - Sabtu - 09:45</t>
  </si>
  <si>
    <t xml:space="preserve">KLM|- Lane 2 - Sabtu|09:45</t>
  </si>
  <si>
    <t xml:space="preserve">Tiny - Lane 2 - Sabtu - 10:30</t>
  </si>
  <si>
    <t xml:space="preserve">KLM|- Lane 2 - Sabtu|10:30</t>
  </si>
  <si>
    <t xml:space="preserve">Tiny - Lane 2 - Sabtu - 11:15</t>
  </si>
  <si>
    <t xml:space="preserve">KLM|- Lane 2 - Sabtu|11:15</t>
  </si>
  <si>
    <t xml:space="preserve">KIDS</t>
  </si>
  <si>
    <t xml:space="preserve">KIDS - Lane 2 - Sabtu - 12:00</t>
  </si>
  <si>
    <t xml:space="preserve">KLM|- Lane 2 - Sabtu|12:00</t>
  </si>
  <si>
    <t xml:space="preserve">Tiny - Lane 2 - Sabtu - 13:30</t>
  </si>
  <si>
    <t xml:space="preserve">KLM|- Lane 2 - Sabtu|13:30</t>
  </si>
  <si>
    <t xml:space="preserve">Tiny - Lane 2 - Sabtu - 14:15</t>
  </si>
  <si>
    <t xml:space="preserve">KLM|- Lane 2 - Sabtu|14:15</t>
  </si>
  <si>
    <t xml:space="preserve">Tiny - Lane 2 - Sabtu - 15:00</t>
  </si>
  <si>
    <t xml:space="preserve">KLM|- Lane 2 - Sabtu|15:00</t>
  </si>
  <si>
    <t xml:space="preserve">Kids - Lane 2 - Sabtu - 15:45</t>
  </si>
  <si>
    <t xml:space="preserve">KLM|- Lane 2 - Sabtu|15:45</t>
  </si>
  <si>
    <t xml:space="preserve">Tiny - Lane 2 - Sabtu - 16:30</t>
  </si>
  <si>
    <t xml:space="preserve">KLM|- Lane 2 - Sabtu|16:30</t>
  </si>
  <si>
    <t xml:space="preserve">Tiny - Lane 2 - Sabtu - 17:15</t>
  </si>
  <si>
    <t xml:space="preserve">KLM|- Lane 2 - Sabtu|17:15</t>
  </si>
  <si>
    <t xml:space="preserve">- Lane 2 - Minggu</t>
  </si>
  <si>
    <t xml:space="preserve">Tiny - Lane 2 - Minggu - 08:15</t>
  </si>
  <si>
    <t xml:space="preserve">KLM|- Lane 2 - Minggu|08:15</t>
  </si>
  <si>
    <t xml:space="preserve">Tiny - Lane 2 - Minggu - 09:00</t>
  </si>
  <si>
    <t xml:space="preserve">KLM|- Lane 2 - Minggu|09:00</t>
  </si>
  <si>
    <t xml:space="preserve">Tiny - Lane 2 - Minggu - 09:45</t>
  </si>
  <si>
    <t xml:space="preserve">KLM|- Lane 2 - Minggu|09:45</t>
  </si>
  <si>
    <t xml:space="preserve">Tiny - Lane 2 - Minggu - 10:30</t>
  </si>
  <si>
    <t xml:space="preserve">KLM|- Lane 2 - Minggu|10:30</t>
  </si>
  <si>
    <t xml:space="preserve">Tiny - Lane 2 - Minggu - 11:15</t>
  </si>
  <si>
    <t xml:space="preserve">KLM|- Lane 2 - Minggu|11:15</t>
  </si>
  <si>
    <t xml:space="preserve">Tiny - Lane 2 - Minggu - 12:00</t>
  </si>
  <si>
    <t xml:space="preserve">KLM|- Lane 2 - Minggu|12:00</t>
  </si>
  <si>
    <t xml:space="preserve">Tiny - Lane 2 - Minggu - 13:30</t>
  </si>
  <si>
    <t xml:space="preserve">KLM|- Lane 2 - Minggu|13:30</t>
  </si>
  <si>
    <t xml:space="preserve">Kids - Lane 2 - Minggu - 14:15</t>
  </si>
  <si>
    <t xml:space="preserve">KLM|- Lane 2 - Minggu|14:15</t>
  </si>
  <si>
    <t xml:space="preserve">Tiny - Lane 2 - Minggu - 15:00</t>
  </si>
  <si>
    <t xml:space="preserve">KLM|- Lane 2 - Minggu|15:00</t>
  </si>
  <si>
    <t xml:space="preserve">Tiny - Lane 2 - Minggu - 15:45</t>
  </si>
  <si>
    <t xml:space="preserve">KLM|- Lane 2 - Minggu|15:45</t>
  </si>
  <si>
    <t xml:space="preserve">Tiny - Lane 2 - Minggu - 16:30</t>
  </si>
  <si>
    <t xml:space="preserve">KLM|- Lane 2 - Minggu|16:30</t>
  </si>
  <si>
    <t xml:space="preserve">Tiny - Lane 2 - Minggu - 17:15</t>
  </si>
  <si>
    <t xml:space="preserve">KLM|- Lane 2 - Minggu|17:15</t>
  </si>
  <si>
    <t xml:space="preserve">- Lane 3 - Senin</t>
  </si>
  <si>
    <t xml:space="preserve">8:00</t>
  </si>
  <si>
    <t xml:space="preserve">Little - Lane 3 - Senin - 08:00</t>
  </si>
  <si>
    <t xml:space="preserve">KLM|- Lane 3 - Senin|08:00</t>
  </si>
  <si>
    <t xml:space="preserve">8:45</t>
  </si>
  <si>
    <t xml:space="preserve">Little - Lane 3 - Senin - 08:45</t>
  </si>
  <si>
    <t xml:space="preserve">KLM|- Lane 3 - Senin|08:45</t>
  </si>
  <si>
    <t xml:space="preserve">9:30</t>
  </si>
  <si>
    <t xml:space="preserve">Little - Lane 3 - Senin - 09:30</t>
  </si>
  <si>
    <t xml:space="preserve">KLM|- Lane 3 - Senin|09:30</t>
  </si>
  <si>
    <t xml:space="preserve">Little - Lane 3 - Senin - 10:15</t>
  </si>
  <si>
    <t xml:space="preserve">KLM|- Lane 3 - Senin|10:15</t>
  </si>
  <si>
    <t xml:space="preserve">Little - Lane 3 - Senin - 11:00</t>
  </si>
  <si>
    <t xml:space="preserve">KLM|- Lane 3 - Senin|11:00</t>
  </si>
  <si>
    <t xml:space="preserve">Little - Lane 3 - Senin - 11:45</t>
  </si>
  <si>
    <t xml:space="preserve">KLM|- Lane 3 - Senin|11:45</t>
  </si>
  <si>
    <t xml:space="preserve">Little - Lane 3 - Senin - 13:15</t>
  </si>
  <si>
    <t xml:space="preserve">KLM|- Lane 3 - Senin|13:15</t>
  </si>
  <si>
    <t xml:space="preserve">Little - Lane 3 - Senin - 14:00</t>
  </si>
  <si>
    <t xml:space="preserve">KLM|- Lane 3 - Senin|14:00</t>
  </si>
  <si>
    <t xml:space="preserve">Little - Lane 3 - Senin - 14:45</t>
  </si>
  <si>
    <t xml:space="preserve">KLM|- Lane 3 - Senin|14:45</t>
  </si>
  <si>
    <t xml:space="preserve">Little - Lane 3 - Senin - 15:30</t>
  </si>
  <si>
    <t xml:space="preserve">KLM|- Lane 3 - Senin|15:30</t>
  </si>
  <si>
    <t xml:space="preserve">Little - Lane 3 - Senin - 16:15</t>
  </si>
  <si>
    <t xml:space="preserve">KLM|- Lane 3 - Senin|16:15</t>
  </si>
  <si>
    <t xml:space="preserve">Little - Lane 3 - Senin - 17:00</t>
  </si>
  <si>
    <t xml:space="preserve">KLM|- Lane 3 - Senin|17:00</t>
  </si>
  <si>
    <t xml:space="preserve">- Lane 3 - Selasa</t>
  </si>
  <si>
    <t xml:space="preserve">Little - Lane 3 - Selasa - 08:00</t>
  </si>
  <si>
    <t xml:space="preserve">KLM|- Lane 3 - Selasa|08:00</t>
  </si>
  <si>
    <t xml:space="preserve">Little - Lane 3 - Selasa - 08:45</t>
  </si>
  <si>
    <t xml:space="preserve">KLM|- Lane 3 - Selasa|08:45</t>
  </si>
  <si>
    <t xml:space="preserve">Little - Lane 3 - Selasa - 09:30</t>
  </si>
  <si>
    <t xml:space="preserve">KLM|- Lane 3 - Selasa|09:30</t>
  </si>
  <si>
    <t xml:space="preserve">Little - Lane 3 - Selasa - 10:15</t>
  </si>
  <si>
    <t xml:space="preserve">KLM|- Lane 3 - Selasa|10:15</t>
  </si>
  <si>
    <t xml:space="preserve">Little - Lane 3 - Selasa - 11:00</t>
  </si>
  <si>
    <t xml:space="preserve">KLM|- Lane 3 - Selasa|11:00</t>
  </si>
  <si>
    <t xml:space="preserve">Little - Lane 3 - Selasa - 11:45</t>
  </si>
  <si>
    <t xml:space="preserve">KLM|- Lane 3 - Selasa|11:45</t>
  </si>
  <si>
    <t xml:space="preserve">Little - Lane 3 - Selasa - 13:15</t>
  </si>
  <si>
    <t xml:space="preserve">KLM|- Lane 3 - Selasa|13:15</t>
  </si>
  <si>
    <t xml:space="preserve">Little - Lane 3 - Selasa - 14:00</t>
  </si>
  <si>
    <t xml:space="preserve">KLM|- Lane 3 - Selasa|14:00</t>
  </si>
  <si>
    <t xml:space="preserve">Little - Lane 3 - Selasa - 14:45</t>
  </si>
  <si>
    <t xml:space="preserve">KLM|- Lane 3 - Selasa|14:45</t>
  </si>
  <si>
    <t xml:space="preserve">Little - Lane 3 - Selasa - 15:30</t>
  </si>
  <si>
    <t xml:space="preserve">KLM|- Lane 3 - Selasa|15:30</t>
  </si>
  <si>
    <t xml:space="preserve">Little - Lane 3 - Selasa - 16:15</t>
  </si>
  <si>
    <t xml:space="preserve">KLM|- Lane 3 - Selasa|16:15</t>
  </si>
  <si>
    <t xml:space="preserve">Little - Lane 3 - Selasa - 17:00</t>
  </si>
  <si>
    <t xml:space="preserve">KLM|- Lane 3 - Selasa|17:00</t>
  </si>
  <si>
    <t xml:space="preserve">- Lane 3 - Rabu</t>
  </si>
  <si>
    <t xml:space="preserve">Little - Lane 3 - Rabu - 08:00</t>
  </si>
  <si>
    <t xml:space="preserve">KLM|- Lane 3 - Rabu|08:00</t>
  </si>
  <si>
    <t xml:space="preserve">Little - Lane 3 - Rabu - 08:45</t>
  </si>
  <si>
    <t xml:space="preserve">KLM|- Lane 3 - Rabu|08:45</t>
  </si>
  <si>
    <t xml:space="preserve">Little - Lane 3 - Rabu - 09:30</t>
  </si>
  <si>
    <t xml:space="preserve">KLM|- Lane 3 - Rabu|09:30</t>
  </si>
  <si>
    <t xml:space="preserve">Little - Lane 3 - Rabu - 10:15</t>
  </si>
  <si>
    <t xml:space="preserve">KLM|- Lane 3 - Rabu|10:15</t>
  </si>
  <si>
    <t xml:space="preserve">Little - Lane 3 - Rabu - 11:00</t>
  </si>
  <si>
    <t xml:space="preserve">KLM|- Lane 3 - Rabu|11:00</t>
  </si>
  <si>
    <t xml:space="preserve">Little - Lane 3 - Rabu - 11:45</t>
  </si>
  <si>
    <t xml:space="preserve">KLM|- Lane 3 - Rabu|11:45</t>
  </si>
  <si>
    <t xml:space="preserve">Little - Lane 3 - Rabu - 13:15</t>
  </si>
  <si>
    <t xml:space="preserve">KLM|- Lane 3 - Rabu|13:15</t>
  </si>
  <si>
    <t xml:space="preserve">Little - Lane 3 - Rabu - 14:00</t>
  </si>
  <si>
    <t xml:space="preserve">KLM|- Lane 3 - Rabu|14:00</t>
  </si>
  <si>
    <t xml:space="preserve">Little - Lane 3 - Rabu - 14:45</t>
  </si>
  <si>
    <t xml:space="preserve">KLM|- Lane 3 - Rabu|14:45</t>
  </si>
  <si>
    <t xml:space="preserve">Little - Lane 3 - Rabu - 15:30</t>
  </si>
  <si>
    <t xml:space="preserve">KLM|- Lane 3 - Rabu|15:30</t>
  </si>
  <si>
    <t xml:space="preserve">Little - Lane 3 - Rabu - 16:15</t>
  </si>
  <si>
    <t xml:space="preserve">KLM|- Lane 3 - Rabu|16:15</t>
  </si>
  <si>
    <t xml:space="preserve">Little - Lane 3 - Rabu - 17:00</t>
  </si>
  <si>
    <t xml:space="preserve">KLM|- Lane 3 - Rabu|17:00</t>
  </si>
  <si>
    <t xml:space="preserve">- Lane 3 - Kamis</t>
  </si>
  <si>
    <t xml:space="preserve">Little - Lane 3 - Kamis - 08:00</t>
  </si>
  <si>
    <t xml:space="preserve">KLM|- Lane 3 - Kamis|08:00</t>
  </si>
  <si>
    <t xml:space="preserve">Little - Lane 3 - Kamis - 08:45</t>
  </si>
  <si>
    <t xml:space="preserve">KLM|- Lane 3 - Kamis|08:45</t>
  </si>
  <si>
    <t xml:space="preserve">Little - Lane 3 - Kamis - 09:30</t>
  </si>
  <si>
    <t xml:space="preserve">KLM|- Lane 3 - Kamis|09:30</t>
  </si>
  <si>
    <t xml:space="preserve">Little - Lane 3 - Kamis - 10:15</t>
  </si>
  <si>
    <t xml:space="preserve">KLM|- Lane 3 - Kamis|10:15</t>
  </si>
  <si>
    <t xml:space="preserve">Little - Lane 3 - Kamis - 11:00</t>
  </si>
  <si>
    <t xml:space="preserve">KLM|- Lane 3 - Kamis|11:00</t>
  </si>
  <si>
    <t xml:space="preserve">Little - Lane 3 - Kamis - 11:45</t>
  </si>
  <si>
    <t xml:space="preserve">KLM|- Lane 3 - Kamis|11:45</t>
  </si>
  <si>
    <t xml:space="preserve">Little - Lane 3 - Kamis - 13:15</t>
  </si>
  <si>
    <t xml:space="preserve">KLM|- Lane 3 - Kamis|13:15</t>
  </si>
  <si>
    <t xml:space="preserve">Little - Lane 3 - Kamis - 14:00</t>
  </si>
  <si>
    <t xml:space="preserve">KLM|- Lane 3 - Kamis|14:00</t>
  </si>
  <si>
    <t xml:space="preserve">Little - Lane 3 - Kamis - 14:45</t>
  </si>
  <si>
    <t xml:space="preserve">KLM|- Lane 3 - Kamis|14:45</t>
  </si>
  <si>
    <t xml:space="preserve">Little - Lane 3 - Kamis - 15:30</t>
  </si>
  <si>
    <t xml:space="preserve">KLM|- Lane 3 - Kamis|15:30</t>
  </si>
  <si>
    <t xml:space="preserve">Little - Lane 3 - Kamis - 16:15</t>
  </si>
  <si>
    <t xml:space="preserve">KLM|- Lane 3 - Kamis|16:15</t>
  </si>
  <si>
    <t xml:space="preserve">Little - Lane 3 - Kamis - 17:00</t>
  </si>
  <si>
    <t xml:space="preserve">KLM|- Lane 3 - Kamis|17:00</t>
  </si>
  <si>
    <t xml:space="preserve">- Lane 3 - Jumat</t>
  </si>
  <si>
    <t xml:space="preserve">Little - Lane 3 - Jumat - 08:00</t>
  </si>
  <si>
    <t xml:space="preserve">KLM|- Lane 3 - Jumat|08:00</t>
  </si>
  <si>
    <t xml:space="preserve">Little - Lane 3 - Jumat - 08:45</t>
  </si>
  <si>
    <t xml:space="preserve">KLM|- Lane 3 - Jumat|08:45</t>
  </si>
  <si>
    <t xml:space="preserve">Little - Lane 3 - Jumat - 09:30</t>
  </si>
  <si>
    <t xml:space="preserve">KLM|- Lane 3 - Jumat|09:30</t>
  </si>
  <si>
    <t xml:space="preserve">Little - Lane 3 - Jumat - 10:15</t>
  </si>
  <si>
    <t xml:space="preserve">KLM|- Lane 3 - Jumat|10:15</t>
  </si>
  <si>
    <t xml:space="preserve">Little - Lane 3 - Jumat - 11:00</t>
  </si>
  <si>
    <t xml:space="preserve">KLM|- Lane 3 - Jumat|11:00</t>
  </si>
  <si>
    <t xml:space="preserve">Little - Lane 3 - Jumat - 11:45</t>
  </si>
  <si>
    <t xml:space="preserve">KLM|- Lane 3 - Jumat|11:45</t>
  </si>
  <si>
    <t xml:space="preserve">Little - Lane 3 - Jumat - 13:15</t>
  </si>
  <si>
    <t xml:space="preserve">KLM|- Lane 3 - Jumat|13:15</t>
  </si>
  <si>
    <t xml:space="preserve">Little - Lane 3 - Jumat - 14:00</t>
  </si>
  <si>
    <t xml:space="preserve">KLM|- Lane 3 - Jumat|14:00</t>
  </si>
  <si>
    <t xml:space="preserve">Little - Lane 3 - Jumat - 14:45</t>
  </si>
  <si>
    <t xml:space="preserve">KLM|- Lane 3 - Jumat|14:45</t>
  </si>
  <si>
    <t xml:space="preserve">Little - Lane 3 - Jumat - 15:30</t>
  </si>
  <si>
    <t xml:space="preserve">KLM|- Lane 3 - Jumat|15:30</t>
  </si>
  <si>
    <t xml:space="preserve">Little - Lane 3 - Jumat - 16:15</t>
  </si>
  <si>
    <t xml:space="preserve">KLM|- Lane 3 - Jumat|16:15</t>
  </si>
  <si>
    <t xml:space="preserve">Little - Lane 3 - Jumat - 17:00</t>
  </si>
  <si>
    <t xml:space="preserve">KLM|- Lane 3 - Jumat|17:00</t>
  </si>
  <si>
    <t xml:space="preserve">- Lane 3 - Sabtu</t>
  </si>
  <si>
    <t xml:space="preserve">Little - Lane 3 - Sabtu - 08:00</t>
  </si>
  <si>
    <t xml:space="preserve">KLM|- Lane 3 - Sabtu|08:00</t>
  </si>
  <si>
    <t xml:space="preserve">Little - Lane 3 - Sabtu - 08:45</t>
  </si>
  <si>
    <t xml:space="preserve">KLM|- Lane 3 - Sabtu|08:45</t>
  </si>
  <si>
    <t xml:space="preserve">Little - Lane 3 - Sabtu - 09:30</t>
  </si>
  <si>
    <t xml:space="preserve">KLM|- Lane 3 - Sabtu|09:30</t>
  </si>
  <si>
    <t xml:space="preserve">Little - Lane 3 - Sabtu - 10:15</t>
  </si>
  <si>
    <t xml:space="preserve">KLM|- Lane 3 - Sabtu|10:15</t>
  </si>
  <si>
    <t xml:space="preserve">Little - Lane 3 - Sabtu - 11:00</t>
  </si>
  <si>
    <t xml:space="preserve">KLM|- Lane 3 - Sabtu|11:00</t>
  </si>
  <si>
    <t xml:space="preserve">Little - Lane 3 - Sabtu - 11:45</t>
  </si>
  <si>
    <t xml:space="preserve">KLM|- Lane 3 - Sabtu|11:45</t>
  </si>
  <si>
    <t xml:space="preserve">Little - Lane 3 - Sabtu - 13:15</t>
  </si>
  <si>
    <t xml:space="preserve">KLM|- Lane 3 - Sabtu|13:15</t>
  </si>
  <si>
    <t xml:space="preserve">Little - Lane 3 - Sabtu - 14:00</t>
  </si>
  <si>
    <t xml:space="preserve">KLM|- Lane 3 - Sabtu|14:00</t>
  </si>
  <si>
    <t xml:space="preserve">Little - Lane 3 - Sabtu - 14:45</t>
  </si>
  <si>
    <t xml:space="preserve">KLM|- Lane 3 - Sabtu|14:45</t>
  </si>
  <si>
    <t xml:space="preserve">Little - Lane 3 - Sabtu - 15:30</t>
  </si>
  <si>
    <t xml:space="preserve">KLM|- Lane 3 - Sabtu|15:30</t>
  </si>
  <si>
    <t xml:space="preserve">Little - Lane 3 - Sabtu - 16:15</t>
  </si>
  <si>
    <t xml:space="preserve">KLM|- Lane 3 - Sabtu|16:15</t>
  </si>
  <si>
    <t xml:space="preserve">Little - Lane 3 - Sabtu - 17:00</t>
  </si>
  <si>
    <t xml:space="preserve">KLM|- Lane 3 - Sabtu|17:00</t>
  </si>
  <si>
    <t xml:space="preserve">- Lane 3 - Minggu</t>
  </si>
  <si>
    <t xml:space="preserve">Little - Lane 3 - Minggu - 08:00</t>
  </si>
  <si>
    <t xml:space="preserve">KLM|- Lane 3 - Minggu|08:00</t>
  </si>
  <si>
    <t xml:space="preserve">Little - Lane 3 - Minggu - 08:45</t>
  </si>
  <si>
    <t xml:space="preserve">KLM|- Lane 3 - Minggu|08:45</t>
  </si>
  <si>
    <t xml:space="preserve">Little - Lane 3 - Minggu - 09:30</t>
  </si>
  <si>
    <t xml:space="preserve">KLM|- Lane 3 - Minggu|09:30</t>
  </si>
  <si>
    <t xml:space="preserve">Little - Lane 3 - Minggu - 10:15</t>
  </si>
  <si>
    <t xml:space="preserve">KLM|- Lane 3 - Minggu|10:15</t>
  </si>
  <si>
    <t xml:space="preserve">Little - Lane 3 - Minggu - 11:00</t>
  </si>
  <si>
    <t xml:space="preserve">KLM|- Lane 3 - Minggu|11:00</t>
  </si>
  <si>
    <t xml:space="preserve">Little - Lane 3 - Minggu - 11:45</t>
  </si>
  <si>
    <t xml:space="preserve">KLM|- Lane 3 - Minggu|11:45</t>
  </si>
  <si>
    <t xml:space="preserve">Little - Lane 3 - Minggu - 13:15</t>
  </si>
  <si>
    <t xml:space="preserve">KLM|- Lane 3 - Minggu|13:15</t>
  </si>
  <si>
    <t xml:space="preserve">Little - Lane 3 - Minggu - 14:00</t>
  </si>
  <si>
    <t xml:space="preserve">KLM|- Lane 3 - Minggu|14:00</t>
  </si>
  <si>
    <t xml:space="preserve">Little - Lane 3 - Minggu - 14:45</t>
  </si>
  <si>
    <t xml:space="preserve">KLM|- Lane 3 - Minggu|14:45</t>
  </si>
  <si>
    <t xml:space="preserve">Little - Lane 3 - Minggu - 15:30</t>
  </si>
  <si>
    <t xml:space="preserve">KLM|- Lane 3 - Minggu|15:30</t>
  </si>
  <si>
    <t xml:space="preserve">Little - Lane 3 - Minggu - 16:15</t>
  </si>
  <si>
    <t xml:space="preserve">KLM|- Lane 3 - Minggu|16:15</t>
  </si>
  <si>
    <t xml:space="preserve">Little - Lane 3 - Minggu - 17:00</t>
  </si>
  <si>
    <t xml:space="preserve">KLM|- Lane 3 - Minggu|17:00</t>
  </si>
  <si>
    <t xml:space="preserve">- Lane 4 - Senin</t>
  </si>
  <si>
    <t xml:space="preserve">Kids - Lane 4 - Senin - 08:00</t>
  </si>
  <si>
    <t xml:space="preserve">KLM|- Lane 4 - Senin|08:00</t>
  </si>
  <si>
    <t xml:space="preserve">Kids - Lane 4 - Senin - 08:45</t>
  </si>
  <si>
    <t xml:space="preserve">KLM|- Lane 4 - Senin|08:45</t>
  </si>
  <si>
    <t xml:space="preserve">Kids - Lane 4 - Senin - 09:30</t>
  </si>
  <si>
    <t xml:space="preserve">KLM|- Lane 4 - Senin|09:30</t>
  </si>
  <si>
    <t xml:space="preserve">Kids - Lane 4 - Senin - 10:15</t>
  </si>
  <si>
    <t xml:space="preserve">KLM|- Lane 4 - Senin|10:15</t>
  </si>
  <si>
    <t xml:space="preserve">Kids - Lane 4 - Senin - 11:00</t>
  </si>
  <si>
    <t xml:space="preserve">KLM|- Lane 4 - Senin|11:00</t>
  </si>
  <si>
    <t xml:space="preserve">Kids - Lane 4 - Senin - 11:45</t>
  </si>
  <si>
    <t xml:space="preserve">KLM|- Lane 4 - Senin|11:45</t>
  </si>
  <si>
    <t xml:space="preserve">Kids - Lane 4 - Senin - 13:15</t>
  </si>
  <si>
    <t xml:space="preserve">KLM|- Lane 4 - Senin|13:15</t>
  </si>
  <si>
    <t xml:space="preserve">Kids - Lane 4 - Senin - 14:00</t>
  </si>
  <si>
    <t xml:space="preserve">KLM|- Lane 4 - Senin|14:00</t>
  </si>
  <si>
    <t xml:space="preserve">Kids - Lane 4 - Senin - 14:45</t>
  </si>
  <si>
    <t xml:space="preserve">KLM|- Lane 4 - Senin|14:45</t>
  </si>
  <si>
    <t xml:space="preserve">Kids - Lane 4 - Senin - 15:30</t>
  </si>
  <si>
    <t xml:space="preserve">KLM|- Lane 4 - Senin|15:30</t>
  </si>
  <si>
    <t xml:space="preserve">Kids - Lane 4 - Senin - 16:15</t>
  </si>
  <si>
    <t xml:space="preserve">KLM|- Lane 4 - Senin|16:15</t>
  </si>
  <si>
    <t xml:space="preserve">Kids - Lane 4 - Senin - 17:00</t>
  </si>
  <si>
    <t xml:space="preserve">KLM|- Lane 4 - Senin|17:00</t>
  </si>
  <si>
    <t xml:space="preserve">- Lane 4 - Selasa</t>
  </si>
  <si>
    <t xml:space="preserve">Kids - Lane 4 - Selasa - 08:00</t>
  </si>
  <si>
    <t xml:space="preserve">KLM|- Lane 4 - Selasa|08:00</t>
  </si>
  <si>
    <t xml:space="preserve">Kids - Lane 4 - Selasa - 08:45</t>
  </si>
  <si>
    <t xml:space="preserve">KLM|- Lane 4 - Selasa|08:45</t>
  </si>
  <si>
    <t xml:space="preserve">Kids - Lane 4 - Selasa - 09:30</t>
  </si>
  <si>
    <t xml:space="preserve">KLM|- Lane 4 - Selasa|09:30</t>
  </si>
  <si>
    <t xml:space="preserve">Kids - Lane 4 - Selasa - 10:15</t>
  </si>
  <si>
    <t xml:space="preserve">KLM|- Lane 4 - Selasa|10:15</t>
  </si>
  <si>
    <t xml:space="preserve">Kids - Lane 4 - Selasa - 11:00</t>
  </si>
  <si>
    <t xml:space="preserve">KLM|- Lane 4 - Selasa|11:00</t>
  </si>
  <si>
    <t xml:space="preserve">Kids - Lane 4 - Selasa - 11:45</t>
  </si>
  <si>
    <t xml:space="preserve">KLM|- Lane 4 - Selasa|11:45</t>
  </si>
  <si>
    <t xml:space="preserve">Kids - Lane 4 - Selasa - 13:15</t>
  </si>
  <si>
    <t xml:space="preserve">KLM|- Lane 4 - Selasa|13:15</t>
  </si>
  <si>
    <t xml:space="preserve">Kids - Lane 4 - Selasa - 14:00</t>
  </si>
  <si>
    <t xml:space="preserve">KLM|- Lane 4 - Selasa|14:00</t>
  </si>
  <si>
    <t xml:space="preserve">Kids - Lane 4 - Selasa - 14:45</t>
  </si>
  <si>
    <t xml:space="preserve">KLM|- Lane 4 - Selasa|14:45</t>
  </si>
  <si>
    <t xml:space="preserve">Kids - Lane 4 - Selasa - 15:30</t>
  </si>
  <si>
    <t xml:space="preserve">KLM|- Lane 4 - Selasa|15:30</t>
  </si>
  <si>
    <t xml:space="preserve">Kids - Lane 4 - Selasa - 16:15</t>
  </si>
  <si>
    <t xml:space="preserve">KLM|- Lane 4 - Selasa|16:15</t>
  </si>
  <si>
    <t xml:space="preserve">Kids - Lane 4 - Selasa - 17:00</t>
  </si>
  <si>
    <t xml:space="preserve">KLM|- Lane 4 - Selasa|17:00</t>
  </si>
  <si>
    <t xml:space="preserve">- Lane 4 - Rabu</t>
  </si>
  <si>
    <t xml:space="preserve">Kids - Lane 4 - Rabu - 08:00</t>
  </si>
  <si>
    <t xml:space="preserve">KLM|- Lane 4 - Rabu|08:00</t>
  </si>
  <si>
    <t xml:space="preserve">Kids - Lane 4 - Rabu - 08:45</t>
  </si>
  <si>
    <t xml:space="preserve">KLM|- Lane 4 - Rabu|08:45</t>
  </si>
  <si>
    <t xml:space="preserve">Kids - Lane 4 - Rabu - 09:30</t>
  </si>
  <si>
    <t xml:space="preserve">KLM|- Lane 4 - Rabu|09:30</t>
  </si>
  <si>
    <t xml:space="preserve">Kids - Lane 4 - Rabu - 10:15</t>
  </si>
  <si>
    <t xml:space="preserve">KLM|- Lane 4 - Rabu|10:15</t>
  </si>
  <si>
    <t xml:space="preserve">Kids - Lane 4 - Rabu - 11:00</t>
  </si>
  <si>
    <t xml:space="preserve">KLM|- Lane 4 - Rabu|11:00</t>
  </si>
  <si>
    <t xml:space="preserve">Kids - Lane 4 - Rabu - 11:45</t>
  </si>
  <si>
    <t xml:space="preserve">KLM|- Lane 4 - Rabu|11:45</t>
  </si>
  <si>
    <t xml:space="preserve">Kids - Lane 4 - Rabu - 13:15</t>
  </si>
  <si>
    <t xml:space="preserve">KLM|- Lane 4 - Rabu|13:15</t>
  </si>
  <si>
    <t xml:space="preserve">Kids - Lane 4 - Rabu - 14:00</t>
  </si>
  <si>
    <t xml:space="preserve">KLM|- Lane 4 - Rabu|14:00</t>
  </si>
  <si>
    <t xml:space="preserve">Kids - Lane 4 - Rabu - 14:45</t>
  </si>
  <si>
    <t xml:space="preserve">KLM|- Lane 4 - Rabu|14:45</t>
  </si>
  <si>
    <t xml:space="preserve">Kids - Lane 4 - Rabu - 15:30</t>
  </si>
  <si>
    <t xml:space="preserve">KLM|- Lane 4 - Rabu|15:30</t>
  </si>
  <si>
    <t xml:space="preserve">Kids - Lane 4 - Rabu - 16:15</t>
  </si>
  <si>
    <t xml:space="preserve">KLM|- Lane 4 - Rabu|16:15</t>
  </si>
  <si>
    <t xml:space="preserve">Kids - Lane 4 - Rabu - 17:00</t>
  </si>
  <si>
    <t xml:space="preserve">KLM|- Lane 4 - Rabu|17:00</t>
  </si>
  <si>
    <t xml:space="preserve">- Lane 4 - Kamis</t>
  </si>
  <si>
    <t xml:space="preserve">Kids - Lane 4 - Kamis - 08:00</t>
  </si>
  <si>
    <t xml:space="preserve">KLM|- Lane 4 - Kamis|08:00</t>
  </si>
  <si>
    <t xml:space="preserve">Kids - Lane 4 - Kamis - 08:45</t>
  </si>
  <si>
    <t xml:space="preserve">KLM|- Lane 4 - Kamis|08:45</t>
  </si>
  <si>
    <t xml:space="preserve">Kids - Lane 4 - Kamis - 09:30</t>
  </si>
  <si>
    <t xml:space="preserve">KLM|- Lane 4 - Kamis|09:30</t>
  </si>
  <si>
    <t xml:space="preserve">Kids - Lane 4 - Kamis - 10:15</t>
  </si>
  <si>
    <t xml:space="preserve">KLM|- Lane 4 - Kamis|10:15</t>
  </si>
  <si>
    <t xml:space="preserve">Kids - Lane 4 - Kamis - 11:00</t>
  </si>
  <si>
    <t xml:space="preserve">KLM|- Lane 4 - Kamis|11:00</t>
  </si>
  <si>
    <t xml:space="preserve">Kids - Lane 4 - Kamis - 11:45</t>
  </si>
  <si>
    <t xml:space="preserve">KLM|- Lane 4 - Kamis|11:45</t>
  </si>
  <si>
    <t xml:space="preserve">Kids - Lane 4 - Kamis - 13:15</t>
  </si>
  <si>
    <t xml:space="preserve">KLM|- Lane 4 - Kamis|13:15</t>
  </si>
  <si>
    <t xml:space="preserve">Kids - Lane 4 - Kamis - 14:00</t>
  </si>
  <si>
    <t xml:space="preserve">KLM|- Lane 4 - Kamis|14:00</t>
  </si>
  <si>
    <t xml:space="preserve">Kids - Lane 4 - Kamis - 14:45</t>
  </si>
  <si>
    <t xml:space="preserve">KLM|- Lane 4 - Kamis|14:45</t>
  </si>
  <si>
    <t xml:space="preserve">Kids - Lane 4 - Kamis - 15:30</t>
  </si>
  <si>
    <t xml:space="preserve">KLM|- Lane 4 - Kamis|15:30</t>
  </si>
  <si>
    <t xml:space="preserve">Kids - Lane 4 - Kamis - 16:15</t>
  </si>
  <si>
    <t xml:space="preserve">KLM|- Lane 4 - Kamis|16:15</t>
  </si>
  <si>
    <t xml:space="preserve">Kids - Lane 4 - Kamis - 17:00</t>
  </si>
  <si>
    <t xml:space="preserve">KLM|- Lane 4 - Kamis|17:00</t>
  </si>
  <si>
    <t xml:space="preserve">- Lane 4 - Jumat</t>
  </si>
  <si>
    <t xml:space="preserve">Kids - Lane 4 - Jumat - 08:00</t>
  </si>
  <si>
    <t xml:space="preserve">KLM|- Lane 4 - Jumat|08:00</t>
  </si>
  <si>
    <t xml:space="preserve">Kids - Lane 4 - Jumat - 08:45</t>
  </si>
  <si>
    <t xml:space="preserve">KLM|- Lane 4 - Jumat|08:45</t>
  </si>
  <si>
    <t xml:space="preserve">Kids - Lane 4 - Jumat - 09:30</t>
  </si>
  <si>
    <t xml:space="preserve">KLM|- Lane 4 - Jumat|09:30</t>
  </si>
  <si>
    <t xml:space="preserve">Kids - Lane 4 - Jumat - 10:15</t>
  </si>
  <si>
    <t xml:space="preserve">KLM|- Lane 4 - Jumat|10:15</t>
  </si>
  <si>
    <t xml:space="preserve">Kids - Lane 4 - Jumat - 11:00</t>
  </si>
  <si>
    <t xml:space="preserve">KLM|- Lane 4 - Jumat|11:00</t>
  </si>
  <si>
    <t xml:space="preserve">Kids - Lane 4 - Jumat - 11:45</t>
  </si>
  <si>
    <t xml:space="preserve">KLM|- Lane 4 - Jumat|11:45</t>
  </si>
  <si>
    <t xml:space="preserve">Kids - Lane 4 - Jumat - 13:15</t>
  </si>
  <si>
    <t xml:space="preserve">KLM|- Lane 4 - Jumat|13:15</t>
  </si>
  <si>
    <t xml:space="preserve">Kids - Lane 4 - Jumat - 14:00</t>
  </si>
  <si>
    <t xml:space="preserve">KLM|- Lane 4 - Jumat|14:00</t>
  </si>
  <si>
    <t xml:space="preserve">Kids - Lane 4 - Jumat - 14:45</t>
  </si>
  <si>
    <t xml:space="preserve">KLM|- Lane 4 - Jumat|14:45</t>
  </si>
  <si>
    <t xml:space="preserve">Kids - Lane 4 - Jumat - 15:30</t>
  </si>
  <si>
    <t xml:space="preserve">KLM|- Lane 4 - Jumat|15:30</t>
  </si>
  <si>
    <t xml:space="preserve">Kids - Lane 4 - Jumat - 16:15</t>
  </si>
  <si>
    <t xml:space="preserve">KLM|- Lane 4 - Jumat|16:15</t>
  </si>
  <si>
    <t xml:space="preserve">Kids - Lane 4 - Jumat - 17:00</t>
  </si>
  <si>
    <t xml:space="preserve">KLM|- Lane 4 - Jumat|17:00</t>
  </si>
  <si>
    <t xml:space="preserve">- Lane 4 - Sabtu</t>
  </si>
  <si>
    <t xml:space="preserve">Kids - Lane 4 - Sabtu - 08:00</t>
  </si>
  <si>
    <t xml:space="preserve">KLM|- Lane 4 - Sabtu|08:00</t>
  </si>
  <si>
    <t xml:space="preserve">Kids - Lane 4 - Sabtu - 08:45</t>
  </si>
  <si>
    <t xml:space="preserve">KLM|- Lane 4 - Sabtu|08:45</t>
  </si>
  <si>
    <t xml:space="preserve">Kids - Lane 4 - Sabtu - 09:30</t>
  </si>
  <si>
    <t xml:space="preserve">KLM|- Lane 4 - Sabtu|09:30</t>
  </si>
  <si>
    <t xml:space="preserve">Kids - Lane 4 - Sabtu - 10:15</t>
  </si>
  <si>
    <t xml:space="preserve">KLM|- Lane 4 - Sabtu|10:15</t>
  </si>
  <si>
    <t xml:space="preserve">Kids - Lane 4 - Sabtu - 11:00</t>
  </si>
  <si>
    <t xml:space="preserve">KLM|- Lane 4 - Sabtu|11:00</t>
  </si>
  <si>
    <t xml:space="preserve">Kids - Lane 4 - Sabtu - 11:45</t>
  </si>
  <si>
    <t xml:space="preserve">KLM|- Lane 4 - Sabtu|11:45</t>
  </si>
  <si>
    <t xml:space="preserve">Kids - Lane 4 - Sabtu - 13:15</t>
  </si>
  <si>
    <t xml:space="preserve">KLM|- Lane 4 - Sabtu|13:15</t>
  </si>
  <si>
    <t xml:space="preserve">Kids - Lane 4 - Sabtu - 14:00</t>
  </si>
  <si>
    <t xml:space="preserve">KLM|- Lane 4 - Sabtu|14:00</t>
  </si>
  <si>
    <t xml:space="preserve">Kids - Lane 4 - Sabtu - 14:45</t>
  </si>
  <si>
    <t xml:space="preserve">KLM|- Lane 4 - Sabtu|14:45</t>
  </si>
  <si>
    <t xml:space="preserve">Kids - Lane 4 - Sabtu - 15:30</t>
  </si>
  <si>
    <t xml:space="preserve">KLM|- Lane 4 - Sabtu|15:30</t>
  </si>
  <si>
    <t xml:space="preserve">Kids - Lane 4 - Sabtu - 16:15</t>
  </si>
  <si>
    <t xml:space="preserve">KLM|- Lane 4 - Sabtu|16:15</t>
  </si>
  <si>
    <t xml:space="preserve">Kids - Lane 4 - Sabtu - 17:00</t>
  </si>
  <si>
    <t xml:space="preserve">KLM|- Lane 4 - Sabtu|17:00</t>
  </si>
  <si>
    <t xml:space="preserve">- Lane 4 - Minggu</t>
  </si>
  <si>
    <t xml:space="preserve">Kids - Lane 4 - Minggu - 08:00</t>
  </si>
  <si>
    <t xml:space="preserve">KLM|- Lane 4 - Minggu|08:00</t>
  </si>
  <si>
    <t xml:space="preserve">Kids - Lane 4 - Minggu - 08:45</t>
  </si>
  <si>
    <t xml:space="preserve">KLM|- Lane 4 - Minggu|08:45</t>
  </si>
  <si>
    <t xml:space="preserve">Kids - Lane 4 - Minggu - 09:30</t>
  </si>
  <si>
    <t xml:space="preserve">KLM|- Lane 4 - Minggu|09:30</t>
  </si>
  <si>
    <t xml:space="preserve">Kids - Lane 4 - Minggu - 10:15</t>
  </si>
  <si>
    <t xml:space="preserve">KLM|- Lane 4 - Minggu|10:15</t>
  </si>
  <si>
    <t xml:space="preserve">Kids - Lane 4 - Minggu - 11:00</t>
  </si>
  <si>
    <t xml:space="preserve">KLM|- Lane 4 - Minggu|11:00</t>
  </si>
  <si>
    <t xml:space="preserve">Kids - Lane 4 - Minggu - 11:45</t>
  </si>
  <si>
    <t xml:space="preserve">KLM|- Lane 4 - Minggu|11:45</t>
  </si>
  <si>
    <t xml:space="preserve">Kids - Lane 4 - Minggu - 13:15</t>
  </si>
  <si>
    <t xml:space="preserve">KLM|- Lane 4 - Minggu|13:15</t>
  </si>
  <si>
    <t xml:space="preserve">Kids - Lane 4 - Minggu - 14:00</t>
  </si>
  <si>
    <t xml:space="preserve">KLM|- Lane 4 - Minggu|14:00</t>
  </si>
  <si>
    <t xml:space="preserve">Kids - Lane 4 - Minggu - 14:45</t>
  </si>
  <si>
    <t xml:space="preserve">KLM|- Lane 4 - Minggu|14:45</t>
  </si>
  <si>
    <t xml:space="preserve">Kids - Lane 4 - Minggu - 15:30</t>
  </si>
  <si>
    <t xml:space="preserve">KLM|- Lane 4 - Minggu|15:30</t>
  </si>
  <si>
    <t xml:space="preserve">Kids - Lane 4 - Minggu - 16:15</t>
  </si>
  <si>
    <t xml:space="preserve">KLM|- Lane 4 - Minggu|16:15</t>
  </si>
  <si>
    <t xml:space="preserve">Kids - Lane 4 - Minggu - 17:00</t>
  </si>
  <si>
    <t xml:space="preserve">ALAN</t>
  </si>
  <si>
    <t xml:space="preserve">KLM|- Lane 4 - Minggu|17:00</t>
  </si>
  <si>
    <t xml:space="preserve">- Lane 5 - Senin</t>
  </si>
  <si>
    <t xml:space="preserve"> - Lane 5 - Senin - 08:00</t>
  </si>
  <si>
    <t xml:space="preserve">KLM|- Lane 5 - Senin|08:00</t>
  </si>
  <si>
    <t xml:space="preserve"> - Lane 5 - Senin - 08:45</t>
  </si>
  <si>
    <t xml:space="preserve">KLM|- Lane 5 - Senin|08:45</t>
  </si>
  <si>
    <t xml:space="preserve"> - Lane 5 - Senin - 09:30</t>
  </si>
  <si>
    <t xml:space="preserve">KLM|- Lane 5 - Senin|09:30</t>
  </si>
  <si>
    <t xml:space="preserve"> - Lane 5 - Senin - 10:15</t>
  </si>
  <si>
    <t xml:space="preserve">KLM|- Lane 5 - Senin|10:15</t>
  </si>
  <si>
    <t xml:space="preserve"> - Lane 5 - Senin - 11:00</t>
  </si>
  <si>
    <t xml:space="preserve">KLM|- Lane 5 - Senin|11:00</t>
  </si>
  <si>
    <t xml:space="preserve"> - Lane 5 - Senin - 11:45</t>
  </si>
  <si>
    <t xml:space="preserve">KLM|- Lane 5 - Senin|11:45</t>
  </si>
  <si>
    <t xml:space="preserve"> - Lane 5 - Senin - 13:15</t>
  </si>
  <si>
    <t xml:space="preserve">KLM|- Lane 5 - Senin|13:15</t>
  </si>
  <si>
    <t xml:space="preserve">Little - Lane 5 - Senin - 14:00</t>
  </si>
  <si>
    <t xml:space="preserve">KLM|- Lane 5 - Senin|14:00</t>
  </si>
  <si>
    <t xml:space="preserve">Kids - Lane 5 - Senin - 14:45</t>
  </si>
  <si>
    <t xml:space="preserve">KLM|- Lane 5 - Senin|14:45</t>
  </si>
  <si>
    <t xml:space="preserve">Kids - Lane 5 - Senin - 15:30</t>
  </si>
  <si>
    <t xml:space="preserve">KLM|- Lane 5 - Senin|15:30</t>
  </si>
  <si>
    <t xml:space="preserve">Kids - Lane 5 - Senin - 16:15</t>
  </si>
  <si>
    <t xml:space="preserve">KLM|- Lane 5 - Senin|16:15</t>
  </si>
  <si>
    <t xml:space="preserve">Kids - Lane 5 - Senin - 17:00</t>
  </si>
  <si>
    <t xml:space="preserve">KLM|- Lane 5 - Senin|17:00</t>
  </si>
  <si>
    <t xml:space="preserve">- Lane 5 - Selasa</t>
  </si>
  <si>
    <t xml:space="preserve"> - Lane 5 - Selasa - 08:00</t>
  </si>
  <si>
    <t xml:space="preserve">KLM|- Lane 5 - Selasa|08:00</t>
  </si>
  <si>
    <t xml:space="preserve"> - Lane 5 - Selasa - 08:45</t>
  </si>
  <si>
    <t xml:space="preserve">KLM|- Lane 5 - Selasa|08:45</t>
  </si>
  <si>
    <t xml:space="preserve"> - Lane 5 - Selasa - 09:30</t>
  </si>
  <si>
    <t xml:space="preserve">KLM|- Lane 5 - Selasa|09:30</t>
  </si>
  <si>
    <t xml:space="preserve"> - Lane 5 - Selasa - 10:15</t>
  </si>
  <si>
    <t xml:space="preserve">KLM|- Lane 5 - Selasa|10:15</t>
  </si>
  <si>
    <t xml:space="preserve"> - Lane 5 - Selasa - 11:00</t>
  </si>
  <si>
    <t xml:space="preserve">KLM|- Lane 5 - Selasa|11:00</t>
  </si>
  <si>
    <t xml:space="preserve"> - Lane 5 - Selasa - 11:45</t>
  </si>
  <si>
    <t xml:space="preserve">KLM|- Lane 5 - Selasa|11:45</t>
  </si>
  <si>
    <t xml:space="preserve"> - Lane 5 - Selasa - 13:15</t>
  </si>
  <si>
    <t xml:space="preserve">KLM|- Lane 5 - Selasa|13:15</t>
  </si>
  <si>
    <t xml:space="preserve">Little - Lane 5 - Selasa - 14:00</t>
  </si>
  <si>
    <t xml:space="preserve">KLM|- Lane 5 - Selasa|14:00</t>
  </si>
  <si>
    <t xml:space="preserve"> - Lane 5 - Selasa - 14:45</t>
  </si>
  <si>
    <t xml:space="preserve">KLM|- Lane 5 - Selasa|14:45</t>
  </si>
  <si>
    <t xml:space="preserve">Little - Lane 5 - Selasa - 15:30</t>
  </si>
  <si>
    <t xml:space="preserve">KLM|- Lane 5 - Selasa|15:30</t>
  </si>
  <si>
    <t xml:space="preserve">Kids - Lane 5 - Selasa - 16:15</t>
  </si>
  <si>
    <t xml:space="preserve">KLM|- Lane 5 - Selasa|16:15</t>
  </si>
  <si>
    <t xml:space="preserve">Little - Lane 5 - Selasa - 17:00</t>
  </si>
  <si>
    <t xml:space="preserve">KLM|- Lane 5 - Selasa|17:00</t>
  </si>
  <si>
    <t xml:space="preserve">- Lane 5 - Rabu</t>
  </si>
  <si>
    <t xml:space="preserve"> - Lane 5 - Rabu - 08:00</t>
  </si>
  <si>
    <t xml:space="preserve">KLM|- Lane 5 - Rabu|08:00</t>
  </si>
  <si>
    <t xml:space="preserve"> - Lane 5 - Rabu - 08:45</t>
  </si>
  <si>
    <t xml:space="preserve">KLM|- Lane 5 - Rabu|08:45</t>
  </si>
  <si>
    <t xml:space="preserve"> - Lane 5 - Rabu - 09:30</t>
  </si>
  <si>
    <t xml:space="preserve">KLM|- Lane 5 - Rabu|09:30</t>
  </si>
  <si>
    <t xml:space="preserve"> - Lane 5 - Rabu - 10:15</t>
  </si>
  <si>
    <t xml:space="preserve">KLM|- Lane 5 - Rabu|10:15</t>
  </si>
  <si>
    <t xml:space="preserve"> - Lane 5 - Rabu - 11:00</t>
  </si>
  <si>
    <t xml:space="preserve">KLM|- Lane 5 - Rabu|11:00</t>
  </si>
  <si>
    <t xml:space="preserve"> - Lane 5 - Rabu - 11:45</t>
  </si>
  <si>
    <t xml:space="preserve">KLM|- Lane 5 - Rabu|11:45</t>
  </si>
  <si>
    <t xml:space="preserve">Little - Lane 5 - Rabu - 13:15</t>
  </si>
  <si>
    <t xml:space="preserve">KLM|- Lane 5 - Rabu|13:15</t>
  </si>
  <si>
    <t xml:space="preserve"> - Lane 5 - Rabu - 14:00</t>
  </si>
  <si>
    <t xml:space="preserve">KLM|- Lane 5 - Rabu|14:00</t>
  </si>
  <si>
    <t xml:space="preserve"> - Lane 5 - Rabu - 14:45</t>
  </si>
  <si>
    <t xml:space="preserve">KLM|- Lane 5 - Rabu|14:45</t>
  </si>
  <si>
    <t xml:space="preserve">Kids - Lane 5 - Rabu - 15:30</t>
  </si>
  <si>
    <t xml:space="preserve">KLM|- Lane 5 - Rabu|15:30</t>
  </si>
  <si>
    <t xml:space="preserve">Kids - Lane 5 - Rabu - 16:15</t>
  </si>
  <si>
    <t xml:space="preserve">KLM|- Lane 5 - Rabu|16:15</t>
  </si>
  <si>
    <t xml:space="preserve">Kids - Lane 5 - Rabu - 17:00</t>
  </si>
  <si>
    <t xml:space="preserve">KLM|- Lane 5 - Rabu|17:00</t>
  </si>
  <si>
    <t xml:space="preserve">- Lane 5 - Kamis</t>
  </si>
  <si>
    <t xml:space="preserve"> - Lane 5 - Kamis - 08:00</t>
  </si>
  <si>
    <t xml:space="preserve">KLM|- Lane 5 - Kamis|08:00</t>
  </si>
  <si>
    <t xml:space="preserve"> - Lane 5 - Kamis - 08:45</t>
  </si>
  <si>
    <t xml:space="preserve">KLM|- Lane 5 - Kamis|08:45</t>
  </si>
  <si>
    <t xml:space="preserve"> - Lane 5 - Kamis - 09:30</t>
  </si>
  <si>
    <t xml:space="preserve">KLM|- Lane 5 - Kamis|09:30</t>
  </si>
  <si>
    <t xml:space="preserve"> - Lane 5 - Kamis - 10:15</t>
  </si>
  <si>
    <t xml:space="preserve">KLM|- Lane 5 - Kamis|10:15</t>
  </si>
  <si>
    <t xml:space="preserve"> - Lane 5 - Kamis - 11:00</t>
  </si>
  <si>
    <t xml:space="preserve">KLM|- Lane 5 - Kamis|11:00</t>
  </si>
  <si>
    <t xml:space="preserve"> - Lane 5 - Kamis - 11:45</t>
  </si>
  <si>
    <t xml:space="preserve">KLM|- Lane 5 - Kamis|11:45</t>
  </si>
  <si>
    <t xml:space="preserve">Little - Lane 5 - Kamis - 13:15</t>
  </si>
  <si>
    <t xml:space="preserve">KLM|- Lane 5 - Kamis|13:15</t>
  </si>
  <si>
    <t xml:space="preserve">Kids - Lane 5 - Kamis - 14:00</t>
  </si>
  <si>
    <t xml:space="preserve">KLM|- Lane 5 - Kamis|14:00</t>
  </si>
  <si>
    <t xml:space="preserve"> - Lane 5 - Kamis - 14:45</t>
  </si>
  <si>
    <t xml:space="preserve">KLM|- Lane 5 - Kamis|14:45</t>
  </si>
  <si>
    <t xml:space="preserve">Kids - Lane 5 - Kamis - 15:30</t>
  </si>
  <si>
    <t xml:space="preserve">KLM|- Lane 5 - Kamis|15:30</t>
  </si>
  <si>
    <t xml:space="preserve">Kids - Lane 5 - Kamis - 16:15</t>
  </si>
  <si>
    <t xml:space="preserve">KLM|- Lane 5 - Kamis|16:15</t>
  </si>
  <si>
    <t xml:space="preserve">Kids - Lane 5 - Kamis - 17:00</t>
  </si>
  <si>
    <t xml:space="preserve">KLM|- Lane 5 - Kamis|17:00</t>
  </si>
  <si>
    <t xml:space="preserve">- Lane 5 - Jumat</t>
  </si>
  <si>
    <t xml:space="preserve"> - Lane 5 - Jumat - 08:00</t>
  </si>
  <si>
    <t xml:space="preserve">KLM|- Lane 5 - Jumat|08:00</t>
  </si>
  <si>
    <t xml:space="preserve"> - Lane 5 - Jumat - 08:45</t>
  </si>
  <si>
    <t xml:space="preserve">KLM|- Lane 5 - Jumat|08:45</t>
  </si>
  <si>
    <t xml:space="preserve"> - Lane 5 - Jumat - 09:30</t>
  </si>
  <si>
    <t xml:space="preserve">KLM|- Lane 5 - Jumat|09:30</t>
  </si>
  <si>
    <t xml:space="preserve"> - Lane 5 - Jumat - 10:15</t>
  </si>
  <si>
    <t xml:space="preserve">KLM|- Lane 5 - Jumat|10:15</t>
  </si>
  <si>
    <t xml:space="preserve">Kids - Lane 5 - Jumat - 11:00</t>
  </si>
  <si>
    <t xml:space="preserve">KLM|- Lane 5 - Jumat|11:00</t>
  </si>
  <si>
    <t xml:space="preserve"> - Lane 5 - Jumat - 11:45</t>
  </si>
  <si>
    <t xml:space="preserve">KLM|- Lane 5 - Jumat|11:45</t>
  </si>
  <si>
    <t xml:space="preserve">Kids - Lane 5 - Jumat - 13:15</t>
  </si>
  <si>
    <t xml:space="preserve">KLM|- Lane 5 - Jumat|13:15</t>
  </si>
  <si>
    <t xml:space="preserve">Kids - Lane 5 - Jumat - 14:00</t>
  </si>
  <si>
    <t xml:space="preserve">KLM|- Lane 5 - Jumat|14:00</t>
  </si>
  <si>
    <t xml:space="preserve">Little - Lane 5 - Jumat - 14:45</t>
  </si>
  <si>
    <t xml:space="preserve">KLM|- Lane 5 - Jumat|14:45</t>
  </si>
  <si>
    <t xml:space="preserve">Kids - Lane 5 - Jumat - 15:30</t>
  </si>
  <si>
    <t xml:space="preserve">KLM|- Lane 5 - Jumat|15:30</t>
  </si>
  <si>
    <t xml:space="preserve">Kids - Lane 5 - Jumat - 16:15</t>
  </si>
  <si>
    <t xml:space="preserve">KLM|- Lane 5 - Jumat|16:15</t>
  </si>
  <si>
    <t xml:space="preserve">Little - Lane 5 - Jumat - 17:00</t>
  </si>
  <si>
    <t xml:space="preserve">KLM|- Lane 5 - Jumat|17:00</t>
  </si>
  <si>
    <t xml:space="preserve">- Lane 5 - Sabtu</t>
  </si>
  <si>
    <t xml:space="preserve"> - Lane 5 - Sabtu - 08:00</t>
  </si>
  <si>
    <t xml:space="preserve">KLM|- Lane 5 - Sabtu|08:00</t>
  </si>
  <si>
    <t xml:space="preserve">Little - Lane 5 - Sabtu - 08:45</t>
  </si>
  <si>
    <t xml:space="preserve">KLM|- Lane 5 - Sabtu|08:45</t>
  </si>
  <si>
    <t xml:space="preserve">Little - Lane 5 - Sabtu - 09:30</t>
  </si>
  <si>
    <t xml:space="preserve">KLM|- Lane 5 - Sabtu|09:30</t>
  </si>
  <si>
    <t xml:space="preserve">Kids - Lane 5 - Sabtu - 10:15</t>
  </si>
  <si>
    <t xml:space="preserve">KLM|- Lane 5 - Sabtu|10:15</t>
  </si>
  <si>
    <t xml:space="preserve">Kids - Lane 5 - Sabtu - 11:00</t>
  </si>
  <si>
    <t xml:space="preserve">KLM|- Lane 5 - Sabtu|11:00</t>
  </si>
  <si>
    <t xml:space="preserve">Kids - Lane 5 - Sabtu - 11:45</t>
  </si>
  <si>
    <t xml:space="preserve">KLM|- Lane 5 - Sabtu|11:45</t>
  </si>
  <si>
    <t xml:space="preserve">Little - Lane 5 - Sabtu - 13:15</t>
  </si>
  <si>
    <t xml:space="preserve">KLM|- Lane 5 - Sabtu|13:15</t>
  </si>
  <si>
    <t xml:space="preserve">Little - Lane 5 - Sabtu - 14:00</t>
  </si>
  <si>
    <t xml:space="preserve">KLM|- Lane 5 - Sabtu|14:00</t>
  </si>
  <si>
    <t xml:space="preserve">Kids - Lane 5 - Sabtu - 14:45</t>
  </si>
  <si>
    <t xml:space="preserve">KLM|- Lane 5 - Sabtu|14:45</t>
  </si>
  <si>
    <t xml:space="preserve">Kids - Lane 5 - Sabtu - 15:30</t>
  </si>
  <si>
    <t xml:space="preserve">KLM|- Lane 5 - Sabtu|15:30</t>
  </si>
  <si>
    <t xml:space="preserve">Kids - Lane 5 - Sabtu - 16:15</t>
  </si>
  <si>
    <t xml:space="preserve">KLM|- Lane 5 - Sabtu|16:15</t>
  </si>
  <si>
    <t xml:space="preserve">Little - Lane 5 - Sabtu - 17:00</t>
  </si>
  <si>
    <t xml:space="preserve">KLM|- Lane 5 - Sabtu|17:00</t>
  </si>
  <si>
    <t xml:space="preserve">- Lane 5 - Minggu</t>
  </si>
  <si>
    <t xml:space="preserve"> - Lane 5 - Minggu - 08:00</t>
  </si>
  <si>
    <t xml:space="preserve">KLM|- Lane 5 - Minggu|08:00</t>
  </si>
  <si>
    <t xml:space="preserve">Little - Lane 5 - Minggu - 08:45</t>
  </si>
  <si>
    <t xml:space="preserve">KLM|- Lane 5 - Minggu|08:45</t>
  </si>
  <si>
    <t xml:space="preserve">Little - Lane 5 - Minggu - 09:30</t>
  </si>
  <si>
    <t xml:space="preserve">KLM|- Lane 5 - Minggu|09:30</t>
  </si>
  <si>
    <t xml:space="preserve">Kids - Lane 5 - Minggu - 10:15</t>
  </si>
  <si>
    <t xml:space="preserve">KLM|- Lane 5 - Minggu|10:15</t>
  </si>
  <si>
    <t xml:space="preserve">Little - Lane 5 - Minggu - 11:00</t>
  </si>
  <si>
    <t xml:space="preserve">KLM|- Lane 5 - Minggu|11:00</t>
  </si>
  <si>
    <t xml:space="preserve"> - Lane 5 - Minggu - 11:45</t>
  </si>
  <si>
    <t xml:space="preserve">KLM|- Lane 5 - Minggu|11:45</t>
  </si>
  <si>
    <t xml:space="preserve">Kids - Lane 5 - Minggu - 13:15</t>
  </si>
  <si>
    <t xml:space="preserve">KLM|- Lane 5 - Minggu|13:15</t>
  </si>
  <si>
    <t xml:space="preserve">Kids - Lane 5 - Minggu - 14:00</t>
  </si>
  <si>
    <t xml:space="preserve">KLM|- Lane 5 - Minggu|14:00</t>
  </si>
  <si>
    <t xml:space="preserve">Little - Lane 5 - Minggu - 14:45</t>
  </si>
  <si>
    <t xml:space="preserve">KLM|- Lane 5 - Minggu|14:45</t>
  </si>
  <si>
    <t xml:space="preserve">Kids - Lane 5 - Minggu - 15:30</t>
  </si>
  <si>
    <t xml:space="preserve">KLM|- Lane 5 - Minggu|15:30</t>
  </si>
  <si>
    <t xml:space="preserve">Kids - Lane 5 - Minggu - 16:15</t>
  </si>
  <si>
    <t xml:space="preserve">KLM|- Lane 5 - Minggu|16:15</t>
  </si>
  <si>
    <t xml:space="preserve"> - Lane 5 - Minggu - 17:00</t>
  </si>
  <si>
    <t xml:space="preserve">KLM|- Lane 5 - Minggu|17:00</t>
  </si>
  <si>
    <t xml:space="preserve">- Lane 6 - Senin</t>
  </si>
  <si>
    <t xml:space="preserve"> - Lane 6 - Senin - 08:00</t>
  </si>
  <si>
    <t xml:space="preserve">KLM|- Lane 6 - Senin|08:00</t>
  </si>
  <si>
    <t xml:space="preserve"> - Lane 6 - Senin - 08:45</t>
  </si>
  <si>
    <t xml:space="preserve">KLM|- Lane 6 - Senin|08:45</t>
  </si>
  <si>
    <t xml:space="preserve"> - Lane 6 - Senin - 09:30</t>
  </si>
  <si>
    <t xml:space="preserve">KLM|- Lane 6 - Senin|09:30</t>
  </si>
  <si>
    <t xml:space="preserve"> - Lane 6 - Senin - 10:15</t>
  </si>
  <si>
    <t xml:space="preserve">KLM|- Lane 6 - Senin|10:15</t>
  </si>
  <si>
    <t xml:space="preserve"> - Lane 6 - Senin - 11:00</t>
  </si>
  <si>
    <t xml:space="preserve">KLM|- Lane 6 - Senin|11:00</t>
  </si>
  <si>
    <t xml:space="preserve"> - Lane 6 - Senin - 11:45</t>
  </si>
  <si>
    <t xml:space="preserve">KLM|- Lane 6 - Senin|11:45</t>
  </si>
  <si>
    <t xml:space="preserve"> - Lane 6 - Senin - 13:15</t>
  </si>
  <si>
    <t xml:space="preserve">KLM|- Lane 6 - Senin|13:15</t>
  </si>
  <si>
    <t xml:space="preserve"> - Lane 6 - Senin - 14:00</t>
  </si>
  <si>
    <t xml:space="preserve">KLM|- Lane 6 - Senin|14:00</t>
  </si>
  <si>
    <t xml:space="preserve"> - Lane 6 - Senin - 14:45</t>
  </si>
  <si>
    <t xml:space="preserve">KLM|- Lane 6 - Senin|14:45</t>
  </si>
  <si>
    <t xml:space="preserve">Kids - Lane 6 - Senin - 15:30</t>
  </si>
  <si>
    <t xml:space="preserve">KLM|- Lane 6 - Senin|15:30</t>
  </si>
  <si>
    <t xml:space="preserve">Kids - Lane 6 - Senin - 16:15</t>
  </si>
  <si>
    <t xml:space="preserve">KLM|- Lane 6 - Senin|16:15</t>
  </si>
  <si>
    <t xml:space="preserve">Tiny - Lane 6 - Senin - 17:00</t>
  </si>
  <si>
    <t xml:space="preserve">KLM|- Lane 6 - Senin|17:00</t>
  </si>
  <si>
    <t xml:space="preserve">- Lane 6 - Selasa</t>
  </si>
  <si>
    <t xml:space="preserve"> - Lane 6 - Selasa - 08:00</t>
  </si>
  <si>
    <t xml:space="preserve">KLM|- Lane 6 - Selasa|08:00</t>
  </si>
  <si>
    <t xml:space="preserve"> - Lane 6 - Selasa - 08:45</t>
  </si>
  <si>
    <t xml:space="preserve">KLM|- Lane 6 - Selasa|08:45</t>
  </si>
  <si>
    <t xml:space="preserve"> - Lane 6 - Selasa - 09:30</t>
  </si>
  <si>
    <t xml:space="preserve">KLM|- Lane 6 - Selasa|09:30</t>
  </si>
  <si>
    <t xml:space="preserve"> - Lane 6 - Selasa - 10:15</t>
  </si>
  <si>
    <t xml:space="preserve">KLM|- Lane 6 - Selasa|10:15</t>
  </si>
  <si>
    <t xml:space="preserve"> - Lane 6 - Selasa - 11:00</t>
  </si>
  <si>
    <t xml:space="preserve">KLM|- Lane 6 - Selasa|11:00</t>
  </si>
  <si>
    <t xml:space="preserve"> - Lane 6 - Selasa - 11:45</t>
  </si>
  <si>
    <t xml:space="preserve">KLM|- Lane 6 - Selasa|11:45</t>
  </si>
  <si>
    <t xml:space="preserve"> - Lane 6 - Selasa - 13:15</t>
  </si>
  <si>
    <t xml:space="preserve">KLM|- Lane 6 - Selasa|13:15</t>
  </si>
  <si>
    <t xml:space="preserve"> - Lane 6 - Selasa - 14:00</t>
  </si>
  <si>
    <t xml:space="preserve">KLM|- Lane 6 - Selasa|14:00</t>
  </si>
  <si>
    <t xml:space="preserve"> - Lane 6 - Selasa - 14:45</t>
  </si>
  <si>
    <t xml:space="preserve">KLM|- Lane 6 - Selasa|14:45</t>
  </si>
  <si>
    <t xml:space="preserve"> - Lane 6 - Selasa - 15:30</t>
  </si>
  <si>
    <t xml:space="preserve">KLM|- Lane 6 - Selasa|15:30</t>
  </si>
  <si>
    <t xml:space="preserve"> - Lane 6 - Selasa - 16:15</t>
  </si>
  <si>
    <t xml:space="preserve">KLM|- Lane 6 - Selasa|16:15</t>
  </si>
  <si>
    <t xml:space="preserve"> - Lane 6 - Selasa - 17:00</t>
  </si>
  <si>
    <t xml:space="preserve">KLM|- Lane 6 - Selasa|17:00</t>
  </si>
  <si>
    <t xml:space="preserve">- Lane 6 - Rabu</t>
  </si>
  <si>
    <t xml:space="preserve"> - Lane 6 - Rabu - 08:00</t>
  </si>
  <si>
    <t xml:space="preserve">KLM|- Lane 6 - Rabu|08:00</t>
  </si>
  <si>
    <t xml:space="preserve"> - Lane 6 - Rabu - 08:45</t>
  </si>
  <si>
    <t xml:space="preserve">KLM|- Lane 6 - Rabu|08:45</t>
  </si>
  <si>
    <t xml:space="preserve"> - Lane 6 - Rabu - 09:30</t>
  </si>
  <si>
    <t xml:space="preserve">KLM|- Lane 6 - Rabu|09:30</t>
  </si>
  <si>
    <t xml:space="preserve"> - Lane 6 - Rabu - 10:15</t>
  </si>
  <si>
    <t xml:space="preserve">KLM|- Lane 6 - Rabu|10:15</t>
  </si>
  <si>
    <t xml:space="preserve"> - Lane 6 - Rabu - 11:00</t>
  </si>
  <si>
    <t xml:space="preserve">KLM|- Lane 6 - Rabu|11:00</t>
  </si>
  <si>
    <t xml:space="preserve"> - Lane 6 - Rabu - 11:45</t>
  </si>
  <si>
    <t xml:space="preserve">KLM|- Lane 6 - Rabu|11:45</t>
  </si>
  <si>
    <t xml:space="preserve"> - Lane 6 - Rabu - 13:15</t>
  </si>
  <si>
    <t xml:space="preserve">KLM|- Lane 6 - Rabu|13:15</t>
  </si>
  <si>
    <t xml:space="preserve"> - Lane 6 - Rabu - 14:00</t>
  </si>
  <si>
    <t xml:space="preserve">KLM|- Lane 6 - Rabu|14:00</t>
  </si>
  <si>
    <t xml:space="preserve"> - Lane 6 - Rabu - 14:45</t>
  </si>
  <si>
    <t xml:space="preserve">KLM|- Lane 6 - Rabu|14:45</t>
  </si>
  <si>
    <t xml:space="preserve"> - Lane 6 - Rabu - 15:30</t>
  </si>
  <si>
    <t xml:space="preserve">KLM|- Lane 6 - Rabu|15:30</t>
  </si>
  <si>
    <t xml:space="preserve"> - Lane 6 - Rabu - 16:15</t>
  </si>
  <si>
    <t xml:space="preserve">KLM|- Lane 6 - Rabu|16:15</t>
  </si>
  <si>
    <t xml:space="preserve"> - Lane 6 - Rabu - 17:00</t>
  </si>
  <si>
    <t xml:space="preserve">KLM|- Lane 6 - Rabu|17:00</t>
  </si>
  <si>
    <t xml:space="preserve">- Lane 6 - Kamis</t>
  </si>
  <si>
    <t xml:space="preserve"> - Lane 6 - Kamis - 08:00</t>
  </si>
  <si>
    <t xml:space="preserve">KLM|- Lane 6 - Kamis|08:00</t>
  </si>
  <si>
    <t xml:space="preserve"> - Lane 6 - Kamis - 08:45</t>
  </si>
  <si>
    <t xml:space="preserve">KLM|- Lane 6 - Kamis|08:45</t>
  </si>
  <si>
    <t xml:space="preserve"> - Lane 6 - Kamis - 09:30</t>
  </si>
  <si>
    <t xml:space="preserve">KLM|- Lane 6 - Kamis|09:30</t>
  </si>
  <si>
    <t xml:space="preserve"> - Lane 6 - Kamis - 10:15</t>
  </si>
  <si>
    <t xml:space="preserve">KLM|- Lane 6 - Kamis|10:15</t>
  </si>
  <si>
    <t xml:space="preserve"> - Lane 6 - Kamis - 11:00</t>
  </si>
  <si>
    <t xml:space="preserve">KLM|- Lane 6 - Kamis|11:00</t>
  </si>
  <si>
    <t xml:space="preserve"> - Lane 6 - Kamis - 11:45</t>
  </si>
  <si>
    <t xml:space="preserve">KLM|- Lane 6 - Kamis|11:45</t>
  </si>
  <si>
    <t xml:space="preserve"> - Lane 6 - Kamis - 13:15</t>
  </si>
  <si>
    <t xml:space="preserve">KLM|- Lane 6 - Kamis|13:15</t>
  </si>
  <si>
    <t xml:space="preserve"> - Lane 6 - Kamis - 14:00</t>
  </si>
  <si>
    <t xml:space="preserve">KLM|- Lane 6 - Kamis|14:00</t>
  </si>
  <si>
    <t xml:space="preserve"> - Lane 6 - Kamis - 14:45</t>
  </si>
  <si>
    <t xml:space="preserve">KLM|- Lane 6 - Kamis|14:45</t>
  </si>
  <si>
    <t xml:space="preserve"> - Lane 6 - Kamis - 15:30</t>
  </si>
  <si>
    <t xml:space="preserve">KLM|- Lane 6 - Kamis|15:30</t>
  </si>
  <si>
    <t xml:space="preserve"> - Lane 6 - Kamis - 16:15</t>
  </si>
  <si>
    <t xml:space="preserve">KLM|- Lane 6 - Kamis|16:15</t>
  </si>
  <si>
    <t xml:space="preserve"> - Lane 6 - Kamis - 17:00</t>
  </si>
  <si>
    <t xml:space="preserve">KLM|- Lane 6 - Kamis|17:00</t>
  </si>
  <si>
    <t xml:space="preserve">- Lane 6 - Jumat</t>
  </si>
  <si>
    <t xml:space="preserve"> - Lane 6 - Jumat - 08:00</t>
  </si>
  <si>
    <t xml:space="preserve">KLM|- Lane 6 - Jumat|08:00</t>
  </si>
  <si>
    <t xml:space="preserve"> - Lane 6 - Jumat - 08:45</t>
  </si>
  <si>
    <t xml:space="preserve">KLM|- Lane 6 - Jumat|08:45</t>
  </si>
  <si>
    <t xml:space="preserve"> - Lane 6 - Jumat - 09:30</t>
  </si>
  <si>
    <t xml:space="preserve">KLM|- Lane 6 - Jumat|09:30</t>
  </si>
  <si>
    <t xml:space="preserve"> - Lane 6 - Jumat - 10:15</t>
  </si>
  <si>
    <t xml:space="preserve">KLM|- Lane 6 - Jumat|10:15</t>
  </si>
  <si>
    <t xml:space="preserve"> - Lane 6 - Jumat - 11:00</t>
  </si>
  <si>
    <t xml:space="preserve">KLM|- Lane 6 - Jumat|11:00</t>
  </si>
  <si>
    <t xml:space="preserve"> - Lane 6 - Jumat - 11:45</t>
  </si>
  <si>
    <t xml:space="preserve">KLM|- Lane 6 - Jumat|11:45</t>
  </si>
  <si>
    <t xml:space="preserve"> - Lane 6 - Jumat - 13:15</t>
  </si>
  <si>
    <t xml:space="preserve">KLM|- Lane 6 - Jumat|13:15</t>
  </si>
  <si>
    <t xml:space="preserve"> - Lane 6 - Jumat - 14:00</t>
  </si>
  <si>
    <t xml:space="preserve">KLM|- Lane 6 - Jumat|14:00</t>
  </si>
  <si>
    <t xml:space="preserve"> - Lane 6 - Jumat - 14:45</t>
  </si>
  <si>
    <t xml:space="preserve">KLM|- Lane 6 - Jumat|14:45</t>
  </si>
  <si>
    <t xml:space="preserve"> - Lane 6 - Jumat - 15:30</t>
  </si>
  <si>
    <t xml:space="preserve">KLM|- Lane 6 - Jumat|15:30</t>
  </si>
  <si>
    <t xml:space="preserve"> - Lane 6 - Jumat - 16:15</t>
  </si>
  <si>
    <t xml:space="preserve">KLM|- Lane 6 - Jumat|16:15</t>
  </si>
  <si>
    <t xml:space="preserve">Kids - Lane 6 - Jumat - 17:00</t>
  </si>
  <si>
    <t xml:space="preserve">KLM|- Lane 6 - Jumat|17:00</t>
  </si>
  <si>
    <t xml:space="preserve">- Lane 6 - Sabtu</t>
  </si>
  <si>
    <t xml:space="preserve"> - Lane 6 - Sabtu - 08:00</t>
  </si>
  <si>
    <t xml:space="preserve">KLM|- Lane 6 - Sabtu|08:00</t>
  </si>
  <si>
    <t xml:space="preserve">Kids - Lane 6 - Sabtu - 08:45</t>
  </si>
  <si>
    <t xml:space="preserve">KLM|- Lane 6 - Sabtu|08:45</t>
  </si>
  <si>
    <t xml:space="preserve">Little - Lane 6 - Sabtu - 09:30</t>
  </si>
  <si>
    <t xml:space="preserve">KLM|- Lane 6 - Sabtu|09:30</t>
  </si>
  <si>
    <t xml:space="preserve">Kids - Lane 6 - Sabtu - 10:15</t>
  </si>
  <si>
    <t xml:space="preserve">KLM|- Lane 6 - Sabtu|10:15</t>
  </si>
  <si>
    <t xml:space="preserve"> - Lane 6 - Sabtu - 11:00</t>
  </si>
  <si>
    <t xml:space="preserve">KLM|- Lane 6 - Sabtu|11:00</t>
  </si>
  <si>
    <t xml:space="preserve"> - Lane 6 - Sabtu - 11:45</t>
  </si>
  <si>
    <t xml:space="preserve">KLM|- Lane 6 - Sabtu|11:45</t>
  </si>
  <si>
    <t xml:space="preserve"> - Lane 6 - Sabtu - 13:15</t>
  </si>
  <si>
    <t xml:space="preserve">KLM|- Lane 6 - Sabtu|13:15</t>
  </si>
  <si>
    <t xml:space="preserve"> - Lane 6 - Sabtu - 14:00</t>
  </si>
  <si>
    <t xml:space="preserve">KLM|- Lane 6 - Sabtu|14:00</t>
  </si>
  <si>
    <t xml:space="preserve"> - Lane 6 - Sabtu - 14:45</t>
  </si>
  <si>
    <t xml:space="preserve">KLM|- Lane 6 - Sabtu|14:45</t>
  </si>
  <si>
    <t xml:space="preserve"> - Lane 6 - Sabtu - 15:30</t>
  </si>
  <si>
    <t xml:space="preserve">KLM|- Lane 6 - Sabtu|15:30</t>
  </si>
  <si>
    <t xml:space="preserve"> - Lane 6 - Sabtu - 16:15</t>
  </si>
  <si>
    <t xml:space="preserve">KLM|- Lane 6 - Sabtu|16:15</t>
  </si>
  <si>
    <t xml:space="preserve"> - Lane 6 - Sabtu - 17:00</t>
  </si>
  <si>
    <t xml:space="preserve">KLM|- Lane 6 - Sabtu|17:00</t>
  </si>
  <si>
    <t xml:space="preserve">- Lane 6 - Minggu</t>
  </si>
  <si>
    <t xml:space="preserve"> - Lane 6 - Minggu - 08:00</t>
  </si>
  <si>
    <t xml:space="preserve">KLM|- Lane 6 - Minggu|08:00</t>
  </si>
  <si>
    <t xml:space="preserve"> - Lane 6 - Minggu - 08:45</t>
  </si>
  <si>
    <t xml:space="preserve">KLM|- Lane 6 - Minggu|08:45</t>
  </si>
  <si>
    <t xml:space="preserve"> - Lane 6 - Minggu - 09:30</t>
  </si>
  <si>
    <t xml:space="preserve">KLM|- Lane 6 - Minggu|09:30</t>
  </si>
  <si>
    <t xml:space="preserve"> - Lane 6 - Minggu - 10:15</t>
  </si>
  <si>
    <t xml:space="preserve">KLM|- Lane 6 - Minggu|10:15</t>
  </si>
  <si>
    <t xml:space="preserve"> - Lane 6 - Minggu - 11:00</t>
  </si>
  <si>
    <t xml:space="preserve">KLM|- Lane 6 - Minggu|11:00</t>
  </si>
  <si>
    <t xml:space="preserve"> - Lane 6 - Minggu - 11:45</t>
  </si>
  <si>
    <t xml:space="preserve">KLM|- Lane 6 - Minggu|11:45</t>
  </si>
  <si>
    <t xml:space="preserve"> - Lane 6 - Minggu - 13:15</t>
  </si>
  <si>
    <t xml:space="preserve">KLM|- Lane 6 - Minggu|13:15</t>
  </si>
  <si>
    <t xml:space="preserve"> - Lane 6 - Minggu - 14:00</t>
  </si>
  <si>
    <t xml:space="preserve">KLM|- Lane 6 - Minggu|14:00</t>
  </si>
  <si>
    <t xml:space="preserve"> - Lane 6 - Minggu - 14:45</t>
  </si>
  <si>
    <t xml:space="preserve">KLM|- Lane 6 - Minggu|14:45</t>
  </si>
  <si>
    <t xml:space="preserve"> - Lane 6 - Minggu - 15:30</t>
  </si>
  <si>
    <t xml:space="preserve">KLM|- Lane 6 - Minggu|15:30</t>
  </si>
  <si>
    <t xml:space="preserve">Little - Lane 6 - Minggu - 16:15</t>
  </si>
  <si>
    <t xml:space="preserve">KLM|- Lane 6 - Minggu|16:15</t>
  </si>
  <si>
    <t xml:space="preserve"> - Lane 6 - Minggu - 17:00</t>
  </si>
  <si>
    <t xml:space="preserve">KLM|- Lane 6 - Minggu|17:00</t>
  </si>
  <si>
    <t xml:space="preserve">Baby - Lane 1 - Senin - 08:00</t>
  </si>
  <si>
    <t xml:space="preserve">KWC|- Lane 1 - Senin|08:00</t>
  </si>
  <si>
    <t xml:space="preserve">Baby - Lane 1 - Senin - 08:45</t>
  </si>
  <si>
    <t xml:space="preserve">KWC|- Lane 1 - Senin|08:45</t>
  </si>
  <si>
    <t xml:space="preserve">Baby - Lane 1 - Senin - 09:30</t>
  </si>
  <si>
    <t xml:space="preserve">KWC|- Lane 1 - Senin|09:30</t>
  </si>
  <si>
    <t xml:space="preserve">Baby - Lane 1 - Senin - 10:15</t>
  </si>
  <si>
    <t xml:space="preserve">KWC|- Lane 1 - Senin|10:15</t>
  </si>
  <si>
    <t xml:space="preserve">Baby - Lane 1 - Senin - 11:00</t>
  </si>
  <si>
    <t xml:space="preserve">KWC|- Lane 1 - Senin|11:00</t>
  </si>
  <si>
    <t xml:space="preserve">Baby - Lane 1 - Senin - 11:45</t>
  </si>
  <si>
    <t xml:space="preserve">KWC|- Lane 1 - Senin|11:45</t>
  </si>
  <si>
    <t xml:space="preserve">Baby - Lane 1 - Senin - 13:15</t>
  </si>
  <si>
    <t xml:space="preserve">KWC|- Lane 1 - Senin|13:15</t>
  </si>
  <si>
    <t xml:space="preserve">Baby - Lane 1 - Senin - 14:00</t>
  </si>
  <si>
    <t xml:space="preserve">KWC|- Lane 1 - Senin|14:00</t>
  </si>
  <si>
    <t xml:space="preserve">Baby - Lane 1 - Senin - 14:45</t>
  </si>
  <si>
    <t xml:space="preserve">KWC|- Lane 1 - Senin|14:45</t>
  </si>
  <si>
    <t xml:space="preserve">Baby - Lane 1 - Senin - 15:30</t>
  </si>
  <si>
    <t xml:space="preserve">KWC|- Lane 1 - Senin|15:30</t>
  </si>
  <si>
    <t xml:space="preserve">Baby - Lane 1 - Senin - 16:15</t>
  </si>
  <si>
    <t xml:space="preserve">KWC|- Lane 1 - Senin|16:15</t>
  </si>
  <si>
    <t xml:space="preserve">Baby - Lane 1 - Senin - 17:00</t>
  </si>
  <si>
    <t xml:space="preserve">KWC|- Lane 1 - Senin|17:00</t>
  </si>
  <si>
    <t xml:space="preserve">Baby - Lane 1 - Selasa - 08:00</t>
  </si>
  <si>
    <t xml:space="preserve">KWC|- Lane 1 - Selasa|08:00</t>
  </si>
  <si>
    <t xml:space="preserve">Baby - Lane 1 - Selasa - 08:45</t>
  </si>
  <si>
    <t xml:space="preserve">KWC|- Lane 1 - Selasa|08:45</t>
  </si>
  <si>
    <t xml:space="preserve">Baby - Lane 1 - Selasa - 09:30</t>
  </si>
  <si>
    <t xml:space="preserve">KWC|- Lane 1 - Selasa|09:30</t>
  </si>
  <si>
    <t xml:space="preserve">Baby - Lane 1 - Selasa - 10:15</t>
  </si>
  <si>
    <t xml:space="preserve">KWC|- Lane 1 - Selasa|10:15</t>
  </si>
  <si>
    <t xml:space="preserve">Baby - Lane 1 - Selasa - 11:00</t>
  </si>
  <si>
    <t xml:space="preserve">KWC|- Lane 1 - Selasa|11:00</t>
  </si>
  <si>
    <t xml:space="preserve">Baby - Lane 1 - Selasa - 11:45</t>
  </si>
  <si>
    <t xml:space="preserve">KWC|- Lane 1 - Selasa|11:45</t>
  </si>
  <si>
    <t xml:space="preserve">Baby - Lane 1 - Selasa - 13:15</t>
  </si>
  <si>
    <t xml:space="preserve">KWC|- Lane 1 - Selasa|13:15</t>
  </si>
  <si>
    <t xml:space="preserve">Baby - Lane 1 - Selasa - 14:00</t>
  </si>
  <si>
    <t xml:space="preserve">KWC|- Lane 1 - Selasa|14:00</t>
  </si>
  <si>
    <t xml:space="preserve">Baby - Lane 1 - Selasa - 14:45</t>
  </si>
  <si>
    <t xml:space="preserve">KWC|- Lane 1 - Selasa|14:45</t>
  </si>
  <si>
    <t xml:space="preserve">Baby - Lane 1 - Selasa - 15:30</t>
  </si>
  <si>
    <t xml:space="preserve">KWC|- Lane 1 - Selasa|15:30</t>
  </si>
  <si>
    <t xml:space="preserve">Baby - Lane 1 - Selasa - 16:15</t>
  </si>
  <si>
    <t xml:space="preserve">KWC|- Lane 1 - Selasa|16:15</t>
  </si>
  <si>
    <t xml:space="preserve">Baby - Lane 1 - Selasa - 17:00</t>
  </si>
  <si>
    <t xml:space="preserve">KWC|- Lane 1 - Selasa|17:00</t>
  </si>
  <si>
    <t xml:space="preserve">Baby - Lane 1 - Rabu - 08:00</t>
  </si>
  <si>
    <t xml:space="preserve">KWC|- Lane 1 - Rabu|08:00</t>
  </si>
  <si>
    <t xml:space="preserve">Baby - Lane 1 - Rabu - 08:45</t>
  </si>
  <si>
    <t xml:space="preserve">KWC|- Lane 1 - Rabu|08:45</t>
  </si>
  <si>
    <t xml:space="preserve">Baby - Lane 1 - Rabu - 09:30</t>
  </si>
  <si>
    <t xml:space="preserve">KWC|- Lane 1 - Rabu|09:30</t>
  </si>
  <si>
    <t xml:space="preserve">Baby - Lane 1 - Rabu - 10:15</t>
  </si>
  <si>
    <t xml:space="preserve">KWC|- Lane 1 - Rabu|10:15</t>
  </si>
  <si>
    <t xml:space="preserve">Baby - Lane 1 - Rabu - 11:00</t>
  </si>
  <si>
    <t xml:space="preserve">KWC|- Lane 1 - Rabu|11:00</t>
  </si>
  <si>
    <t xml:space="preserve">Baby - Lane 1 - Rabu - 11:45</t>
  </si>
  <si>
    <t xml:space="preserve">KWC|- Lane 1 - Rabu|11:45</t>
  </si>
  <si>
    <t xml:space="preserve">Baby - Lane 1 - Rabu - 13:15</t>
  </si>
  <si>
    <t xml:space="preserve">KWC|- Lane 1 - Rabu|13:15</t>
  </si>
  <si>
    <t xml:space="preserve">Baby - Lane 1 - Rabu - 14:00</t>
  </si>
  <si>
    <t xml:space="preserve">KWC|- Lane 1 - Rabu|14:00</t>
  </si>
  <si>
    <t xml:space="preserve">Baby - Lane 1 - Rabu - 14:45</t>
  </si>
  <si>
    <t xml:space="preserve">KWC|- Lane 1 - Rabu|14:45</t>
  </si>
  <si>
    <t xml:space="preserve">Baby - Lane 1 - Rabu - 15:30</t>
  </si>
  <si>
    <t xml:space="preserve">KWC|- Lane 1 - Rabu|15:30</t>
  </si>
  <si>
    <t xml:space="preserve">Baby - Lane 1 - Rabu - 16:15</t>
  </si>
  <si>
    <t xml:space="preserve">KWC|- Lane 1 - Rabu|16:15</t>
  </si>
  <si>
    <t xml:space="preserve">Baby - Lane 1 - Rabu - 17:00</t>
  </si>
  <si>
    <t xml:space="preserve">KWC|- Lane 1 - Rabu|17:00</t>
  </si>
  <si>
    <t xml:space="preserve">Baby - Lane 1 - Kamis - 08:00</t>
  </si>
  <si>
    <t xml:space="preserve">KWC|- Lane 1 - Kamis|08:00</t>
  </si>
  <si>
    <t xml:space="preserve">Baby - Lane 1 - Kamis - 08:45</t>
  </si>
  <si>
    <t xml:space="preserve">KWC|- Lane 1 - Kamis|08:45</t>
  </si>
  <si>
    <t xml:space="preserve">Baby - Lane 1 - Kamis - 09:30</t>
  </si>
  <si>
    <t xml:space="preserve">KWC|- Lane 1 - Kamis|09:30</t>
  </si>
  <si>
    <t xml:space="preserve">Baby - Lane 1 - Kamis - 10:15</t>
  </si>
  <si>
    <t xml:space="preserve">KWC|- Lane 1 - Kamis|10:15</t>
  </si>
  <si>
    <t xml:space="preserve">Baby - Lane 1 - Kamis - 11:00</t>
  </si>
  <si>
    <t xml:space="preserve">KWC|- Lane 1 - Kamis|11:00</t>
  </si>
  <si>
    <t xml:space="preserve">Baby - Lane 1 - Kamis - 11:45</t>
  </si>
  <si>
    <t xml:space="preserve">KWC|- Lane 1 - Kamis|11:45</t>
  </si>
  <si>
    <t xml:space="preserve">Baby - Lane 1 - Kamis - 13:15</t>
  </si>
  <si>
    <t xml:space="preserve">KWC|- Lane 1 - Kamis|13:15</t>
  </si>
  <si>
    <t xml:space="preserve">Baby - Lane 1 - Kamis - 14:00</t>
  </si>
  <si>
    <t xml:space="preserve">KWC|- Lane 1 - Kamis|14:00</t>
  </si>
  <si>
    <t xml:space="preserve">Baby - Lane 1 - Kamis - 14:45</t>
  </si>
  <si>
    <t xml:space="preserve">KWC|- Lane 1 - Kamis|14:45</t>
  </si>
  <si>
    <t xml:space="preserve">Baby - Lane 1 - Kamis - 15:30</t>
  </si>
  <si>
    <t xml:space="preserve">KWC|- Lane 1 - Kamis|15:30</t>
  </si>
  <si>
    <t xml:space="preserve">Baby - Lane 1 - Kamis - 16:15</t>
  </si>
  <si>
    <t xml:space="preserve">KWC|- Lane 1 - Kamis|16:15</t>
  </si>
  <si>
    <t xml:space="preserve">Baby - Lane 1 - Kamis - 17:00</t>
  </si>
  <si>
    <t xml:space="preserve">KWC|- Lane 1 - Kamis|17:00</t>
  </si>
  <si>
    <t xml:space="preserve">Baby - Lane 1 - Jumat - 08:00</t>
  </si>
  <si>
    <t xml:space="preserve">KWC|- Lane 1 - Jumat|08:00</t>
  </si>
  <si>
    <t xml:space="preserve">Baby - Lane 1 - Jumat - 08:45</t>
  </si>
  <si>
    <t xml:space="preserve">KWC|- Lane 1 - Jumat|08:45</t>
  </si>
  <si>
    <t xml:space="preserve">Baby - Lane 1 - Jumat - 09:30</t>
  </si>
  <si>
    <t xml:space="preserve">KWC|- Lane 1 - Jumat|09:30</t>
  </si>
  <si>
    <t xml:space="preserve">Baby - Lane 1 - Jumat - 10:15</t>
  </si>
  <si>
    <t xml:space="preserve">KWC|- Lane 1 - Jumat|10:15</t>
  </si>
  <si>
    <t xml:space="preserve">Baby - Lane 1 - Jumat - 11:00</t>
  </si>
  <si>
    <t xml:space="preserve">KWC|- Lane 1 - Jumat|11:00</t>
  </si>
  <si>
    <t xml:space="preserve">Baby - Lane 1 - Jumat - 11:45</t>
  </si>
  <si>
    <t xml:space="preserve">KWC|- Lane 1 - Jumat|11:45</t>
  </si>
  <si>
    <t xml:space="preserve">Baby - Lane 1 - Jumat - 13:15</t>
  </si>
  <si>
    <t xml:space="preserve">KWC|- Lane 1 - Jumat|13:15</t>
  </si>
  <si>
    <t xml:space="preserve">Baby - Lane 1 - Jumat - 14:00</t>
  </si>
  <si>
    <t xml:space="preserve">KWC|- Lane 1 - Jumat|14:00</t>
  </si>
  <si>
    <t xml:space="preserve">Baby - Lane 1 - Jumat - 14:45</t>
  </si>
  <si>
    <t xml:space="preserve">KWC|- Lane 1 - Jumat|14:45</t>
  </si>
  <si>
    <t xml:space="preserve">Baby - Lane 1 - Jumat - 15:30</t>
  </si>
  <si>
    <t xml:space="preserve">KWC|- Lane 1 - Jumat|15:30</t>
  </si>
  <si>
    <t xml:space="preserve">Baby - Lane 1 - Jumat - 16:15</t>
  </si>
  <si>
    <t xml:space="preserve">KWC|- Lane 1 - Jumat|16:15</t>
  </si>
  <si>
    <t xml:space="preserve">Baby - Lane 1 - Jumat - 17:00</t>
  </si>
  <si>
    <t xml:space="preserve">KWC|- Lane 1 - Jumat|17:00</t>
  </si>
  <si>
    <t xml:space="preserve">Baby - Lane 1 - Sabtu - 08:00</t>
  </si>
  <si>
    <t xml:space="preserve">KWC|- Lane 1 - Sabtu|08:00</t>
  </si>
  <si>
    <t xml:space="preserve">Baby - Lane 1 - Sabtu - 08:45</t>
  </si>
  <si>
    <t xml:space="preserve">KWC|- Lane 1 - Sabtu|08:45</t>
  </si>
  <si>
    <t xml:space="preserve">Baby - Lane 1 - Sabtu - 09:30</t>
  </si>
  <si>
    <t xml:space="preserve">KWC|- Lane 1 - Sabtu|09:30</t>
  </si>
  <si>
    <t xml:space="preserve">Baby - Lane 1 - Sabtu - 10:15</t>
  </si>
  <si>
    <t xml:space="preserve">KWC|- Lane 1 - Sabtu|10:15</t>
  </si>
  <si>
    <t xml:space="preserve">Baby - Lane 1 - Sabtu - 11:00</t>
  </si>
  <si>
    <t xml:space="preserve">KWC|- Lane 1 - Sabtu|11:00</t>
  </si>
  <si>
    <t xml:space="preserve">Baby - Lane 1 - Sabtu - 11:45</t>
  </si>
  <si>
    <t xml:space="preserve">KWC|- Lane 1 - Sabtu|11:45</t>
  </si>
  <si>
    <t xml:space="preserve">Baby - Lane 1 - Sabtu - 13:15</t>
  </si>
  <si>
    <t xml:space="preserve">KWC|- Lane 1 - Sabtu|13:15</t>
  </si>
  <si>
    <t xml:space="preserve">Baby - Lane 1 - Sabtu - 14:00</t>
  </si>
  <si>
    <t xml:space="preserve">KWC|- Lane 1 - Sabtu|14:00</t>
  </si>
  <si>
    <t xml:space="preserve">Baby - Lane 1 - Sabtu - 14:45</t>
  </si>
  <si>
    <t xml:space="preserve">KWC|- Lane 1 - Sabtu|14:45</t>
  </si>
  <si>
    <t xml:space="preserve">Baby - Lane 1 - Sabtu - 15:30</t>
  </si>
  <si>
    <t xml:space="preserve">KWC|- Lane 1 - Sabtu|15:30</t>
  </si>
  <si>
    <t xml:space="preserve">Baby - Lane 1 - Sabtu - 16:15</t>
  </si>
  <si>
    <t xml:space="preserve">KWC|- Lane 1 - Sabtu|16:15</t>
  </si>
  <si>
    <t xml:space="preserve">Baby - Lane 1 - Sabtu - 17:00</t>
  </si>
  <si>
    <t xml:space="preserve">KWC|- Lane 1 - Sabtu|17:00</t>
  </si>
  <si>
    <t xml:space="preserve">Baby - Lane 1 - Minggu - 08:00</t>
  </si>
  <si>
    <t xml:space="preserve">KWC|- Lane 1 - Minggu|08:00</t>
  </si>
  <si>
    <t xml:space="preserve">Baby - Lane 1 - Minggu - 08:45</t>
  </si>
  <si>
    <t xml:space="preserve">KWC|- Lane 1 - Minggu|08:45</t>
  </si>
  <si>
    <t xml:space="preserve">Baby - Lane 1 - Minggu - 09:30</t>
  </si>
  <si>
    <t xml:space="preserve">KWC|- Lane 1 - Minggu|09:30</t>
  </si>
  <si>
    <t xml:space="preserve">Baby - Lane 1 - Minggu - 10:15</t>
  </si>
  <si>
    <t xml:space="preserve">KWC|- Lane 1 - Minggu|10:15</t>
  </si>
  <si>
    <t xml:space="preserve">Baby - Lane 1 - Minggu - 11:00</t>
  </si>
  <si>
    <t xml:space="preserve">KWC|- Lane 1 - Minggu|11:00</t>
  </si>
  <si>
    <t xml:space="preserve">Baby - Lane 1 - Minggu - 11:45</t>
  </si>
  <si>
    <t xml:space="preserve">KWC|- Lane 1 - Minggu|11:45</t>
  </si>
  <si>
    <t xml:space="preserve">Baby - Lane 1 - Minggu - 13:15</t>
  </si>
  <si>
    <t xml:space="preserve">KWC|- Lane 1 - Minggu|13:15</t>
  </si>
  <si>
    <t xml:space="preserve">Baby - Lane 1 - Minggu - 14:00</t>
  </si>
  <si>
    <t xml:space="preserve">KWC|- Lane 1 - Minggu|14:00</t>
  </si>
  <si>
    <t xml:space="preserve">Baby - Lane 1 - Minggu - 14:45</t>
  </si>
  <si>
    <t xml:space="preserve">KWC|- Lane 1 - Minggu|14:45</t>
  </si>
  <si>
    <t xml:space="preserve">Baby - Lane 1 - Minggu - 15:30</t>
  </si>
  <si>
    <t xml:space="preserve">KWC|- Lane 1 - Minggu|15:30</t>
  </si>
  <si>
    <t xml:space="preserve">Baby - Lane 1 - Minggu - 16:15</t>
  </si>
  <si>
    <t xml:space="preserve">KWC|- Lane 1 - Minggu|16:15</t>
  </si>
  <si>
    <t xml:space="preserve">Baby - Lane 1 - Minggu - 17:00</t>
  </si>
  <si>
    <t xml:space="preserve">KWC|- Lane 1 - Minggu|17:00</t>
  </si>
  <si>
    <t xml:space="preserve">KWC|- Lane 1 - Senin|07:30</t>
  </si>
  <si>
    <t xml:space="preserve">KWC|- Lane 1 - Selasa|07:30</t>
  </si>
  <si>
    <t xml:space="preserve">KWC|- Lane 1 - Rabu|07:30</t>
  </si>
  <si>
    <t xml:space="preserve">KWC|- Lane 1 - Kamis|07:30</t>
  </si>
  <si>
    <t xml:space="preserve">KWC|- Lane 1 - Jumat|07:30</t>
  </si>
  <si>
    <t xml:space="preserve">KWC|- Lane 1 - Sabtu|07:30</t>
  </si>
  <si>
    <t xml:space="preserve">KWC|- Lane 1 - Minggu|07:30</t>
  </si>
  <si>
    <t xml:space="preserve">KWC|- Lane 1 - Senin|18:00</t>
  </si>
  <si>
    <t xml:space="preserve">KWC|- Lane 1 - Selasa|18:00</t>
  </si>
  <si>
    <t xml:space="preserve">KWC|- Lane 1 - Rabu|18:00</t>
  </si>
  <si>
    <t xml:space="preserve">KWC|- Lane 1 - Kamis|18:00</t>
  </si>
  <si>
    <t xml:space="preserve">KWC|- Lane 1 - Jumat|18:00</t>
  </si>
  <si>
    <t xml:space="preserve">KWC|- Lane 1 - Sabtu|18:00</t>
  </si>
  <si>
    <t xml:space="preserve">KWC|- Lane 1 - Minggu|18:00</t>
  </si>
  <si>
    <t xml:space="preserve">Tiny - Lane 2 - Senin - 08:00</t>
  </si>
  <si>
    <t xml:space="preserve">KWC|- Lane 2 - Senin|08:00</t>
  </si>
  <si>
    <t xml:space="preserve">Tiny - Lane 2 - Senin - 08:45</t>
  </si>
  <si>
    <t xml:space="preserve">KWC|- Lane 2 - Senin|08:45</t>
  </si>
  <si>
    <t xml:space="preserve">Tiny - Lane 2 - Senin - 09:30</t>
  </si>
  <si>
    <t xml:space="preserve">KWC|- Lane 2 - Senin|09:30</t>
  </si>
  <si>
    <t xml:space="preserve">Tiny - Lane 2 - Senin - 10:15</t>
  </si>
  <si>
    <t xml:space="preserve">KWC|- Lane 2 - Senin|10:15</t>
  </si>
  <si>
    <t xml:space="preserve">Tiny - Lane 2 - Senin - 11:00</t>
  </si>
  <si>
    <t xml:space="preserve">KWC|- Lane 2 - Senin|11:00</t>
  </si>
  <si>
    <t xml:space="preserve">Tiny - Lane 2 - Senin - 11:45</t>
  </si>
  <si>
    <t xml:space="preserve">KWC|- Lane 2 - Senin|11:45</t>
  </si>
  <si>
    <t xml:space="preserve">Tiny - Lane 2 - Senin - 13:15</t>
  </si>
  <si>
    <t xml:space="preserve">KWC|- Lane 2 - Senin|13:15</t>
  </si>
  <si>
    <t xml:space="preserve">Tiny - Lane 2 - Senin - 14:00</t>
  </si>
  <si>
    <t xml:space="preserve">KWC|- Lane 2 - Senin|14:00</t>
  </si>
  <si>
    <t xml:space="preserve">Tiny - Lane 2 - Senin - 14:45</t>
  </si>
  <si>
    <t xml:space="preserve">KWC|- Lane 2 - Senin|14:45</t>
  </si>
  <si>
    <t xml:space="preserve">Tiny - Lane 2 - Senin - 15:30</t>
  </si>
  <si>
    <t xml:space="preserve">KWC|- Lane 2 - Senin|15:30</t>
  </si>
  <si>
    <t xml:space="preserve">Tiny - Lane 2 - Senin - 16:15</t>
  </si>
  <si>
    <t xml:space="preserve">KWC|- Lane 2 - Senin|16:15</t>
  </si>
  <si>
    <t xml:space="preserve">Tiny - Lane 2 - Senin - 17:00</t>
  </si>
  <si>
    <t xml:space="preserve">KWC|- Lane 2 - Senin|17:00</t>
  </si>
  <si>
    <t xml:space="preserve">Tiny - Lane 2 - Selasa - 08:00</t>
  </si>
  <si>
    <t xml:space="preserve">KWC|- Lane 2 - Selasa|08:00</t>
  </si>
  <si>
    <t xml:space="preserve">Tiny - Lane 2 - Selasa - 08:45</t>
  </si>
  <si>
    <t xml:space="preserve">KWC|- Lane 2 - Selasa|08:45</t>
  </si>
  <si>
    <t xml:space="preserve">Tiny - Lane 2 - Selasa - 09:30</t>
  </si>
  <si>
    <t xml:space="preserve">KWC|- Lane 2 - Selasa|09:30</t>
  </si>
  <si>
    <t xml:space="preserve">Tiny - Lane 2 - Selasa - 10:15</t>
  </si>
  <si>
    <t xml:space="preserve">KWC|- Lane 2 - Selasa|10:15</t>
  </si>
  <si>
    <t xml:space="preserve">Tiny - Lane 2 - Selasa - 11:00</t>
  </si>
  <si>
    <t xml:space="preserve">KWC|- Lane 2 - Selasa|11:00</t>
  </si>
  <si>
    <t xml:space="preserve">Tiny - Lane 2 - Selasa - 11:45</t>
  </si>
  <si>
    <t xml:space="preserve">KWC|- Lane 2 - Selasa|11:45</t>
  </si>
  <si>
    <t xml:space="preserve">Tiny - Lane 2 - Selasa - 13:15</t>
  </si>
  <si>
    <t xml:space="preserve">KWC|- Lane 2 - Selasa|13:15</t>
  </si>
  <si>
    <t xml:space="preserve">Tiny - Lane 2 - Selasa - 14:00</t>
  </si>
  <si>
    <t xml:space="preserve">KWC|- Lane 2 - Selasa|14:00</t>
  </si>
  <si>
    <t xml:space="preserve">Tiny - Lane 2 - Selasa - 14:45</t>
  </si>
  <si>
    <t xml:space="preserve">KWC|- Lane 2 - Selasa|14:45</t>
  </si>
  <si>
    <t xml:space="preserve">Tiny - Lane 2 - Selasa - 15:30</t>
  </si>
  <si>
    <t xml:space="preserve">KWC|- Lane 2 - Selasa|15:30</t>
  </si>
  <si>
    <t xml:space="preserve">Tiny - Lane 2 - Selasa - 16:15</t>
  </si>
  <si>
    <t xml:space="preserve">KWC|- Lane 2 - Selasa|16:15</t>
  </si>
  <si>
    <t xml:space="preserve">Tiny - Lane 2 - Selasa - 17:00</t>
  </si>
  <si>
    <t xml:space="preserve">KWC|- Lane 2 - Selasa|17:00</t>
  </si>
  <si>
    <t xml:space="preserve">Tiny - Lane 2 - Rabu - 08:00</t>
  </si>
  <si>
    <t xml:space="preserve">KWC|- Lane 2 - Rabu|08:00</t>
  </si>
  <si>
    <t xml:space="preserve">Tiny - Lane 2 - Rabu - 08:45</t>
  </si>
  <si>
    <t xml:space="preserve">KWC|- Lane 2 - Rabu|08:45</t>
  </si>
  <si>
    <t xml:space="preserve">Tiny - Lane 2 - Rabu - 09:30</t>
  </si>
  <si>
    <t xml:space="preserve">KWC|- Lane 2 - Rabu|09:30</t>
  </si>
  <si>
    <t xml:space="preserve">Tiny - Lane 2 - Rabu - 10:15</t>
  </si>
  <si>
    <t xml:space="preserve">KWC|- Lane 2 - Rabu|10:15</t>
  </si>
  <si>
    <t xml:space="preserve">Tiny - Lane 2 - Rabu - 11:00</t>
  </si>
  <si>
    <t xml:space="preserve">KWC|- Lane 2 - Rabu|11:00</t>
  </si>
  <si>
    <t xml:space="preserve">Tiny - Lane 2 - Rabu - 11:45</t>
  </si>
  <si>
    <t xml:space="preserve">KWC|- Lane 2 - Rabu|11:45</t>
  </si>
  <si>
    <t xml:space="preserve">Tiny - Lane 2 - Rabu - 13:15</t>
  </si>
  <si>
    <t xml:space="preserve">KWC|- Lane 2 - Rabu|13:15</t>
  </si>
  <si>
    <t xml:space="preserve">Tiny - Lane 2 - Rabu - 14:00</t>
  </si>
  <si>
    <t xml:space="preserve">KWC|- Lane 2 - Rabu|14:00</t>
  </si>
  <si>
    <t xml:space="preserve">Tiny - Lane 2 - Rabu - 14:45</t>
  </si>
  <si>
    <t xml:space="preserve">KWC|- Lane 2 - Rabu|14:45</t>
  </si>
  <si>
    <t xml:space="preserve">Tiny - Lane 2 - Rabu - 15:30</t>
  </si>
  <si>
    <t xml:space="preserve">KWC|- Lane 2 - Rabu|15:30</t>
  </si>
  <si>
    <t xml:space="preserve">Tiny - Lane 2 - Rabu - 16:15</t>
  </si>
  <si>
    <t xml:space="preserve">KWC|- Lane 2 - Rabu|16:15</t>
  </si>
  <si>
    <t xml:space="preserve">Tiny - Lane 2 - Rabu - 17:00</t>
  </si>
  <si>
    <t xml:space="preserve">KWC|- Lane 2 - Rabu|17:00</t>
  </si>
  <si>
    <t xml:space="preserve">Tiny - Lane 2 - Kamis - 08:00</t>
  </si>
  <si>
    <t xml:space="preserve">KWC|- Lane 2 - Kamis|08:00</t>
  </si>
  <si>
    <t xml:space="preserve">Tiny - Lane 2 - Kamis - 08:45</t>
  </si>
  <si>
    <t xml:space="preserve">KWC|- Lane 2 - Kamis|08:45</t>
  </si>
  <si>
    <t xml:space="preserve">Tiny - Lane 2 - Kamis - 09:30</t>
  </si>
  <si>
    <t xml:space="preserve">KWC|- Lane 2 - Kamis|09:30</t>
  </si>
  <si>
    <t xml:space="preserve">Tiny - Lane 2 - Kamis - 10:15</t>
  </si>
  <si>
    <t xml:space="preserve">KWC|- Lane 2 - Kamis|10:15</t>
  </si>
  <si>
    <t xml:space="preserve">Tiny - Lane 2 - Kamis - 11:00</t>
  </si>
  <si>
    <t xml:space="preserve">KWC|- Lane 2 - Kamis|11:00</t>
  </si>
  <si>
    <t xml:space="preserve">Tiny - Lane 2 - Kamis - 11:45</t>
  </si>
  <si>
    <t xml:space="preserve">KWC|- Lane 2 - Kamis|11:45</t>
  </si>
  <si>
    <t xml:space="preserve">Tiny - Lane 2 - Kamis - 13:15</t>
  </si>
  <si>
    <t xml:space="preserve">KWC|- Lane 2 - Kamis|13:15</t>
  </si>
  <si>
    <t xml:space="preserve">Tiny - Lane 2 - Kamis - 14:00</t>
  </si>
  <si>
    <t xml:space="preserve">KWC|- Lane 2 - Kamis|14:00</t>
  </si>
  <si>
    <t xml:space="preserve">Tiny - Lane 2 - Kamis - 14:45</t>
  </si>
  <si>
    <t xml:space="preserve">KWC|- Lane 2 - Kamis|14:45</t>
  </si>
  <si>
    <t xml:space="preserve">Tiny - Lane 2 - Kamis - 15:30</t>
  </si>
  <si>
    <t xml:space="preserve">KWC|- Lane 2 - Kamis|15:30</t>
  </si>
  <si>
    <t xml:space="preserve">Tiny - Lane 2 - Kamis - 16:15</t>
  </si>
  <si>
    <t xml:space="preserve">KWC|- Lane 2 - Kamis|16:15</t>
  </si>
  <si>
    <t xml:space="preserve">Tiny - Lane 2 - Kamis - 17:00</t>
  </si>
  <si>
    <t xml:space="preserve">KWC|- Lane 2 - Kamis|17:00</t>
  </si>
  <si>
    <t xml:space="preserve">Tiny - Lane 2 - Jumat - 08:00</t>
  </si>
  <si>
    <t xml:space="preserve">KWC|- Lane 2 - Jumat|08:00</t>
  </si>
  <si>
    <t xml:space="preserve">Tiny - Lane 2 - Jumat - 08:45</t>
  </si>
  <si>
    <t xml:space="preserve">KWC|- Lane 2 - Jumat|08:45</t>
  </si>
  <si>
    <t xml:space="preserve">Tiny - Lane 2 - Jumat - 09:30</t>
  </si>
  <si>
    <t xml:space="preserve">KWC|- Lane 2 - Jumat|09:30</t>
  </si>
  <si>
    <t xml:space="preserve">Tiny - Lane 2 - Jumat - 10:15</t>
  </si>
  <si>
    <t xml:space="preserve">KWC|- Lane 2 - Jumat|10:15</t>
  </si>
  <si>
    <t xml:space="preserve">Tiny - Lane 2 - Jumat - 11:00</t>
  </si>
  <si>
    <t xml:space="preserve">KWC|- Lane 2 - Jumat|11:00</t>
  </si>
  <si>
    <t xml:space="preserve">Tiny - Lane 2 - Jumat - 11:45</t>
  </si>
  <si>
    <t xml:space="preserve">KWC|- Lane 2 - Jumat|11:45</t>
  </si>
  <si>
    <t xml:space="preserve">Tiny - Lane 2 - Jumat - 13:15</t>
  </si>
  <si>
    <t xml:space="preserve">KWC|- Lane 2 - Jumat|13:15</t>
  </si>
  <si>
    <t xml:space="preserve">Tiny - Lane 2 - Jumat - 14:00</t>
  </si>
  <si>
    <t xml:space="preserve">KWC|- Lane 2 - Jumat|14:00</t>
  </si>
  <si>
    <t xml:space="preserve">Tiny - Lane 2 - Jumat - 14:45</t>
  </si>
  <si>
    <t xml:space="preserve">KWC|- Lane 2 - Jumat|14:45</t>
  </si>
  <si>
    <t xml:space="preserve">Tiny - Lane 2 - Jumat - 15:30</t>
  </si>
  <si>
    <t xml:space="preserve">KWC|- Lane 2 - Jumat|15:30</t>
  </si>
  <si>
    <t xml:space="preserve">Tiny - Lane 2 - Jumat - 16:15</t>
  </si>
  <si>
    <t xml:space="preserve">KWC|- Lane 2 - Jumat|16:15</t>
  </si>
  <si>
    <t xml:space="preserve">Tiny - Lane 2 - Jumat - 17:00</t>
  </si>
  <si>
    <t xml:space="preserve">KWC|- Lane 2 - Jumat|17:00</t>
  </si>
  <si>
    <t xml:space="preserve">Tiny - Lane 2 - Sabtu - 08:00</t>
  </si>
  <si>
    <t xml:space="preserve">KWC|- Lane 2 - Sabtu|08:00</t>
  </si>
  <si>
    <t xml:space="preserve">Tiny - Lane 2 - Sabtu - 08:45</t>
  </si>
  <si>
    <t xml:space="preserve">KWC|- Lane 2 - Sabtu|08:45</t>
  </si>
  <si>
    <t xml:space="preserve">Tiny - Lane 2 - Sabtu - 09:30</t>
  </si>
  <si>
    <t xml:space="preserve">KWC|- Lane 2 - Sabtu|09:30</t>
  </si>
  <si>
    <t xml:space="preserve">Tiny - Lane 2 - Sabtu - 10:15</t>
  </si>
  <si>
    <t xml:space="preserve">KWC|- Lane 2 - Sabtu|10:15</t>
  </si>
  <si>
    <t xml:space="preserve">Tiny - Lane 2 - Sabtu - 11:00</t>
  </si>
  <si>
    <t xml:space="preserve">KWC|- Lane 2 - Sabtu|11:00</t>
  </si>
  <si>
    <t xml:space="preserve">Tiny - Lane 2 - Sabtu - 11:45</t>
  </si>
  <si>
    <t xml:space="preserve">KWC|- Lane 2 - Sabtu|11:45</t>
  </si>
  <si>
    <t xml:space="preserve">Tiny - Lane 2 - Sabtu - 13:15</t>
  </si>
  <si>
    <t xml:space="preserve">KWC|- Lane 2 - Sabtu|13:15</t>
  </si>
  <si>
    <t xml:space="preserve">Tiny - Lane 2 - Sabtu - 14:00</t>
  </si>
  <si>
    <t xml:space="preserve">KWC|- Lane 2 - Sabtu|14:00</t>
  </si>
  <si>
    <t xml:space="preserve">Tiny - Lane 2 - Sabtu - 14:45</t>
  </si>
  <si>
    <t xml:space="preserve">KWC|- Lane 2 - Sabtu|14:45</t>
  </si>
  <si>
    <t xml:space="preserve">Tiny - Lane 2 - Sabtu - 15:30</t>
  </si>
  <si>
    <t xml:space="preserve">KWC|- Lane 2 - Sabtu|15:30</t>
  </si>
  <si>
    <t xml:space="preserve">Tiny - Lane 2 - Sabtu - 16:15</t>
  </si>
  <si>
    <t xml:space="preserve">KWC|- Lane 2 - Sabtu|16:15</t>
  </si>
  <si>
    <t xml:space="preserve">Tiny - Lane 2 - Sabtu - 17:00</t>
  </si>
  <si>
    <t xml:space="preserve">KWC|- Lane 2 - Sabtu|17:00</t>
  </si>
  <si>
    <t xml:space="preserve">Tiny - Lane 2 - Minggu - 08:00</t>
  </si>
  <si>
    <t xml:space="preserve">KWC|- Lane 2 - Minggu|08:00</t>
  </si>
  <si>
    <t xml:space="preserve">Tiny - Lane 2 - Minggu - 08:45</t>
  </si>
  <si>
    <t xml:space="preserve">KWC|- Lane 2 - Minggu|08:45</t>
  </si>
  <si>
    <t xml:space="preserve">Tiny - Lane 2 - Minggu - 09:30</t>
  </si>
  <si>
    <t xml:space="preserve">KWC|- Lane 2 - Minggu|09:30</t>
  </si>
  <si>
    <t xml:space="preserve">Tiny - Lane 2 - Minggu - 10:15</t>
  </si>
  <si>
    <t xml:space="preserve">KWC|- Lane 2 - Minggu|10:15</t>
  </si>
  <si>
    <t xml:space="preserve">Tiny - Lane 2 - Minggu - 11:00</t>
  </si>
  <si>
    <t xml:space="preserve">KWC|- Lane 2 - Minggu|11:00</t>
  </si>
  <si>
    <t xml:space="preserve">Tiny - Lane 2 - Minggu - 11:45</t>
  </si>
  <si>
    <t xml:space="preserve">KWC|- Lane 2 - Minggu|11:45</t>
  </si>
  <si>
    <t xml:space="preserve">Tiny - Lane 2 - Minggu - 13:15</t>
  </si>
  <si>
    <t xml:space="preserve"> </t>
  </si>
  <si>
    <t xml:space="preserve">KWC|- Lane 2 - Minggu|13:15</t>
  </si>
  <si>
    <t xml:space="preserve">Tiny - Lane 2 - Minggu - 14:00</t>
  </si>
  <si>
    <t xml:space="preserve">KWC|- Lane 2 - Minggu|14:00</t>
  </si>
  <si>
    <t xml:space="preserve">Tiny - Lane 2 - Minggu - 14:45</t>
  </si>
  <si>
    <t xml:space="preserve">KWC|- Lane 2 - Minggu|14:45</t>
  </si>
  <si>
    <t xml:space="preserve">Tiny - Lane 2 - Minggu - 15:30</t>
  </si>
  <si>
    <t xml:space="preserve">KWC|- Lane 2 - Minggu|15:30</t>
  </si>
  <si>
    <t xml:space="preserve">Tiny - Lane 2 - Minggu - 16:15</t>
  </si>
  <si>
    <t xml:space="preserve">KWC|- Lane 2 - Minggu|16:15</t>
  </si>
  <si>
    <t xml:space="preserve">Tiny - Lane 2 - Minggu - 17:00</t>
  </si>
  <si>
    <t xml:space="preserve">KWC|- Lane 2 - Minggu|17:00</t>
  </si>
  <si>
    <t xml:space="preserve">Little - Lane 3 - Senin - 08:15</t>
  </si>
  <si>
    <t xml:space="preserve">KWC|- Lane 3 - Senin|08:15</t>
  </si>
  <si>
    <t xml:space="preserve">Little - Lane 3 - Senin - 09:00</t>
  </si>
  <si>
    <t xml:space="preserve">KWC|- Lane 3 - Senin|09:00</t>
  </si>
  <si>
    <t xml:space="preserve">Little - Lane 3 - Senin - 09:45</t>
  </si>
  <si>
    <t xml:space="preserve">KWC|- Lane 3 - Senin|09:45</t>
  </si>
  <si>
    <t xml:space="preserve">Little - Lane 3 - Senin - 10:30</t>
  </si>
  <si>
    <t xml:space="preserve">KWC|- Lane 3 - Senin|10:30</t>
  </si>
  <si>
    <t xml:space="preserve">Little - Lane 3 - Senin - 11:15</t>
  </si>
  <si>
    <t xml:space="preserve">KWC|- Lane 3 - Senin|11:15</t>
  </si>
  <si>
    <t xml:space="preserve">Little - Lane 3 - Senin - 12:00</t>
  </si>
  <si>
    <t xml:space="preserve">KWC|- Lane 3 - Senin|12:00</t>
  </si>
  <si>
    <t xml:space="preserve">Little - Lane 3 - Senin - 13:30</t>
  </si>
  <si>
    <t xml:space="preserve">KWC|- Lane 3 - Senin|13:30</t>
  </si>
  <si>
    <t xml:space="preserve">Little - Lane 3 - Senin - 14:15</t>
  </si>
  <si>
    <t xml:space="preserve">KWC|- Lane 3 - Senin|14:15</t>
  </si>
  <si>
    <t xml:space="preserve">Little - Lane 3 - Senin - 15:00</t>
  </si>
  <si>
    <t xml:space="preserve">KWC|- Lane 3 - Senin|15:00</t>
  </si>
  <si>
    <t xml:space="preserve">Little - Lane 3 - Senin - 15:45</t>
  </si>
  <si>
    <t xml:space="preserve">KWC|- Lane 3 - Senin|15:45</t>
  </si>
  <si>
    <t xml:space="preserve">Little - Lane 3 - Senin - 16:30</t>
  </si>
  <si>
    <t xml:space="preserve">KWC|- Lane 3 - Senin|16:30</t>
  </si>
  <si>
    <t xml:space="preserve">Little - Lane 3 - Senin - 17:15</t>
  </si>
  <si>
    <t xml:space="preserve">KWC|- Lane 3 - Senin|17:15</t>
  </si>
  <si>
    <t xml:space="preserve">Little - Lane 3 - Selasa - 08:15</t>
  </si>
  <si>
    <t xml:space="preserve">KWC|- Lane 3 - Selasa|08:15</t>
  </si>
  <si>
    <t xml:space="preserve">Little - Lane 3 - Selasa - 09:00</t>
  </si>
  <si>
    <t xml:space="preserve">KWC|- Lane 3 - Selasa|09:00</t>
  </si>
  <si>
    <t xml:space="preserve">Little - Lane 3 - Selasa - 09:45</t>
  </si>
  <si>
    <t xml:space="preserve">KWC|- Lane 3 - Selasa|09:45</t>
  </si>
  <si>
    <t xml:space="preserve">Little - Lane 3 - Selasa - 10:30</t>
  </si>
  <si>
    <t xml:space="preserve">KWC|- Lane 3 - Selasa|10:30</t>
  </si>
  <si>
    <t xml:space="preserve">Little - Lane 3 - Selasa - 11:15</t>
  </si>
  <si>
    <t xml:space="preserve">KWC|- Lane 3 - Selasa|11:15</t>
  </si>
  <si>
    <t xml:space="preserve">Little - Lane 3 - Selasa - 12:00</t>
  </si>
  <si>
    <t xml:space="preserve">KWC|- Lane 3 - Selasa|12:00</t>
  </si>
  <si>
    <t xml:space="preserve">Little - Lane 3 - Selasa - 13:30</t>
  </si>
  <si>
    <t xml:space="preserve">KWC|- Lane 3 - Selasa|13:30</t>
  </si>
  <si>
    <t xml:space="preserve">Little - Lane 3 - Selasa - 14:15</t>
  </si>
  <si>
    <t xml:space="preserve">KWC|- Lane 3 - Selasa|14:15</t>
  </si>
  <si>
    <t xml:space="preserve">Little - Lane 3 - Selasa - 15:00</t>
  </si>
  <si>
    <t xml:space="preserve">KWC|- Lane 3 - Selasa|15:00</t>
  </si>
  <si>
    <t xml:space="preserve">Little - Lane 3 - Selasa - 15:45</t>
  </si>
  <si>
    <t xml:space="preserve">KWC|- Lane 3 - Selasa|15:45</t>
  </si>
  <si>
    <t xml:space="preserve">Little - Lane 3 - Selasa - 16:30</t>
  </si>
  <si>
    <t xml:space="preserve">KWC|- Lane 3 - Selasa|16:30</t>
  </si>
  <si>
    <t xml:space="preserve">Little - Lane 3 - Selasa - 17:15</t>
  </si>
  <si>
    <t xml:space="preserve">KWC|- Lane 3 - Selasa|17:15</t>
  </si>
  <si>
    <t xml:space="preserve">Little - Lane 3 - Rabu - 08:15</t>
  </si>
  <si>
    <t xml:space="preserve">KWC|- Lane 3 - Rabu|08:15</t>
  </si>
  <si>
    <t xml:space="preserve">Little - Lane 3 - Rabu - 09:00</t>
  </si>
  <si>
    <t xml:space="preserve">KWC|- Lane 3 - Rabu|09:00</t>
  </si>
  <si>
    <t xml:space="preserve">Little - Lane 3 - Rabu - 09:45</t>
  </si>
  <si>
    <t xml:space="preserve">KWC|- Lane 3 - Rabu|09:45</t>
  </si>
  <si>
    <t xml:space="preserve">Little - Lane 3 - Rabu - 10:30</t>
  </si>
  <si>
    <t xml:space="preserve">KWC|- Lane 3 - Rabu|10:30</t>
  </si>
  <si>
    <t xml:space="preserve">Little - Lane 3 - Rabu - 11:15</t>
  </si>
  <si>
    <t xml:space="preserve">KWC|- Lane 3 - Rabu|11:15</t>
  </si>
  <si>
    <t xml:space="preserve">Little - Lane 3 - Rabu - 12:00</t>
  </si>
  <si>
    <t xml:space="preserve">KWC|- Lane 3 - Rabu|12:00</t>
  </si>
  <si>
    <t xml:space="preserve">Little - Lane 3 - Rabu - 13:30</t>
  </si>
  <si>
    <t xml:space="preserve">KWC|- Lane 3 - Rabu|13:30</t>
  </si>
  <si>
    <t xml:space="preserve">Little - Lane 3 - Rabu - 14:15</t>
  </si>
  <si>
    <t xml:space="preserve">KWC|- Lane 3 - Rabu|14:15</t>
  </si>
  <si>
    <t xml:space="preserve">Little - Lane 3 - Rabu - 15:00</t>
  </si>
  <si>
    <t xml:space="preserve">KWC|- Lane 3 - Rabu|15:00</t>
  </si>
  <si>
    <t xml:space="preserve">Little - Lane 3 - Rabu - 15:45</t>
  </si>
  <si>
    <t xml:space="preserve">KWC|- Lane 3 - Rabu|15:45</t>
  </si>
  <si>
    <t xml:space="preserve">Little - Lane 3 - Rabu - 16:30</t>
  </si>
  <si>
    <t xml:space="preserve">KWC|- Lane 3 - Rabu|16:30</t>
  </si>
  <si>
    <t xml:space="preserve">Little - Lane 3 - Rabu - 17:15</t>
  </si>
  <si>
    <t xml:space="preserve">KWC|- Lane 3 - Rabu|17:15</t>
  </si>
  <si>
    <t xml:space="preserve">  </t>
  </si>
  <si>
    <t xml:space="preserve">KWC|- Lane 3 - Kamis|08:15</t>
  </si>
  <si>
    <t xml:space="preserve">Little - Lane 3 - Kamis - 09:00</t>
  </si>
  <si>
    <t xml:space="preserve">KWC|- Lane 3 - Kamis|09:00</t>
  </si>
  <si>
    <t xml:space="preserve">Little - Lane 3 - Kamis - 09:45</t>
  </si>
  <si>
    <t xml:space="preserve">KWC|- Lane 3 - Kamis|09:45</t>
  </si>
  <si>
    <t xml:space="preserve">Little - Lane 3 - Kamis - 10:30</t>
  </si>
  <si>
    <t xml:space="preserve">KWC|- Lane 3 - Kamis|10:30</t>
  </si>
  <si>
    <t xml:space="preserve">Little - Lane 3 - Kamis - 11:15</t>
  </si>
  <si>
    <t xml:space="preserve">KWC|- Lane 3 - Kamis|11:15</t>
  </si>
  <si>
    <t xml:space="preserve">Little - Lane 3 - Kamis - 12:00</t>
  </si>
  <si>
    <t xml:space="preserve">KWC|- Lane 3 - Kamis|12:00</t>
  </si>
  <si>
    <t xml:space="preserve">Little - Lane 3 - Kamis - 13:30</t>
  </si>
  <si>
    <t xml:space="preserve">KWC|- Lane 3 - Kamis|13:30</t>
  </si>
  <si>
    <t xml:space="preserve">Little - Lane 3 - Kamis - 14:15</t>
  </si>
  <si>
    <t xml:space="preserve">KWC|- Lane 3 - Kamis|14:15</t>
  </si>
  <si>
    <t xml:space="preserve">Little - Lane 3 - Kamis - 15:00</t>
  </si>
  <si>
    <t xml:space="preserve">KWC|- Lane 3 - Kamis|15:00</t>
  </si>
  <si>
    <t xml:space="preserve">Little - Lane 3 - Kamis - 15:45</t>
  </si>
  <si>
    <t xml:space="preserve">KWC|- Lane 3 - Kamis|15:45</t>
  </si>
  <si>
    <t xml:space="preserve">Little - Lane 3 - Kamis - 16:30</t>
  </si>
  <si>
    <t xml:space="preserve">KWC|- Lane 3 - Kamis|16:30</t>
  </si>
  <si>
    <t xml:space="preserve">Little - Lane 3 - Kamis - 17:15</t>
  </si>
  <si>
    <t xml:space="preserve">KWC|- Lane 3 - Kamis|17:15</t>
  </si>
  <si>
    <t xml:space="preserve">Little - Lane 3 - Jumat - 08:15</t>
  </si>
  <si>
    <t xml:space="preserve">KWC|- Lane 3 - Jumat|08:15</t>
  </si>
  <si>
    <t xml:space="preserve">Little - Lane 3 - Jumat - 09:00</t>
  </si>
  <si>
    <t xml:space="preserve">KWC|- Lane 3 - Jumat|09:00</t>
  </si>
  <si>
    <t xml:space="preserve">Little - Lane 3 - Jumat - 09:45</t>
  </si>
  <si>
    <t xml:space="preserve">KWC|- Lane 3 - Jumat|09:45</t>
  </si>
  <si>
    <t xml:space="preserve">Little - Lane 3 - Jumat - 10:30</t>
  </si>
  <si>
    <t xml:space="preserve">KWC|- Lane 3 - Jumat|10:30</t>
  </si>
  <si>
    <t xml:space="preserve">Little - Lane 3 - Jumat - 11:15</t>
  </si>
  <si>
    <t xml:space="preserve">KWC|- Lane 3 - Jumat|11:15</t>
  </si>
  <si>
    <t xml:space="preserve">Little - Lane 3 - Jumat - 12:00</t>
  </si>
  <si>
    <t xml:space="preserve">KWC|- Lane 3 - Jumat|12:00</t>
  </si>
  <si>
    <t xml:space="preserve">Little - Lane 3 - Jumat - 13:30</t>
  </si>
  <si>
    <t xml:space="preserve">KWC|- Lane 3 - Jumat|13:30</t>
  </si>
  <si>
    <t xml:space="preserve">Little - Lane 3 - Jumat - 14:15</t>
  </si>
  <si>
    <t xml:space="preserve">KWC|- Lane 3 - Jumat|14:15</t>
  </si>
  <si>
    <t xml:space="preserve">Little - Lane 3 - Jumat - 15:00</t>
  </si>
  <si>
    <t xml:space="preserve">KWC|- Lane 3 - Jumat|15:00</t>
  </si>
  <si>
    <t xml:space="preserve">Little - Lane 3 - Jumat - 15:45</t>
  </si>
  <si>
    <t xml:space="preserve">KWC|- Lane 3 - Jumat|15:45</t>
  </si>
  <si>
    <t xml:space="preserve">Little - Lane 3 - Jumat - 16:30</t>
  </si>
  <si>
    <t xml:space="preserve">KWC|- Lane 3 - Jumat|16:30</t>
  </si>
  <si>
    <t xml:space="preserve">Little - Lane 3 - Jumat - 17:15</t>
  </si>
  <si>
    <t xml:space="preserve">KWC|- Lane 3 - Jumat|17:15</t>
  </si>
  <si>
    <t xml:space="preserve">Little - Lane 3 - Sabtu - 08:15</t>
  </si>
  <si>
    <t xml:space="preserve">KWC|- Lane 3 - Sabtu|08:15</t>
  </si>
  <si>
    <t xml:space="preserve">Little - Lane 3 - Sabtu - 09:00</t>
  </si>
  <si>
    <t xml:space="preserve">KWC|- Lane 3 - Sabtu|09:00</t>
  </si>
  <si>
    <t xml:space="preserve">Little - Lane 3 - Sabtu - 09:45</t>
  </si>
  <si>
    <t xml:space="preserve">KWC|- Lane 3 - Sabtu|09:45</t>
  </si>
  <si>
    <t xml:space="preserve">Little - Lane 3 - Sabtu - 10:30</t>
  </si>
  <si>
    <t xml:space="preserve">KWC|- Lane 3 - Sabtu|10:30</t>
  </si>
  <si>
    <t xml:space="preserve">Little - Lane 3 - Sabtu - 11:15</t>
  </si>
  <si>
    <t xml:space="preserve">KWC|- Lane 3 - Sabtu|11:15</t>
  </si>
  <si>
    <t xml:space="preserve">Little - Lane 3 - Sabtu - 12:00</t>
  </si>
  <si>
    <t xml:space="preserve">KWC|- Lane 3 - Sabtu|12:00</t>
  </si>
  <si>
    <t xml:space="preserve">Little - Lane 3 - Sabtu - 13:30</t>
  </si>
  <si>
    <t xml:space="preserve">KWC|- Lane 3 - Sabtu|13:30</t>
  </si>
  <si>
    <t xml:space="preserve">Little - Lane 3 - Sabtu - 14:15</t>
  </si>
  <si>
    <t xml:space="preserve">KWC|- Lane 3 - Sabtu|14:15</t>
  </si>
  <si>
    <t xml:space="preserve">Little - Lane 3 - Sabtu - 15:00</t>
  </si>
  <si>
    <t xml:space="preserve">KWC|- Lane 3 - Sabtu|15:00</t>
  </si>
  <si>
    <t xml:space="preserve">Little - Lane 3 - Sabtu - 15:45</t>
  </si>
  <si>
    <t xml:space="preserve">KWC|- Lane 3 - Sabtu|15:45</t>
  </si>
  <si>
    <t xml:space="preserve">Little - Lane 3 - Sabtu - 16:30</t>
  </si>
  <si>
    <t xml:space="preserve">KWC|- Lane 3 - Sabtu|16:30</t>
  </si>
  <si>
    <t xml:space="preserve">Little - Lane 3 - Sabtu - 17:15</t>
  </si>
  <si>
    <t xml:space="preserve">KWC|- Lane 3 - Sabtu|17:15</t>
  </si>
  <si>
    <t xml:space="preserve">Little - Lane 3 - Minggu - 08:15</t>
  </si>
  <si>
    <t xml:space="preserve">KWC|- Lane 3 - Minggu|08:15</t>
  </si>
  <si>
    <t xml:space="preserve">Little - Lane 3 - Minggu - 09:00</t>
  </si>
  <si>
    <t xml:space="preserve">KWC|- Lane 3 - Minggu|09:00</t>
  </si>
  <si>
    <t xml:space="preserve">Little - Lane 3 - Minggu - 09:45</t>
  </si>
  <si>
    <t xml:space="preserve">KWC|- Lane 3 - Minggu|09:45</t>
  </si>
  <si>
    <t xml:space="preserve">Little - Lane 3 - Minggu - 10:30</t>
  </si>
  <si>
    <t xml:space="preserve">KWC|- Lane 3 - Minggu|10:30</t>
  </si>
  <si>
    <t xml:space="preserve">Little - Lane 3 - Minggu - 11:15</t>
  </si>
  <si>
    <t xml:space="preserve">KWC|- Lane 3 - Minggu|11:15</t>
  </si>
  <si>
    <t xml:space="preserve">Little - Lane 3 - Minggu - 12:00</t>
  </si>
  <si>
    <t xml:space="preserve">KWC|- Lane 3 - Minggu|12:00</t>
  </si>
  <si>
    <t xml:space="preserve">Little - Lane 3 - Minggu - 13:30</t>
  </si>
  <si>
    <t xml:space="preserve">KWC|- Lane 3 - Minggu|13:30</t>
  </si>
  <si>
    <t xml:space="preserve">Little - Lane 3 - Minggu - 14:15</t>
  </si>
  <si>
    <t xml:space="preserve">KWC|- Lane 3 - Minggu|14:15</t>
  </si>
  <si>
    <t xml:space="preserve">Little - Lane 3 - Minggu - 15:00</t>
  </si>
  <si>
    <t xml:space="preserve">KWC|- Lane 3 - Minggu|15:00</t>
  </si>
  <si>
    <t xml:space="preserve">Little - Lane 3 - Minggu - 15:45</t>
  </si>
  <si>
    <t xml:space="preserve">KWC|- Lane 3 - Minggu|15:45</t>
  </si>
  <si>
    <t xml:space="preserve">Little - Lane 3 - Minggu - 16:30</t>
  </si>
  <si>
    <t xml:space="preserve">KWC|- Lane 3 - Minggu|16:30</t>
  </si>
  <si>
    <t xml:space="preserve">Little - Lane 3 - Minggu - 17:15</t>
  </si>
  <si>
    <t xml:space="preserve">KWC|- Lane 3 - Minggu|17:15</t>
  </si>
  <si>
    <t xml:space="preserve">Kids - Lane 4 - Senin - 08:15</t>
  </si>
  <si>
    <t xml:space="preserve">KWC|- Lane 4 - Senin|08:15</t>
  </si>
  <si>
    <t xml:space="preserve">Kids - Lane 4 - Senin - 09:00</t>
  </si>
  <si>
    <t xml:space="preserve">KWC|- Lane 4 - Senin|09:00</t>
  </si>
  <si>
    <t xml:space="preserve">Kids - Lane 4 - Senin - 09:45</t>
  </si>
  <si>
    <t xml:space="preserve">KWC|- Lane 4 - Senin|09:45</t>
  </si>
  <si>
    <t xml:space="preserve">Kids - Lane 4 - Senin - 10:30</t>
  </si>
  <si>
    <t xml:space="preserve">KWC|- Lane 4 - Senin|10:30</t>
  </si>
  <si>
    <t xml:space="preserve">Kids - Lane 4 - Senin - 11:15</t>
  </si>
  <si>
    <t xml:space="preserve">KWC|- Lane 4 - Senin|11:15</t>
  </si>
  <si>
    <t xml:space="preserve">Kids - Lane 4 - Senin - 12:00</t>
  </si>
  <si>
    <t xml:space="preserve">KWC|- Lane 4 - Senin|12:00</t>
  </si>
  <si>
    <t xml:space="preserve">Kids - Lane 4 - Senin - 13:30</t>
  </si>
  <si>
    <t xml:space="preserve">KWC|- Lane 4 - Senin|13:30</t>
  </si>
  <si>
    <t xml:space="preserve">Kids - Lane 4 - Senin - 14:15</t>
  </si>
  <si>
    <t xml:space="preserve">KWC|- Lane 4 - Senin|14:15</t>
  </si>
  <si>
    <t xml:space="preserve">Kids - Lane 4 - Senin - 15:00</t>
  </si>
  <si>
    <t xml:space="preserve">KWC|- Lane 4 - Senin|15:00</t>
  </si>
  <si>
    <t xml:space="preserve">Kids - Lane 4 - Senin - 15:45</t>
  </si>
  <si>
    <t xml:space="preserve">KWC|- Lane 4 - Senin|15:45</t>
  </si>
  <si>
    <t xml:space="preserve">Kids - Lane 4 - Senin - 16:30</t>
  </si>
  <si>
    <t xml:space="preserve">KWC|- Lane 4 - Senin|16:30</t>
  </si>
  <si>
    <t xml:space="preserve">Kids - Lane 4 - Senin - 17:15</t>
  </si>
  <si>
    <t xml:space="preserve">KWC|- Lane 4 - Senin|17:15</t>
  </si>
  <si>
    <t xml:space="preserve">Kids - Lane 4 - Selasa - 08:15</t>
  </si>
  <si>
    <t xml:space="preserve">KWC|- Lane 4 - Selasa|08:15</t>
  </si>
  <si>
    <t xml:space="preserve">Kids - Lane 4 - Selasa - 09:00</t>
  </si>
  <si>
    <t xml:space="preserve">KWC|- Lane 4 - Selasa|09:00</t>
  </si>
  <si>
    <t xml:space="preserve">Kids - Lane 4 - Selasa - 09:45</t>
  </si>
  <si>
    <t xml:space="preserve">KWC|- Lane 4 - Selasa|09:45</t>
  </si>
  <si>
    <t xml:space="preserve">Kids - Lane 4 - Selasa - 10:30</t>
  </si>
  <si>
    <t xml:space="preserve">KWC|- Lane 4 - Selasa|10:30</t>
  </si>
  <si>
    <t xml:space="preserve">Kids - Lane 4 - Selasa - 11:15</t>
  </si>
  <si>
    <t xml:space="preserve">KWC|- Lane 4 - Selasa|11:15</t>
  </si>
  <si>
    <t xml:space="preserve">Kids - Lane 4 - Selasa - 12:00</t>
  </si>
  <si>
    <t xml:space="preserve">KWC|- Lane 4 - Selasa|12:00</t>
  </si>
  <si>
    <t xml:space="preserve">Kids - Lane 4 - Selasa - 13:30</t>
  </si>
  <si>
    <t xml:space="preserve">KWC|- Lane 4 - Selasa|13:30</t>
  </si>
  <si>
    <t xml:space="preserve">Kids - Lane 4 - Selasa - 14:15</t>
  </si>
  <si>
    <t xml:space="preserve">KWC|- Lane 4 - Selasa|14:15</t>
  </si>
  <si>
    <t xml:space="preserve">Kids - Lane 4 - Selasa - 15:00</t>
  </si>
  <si>
    <t xml:space="preserve">KWC|- Lane 4 - Selasa|15:00</t>
  </si>
  <si>
    <t xml:space="preserve">Kids - Lane 4 - Selasa - 15:45</t>
  </si>
  <si>
    <t xml:space="preserve">KWC|- Lane 4 - Selasa|15:45</t>
  </si>
  <si>
    <t xml:space="preserve">Kids - Lane 4 - Selasa - 16:30</t>
  </si>
  <si>
    <t xml:space="preserve">KWC|- Lane 4 - Selasa|16:30</t>
  </si>
  <si>
    <t xml:space="preserve">Kids - Lane 4 - Selasa - 17:15</t>
  </si>
  <si>
    <t xml:space="preserve">KWC|- Lane 4 - Selasa|17:15</t>
  </si>
  <si>
    <t xml:space="preserve">Kids - Lane 4 - Rabu - 08:15</t>
  </si>
  <si>
    <t xml:space="preserve">KWC|- Lane 4 - Rabu|08:15</t>
  </si>
  <si>
    <t xml:space="preserve">Kids - Lane 4 - Rabu - 09:00</t>
  </si>
  <si>
    <t xml:space="preserve">KWC|- Lane 4 - Rabu|09:00</t>
  </si>
  <si>
    <t xml:space="preserve">Kids - Lane 4 - Rabu - 09:45</t>
  </si>
  <si>
    <t xml:space="preserve">KWC|- Lane 4 - Rabu|09:45</t>
  </si>
  <si>
    <t xml:space="preserve">Kids - Lane 4 - Rabu - 10:30</t>
  </si>
  <si>
    <t xml:space="preserve">KWC|- Lane 4 - Rabu|10:30</t>
  </si>
  <si>
    <t xml:space="preserve">Kids - Lane 4 - Rabu - 11:15</t>
  </si>
  <si>
    <t xml:space="preserve">KWC|- Lane 4 - Rabu|11:15</t>
  </si>
  <si>
    <t xml:space="preserve">Kids - Lane 4 - Rabu - 12:00</t>
  </si>
  <si>
    <t xml:space="preserve">KWC|- Lane 4 - Rabu|12:00</t>
  </si>
  <si>
    <t xml:space="preserve">Kids - Lane 4 - Rabu - 13:30</t>
  </si>
  <si>
    <t xml:space="preserve">KWC|- Lane 4 - Rabu|13:30</t>
  </si>
  <si>
    <t xml:space="preserve">Kids - Lane 4 - Rabu - 14:15</t>
  </si>
  <si>
    <t xml:space="preserve">KWC|- Lane 4 - Rabu|14:15</t>
  </si>
  <si>
    <t xml:space="preserve">Kids - Lane 4 - Rabu - 15:00</t>
  </si>
  <si>
    <t xml:space="preserve">KWC|- Lane 4 - Rabu|15:00</t>
  </si>
  <si>
    <t xml:space="preserve">Kids - Lane 4 - Rabu - 15:45</t>
  </si>
  <si>
    <t xml:space="preserve">KWC|- Lane 4 - Rabu|15:45</t>
  </si>
  <si>
    <t xml:space="preserve">Kids - Lane 4 - Rabu - 16:30</t>
  </si>
  <si>
    <t xml:space="preserve">KWC|- Lane 4 - Rabu|16:30</t>
  </si>
  <si>
    <t xml:space="preserve">Kids - Lane 4 - Rabu - 17:15</t>
  </si>
  <si>
    <t xml:space="preserve">KWC|- Lane 4 - Rabu|17:15</t>
  </si>
  <si>
    <t xml:space="preserve">Kids - Lane 4 - Kamis - 08:15</t>
  </si>
  <si>
    <t xml:space="preserve">KWC|- Lane 4 - Kamis|08:15</t>
  </si>
  <si>
    <t xml:space="preserve">Kids - Lane 4 - Kamis - 09:00</t>
  </si>
  <si>
    <t xml:space="preserve">KWC|- Lane 4 - Kamis|09:00</t>
  </si>
  <si>
    <t xml:space="preserve">Kids - Lane 4 - Kamis - 09:45</t>
  </si>
  <si>
    <t xml:space="preserve">KWC|- Lane 4 - Kamis|09:45</t>
  </si>
  <si>
    <t xml:space="preserve">Kids - Lane 4 - Kamis - 10:30</t>
  </si>
  <si>
    <t xml:space="preserve">KWC|- Lane 4 - Kamis|10:30</t>
  </si>
  <si>
    <t xml:space="preserve">Kids - Lane 4 - Kamis - 11:15</t>
  </si>
  <si>
    <t xml:space="preserve">KWC|- Lane 4 - Kamis|11:15</t>
  </si>
  <si>
    <t xml:space="preserve">Kids - Lane 4 - Kamis - 12:00</t>
  </si>
  <si>
    <t xml:space="preserve">KWC|- Lane 4 - Kamis|12:00</t>
  </si>
  <si>
    <t xml:space="preserve">Kids - Lane 4 - Kamis - 13:30</t>
  </si>
  <si>
    <t xml:space="preserve">KWC|- Lane 4 - Kamis|13:30</t>
  </si>
  <si>
    <t xml:space="preserve">Kids - Lane 4 - Kamis - 14:15</t>
  </si>
  <si>
    <t xml:space="preserve">KWC|- Lane 4 - Kamis|14:15</t>
  </si>
  <si>
    <t xml:space="preserve">Kids - Lane 4 - Kamis - 15:00</t>
  </si>
  <si>
    <t xml:space="preserve">KWC|- Lane 4 - Kamis|15:00</t>
  </si>
  <si>
    <t xml:space="preserve">Kids - Lane 4 - Kamis - 15:45</t>
  </si>
  <si>
    <t xml:space="preserve">KWC|- Lane 4 - Kamis|15:45</t>
  </si>
  <si>
    <t xml:space="preserve">Kids - Lane 4 - Kamis - 16:30</t>
  </si>
  <si>
    <t xml:space="preserve">KWC|- Lane 4 - Kamis|16:30</t>
  </si>
  <si>
    <t xml:space="preserve">Kids - Lane 4 - Kamis - 17:15</t>
  </si>
  <si>
    <t xml:space="preserve">KWC|- Lane 4 - Kamis|17:15</t>
  </si>
  <si>
    <t xml:space="preserve">Kids - Lane 4 - Jumat - 08:15</t>
  </si>
  <si>
    <t xml:space="preserve">KWC|- Lane 4 - Jumat|08:15</t>
  </si>
  <si>
    <t xml:space="preserve">Kids - Lane 4 - Jumat - 09:00</t>
  </si>
  <si>
    <t xml:space="preserve">KWC|- Lane 4 - Jumat|09:00</t>
  </si>
  <si>
    <t xml:space="preserve">Kids - Lane 4 - Jumat - 09:45</t>
  </si>
  <si>
    <t xml:space="preserve">KWC|- Lane 4 - Jumat|09:45</t>
  </si>
  <si>
    <t xml:space="preserve">Kids - Lane 4 - Jumat - 10:30</t>
  </si>
  <si>
    <t xml:space="preserve">KWC|- Lane 4 - Jumat|10:30</t>
  </si>
  <si>
    <t xml:space="preserve">Kids - Lane 4 - Jumat - 11:15</t>
  </si>
  <si>
    <t xml:space="preserve">KWC|- Lane 4 - Jumat|11:15</t>
  </si>
  <si>
    <t xml:space="preserve">Kids - Lane 4 - Jumat - 12:00</t>
  </si>
  <si>
    <t xml:space="preserve">KWC|- Lane 4 - Jumat|12:00</t>
  </si>
  <si>
    <t xml:space="preserve">Kids - Lane 4 - Jumat - 13:30</t>
  </si>
  <si>
    <t xml:space="preserve">KWC|- Lane 4 - Jumat|13:30</t>
  </si>
  <si>
    <t xml:space="preserve">Kids - Lane 4 - Jumat - 14:15</t>
  </si>
  <si>
    <t xml:space="preserve">KWC|- Lane 4 - Jumat|14:15</t>
  </si>
  <si>
    <t xml:space="preserve">Kids - Lane 4 - Jumat - 15:00</t>
  </si>
  <si>
    <t xml:space="preserve">KWC|- Lane 4 - Jumat|15:00</t>
  </si>
  <si>
    <t xml:space="preserve">Kids - Lane 4 - Jumat - 15:45</t>
  </si>
  <si>
    <t xml:space="preserve">KWC|- Lane 4 - Jumat|15:45</t>
  </si>
  <si>
    <t xml:space="preserve">Kids - Lane 4 - Jumat - 16:30</t>
  </si>
  <si>
    <t xml:space="preserve">KWC|- Lane 4 - Jumat|16:30</t>
  </si>
  <si>
    <t xml:space="preserve">Kids - Lane 4 - Jumat - 17:15</t>
  </si>
  <si>
    <t xml:space="preserve">KWC|- Lane 4 - Jumat|17:15</t>
  </si>
  <si>
    <t xml:space="preserve">Kids - Lane 4 - Sabtu - 08:15</t>
  </si>
  <si>
    <t xml:space="preserve">KWC|- Lane 4 - Sabtu|08:15</t>
  </si>
  <si>
    <t xml:space="preserve">Kids - Lane 4 - Sabtu - 09:00</t>
  </si>
  <si>
    <t xml:space="preserve">KWC|- Lane 4 - Sabtu|09:00</t>
  </si>
  <si>
    <t xml:space="preserve">Kids - Lane 4 - Sabtu - 09:45</t>
  </si>
  <si>
    <t xml:space="preserve">KWC|- Lane 4 - Sabtu|09:45</t>
  </si>
  <si>
    <t xml:space="preserve">Kids - Lane 4 - Sabtu - 10:30</t>
  </si>
  <si>
    <t xml:space="preserve">KWC|- Lane 4 - Sabtu|10:30</t>
  </si>
  <si>
    <t xml:space="preserve">Kids - Lane 4 - Sabtu - 11:15</t>
  </si>
  <si>
    <t xml:space="preserve">KWC|- Lane 4 - Sabtu|11:15</t>
  </si>
  <si>
    <t xml:space="preserve">Kids - Lane 4 - Sabtu - 12:00</t>
  </si>
  <si>
    <t xml:space="preserve">KWC|- Lane 4 - Sabtu|12:00</t>
  </si>
  <si>
    <t xml:space="preserve">Kids - Lane 4 - Sabtu - 13:30</t>
  </si>
  <si>
    <t xml:space="preserve">KWC|- Lane 4 - Sabtu|13:30</t>
  </si>
  <si>
    <t xml:space="preserve">Kids - Lane 4 - Sabtu - 14:15</t>
  </si>
  <si>
    <t xml:space="preserve">KWC|- Lane 4 - Sabtu|14:15</t>
  </si>
  <si>
    <t xml:space="preserve">Kids - Lane 4 - Sabtu - 15:00</t>
  </si>
  <si>
    <t xml:space="preserve">KWC|- Lane 4 - Sabtu|15:00</t>
  </si>
  <si>
    <t xml:space="preserve">Kids - Lane 4 - Sabtu - 15:45</t>
  </si>
  <si>
    <t xml:space="preserve">KWC|- Lane 4 - Sabtu|15:45</t>
  </si>
  <si>
    <t xml:space="preserve">Kids - Lane 4 - Sabtu - 16:30</t>
  </si>
  <si>
    <t xml:space="preserve">KWC|- Lane 4 - Sabtu|16:30</t>
  </si>
  <si>
    <t xml:space="preserve">Kids - Lane 4 - Sabtu - 17:15</t>
  </si>
  <si>
    <t xml:space="preserve">KWC|- Lane 4 - Sabtu|17:15</t>
  </si>
  <si>
    <t xml:space="preserve">Kids - Lane 4 - Minggu - 08:15</t>
  </si>
  <si>
    <t xml:space="preserve">KWC|- Lane 4 - Minggu|08:15</t>
  </si>
  <si>
    <t xml:space="preserve">Kids - Lane 4 - Minggu - 09:00</t>
  </si>
  <si>
    <t xml:space="preserve">KWC|- Lane 4 - Minggu|09:00</t>
  </si>
  <si>
    <t xml:space="preserve">Kids - Lane 4 - Minggu - 09:45</t>
  </si>
  <si>
    <t xml:space="preserve">KWC|- Lane 4 - Minggu|09:45</t>
  </si>
  <si>
    <t xml:space="preserve">Kids - Lane 4 - Minggu - 10:30</t>
  </si>
  <si>
    <t xml:space="preserve">KWC|- Lane 4 - Minggu|10:30</t>
  </si>
  <si>
    <t xml:space="preserve">Kids - Lane 4 - Minggu - 11:15</t>
  </si>
  <si>
    <t xml:space="preserve">KWC|- Lane 4 - Minggu|11:15</t>
  </si>
  <si>
    <t xml:space="preserve">Kids - Lane 4 - Minggu - 12:00</t>
  </si>
  <si>
    <t xml:space="preserve">KWC|- Lane 4 - Minggu|12:00</t>
  </si>
  <si>
    <t xml:space="preserve">Kids - Lane 4 - Minggu - 13:30</t>
  </si>
  <si>
    <t xml:space="preserve">KWC|- Lane 4 - Minggu|13:30</t>
  </si>
  <si>
    <t xml:space="preserve">Kids - Lane 4 - Minggu - 14:15</t>
  </si>
  <si>
    <t xml:space="preserve">KWC|- Lane 4 - Minggu|14:15</t>
  </si>
  <si>
    <t xml:space="preserve">Kids - Lane 4 - Minggu - 15:00</t>
  </si>
  <si>
    <t xml:space="preserve">KWC|- Lane 4 - Minggu|15:00</t>
  </si>
  <si>
    <t xml:space="preserve">Kids - Lane 4 - Minggu - 15:45</t>
  </si>
  <si>
    <t xml:space="preserve">KWC|- Lane 4 - Minggu|15:45</t>
  </si>
  <si>
    <t xml:space="preserve">Kids - Lane 4 - Minggu - 16:30</t>
  </si>
  <si>
    <t xml:space="preserve">KWC|- Lane 4 - Minggu|16:30</t>
  </si>
  <si>
    <t xml:space="preserve">Kids - Lane 4 - Minggu - 17:15</t>
  </si>
  <si>
    <t xml:space="preserve">KWC|- Lane 4 - Minggu|17:15</t>
  </si>
  <si>
    <t xml:space="preserve">KWC|- Lane 5 - Senin|08:00</t>
  </si>
  <si>
    <t xml:space="preserve">KWC|- Lane 5 - Senin|08:45</t>
  </si>
  <si>
    <t xml:space="preserve">KWC|- Lane 5 - Senin|09:30</t>
  </si>
  <si>
    <t xml:space="preserve">KWC|- Lane 5 - Senin|10:15</t>
  </si>
  <si>
    <t xml:space="preserve">KWC|- Lane 5 - Senin|11:00</t>
  </si>
  <si>
    <t xml:space="preserve">KWC|- Lane 5 - Senin|11:45</t>
  </si>
  <si>
    <t xml:space="preserve">KWC|- Lane 5 - Senin|13:15</t>
  </si>
  <si>
    <t xml:space="preserve"> - Lane 5 - Senin - 14:00</t>
  </si>
  <si>
    <t xml:space="preserve">KWC|- Lane 5 - Senin|14:00</t>
  </si>
  <si>
    <t xml:space="preserve"> - Lane 5 - Senin - 14:45</t>
  </si>
  <si>
    <t xml:space="preserve">KWC|- Lane 5 - Senin|14:45</t>
  </si>
  <si>
    <t xml:space="preserve">KWC|- Lane 5 - Senin|15:30</t>
  </si>
  <si>
    <t xml:space="preserve">Little - Lane 5 - Senin - 16:15</t>
  </si>
  <si>
    <t xml:space="preserve">KWC|- Lane 5 - Senin|16:15</t>
  </si>
  <si>
    <t xml:space="preserve"> - Lane 5 - Senin - 17:00</t>
  </si>
  <si>
    <t xml:space="preserve">KWC|- Lane 5 - Senin|17:00</t>
  </si>
  <si>
    <t xml:space="preserve">KWC|- Lane 5 - Selasa|08:00</t>
  </si>
  <si>
    <t xml:space="preserve">KWC|- Lane 5 - Selasa|08:45</t>
  </si>
  <si>
    <t xml:space="preserve">KWC|- Lane 5 - Selasa|09:30</t>
  </si>
  <si>
    <t xml:space="preserve">KWC|- Lane 5 - Selasa|10:15</t>
  </si>
  <si>
    <t xml:space="preserve">KWC|- Lane 5 - Selasa|11:00</t>
  </si>
  <si>
    <t xml:space="preserve">KWC|- Lane 5 - Selasa|11:45</t>
  </si>
  <si>
    <t xml:space="preserve">KWC|- Lane 5 - Selasa|13:15</t>
  </si>
  <si>
    <t xml:space="preserve"> - Lane 5 - Selasa - 14:00</t>
  </si>
  <si>
    <t xml:space="preserve">KWC|- Lane 5 - Selasa|14:00</t>
  </si>
  <si>
    <t xml:space="preserve">Kids - Lane 5 - Selasa - 14:45</t>
  </si>
  <si>
    <t xml:space="preserve">KWC|- Lane 5 - Selasa|14:45</t>
  </si>
  <si>
    <t xml:space="preserve"> - Lane 5 - Selasa - 15:30</t>
  </si>
  <si>
    <t xml:space="preserve">KWC|- Lane 5 - Selasa|15:30</t>
  </si>
  <si>
    <t xml:space="preserve">KWC|- Lane 5 - Selasa|16:15</t>
  </si>
  <si>
    <t xml:space="preserve">KWC|- Lane 5 - Selasa|17:00</t>
  </si>
  <si>
    <t xml:space="preserve">KWC|- Lane 5 - Rabu|08:00</t>
  </si>
  <si>
    <t xml:space="preserve">KWC|- Lane 5 - Rabu|08:45</t>
  </si>
  <si>
    <t xml:space="preserve">KWC|- Lane 5 - Rabu|09:30</t>
  </si>
  <si>
    <t xml:space="preserve">KWC|- Lane 5 - Rabu|10:15</t>
  </si>
  <si>
    <t xml:space="preserve">KWC|- Lane 5 - Rabu|11:00</t>
  </si>
  <si>
    <t xml:space="preserve">KWC|- Lane 5 - Rabu|11:45</t>
  </si>
  <si>
    <t xml:space="preserve"> - Lane 5 - Rabu - 13:15</t>
  </si>
  <si>
    <t xml:space="preserve">KWC|- Lane 5 - Rabu|13:15</t>
  </si>
  <si>
    <t xml:space="preserve">KWC|- Lane 5 - Rabu|14:00</t>
  </si>
  <si>
    <t xml:space="preserve">Little - Lane 5 - Rabu - 14:45</t>
  </si>
  <si>
    <t xml:space="preserve">KWC|- Lane 5 - Rabu|14:45</t>
  </si>
  <si>
    <t xml:space="preserve">KWC|- Lane 5 - Rabu|15:30</t>
  </si>
  <si>
    <t xml:space="preserve"> - Lane 5 - Rabu - 16:15</t>
  </si>
  <si>
    <t xml:space="preserve">KWC|- Lane 5 - Rabu|16:15</t>
  </si>
  <si>
    <t xml:space="preserve">KWC|- Lane 5 - Rabu|17:00</t>
  </si>
  <si>
    <t xml:space="preserve">KWC|- Lane 5 - Kamis|08:00</t>
  </si>
  <si>
    <t xml:space="preserve">KWC|- Lane 5 - Kamis|08:45</t>
  </si>
  <si>
    <t xml:space="preserve">KWC|- Lane 5 - Kamis|09:30</t>
  </si>
  <si>
    <t xml:space="preserve">KWC|- Lane 5 - Kamis|10:15</t>
  </si>
  <si>
    <t xml:space="preserve">KWC|- Lane 5 - Kamis|11:00</t>
  </si>
  <si>
    <t xml:space="preserve">KWC|- Lane 5 - Kamis|11:45</t>
  </si>
  <si>
    <t xml:space="preserve">KWC|- Lane 5 - Kamis|13:15</t>
  </si>
  <si>
    <t xml:space="preserve"> - Lane 5 - Kamis - 14:00</t>
  </si>
  <si>
    <t xml:space="preserve">KWC|- Lane 5 - Kamis|14:00</t>
  </si>
  <si>
    <t xml:space="preserve">KWC|- Lane 5 - Kamis|14:45</t>
  </si>
  <si>
    <t xml:space="preserve"> - Lane 5 - Kamis - 15:30</t>
  </si>
  <si>
    <t xml:space="preserve">KWC|- Lane 5 - Kamis|15:30</t>
  </si>
  <si>
    <t xml:space="preserve"> - Lane 5 - Kamis - 16:15</t>
  </si>
  <si>
    <t xml:space="preserve">KWC|- Lane 5 - Kamis|16:15</t>
  </si>
  <si>
    <t xml:space="preserve"> - Lane 5 - Kamis - 17:00</t>
  </si>
  <si>
    <t xml:space="preserve">KWC|- Lane 5 - Kamis|17:00</t>
  </si>
  <si>
    <t xml:space="preserve">KWC|- Lane 5 - Jumat|08:00</t>
  </si>
  <si>
    <t xml:space="preserve">KWC|- Lane 5 - Jumat|08:45</t>
  </si>
  <si>
    <t xml:space="preserve">KWC|- Lane 5 - Jumat|09:30</t>
  </si>
  <si>
    <t xml:space="preserve">KWC|- Lane 5 - Jumat|10:15</t>
  </si>
  <si>
    <t xml:space="preserve"> - Lane 5 - Jumat - 11:00</t>
  </si>
  <si>
    <t xml:space="preserve">KWC|- Lane 5 - Jumat|11:00</t>
  </si>
  <si>
    <t xml:space="preserve">KWC|- Lane 5 - Jumat|11:45</t>
  </si>
  <si>
    <t xml:space="preserve">Little - Lane 5 - Jumat - 13:15</t>
  </si>
  <si>
    <t xml:space="preserve">KWC|- Lane 5 - Jumat|13:15</t>
  </si>
  <si>
    <t xml:space="preserve">KWC|- Lane 5 - Jumat|14:00</t>
  </si>
  <si>
    <t xml:space="preserve">Kids - Lane 5 - Jumat - 14:45</t>
  </si>
  <si>
    <t xml:space="preserve">KWC|- Lane 5 - Jumat|14:45</t>
  </si>
  <si>
    <t xml:space="preserve">KWC|- Lane 5 - Jumat|15:30</t>
  </si>
  <si>
    <t xml:space="preserve">Little - Lane 5 - Jumat - 16:15</t>
  </si>
  <si>
    <t xml:space="preserve">KWC|- Lane 5 - Jumat|16:15</t>
  </si>
  <si>
    <t xml:space="preserve">Kids - Lane 5 - Jumat - 17:00</t>
  </si>
  <si>
    <t xml:space="preserve">KWC|- Lane 5 - Jumat|17:00</t>
  </si>
  <si>
    <t xml:space="preserve">KWC|- Lane 5 - Sabtu|08:00</t>
  </si>
  <si>
    <t xml:space="preserve">Kids - Lane 5 - Sabtu - 08:45</t>
  </si>
  <si>
    <t xml:space="preserve">KWC|- Lane 5 - Sabtu|08:45</t>
  </si>
  <si>
    <t xml:space="preserve">KWC|- Lane 5 - Sabtu|09:30</t>
  </si>
  <si>
    <t xml:space="preserve">Tiny - Lane 5 - Sabtu - 10:15</t>
  </si>
  <si>
    <t xml:space="preserve">KWC|- Lane 5 - Sabtu|10:15</t>
  </si>
  <si>
    <t xml:space="preserve">KWC|- Lane 5 - Sabtu|11:00</t>
  </si>
  <si>
    <t xml:space="preserve">Little - Lane 5 - Sabtu - 11:45</t>
  </si>
  <si>
    <t xml:space="preserve">KWC|- Lane 5 - Sabtu|11:45</t>
  </si>
  <si>
    <t xml:space="preserve">Kids - Lane 5 - Sabtu - 13:15</t>
  </si>
  <si>
    <t xml:space="preserve">KWC|- Lane 5 - Sabtu|13:15</t>
  </si>
  <si>
    <t xml:space="preserve">KWC|- Lane 5 - Sabtu|14:00</t>
  </si>
  <si>
    <t xml:space="preserve">Tiny - Lane 5 - Sabtu - 14:45</t>
  </si>
  <si>
    <t xml:space="preserve">KWC|- Lane 5 - Sabtu|14:45</t>
  </si>
  <si>
    <t xml:space="preserve">KWC|- Lane 5 - Sabtu|15:30</t>
  </si>
  <si>
    <t xml:space="preserve">KWC|- Lane 5 - Sabtu|16:15</t>
  </si>
  <si>
    <t xml:space="preserve">Kids - Lane 5 - Sabtu - 17:00</t>
  </si>
  <si>
    <t xml:space="preserve">KWC|- Lane 5 - Sabtu|17:00</t>
  </si>
  <si>
    <t xml:space="preserve">KWC|- Lane 5 - Minggu|08:00</t>
  </si>
  <si>
    <t xml:space="preserve">Kids - Lane 5 - Minggu - 08:45</t>
  </si>
  <si>
    <t xml:space="preserve">KWC|- Lane 5 - Minggu|08:45</t>
  </si>
  <si>
    <t xml:space="preserve">KWC|- Lane 5 - Minggu|09:30</t>
  </si>
  <si>
    <t xml:space="preserve">KWC|- Lane 5 - Minggu|10:15</t>
  </si>
  <si>
    <t xml:space="preserve">Kids - Lane 5 - Minggu - 11:00</t>
  </si>
  <si>
    <t xml:space="preserve">KWC|- Lane 5 - Minggu|11:00</t>
  </si>
  <si>
    <t xml:space="preserve">Little - Lane 5 - Minggu - 11:45</t>
  </si>
  <si>
    <t xml:space="preserve">KWC|- Lane 5 - Minggu|11:45</t>
  </si>
  <si>
    <t xml:space="preserve">KWC|- Lane 5 - Minggu|13:15</t>
  </si>
  <si>
    <t xml:space="preserve">KWC|- Lane 5 - Minggu|14:00</t>
  </si>
  <si>
    <t xml:space="preserve">KWC|- Lane 5 - Minggu|14:45</t>
  </si>
  <si>
    <t xml:space="preserve">KWC|- Lane 5 - Minggu|15:30</t>
  </si>
  <si>
    <t xml:space="preserve">KWC|- Lane 5 - Minggu|16:15</t>
  </si>
  <si>
    <t xml:space="preserve">Little - Lane 5 - Minggu - 17:00</t>
  </si>
  <si>
    <t xml:space="preserve">KWC|- Lane 5 - Minggu|17:00</t>
  </si>
  <si>
    <t xml:space="preserve">KWC|- Lane 6 - Senin|08:00</t>
  </si>
  <si>
    <t xml:space="preserve">KWC|- Lane 6 - Senin|08:45</t>
  </si>
  <si>
    <t xml:space="preserve">KWC|- Lane 6 - Senin|09:30</t>
  </si>
  <si>
    <t xml:space="preserve">KWC|- Lane 6 - Senin|10:15</t>
  </si>
  <si>
    <t xml:space="preserve">KWC|- Lane 6 - Senin|11:00</t>
  </si>
  <si>
    <t xml:space="preserve">KWC|- Lane 6 - Senin|11:45</t>
  </si>
  <si>
    <t xml:space="preserve">KWC|- Lane 6 - Senin|13:15</t>
  </si>
  <si>
    <t xml:space="preserve">KWC|- Lane 6 - Senin|14:00</t>
  </si>
  <si>
    <t xml:space="preserve">KWC|- Lane 6 - Senin|14:45</t>
  </si>
  <si>
    <t xml:space="preserve"> - Lane 6 - Senin - 15:30</t>
  </si>
  <si>
    <t xml:space="preserve">KWC|- Lane 6 - Senin|15:30</t>
  </si>
  <si>
    <t xml:space="preserve"> - Lane 6 - Senin - 16:15</t>
  </si>
  <si>
    <t xml:space="preserve">KWC|- Lane 6 - Senin|16:15</t>
  </si>
  <si>
    <t xml:space="preserve"> - Lane 6 - Senin - 17:00</t>
  </si>
  <si>
    <t xml:space="preserve">KWC|- Lane 6 - Senin|17:00</t>
  </si>
  <si>
    <t xml:space="preserve">KWC|- Lane 6 - Selasa|08:00</t>
  </si>
  <si>
    <t xml:space="preserve">KWC|- Lane 6 - Selasa|08:45</t>
  </si>
  <si>
    <t xml:space="preserve">KWC|- Lane 6 - Selasa|09:30</t>
  </si>
  <si>
    <t xml:space="preserve">KWC|- Lane 6 - Selasa|10:15</t>
  </si>
  <si>
    <t xml:space="preserve">KWC|- Lane 6 - Selasa|11:00</t>
  </si>
  <si>
    <t xml:space="preserve">KWC|- Lane 6 - Selasa|11:45</t>
  </si>
  <si>
    <t xml:space="preserve">KWC|- Lane 6 - Selasa|13:15</t>
  </si>
  <si>
    <t xml:space="preserve">KWC|- Lane 6 - Selasa|14:00</t>
  </si>
  <si>
    <t xml:space="preserve">KWC|- Lane 6 - Selasa|14:45</t>
  </si>
  <si>
    <t xml:space="preserve">KWC|- Lane 6 - Selasa|15:30</t>
  </si>
  <si>
    <t xml:space="preserve">KWC|- Lane 6 - Selasa|16:15</t>
  </si>
  <si>
    <t xml:space="preserve">KWC|- Lane 6 - Selasa|17:00</t>
  </si>
  <si>
    <t xml:space="preserve">KWC|- Lane 6 - Rabu|08:00</t>
  </si>
  <si>
    <t xml:space="preserve">KWC|- Lane 6 - Rabu|08:45</t>
  </si>
  <si>
    <t xml:space="preserve">KWC|- Lane 6 - Rabu|09:30</t>
  </si>
  <si>
    <t xml:space="preserve">KWC|- Lane 6 - Rabu|10:15</t>
  </si>
  <si>
    <t xml:space="preserve">KWC|- Lane 6 - Rabu|11:00</t>
  </si>
  <si>
    <t xml:space="preserve">KWC|- Lane 6 - Rabu|11:45</t>
  </si>
  <si>
    <t xml:space="preserve">KWC|- Lane 6 - Rabu|13:15</t>
  </si>
  <si>
    <t xml:space="preserve">KWC|- Lane 6 - Rabu|14:00</t>
  </si>
  <si>
    <t xml:space="preserve">KWC|- Lane 6 - Rabu|14:45</t>
  </si>
  <si>
    <t xml:space="preserve">KWC|- Lane 6 - Rabu|15:30</t>
  </si>
  <si>
    <t xml:space="preserve">KWC|- Lane 6 - Rabu|16:15</t>
  </si>
  <si>
    <t xml:space="preserve">KWC|- Lane 6 - Rabu|17:00</t>
  </si>
  <si>
    <t xml:space="preserve">KWC|- Lane 6 - Kamis|08:00</t>
  </si>
  <si>
    <t xml:space="preserve">KWC|- Lane 6 - Kamis|08:45</t>
  </si>
  <si>
    <t xml:space="preserve">KWC|- Lane 6 - Kamis|09:30</t>
  </si>
  <si>
    <t xml:space="preserve">KWC|- Lane 6 - Kamis|10:15</t>
  </si>
  <si>
    <t xml:space="preserve">KWC|- Lane 6 - Kamis|11:00</t>
  </si>
  <si>
    <t xml:space="preserve">KWC|- Lane 6 - Kamis|11:45</t>
  </si>
  <si>
    <t xml:space="preserve">KWC|- Lane 6 - Kamis|13:15</t>
  </si>
  <si>
    <t xml:space="preserve">KWC|- Lane 6 - Kamis|14:00</t>
  </si>
  <si>
    <t xml:space="preserve">KWC|- Lane 6 - Kamis|14:45</t>
  </si>
  <si>
    <t xml:space="preserve">KWC|- Lane 6 - Kamis|15:30</t>
  </si>
  <si>
    <t xml:space="preserve">KWC|- Lane 6 - Kamis|16:15</t>
  </si>
  <si>
    <t xml:space="preserve">KWC|- Lane 6 - Kamis|17:00</t>
  </si>
  <si>
    <t xml:space="preserve">KWC|- Lane 6 - Jumat|08:00</t>
  </si>
  <si>
    <t xml:space="preserve">KWC|- Lane 6 - Jumat|08:45</t>
  </si>
  <si>
    <t xml:space="preserve">KWC|- Lane 6 - Jumat|09:30</t>
  </si>
  <si>
    <t xml:space="preserve">KWC|- Lane 6 - Jumat|10:15</t>
  </si>
  <si>
    <t xml:space="preserve">KWC|- Lane 6 - Jumat|11:00</t>
  </si>
  <si>
    <t xml:space="preserve">KWC|- Lane 6 - Jumat|11:45</t>
  </si>
  <si>
    <t xml:space="preserve">KWC|- Lane 6 - Jumat|13:15</t>
  </si>
  <si>
    <t xml:space="preserve">KWC|- Lane 6 - Jumat|14:00</t>
  </si>
  <si>
    <t xml:space="preserve">KWC|- Lane 6 - Jumat|14:45</t>
  </si>
  <si>
    <t xml:space="preserve">KWC|- Lane 6 - Jumat|15:30</t>
  </si>
  <si>
    <t xml:space="preserve">KWC|- Lane 6 - Jumat|16:15</t>
  </si>
  <si>
    <t xml:space="preserve"> - Lane 6 - Jumat - 17:00</t>
  </si>
  <si>
    <t xml:space="preserve">KWC|- Lane 6 - Jumat|17:00</t>
  </si>
  <si>
    <t xml:space="preserve">KWC|- Lane 6 - Sabtu|08:00</t>
  </si>
  <si>
    <t xml:space="preserve"> - Lane 6 - Sabtu - 08:45</t>
  </si>
  <si>
    <t xml:space="preserve">KWC|- Lane 6 - Sabtu|08:45</t>
  </si>
  <si>
    <t xml:space="preserve"> - Lane 6 - Sabtu - 09:30</t>
  </si>
  <si>
    <t xml:space="preserve">KWC|- Lane 6 - Sabtu|09:30</t>
  </si>
  <si>
    <t xml:space="preserve"> - Lane 6 - Sabtu - 10:15</t>
  </si>
  <si>
    <t xml:space="preserve">KWC|- Lane 6 - Sabtu|10:15</t>
  </si>
  <si>
    <t xml:space="preserve">KWC|- Lane 6 - Sabtu|11:00</t>
  </si>
  <si>
    <t xml:space="preserve">KWC|- Lane 6 - Sabtu|11:45</t>
  </si>
  <si>
    <t xml:space="preserve">KWC|- Lane 6 - Sabtu|13:15</t>
  </si>
  <si>
    <t xml:space="preserve">KWC|- Lane 6 - Sabtu|14:00</t>
  </si>
  <si>
    <t xml:space="preserve">KWC|- Lane 6 - Sabtu|14:45</t>
  </si>
  <si>
    <t xml:space="preserve">KWC|- Lane 6 - Sabtu|15:30</t>
  </si>
  <si>
    <t xml:space="preserve">KWC|- Lane 6 - Sabtu|16:15</t>
  </si>
  <si>
    <t xml:space="preserve">KWC|- Lane 6 - Sabtu|17:00</t>
  </si>
  <si>
    <t xml:space="preserve">KWC|- Lane 6 - Minggu|08:00</t>
  </si>
  <si>
    <t xml:space="preserve">KWC|- Lane 6 - Minggu|08:45</t>
  </si>
  <si>
    <t xml:space="preserve">KWC|- Lane 6 - Minggu|09:30</t>
  </si>
  <si>
    <t xml:space="preserve">KWC|- Lane 6 - Minggu|10:15</t>
  </si>
  <si>
    <t xml:space="preserve">KWC|- Lane 6 - Minggu|11:00</t>
  </si>
  <si>
    <t xml:space="preserve">KWC|- Lane 6 - Minggu|11:45</t>
  </si>
  <si>
    <t xml:space="preserve">KWC|- Lane 6 - Minggu|13:15</t>
  </si>
  <si>
    <t xml:space="preserve">KWC|- Lane 6 - Minggu|14:00</t>
  </si>
  <si>
    <t xml:space="preserve">KWC|- Lane 6 - Minggu|14:45</t>
  </si>
  <si>
    <t xml:space="preserve">KWC|- Lane 6 - Minggu|15:30</t>
  </si>
  <si>
    <t xml:space="preserve"> - Lane 6 - Minggu - 16:15</t>
  </si>
  <si>
    <t xml:space="preserve">KWC|- Lane 6 - Minggu|16:15</t>
  </si>
  <si>
    <t xml:space="preserve">KWC|- Lane 6 - Minggu|17:00</t>
  </si>
  <si>
    <t xml:space="preserve">Baby - Lane 1 - Senin - 08:15</t>
  </si>
  <si>
    <t xml:space="preserve">PML|- Lane 1 - Senin|08:15</t>
  </si>
  <si>
    <t xml:space="preserve">Baby - Lane 1 - Senin - 09:00</t>
  </si>
  <si>
    <t xml:space="preserve">PML|- Lane 1 - Senin|09:00</t>
  </si>
  <si>
    <t xml:space="preserve">Baby - Lane 1 - Senin - 09:45</t>
  </si>
  <si>
    <t xml:space="preserve">PML|- Lane 1 - Senin|09:45</t>
  </si>
  <si>
    <t xml:space="preserve">PML|- Lane 1 - Senin|10:30</t>
  </si>
  <si>
    <t xml:space="preserve">Baby - Lane 1 - Senin - 11:15</t>
  </si>
  <si>
    <t xml:space="preserve">PML|- Lane 1 - Senin|11:15</t>
  </si>
  <si>
    <t xml:space="preserve">PML|- Lane 1 - Senin|12:00</t>
  </si>
  <si>
    <t xml:space="preserve">Baby - Lane 1 - Senin - 13:30</t>
  </si>
  <si>
    <t xml:space="preserve">PML|- Lane 1 - Senin|13:30</t>
  </si>
  <si>
    <t xml:space="preserve">Baby - Lane 1 - Senin - 14:15</t>
  </si>
  <si>
    <t xml:space="preserve">PML|- Lane 1 - Senin|14:15</t>
  </si>
  <si>
    <t xml:space="preserve"> - Lane 1 - Senin - 15:00</t>
  </si>
  <si>
    <t xml:space="preserve">PML|- Lane 1 - Senin|15:00</t>
  </si>
  <si>
    <t xml:space="preserve">PML|- Lane 1 - Senin|15:45</t>
  </si>
  <si>
    <t xml:space="preserve"> - Lane 1 - Senin - 16:30</t>
  </si>
  <si>
    <t xml:space="preserve">PML|- Lane 1 - Senin|16:30</t>
  </si>
  <si>
    <t xml:space="preserve">PML|- Lane 1 - Senin|17:15</t>
  </si>
  <si>
    <t xml:space="preserve">Baby - Lane 1 - Selasa - 08:15</t>
  </si>
  <si>
    <t xml:space="preserve">PML|- Lane 1 - Selasa|08:15</t>
  </si>
  <si>
    <t xml:space="preserve">Baby - Lane 1 - Selasa - 09:00</t>
  </si>
  <si>
    <t xml:space="preserve">PML|- Lane 1 - Selasa|09:00</t>
  </si>
  <si>
    <t xml:space="preserve">Baby - Lane 1 - Selasa - 09:45</t>
  </si>
  <si>
    <t xml:space="preserve">PML|- Lane 1 - Selasa|09:45</t>
  </si>
  <si>
    <t xml:space="preserve">PML|- Lane 1 - Selasa|10:30</t>
  </si>
  <si>
    <t xml:space="preserve">PML|- Lane 1 - Selasa|11:15</t>
  </si>
  <si>
    <t xml:space="preserve">Baby - Lane 1 - Selasa - 12:00</t>
  </si>
  <si>
    <t xml:space="preserve">PML|- Lane 1 - Selasa|12:00</t>
  </si>
  <si>
    <t xml:space="preserve">Baby - Lane 1 - Selasa - 13:30</t>
  </si>
  <si>
    <t xml:space="preserve">PML|- Lane 1 - Selasa|13:30</t>
  </si>
  <si>
    <t xml:space="preserve">Baby - Lane 1 - Selasa - 14:15</t>
  </si>
  <si>
    <t xml:space="preserve">PML|- Lane 1 - Selasa|14:15</t>
  </si>
  <si>
    <t xml:space="preserve"> - Lane 1 - Selasa - 15:00</t>
  </si>
  <si>
    <t xml:space="preserve">PML|- Lane 1 - Selasa|15:00</t>
  </si>
  <si>
    <t xml:space="preserve">PML|- Lane 1 - Selasa|15:45</t>
  </si>
  <si>
    <t xml:space="preserve">PML|- Lane 1 - Selasa|16:30</t>
  </si>
  <si>
    <t xml:space="preserve"> - Lane 1 - Selasa - 17:15</t>
  </si>
  <si>
    <t xml:space="preserve">PML|- Lane 1 - Selasa|17:15</t>
  </si>
  <si>
    <t xml:space="preserve">Baby - Lane 1 - Rabu - 08:15</t>
  </si>
  <si>
    <t xml:space="preserve">PML|- Lane 1 - Rabu|08:15</t>
  </si>
  <si>
    <t xml:space="preserve">PML|- Lane 1 - Rabu|09:00</t>
  </si>
  <si>
    <t xml:space="preserve">Baby - Lane 1 - Rabu - 09:45</t>
  </si>
  <si>
    <t xml:space="preserve">PML|- Lane 1 - Rabu|09:45</t>
  </si>
  <si>
    <t xml:space="preserve">Baby - Lane 1 - Rabu - 10:30</t>
  </si>
  <si>
    <t xml:space="preserve">PML|- Lane 1 - Rabu|10:30</t>
  </si>
  <si>
    <t xml:space="preserve">PML|- Lane 1 - Rabu|11:15</t>
  </si>
  <si>
    <t xml:space="preserve">Baby - Lane 1 - Rabu - 12:00</t>
  </si>
  <si>
    <t xml:space="preserve">PML|- Lane 1 - Rabu|12:00</t>
  </si>
  <si>
    <t xml:space="preserve">Little - Lane 1 - Rabu - 13:30</t>
  </si>
  <si>
    <t xml:space="preserve">PML|- Lane 1 - Rabu|13:30</t>
  </si>
  <si>
    <t xml:space="preserve">Baby - Lane 1 - Rabu - 14:15</t>
  </si>
  <si>
    <t xml:space="preserve">PML|- Lane 1 - Rabu|14:15</t>
  </si>
  <si>
    <t xml:space="preserve"> - Lane 1 - Rabu - 15:00</t>
  </si>
  <si>
    <t xml:space="preserve">PML|- Lane 1 - Rabu|15:00</t>
  </si>
  <si>
    <t xml:space="preserve"> - Lane 1 - Rabu - 15:45</t>
  </si>
  <si>
    <t xml:space="preserve">PML|- Lane 1 - Rabu|15:45</t>
  </si>
  <si>
    <t xml:space="preserve">Baby - Lane 1 - Rabu - 16:30</t>
  </si>
  <si>
    <t xml:space="preserve">PML|- Lane 1 - Rabu|16:30</t>
  </si>
  <si>
    <t xml:space="preserve">PML|- Lane 1 - Rabu|17:15</t>
  </si>
  <si>
    <t xml:space="preserve">Baby - Lane 1 - Kamis - 08:15</t>
  </si>
  <si>
    <t xml:space="preserve">PML|- Lane 1 - Kamis|08:15</t>
  </si>
  <si>
    <t xml:space="preserve">Baby - Lane 1 - Kamis - 09:00</t>
  </si>
  <si>
    <t xml:space="preserve">PML|- Lane 1 - Kamis|09:00</t>
  </si>
  <si>
    <t xml:space="preserve">Baby - Lane 1 - Kamis - 09:45</t>
  </si>
  <si>
    <t xml:space="preserve">PML|- Lane 1 - Kamis|09:45</t>
  </si>
  <si>
    <t xml:space="preserve">Baby - Lane 1 - Kamis - 10:30</t>
  </si>
  <si>
    <t xml:space="preserve">PML|- Lane 1 - Kamis|10:30</t>
  </si>
  <si>
    <t xml:space="preserve">Baby - Lane 1 - Kamis - 11:15</t>
  </si>
  <si>
    <t xml:space="preserve">PML|- Lane 1 - Kamis|11:15</t>
  </si>
  <si>
    <t xml:space="preserve">Baby - Lane 1 - Kamis - 12:00</t>
  </si>
  <si>
    <t xml:space="preserve">PML|- Lane 1 - Kamis|12:00</t>
  </si>
  <si>
    <t xml:space="preserve">Baby - Lane 1 - Kamis - 13:30</t>
  </si>
  <si>
    <t xml:space="preserve">PML|- Lane 1 - Kamis|13:30</t>
  </si>
  <si>
    <t xml:space="preserve">Baby - Lane 1 - Kamis - 14:15</t>
  </si>
  <si>
    <t xml:space="preserve">PML|- Lane 1 - Kamis|14:15</t>
  </si>
  <si>
    <t xml:space="preserve">PML|- Lane 1 - Kamis|15:00</t>
  </si>
  <si>
    <t xml:space="preserve"> - Lane 1 - Kamis - 15:45</t>
  </si>
  <si>
    <t xml:space="preserve">PML|- Lane 1 - Kamis|15:45</t>
  </si>
  <si>
    <t xml:space="preserve">KIDS - Lane 1 - Kamis - 16:30</t>
  </si>
  <si>
    <t xml:space="preserve">PML|- Lane 1 - Kamis|16:30</t>
  </si>
  <si>
    <t xml:space="preserve">PML|- Lane 1 - Kamis|17:15</t>
  </si>
  <si>
    <t xml:space="preserve">Baby - Lane 1 - Jumat - 08:15</t>
  </si>
  <si>
    <t xml:space="preserve">PML|- Lane 1 - Jumat|08:15</t>
  </si>
  <si>
    <t xml:space="preserve">PML|- Lane 1 - Jumat|09:00</t>
  </si>
  <si>
    <t xml:space="preserve">Baby - Lane 1 - Jumat - 09:45</t>
  </si>
  <si>
    <t xml:space="preserve">PML|- Lane 1 - Jumat|09:45</t>
  </si>
  <si>
    <t xml:space="preserve">Baby - Lane 1 - Jumat - 10:30</t>
  </si>
  <si>
    <t xml:space="preserve">PML|- Lane 1 - Jumat|10:30</t>
  </si>
  <si>
    <t xml:space="preserve">Baby - Lane 1 - Jumat - 11:15</t>
  </si>
  <si>
    <t xml:space="preserve">PML|- Lane 1 - Jumat|11:15</t>
  </si>
  <si>
    <t xml:space="preserve">Baby - Lane 1 - Jumat - 12:00</t>
  </si>
  <si>
    <t xml:space="preserve">PML|- Lane 1 - Jumat|12:00</t>
  </si>
  <si>
    <t xml:space="preserve">KIDS - Lane 1 - Jumat - 13:30</t>
  </si>
  <si>
    <t xml:space="preserve">PML|- Lane 1 - Jumat|13:30</t>
  </si>
  <si>
    <t xml:space="preserve">Baby - Lane 1 - Jumat - 14:15</t>
  </si>
  <si>
    <t xml:space="preserve">PML|- Lane 1 - Jumat|14:15</t>
  </si>
  <si>
    <t xml:space="preserve"> - Lane 1 - Jumat - 15:00</t>
  </si>
  <si>
    <t xml:space="preserve">PML|- Lane 1 - Jumat|15:00</t>
  </si>
  <si>
    <t xml:space="preserve">KIDS - Lane 1 - Jumat - 15:45</t>
  </si>
  <si>
    <t xml:space="preserve">PML|- Lane 1 - Jumat|15:45</t>
  </si>
  <si>
    <t xml:space="preserve">Baby - Lane 1 - Jumat - 16:30</t>
  </si>
  <si>
    <t xml:space="preserve">PML|- Lane 1 - Jumat|16:30</t>
  </si>
  <si>
    <t xml:space="preserve">PML|- Lane 1 - Jumat|17:15</t>
  </si>
  <si>
    <t xml:space="preserve">-</t>
  </si>
  <si>
    <t xml:space="preserve">- - Lane 1 - Sabtu - 08:15</t>
  </si>
  <si>
    <t xml:space="preserve">PML|- Lane 1 - Sabtu|08:15</t>
  </si>
  <si>
    <t xml:space="preserve">PML|- Lane 1 - Sabtu|09:00</t>
  </si>
  <si>
    <t xml:space="preserve">PML|- Lane 1 - Sabtu|09:45</t>
  </si>
  <si>
    <t xml:space="preserve">PML|- Lane 1 - Sabtu|10:30</t>
  </si>
  <si>
    <t xml:space="preserve">Baby - Lane 1 - Sabtu - 11:15</t>
  </si>
  <si>
    <t xml:space="preserve">PML|- Lane 1 - Sabtu|11:15</t>
  </si>
  <si>
    <t xml:space="preserve">Baby - Lane 1 - Sabtu - 12:00</t>
  </si>
  <si>
    <t xml:space="preserve">PML|- Lane 1 - Sabtu|12:00</t>
  </si>
  <si>
    <t xml:space="preserve">PML|- Lane 1 - Sabtu|13:30</t>
  </si>
  <si>
    <t xml:space="preserve">Baby - Lane 1 - Sabtu - 14:15</t>
  </si>
  <si>
    <t xml:space="preserve">PML|- Lane 1 - Sabtu|14:15</t>
  </si>
  <si>
    <t xml:space="preserve">PML|- Lane 1 - Sabtu|15:00</t>
  </si>
  <si>
    <t xml:space="preserve">Baby - Lane 1 - Sabtu - 15:45</t>
  </si>
  <si>
    <t xml:space="preserve">PML|- Lane 1 - Sabtu|15:45</t>
  </si>
  <si>
    <t xml:space="preserve">PML|- Lane 1 - Sabtu|16:30</t>
  </si>
  <si>
    <t xml:space="preserve">Baby - Lane 1 - Sabtu - 17:15</t>
  </si>
  <si>
    <t xml:space="preserve">PML|- Lane 1 - Sabtu|17:15</t>
  </si>
  <si>
    <t xml:space="preserve">Baby - Lane 1 - Minggu - 08:15</t>
  </si>
  <si>
    <t xml:space="preserve">PML|- Lane 1 - Minggu|08:15</t>
  </si>
  <si>
    <t xml:space="preserve">PML|- Lane 1 - Minggu|09:00</t>
  </si>
  <si>
    <t xml:space="preserve">PML|- Lane 1 - Minggu|09:45</t>
  </si>
  <si>
    <t xml:space="preserve">PML|- Lane 1 - Minggu|10:30</t>
  </si>
  <si>
    <t xml:space="preserve">Baby - Lane 1 - Minggu - 11:15</t>
  </si>
  <si>
    <t xml:space="preserve">PML|- Lane 1 - Minggu|11:15</t>
  </si>
  <si>
    <t xml:space="preserve">Baby - Lane 1 - Minggu - 12:00</t>
  </si>
  <si>
    <t xml:space="preserve">PML|- Lane 1 - Minggu|12:00</t>
  </si>
  <si>
    <t xml:space="preserve">PML|- Lane 1 - Minggu|13:30</t>
  </si>
  <si>
    <t xml:space="preserve">Baby - Lane 1 - Minggu - 14:15</t>
  </si>
  <si>
    <t xml:space="preserve">PML|- Lane 1 - Minggu|14:15</t>
  </si>
  <si>
    <t xml:space="preserve">PML|- Lane 1 - Minggu|15:00</t>
  </si>
  <si>
    <t xml:space="preserve">KIDS - Lane 1 - Minggu - 15:45</t>
  </si>
  <si>
    <t xml:space="preserve">PML|- Lane 1 - Minggu|15:45</t>
  </si>
  <si>
    <t xml:space="preserve">Baby - Lane 1 - Minggu - 16:30</t>
  </si>
  <si>
    <t xml:space="preserve">PML|- Lane 1 - Minggu|16:30</t>
  </si>
  <si>
    <t xml:space="preserve">Baby - Lane 1 - Minggu - 17:15</t>
  </si>
  <si>
    <t xml:space="preserve">PML|- Lane 1 - Minggu|17:15</t>
  </si>
  <si>
    <t xml:space="preserve">PML|- Lane 1 - Senin|07:30</t>
  </si>
  <si>
    <t xml:space="preserve">PML|- Lane 1 - Selasa|07:30</t>
  </si>
  <si>
    <t xml:space="preserve">PML|- Lane 1 - Rabu|07:30</t>
  </si>
  <si>
    <t xml:space="preserve">PML|- Lane 1 - Kamis|07:30</t>
  </si>
  <si>
    <t xml:space="preserve">PML|- Lane 1 - Jumat|07:30</t>
  </si>
  <si>
    <t xml:space="preserve">PML|- Lane 1 - Sabtu|07:30</t>
  </si>
  <si>
    <t xml:space="preserve">PML|- Lane 1 - Minggu|07:30</t>
  </si>
  <si>
    <t xml:space="preserve">PML|- Lane 1 - Senin|18:00</t>
  </si>
  <si>
    <t xml:space="preserve">PML|- Lane 1 - Selasa|18:00</t>
  </si>
  <si>
    <t xml:space="preserve">PML|- Lane 1 - Rabu|18:00</t>
  </si>
  <si>
    <t xml:space="preserve">PML|- Lane 1 - Kamis|18:00</t>
  </si>
  <si>
    <t xml:space="preserve">PML|- Lane 1 - Jumat|18:00</t>
  </si>
  <si>
    <t xml:space="preserve">PML|- Lane 1 - Sabtu|18:00</t>
  </si>
  <si>
    <t xml:space="preserve">PML|- Lane 1 - Minggu|18:00</t>
  </si>
  <si>
    <t xml:space="preserve">PML|- Lane 2 - Senin|08:15</t>
  </si>
  <si>
    <t xml:space="preserve">PML|- Lane 2 - Senin|09:00</t>
  </si>
  <si>
    <t xml:space="preserve">PML|- Lane 2 - Senin|09:45</t>
  </si>
  <si>
    <t xml:space="preserve">PML|- Lane 2 - Senin|10:30</t>
  </si>
  <si>
    <t xml:space="preserve">PML|- Lane 2 - Senin|11:15</t>
  </si>
  <si>
    <t xml:space="preserve">PML|- Lane 2 - Senin|12:00</t>
  </si>
  <si>
    <t xml:space="preserve">PML|- Lane 2 - Senin|13:30</t>
  </si>
  <si>
    <t xml:space="preserve">PML|- Lane 2 - Senin|14:15</t>
  </si>
  <si>
    <t xml:space="preserve"> - Lane 2 - Senin - 15:00</t>
  </si>
  <si>
    <t xml:space="preserve">PML|- Lane 2 - Senin|15:00</t>
  </si>
  <si>
    <t xml:space="preserve"> - Lane 2 - Senin - 15:45</t>
  </si>
  <si>
    <t xml:space="preserve">PML|- Lane 2 - Senin|15:45</t>
  </si>
  <si>
    <t xml:space="preserve"> - Lane 2 - Senin - 16:30</t>
  </si>
  <si>
    <t xml:space="preserve">PML|- Lane 2 - Senin|16:30</t>
  </si>
  <si>
    <t xml:space="preserve"> - Lane 2 - Senin - 17:15</t>
  </si>
  <si>
    <t xml:space="preserve">PML|- Lane 2 - Senin|17:15</t>
  </si>
  <si>
    <t xml:space="preserve">PML|- Lane 2 - Selasa|08:15</t>
  </si>
  <si>
    <t xml:space="preserve">PML|- Lane 2 - Selasa|09:00</t>
  </si>
  <si>
    <t xml:space="preserve">PML|- Lane 2 - Selasa|09:45</t>
  </si>
  <si>
    <t xml:space="preserve">PML|- Lane 2 - Selasa|10:30</t>
  </si>
  <si>
    <t xml:space="preserve">PML|- Lane 2 - Selasa|11:15</t>
  </si>
  <si>
    <t xml:space="preserve">PML|- Lane 2 - Selasa|12:00</t>
  </si>
  <si>
    <t xml:space="preserve">PML|- Lane 2 - Selasa|13:30</t>
  </si>
  <si>
    <t xml:space="preserve">PML|- Lane 2 - Selasa|14:15</t>
  </si>
  <si>
    <t xml:space="preserve"> - Lane 2 - Selasa - 15:00</t>
  </si>
  <si>
    <t xml:space="preserve">PML|- Lane 2 - Selasa|15:00</t>
  </si>
  <si>
    <t xml:space="preserve"> - Lane 2 - Selasa - 15:45</t>
  </si>
  <si>
    <t xml:space="preserve">PML|- Lane 2 - Selasa|15:45</t>
  </si>
  <si>
    <t xml:space="preserve">PML|- Lane 2 - Selasa|16:30</t>
  </si>
  <si>
    <t xml:space="preserve"> - Lane 2 - Selasa - 17:15</t>
  </si>
  <si>
    <t xml:space="preserve">PML|- Lane 2 - Selasa|17:15</t>
  </si>
  <si>
    <t xml:space="preserve">PML|- Lane 2 - Rabu|08:15</t>
  </si>
  <si>
    <t xml:space="preserve">PML|- Lane 2 - Rabu|09:00</t>
  </si>
  <si>
    <t xml:space="preserve">PML|- Lane 2 - Rabu|09:45</t>
  </si>
  <si>
    <t xml:space="preserve">PML|- Lane 2 - Rabu|10:30</t>
  </si>
  <si>
    <t xml:space="preserve">PML|- Lane 2 - Rabu|11:15</t>
  </si>
  <si>
    <t xml:space="preserve">PML|- Lane 2 - Rabu|12:00</t>
  </si>
  <si>
    <t xml:space="preserve">PML|- Lane 2 - Rabu|13:30</t>
  </si>
  <si>
    <t xml:space="preserve">PML|- Lane 2 - Rabu|14:15</t>
  </si>
  <si>
    <t xml:space="preserve"> - Lane 2 - Rabu - 15:00</t>
  </si>
  <si>
    <t xml:space="preserve">PML|- Lane 2 - Rabu|15:00</t>
  </si>
  <si>
    <t xml:space="preserve"> - Lane 2 - Rabu - 15:45</t>
  </si>
  <si>
    <t xml:space="preserve">PML|- Lane 2 - Rabu|15:45</t>
  </si>
  <si>
    <t xml:space="preserve">PML|- Lane 2 - Rabu|16:30</t>
  </si>
  <si>
    <t xml:space="preserve"> - Lane 2 - Rabu - 17:15</t>
  </si>
  <si>
    <t xml:space="preserve">PML|- Lane 2 - Rabu|17:15</t>
  </si>
  <si>
    <t xml:space="preserve">PML|- Lane 2 - Kamis|08:15</t>
  </si>
  <si>
    <t xml:space="preserve">PML|- Lane 2 - Kamis|09:00</t>
  </si>
  <si>
    <t xml:space="preserve">PML|- Lane 2 - Kamis|09:45</t>
  </si>
  <si>
    <t xml:space="preserve">PML|- Lane 2 - Kamis|10:30</t>
  </si>
  <si>
    <t xml:space="preserve">PML|- Lane 2 - Kamis|11:15</t>
  </si>
  <si>
    <t xml:space="preserve">PML|- Lane 2 - Kamis|12:00</t>
  </si>
  <si>
    <t xml:space="preserve">PML|- Lane 2 - Kamis|13:30</t>
  </si>
  <si>
    <t xml:space="preserve">PML|- Lane 2 - Kamis|14:15</t>
  </si>
  <si>
    <t xml:space="preserve"> - Lane 2 - Kamis - 15:00</t>
  </si>
  <si>
    <t xml:space="preserve">PML|- Lane 2 - Kamis|15:00</t>
  </si>
  <si>
    <t xml:space="preserve"> - Lane 2 - Kamis - 15:45</t>
  </si>
  <si>
    <t xml:space="preserve">PML|- Lane 2 - Kamis|15:45</t>
  </si>
  <si>
    <t xml:space="preserve">PML|- Lane 2 - Kamis|16:30</t>
  </si>
  <si>
    <t xml:space="preserve"> - Lane 2 - Kamis - 17:15</t>
  </si>
  <si>
    <t xml:space="preserve">PML|- Lane 2 - Kamis|17:15</t>
  </si>
  <si>
    <t xml:space="preserve">PML|- Lane 2 - Jumat|08:15</t>
  </si>
  <si>
    <t xml:space="preserve">PML|- Lane 2 - Jumat|09:00</t>
  </si>
  <si>
    <t xml:space="preserve">PML|- Lane 2 - Jumat|09:45</t>
  </si>
  <si>
    <t xml:space="preserve">PML|- Lane 2 - Jumat|10:30</t>
  </si>
  <si>
    <t xml:space="preserve">PML|- Lane 2 - Jumat|11:15</t>
  </si>
  <si>
    <t xml:space="preserve">PML|- Lane 2 - Jumat|12:00</t>
  </si>
  <si>
    <t xml:space="preserve">PML|- Lane 2 - Jumat|13:30</t>
  </si>
  <si>
    <t xml:space="preserve">PML|- Lane 2 - Jumat|14:15</t>
  </si>
  <si>
    <t xml:space="preserve">PML|- Lane 2 - Jumat|15:00</t>
  </si>
  <si>
    <t xml:space="preserve">Tiny - Lane 2 - Jumat - 15:45</t>
  </si>
  <si>
    <t xml:space="preserve">PML|- Lane 2 - Jumat|15:45</t>
  </si>
  <si>
    <t xml:space="preserve">PML|- Lane 2 - Jumat|16:30</t>
  </si>
  <si>
    <t xml:space="preserve">PML|- Lane 2 - Jumat|17:15</t>
  </si>
  <si>
    <t xml:space="preserve">PML|- Lane 2 - Sabtu|08:15</t>
  </si>
  <si>
    <t xml:space="preserve">PML|- Lane 2 - Sabtu|09:00</t>
  </si>
  <si>
    <t xml:space="preserve">PML|- Lane 2 - Sabtu|09:45</t>
  </si>
  <si>
    <t xml:space="preserve">PML|- Lane 2 - Sabtu|10:30</t>
  </si>
  <si>
    <t xml:space="preserve">PML|- Lane 2 - Sabtu|11:15</t>
  </si>
  <si>
    <t xml:space="preserve">Tiny - Lane 2 - Sabtu - 12:00</t>
  </si>
  <si>
    <t xml:space="preserve">PML|- Lane 2 - Sabtu|12:00</t>
  </si>
  <si>
    <t xml:space="preserve">PML|- Lane 2 - Sabtu|13:30</t>
  </si>
  <si>
    <t xml:space="preserve">PML|- Lane 2 - Sabtu|14:15</t>
  </si>
  <si>
    <t xml:space="preserve">PML|- Lane 2 - Sabtu|15:00</t>
  </si>
  <si>
    <t xml:space="preserve">Tiny - Lane 2 - Sabtu - 15:45</t>
  </si>
  <si>
    <t xml:space="preserve">PML|- Lane 2 - Sabtu|15:45</t>
  </si>
  <si>
    <t xml:space="preserve">PML|- Lane 2 - Sabtu|16:30</t>
  </si>
  <si>
    <t xml:space="preserve">PML|- Lane 2 - Sabtu|17:15</t>
  </si>
  <si>
    <t xml:space="preserve">PML|- Lane 2 - Minggu|08:15</t>
  </si>
  <si>
    <t xml:space="preserve">PML|- Lane 2 - Minggu|09:00</t>
  </si>
  <si>
    <t xml:space="preserve">PML|- Lane 2 - Minggu|09:45</t>
  </si>
  <si>
    <t xml:space="preserve">PML|- Lane 2 - Minggu|10:30</t>
  </si>
  <si>
    <t xml:space="preserve">PML|- Lane 2 - Minggu|11:15</t>
  </si>
  <si>
    <t xml:space="preserve">PML|- Lane 2 - Minggu|12:00</t>
  </si>
  <si>
    <t xml:space="preserve">PML|- Lane 2 - Minggu|13:30</t>
  </si>
  <si>
    <t xml:space="preserve">Tiny - Lane 2 - Minggu - 14:15</t>
  </si>
  <si>
    <t xml:space="preserve">PML|- Lane 2 - Minggu|14:15</t>
  </si>
  <si>
    <t xml:space="preserve">PML|- Lane 2 - Minggu|15:00</t>
  </si>
  <si>
    <t xml:space="preserve">PML|- Lane 2 - Minggu|15:45</t>
  </si>
  <si>
    <t xml:space="preserve">PML|- Lane 2 - Minggu|16:30</t>
  </si>
  <si>
    <t xml:space="preserve">PML|- Lane 2 - Minggu|17:15</t>
  </si>
  <si>
    <t xml:space="preserve">PML|- Lane 3 - Senin|08:00</t>
  </si>
  <si>
    <t xml:space="preserve">PML|- Lane 3 - Senin|08:45</t>
  </si>
  <si>
    <t xml:space="preserve">PML|- Lane 3 - Senin|09:30</t>
  </si>
  <si>
    <t xml:space="preserve">PML|- Lane 3 - Senin|10:15</t>
  </si>
  <si>
    <t xml:space="preserve">PML|- Lane 3 - Senin|11:00</t>
  </si>
  <si>
    <t xml:space="preserve">PML|- Lane 3 - Senin|11:45</t>
  </si>
  <si>
    <t xml:space="preserve">PML|- Lane 3 - Senin|13:15</t>
  </si>
  <si>
    <t xml:space="preserve">PML|- Lane 3 - Senin|14:00</t>
  </si>
  <si>
    <t xml:space="preserve">PML|- Lane 3 - Senin|14:45</t>
  </si>
  <si>
    <t xml:space="preserve">PML|- Lane 3 - Senin|15:30</t>
  </si>
  <si>
    <t xml:space="preserve">PML|- Lane 3 - Senin|16:15</t>
  </si>
  <si>
    <t xml:space="preserve">PML|- Lane 3 - Senin|17:00</t>
  </si>
  <si>
    <t xml:space="preserve">PML|- Lane 3 - Selasa|08:00</t>
  </si>
  <si>
    <t xml:space="preserve">PML|- Lane 3 - Selasa|08:45</t>
  </si>
  <si>
    <t xml:space="preserve">PML|- Lane 3 - Selasa|09:30</t>
  </si>
  <si>
    <t xml:space="preserve">PML|- Lane 3 - Selasa|10:15</t>
  </si>
  <si>
    <t xml:space="preserve">PML|- Lane 3 - Selasa|11:00</t>
  </si>
  <si>
    <t xml:space="preserve">PML|- Lane 3 - Selasa|11:45</t>
  </si>
  <si>
    <t xml:space="preserve">PML|- Lane 3 - Selasa|13:15</t>
  </si>
  <si>
    <t xml:space="preserve">PML|- Lane 3 - Selasa|14:00</t>
  </si>
  <si>
    <t xml:space="preserve">PML|- Lane 3 - Selasa|14:45</t>
  </si>
  <si>
    <t xml:space="preserve">PML|- Lane 3 - Selasa|15:30</t>
  </si>
  <si>
    <t xml:space="preserve">PML|- Lane 3 - Selasa|16:15</t>
  </si>
  <si>
    <t xml:space="preserve">PML|- Lane 3 - Selasa|17:00</t>
  </si>
  <si>
    <t xml:space="preserve">PML|- Lane 3 - Rabu|08:00</t>
  </si>
  <si>
    <t xml:space="preserve">PML|- Lane 3 - Rabu|08:45</t>
  </si>
  <si>
    <t xml:space="preserve">PML|- Lane 3 - Rabu|09:30</t>
  </si>
  <si>
    <t xml:space="preserve">PML|- Lane 3 - Rabu|10:15</t>
  </si>
  <si>
    <t xml:space="preserve">ZIdan</t>
  </si>
  <si>
    <t xml:space="preserve">PML|- Lane 3 - Rabu|11:00</t>
  </si>
  <si>
    <t xml:space="preserve">PML|- Lane 3 - Rabu|11:45</t>
  </si>
  <si>
    <t xml:space="preserve">PML|- Lane 3 - Rabu|13:15</t>
  </si>
  <si>
    <t xml:space="preserve">PML|- Lane 3 - Rabu|14:00</t>
  </si>
  <si>
    <t xml:space="preserve">PML|- Lane 3 - Rabu|14:45</t>
  </si>
  <si>
    <t xml:space="preserve">PML|- Lane 3 - Rabu|15:30</t>
  </si>
  <si>
    <t xml:space="preserve">PML|- Lane 3 - Rabu|16:15</t>
  </si>
  <si>
    <t xml:space="preserve">PML|- Lane 3 - Rabu|17:00</t>
  </si>
  <si>
    <t xml:space="preserve">PML|- Lane 3 - Kamis|08:00</t>
  </si>
  <si>
    <t xml:space="preserve">PML|- Lane 3 - Kamis|08:45</t>
  </si>
  <si>
    <t xml:space="preserve">PML|- Lane 3 - Kamis|09:30</t>
  </si>
  <si>
    <t xml:space="preserve">PML|- Lane 3 - Kamis|10:15</t>
  </si>
  <si>
    <t xml:space="preserve">PML|- Lane 3 - Kamis|11:00</t>
  </si>
  <si>
    <t xml:space="preserve">PML|- Lane 3 - Kamis|11:45</t>
  </si>
  <si>
    <t xml:space="preserve">PML|- Lane 3 - Kamis|13:15</t>
  </si>
  <si>
    <t xml:space="preserve">PML|- Lane 3 - Kamis|14:00</t>
  </si>
  <si>
    <t xml:space="preserve">PML|- Lane 3 - Kamis|14:45</t>
  </si>
  <si>
    <t xml:space="preserve">PML|- Lane 3 - Kamis|15:30</t>
  </si>
  <si>
    <t xml:space="preserve">PML|- Lane 3 - Kamis|16:15</t>
  </si>
  <si>
    <t xml:space="preserve">PML|- Lane 3 - Kamis|17:00</t>
  </si>
  <si>
    <t xml:space="preserve">PML|- Lane 3 - Jumat|08:00</t>
  </si>
  <si>
    <t xml:space="preserve">PML|- Lane 3 - Jumat|08:45</t>
  </si>
  <si>
    <t xml:space="preserve">PML|- Lane 3 - Jumat|09:30</t>
  </si>
  <si>
    <t xml:space="preserve">PML|- Lane 3 - Jumat|10:15</t>
  </si>
  <si>
    <t xml:space="preserve">PML|- Lane 3 - Jumat|11:00</t>
  </si>
  <si>
    <t xml:space="preserve">PML|- Lane 3 - Jumat|11:45</t>
  </si>
  <si>
    <t xml:space="preserve">PML|- Lane 3 - Jumat|13:15</t>
  </si>
  <si>
    <t xml:space="preserve">PML|- Lane 3 - Jumat|14:00</t>
  </si>
  <si>
    <t xml:space="preserve">PML|- Lane 3 - Jumat|14:45</t>
  </si>
  <si>
    <t xml:space="preserve">PML|- Lane 3 - Jumat|15:30</t>
  </si>
  <si>
    <t xml:space="preserve">PML|- Lane 3 - Jumat|16:15</t>
  </si>
  <si>
    <t xml:space="preserve">PML|- Lane 3 - Jumat|17:00</t>
  </si>
  <si>
    <t xml:space="preserve">PML|- Lane 3 - Sabtu|08:00</t>
  </si>
  <si>
    <t xml:space="preserve">PML|- Lane 3 - Sabtu|08:45</t>
  </si>
  <si>
    <t xml:space="preserve">PML|- Lane 3 - Sabtu|09:30</t>
  </si>
  <si>
    <t xml:space="preserve">PML|- Lane 3 - Sabtu|10:15</t>
  </si>
  <si>
    <t xml:space="preserve">PML|- Lane 3 - Sabtu|11:00</t>
  </si>
  <si>
    <t xml:space="preserve">PML|- Lane 3 - Sabtu|11:45</t>
  </si>
  <si>
    <t xml:space="preserve">PML|- Lane 3 - Sabtu|13:15</t>
  </si>
  <si>
    <t xml:space="preserve">PML|- Lane 3 - Sabtu|14:00</t>
  </si>
  <si>
    <t xml:space="preserve">PML|- Lane 3 - Sabtu|14:45</t>
  </si>
  <si>
    <t xml:space="preserve">PML|- Lane 3 - Sabtu|15:30</t>
  </si>
  <si>
    <t xml:space="preserve">PML|- Lane 3 - Sabtu|16:15</t>
  </si>
  <si>
    <t xml:space="preserve">PML|- Lane 3 - Sabtu|17:00</t>
  </si>
  <si>
    <t xml:space="preserve">PML|- Lane 3 - Minggu|08:00</t>
  </si>
  <si>
    <t xml:space="preserve">PML|- Lane 3 - Minggu|08:45</t>
  </si>
  <si>
    <t xml:space="preserve">PML|- Lane 3 - Minggu|09:30</t>
  </si>
  <si>
    <t xml:space="preserve">PML|- Lane 3 - Minggu|10:15</t>
  </si>
  <si>
    <t xml:space="preserve">PML|- Lane 3 - Minggu|11:00</t>
  </si>
  <si>
    <t xml:space="preserve">PML|- Lane 3 - Minggu|11:45</t>
  </si>
  <si>
    <t xml:space="preserve">PML|- Lane 3 - Minggu|13:15</t>
  </si>
  <si>
    <t xml:space="preserve">PML|- Lane 3 - Minggu|14:00</t>
  </si>
  <si>
    <t xml:space="preserve">PML|- Lane 3 - Minggu|14:45</t>
  </si>
  <si>
    <t xml:space="preserve">PML|- Lane 3 - Minggu|15:30</t>
  </si>
  <si>
    <t xml:space="preserve">PML|- Lane 3 - Minggu|16:15</t>
  </si>
  <si>
    <t xml:space="preserve">PML|- Lane 3 - Minggu|17:00</t>
  </si>
  <si>
    <t xml:space="preserve">PML|- Lane 4 - Senin|08:00</t>
  </si>
  <si>
    <t xml:space="preserve">PML|- Lane 4 - Senin|08:45</t>
  </si>
  <si>
    <t xml:space="preserve">PML|- Lane 4 - Senin|09:30</t>
  </si>
  <si>
    <t xml:space="preserve">PML|- Lane 4 - Senin|10:15</t>
  </si>
  <si>
    <t xml:space="preserve">PML|- Lane 4 - Senin|11:00</t>
  </si>
  <si>
    <t xml:space="preserve">PML|- Lane 4 - Senin|11:45</t>
  </si>
  <si>
    <t xml:space="preserve">PML|- Lane 4 - Senin|13:15</t>
  </si>
  <si>
    <t xml:space="preserve">PML|- Lane 4 - Senin|14:00</t>
  </si>
  <si>
    <t xml:space="preserve">PML|- Lane 4 - Senin|14:45</t>
  </si>
  <si>
    <t xml:space="preserve">PML|- Lane 4 - Senin|15:30</t>
  </si>
  <si>
    <t xml:space="preserve">PML|- Lane 4 - Senin|16:15</t>
  </si>
  <si>
    <t xml:space="preserve">PML|- Lane 4 - Senin|17:00</t>
  </si>
  <si>
    <t xml:space="preserve">PML|- Lane 4 - Selasa|08:00</t>
  </si>
  <si>
    <t xml:space="preserve">PML|- Lane 4 - Selasa|08:45</t>
  </si>
  <si>
    <t xml:space="preserve">PML|- Lane 4 - Selasa|09:30</t>
  </si>
  <si>
    <t xml:space="preserve">PML|- Lane 4 - Selasa|10:15</t>
  </si>
  <si>
    <t xml:space="preserve">PML|- Lane 4 - Selasa|11:00</t>
  </si>
  <si>
    <t xml:space="preserve">PML|- Lane 4 - Selasa|11:45</t>
  </si>
  <si>
    <t xml:space="preserve">PML|- Lane 4 - Selasa|13:15</t>
  </si>
  <si>
    <t xml:space="preserve">PML|- Lane 4 - Selasa|14:00</t>
  </si>
  <si>
    <t xml:space="preserve">PML|- Lane 4 - Selasa|14:45</t>
  </si>
  <si>
    <t xml:space="preserve">PML|- Lane 4 - Selasa|15:30</t>
  </si>
  <si>
    <t xml:space="preserve">PML|- Lane 4 - Selasa|16:15</t>
  </si>
  <si>
    <t xml:space="preserve">PML|- Lane 4 - Selasa|17:00</t>
  </si>
  <si>
    <t xml:space="preserve">PML|- Lane 4 - Rabu|08:00</t>
  </si>
  <si>
    <t xml:space="preserve">PML|- Lane 4 - Rabu|08:45</t>
  </si>
  <si>
    <t xml:space="preserve">PML|- Lane 4 - Rabu|09:30</t>
  </si>
  <si>
    <t xml:space="preserve">PML|- Lane 4 - Rabu|10:15</t>
  </si>
  <si>
    <t xml:space="preserve">PML|- Lane 4 - Rabu|11:00</t>
  </si>
  <si>
    <t xml:space="preserve">PML|- Lane 4 - Rabu|11:45</t>
  </si>
  <si>
    <t xml:space="preserve">PML|- Lane 4 - Rabu|13:15</t>
  </si>
  <si>
    <t xml:space="preserve">PML|- Lane 4 - Rabu|14:00</t>
  </si>
  <si>
    <t xml:space="preserve">PML|- Lane 4 - Rabu|14:45</t>
  </si>
  <si>
    <t xml:space="preserve">PML|- Lane 4 - Rabu|15:30</t>
  </si>
  <si>
    <t xml:space="preserve">PML|- Lane 4 - Rabu|16:15</t>
  </si>
  <si>
    <t xml:space="preserve">PML|- Lane 4 - Rabu|17:00</t>
  </si>
  <si>
    <t xml:space="preserve">PML|- Lane 4 - Kamis|08:00</t>
  </si>
  <si>
    <t xml:space="preserve">PML|- Lane 4 - Kamis|08:45</t>
  </si>
  <si>
    <t xml:space="preserve">PML|- Lane 4 - Kamis|09:30</t>
  </si>
  <si>
    <t xml:space="preserve">PML|- Lane 4 - Kamis|10:15</t>
  </si>
  <si>
    <t xml:space="preserve">PML|- Lane 4 - Kamis|11:00</t>
  </si>
  <si>
    <t xml:space="preserve">PML|- Lane 4 - Kamis|11:45</t>
  </si>
  <si>
    <t xml:space="preserve">PML|- Lane 4 - Kamis|13:15</t>
  </si>
  <si>
    <t xml:space="preserve">PML|- Lane 4 - Kamis|14:00</t>
  </si>
  <si>
    <t xml:space="preserve">PML|- Lane 4 - Kamis|14:45</t>
  </si>
  <si>
    <t xml:space="preserve">PML|- Lane 4 - Kamis|15:30</t>
  </si>
  <si>
    <t xml:space="preserve">PML|- Lane 4 - Kamis|16:15</t>
  </si>
  <si>
    <t xml:space="preserve">PML|- Lane 4 - Kamis|17:00</t>
  </si>
  <si>
    <t xml:space="preserve">PML|- Lane 4 - Jumat|08:00</t>
  </si>
  <si>
    <t xml:space="preserve">PML|- Lane 4 - Jumat|08:45</t>
  </si>
  <si>
    <t xml:space="preserve">PML|- Lane 4 - Jumat|09:30</t>
  </si>
  <si>
    <t xml:space="preserve">PML|- Lane 4 - Jumat|10:15</t>
  </si>
  <si>
    <t xml:space="preserve">PML|- Lane 4 - Jumat|11:00</t>
  </si>
  <si>
    <t xml:space="preserve">PML|- Lane 4 - Jumat|11:45</t>
  </si>
  <si>
    <t xml:space="preserve">PML|- Lane 4 - Jumat|13:15</t>
  </si>
  <si>
    <t xml:space="preserve">PML|- Lane 4 - Jumat|14:00</t>
  </si>
  <si>
    <t xml:space="preserve">PML|- Lane 4 - Jumat|14:45</t>
  </si>
  <si>
    <t xml:space="preserve">PML|- Lane 4 - Jumat|15:30</t>
  </si>
  <si>
    <t xml:space="preserve">PML|- Lane 4 - Jumat|16:15</t>
  </si>
  <si>
    <t xml:space="preserve">PML|- Lane 4 - Jumat|17:00</t>
  </si>
  <si>
    <t xml:space="preserve">PML|- Lane 4 - Sabtu|08:00</t>
  </si>
  <si>
    <t xml:space="preserve">PML|- Lane 4 - Sabtu|08:45</t>
  </si>
  <si>
    <t xml:space="preserve">PML|- Lane 4 - Sabtu|09:30</t>
  </si>
  <si>
    <t xml:space="preserve">PML|- Lane 4 - Sabtu|10:15</t>
  </si>
  <si>
    <t xml:space="preserve">PML|- Lane 4 - Sabtu|11:00</t>
  </si>
  <si>
    <t xml:space="preserve">PML|- Lane 4 - Sabtu|11:45</t>
  </si>
  <si>
    <t xml:space="preserve">PML|- Lane 4 - Sabtu|13:15</t>
  </si>
  <si>
    <t xml:space="preserve">PML|- Lane 4 - Sabtu|14:00</t>
  </si>
  <si>
    <t xml:space="preserve">PML|- Lane 4 - Sabtu|14:45</t>
  </si>
  <si>
    <t xml:space="preserve">PML|- Lane 4 - Sabtu|15:30</t>
  </si>
  <si>
    <t xml:space="preserve">PML|- Lane 4 - Sabtu|16:15</t>
  </si>
  <si>
    <t xml:space="preserve">PML|- Lane 4 - Sabtu|17:00</t>
  </si>
  <si>
    <t xml:space="preserve">PML|- Lane 4 - Minggu|08:00</t>
  </si>
  <si>
    <t xml:space="preserve">PML|- Lane 4 - Minggu|08:45</t>
  </si>
  <si>
    <t xml:space="preserve">PML|- Lane 4 - Minggu|09:30</t>
  </si>
  <si>
    <t xml:space="preserve">PML|- Lane 4 - Minggu|10:15</t>
  </si>
  <si>
    <t xml:space="preserve">PML|- Lane 4 - Minggu|11:00</t>
  </si>
  <si>
    <t xml:space="preserve">PML|- Lane 4 - Minggu|11:45</t>
  </si>
  <si>
    <t xml:space="preserve">PML|- Lane 4 - Minggu|13:15</t>
  </si>
  <si>
    <t xml:space="preserve">PML|- Lane 4 - Minggu|14:00</t>
  </si>
  <si>
    <t xml:space="preserve">PML|- Lane 4 - Minggu|14:45</t>
  </si>
  <si>
    <t xml:space="preserve">PML|- Lane 4 - Minggu|15:30</t>
  </si>
  <si>
    <t xml:space="preserve">PML|- Lane 4 - Minggu|16:15</t>
  </si>
  <si>
    <t xml:space="preserve"> - Lane 4 - Minggu - 17:00</t>
  </si>
  <si>
    <t xml:space="preserve">PML|- Lane 4 - Minggu|17:00</t>
  </si>
  <si>
    <t xml:space="preserve">PML|- Lane 5 - Senin|08:00</t>
  </si>
  <si>
    <t xml:space="preserve">PML|- Lane 5 - Senin|08:45</t>
  </si>
  <si>
    <t xml:space="preserve">PML|- Lane 5 - Senin|09:30</t>
  </si>
  <si>
    <t xml:space="preserve">PML|- Lane 5 - Senin|10:15</t>
  </si>
  <si>
    <t xml:space="preserve">PML|- Lane 5 - Senin|11:00</t>
  </si>
  <si>
    <t xml:space="preserve">PML|- Lane 5 - Senin|11:45</t>
  </si>
  <si>
    <t xml:space="preserve">PML|- Lane 5 - Senin|13:15</t>
  </si>
  <si>
    <t xml:space="preserve">PML|- Lane 5 - Senin|14:00</t>
  </si>
  <si>
    <t xml:space="preserve">PML|- Lane 5 - Senin|14:45</t>
  </si>
  <si>
    <t xml:space="preserve"> - Lane 5 - Senin - 15:30</t>
  </si>
  <si>
    <t xml:space="preserve">PML|- Lane 5 - Senin|15:30</t>
  </si>
  <si>
    <t xml:space="preserve">KIDS - Lane 5 - Senin - 16:15</t>
  </si>
  <si>
    <t xml:space="preserve">PML|- Lane 5 - Senin|16:15</t>
  </si>
  <si>
    <t xml:space="preserve">KIDS - Lane 5 - Senin - 17:00</t>
  </si>
  <si>
    <t xml:space="preserve">PML|- Lane 5 - Senin|17:00</t>
  </si>
  <si>
    <t xml:space="preserve">PML|- Lane 5 - Selasa|08:00</t>
  </si>
  <si>
    <t xml:space="preserve">PML|- Lane 5 - Selasa|08:45</t>
  </si>
  <si>
    <t xml:space="preserve">PML|- Lane 5 - Selasa|09:30</t>
  </si>
  <si>
    <t xml:space="preserve">PML|- Lane 5 - Selasa|10:15</t>
  </si>
  <si>
    <t xml:space="preserve">PML|- Lane 5 - Selasa|11:00</t>
  </si>
  <si>
    <t xml:space="preserve">PML|- Lane 5 - Selasa|11:45</t>
  </si>
  <si>
    <t xml:space="preserve">PML|- Lane 5 - Selasa|13:15</t>
  </si>
  <si>
    <t xml:space="preserve">PML|- Lane 5 - Selasa|14:00</t>
  </si>
  <si>
    <t xml:space="preserve">PML|- Lane 5 - Selasa|14:45</t>
  </si>
  <si>
    <t xml:space="preserve">PML|- Lane 5 - Selasa|15:30</t>
  </si>
  <si>
    <t xml:space="preserve">KIDS - Lane 5 - Selasa - 16:15</t>
  </si>
  <si>
    <t xml:space="preserve">PML|- Lane 5 - Selasa|16:15</t>
  </si>
  <si>
    <t xml:space="preserve">KIDS - Lane 5 - Selasa - 17:00</t>
  </si>
  <si>
    <t xml:space="preserve">PML|- Lane 5 - Selasa|17:00</t>
  </si>
  <si>
    <t xml:space="preserve">PML|- Lane 5 - Rabu|08:00</t>
  </si>
  <si>
    <t xml:space="preserve">PML|- Lane 5 - Rabu|08:45</t>
  </si>
  <si>
    <t xml:space="preserve">PML|- Lane 5 - Rabu|09:30</t>
  </si>
  <si>
    <t xml:space="preserve">PML|- Lane 5 - Rabu|10:15</t>
  </si>
  <si>
    <t xml:space="preserve">PML|- Lane 5 - Rabu|11:00</t>
  </si>
  <si>
    <t xml:space="preserve">PML|- Lane 5 - Rabu|11:45</t>
  </si>
  <si>
    <t xml:space="preserve">PML|- Lane 5 - Rabu|13:15</t>
  </si>
  <si>
    <t xml:space="preserve">KIDS - Lane 5 - Rabu - 14:00</t>
  </si>
  <si>
    <t xml:space="preserve">PML|- Lane 5 - Rabu|14:00</t>
  </si>
  <si>
    <t xml:space="preserve">LITTLE</t>
  </si>
  <si>
    <t xml:space="preserve">LITTLE - Lane 5 - Rabu - 14:45</t>
  </si>
  <si>
    <t xml:space="preserve">PML|- Lane 5 - Rabu|14:45</t>
  </si>
  <si>
    <t xml:space="preserve">KIDS - Lane 5 - Rabu - 15:30</t>
  </si>
  <si>
    <t xml:space="preserve">PML|- Lane 5 - Rabu|15:30</t>
  </si>
  <si>
    <t xml:space="preserve">PML|- Lane 5 - Rabu|16:15</t>
  </si>
  <si>
    <t xml:space="preserve"> - Lane 5 - Rabu - 17:00</t>
  </si>
  <si>
    <t xml:space="preserve">PML|- Lane 5 - Rabu|17:00</t>
  </si>
  <si>
    <t xml:space="preserve">PML|- Lane 5 - Kamis|08:00</t>
  </si>
  <si>
    <t xml:space="preserve">PML|- Lane 5 - Kamis|08:45</t>
  </si>
  <si>
    <t xml:space="preserve">PML|- Lane 5 - Kamis|09:30</t>
  </si>
  <si>
    <t xml:space="preserve">PML|- Lane 5 - Kamis|10:15</t>
  </si>
  <si>
    <t xml:space="preserve">LITTLE - Lane 5 - Kamis - 11:00</t>
  </si>
  <si>
    <t xml:space="preserve">PML|- Lane 5 - Kamis|11:00</t>
  </si>
  <si>
    <t xml:space="preserve">PML|- Lane 5 - Kamis|11:45</t>
  </si>
  <si>
    <t xml:space="preserve"> - Lane 5 - Kamis - 13:15</t>
  </si>
  <si>
    <t xml:space="preserve">PML|- Lane 5 - Kamis|13:15</t>
  </si>
  <si>
    <t xml:space="preserve">PML|- Lane 5 - Kamis|14:00</t>
  </si>
  <si>
    <t xml:space="preserve">PML|- Lane 5 - Kamis|14:45</t>
  </si>
  <si>
    <t xml:space="preserve">PML|- Lane 5 - Kamis|15:30</t>
  </si>
  <si>
    <t xml:space="preserve">KIDS - Lane 5 - Kamis - 16:15</t>
  </si>
  <si>
    <t xml:space="preserve">PML|- Lane 5 - Kamis|16:15</t>
  </si>
  <si>
    <t xml:space="preserve">KIDS - Lane 5 - Kamis - 17:00</t>
  </si>
  <si>
    <t xml:space="preserve">PML|- Lane 5 - Kamis|17:00</t>
  </si>
  <si>
    <t xml:space="preserve">PML|- Lane 5 - Jumat|08:00</t>
  </si>
  <si>
    <t xml:space="preserve">BABY</t>
  </si>
  <si>
    <t xml:space="preserve">BABY - Lane 5 - Jumat - 08:45</t>
  </si>
  <si>
    <t xml:space="preserve">PML|- Lane 5 - Jumat|08:45</t>
  </si>
  <si>
    <t xml:space="preserve">PML|- Lane 5 - Jumat|09:30</t>
  </si>
  <si>
    <t xml:space="preserve">PML|- Lane 5 - Jumat|10:15</t>
  </si>
  <si>
    <t xml:space="preserve">PML|- Lane 5 - Jumat|11:00</t>
  </si>
  <si>
    <t xml:space="preserve">PML|- Lane 5 - Jumat|11:45</t>
  </si>
  <si>
    <t xml:space="preserve"> - Lane 5 - Jumat - 13:15</t>
  </si>
  <si>
    <t xml:space="preserve">PML|- Lane 5 - Jumat|13:15</t>
  </si>
  <si>
    <t xml:space="preserve">KIDS - Lane 5 - Jumat - 14:00</t>
  </si>
  <si>
    <t xml:space="preserve">PML|- Lane 5 - Jumat|14:00</t>
  </si>
  <si>
    <t xml:space="preserve">KIDS - Lane 5 - Jumat - 14:45</t>
  </si>
  <si>
    <t xml:space="preserve">PML|- Lane 5 - Jumat|14:45</t>
  </si>
  <si>
    <t xml:space="preserve">KIDS - Lane 5 - Jumat - 15:30</t>
  </si>
  <si>
    <t xml:space="preserve">PML|- Lane 5 - Jumat|15:30</t>
  </si>
  <si>
    <t xml:space="preserve">KIDS - Lane 5 - Jumat - 16:15</t>
  </si>
  <si>
    <t xml:space="preserve">PML|- Lane 5 - Jumat|16:15</t>
  </si>
  <si>
    <t xml:space="preserve">KIDS - Lane 5 - Jumat - 17:00</t>
  </si>
  <si>
    <t xml:space="preserve">PML|- Lane 5 - Jumat|17:00</t>
  </si>
  <si>
    <t xml:space="preserve">PML|- Lane 5 - Sabtu|08:00</t>
  </si>
  <si>
    <t xml:space="preserve">KIDS - Lane 5 - Sabtu - 08:45</t>
  </si>
  <si>
    <t xml:space="preserve">PML|- Lane 5 - Sabtu|08:45</t>
  </si>
  <si>
    <t xml:space="preserve">KIDS - Lane 5 - Sabtu - 09:30</t>
  </si>
  <si>
    <t xml:space="preserve">PML|- Lane 5 - Sabtu|09:30</t>
  </si>
  <si>
    <t xml:space="preserve">KIDS - Lane 5 - Sabtu - 10:15</t>
  </si>
  <si>
    <t xml:space="preserve">PML|- Lane 5 - Sabtu|10:15</t>
  </si>
  <si>
    <t xml:space="preserve">LITTLE - Lane 5 - Sabtu - 11:00</t>
  </si>
  <si>
    <t xml:space="preserve">PML|- Lane 5 - Sabtu|11:00</t>
  </si>
  <si>
    <t xml:space="preserve">KIDS - Lane 5 - Sabtu - 11:45</t>
  </si>
  <si>
    <t xml:space="preserve">PML|- Lane 5 - Sabtu|11:45</t>
  </si>
  <si>
    <t xml:space="preserve"> - Lane 5 - Sabtu - 13:15</t>
  </si>
  <si>
    <t xml:space="preserve">PML|- Lane 5 - Sabtu|13:15</t>
  </si>
  <si>
    <t xml:space="preserve">KIDS - Lane 5 - Sabtu - 14:00</t>
  </si>
  <si>
    <t xml:space="preserve">PML|- Lane 5 - Sabtu|14:00</t>
  </si>
  <si>
    <t xml:space="preserve"> - Lane 5 - Sabtu - 14:45</t>
  </si>
  <si>
    <t xml:space="preserve">PML|- Lane 5 - Sabtu|14:45</t>
  </si>
  <si>
    <t xml:space="preserve">LITTLE - Lane 5 - Sabtu - 15:30</t>
  </si>
  <si>
    <t xml:space="preserve">PML|- Lane 5 - Sabtu|15:30</t>
  </si>
  <si>
    <t xml:space="preserve"> - Lane 5 - Sabtu - 16:15</t>
  </si>
  <si>
    <t xml:space="preserve">PML|- Lane 5 - Sabtu|16:15</t>
  </si>
  <si>
    <t xml:space="preserve">KIDS - Lane 5 - Sabtu - 17:00</t>
  </si>
  <si>
    <t xml:space="preserve">PML|- Lane 5 - Sabtu|17:00</t>
  </si>
  <si>
    <t xml:space="preserve">PML|- Lane 5 - Minggu|08:00</t>
  </si>
  <si>
    <t xml:space="preserve"> - Lane 5 - Minggu - 08:45</t>
  </si>
  <si>
    <t xml:space="preserve">PML|- Lane 5 - Minggu|08:45</t>
  </si>
  <si>
    <t xml:space="preserve">KIDS - Lane 5 - Minggu - 09:30</t>
  </si>
  <si>
    <t xml:space="preserve">PML|- Lane 5 - Minggu|09:30</t>
  </si>
  <si>
    <t xml:space="preserve">KIDS - Lane 5 - Minggu - 10:15</t>
  </si>
  <si>
    <t xml:space="preserve">PML|- Lane 5 - Minggu|10:15</t>
  </si>
  <si>
    <t xml:space="preserve"> - Lane 5 - Minggu - 11:00</t>
  </si>
  <si>
    <t xml:space="preserve">PML|- Lane 5 - Minggu|11:00</t>
  </si>
  <si>
    <t xml:space="preserve">PML|- Lane 5 - Minggu|11:45</t>
  </si>
  <si>
    <t xml:space="preserve"> - Lane 5 - Minggu - 13:15</t>
  </si>
  <si>
    <t xml:space="preserve">PML|- Lane 5 - Minggu|13:15</t>
  </si>
  <si>
    <t xml:space="preserve"> - Lane 5 - Minggu - 14:00</t>
  </si>
  <si>
    <t xml:space="preserve">PML|- Lane 5 - Minggu|14:00</t>
  </si>
  <si>
    <t xml:space="preserve"> - Lane 5 - Minggu - 14:45</t>
  </si>
  <si>
    <t xml:space="preserve">PML|- Lane 5 - Minggu|14:45</t>
  </si>
  <si>
    <t xml:space="preserve"> - Lane 5 - Minggu - 15:30</t>
  </si>
  <si>
    <t xml:space="preserve">PML|- Lane 5 - Minggu|15:30</t>
  </si>
  <si>
    <t xml:space="preserve">KIDS - Lane 5 - Minggu - 16:15</t>
  </si>
  <si>
    <t xml:space="preserve">PML|- Lane 5 - Minggu|16:15</t>
  </si>
  <si>
    <t xml:space="preserve">PML|- Lane 5 - Minggu|17:00</t>
  </si>
  <si>
    <t xml:space="preserve">PML|- Lane 6 - Senin|08:00</t>
  </si>
  <si>
    <t xml:space="preserve">PML|- Lane 6 - Senin|08:45</t>
  </si>
  <si>
    <t xml:space="preserve">PML|- Lane 6 - Senin|09:30</t>
  </si>
  <si>
    <t xml:space="preserve">PML|- Lane 6 - Senin|10:15</t>
  </si>
  <si>
    <t xml:space="preserve">PML|- Lane 6 - Senin|11:00</t>
  </si>
  <si>
    <t xml:space="preserve">PML|- Lane 6 - Senin|11:45</t>
  </si>
  <si>
    <t xml:space="preserve">PML|- Lane 6 - Senin|13:15</t>
  </si>
  <si>
    <t xml:space="preserve">PML|- Lane 6 - Senin|14:00</t>
  </si>
  <si>
    <t xml:space="preserve">PML|- Lane 6 - Senin|14:45</t>
  </si>
  <si>
    <t xml:space="preserve">PML|- Lane 6 - Senin|15:30</t>
  </si>
  <si>
    <t xml:space="preserve">PML|- Lane 6 - Senin|16:15</t>
  </si>
  <si>
    <t xml:space="preserve">PML|- Lane 6 - Senin|17:00</t>
  </si>
  <si>
    <t xml:space="preserve">PML|- Lane 6 - Selasa|08:00</t>
  </si>
  <si>
    <t xml:space="preserve">PML|- Lane 6 - Selasa|08:45</t>
  </si>
  <si>
    <t xml:space="preserve">PML|- Lane 6 - Selasa|09:30</t>
  </si>
  <si>
    <t xml:space="preserve">PML|- Lane 6 - Selasa|10:15</t>
  </si>
  <si>
    <t xml:space="preserve">PML|- Lane 6 - Selasa|11:00</t>
  </si>
  <si>
    <t xml:space="preserve">PML|- Lane 6 - Selasa|11:45</t>
  </si>
  <si>
    <t xml:space="preserve">PML|- Lane 6 - Selasa|13:15</t>
  </si>
  <si>
    <t xml:space="preserve">PML|- Lane 6 - Selasa|14:00</t>
  </si>
  <si>
    <t xml:space="preserve">PML|- Lane 6 - Selasa|14:45</t>
  </si>
  <si>
    <t xml:space="preserve">PML|- Lane 6 - Selasa|15:30</t>
  </si>
  <si>
    <t xml:space="preserve">PML|- Lane 6 - Selasa|16:15</t>
  </si>
  <si>
    <t xml:space="preserve">PML|- Lane 6 - Selasa|17:00</t>
  </si>
  <si>
    <t xml:space="preserve">PML|- Lane 6 - Rabu|08:00</t>
  </si>
  <si>
    <t xml:space="preserve">PML|- Lane 6 - Rabu|08:45</t>
  </si>
  <si>
    <t xml:space="preserve">PML|- Lane 6 - Rabu|09:30</t>
  </si>
  <si>
    <t xml:space="preserve">PML|- Lane 6 - Rabu|10:15</t>
  </si>
  <si>
    <t xml:space="preserve">PML|- Lane 6 - Rabu|11:00</t>
  </si>
  <si>
    <t xml:space="preserve">PML|- Lane 6 - Rabu|11:45</t>
  </si>
  <si>
    <t xml:space="preserve">PML|- Lane 6 - Rabu|13:15</t>
  </si>
  <si>
    <t xml:space="preserve">PML|- Lane 6 - Rabu|14:00</t>
  </si>
  <si>
    <t xml:space="preserve">PML|- Lane 6 - Rabu|14:45</t>
  </si>
  <si>
    <t xml:space="preserve">PML|- Lane 6 - Rabu|15:30</t>
  </si>
  <si>
    <t xml:space="preserve">PML|- Lane 6 - Rabu|16:15</t>
  </si>
  <si>
    <t xml:space="preserve">PML|- Lane 6 - Rabu|17:00</t>
  </si>
  <si>
    <t xml:space="preserve">PML|- Lane 6 - Kamis|08:00</t>
  </si>
  <si>
    <t xml:space="preserve">PML|- Lane 6 - Kamis|08:45</t>
  </si>
  <si>
    <t xml:space="preserve">PML|- Lane 6 - Kamis|09:30</t>
  </si>
  <si>
    <t xml:space="preserve">PML|- Lane 6 - Kamis|10:15</t>
  </si>
  <si>
    <t xml:space="preserve">PML|- Lane 6 - Kamis|11:00</t>
  </si>
  <si>
    <t xml:space="preserve">PML|- Lane 6 - Kamis|11:45</t>
  </si>
  <si>
    <t xml:space="preserve">PML|- Lane 6 - Kamis|13:15</t>
  </si>
  <si>
    <t xml:space="preserve">PML|- Lane 6 - Kamis|14:00</t>
  </si>
  <si>
    <t xml:space="preserve">PML|- Lane 6 - Kamis|14:45</t>
  </si>
  <si>
    <t xml:space="preserve">PML|- Lane 6 - Kamis|15:30</t>
  </si>
  <si>
    <t xml:space="preserve">PML|- Lane 6 - Kamis|16:15</t>
  </si>
  <si>
    <t xml:space="preserve">PML|- Lane 6 - Kamis|17:00</t>
  </si>
  <si>
    <t xml:space="preserve">PML|- Lane 6 - Jumat|08:00</t>
  </si>
  <si>
    <t xml:space="preserve">PML|- Lane 6 - Jumat|08:45</t>
  </si>
  <si>
    <t xml:space="preserve">PML|- Lane 6 - Jumat|09:30</t>
  </si>
  <si>
    <t xml:space="preserve">PML|- Lane 6 - Jumat|10:15</t>
  </si>
  <si>
    <t xml:space="preserve">PML|- Lane 6 - Jumat|11:00</t>
  </si>
  <si>
    <t xml:space="preserve">PML|- Lane 6 - Jumat|11:45</t>
  </si>
  <si>
    <t xml:space="preserve">PML|- Lane 6 - Jumat|13:15</t>
  </si>
  <si>
    <t xml:space="preserve">PML|- Lane 6 - Jumat|14:00</t>
  </si>
  <si>
    <t xml:space="preserve">PML|- Lane 6 - Jumat|14:45</t>
  </si>
  <si>
    <t xml:space="preserve">PML|- Lane 6 - Jumat|15:30</t>
  </si>
  <si>
    <t xml:space="preserve">PML|- Lane 6 - Jumat|16:15</t>
  </si>
  <si>
    <t xml:space="preserve">PML|- Lane 6 - Jumat|17:00</t>
  </si>
  <si>
    <t xml:space="preserve">PML|- Lane 6 - Sabtu|08:00</t>
  </si>
  <si>
    <t xml:space="preserve">LITTLE - Lane 6 - Sabtu - 08:45</t>
  </si>
  <si>
    <t xml:space="preserve">PML|- Lane 6 - Sabtu|08:45</t>
  </si>
  <si>
    <t xml:space="preserve">PML|- Lane 6 - Sabtu|09:30</t>
  </si>
  <si>
    <t xml:space="preserve">PML|- Lane 6 - Sabtu|10:15</t>
  </si>
  <si>
    <t xml:space="preserve">PML|- Lane 6 - Sabtu|11:00</t>
  </si>
  <si>
    <t xml:space="preserve">PML|- Lane 6 - Sabtu|11:45</t>
  </si>
  <si>
    <t xml:space="preserve">PML|- Lane 6 - Sabtu|13:15</t>
  </si>
  <si>
    <t xml:space="preserve">PML|- Lane 6 - Sabtu|14:00</t>
  </si>
  <si>
    <t xml:space="preserve">PML|- Lane 6 - Sabtu|14:45</t>
  </si>
  <si>
    <t xml:space="preserve">PML|- Lane 6 - Sabtu|15:30</t>
  </si>
  <si>
    <t xml:space="preserve">PML|- Lane 6 - Sabtu|16:15</t>
  </si>
  <si>
    <t xml:space="preserve">PML|- Lane 6 - Sabtu|17:00</t>
  </si>
  <si>
    <t xml:space="preserve">PML|- Lane 6 - Minggu|08:00</t>
  </si>
  <si>
    <t xml:space="preserve">PML|- Lane 6 - Minggu|08:45</t>
  </si>
  <si>
    <t xml:space="preserve">PML|- Lane 6 - Minggu|09:30</t>
  </si>
  <si>
    <t xml:space="preserve">PML|- Lane 6 - Minggu|10:15</t>
  </si>
  <si>
    <t xml:space="preserve">PML|- Lane 6 - Minggu|11:00</t>
  </si>
  <si>
    <t xml:space="preserve">PML|- Lane 6 - Minggu|11:45</t>
  </si>
  <si>
    <t xml:space="preserve">PML|- Lane 6 - Minggu|13:15</t>
  </si>
  <si>
    <t xml:space="preserve">PML|- Lane 6 - Minggu|14:00</t>
  </si>
  <si>
    <t xml:space="preserve">PML|- Lane 6 - Minggu|14:45</t>
  </si>
  <si>
    <t xml:space="preserve">PML|- Lane 6 - Minggu|15:30</t>
  </si>
  <si>
    <t xml:space="preserve">PML|- Lane 6 - Minggu|16:15</t>
  </si>
  <si>
    <t xml:space="preserve">PML|- Lane 6 - Minggu|17:00</t>
  </si>
  <si>
    <t xml:space="preserve">Tiny - Lane 1 - Senin - 08:00</t>
  </si>
  <si>
    <t xml:space="preserve">TMP|- Lane 1 - Senin|08:00</t>
  </si>
  <si>
    <t xml:space="preserve">TMP|- Lane 1 - Senin|08:45</t>
  </si>
  <si>
    <t xml:space="preserve">Tiny - Lane 1 - Senin - 09:30</t>
  </si>
  <si>
    <t xml:space="preserve">TMP|- Lane 1 - Senin|09:30</t>
  </si>
  <si>
    <t xml:space="preserve">TMP|- Lane 1 - Senin|10:15</t>
  </si>
  <si>
    <t xml:space="preserve">Tiny - Lane 1 - Senin - 11:00</t>
  </si>
  <si>
    <t xml:space="preserve">TMP|- Lane 1 - Senin|11:00</t>
  </si>
  <si>
    <t xml:space="preserve">TMP|- Lane 1 - Senin|11:45</t>
  </si>
  <si>
    <t xml:space="preserve">Tiny - Lane 1 - Senin - 13:15</t>
  </si>
  <si>
    <t xml:space="preserve">TMP|- Lane 1 - Senin|13:15</t>
  </si>
  <si>
    <t xml:space="preserve">TMP|- Lane 1 - Senin|14:00</t>
  </si>
  <si>
    <t xml:space="preserve">Tiny - Lane 1 - Senin - 14:45</t>
  </si>
  <si>
    <t xml:space="preserve">TMP|- Lane 1 - Senin|14:45</t>
  </si>
  <si>
    <t xml:space="preserve">TMP|- Lane 1 - Senin|15:30</t>
  </si>
  <si>
    <t xml:space="preserve">Tiny - Lane 1 - Senin - 16:15</t>
  </si>
  <si>
    <t xml:space="preserve">TMP|- Lane 1 - Senin|16:15</t>
  </si>
  <si>
    <t xml:space="preserve">TMP|- Lane 1 - Senin|17:00</t>
  </si>
  <si>
    <t xml:space="preserve">Tiny - Lane 1 - Selasa - 08:00</t>
  </si>
  <si>
    <t xml:space="preserve">TMP|- Lane 1 - Selasa|08:00</t>
  </si>
  <si>
    <t xml:space="preserve">TMP|- Lane 1 - Selasa|08:45</t>
  </si>
  <si>
    <t xml:space="preserve">Tiny - Lane 1 - Selasa - 09:30</t>
  </si>
  <si>
    <t xml:space="preserve">TMP|- Lane 1 - Selasa|09:30</t>
  </si>
  <si>
    <t xml:space="preserve">TMP|- Lane 1 - Selasa|10:15</t>
  </si>
  <si>
    <t xml:space="preserve">Tiny - Lane 1 - Selasa - 11:00</t>
  </si>
  <si>
    <t xml:space="preserve">TMP|- Lane 1 - Selasa|11:00</t>
  </si>
  <si>
    <t xml:space="preserve">TMP|- Lane 1 - Selasa|11:45</t>
  </si>
  <si>
    <t xml:space="preserve">Tiny - Lane 1 - Selasa - 13:15</t>
  </si>
  <si>
    <t xml:space="preserve">TMP|- Lane 1 - Selasa|13:15</t>
  </si>
  <si>
    <t xml:space="preserve">TMP|- Lane 1 - Selasa|14:00</t>
  </si>
  <si>
    <t xml:space="preserve">Tiny - Lane 1 - Selasa - 14:45</t>
  </si>
  <si>
    <t xml:space="preserve">TMP|- Lane 1 - Selasa|14:45</t>
  </si>
  <si>
    <t xml:space="preserve">TMP|- Lane 1 - Selasa|15:30</t>
  </si>
  <si>
    <t xml:space="preserve">Tiny - Lane 1 - Selasa - 16:15</t>
  </si>
  <si>
    <t xml:space="preserve">TMP|- Lane 1 - Selasa|16:15</t>
  </si>
  <si>
    <t xml:space="preserve">TMP|- Lane 1 - Selasa|17:00</t>
  </si>
  <si>
    <t xml:space="preserve">Tiny - Lane 1 - Rabu - 08:00</t>
  </si>
  <si>
    <t xml:space="preserve">TMP|- Lane 1 - Rabu|08:00</t>
  </si>
  <si>
    <t xml:space="preserve">TMP|- Lane 1 - Rabu|08:45</t>
  </si>
  <si>
    <t xml:space="preserve">Tiny - Lane 1 - Rabu - 09:30</t>
  </si>
  <si>
    <t xml:space="preserve">TMP|- Lane 1 - Rabu|09:30</t>
  </si>
  <si>
    <t xml:space="preserve">TMP|- Lane 1 - Rabu|10:15</t>
  </si>
  <si>
    <t xml:space="preserve">Tiny - Lane 1 - Rabu - 11:00</t>
  </si>
  <si>
    <t xml:space="preserve">TMP|- Lane 1 - Rabu|11:00</t>
  </si>
  <si>
    <t xml:space="preserve">TMP|- Lane 1 - Rabu|11:45</t>
  </si>
  <si>
    <t xml:space="preserve">Tiny - Lane 1 - Rabu - 13:15</t>
  </si>
  <si>
    <t xml:space="preserve">TMP|- Lane 1 - Rabu|13:15</t>
  </si>
  <si>
    <t xml:space="preserve">TMP|- Lane 1 - Rabu|14:00</t>
  </si>
  <si>
    <t xml:space="preserve">Tiny - Lane 1 - Rabu - 14:45</t>
  </si>
  <si>
    <t xml:space="preserve">TMP|- Lane 1 - Rabu|14:45</t>
  </si>
  <si>
    <t xml:space="preserve">TMP|- Lane 1 - Rabu|15:30</t>
  </si>
  <si>
    <t xml:space="preserve">Tiny - Lane 1 - Rabu - 16:15</t>
  </si>
  <si>
    <t xml:space="preserve">TMP|- Lane 1 - Rabu|16:15</t>
  </si>
  <si>
    <t xml:space="preserve">TMP|- Lane 1 - Rabu|17:00</t>
  </si>
  <si>
    <t xml:space="preserve">Tiny - Lane 1 - Kamis - 08:00</t>
  </si>
  <si>
    <t xml:space="preserve">TMP|- Lane 1 - Kamis|08:00</t>
  </si>
  <si>
    <t xml:space="preserve">TMP|- Lane 1 - Kamis|08:45</t>
  </si>
  <si>
    <t xml:space="preserve">Tiny - Lane 1 - Kamis - 09:30</t>
  </si>
  <si>
    <t xml:space="preserve">TMP|- Lane 1 - Kamis|09:30</t>
  </si>
  <si>
    <t xml:space="preserve">TMP|- Lane 1 - Kamis|10:15</t>
  </si>
  <si>
    <t xml:space="preserve">Tiny - Lane 1 - Kamis - 11:00</t>
  </si>
  <si>
    <t xml:space="preserve">TMP|- Lane 1 - Kamis|11:00</t>
  </si>
  <si>
    <t xml:space="preserve">TMP|- Lane 1 - Kamis|11:45</t>
  </si>
  <si>
    <t xml:space="preserve">Tiny - Lane 1 - Kamis - 13:15</t>
  </si>
  <si>
    <t xml:space="preserve">TMP|- Lane 1 - Kamis|13:15</t>
  </si>
  <si>
    <t xml:space="preserve">TMP|- Lane 1 - Kamis|14:00</t>
  </si>
  <si>
    <t xml:space="preserve">Tiny - Lane 1 - Kamis - 14:45</t>
  </si>
  <si>
    <t xml:space="preserve">TMP|- Lane 1 - Kamis|14:45</t>
  </si>
  <si>
    <t xml:space="preserve">TMP|- Lane 1 - Kamis|15:30</t>
  </si>
  <si>
    <t xml:space="preserve">Tiny - Lane 1 - Kamis - 16:15</t>
  </si>
  <si>
    <t xml:space="preserve">TMP|- Lane 1 - Kamis|16:15</t>
  </si>
  <si>
    <t xml:space="preserve">TMP|- Lane 1 - Kamis|17:00</t>
  </si>
  <si>
    <t xml:space="preserve">Tiny - Lane 1 - Jumat - 08:00</t>
  </si>
  <si>
    <t xml:space="preserve">TMP|- Lane 1 - Jumat|08:00</t>
  </si>
  <si>
    <t xml:space="preserve">TMP|- Lane 1 - Jumat|08:45</t>
  </si>
  <si>
    <t xml:space="preserve">Tiny - Lane 1 - Jumat - 09:30</t>
  </si>
  <si>
    <t xml:space="preserve">TMP|- Lane 1 - Jumat|09:30</t>
  </si>
  <si>
    <t xml:space="preserve">TMP|- Lane 1 - Jumat|10:15</t>
  </si>
  <si>
    <t xml:space="preserve">Tiny - Lane 1 - Jumat - 11:00</t>
  </si>
  <si>
    <t xml:space="preserve">TMP|- Lane 1 - Jumat|11:00</t>
  </si>
  <si>
    <t xml:space="preserve">TMP|- Lane 1 - Jumat|11:45</t>
  </si>
  <si>
    <t xml:space="preserve">Tiny - Lane 1 - Jumat - 13:15</t>
  </si>
  <si>
    <t xml:space="preserve">TMP|- Lane 1 - Jumat|13:15</t>
  </si>
  <si>
    <t xml:space="preserve">TMP|- Lane 1 - Jumat|14:00</t>
  </si>
  <si>
    <t xml:space="preserve">Tiny - Lane 1 - Jumat - 14:45</t>
  </si>
  <si>
    <t xml:space="preserve">TMP|- Lane 1 - Jumat|14:45</t>
  </si>
  <si>
    <t xml:space="preserve">TMP|- Lane 1 - Jumat|15:30</t>
  </si>
  <si>
    <t xml:space="preserve">Tiny - Lane 1 - Jumat - 16:15</t>
  </si>
  <si>
    <t xml:space="preserve">TMP|- Lane 1 - Jumat|16:15</t>
  </si>
  <si>
    <t xml:space="preserve">TMP|- Lane 1 - Jumat|17:00</t>
  </si>
  <si>
    <t xml:space="preserve">Tiny - Lane 1 - Sabtu - 08:00</t>
  </si>
  <si>
    <t xml:space="preserve">TMP|- Lane 1 - Sabtu|08:00</t>
  </si>
  <si>
    <t xml:space="preserve">TMP|- Lane 1 - Sabtu|08:45</t>
  </si>
  <si>
    <t xml:space="preserve">Tiny - Lane 1 - Sabtu - 09:30</t>
  </si>
  <si>
    <t xml:space="preserve">TMP|- Lane 1 - Sabtu|09:30</t>
  </si>
  <si>
    <t xml:space="preserve">TMP|- Lane 1 - Sabtu|10:15</t>
  </si>
  <si>
    <t xml:space="preserve">Tiny - Lane 1 - Sabtu - 11:00</t>
  </si>
  <si>
    <t xml:space="preserve">TMP|- Lane 1 - Sabtu|11:00</t>
  </si>
  <si>
    <t xml:space="preserve">TMP|- Lane 1 - Sabtu|11:45</t>
  </si>
  <si>
    <t xml:space="preserve">Tiny - Lane 1 - Sabtu - 13:15</t>
  </si>
  <si>
    <t xml:space="preserve">TMP|- Lane 1 - Sabtu|13:15</t>
  </si>
  <si>
    <t xml:space="preserve">TMP|- Lane 1 - Sabtu|14:00</t>
  </si>
  <si>
    <t xml:space="preserve">Tiny - Lane 1 - Sabtu - 14:45</t>
  </si>
  <si>
    <t xml:space="preserve">TMP|- Lane 1 - Sabtu|14:45</t>
  </si>
  <si>
    <t xml:space="preserve">TMP|- Lane 1 - Sabtu|15:30</t>
  </si>
  <si>
    <t xml:space="preserve">Tiny - Lane 1 - Sabtu - 16:15</t>
  </si>
  <si>
    <t xml:space="preserve">TMP|- Lane 1 - Sabtu|16:15</t>
  </si>
  <si>
    <t xml:space="preserve">TMP|- Lane 1 - Sabtu|17:00</t>
  </si>
  <si>
    <t xml:space="preserve">Tiny - Lane 1 - Minggu - 08:00</t>
  </si>
  <si>
    <t xml:space="preserve">TMP|- Lane 1 - Minggu|08:00</t>
  </si>
  <si>
    <t xml:space="preserve">TMP|- Lane 1 - Minggu|08:45</t>
  </si>
  <si>
    <t xml:space="preserve">Tiny - Lane 1 - Minggu - 09:30</t>
  </si>
  <si>
    <t xml:space="preserve">TMP|- Lane 1 - Minggu|09:30</t>
  </si>
  <si>
    <t xml:space="preserve">TMP|- Lane 1 - Minggu|10:15</t>
  </si>
  <si>
    <t xml:space="preserve">Tiny - Lane 1 - Minggu - 11:00</t>
  </si>
  <si>
    <t xml:space="preserve">TMP|- Lane 1 - Minggu|11:00</t>
  </si>
  <si>
    <t xml:space="preserve">TMP|- Lane 1 - Minggu|11:45</t>
  </si>
  <si>
    <t xml:space="preserve">Tiny - Lane 1 - Minggu - 13:15</t>
  </si>
  <si>
    <t xml:space="preserve">TMP|- Lane 1 - Minggu|13:15</t>
  </si>
  <si>
    <t xml:space="preserve">TMP|- Lane 1 - Minggu|14:00</t>
  </si>
  <si>
    <t xml:space="preserve">Tiny - Lane 1 - Minggu - 14:45</t>
  </si>
  <si>
    <t xml:space="preserve">TMP|- Lane 1 - Minggu|14:45</t>
  </si>
  <si>
    <t xml:space="preserve">TMP|- Lane 1 - Minggu|15:30</t>
  </si>
  <si>
    <t xml:space="preserve">Tiny - Lane 1 - Minggu - 16:15</t>
  </si>
  <si>
    <t xml:space="preserve">TMP|- Lane 1 - Minggu|16:15</t>
  </si>
  <si>
    <t xml:space="preserve">TMP|- Lane 1 - Minggu|17:00</t>
  </si>
  <si>
    <t xml:space="preserve">Little - Lane 2 - Senin - 08:00</t>
  </si>
  <si>
    <t xml:space="preserve">TMP|- Lane 2 - Senin|08:00</t>
  </si>
  <si>
    <t xml:space="preserve">Little - Lane 2 - Senin - 08:45</t>
  </si>
  <si>
    <t xml:space="preserve">TMP|- Lane 2 - Senin|08:45</t>
  </si>
  <si>
    <t xml:space="preserve">Little - Lane 2 - Senin - 09:30</t>
  </si>
  <si>
    <t xml:space="preserve">TMP|- Lane 2 - Senin|09:30</t>
  </si>
  <si>
    <t xml:space="preserve">Little - Lane 2 - Senin - 10:15</t>
  </si>
  <si>
    <t xml:space="preserve">TMP|- Lane 2 - Senin|10:15</t>
  </si>
  <si>
    <t xml:space="preserve">Little - Lane 2 - Senin - 11:00</t>
  </si>
  <si>
    <t xml:space="preserve">TMP|- Lane 2 - Senin|11:00</t>
  </si>
  <si>
    <t xml:space="preserve">Little - Lane 2 - Senin - 11:45</t>
  </si>
  <si>
    <t xml:space="preserve">TMP|- Lane 2 - Senin|11:45</t>
  </si>
  <si>
    <t xml:space="preserve">Little - Lane 2 - Senin - 13:15</t>
  </si>
  <si>
    <t xml:space="preserve">TMP|- Lane 2 - Senin|13:15</t>
  </si>
  <si>
    <t xml:space="preserve">Little - Lane 2 - Senin - 14:00</t>
  </si>
  <si>
    <t xml:space="preserve">TMP|- Lane 2 - Senin|14:00</t>
  </si>
  <si>
    <t xml:space="preserve">Little - Lane 2 - Senin - 14:45</t>
  </si>
  <si>
    <t xml:space="preserve">TMP|- Lane 2 - Senin|14:45</t>
  </si>
  <si>
    <t xml:space="preserve">Little - Lane 2 - Senin - 15:30</t>
  </si>
  <si>
    <t xml:space="preserve">TMP|- Lane 2 - Senin|15:30</t>
  </si>
  <si>
    <t xml:space="preserve">Little - Lane 2 - Senin - 16:15</t>
  </si>
  <si>
    <t xml:space="preserve">TMP|- Lane 2 - Senin|16:15</t>
  </si>
  <si>
    <t xml:space="preserve">Little - Lane 2 - Senin - 17:00</t>
  </si>
  <si>
    <t xml:space="preserve">TMP|- Lane 2 - Senin|17:00</t>
  </si>
  <si>
    <t xml:space="preserve">Little - Lane 2 - Selasa - 08:00</t>
  </si>
  <si>
    <t xml:space="preserve">TMP|- Lane 2 - Selasa|08:00</t>
  </si>
  <si>
    <t xml:space="preserve">Little - Lane 2 - Selasa - 08:45</t>
  </si>
  <si>
    <t xml:space="preserve">TMP|- Lane 2 - Selasa|08:45</t>
  </si>
  <si>
    <t xml:space="preserve">Little - Lane 2 - Selasa - 09:30</t>
  </si>
  <si>
    <t xml:space="preserve">TMP|- Lane 2 - Selasa|09:30</t>
  </si>
  <si>
    <t xml:space="preserve">Little - Lane 2 - Selasa - 10:15</t>
  </si>
  <si>
    <t xml:space="preserve">TMP|- Lane 2 - Selasa|10:15</t>
  </si>
  <si>
    <t xml:space="preserve">Little - Lane 2 - Selasa - 11:00</t>
  </si>
  <si>
    <t xml:space="preserve">TMP|- Lane 2 - Selasa|11:00</t>
  </si>
  <si>
    <t xml:space="preserve">Little - Lane 2 - Selasa - 11:45</t>
  </si>
  <si>
    <t xml:space="preserve">TMP|- Lane 2 - Selasa|11:45</t>
  </si>
  <si>
    <t xml:space="preserve">Little - Lane 2 - Selasa - 13:15</t>
  </si>
  <si>
    <t xml:space="preserve">TMP|- Lane 2 - Selasa|13:15</t>
  </si>
  <si>
    <t xml:space="preserve">Little - Lane 2 - Selasa - 14:00</t>
  </si>
  <si>
    <t xml:space="preserve">TMP|- Lane 2 - Selasa|14:00</t>
  </si>
  <si>
    <t xml:space="preserve">Little - Lane 2 - Selasa - 14:45</t>
  </si>
  <si>
    <t xml:space="preserve">TMP|- Lane 2 - Selasa|14:45</t>
  </si>
  <si>
    <t xml:space="preserve">Little - Lane 2 - Selasa - 15:30</t>
  </si>
  <si>
    <t xml:space="preserve">TMP|- Lane 2 - Selasa|15:30</t>
  </si>
  <si>
    <t xml:space="preserve">Little - Lane 2 - Selasa - 16:15</t>
  </si>
  <si>
    <t xml:space="preserve">TMP|- Lane 2 - Selasa|16:15</t>
  </si>
  <si>
    <t xml:space="preserve">Little - Lane 2 - Selasa - 17:00</t>
  </si>
  <si>
    <t xml:space="preserve">TMP|- Lane 2 - Selasa|17:00</t>
  </si>
  <si>
    <t xml:space="preserve">Little - Lane 2 - Rabu - 08:00</t>
  </si>
  <si>
    <t xml:space="preserve">TMP|- Lane 2 - Rabu|08:00</t>
  </si>
  <si>
    <t xml:space="preserve">Little - Lane 2 - Rabu - 08:45</t>
  </si>
  <si>
    <t xml:space="preserve">TMP|- Lane 2 - Rabu|08:45</t>
  </si>
  <si>
    <t xml:space="preserve">Little - Lane 2 - Rabu - 09:30</t>
  </si>
  <si>
    <t xml:space="preserve">TMP|- Lane 2 - Rabu|09:30</t>
  </si>
  <si>
    <t xml:space="preserve">Little - Lane 2 - Rabu - 10:15</t>
  </si>
  <si>
    <t xml:space="preserve">TMP|- Lane 2 - Rabu|10:15</t>
  </si>
  <si>
    <t xml:space="preserve">Little - Lane 2 - Rabu - 11:00</t>
  </si>
  <si>
    <t xml:space="preserve">TMP|- Lane 2 - Rabu|11:00</t>
  </si>
  <si>
    <t xml:space="preserve">Little - Lane 2 - Rabu - 11:45</t>
  </si>
  <si>
    <t xml:space="preserve">TMP|- Lane 2 - Rabu|11:45</t>
  </si>
  <si>
    <t xml:space="preserve">Little - Lane 2 - Rabu - 13:15</t>
  </si>
  <si>
    <t xml:space="preserve">TMP|- Lane 2 - Rabu|13:15</t>
  </si>
  <si>
    <t xml:space="preserve">Little - Lane 2 - Rabu - 14:00</t>
  </si>
  <si>
    <t xml:space="preserve">TMP|- Lane 2 - Rabu|14:00</t>
  </si>
  <si>
    <t xml:space="preserve">Little - Lane 2 - Rabu - 14:45</t>
  </si>
  <si>
    <t xml:space="preserve">TMP|- Lane 2 - Rabu|14:45</t>
  </si>
  <si>
    <t xml:space="preserve">Little - Lane 2 - Rabu - 15:30</t>
  </si>
  <si>
    <t xml:space="preserve">TMP|- Lane 2 - Rabu|15:30</t>
  </si>
  <si>
    <t xml:space="preserve">Little - Lane 2 - Rabu - 16:15</t>
  </si>
  <si>
    <t xml:space="preserve">TMP|- Lane 2 - Rabu|16:15</t>
  </si>
  <si>
    <t xml:space="preserve">Little - Lane 2 - Rabu - 17:00</t>
  </si>
  <si>
    <t xml:space="preserve">TMP|- Lane 2 - Rabu|17:00</t>
  </si>
  <si>
    <t xml:space="preserve">Little - Lane 2 - Kamis - 08:00</t>
  </si>
  <si>
    <t xml:space="preserve">TMP|- Lane 2 - Kamis|08:00</t>
  </si>
  <si>
    <t xml:space="preserve">Little - Lane 2 - Kamis - 08:45</t>
  </si>
  <si>
    <t xml:space="preserve">TMP|- Lane 2 - Kamis|08:45</t>
  </si>
  <si>
    <t xml:space="preserve">Little - Lane 2 - Kamis - 09:30</t>
  </si>
  <si>
    <t xml:space="preserve">TMP|- Lane 2 - Kamis|09:30</t>
  </si>
  <si>
    <t xml:space="preserve">Little - Lane 2 - Kamis - 10:15</t>
  </si>
  <si>
    <t xml:space="preserve">TMP|- Lane 2 - Kamis|10:15</t>
  </si>
  <si>
    <t xml:space="preserve">Little - Lane 2 - Kamis - 11:00</t>
  </si>
  <si>
    <t xml:space="preserve">TMP|- Lane 2 - Kamis|11:00</t>
  </si>
  <si>
    <t xml:space="preserve">Little - Lane 2 - Kamis - 11:45</t>
  </si>
  <si>
    <t xml:space="preserve">TMP|- Lane 2 - Kamis|11:45</t>
  </si>
  <si>
    <t xml:space="preserve">Little - Lane 2 - Kamis - 13:15</t>
  </si>
  <si>
    <t xml:space="preserve">TMP|- Lane 2 - Kamis|13:15</t>
  </si>
  <si>
    <t xml:space="preserve">Little - Lane 2 - Kamis - 14:00</t>
  </si>
  <si>
    <t xml:space="preserve">TMP|- Lane 2 - Kamis|14:00</t>
  </si>
  <si>
    <t xml:space="preserve">Little - Lane 2 - Kamis - 14:45</t>
  </si>
  <si>
    <t xml:space="preserve">TMP|- Lane 2 - Kamis|14:45</t>
  </si>
  <si>
    <t xml:space="preserve">Little - Lane 2 - Kamis - 15:30</t>
  </si>
  <si>
    <t xml:space="preserve">TMP|- Lane 2 - Kamis|15:30</t>
  </si>
  <si>
    <t xml:space="preserve">Little - Lane 2 - Kamis - 16:15</t>
  </si>
  <si>
    <t xml:space="preserve">TMP|- Lane 2 - Kamis|16:15</t>
  </si>
  <si>
    <t xml:space="preserve">Little - Lane 2 - Kamis - 17:00</t>
  </si>
  <si>
    <t xml:space="preserve">TMP|- Lane 2 - Kamis|17:00</t>
  </si>
  <si>
    <t xml:space="preserve">Little - Lane 2 - Jumat - 08:00</t>
  </si>
  <si>
    <t xml:space="preserve">TMP|- Lane 2 - Jumat|08:00</t>
  </si>
  <si>
    <t xml:space="preserve">Little - Lane 2 - Jumat - 08:45</t>
  </si>
  <si>
    <t xml:space="preserve">TMP|- Lane 2 - Jumat|08:45</t>
  </si>
  <si>
    <t xml:space="preserve">Little - Lane 2 - Jumat - 09:30</t>
  </si>
  <si>
    <t xml:space="preserve">TMP|- Lane 2 - Jumat|09:30</t>
  </si>
  <si>
    <t xml:space="preserve">Little - Lane 2 - Jumat - 10:15</t>
  </si>
  <si>
    <t xml:space="preserve">TMP|- Lane 2 - Jumat|10:15</t>
  </si>
  <si>
    <t xml:space="preserve">Little - Lane 2 - Jumat - 11:00</t>
  </si>
  <si>
    <t xml:space="preserve">TMP|- Lane 2 - Jumat|11:00</t>
  </si>
  <si>
    <t xml:space="preserve">Little - Lane 2 - Jumat - 11:45</t>
  </si>
  <si>
    <t xml:space="preserve">TMP|- Lane 2 - Jumat|11:45</t>
  </si>
  <si>
    <t xml:space="preserve">Little - Lane 2 - Jumat - 13:15</t>
  </si>
  <si>
    <t xml:space="preserve">TMP|- Lane 2 - Jumat|13:15</t>
  </si>
  <si>
    <t xml:space="preserve">Little - Lane 2 - Jumat - 14:00</t>
  </si>
  <si>
    <t xml:space="preserve">TMP|- Lane 2 - Jumat|14:00</t>
  </si>
  <si>
    <t xml:space="preserve">Little - Lane 2 - Jumat - 14:45</t>
  </si>
  <si>
    <t xml:space="preserve">TMP|- Lane 2 - Jumat|14:45</t>
  </si>
  <si>
    <t xml:space="preserve">Little - Lane 2 - Jumat - 15:30</t>
  </si>
  <si>
    <t xml:space="preserve">TMP|- Lane 2 - Jumat|15:30</t>
  </si>
  <si>
    <t xml:space="preserve">Little - Lane 2 - Jumat - 16:15</t>
  </si>
  <si>
    <t xml:space="preserve">TMP|- Lane 2 - Jumat|16:15</t>
  </si>
  <si>
    <t xml:space="preserve">Little - Lane 2 - Jumat - 17:00</t>
  </si>
  <si>
    <t xml:space="preserve">TMP|- Lane 2 - Jumat|17:00</t>
  </si>
  <si>
    <t xml:space="preserve">Little - Lane 2 - Sabtu - 08:00</t>
  </si>
  <si>
    <t xml:space="preserve">TMP|- Lane 2 - Sabtu|08:00</t>
  </si>
  <si>
    <t xml:space="preserve">Little - Lane 2 - Sabtu - 08:45</t>
  </si>
  <si>
    <t xml:space="preserve">TMP|- Lane 2 - Sabtu|08:45</t>
  </si>
  <si>
    <t xml:space="preserve">Little - Lane 2 - Sabtu - 09:30</t>
  </si>
  <si>
    <t xml:space="preserve">TMP|- Lane 2 - Sabtu|09:30</t>
  </si>
  <si>
    <t xml:space="preserve">Little - Lane 2 - Sabtu - 10:15</t>
  </si>
  <si>
    <t xml:space="preserve">TMP|- Lane 2 - Sabtu|10:15</t>
  </si>
  <si>
    <t xml:space="preserve">Little - Lane 2 - Sabtu - 11:00</t>
  </si>
  <si>
    <t xml:space="preserve">TMP|- Lane 2 - Sabtu|11:00</t>
  </si>
  <si>
    <t xml:space="preserve">Little - Lane 2 - Sabtu - 11:45</t>
  </si>
  <si>
    <t xml:space="preserve">TMP|- Lane 2 - Sabtu|11:45</t>
  </si>
  <si>
    <t xml:space="preserve">Little - Lane 2 - Sabtu - 13:15</t>
  </si>
  <si>
    <t xml:space="preserve">TMP|- Lane 2 - Sabtu|13:15</t>
  </si>
  <si>
    <t xml:space="preserve">Little - Lane 2 - Sabtu - 14:00</t>
  </si>
  <si>
    <t xml:space="preserve">TMP|- Lane 2 - Sabtu|14:00</t>
  </si>
  <si>
    <t xml:space="preserve">Little - Lane 2 - Sabtu - 14:45</t>
  </si>
  <si>
    <t xml:space="preserve">TMP|- Lane 2 - Sabtu|14:45</t>
  </si>
  <si>
    <t xml:space="preserve">Little - Lane 2 - Sabtu - 15:30</t>
  </si>
  <si>
    <t xml:space="preserve">TMP|- Lane 2 - Sabtu|15:30</t>
  </si>
  <si>
    <t xml:space="preserve">Little - Lane 2 - Sabtu - 16:15</t>
  </si>
  <si>
    <t xml:space="preserve">TMP|- Lane 2 - Sabtu|16:15</t>
  </si>
  <si>
    <t xml:space="preserve">Little - Lane 2 - Sabtu - 17:00</t>
  </si>
  <si>
    <t xml:space="preserve">TMP|- Lane 2 - Sabtu|17:00</t>
  </si>
  <si>
    <t xml:space="preserve">Little - Lane 2 - Minggu - 08:00</t>
  </si>
  <si>
    <t xml:space="preserve">TMP|- Lane 2 - Minggu|08:00</t>
  </si>
  <si>
    <t xml:space="preserve">Little - Lane 2 - Minggu - 08:45</t>
  </si>
  <si>
    <t xml:space="preserve">TMP|- Lane 2 - Minggu|08:45</t>
  </si>
  <si>
    <t xml:space="preserve">Little - Lane 2 - Minggu - 09:30</t>
  </si>
  <si>
    <t xml:space="preserve">TMP|- Lane 2 - Minggu|09:30</t>
  </si>
  <si>
    <t xml:space="preserve">Little - Lane 2 - Minggu - 10:15</t>
  </si>
  <si>
    <t xml:space="preserve">TMP|- Lane 2 - Minggu|10:15</t>
  </si>
  <si>
    <t xml:space="preserve">Little - Lane 2 - Minggu - 11:00</t>
  </si>
  <si>
    <t xml:space="preserve">TMP|- Lane 2 - Minggu|11:00</t>
  </si>
  <si>
    <t xml:space="preserve">Little - Lane 2 - Minggu - 11:45</t>
  </si>
  <si>
    <t xml:space="preserve">TMP|- Lane 2 - Minggu|11:45</t>
  </si>
  <si>
    <t xml:space="preserve">Little - Lane 2 - Minggu - 13:15</t>
  </si>
  <si>
    <t xml:space="preserve">TMP|- Lane 2 - Minggu|13:15</t>
  </si>
  <si>
    <t xml:space="preserve">Little - Lane 2 - Minggu - 14:00</t>
  </si>
  <si>
    <t xml:space="preserve">TMP|- Lane 2 - Minggu|14:00</t>
  </si>
  <si>
    <t xml:space="preserve">Little - Lane 2 - Minggu - 14:45</t>
  </si>
  <si>
    <t xml:space="preserve">TMP|- Lane 2 - Minggu|14:45</t>
  </si>
  <si>
    <t xml:space="preserve">Little - Lane 2 - Minggu - 15:30</t>
  </si>
  <si>
    <t xml:space="preserve">TMP|- Lane 2 - Minggu|15:30</t>
  </si>
  <si>
    <t xml:space="preserve">Little - Lane 2 - Minggu - 16:15</t>
  </si>
  <si>
    <t xml:space="preserve">TMP|- Lane 2 - Minggu|16:15</t>
  </si>
  <si>
    <t xml:space="preserve">Little - Lane 2 - Minggu - 17:00</t>
  </si>
  <si>
    <t xml:space="preserve">TMP|- Lane 2 - Minggu|17:00</t>
  </si>
  <si>
    <t xml:space="preserve">Kids - Lane 3 - Senin - 08:15</t>
  </si>
  <si>
    <t xml:space="preserve">TMP|- Lane 3 - Senin|08:15</t>
  </si>
  <si>
    <t xml:space="preserve">Kids - Lane 3 - Senin - 09:00</t>
  </si>
  <si>
    <t xml:space="preserve">TMP|- Lane 3 - Senin|09:00</t>
  </si>
  <si>
    <t xml:space="preserve">Kids - Lane 3 - Senin - 09:45</t>
  </si>
  <si>
    <t xml:space="preserve">TMP|- Lane 3 - Senin|09:45</t>
  </si>
  <si>
    <t xml:space="preserve">Kids - Lane 3 - Senin - 10:30</t>
  </si>
  <si>
    <t xml:space="preserve">TMP|- Lane 3 - Senin|10:30</t>
  </si>
  <si>
    <t xml:space="preserve">Kids - Lane 3 - Senin - 11:15</t>
  </si>
  <si>
    <t xml:space="preserve">TMP|- Lane 3 - Senin|11:15</t>
  </si>
  <si>
    <t xml:space="preserve">Kids - Lane 3 - Senin - 12:00</t>
  </si>
  <si>
    <t xml:space="preserve">TMP|- Lane 3 - Senin|12:00</t>
  </si>
  <si>
    <t xml:space="preserve">Kids - Lane 3 - Senin - 13:30</t>
  </si>
  <si>
    <t xml:space="preserve">TMP|- Lane 3 - Senin|13:30</t>
  </si>
  <si>
    <t xml:space="preserve">Kids - Lane 3 - Senin - 14:15</t>
  </si>
  <si>
    <t xml:space="preserve">TMP|- Lane 3 - Senin|14:15</t>
  </si>
  <si>
    <t xml:space="preserve">Kids - Lane 3 - Senin - 15:00</t>
  </si>
  <si>
    <t xml:space="preserve">TMP|- Lane 3 - Senin|15:00</t>
  </si>
  <si>
    <t xml:space="preserve">Kids - Lane 3 - Senin - 15:45</t>
  </si>
  <si>
    <t xml:space="preserve">TMP|- Lane 3 - Senin|15:45</t>
  </si>
  <si>
    <t xml:space="preserve">Kids - Lane 3 - Senin - 16:30</t>
  </si>
  <si>
    <t xml:space="preserve">TMP|- Lane 3 - Senin|16:30</t>
  </si>
  <si>
    <t xml:space="preserve">Kids - Lane 3 - Senin - 17:15</t>
  </si>
  <si>
    <t xml:space="preserve">TMP|- Lane 3 - Senin|17:15</t>
  </si>
  <si>
    <t xml:space="preserve">Kids - Lane 3 - Selasa - 08:15</t>
  </si>
  <si>
    <t xml:space="preserve">TMP|- Lane 3 - Selasa|08:15</t>
  </si>
  <si>
    <t xml:space="preserve">Kids - Lane 3 - Selasa - 09:00</t>
  </si>
  <si>
    <t xml:space="preserve">TMP|- Lane 3 - Selasa|09:00</t>
  </si>
  <si>
    <t xml:space="preserve">Kids - Lane 3 - Selasa - 09:45</t>
  </si>
  <si>
    <t xml:space="preserve">TMP|- Lane 3 - Selasa|09:45</t>
  </si>
  <si>
    <t xml:space="preserve">Kids - Lane 3 - Selasa - 10:30</t>
  </si>
  <si>
    <t xml:space="preserve">TMP|- Lane 3 - Selasa|10:30</t>
  </si>
  <si>
    <t xml:space="preserve">Kids - Lane 3 - Selasa - 11:15</t>
  </si>
  <si>
    <t xml:space="preserve">soon book coach Irvan</t>
  </si>
  <si>
    <t xml:space="preserve">TMP|- Lane 3 - Selasa|11:15</t>
  </si>
  <si>
    <t xml:space="preserve">Kids - Lane 3 - Selasa - 12:00</t>
  </si>
  <si>
    <t xml:space="preserve">TMP|- Lane 3 - Selasa|12:00</t>
  </si>
  <si>
    <t xml:space="preserve">Kids - Lane 3 - Selasa - 13:30</t>
  </si>
  <si>
    <t xml:space="preserve">TMP|- Lane 3 - Selasa|13:30</t>
  </si>
  <si>
    <t xml:space="preserve">Kids - Lane 3 - Selasa - 14:15</t>
  </si>
  <si>
    <t xml:space="preserve">TMP|- Lane 3 - Selasa|14:15</t>
  </si>
  <si>
    <t xml:space="preserve">Kids - Lane 3 - Selasa - 15:00</t>
  </si>
  <si>
    <t xml:space="preserve">TMP|- Lane 3 - Selasa|15:00</t>
  </si>
  <si>
    <t xml:space="preserve">Kids - Lane 3 - Selasa - 15:45</t>
  </si>
  <si>
    <t xml:space="preserve">TMP|- Lane 3 - Selasa|15:45</t>
  </si>
  <si>
    <t xml:space="preserve">Kids - Lane 3 - Selasa - 16:30</t>
  </si>
  <si>
    <t xml:space="preserve">TMP|- Lane 3 - Selasa|16:30</t>
  </si>
  <si>
    <t xml:space="preserve">Kids - Lane 3 - Selasa - 17:15</t>
  </si>
  <si>
    <t xml:space="preserve">TMP|- Lane 3 - Selasa|17:15</t>
  </si>
  <si>
    <t xml:space="preserve">Kids - Lane 3 - Rabu - 08:15</t>
  </si>
  <si>
    <t xml:space="preserve">TMP|- Lane 3 - Rabu|08:15</t>
  </si>
  <si>
    <t xml:space="preserve">Kids - Lane 3 - Rabu - 09:00</t>
  </si>
  <si>
    <t xml:space="preserve">TMP|- Lane 3 - Rabu|09:00</t>
  </si>
  <si>
    <t xml:space="preserve">Kids - Lane 3 - Rabu - 09:45</t>
  </si>
  <si>
    <t xml:space="preserve">TMP|- Lane 3 - Rabu|09:45</t>
  </si>
  <si>
    <t xml:space="preserve">Kids - Lane 3 - Rabu - 10:30</t>
  </si>
  <si>
    <t xml:space="preserve">TMP|- Lane 3 - Rabu|10:30</t>
  </si>
  <si>
    <t xml:space="preserve">Kids - Lane 3 - Rabu - 11:15</t>
  </si>
  <si>
    <t xml:space="preserve">TMP|- Lane 3 - Rabu|11:15</t>
  </si>
  <si>
    <t xml:space="preserve">Kids - Lane 3 - Rabu - 12:00</t>
  </si>
  <si>
    <t xml:space="preserve">TMP|- Lane 3 - Rabu|12:00</t>
  </si>
  <si>
    <t xml:space="preserve">Kids - Lane 3 - Rabu - 13:30</t>
  </si>
  <si>
    <t xml:space="preserve">TMP|- Lane 3 - Rabu|13:30</t>
  </si>
  <si>
    <t xml:space="preserve">Kids - Lane 3 - Rabu - 14:15</t>
  </si>
  <si>
    <t xml:space="preserve">TMP|- Lane 3 - Rabu|14:15</t>
  </si>
  <si>
    <t xml:space="preserve">Kids - Lane 3 - Rabu - 15:00</t>
  </si>
  <si>
    <t xml:space="preserve">TMP|- Lane 3 - Rabu|15:00</t>
  </si>
  <si>
    <t xml:space="preserve">Kids - Lane 3 - Rabu - 15:45</t>
  </si>
  <si>
    <t xml:space="preserve">TMP|- Lane 3 - Rabu|15:45</t>
  </si>
  <si>
    <t xml:space="preserve">Kids - Lane 3 - Rabu - 16:30</t>
  </si>
  <si>
    <t xml:space="preserve">TMP|- Lane 3 - Rabu|16:30</t>
  </si>
  <si>
    <t xml:space="preserve">Kids - Lane 3 - Rabu - 17:15</t>
  </si>
  <si>
    <t xml:space="preserve">TMP|- Lane 3 - Rabu|17:15</t>
  </si>
  <si>
    <t xml:space="preserve">Kids - Lane 3 - Kamis - 08:15</t>
  </si>
  <si>
    <t xml:space="preserve">TMP|- Lane 3 - Kamis|08:15</t>
  </si>
  <si>
    <t xml:space="preserve">Kids - Lane 3 - Kamis - 09:00</t>
  </si>
  <si>
    <t xml:space="preserve">TMP|- Lane 3 - Kamis|09:00</t>
  </si>
  <si>
    <t xml:space="preserve">Kids - Lane 3 - Kamis - 09:45</t>
  </si>
  <si>
    <t xml:space="preserve">TMP|- Lane 3 - Kamis|09:45</t>
  </si>
  <si>
    <t xml:space="preserve">Kids - Lane 3 - Kamis - 10:30</t>
  </si>
  <si>
    <t xml:space="preserve">TMP|- Lane 3 - Kamis|10:30</t>
  </si>
  <si>
    <t xml:space="preserve">Kids - Lane 3 - Kamis - 11:15</t>
  </si>
  <si>
    <t xml:space="preserve">TMP|- Lane 3 - Kamis|11:15</t>
  </si>
  <si>
    <t xml:space="preserve">Kids - Lane 3 - Kamis - 12:00</t>
  </si>
  <si>
    <t xml:space="preserve">TMP|- Lane 3 - Kamis|12:00</t>
  </si>
  <si>
    <t xml:space="preserve">Kids - Lane 3 - Kamis - 13:30</t>
  </si>
  <si>
    <t xml:space="preserve">TMP|- Lane 3 - Kamis|13:30</t>
  </si>
  <si>
    <t xml:space="preserve">Kids - Lane 3 - Kamis - 14:15</t>
  </si>
  <si>
    <t xml:space="preserve">TMP|- Lane 3 - Kamis|14:15</t>
  </si>
  <si>
    <t xml:space="preserve">Kids - Lane 3 - Kamis - 15:00</t>
  </si>
  <si>
    <t xml:space="preserve">TMP|- Lane 3 - Kamis|15:00</t>
  </si>
  <si>
    <t xml:space="preserve">Kids - Lane 3 - Kamis - 15:45</t>
  </si>
  <si>
    <t xml:space="preserve">TMP|- Lane 3 - Kamis|15:45</t>
  </si>
  <si>
    <t xml:space="preserve">Kids - Lane 3 - Kamis - 16:30</t>
  </si>
  <si>
    <t xml:space="preserve">TMP|- Lane 3 - Kamis|16:30</t>
  </si>
  <si>
    <t xml:space="preserve">Kids - Lane 3 - Kamis - 17:15</t>
  </si>
  <si>
    <t xml:space="preserve">TMP|- Lane 3 - Kamis|17:15</t>
  </si>
  <si>
    <t xml:space="preserve">Kids - Lane 3 - Jumat - 08:15</t>
  </si>
  <si>
    <t xml:space="preserve">TMP|- Lane 3 - Jumat|08:15</t>
  </si>
  <si>
    <t xml:space="preserve">Kids - Lane 3 - Jumat - 09:00</t>
  </si>
  <si>
    <t xml:space="preserve">TMP|- Lane 3 - Jumat|09:00</t>
  </si>
  <si>
    <t xml:space="preserve">Kids - Lane 3 - Jumat - 09:45</t>
  </si>
  <si>
    <t xml:space="preserve">TMP|- Lane 3 - Jumat|09:45</t>
  </si>
  <si>
    <t xml:space="preserve">Kids - Lane 3 - Jumat - 10:30</t>
  </si>
  <si>
    <t xml:space="preserve">TMP|- Lane 3 - Jumat|10:30</t>
  </si>
  <si>
    <t xml:space="preserve">Kids - Lane 3 - Jumat - 11:15</t>
  </si>
  <si>
    <t xml:space="preserve">TMP|- Lane 3 - Jumat|11:15</t>
  </si>
  <si>
    <t xml:space="preserve">Kids - Lane 3 - Jumat - 12:00</t>
  </si>
  <si>
    <t xml:space="preserve">TMP|- Lane 3 - Jumat|12:00</t>
  </si>
  <si>
    <t xml:space="preserve">Kids - Lane 3 - Jumat - 13:30</t>
  </si>
  <si>
    <t xml:space="preserve">TMP|- Lane 3 - Jumat|13:30</t>
  </si>
  <si>
    <t xml:space="preserve">Kids - Lane 3 - Jumat - 14:15</t>
  </si>
  <si>
    <t xml:space="preserve">TMP|- Lane 3 - Jumat|14:15</t>
  </si>
  <si>
    <t xml:space="preserve">Kids - Lane 3 - Jumat - 15:00</t>
  </si>
  <si>
    <t xml:space="preserve">TMP|- Lane 3 - Jumat|15:00</t>
  </si>
  <si>
    <t xml:space="preserve">Kids - Lane 3 - Jumat - 15:45</t>
  </si>
  <si>
    <t xml:space="preserve">TMP|- Lane 3 - Jumat|15:45</t>
  </si>
  <si>
    <t xml:space="preserve">Kids - Lane 3 - Jumat - 16:30</t>
  </si>
  <si>
    <t xml:space="preserve">TMP|- Lane 3 - Jumat|16:30</t>
  </si>
  <si>
    <t xml:space="preserve">Kids - Lane 3 - Jumat - 17:15</t>
  </si>
  <si>
    <t xml:space="preserve">TMP|- Lane 3 - Jumat|17:15</t>
  </si>
  <si>
    <t xml:space="preserve">Kids - Lane 3 - Sabtu - 08:15</t>
  </si>
  <si>
    <t xml:space="preserve">TMP|- Lane 3 - Sabtu|08:15</t>
  </si>
  <si>
    <t xml:space="preserve">Kids - Lane 3 - Sabtu - 09:00</t>
  </si>
  <si>
    <t xml:space="preserve">TMP|- Lane 3 - Sabtu|09:00</t>
  </si>
  <si>
    <t xml:space="preserve">Kids - Lane 3 - Sabtu - 09:45</t>
  </si>
  <si>
    <t xml:space="preserve">TMP|- Lane 3 - Sabtu|09:45</t>
  </si>
  <si>
    <t xml:space="preserve">Kids - Lane 3 - Sabtu - 10:30</t>
  </si>
  <si>
    <t xml:space="preserve">TMP|- Lane 3 - Sabtu|10:30</t>
  </si>
  <si>
    <t xml:space="preserve">Kids - Lane 3 - Sabtu - 11:15</t>
  </si>
  <si>
    <t xml:space="preserve">TMP|- Lane 3 - Sabtu|11:15</t>
  </si>
  <si>
    <t xml:space="preserve">Kids - Lane 3 - Sabtu - 12:00</t>
  </si>
  <si>
    <t xml:space="preserve">TMP|- Lane 3 - Sabtu|12:00</t>
  </si>
  <si>
    <t xml:space="preserve">Kids - Lane 3 - Sabtu - 13:30</t>
  </si>
  <si>
    <t xml:space="preserve">TMP|- Lane 3 - Sabtu|13:30</t>
  </si>
  <si>
    <t xml:space="preserve">Kids - Lane 3 - Sabtu - 14:15</t>
  </si>
  <si>
    <t xml:space="preserve">TMP|- Lane 3 - Sabtu|14:15</t>
  </si>
  <si>
    <t xml:space="preserve">Kids - Lane 3 - Sabtu - 15:00</t>
  </si>
  <si>
    <t xml:space="preserve">TMP|- Lane 3 - Sabtu|15:00</t>
  </si>
  <si>
    <t xml:space="preserve">Kids - Lane 3 - Sabtu - 15:45</t>
  </si>
  <si>
    <t xml:space="preserve">TMP|- Lane 3 - Sabtu|15:45</t>
  </si>
  <si>
    <t xml:space="preserve">Kids - Lane 3 - Sabtu - 16:30</t>
  </si>
  <si>
    <t xml:space="preserve">TMP|- Lane 3 - Sabtu|16:30</t>
  </si>
  <si>
    <t xml:space="preserve">Kids - Lane 3 - Sabtu - 17:15</t>
  </si>
  <si>
    <t xml:space="preserve">TMP|- Lane 3 - Sabtu|17:15</t>
  </si>
  <si>
    <t xml:space="preserve">Kids - Lane 3 - Minggu - 08:15</t>
  </si>
  <si>
    <t xml:space="preserve">TMP|- Lane 3 - Minggu|08:15</t>
  </si>
  <si>
    <t xml:space="preserve">Kids - Lane 3 - Minggu - 09:00</t>
  </si>
  <si>
    <t xml:space="preserve">TMP|- Lane 3 - Minggu|09:00</t>
  </si>
  <si>
    <t xml:space="preserve">Kids - Lane 3 - Minggu - 09:45</t>
  </si>
  <si>
    <t xml:space="preserve">TMP|- Lane 3 - Minggu|09:45</t>
  </si>
  <si>
    <t xml:space="preserve">Kids - Lane 3 - Minggu - 10:30</t>
  </si>
  <si>
    <t xml:space="preserve">TMP|- Lane 3 - Minggu|10:30</t>
  </si>
  <si>
    <t xml:space="preserve">Kids - Lane 3 - Minggu - 11:15</t>
  </si>
  <si>
    <t xml:space="preserve">TMP|- Lane 3 - Minggu|11:15</t>
  </si>
  <si>
    <t xml:space="preserve">Kids - Lane 3 - Minggu - 12:00</t>
  </si>
  <si>
    <t xml:space="preserve">TMP|- Lane 3 - Minggu|12:00</t>
  </si>
  <si>
    <t xml:space="preserve">Kids - Lane 3 - Minggu - 13:30</t>
  </si>
  <si>
    <t xml:space="preserve">TMP|- Lane 3 - Minggu|13:30</t>
  </si>
  <si>
    <t xml:space="preserve">Kids - Lane 3 - Minggu - 14:15</t>
  </si>
  <si>
    <t xml:space="preserve">TMP|- Lane 3 - Minggu|14:15</t>
  </si>
  <si>
    <t xml:space="preserve">Kids - Lane 3 - Minggu - 15:00</t>
  </si>
  <si>
    <t xml:space="preserve">TMP|- Lane 3 - Minggu|15:00</t>
  </si>
  <si>
    <t xml:space="preserve">Kids - Lane 3 - Minggu - 15:45</t>
  </si>
  <si>
    <t xml:space="preserve">TMP|- Lane 3 - Minggu|15:45</t>
  </si>
  <si>
    <t xml:space="preserve">Kids - Lane 3 - Minggu - 16:30</t>
  </si>
  <si>
    <t xml:space="preserve">TMP|- Lane 3 - Minggu|16:30</t>
  </si>
  <si>
    <t xml:space="preserve">Kids - Lane 3 - Minggu - 17:15</t>
  </si>
  <si>
    <t xml:space="preserve">TMP|- Lane 3 - Minggu|17:15</t>
  </si>
  <si>
    <t xml:space="preserve">TMP|- Lane 4 - Senin|08:15</t>
  </si>
  <si>
    <t xml:space="preserve">TMP|- Lane 4 - Senin|09:00</t>
  </si>
  <si>
    <t xml:space="preserve">TMP|- Lane 4 - Senin|09:45</t>
  </si>
  <si>
    <t xml:space="preserve">TMP|- Lane 4 - Senin|10:30</t>
  </si>
  <si>
    <t xml:space="preserve">TMP|- Lane 4 - Senin|11:15</t>
  </si>
  <si>
    <t xml:space="preserve">TMP|- Lane 4 - Senin|12:00</t>
  </si>
  <si>
    <t xml:space="preserve">TMP|- Lane 4 - Senin|13:30</t>
  </si>
  <si>
    <t xml:space="preserve">TMP|- Lane 4 - Senin|14:15</t>
  </si>
  <si>
    <t xml:space="preserve">TMP|- Lane 4 - Senin|15:00</t>
  </si>
  <si>
    <t xml:space="preserve">TMP|- Lane 4 - Senin|15:45</t>
  </si>
  <si>
    <t xml:space="preserve">TMP|- Lane 4 - Senin|16:30</t>
  </si>
  <si>
    <t xml:space="preserve">TMP|- Lane 4 - Senin|17:15</t>
  </si>
  <si>
    <t xml:space="preserve">TMP|- Lane 4 - Selasa|08:15</t>
  </si>
  <si>
    <t xml:space="preserve">TMP|- Lane 4 - Selasa|09:00</t>
  </si>
  <si>
    <t xml:space="preserve">TMP|- Lane 4 - Selasa|09:45</t>
  </si>
  <si>
    <t xml:space="preserve">TMP|- Lane 4 - Selasa|10:30</t>
  </si>
  <si>
    <t xml:space="preserve">TMP|- Lane 4 - Selasa|11:15</t>
  </si>
  <si>
    <t xml:space="preserve">TMP|- Lane 4 - Selasa|12:00</t>
  </si>
  <si>
    <t xml:space="preserve">TMP|- Lane 4 - Selasa|13:30</t>
  </si>
  <si>
    <t xml:space="preserve">TMP|- Lane 4 - Selasa|14:15</t>
  </si>
  <si>
    <t xml:space="preserve">TMP|- Lane 4 - Selasa|15:00</t>
  </si>
  <si>
    <t xml:space="preserve">TMP|- Lane 4 - Selasa|15:45</t>
  </si>
  <si>
    <t xml:space="preserve">TMP|- Lane 4 - Selasa|16:30</t>
  </si>
  <si>
    <t xml:space="preserve">TMP|- Lane 4 - Selasa|17:15</t>
  </si>
  <si>
    <t xml:space="preserve">TMP|- Lane 4 - Rabu|08:15</t>
  </si>
  <si>
    <t xml:space="preserve">TMP|- Lane 4 - Rabu|09:00</t>
  </si>
  <si>
    <t xml:space="preserve">TMP|- Lane 4 - Rabu|09:45</t>
  </si>
  <si>
    <t xml:space="preserve">TMP|- Lane 4 - Rabu|10:30</t>
  </si>
  <si>
    <t xml:space="preserve">TMP|- Lane 4 - Rabu|11:15</t>
  </si>
  <si>
    <t xml:space="preserve">TMP|- Lane 4 - Rabu|12:00</t>
  </si>
  <si>
    <t xml:space="preserve">TMP|- Lane 4 - Rabu|13:30</t>
  </si>
  <si>
    <t xml:space="preserve">TMP|- Lane 4 - Rabu|14:15</t>
  </si>
  <si>
    <t xml:space="preserve">TMP|- Lane 4 - Rabu|15:00</t>
  </si>
  <si>
    <t xml:space="preserve">TMP|- Lane 4 - Rabu|15:45</t>
  </si>
  <si>
    <t xml:space="preserve">TMP|- Lane 4 - Rabu|16:30</t>
  </si>
  <si>
    <t xml:space="preserve">TMP|- Lane 4 - Rabu|17:15</t>
  </si>
  <si>
    <t xml:space="preserve">TMP|- Lane 4 - Kamis|08:15</t>
  </si>
  <si>
    <t xml:space="preserve">TMP|- Lane 4 - Kamis|09:00</t>
  </si>
  <si>
    <t xml:space="preserve">TMP|- Lane 4 - Kamis|09:45</t>
  </si>
  <si>
    <t xml:space="preserve">TMP|- Lane 4 - Kamis|10:30</t>
  </si>
  <si>
    <t xml:space="preserve">TMP|- Lane 4 - Kamis|11:15</t>
  </si>
  <si>
    <t xml:space="preserve">TMP|- Lane 4 - Kamis|12:00</t>
  </si>
  <si>
    <t xml:space="preserve">TMP|- Lane 4 - Kamis|13:30</t>
  </si>
  <si>
    <t xml:space="preserve">TMP|- Lane 4 - Kamis|14:15</t>
  </si>
  <si>
    <t xml:space="preserve">TMP|- Lane 4 - Kamis|15:00</t>
  </si>
  <si>
    <t xml:space="preserve">TMP|- Lane 4 - Kamis|15:45</t>
  </si>
  <si>
    <t xml:space="preserve">TMP|- Lane 4 - Kamis|16:30</t>
  </si>
  <si>
    <t xml:space="preserve">TMP|- Lane 4 - Kamis|17:15</t>
  </si>
  <si>
    <t xml:space="preserve">TMP|- Lane 4 - Jumat|08:15</t>
  </si>
  <si>
    <t xml:space="preserve">TMP|- Lane 4 - Jumat|09:00</t>
  </si>
  <si>
    <t xml:space="preserve">TMP|- Lane 4 - Jumat|09:45</t>
  </si>
  <si>
    <t xml:space="preserve">TMP|- Lane 4 - Jumat|10:30</t>
  </si>
  <si>
    <t xml:space="preserve">TMP|- Lane 4 - Jumat|11:15</t>
  </si>
  <si>
    <t xml:space="preserve">TMP|- Lane 4 - Jumat|12:00</t>
  </si>
  <si>
    <t xml:space="preserve">TMP|- Lane 4 - Jumat|13:30</t>
  </si>
  <si>
    <t xml:space="preserve">TMP|- Lane 4 - Jumat|14:15</t>
  </si>
  <si>
    <t xml:space="preserve">TMP|- Lane 4 - Jumat|15:00</t>
  </si>
  <si>
    <t xml:space="preserve">TMP|- Lane 4 - Jumat|15:45</t>
  </si>
  <si>
    <t xml:space="preserve">TMP|- Lane 4 - Jumat|16:30</t>
  </si>
  <si>
    <t xml:space="preserve">TMP|- Lane 4 - Jumat|17:15</t>
  </si>
  <si>
    <t xml:space="preserve">TMP|- Lane 4 - Sabtu|08:15</t>
  </si>
  <si>
    <t xml:space="preserve">TMP|- Lane 4 - Sabtu|09:00</t>
  </si>
  <si>
    <t xml:space="preserve">TMP|- Lane 4 - Sabtu|09:45</t>
  </si>
  <si>
    <t xml:space="preserve">TMP|- Lane 4 - Sabtu|10:30</t>
  </si>
  <si>
    <t xml:space="preserve">TMP|- Lane 4 - Sabtu|11:15</t>
  </si>
  <si>
    <t xml:space="preserve">TMP|- Lane 4 - Sabtu|12:00</t>
  </si>
  <si>
    <t xml:space="preserve">TMP|- Lane 4 - Sabtu|13:30</t>
  </si>
  <si>
    <t xml:space="preserve">TMP|- Lane 4 - Sabtu|14:15</t>
  </si>
  <si>
    <t xml:space="preserve">TMP|- Lane 4 - Sabtu|15:00</t>
  </si>
  <si>
    <t xml:space="preserve">TMP|- Lane 4 - Sabtu|15:45</t>
  </si>
  <si>
    <t xml:space="preserve">TMP|- Lane 4 - Sabtu|16:30</t>
  </si>
  <si>
    <t xml:space="preserve">TMP|- Lane 4 - Sabtu|17:15</t>
  </si>
  <si>
    <t xml:space="preserve">TMP|- Lane 4 - Minggu|08:15</t>
  </si>
  <si>
    <t xml:space="preserve">TMP|- Lane 4 - Minggu|09:00</t>
  </si>
  <si>
    <t xml:space="preserve">TMP|- Lane 4 - Minggu|09:45</t>
  </si>
  <si>
    <t xml:space="preserve">TMP|- Lane 4 - Minggu|10:30</t>
  </si>
  <si>
    <t xml:space="preserve">TMP|- Lane 4 - Minggu|11:15</t>
  </si>
  <si>
    <t xml:space="preserve">TMP|- Lane 4 - Minggu|12:00</t>
  </si>
  <si>
    <t xml:space="preserve">TMP|- Lane 4 - Minggu|13:30</t>
  </si>
  <si>
    <t xml:space="preserve">TMP|- Lane 4 - Minggu|14:15</t>
  </si>
  <si>
    <t xml:space="preserve">TMP|- Lane 4 - Minggu|15:00</t>
  </si>
  <si>
    <t xml:space="preserve">TMP|- Lane 4 - Minggu|15:45</t>
  </si>
  <si>
    <t xml:space="preserve">TMP|- Lane 4 - Minggu|16:30</t>
  </si>
  <si>
    <t xml:space="preserve">TMP|- Lane 4 - Minggu|17:15</t>
  </si>
  <si>
    <t xml:space="preserve">BTU|- Lane 1 - Senin|08:00</t>
  </si>
  <si>
    <t xml:space="preserve">BTU|- Lane 1 - Senin|08:45</t>
  </si>
  <si>
    <t xml:space="preserve">BTU|- Lane 1 - Senin|09:30</t>
  </si>
  <si>
    <t xml:space="preserve">BTU|- Lane 1 - Senin|10:15</t>
  </si>
  <si>
    <t xml:space="preserve">BTU|- Lane 1 - Senin|11:00</t>
  </si>
  <si>
    <t xml:space="preserve">BTU|- Lane 1 - Senin|11:45</t>
  </si>
  <si>
    <t xml:space="preserve">BTU|- Lane 1 - Senin|13:15</t>
  </si>
  <si>
    <t xml:space="preserve">BTU|- Lane 1 - Senin|14:00</t>
  </si>
  <si>
    <t xml:space="preserve">BTU|- Lane 1 - Senin|14:45</t>
  </si>
  <si>
    <t xml:space="preserve">BTU|- Lane 1 - Senin|15:30</t>
  </si>
  <si>
    <t xml:space="preserve">BTU|- Lane 1 - Senin|16:15</t>
  </si>
  <si>
    <t xml:space="preserve">BTU|- Lane 1 - Senin|17:00</t>
  </si>
  <si>
    <t xml:space="preserve">BTU|- Lane 1 - Selasa|08:00</t>
  </si>
  <si>
    <t xml:space="preserve">BTU|- Lane 1 - Selasa|08:45</t>
  </si>
  <si>
    <t xml:space="preserve">BTU|- Lane 1 - Selasa|09:30</t>
  </si>
  <si>
    <t xml:space="preserve">BTU|- Lane 1 - Selasa|10:15</t>
  </si>
  <si>
    <t xml:space="preserve">BTU|- Lane 1 - Selasa|11:00</t>
  </si>
  <si>
    <t xml:space="preserve">BTU|- Lane 1 - Selasa|11:45</t>
  </si>
  <si>
    <t xml:space="preserve">BTU|- Lane 1 - Selasa|13:15</t>
  </si>
  <si>
    <t xml:space="preserve">BTU|- Lane 1 - Selasa|14:00</t>
  </si>
  <si>
    <t xml:space="preserve">BTU|- Lane 1 - Selasa|14:45</t>
  </si>
  <si>
    <t xml:space="preserve">BTU|- Lane 1 - Selasa|15:30</t>
  </si>
  <si>
    <t xml:space="preserve">BTU|- Lane 1 - Selasa|16:15</t>
  </si>
  <si>
    <t xml:space="preserve">BTU|- Lane 1 - Selasa|17:00</t>
  </si>
  <si>
    <t xml:space="preserve">BTU|- Lane 1 - Rabu|08:00</t>
  </si>
  <si>
    <t xml:space="preserve">BTU|- Lane 1 - Rabu|08:45</t>
  </si>
  <si>
    <t xml:space="preserve">BTU|- Lane 1 - Rabu|09:30</t>
  </si>
  <si>
    <t xml:space="preserve">BTU|- Lane 1 - Rabu|10:15</t>
  </si>
  <si>
    <t xml:space="preserve">BTU|- Lane 1 - Rabu|11:00</t>
  </si>
  <si>
    <t xml:space="preserve">BTU|- Lane 1 - Rabu|11:45</t>
  </si>
  <si>
    <t xml:space="preserve">BTU|- Lane 1 - Rabu|13:15</t>
  </si>
  <si>
    <t xml:space="preserve">BTU|- Lane 1 - Rabu|14:00</t>
  </si>
  <si>
    <t xml:space="preserve">BTU|- Lane 1 - Rabu|14:45</t>
  </si>
  <si>
    <t xml:space="preserve">BTU|- Lane 1 - Rabu|15:30</t>
  </si>
  <si>
    <t xml:space="preserve">BTU|- Lane 1 - Rabu|16:15</t>
  </si>
  <si>
    <t xml:space="preserve">BTU|- Lane 1 - Rabu|17:00</t>
  </si>
  <si>
    <t xml:space="preserve">BTU|- Lane 1 - Kamis|08:00</t>
  </si>
  <si>
    <t xml:space="preserve">BTU|- Lane 1 - Kamis|08:45</t>
  </si>
  <si>
    <t xml:space="preserve">BTU|- Lane 1 - Kamis|09:30</t>
  </si>
  <si>
    <t xml:space="preserve">BTU|- Lane 1 - Kamis|10:15</t>
  </si>
  <si>
    <t xml:space="preserve">BTU|- Lane 1 - Kamis|11:00</t>
  </si>
  <si>
    <t xml:space="preserve">BTU|- Lane 1 - Kamis|11:45</t>
  </si>
  <si>
    <t xml:space="preserve">BTU|- Lane 1 - Kamis|13:15</t>
  </si>
  <si>
    <t xml:space="preserve">BTU|- Lane 1 - Kamis|14:00</t>
  </si>
  <si>
    <t xml:space="preserve">BTU|- Lane 1 - Kamis|14:45</t>
  </si>
  <si>
    <t xml:space="preserve">BTU|- Lane 1 - Kamis|15:30</t>
  </si>
  <si>
    <t xml:space="preserve">BTU|- Lane 1 - Kamis|16:15</t>
  </si>
  <si>
    <t xml:space="preserve">BTU|- Lane 1 - Kamis|17:00</t>
  </si>
  <si>
    <t xml:space="preserve">BTU|- Lane 1 - Jumat|08:00</t>
  </si>
  <si>
    <t xml:space="preserve">BTU|- Lane 1 - Jumat|08:45</t>
  </si>
  <si>
    <t xml:space="preserve">BTU|- Lane 1 - Jumat|09:30</t>
  </si>
  <si>
    <t xml:space="preserve">BTU|- Lane 1 - Jumat|10:15</t>
  </si>
  <si>
    <t xml:space="preserve">BTU|- Lane 1 - Jumat|11:00</t>
  </si>
  <si>
    <t xml:space="preserve">BTU|- Lane 1 - Jumat|11:45</t>
  </si>
  <si>
    <t xml:space="preserve">BTU|- Lane 1 - Jumat|13:15</t>
  </si>
  <si>
    <t xml:space="preserve">BTU|- Lane 1 - Jumat|14:00</t>
  </si>
  <si>
    <t xml:space="preserve">BTU|- Lane 1 - Jumat|14:45</t>
  </si>
  <si>
    <t xml:space="preserve">BTU|- Lane 1 - Jumat|15:30</t>
  </si>
  <si>
    <t xml:space="preserve">BTU|- Lane 1 - Jumat|16:15</t>
  </si>
  <si>
    <t xml:space="preserve">BTU|- Lane 1 - Jumat|17:00</t>
  </si>
  <si>
    <t xml:space="preserve">BTU|- Lane 1 - Sabtu|08:00</t>
  </si>
  <si>
    <t xml:space="preserve">BTU|- Lane 1 - Sabtu|08:45</t>
  </si>
  <si>
    <t xml:space="preserve">BTU|- Lane 1 - Sabtu|09:30</t>
  </si>
  <si>
    <t xml:space="preserve">BTU|- Lane 1 - Sabtu|10:15</t>
  </si>
  <si>
    <t xml:space="preserve">BTU|- Lane 1 - Sabtu|11:00</t>
  </si>
  <si>
    <t xml:space="preserve">BTU|- Lane 1 - Sabtu|11:45</t>
  </si>
  <si>
    <t xml:space="preserve">BTU|- Lane 1 - Sabtu|13:15</t>
  </si>
  <si>
    <t xml:space="preserve">BTU|- Lane 1 - Sabtu|14:00</t>
  </si>
  <si>
    <t xml:space="preserve">BTU|- Lane 1 - Sabtu|14:45</t>
  </si>
  <si>
    <t xml:space="preserve">BTU|- Lane 1 - Sabtu|15:30</t>
  </si>
  <si>
    <t xml:space="preserve">BTU|- Lane 1 - Sabtu|16:15</t>
  </si>
  <si>
    <t xml:space="preserve">BTU|- Lane 1 - Sabtu|17:00</t>
  </si>
  <si>
    <t xml:space="preserve">BTU|- Lane 1 - Minggu|08:00</t>
  </si>
  <si>
    <t xml:space="preserve">BTU|- Lane 1 - Minggu|08:45</t>
  </si>
  <si>
    <t xml:space="preserve">BTU|- Lane 1 - Minggu|09:30</t>
  </si>
  <si>
    <t xml:space="preserve">BTU|- Lane 1 - Minggu|10:15</t>
  </si>
  <si>
    <t xml:space="preserve">BTU|- Lane 1 - Minggu|11:00</t>
  </si>
  <si>
    <t xml:space="preserve">BTU|- Lane 1 - Minggu|11:45</t>
  </si>
  <si>
    <t xml:space="preserve">BTU|- Lane 1 - Minggu|13:15</t>
  </si>
  <si>
    <t xml:space="preserve">BTU|- Lane 1 - Minggu|14:00</t>
  </si>
  <si>
    <t xml:space="preserve">BTU|- Lane 1 - Minggu|14:45</t>
  </si>
  <si>
    <t xml:space="preserve">BTU|- Lane 1 - Minggu|15:30</t>
  </si>
  <si>
    <t xml:space="preserve">BTU|- Lane 1 - Minggu|16:15</t>
  </si>
  <si>
    <t xml:space="preserve">BTU|- Lane 1 - Minggu|17:00</t>
  </si>
  <si>
    <t xml:space="preserve">BTU|- Lane 1 - Senin|07:30</t>
  </si>
  <si>
    <t xml:space="preserve">BTU|- Lane 1 - Selasa|07:30</t>
  </si>
  <si>
    <t xml:space="preserve">BTU|- Lane 1 - Rabu|07:30</t>
  </si>
  <si>
    <t xml:space="preserve">BTU|- Lane 1 - Kamis|07:30</t>
  </si>
  <si>
    <t xml:space="preserve">BTU|- Lane 1 - Jumat|07:30</t>
  </si>
  <si>
    <t xml:space="preserve">BTU|- Lane 1 - Sabtu|07:30</t>
  </si>
  <si>
    <t xml:space="preserve">BTU|- Lane 1 - Minggu|07:30</t>
  </si>
  <si>
    <t xml:space="preserve">BTU|- Lane 1 - Senin|18:00</t>
  </si>
  <si>
    <t xml:space="preserve">BTU|- Lane 1 - Selasa|18:00</t>
  </si>
  <si>
    <t xml:space="preserve">BTU|- Lane 1 - Rabu|18:00</t>
  </si>
  <si>
    <t xml:space="preserve">BTU|- Lane 1 - Kamis|18:00</t>
  </si>
  <si>
    <t xml:space="preserve">BTU|- Lane 1 - Jumat|18:00</t>
  </si>
  <si>
    <t xml:space="preserve">BTU|- Lane 1 - Sabtu|18:00</t>
  </si>
  <si>
    <t xml:space="preserve">BTU|- Lane 1 - Minggu|18:00</t>
  </si>
  <si>
    <t xml:space="preserve">BTU|- Lane 2 - Senin|08:00</t>
  </si>
  <si>
    <t xml:space="preserve">BTU|- Lane 2 - Senin|08:45</t>
  </si>
  <si>
    <t xml:space="preserve">BTU|- Lane 2 - Senin|09:30</t>
  </si>
  <si>
    <t xml:space="preserve">BTU|- Lane 2 - Senin|10:15</t>
  </si>
  <si>
    <t xml:space="preserve">BTU|- Lane 2 - Senin|11:00</t>
  </si>
  <si>
    <t xml:space="preserve">BTU|- Lane 2 - Senin|11:45</t>
  </si>
  <si>
    <t xml:space="preserve">BTU|- Lane 2 - Senin|13:15</t>
  </si>
  <si>
    <t xml:space="preserve">BTU|- Lane 2 - Senin|14:00</t>
  </si>
  <si>
    <t xml:space="preserve">BTU|- Lane 2 - Senin|14:45</t>
  </si>
  <si>
    <t xml:space="preserve">BTU|- Lane 2 - Senin|15:30</t>
  </si>
  <si>
    <t xml:space="preserve">BTU|- Lane 2 - Senin|16:15</t>
  </si>
  <si>
    <t xml:space="preserve">BTU|- Lane 2 - Senin|17:00</t>
  </si>
  <si>
    <t xml:space="preserve">BTU|- Lane 2 - Selasa|08:00</t>
  </si>
  <si>
    <t xml:space="preserve">BTU|- Lane 2 - Selasa|08:45</t>
  </si>
  <si>
    <t xml:space="preserve">BTU|- Lane 2 - Selasa|09:30</t>
  </si>
  <si>
    <t xml:space="preserve">BTU|- Lane 2 - Selasa|10:15</t>
  </si>
  <si>
    <t xml:space="preserve">BTU|- Lane 2 - Selasa|11:00</t>
  </si>
  <si>
    <t xml:space="preserve">BTU|- Lane 2 - Selasa|11:45</t>
  </si>
  <si>
    <t xml:space="preserve">BTU|- Lane 2 - Selasa|13:15</t>
  </si>
  <si>
    <t xml:space="preserve">BTU|- Lane 2 - Selasa|14:00</t>
  </si>
  <si>
    <t xml:space="preserve">BTU|- Lane 2 - Selasa|14:45</t>
  </si>
  <si>
    <t xml:space="preserve">BTU|- Lane 2 - Selasa|15:30</t>
  </si>
  <si>
    <t xml:space="preserve">BTU|- Lane 2 - Selasa|16:15</t>
  </si>
  <si>
    <t xml:space="preserve">BTU|- Lane 2 - Selasa|17:00</t>
  </si>
  <si>
    <t xml:space="preserve">BTU|- Lane 2 - Rabu|08:00</t>
  </si>
  <si>
    <t xml:space="preserve">BTU|- Lane 2 - Rabu|08:45</t>
  </si>
  <si>
    <t xml:space="preserve">BTU|- Lane 2 - Rabu|09:30</t>
  </si>
  <si>
    <t xml:space="preserve">BTU|- Lane 2 - Rabu|10:15</t>
  </si>
  <si>
    <t xml:space="preserve">BTU|- Lane 2 - Rabu|11:00</t>
  </si>
  <si>
    <t xml:space="preserve">BTU|- Lane 2 - Rabu|11:45</t>
  </si>
  <si>
    <t xml:space="preserve">BTU|- Lane 2 - Rabu|13:15</t>
  </si>
  <si>
    <t xml:space="preserve">BTU|- Lane 2 - Rabu|14:00</t>
  </si>
  <si>
    <t xml:space="preserve">BTU|- Lane 2 - Rabu|14:45</t>
  </si>
  <si>
    <t xml:space="preserve">BTU|- Lane 2 - Rabu|15:30</t>
  </si>
  <si>
    <t xml:space="preserve">BTU|- Lane 2 - Rabu|16:15</t>
  </si>
  <si>
    <t xml:space="preserve">BTU|- Lane 2 - Rabu|17:00</t>
  </si>
  <si>
    <t xml:space="preserve">BTU|- Lane 2 - Kamis|08:00</t>
  </si>
  <si>
    <t xml:space="preserve">BTU|- Lane 2 - Kamis|08:45</t>
  </si>
  <si>
    <t xml:space="preserve">BTU|- Lane 2 - Kamis|09:30</t>
  </si>
  <si>
    <t xml:space="preserve">BTU|- Lane 2 - Kamis|10:15</t>
  </si>
  <si>
    <t xml:space="preserve">BTU|- Lane 2 - Kamis|11:00</t>
  </si>
  <si>
    <t xml:space="preserve">BTU|- Lane 2 - Kamis|11:45</t>
  </si>
  <si>
    <t xml:space="preserve">BTU|- Lane 2 - Kamis|13:15</t>
  </si>
  <si>
    <t xml:space="preserve">BTU|- Lane 2 - Kamis|14:00</t>
  </si>
  <si>
    <t xml:space="preserve">BTU|- Lane 2 - Kamis|14:45</t>
  </si>
  <si>
    <t xml:space="preserve">BTU|- Lane 2 - Kamis|15:30</t>
  </si>
  <si>
    <t xml:space="preserve">BTU|- Lane 2 - Kamis|16:15</t>
  </si>
  <si>
    <t xml:space="preserve">BTU|- Lane 2 - Kamis|17:00</t>
  </si>
  <si>
    <t xml:space="preserve">BTU|- Lane 2 - Jumat|08:00</t>
  </si>
  <si>
    <t xml:space="preserve">BTU|- Lane 2 - Jumat|08:45</t>
  </si>
  <si>
    <t xml:space="preserve">BTU|- Lane 2 - Jumat|09:30</t>
  </si>
  <si>
    <t xml:space="preserve">BTU|- Lane 2 - Jumat|10:15</t>
  </si>
  <si>
    <t xml:space="preserve">BTU|- Lane 2 - Jumat|11:00</t>
  </si>
  <si>
    <t xml:space="preserve">BTU|- Lane 2 - Jumat|11:45</t>
  </si>
  <si>
    <t xml:space="preserve">BTU|- Lane 2 - Jumat|13:15</t>
  </si>
  <si>
    <t xml:space="preserve">BTU|- Lane 2 - Jumat|14:00</t>
  </si>
  <si>
    <t xml:space="preserve">BTU|- Lane 2 - Jumat|14:45</t>
  </si>
  <si>
    <t xml:space="preserve">BTU|- Lane 2 - Jumat|15:30</t>
  </si>
  <si>
    <t xml:space="preserve">BTU|- Lane 2 - Jumat|16:15</t>
  </si>
  <si>
    <t xml:space="preserve">BTU|- Lane 2 - Jumat|17:00</t>
  </si>
  <si>
    <t xml:space="preserve">BTU|- Lane 2 - Sabtu|08:00</t>
  </si>
  <si>
    <t xml:space="preserve">BTU|- Lane 2 - Sabtu|08:45</t>
  </si>
  <si>
    <t xml:space="preserve">BTU|- Lane 2 - Sabtu|09:30</t>
  </si>
  <si>
    <t xml:space="preserve">BTU|- Lane 2 - Sabtu|10:15</t>
  </si>
  <si>
    <t xml:space="preserve">BTU|- Lane 2 - Sabtu|11:00</t>
  </si>
  <si>
    <t xml:space="preserve">BTU|- Lane 2 - Sabtu|11:45</t>
  </si>
  <si>
    <t xml:space="preserve">BTU|- Lane 2 - Sabtu|13:15</t>
  </si>
  <si>
    <t xml:space="preserve">BTU|- Lane 2 - Sabtu|14:00</t>
  </si>
  <si>
    <t xml:space="preserve">BTU|- Lane 2 - Sabtu|14:45</t>
  </si>
  <si>
    <t xml:space="preserve">BTU|- Lane 2 - Sabtu|15:30</t>
  </si>
  <si>
    <t xml:space="preserve">BTU|- Lane 2 - Sabtu|16:15</t>
  </si>
  <si>
    <t xml:space="preserve">BTU|- Lane 2 - Sabtu|17:00</t>
  </si>
  <si>
    <t xml:space="preserve">BTU|- Lane 2 - Minggu|08:00</t>
  </si>
  <si>
    <t xml:space="preserve">BTU|- Lane 2 - Minggu|08:45</t>
  </si>
  <si>
    <t xml:space="preserve">BTU|- Lane 2 - Minggu|09:30</t>
  </si>
  <si>
    <t xml:space="preserve">BTU|- Lane 2 - Minggu|10:15</t>
  </si>
  <si>
    <t xml:space="preserve">BTU|- Lane 2 - Minggu|11:00</t>
  </si>
  <si>
    <t xml:space="preserve">BTU|- Lane 2 - Minggu|11:45</t>
  </si>
  <si>
    <t xml:space="preserve">BTU|- Lane 2 - Minggu|13:15</t>
  </si>
  <si>
    <t xml:space="preserve">BTU|- Lane 2 - Minggu|14:00</t>
  </si>
  <si>
    <t xml:space="preserve">BTU|- Lane 2 - Minggu|14:45</t>
  </si>
  <si>
    <t xml:space="preserve">BTU|- Lane 2 - Minggu|15:30</t>
  </si>
  <si>
    <t xml:space="preserve">BTU|- Lane 2 - Minggu|16:15</t>
  </si>
  <si>
    <t xml:space="preserve">BTU|- Lane 2 - Minggu|17:00</t>
  </si>
  <si>
    <t xml:space="preserve">BTU|- Lane 3 - Senin|08:15</t>
  </si>
  <si>
    <t xml:space="preserve">BTU|- Lane 3 - Senin|09:00</t>
  </si>
  <si>
    <t xml:space="preserve">BTU|- Lane 3 - Senin|09:45</t>
  </si>
  <si>
    <t xml:space="preserve">BTU|- Lane 3 - Senin|10:30</t>
  </si>
  <si>
    <t xml:space="preserve">BTU|- Lane 3 - Senin|11:15</t>
  </si>
  <si>
    <t xml:space="preserve">BTU|- Lane 3 - Senin|12:00</t>
  </si>
  <si>
    <t xml:space="preserve">BTU|- Lane 3 - Senin|13:30</t>
  </si>
  <si>
    <t xml:space="preserve">BTU|- Lane 3 - Senin|14:15</t>
  </si>
  <si>
    <t xml:space="preserve">BTU|- Lane 3 - Senin|15:00</t>
  </si>
  <si>
    <t xml:space="preserve">BTU|- Lane 3 - Senin|15:45</t>
  </si>
  <si>
    <t xml:space="preserve">BTU|- Lane 3 - Senin|16:30</t>
  </si>
  <si>
    <t xml:space="preserve">BTU|- Lane 3 - Senin|17:15</t>
  </si>
  <si>
    <t xml:space="preserve">BTU|- Lane 3 - Selasa|08:15</t>
  </si>
  <si>
    <t xml:space="preserve">BTU|- Lane 3 - Selasa|09:00</t>
  </si>
  <si>
    <t xml:space="preserve">BTU|- Lane 3 - Selasa|09:45</t>
  </si>
  <si>
    <t xml:space="preserve">BTU|- Lane 3 - Selasa|10:30</t>
  </si>
  <si>
    <t xml:space="preserve">BTU|- Lane 3 - Selasa|11:15</t>
  </si>
  <si>
    <t xml:space="preserve">BTU|- Lane 3 - Selasa|12:00</t>
  </si>
  <si>
    <t xml:space="preserve">BTU|- Lane 3 - Selasa|13:30</t>
  </si>
  <si>
    <t xml:space="preserve">BTU|- Lane 3 - Selasa|14:15</t>
  </si>
  <si>
    <t xml:space="preserve">BTU|- Lane 3 - Selasa|15:00</t>
  </si>
  <si>
    <t xml:space="preserve">BTU|- Lane 3 - Selasa|15:45</t>
  </si>
  <si>
    <t xml:space="preserve">BTU|- Lane 3 - Selasa|16:30</t>
  </si>
  <si>
    <t xml:space="preserve">BTU|- Lane 3 - Selasa|17:15</t>
  </si>
  <si>
    <t xml:space="preserve">BTU|- Lane 3 - Rabu|08:15</t>
  </si>
  <si>
    <t xml:space="preserve">BTU|- Lane 3 - Rabu|09:00</t>
  </si>
  <si>
    <t xml:space="preserve">BTU|- Lane 3 - Rabu|09:45</t>
  </si>
  <si>
    <t xml:space="preserve">BTU|- Lane 3 - Rabu|10:30</t>
  </si>
  <si>
    <t xml:space="preserve">BTU|- Lane 3 - Rabu|11:15</t>
  </si>
  <si>
    <t xml:space="preserve">BTU|- Lane 3 - Rabu|12:00</t>
  </si>
  <si>
    <t xml:space="preserve">BTU|- Lane 3 - Rabu|13:30</t>
  </si>
  <si>
    <t xml:space="preserve">BTU|- Lane 3 - Rabu|14:15</t>
  </si>
  <si>
    <t xml:space="preserve">BTU|- Lane 3 - Rabu|15:00</t>
  </si>
  <si>
    <t xml:space="preserve">BTU|- Lane 3 - Rabu|15:45</t>
  </si>
  <si>
    <t xml:space="preserve">BTU|- Lane 3 - Rabu|16:30</t>
  </si>
  <si>
    <t xml:space="preserve">BTU|- Lane 3 - Rabu|17:15</t>
  </si>
  <si>
    <t xml:space="preserve">Little - Lane 3 - Kamis - 08:15</t>
  </si>
  <si>
    <t xml:space="preserve">BTU|- Lane 3 - Kamis|08:15</t>
  </si>
  <si>
    <t xml:space="preserve">BTU|- Lane 3 - Kamis|09:00</t>
  </si>
  <si>
    <t xml:space="preserve">BTU|- Lane 3 - Kamis|09:45</t>
  </si>
  <si>
    <t xml:space="preserve">BTU|- Lane 3 - Kamis|10:30</t>
  </si>
  <si>
    <t xml:space="preserve">BTU|- Lane 3 - Kamis|11:15</t>
  </si>
  <si>
    <t xml:space="preserve">BTU|- Lane 3 - Kamis|12:00</t>
  </si>
  <si>
    <t xml:space="preserve">BTU|- Lane 3 - Kamis|13:30</t>
  </si>
  <si>
    <t xml:space="preserve">BTU|- Lane 3 - Kamis|14:15</t>
  </si>
  <si>
    <t xml:space="preserve">BTU|- Lane 3 - Kamis|15:00</t>
  </si>
  <si>
    <t xml:space="preserve">BTU|- Lane 3 - Kamis|15:45</t>
  </si>
  <si>
    <t xml:space="preserve">BTU|- Lane 3 - Kamis|16:30</t>
  </si>
  <si>
    <t xml:space="preserve">BTU|- Lane 3 - Kamis|17:15</t>
  </si>
  <si>
    <t xml:space="preserve">BTU|- Lane 3 - Jumat|08:15</t>
  </si>
  <si>
    <t xml:space="preserve">BTU|- Lane 3 - Jumat|09:00</t>
  </si>
  <si>
    <t xml:space="preserve">BTU|- Lane 3 - Jumat|09:45</t>
  </si>
  <si>
    <t xml:space="preserve">BTU|- Lane 3 - Jumat|10:30</t>
  </si>
  <si>
    <t xml:space="preserve">BTU|- Lane 3 - Jumat|11:15</t>
  </si>
  <si>
    <t xml:space="preserve">BTU|- Lane 3 - Jumat|12:00</t>
  </si>
  <si>
    <t xml:space="preserve">BTU|- Lane 3 - Jumat|13:30</t>
  </si>
  <si>
    <t xml:space="preserve">BTU|- Lane 3 - Jumat|14:15</t>
  </si>
  <si>
    <t xml:space="preserve">BTU|- Lane 3 - Jumat|15:00</t>
  </si>
  <si>
    <t xml:space="preserve">BTU|- Lane 3 - Jumat|15:45</t>
  </si>
  <si>
    <t xml:space="preserve">BTU|- Lane 3 - Jumat|16:30</t>
  </si>
  <si>
    <t xml:space="preserve">BTU|- Lane 3 - Jumat|17:15</t>
  </si>
  <si>
    <t xml:space="preserve">BTU|- Lane 3 - Sabtu|08:15</t>
  </si>
  <si>
    <t xml:space="preserve">BTU|- Lane 3 - Sabtu|09:00</t>
  </si>
  <si>
    <t xml:space="preserve">BTU|- Lane 3 - Sabtu|09:45</t>
  </si>
  <si>
    <t xml:space="preserve">BTU|- Lane 3 - Sabtu|10:30</t>
  </si>
  <si>
    <t xml:space="preserve">BTU|- Lane 3 - Sabtu|11:15</t>
  </si>
  <si>
    <t xml:space="preserve">BTU|- Lane 3 - Sabtu|12:00</t>
  </si>
  <si>
    <t xml:space="preserve">BTU|- Lane 3 - Sabtu|13:30</t>
  </si>
  <si>
    <t xml:space="preserve">BTU|- Lane 3 - Sabtu|14:15</t>
  </si>
  <si>
    <t xml:space="preserve">BTU|- Lane 3 - Sabtu|15:00</t>
  </si>
  <si>
    <t xml:space="preserve">BTU|- Lane 3 - Sabtu|15:45</t>
  </si>
  <si>
    <t xml:space="preserve">BTU|- Lane 3 - Sabtu|16:30</t>
  </si>
  <si>
    <t xml:space="preserve">BTU|- Lane 3 - Sabtu|17:15</t>
  </si>
  <si>
    <t xml:space="preserve">BTU|- Lane 3 - Minggu|08:15</t>
  </si>
  <si>
    <t xml:space="preserve">BTU|- Lane 3 - Minggu|09:00</t>
  </si>
  <si>
    <t xml:space="preserve">BTU|- Lane 3 - Minggu|09:45</t>
  </si>
  <si>
    <t xml:space="preserve">BTU|- Lane 3 - Minggu|10:30</t>
  </si>
  <si>
    <t xml:space="preserve">BTU|- Lane 3 - Minggu|11:15</t>
  </si>
  <si>
    <t xml:space="preserve">BTU|- Lane 3 - Minggu|12:00</t>
  </si>
  <si>
    <t xml:space="preserve">BTU|- Lane 3 - Minggu|13:30</t>
  </si>
  <si>
    <t xml:space="preserve">BTU|- Lane 3 - Minggu|14:15</t>
  </si>
  <si>
    <t xml:space="preserve">BTU|- Lane 3 - Minggu|15:00</t>
  </si>
  <si>
    <t xml:space="preserve">Shofi </t>
  </si>
  <si>
    <t xml:space="preserve">BTU|- Lane 3 - Minggu|15:45</t>
  </si>
  <si>
    <t xml:space="preserve">BTU|- Lane 3 - Minggu|16:30</t>
  </si>
  <si>
    <t xml:space="preserve">BTU|- Lane 3 - Minggu|17:15</t>
  </si>
  <si>
    <t xml:space="preserve">BTU|- Lane 4 - Senin|08:15</t>
  </si>
  <si>
    <t xml:space="preserve">BTU|- Lane 4 - Senin|09:00</t>
  </si>
  <si>
    <t xml:space="preserve">BTU|- Lane 4 - Senin|09:45</t>
  </si>
  <si>
    <t xml:space="preserve">BTU|- Lane 4 - Senin|10:30</t>
  </si>
  <si>
    <t xml:space="preserve">BTU|- Lane 4 - Senin|11:15</t>
  </si>
  <si>
    <t xml:space="preserve">BTU|- Lane 4 - Senin|12:00</t>
  </si>
  <si>
    <t xml:space="preserve">BTU|- Lane 4 - Senin|13:30</t>
  </si>
  <si>
    <t xml:space="preserve">BTU|- Lane 4 - Senin|14:15</t>
  </si>
  <si>
    <t xml:space="preserve">BTU|- Lane 4 - Senin|15:00</t>
  </si>
  <si>
    <t xml:space="preserve">BTU|- Lane 4 - Senin|15:45</t>
  </si>
  <si>
    <t xml:space="preserve">BTU|- Lane 4 - Senin|16:30</t>
  </si>
  <si>
    <t xml:space="preserve">BTU|- Lane 4 - Senin|17:15</t>
  </si>
  <si>
    <t xml:space="preserve">BTU|- Lane 4 - Selasa|08:15</t>
  </si>
  <si>
    <t xml:space="preserve">BTU|- Lane 4 - Selasa|09:00</t>
  </si>
  <si>
    <t xml:space="preserve">BTU|- Lane 4 - Selasa|09:45</t>
  </si>
  <si>
    <t xml:space="preserve">BTU|- Lane 4 - Selasa|10:30</t>
  </si>
  <si>
    <t xml:space="preserve">BTU|- Lane 4 - Selasa|11:15</t>
  </si>
  <si>
    <t xml:space="preserve">BTU|- Lane 4 - Selasa|12:00</t>
  </si>
  <si>
    <t xml:space="preserve">BTU|- Lane 4 - Selasa|13:30</t>
  </si>
  <si>
    <t xml:space="preserve">BTU|- Lane 4 - Selasa|14:15</t>
  </si>
  <si>
    <t xml:space="preserve">BTU|- Lane 4 - Selasa|15:00</t>
  </si>
  <si>
    <t xml:space="preserve">BTU|- Lane 4 - Selasa|15:45</t>
  </si>
  <si>
    <t xml:space="preserve">BTU|- Lane 4 - Selasa|16:30</t>
  </si>
  <si>
    <t xml:space="preserve">BTU|- Lane 4 - Selasa|17:15</t>
  </si>
  <si>
    <t xml:space="preserve">BTU|- Lane 4 - Rabu|08:15</t>
  </si>
  <si>
    <t xml:space="preserve">BTU|- Lane 4 - Rabu|09:00</t>
  </si>
  <si>
    <t xml:space="preserve">BTU|- Lane 4 - Rabu|09:45</t>
  </si>
  <si>
    <t xml:space="preserve">BTU|- Lane 4 - Rabu|10:30</t>
  </si>
  <si>
    <t xml:space="preserve">BTU|- Lane 4 - Rabu|11:15</t>
  </si>
  <si>
    <t xml:space="preserve">BTU|- Lane 4 - Rabu|12:00</t>
  </si>
  <si>
    <t xml:space="preserve">BTU|- Lane 4 - Rabu|13:30</t>
  </si>
  <si>
    <t xml:space="preserve">BTU|- Lane 4 - Rabu|14:15</t>
  </si>
  <si>
    <t xml:space="preserve">BTU|- Lane 4 - Rabu|15:00</t>
  </si>
  <si>
    <t xml:space="preserve">BTU|- Lane 4 - Rabu|15:45</t>
  </si>
  <si>
    <t xml:space="preserve">BTU|- Lane 4 - Rabu|16:30</t>
  </si>
  <si>
    <t xml:space="preserve">BTU|- Lane 4 - Rabu|17:15</t>
  </si>
  <si>
    <t xml:space="preserve">BTU|- Lane 4 - Kamis|08:15</t>
  </si>
  <si>
    <t xml:space="preserve">BTU|- Lane 4 - Kamis|09:00</t>
  </si>
  <si>
    <t xml:space="preserve">BTU|- Lane 4 - Kamis|09:45</t>
  </si>
  <si>
    <t xml:space="preserve">BTU|- Lane 4 - Kamis|10:30</t>
  </si>
  <si>
    <t xml:space="preserve">BTU|- Lane 4 - Kamis|11:15</t>
  </si>
  <si>
    <t xml:space="preserve">BTU|- Lane 4 - Kamis|12:00</t>
  </si>
  <si>
    <t xml:space="preserve">BTU|- Lane 4 - Kamis|13:30</t>
  </si>
  <si>
    <t xml:space="preserve">BTU|- Lane 4 - Kamis|14:15</t>
  </si>
  <si>
    <t xml:space="preserve">BTU|- Lane 4 - Kamis|15:00</t>
  </si>
  <si>
    <t xml:space="preserve">BTU|- Lane 4 - Kamis|15:45</t>
  </si>
  <si>
    <t xml:space="preserve">BTU|- Lane 4 - Kamis|16:30</t>
  </si>
  <si>
    <t xml:space="preserve">BTU|- Lane 4 - Kamis|17:15</t>
  </si>
  <si>
    <t xml:space="preserve">BTU|- Lane 4 - Jumat|08:15</t>
  </si>
  <si>
    <t xml:space="preserve">BTU|- Lane 4 - Jumat|09:00</t>
  </si>
  <si>
    <t xml:space="preserve">BTU|- Lane 4 - Jumat|09:45</t>
  </si>
  <si>
    <t xml:space="preserve">BTU|- Lane 4 - Jumat|10:30</t>
  </si>
  <si>
    <t xml:space="preserve">BTU|- Lane 4 - Jumat|11:15</t>
  </si>
  <si>
    <t xml:space="preserve">BTU|- Lane 4 - Jumat|12:00</t>
  </si>
  <si>
    <t xml:space="preserve">BTU|- Lane 4 - Jumat|13:30</t>
  </si>
  <si>
    <t xml:space="preserve">BTU|- Lane 4 - Jumat|14:15</t>
  </si>
  <si>
    <t xml:space="preserve">BTU|- Lane 4 - Jumat|15:00</t>
  </si>
  <si>
    <t xml:space="preserve">BTU|- Lane 4 - Jumat|15:45</t>
  </si>
  <si>
    <t xml:space="preserve">BTU|- Lane 4 - Jumat|16:30</t>
  </si>
  <si>
    <t xml:space="preserve">BTU|- Lane 4 - Jumat|17:15</t>
  </si>
  <si>
    <t xml:space="preserve">BTU|- Lane 4 - Sabtu|08:15</t>
  </si>
  <si>
    <t xml:space="preserve">BTU|- Lane 4 - Sabtu|09:00</t>
  </si>
  <si>
    <t xml:space="preserve">BTU|- Lane 4 - Sabtu|09:45</t>
  </si>
  <si>
    <t xml:space="preserve">BTU|- Lane 4 - Sabtu|10:30</t>
  </si>
  <si>
    <t xml:space="preserve">BTU|- Lane 4 - Sabtu|11:15</t>
  </si>
  <si>
    <t xml:space="preserve">BTU|- Lane 4 - Sabtu|12:00</t>
  </si>
  <si>
    <t xml:space="preserve">BTU|- Lane 4 - Sabtu|13:30</t>
  </si>
  <si>
    <t xml:space="preserve">BTU|- Lane 4 - Sabtu|14:15</t>
  </si>
  <si>
    <t xml:space="preserve">BTU|- Lane 4 - Sabtu|15:00</t>
  </si>
  <si>
    <t xml:space="preserve">BTU|- Lane 4 - Sabtu|15:45</t>
  </si>
  <si>
    <t xml:space="preserve">BTU|- Lane 4 - Sabtu|16:30</t>
  </si>
  <si>
    <t xml:space="preserve">BTU|- Lane 4 - Sabtu|17:15</t>
  </si>
  <si>
    <t xml:space="preserve">BTU|- Lane 4 - Minggu|08:15</t>
  </si>
  <si>
    <t xml:space="preserve">BTU|- Lane 4 - Minggu|09:00</t>
  </si>
  <si>
    <t xml:space="preserve">BTU|- Lane 4 - Minggu|09:45</t>
  </si>
  <si>
    <t xml:space="preserve">BTU|- Lane 4 - Minggu|10:30</t>
  </si>
  <si>
    <t xml:space="preserve">BTU|- Lane 4 - Minggu|11:15</t>
  </si>
  <si>
    <t xml:space="preserve">BTU|- Lane 4 - Minggu|12:00</t>
  </si>
  <si>
    <t xml:space="preserve">BTU|- Lane 4 - Minggu|13:30</t>
  </si>
  <si>
    <t xml:space="preserve">BTU|- Lane 4 - Minggu|14:15</t>
  </si>
  <si>
    <t xml:space="preserve">BTU|- Lane 4 - Minggu|15:00</t>
  </si>
  <si>
    <t xml:space="preserve">BTU|- Lane 4 - Minggu|15:45</t>
  </si>
  <si>
    <t xml:space="preserve">BTU|- Lane 4 - Minggu|16:30</t>
  </si>
  <si>
    <t xml:space="preserve">BTU|- Lane 4 - Minggu|17:15</t>
  </si>
  <si>
    <t xml:space="preserve">BTU|- Lane 5 - Senin|08:00</t>
  </si>
  <si>
    <t xml:space="preserve">BTU|- Lane 5 - Senin|08:45</t>
  </si>
  <si>
    <t xml:space="preserve">BTU|- Lane 5 - Senin|09:30</t>
  </si>
  <si>
    <t xml:space="preserve">BTU|- Lane 5 - Senin|10:15</t>
  </si>
  <si>
    <t xml:space="preserve">BTU|- Lane 5 - Senin|11:00</t>
  </si>
  <si>
    <t xml:space="preserve">BTU|- Lane 5 - Senin|11:45</t>
  </si>
  <si>
    <t xml:space="preserve">BTU|- Lane 5 - Senin|13:15</t>
  </si>
  <si>
    <t xml:space="preserve">BTU|- Lane 5 - Senin|14:00</t>
  </si>
  <si>
    <t xml:space="preserve">BTU|- Lane 5 - Senin|14:45</t>
  </si>
  <si>
    <t xml:space="preserve">BTU|- Lane 5 - Senin|15:30</t>
  </si>
  <si>
    <t xml:space="preserve"> - Lane 5 - Senin - 16:15</t>
  </si>
  <si>
    <t xml:space="preserve">BTU|- Lane 5 - Senin|16:15</t>
  </si>
  <si>
    <t xml:space="preserve">BTU|- Lane 5 - Senin|17:00</t>
  </si>
  <si>
    <t xml:space="preserve">BTU|- Lane 5 - Selasa|08:00</t>
  </si>
  <si>
    <t xml:space="preserve">BTU|- Lane 5 - Selasa|08:45</t>
  </si>
  <si>
    <t xml:space="preserve">BTU|- Lane 5 - Selasa|09:30</t>
  </si>
  <si>
    <t xml:space="preserve">BTU|- Lane 5 - Selasa|10:15</t>
  </si>
  <si>
    <t xml:space="preserve">BTU|- Lane 5 - Selasa|11:00</t>
  </si>
  <si>
    <t xml:space="preserve">BTU|- Lane 5 - Selasa|11:45</t>
  </si>
  <si>
    <t xml:space="preserve">BTU|- Lane 5 - Selasa|13:15</t>
  </si>
  <si>
    <t xml:space="preserve">BTU|- Lane 5 - Selasa|14:00</t>
  </si>
  <si>
    <t xml:space="preserve">BTU|- Lane 5 - Selasa|14:45</t>
  </si>
  <si>
    <t xml:space="preserve">BTU|- Lane 5 - Selasa|15:30</t>
  </si>
  <si>
    <t xml:space="preserve"> - Lane 5 - Selasa - 16:15</t>
  </si>
  <si>
    <t xml:space="preserve">BTU|- Lane 5 - Selasa|16:15</t>
  </si>
  <si>
    <t xml:space="preserve"> - Lane 5 - Selasa - 17:00</t>
  </si>
  <si>
    <t xml:space="preserve">BTU|- Lane 5 - Selasa|17:00</t>
  </si>
  <si>
    <t xml:space="preserve">BTU|- Lane 5 - Rabu|08:00</t>
  </si>
  <si>
    <t xml:space="preserve">BTU|- Lane 5 - Rabu|08:45</t>
  </si>
  <si>
    <t xml:space="preserve">BTU|- Lane 5 - Rabu|09:30</t>
  </si>
  <si>
    <t xml:space="preserve">BTU|- Lane 5 - Rabu|10:15</t>
  </si>
  <si>
    <t xml:space="preserve">BTU|- Lane 5 - Rabu|11:00</t>
  </si>
  <si>
    <t xml:space="preserve">BTU|- Lane 5 - Rabu|11:45</t>
  </si>
  <si>
    <t xml:space="preserve">BTU|- Lane 5 - Rabu|13:15</t>
  </si>
  <si>
    <t xml:space="preserve">BTU|- Lane 5 - Rabu|14:00</t>
  </si>
  <si>
    <t xml:space="preserve">BTU|- Lane 5 - Rabu|14:45</t>
  </si>
  <si>
    <t xml:space="preserve"> - Lane 5 - Rabu - 15:30</t>
  </si>
  <si>
    <t xml:space="preserve">BTU|- Lane 5 - Rabu|15:30</t>
  </si>
  <si>
    <t xml:space="preserve">BTU|- Lane 5 - Rabu|16:15</t>
  </si>
  <si>
    <t xml:space="preserve">BTU|- Lane 5 - Rabu|17:00</t>
  </si>
  <si>
    <t xml:space="preserve">BTU|- Lane 5 - Kamis|08:00</t>
  </si>
  <si>
    <t xml:space="preserve">BTU|- Lane 5 - Kamis|08:45</t>
  </si>
  <si>
    <t xml:space="preserve">BTU|- Lane 5 - Kamis|09:30</t>
  </si>
  <si>
    <t xml:space="preserve">BTU|- Lane 5 - Kamis|10:15</t>
  </si>
  <si>
    <t xml:space="preserve">BTU|- Lane 5 - Kamis|11:00</t>
  </si>
  <si>
    <t xml:space="preserve">BTU|- Lane 5 - Kamis|11:45</t>
  </si>
  <si>
    <t xml:space="preserve">BTU|- Lane 5 - Kamis|13:15</t>
  </si>
  <si>
    <t xml:space="preserve">BTU|- Lane 5 - Kamis|14:00</t>
  </si>
  <si>
    <t xml:space="preserve">BTU|- Lane 5 - Kamis|14:45</t>
  </si>
  <si>
    <t xml:space="preserve">BTU|- Lane 5 - Kamis|15:30</t>
  </si>
  <si>
    <t xml:space="preserve">BTU|- Lane 5 - Kamis|16:15</t>
  </si>
  <si>
    <t xml:space="preserve">BTU|- Lane 5 - Kamis|17:00</t>
  </si>
  <si>
    <t xml:space="preserve">BTU|- Lane 5 - Jumat|08:00</t>
  </si>
  <si>
    <t xml:space="preserve">BTU|- Lane 5 - Jumat|08:45</t>
  </si>
  <si>
    <t xml:space="preserve">BTU|- Lane 5 - Jumat|09:30</t>
  </si>
  <si>
    <t xml:space="preserve">BTU|- Lane 5 - Jumat|10:15</t>
  </si>
  <si>
    <t xml:space="preserve">BTU|- Lane 5 - Jumat|11:00</t>
  </si>
  <si>
    <t xml:space="preserve">BTU|- Lane 5 - Jumat|11:45</t>
  </si>
  <si>
    <t xml:space="preserve">BTU|- Lane 5 - Jumat|13:15</t>
  </si>
  <si>
    <t xml:space="preserve"> - Lane 5 - Jumat - 14:00</t>
  </si>
  <si>
    <t xml:space="preserve">BTU|- Lane 5 - Jumat|14:00</t>
  </si>
  <si>
    <t xml:space="preserve"> - Lane 5 - Jumat - 14:45</t>
  </si>
  <si>
    <t xml:space="preserve">BTU|- Lane 5 - Jumat|14:45</t>
  </si>
  <si>
    <t xml:space="preserve"> - Lane 5 - Jumat - 15:30</t>
  </si>
  <si>
    <t xml:space="preserve">BTU|- Lane 5 - Jumat|15:30</t>
  </si>
  <si>
    <t xml:space="preserve"> - Lane 5 - Jumat - 16:15</t>
  </si>
  <si>
    <t xml:space="preserve">BTU|- Lane 5 - Jumat|16:15</t>
  </si>
  <si>
    <t xml:space="preserve"> - Lane 5 - Jumat - 17:00</t>
  </si>
  <si>
    <t xml:space="preserve">BTU|- Lane 5 - Jumat|17:00</t>
  </si>
  <si>
    <t xml:space="preserve">BTU|- Lane 5 - Sabtu|08:00</t>
  </si>
  <si>
    <t xml:space="preserve"> - Lane 5 - Sabtu - 08:45</t>
  </si>
  <si>
    <t xml:space="preserve">BTU|- Lane 5 - Sabtu|08:45</t>
  </si>
  <si>
    <t xml:space="preserve"> - Lane 5 - Sabtu - 09:30</t>
  </si>
  <si>
    <t xml:space="preserve">BTU|- Lane 5 - Sabtu|09:30</t>
  </si>
  <si>
    <t xml:space="preserve"> - Lane 5 - Sabtu - 10:15</t>
  </si>
  <si>
    <t xml:space="preserve">BTU|- Lane 5 - Sabtu|10:15</t>
  </si>
  <si>
    <t xml:space="preserve"> - Lane 5 - Sabtu - 11:00</t>
  </si>
  <si>
    <t xml:space="preserve">BTU|- Lane 5 - Sabtu|11:00</t>
  </si>
  <si>
    <t xml:space="preserve"> - Lane 5 - Sabtu - 11:45</t>
  </si>
  <si>
    <t xml:space="preserve">BTU|- Lane 5 - Sabtu|11:45</t>
  </si>
  <si>
    <t xml:space="preserve">BTU|- Lane 5 - Sabtu|13:15</t>
  </si>
  <si>
    <t xml:space="preserve"> - Lane 5 - Sabtu - 14:00</t>
  </si>
  <si>
    <t xml:space="preserve">BTU|- Lane 5 - Sabtu|14:00</t>
  </si>
  <si>
    <t xml:space="preserve">BTU|- Lane 5 - Sabtu|14:45</t>
  </si>
  <si>
    <t xml:space="preserve"> - Lane 5 - Sabtu - 15:30</t>
  </si>
  <si>
    <t xml:space="preserve">BTU|- Lane 5 - Sabtu|15:30</t>
  </si>
  <si>
    <t xml:space="preserve">BTU|- Lane 5 - Sabtu|16:15</t>
  </si>
  <si>
    <t xml:space="preserve"> - Lane 5 - Sabtu - 17:00</t>
  </si>
  <si>
    <t xml:space="preserve">BTU|- Lane 5 - Sabtu|17:00</t>
  </si>
  <si>
    <t xml:space="preserve">BTU|- Lane 5 - Minggu|08:00</t>
  </si>
  <si>
    <t xml:space="preserve">BTU|- Lane 5 - Minggu|08:45</t>
  </si>
  <si>
    <t xml:space="preserve"> - Lane 5 - Minggu - 09:30</t>
  </si>
  <si>
    <t xml:space="preserve">BTU|- Lane 5 - Minggu|09:30</t>
  </si>
  <si>
    <t xml:space="preserve"> - Lane 5 - Minggu - 10:15</t>
  </si>
  <si>
    <t xml:space="preserve">BTU|- Lane 5 - Minggu|10:15</t>
  </si>
  <si>
    <t xml:space="preserve">BTU|- Lane 5 - Minggu|11:00</t>
  </si>
  <si>
    <t xml:space="preserve">BTU|- Lane 5 - Minggu|11:45</t>
  </si>
  <si>
    <t xml:space="preserve">BTU|- Lane 5 - Minggu|13:15</t>
  </si>
  <si>
    <t xml:space="preserve">BTU|- Lane 5 - Minggu|14:00</t>
  </si>
  <si>
    <t xml:space="preserve">BTU|- Lane 5 - Minggu|14:45</t>
  </si>
  <si>
    <t xml:space="preserve">BTU|- Lane 5 - Minggu|15:30</t>
  </si>
  <si>
    <t xml:space="preserve"> - Lane 5 - Minggu - 16:15</t>
  </si>
  <si>
    <t xml:space="preserve">BTU|- Lane 5 - Minggu|16:15</t>
  </si>
  <si>
    <t xml:space="preserve">BTU|- Lane 5 - Minggu|17:00</t>
  </si>
  <si>
    <t xml:space="preserve">BTU|- Lane 6 - Senin|08:00</t>
  </si>
  <si>
    <t xml:space="preserve">BTU|- Lane 6 - Senin|08:45</t>
  </si>
  <si>
    <t xml:space="preserve">BTU|- Lane 6 - Senin|09:30</t>
  </si>
  <si>
    <t xml:space="preserve">BTU|- Lane 6 - Senin|10:15</t>
  </si>
  <si>
    <t xml:space="preserve">BTU|- Lane 6 - Senin|11:00</t>
  </si>
  <si>
    <t xml:space="preserve">BTU|- Lane 6 - Senin|11:45</t>
  </si>
  <si>
    <t xml:space="preserve">BTU|- Lane 6 - Senin|13:15</t>
  </si>
  <si>
    <t xml:space="preserve">BTU|- Lane 6 - Senin|14:00</t>
  </si>
  <si>
    <t xml:space="preserve">BTU|- Lane 6 - Senin|14:45</t>
  </si>
  <si>
    <t xml:space="preserve">BTU|- Lane 6 - Senin|15:30</t>
  </si>
  <si>
    <t xml:space="preserve">BTU|- Lane 6 - Senin|16:15</t>
  </si>
  <si>
    <t xml:space="preserve">BTU|- Lane 6 - Senin|17:00</t>
  </si>
  <si>
    <t xml:space="preserve">BTU|- Lane 6 - Selasa|08:00</t>
  </si>
  <si>
    <t xml:space="preserve">BTU|- Lane 6 - Selasa|08:45</t>
  </si>
  <si>
    <t xml:space="preserve">BTU|- Lane 6 - Selasa|09:30</t>
  </si>
  <si>
    <t xml:space="preserve">BTU|- Lane 6 - Selasa|10:15</t>
  </si>
  <si>
    <t xml:space="preserve">BTU|- Lane 6 - Selasa|11:00</t>
  </si>
  <si>
    <t xml:space="preserve">BTU|- Lane 6 - Selasa|11:45</t>
  </si>
  <si>
    <t xml:space="preserve">BTU|- Lane 6 - Selasa|13:15</t>
  </si>
  <si>
    <t xml:space="preserve">BTU|- Lane 6 - Selasa|14:00</t>
  </si>
  <si>
    <t xml:space="preserve">BTU|- Lane 6 - Selasa|14:45</t>
  </si>
  <si>
    <t xml:space="preserve">BTU|- Lane 6 - Selasa|15:30</t>
  </si>
  <si>
    <t xml:space="preserve">BTU|- Lane 6 - Selasa|16:15</t>
  </si>
  <si>
    <t xml:space="preserve">BTU|- Lane 6 - Selasa|17:00</t>
  </si>
  <si>
    <t xml:space="preserve">BTU|- Lane 6 - Rabu|08:00</t>
  </si>
  <si>
    <t xml:space="preserve">BTU|- Lane 6 - Rabu|08:45</t>
  </si>
  <si>
    <t xml:space="preserve">BTU|- Lane 6 - Rabu|09:30</t>
  </si>
  <si>
    <t xml:space="preserve">BTU|- Lane 6 - Rabu|10:15</t>
  </si>
  <si>
    <t xml:space="preserve">BTU|- Lane 6 - Rabu|11:00</t>
  </si>
  <si>
    <t xml:space="preserve">BTU|- Lane 6 - Rabu|11:45</t>
  </si>
  <si>
    <t xml:space="preserve">BTU|- Lane 6 - Rabu|13:15</t>
  </si>
  <si>
    <t xml:space="preserve">BTU|- Lane 6 - Rabu|14:00</t>
  </si>
  <si>
    <t xml:space="preserve">BTU|- Lane 6 - Rabu|14:45</t>
  </si>
  <si>
    <t xml:space="preserve">BTU|- Lane 6 - Rabu|15:30</t>
  </si>
  <si>
    <t xml:space="preserve">BTU|- Lane 6 - Rabu|16:15</t>
  </si>
  <si>
    <t xml:space="preserve">BTU|- Lane 6 - Rabu|17:00</t>
  </si>
  <si>
    <t xml:space="preserve">BTU|- Lane 6 - Kamis|08:00</t>
  </si>
  <si>
    <t xml:space="preserve">BTU|- Lane 6 - Kamis|08:45</t>
  </si>
  <si>
    <t xml:space="preserve">BTU|- Lane 6 - Kamis|09:30</t>
  </si>
  <si>
    <t xml:space="preserve">BTU|- Lane 6 - Kamis|10:15</t>
  </si>
  <si>
    <t xml:space="preserve">BTU|- Lane 6 - Kamis|11:00</t>
  </si>
  <si>
    <t xml:space="preserve">BTU|- Lane 6 - Kamis|11:45</t>
  </si>
  <si>
    <t xml:space="preserve">BTU|- Lane 6 - Kamis|13:15</t>
  </si>
  <si>
    <t xml:space="preserve">BTU|- Lane 6 - Kamis|14:00</t>
  </si>
  <si>
    <t xml:space="preserve">BTU|- Lane 6 - Kamis|14:45</t>
  </si>
  <si>
    <t xml:space="preserve">BTU|- Lane 6 - Kamis|15:30</t>
  </si>
  <si>
    <t xml:space="preserve">BTU|- Lane 6 - Kamis|16:15</t>
  </si>
  <si>
    <t xml:space="preserve">BTU|- Lane 6 - Kamis|17:00</t>
  </si>
  <si>
    <t xml:space="preserve">BTU|- Lane 6 - Jumat|08:00</t>
  </si>
  <si>
    <t xml:space="preserve">BTU|- Lane 6 - Jumat|08:45</t>
  </si>
  <si>
    <t xml:space="preserve">BTU|- Lane 6 - Jumat|09:30</t>
  </si>
  <si>
    <t xml:space="preserve">BTU|- Lane 6 - Jumat|10:15</t>
  </si>
  <si>
    <t xml:space="preserve">BTU|- Lane 6 - Jumat|11:00</t>
  </si>
  <si>
    <t xml:space="preserve">BTU|- Lane 6 - Jumat|11:45</t>
  </si>
  <si>
    <t xml:space="preserve">BTU|- Lane 6 - Jumat|13:15</t>
  </si>
  <si>
    <t xml:space="preserve">BTU|- Lane 6 - Jumat|14:00</t>
  </si>
  <si>
    <t xml:space="preserve">BTU|- Lane 6 - Jumat|14:45</t>
  </si>
  <si>
    <t xml:space="preserve">BTU|- Lane 6 - Jumat|15:30</t>
  </si>
  <si>
    <t xml:space="preserve">BTU|- Lane 6 - Jumat|16:15</t>
  </si>
  <si>
    <t xml:space="preserve">BTU|- Lane 6 - Jumat|17:00</t>
  </si>
  <si>
    <t xml:space="preserve">BTU|- Lane 6 - Sabtu|08:00</t>
  </si>
  <si>
    <t xml:space="preserve">BTU|- Lane 6 - Sabtu|08:45</t>
  </si>
  <si>
    <t xml:space="preserve">BTU|- Lane 6 - Sabtu|09:30</t>
  </si>
  <si>
    <t xml:space="preserve">BTU|- Lane 6 - Sabtu|10:15</t>
  </si>
  <si>
    <t xml:space="preserve">BTU|- Lane 6 - Sabtu|11:00</t>
  </si>
  <si>
    <t xml:space="preserve">BTU|- Lane 6 - Sabtu|11:45</t>
  </si>
  <si>
    <t xml:space="preserve">BTU|- Lane 6 - Sabtu|13:15</t>
  </si>
  <si>
    <t xml:space="preserve">BTU|- Lane 6 - Sabtu|14:00</t>
  </si>
  <si>
    <t xml:space="preserve">BTU|- Lane 6 - Sabtu|14:45</t>
  </si>
  <si>
    <t xml:space="preserve">BTU|- Lane 6 - Sabtu|15:30</t>
  </si>
  <si>
    <t xml:space="preserve">BTU|- Lane 6 - Sabtu|16:15</t>
  </si>
  <si>
    <t xml:space="preserve">BTU|- Lane 6 - Sabtu|17:00</t>
  </si>
  <si>
    <t xml:space="preserve">BTU|- Lane 6 - Minggu|08:00</t>
  </si>
  <si>
    <t xml:space="preserve">BTU|- Lane 6 - Minggu|08:45</t>
  </si>
  <si>
    <t xml:space="preserve">BTU|- Lane 6 - Minggu|09:30</t>
  </si>
  <si>
    <t xml:space="preserve">BTU|- Lane 6 - Minggu|10:15</t>
  </si>
  <si>
    <t xml:space="preserve">BTU|- Lane 6 - Minggu|11:00</t>
  </si>
  <si>
    <t xml:space="preserve">BTU|- Lane 6 - Minggu|11:45</t>
  </si>
  <si>
    <t xml:space="preserve">BTU|- Lane 6 - Minggu|13:15</t>
  </si>
  <si>
    <t xml:space="preserve">BTU|- Lane 6 - Minggu|14:00</t>
  </si>
  <si>
    <t xml:space="preserve">BTU|- Lane 6 - Minggu|14:45</t>
  </si>
  <si>
    <t xml:space="preserve">BTU|- Lane 6 - Minggu|15:30</t>
  </si>
  <si>
    <t xml:space="preserve">BTU|- Lane 6 - Minggu|16:15</t>
  </si>
  <si>
    <t xml:space="preserve">BTU|- Lane 6 - Minggu|17:00</t>
  </si>
  <si>
    <t xml:space="preserve">HIB|- Lane 1 - Senin|08:00</t>
  </si>
  <si>
    <t xml:space="preserve">HIB|- Lane 1 - Senin|08:45</t>
  </si>
  <si>
    <t xml:space="preserve">HIB|- Lane 1 - Senin|09:30</t>
  </si>
  <si>
    <t xml:space="preserve">HIB|- Lane 1 - Senin|10:15</t>
  </si>
  <si>
    <t xml:space="preserve">HIB|- Lane 1 - Senin|11:00</t>
  </si>
  <si>
    <t xml:space="preserve">HIB|- Lane 1 - Senin|11:45</t>
  </si>
  <si>
    <t xml:space="preserve">HIB|- Lane 1 - Senin|13:15</t>
  </si>
  <si>
    <t xml:space="preserve">HIB|- Lane 1 - Senin|14:00</t>
  </si>
  <si>
    <t xml:space="preserve">HIB|- Lane 1 - Senin|14:45</t>
  </si>
  <si>
    <t xml:space="preserve">HIB|- Lane 1 - Senin|15:30</t>
  </si>
  <si>
    <t xml:space="preserve">HIB|- Lane 1 - Senin|16:15</t>
  </si>
  <si>
    <t xml:space="preserve">HIB|- Lane 1 - Senin|17:00</t>
  </si>
  <si>
    <t xml:space="preserve">HIB|- Lane 1 - Selasa|08:00</t>
  </si>
  <si>
    <t xml:space="preserve">HIB|- Lane 1 - Selasa|08:45</t>
  </si>
  <si>
    <t xml:space="preserve">HIB|- Lane 1 - Selasa|09:30</t>
  </si>
  <si>
    <t xml:space="preserve">HIB|- Lane 1 - Selasa|10:15</t>
  </si>
  <si>
    <t xml:space="preserve">SHABRINA</t>
  </si>
  <si>
    <t xml:space="preserve">HIB|- Lane 1 - Selasa|11:00</t>
  </si>
  <si>
    <t xml:space="preserve">HIB|- Lane 1 - Selasa|11:45</t>
  </si>
  <si>
    <t xml:space="preserve">HIB|- Lane 1 - Selasa|13:15</t>
  </si>
  <si>
    <t xml:space="preserve">HIB|- Lane 1 - Selasa|14:00</t>
  </si>
  <si>
    <t xml:space="preserve">HIB|- Lane 1 - Selasa|14:45</t>
  </si>
  <si>
    <t xml:space="preserve">HIB|- Lane 1 - Selasa|15:30</t>
  </si>
  <si>
    <t xml:space="preserve">HIB|- Lane 1 - Selasa|16:15</t>
  </si>
  <si>
    <t xml:space="preserve">HIB|- Lane 1 - Selasa|17:00</t>
  </si>
  <si>
    <t xml:space="preserve">HIB|- Lane 1 - Rabu|08:00</t>
  </si>
  <si>
    <t xml:space="preserve">HIB|- Lane 1 - Rabu|08:45</t>
  </si>
  <si>
    <t xml:space="preserve">HIB|- Lane 1 - Rabu|09:30</t>
  </si>
  <si>
    <t xml:space="preserve">HIB|- Lane 1 - Rabu|10:15</t>
  </si>
  <si>
    <t xml:space="preserve">RIZKY</t>
  </si>
  <si>
    <t xml:space="preserve">HIB|- Lane 1 - Rabu|11:00</t>
  </si>
  <si>
    <t xml:space="preserve">HIB|- Lane 1 - Rabu|11:45</t>
  </si>
  <si>
    <t xml:space="preserve">HIB|- Lane 1 - Rabu|13:15</t>
  </si>
  <si>
    <t xml:space="preserve">HIB|- Lane 1 - Rabu|14:00</t>
  </si>
  <si>
    <t xml:space="preserve">HIB|- Lane 1 - Rabu|14:45</t>
  </si>
  <si>
    <t xml:space="preserve">HIB|- Lane 1 - Rabu|15:30</t>
  </si>
  <si>
    <t xml:space="preserve">HIB|- Lane 1 - Rabu|16:15</t>
  </si>
  <si>
    <t xml:space="preserve">HIB|- Lane 1 - Rabu|17:00</t>
  </si>
  <si>
    <t xml:space="preserve">HIB|- Lane 1 - Kamis|08:00</t>
  </si>
  <si>
    <t xml:space="preserve">HIB|- Lane 1 - Kamis|08:45</t>
  </si>
  <si>
    <t xml:space="preserve">HIB|- Lane 1 - Kamis|09:30</t>
  </si>
  <si>
    <t xml:space="preserve">HIB|- Lane 1 - Kamis|10:15</t>
  </si>
  <si>
    <t xml:space="preserve">HIB|- Lane 1 - Kamis|11:00</t>
  </si>
  <si>
    <t xml:space="preserve">HIB|- Lane 1 - Kamis|11:45</t>
  </si>
  <si>
    <t xml:space="preserve">HIB|- Lane 1 - Kamis|13:15</t>
  </si>
  <si>
    <t xml:space="preserve">HIB|- Lane 1 - Kamis|14:00</t>
  </si>
  <si>
    <t xml:space="preserve">HIB|- Lane 1 - Kamis|14:45</t>
  </si>
  <si>
    <t xml:space="preserve">HIB|- Lane 1 - Kamis|15:30</t>
  </si>
  <si>
    <t xml:space="preserve">HIB|- Lane 1 - Kamis|16:15</t>
  </si>
  <si>
    <t xml:space="preserve">HIB|- Lane 1 - Kamis|17:00</t>
  </si>
  <si>
    <t xml:space="preserve">HIB|- Lane 1 - Jumat|08:00</t>
  </si>
  <si>
    <t xml:space="preserve">HIB|- Lane 1 - Jumat|08:45</t>
  </si>
  <si>
    <t xml:space="preserve">HIB|- Lane 1 - Jumat|09:30</t>
  </si>
  <si>
    <t xml:space="preserve">HIB|- Lane 1 - Jumat|10:15</t>
  </si>
  <si>
    <t xml:space="preserve">HIB|- Lane 1 - Jumat|11:00</t>
  </si>
  <si>
    <t xml:space="preserve">HIB|- Lane 1 - Jumat|11:45</t>
  </si>
  <si>
    <t xml:space="preserve">HIB|- Lane 1 - Jumat|13:15</t>
  </si>
  <si>
    <t xml:space="preserve">HIB|- Lane 1 - Jumat|14:00</t>
  </si>
  <si>
    <t xml:space="preserve">HIB|- Lane 1 - Jumat|14:45</t>
  </si>
  <si>
    <t xml:space="preserve">HIB|- Lane 1 - Jumat|15:30</t>
  </si>
  <si>
    <t xml:space="preserve">HIB|- Lane 1 - Jumat|16:15</t>
  </si>
  <si>
    <t xml:space="preserve">HIB|- Lane 1 - Jumat|17:00</t>
  </si>
  <si>
    <t xml:space="preserve">HIB|- Lane 1 - Sabtu|08:00</t>
  </si>
  <si>
    <t xml:space="preserve">HIB|- Lane 1 - Sabtu|08:45</t>
  </si>
  <si>
    <t xml:space="preserve">HIB|- Lane 1 - Sabtu|09:30</t>
  </si>
  <si>
    <t xml:space="preserve">HIB|- Lane 1 - Sabtu|10:15</t>
  </si>
  <si>
    <t xml:space="preserve">HIB|- Lane 1 - Sabtu|11:00</t>
  </si>
  <si>
    <t xml:space="preserve">HIB|- Lane 1 - Sabtu|11:45</t>
  </si>
  <si>
    <t xml:space="preserve">HIB|- Lane 1 - Sabtu|13:15</t>
  </si>
  <si>
    <t xml:space="preserve">HIB|- Lane 1 - Sabtu|14:00</t>
  </si>
  <si>
    <t xml:space="preserve">HIB|- Lane 1 - Sabtu|14:45</t>
  </si>
  <si>
    <t xml:space="preserve">HIB|- Lane 1 - Sabtu|15:30</t>
  </si>
  <si>
    <t xml:space="preserve">HIB|- Lane 1 - Sabtu|16:15</t>
  </si>
  <si>
    <t xml:space="preserve">HIB|- Lane 1 - Sabtu|17:00</t>
  </si>
  <si>
    <t xml:space="preserve">HIB|- Lane 1 - Minggu|08:00</t>
  </si>
  <si>
    <t xml:space="preserve">HIB|- Lane 1 - Minggu|08:45</t>
  </si>
  <si>
    <t xml:space="preserve">HIB|- Lane 1 - Minggu|09:30</t>
  </si>
  <si>
    <t xml:space="preserve">HIB|- Lane 1 - Minggu|10:15</t>
  </si>
  <si>
    <t xml:space="preserve">HIB|- Lane 1 - Minggu|11:00</t>
  </si>
  <si>
    <t xml:space="preserve">HIB|- Lane 1 - Minggu|11:45</t>
  </si>
  <si>
    <t xml:space="preserve">HIB|- Lane 1 - Minggu|13:15</t>
  </si>
  <si>
    <t xml:space="preserve">HIB|- Lane 1 - Minggu|14:00</t>
  </si>
  <si>
    <t xml:space="preserve">HIB|- Lane 1 - Minggu|14:45</t>
  </si>
  <si>
    <t xml:space="preserve">HIB|- Lane 1 - Minggu|15:30</t>
  </si>
  <si>
    <t xml:space="preserve">HIB|- Lane 1 - Minggu|16:15</t>
  </si>
  <si>
    <t xml:space="preserve">HIB|- Lane 1 - Minggu|17:00</t>
  </si>
  <si>
    <t xml:space="preserve">HIB|- Lane 1 - Senin|07:30</t>
  </si>
  <si>
    <t xml:space="preserve">HIB|- Lane 1 - Selasa|07:30</t>
  </si>
  <si>
    <t xml:space="preserve">HIB|- Lane 1 - Rabu|07:30</t>
  </si>
  <si>
    <t xml:space="preserve">HIB|- Lane 1 - Kamis|07:30</t>
  </si>
  <si>
    <t xml:space="preserve">HIB|- Lane 1 - Jumat|07:30</t>
  </si>
  <si>
    <t xml:space="preserve">HIB|- Lane 1 - Sabtu|07:30</t>
  </si>
  <si>
    <t xml:space="preserve">HIB|- Lane 1 - Minggu|07:30</t>
  </si>
  <si>
    <t xml:space="preserve">HIB|- Lane 1 - Senin|18:00</t>
  </si>
  <si>
    <t xml:space="preserve">HIB|- Lane 1 - Selasa|18:00</t>
  </si>
  <si>
    <t xml:space="preserve">HIB|- Lane 1 - Rabu|18:00</t>
  </si>
  <si>
    <t xml:space="preserve">HIB|- Lane 1 - Kamis|18:00</t>
  </si>
  <si>
    <t xml:space="preserve">HIB|- Lane 1 - Jumat|18:00</t>
  </si>
  <si>
    <t xml:space="preserve">HIB|- Lane 1 - Sabtu|18:00</t>
  </si>
  <si>
    <t xml:space="preserve">HIB|- Lane 1 - Minggu|18:00</t>
  </si>
  <si>
    <t xml:space="preserve">HIB|- Lane 2 - Senin|08:00</t>
  </si>
  <si>
    <t xml:space="preserve">HIB|- Lane 2 - Senin|08:45</t>
  </si>
  <si>
    <t xml:space="preserve">HIB|- Lane 2 - Senin|09:30</t>
  </si>
  <si>
    <t xml:space="preserve">HIB|- Lane 2 - Senin|10:15</t>
  </si>
  <si>
    <t xml:space="preserve">HIB|- Lane 2 - Senin|11:00</t>
  </si>
  <si>
    <t xml:space="preserve">HIB|- Lane 2 - Senin|11:45</t>
  </si>
  <si>
    <t xml:space="preserve">HIB|- Lane 2 - Senin|13:15</t>
  </si>
  <si>
    <t xml:space="preserve">HIB|- Lane 2 - Senin|14:00</t>
  </si>
  <si>
    <t xml:space="preserve">HIB|- Lane 2 - Senin|14:45</t>
  </si>
  <si>
    <t xml:space="preserve">HIB|- Lane 2 - Senin|15:30</t>
  </si>
  <si>
    <t xml:space="preserve">HIB|- Lane 2 - Senin|16:15</t>
  </si>
  <si>
    <t xml:space="preserve">HIB|- Lane 2 - Senin|17:00</t>
  </si>
  <si>
    <t xml:space="preserve">HIB|- Lane 2 - Selasa|08:00</t>
  </si>
  <si>
    <t xml:space="preserve">HIB|- Lane 2 - Selasa|08:45</t>
  </si>
  <si>
    <t xml:space="preserve">HIB|- Lane 2 - Selasa|09:30</t>
  </si>
  <si>
    <t xml:space="preserve">HIB|- Lane 2 - Selasa|10:15</t>
  </si>
  <si>
    <t xml:space="preserve">HIB|- Lane 2 - Selasa|11:00</t>
  </si>
  <si>
    <t xml:space="preserve">HIB|- Lane 2 - Selasa|11:45</t>
  </si>
  <si>
    <t xml:space="preserve">HIB|- Lane 2 - Selasa|13:15</t>
  </si>
  <si>
    <t xml:space="preserve">HIB|- Lane 2 - Selasa|14:00</t>
  </si>
  <si>
    <t xml:space="preserve">HIB|- Lane 2 - Selasa|14:45</t>
  </si>
  <si>
    <t xml:space="preserve">HIB|- Lane 2 - Selasa|15:30</t>
  </si>
  <si>
    <t xml:space="preserve">HIB|- Lane 2 - Selasa|16:15</t>
  </si>
  <si>
    <t xml:space="preserve">HIB|- Lane 2 - Selasa|17:00</t>
  </si>
  <si>
    <t xml:space="preserve">HIB|- Lane 2 - Rabu|08:00</t>
  </si>
  <si>
    <t xml:space="preserve">HIB|- Lane 2 - Rabu|08:45</t>
  </si>
  <si>
    <t xml:space="preserve">HIB|- Lane 2 - Rabu|09:30</t>
  </si>
  <si>
    <t xml:space="preserve">HIB|- Lane 2 - Rabu|10:15</t>
  </si>
  <si>
    <t xml:space="preserve">HIB|- Lane 2 - Rabu|11:00</t>
  </si>
  <si>
    <t xml:space="preserve">HIB|- Lane 2 - Rabu|11:45</t>
  </si>
  <si>
    <t xml:space="preserve">HIB|- Lane 2 - Rabu|13:15</t>
  </si>
  <si>
    <t xml:space="preserve">HIB|- Lane 2 - Rabu|14:00</t>
  </si>
  <si>
    <t xml:space="preserve">HIB|- Lane 2 - Rabu|14:45</t>
  </si>
  <si>
    <t xml:space="preserve">HIB|- Lane 2 - Rabu|15:30</t>
  </si>
  <si>
    <t xml:space="preserve">HIB|- Lane 2 - Rabu|16:15</t>
  </si>
  <si>
    <t xml:space="preserve">HIB|- Lane 2 - Rabu|17:00</t>
  </si>
  <si>
    <t xml:space="preserve">HIB|- Lane 2 - Kamis|08:00</t>
  </si>
  <si>
    <t xml:space="preserve">HIB|- Lane 2 - Kamis|08:45</t>
  </si>
  <si>
    <t xml:space="preserve">HIB|- Lane 2 - Kamis|09:30</t>
  </si>
  <si>
    <t xml:space="preserve">HIB|- Lane 2 - Kamis|10:15</t>
  </si>
  <si>
    <t xml:space="preserve">HIB|- Lane 2 - Kamis|11:00</t>
  </si>
  <si>
    <t xml:space="preserve">HIB|- Lane 2 - Kamis|11:45</t>
  </si>
  <si>
    <t xml:space="preserve">HIB|- Lane 2 - Kamis|13:15</t>
  </si>
  <si>
    <t xml:space="preserve">HIB|- Lane 2 - Kamis|14:00</t>
  </si>
  <si>
    <t xml:space="preserve">HIB|- Lane 2 - Kamis|14:45</t>
  </si>
  <si>
    <t xml:space="preserve">HIB|- Lane 2 - Kamis|15:30</t>
  </si>
  <si>
    <t xml:space="preserve">HIB|- Lane 2 - Kamis|16:15</t>
  </si>
  <si>
    <t xml:space="preserve">HIB|- Lane 2 - Kamis|17:00</t>
  </si>
  <si>
    <t xml:space="preserve">HIB|- Lane 2 - Jumat|08:00</t>
  </si>
  <si>
    <t xml:space="preserve">HIB|- Lane 2 - Jumat|08:45</t>
  </si>
  <si>
    <t xml:space="preserve">HIB|- Lane 2 - Jumat|09:30</t>
  </si>
  <si>
    <t xml:space="preserve">HIB|- Lane 2 - Jumat|10:15</t>
  </si>
  <si>
    <t xml:space="preserve">HIB|- Lane 2 - Jumat|11:00</t>
  </si>
  <si>
    <t xml:space="preserve">HIB|- Lane 2 - Jumat|11:45</t>
  </si>
  <si>
    <t xml:space="preserve">HIB|- Lane 2 - Jumat|13:15</t>
  </si>
  <si>
    <t xml:space="preserve">HIB|- Lane 2 - Jumat|14:00</t>
  </si>
  <si>
    <t xml:space="preserve">HIB|- Lane 2 - Jumat|14:45</t>
  </si>
  <si>
    <t xml:space="preserve">HIB|- Lane 2 - Jumat|15:30</t>
  </si>
  <si>
    <t xml:space="preserve">HIB|- Lane 2 - Jumat|16:15</t>
  </si>
  <si>
    <t xml:space="preserve">HIB|- Lane 2 - Jumat|17:00</t>
  </si>
  <si>
    <t xml:space="preserve">HIB|- Lane 2 - Sabtu|08:00</t>
  </si>
  <si>
    <t xml:space="preserve">HIB|- Lane 2 - Sabtu|08:45</t>
  </si>
  <si>
    <t xml:space="preserve">HIB|- Lane 2 - Sabtu|09:30</t>
  </si>
  <si>
    <t xml:space="preserve">HIB|- Lane 2 - Sabtu|10:15</t>
  </si>
  <si>
    <t xml:space="preserve">HIB|- Lane 2 - Sabtu|11:00</t>
  </si>
  <si>
    <t xml:space="preserve">HIB|- Lane 2 - Sabtu|11:45</t>
  </si>
  <si>
    <t xml:space="preserve">HIB|- Lane 2 - Sabtu|13:15</t>
  </si>
  <si>
    <t xml:space="preserve">HIB|- Lane 2 - Sabtu|14:00</t>
  </si>
  <si>
    <t xml:space="preserve">HIB|- Lane 2 - Sabtu|14:45</t>
  </si>
  <si>
    <t xml:space="preserve">HIB|- Lane 2 - Sabtu|15:30</t>
  </si>
  <si>
    <t xml:space="preserve">HIB|- Lane 2 - Sabtu|16:15</t>
  </si>
  <si>
    <t xml:space="preserve">HIB|- Lane 2 - Sabtu|17:00</t>
  </si>
  <si>
    <t xml:space="preserve">HIB|- Lane 2 - Minggu|08:00</t>
  </si>
  <si>
    <t xml:space="preserve">HIB|- Lane 2 - Minggu|08:45</t>
  </si>
  <si>
    <t xml:space="preserve">HIB|- Lane 2 - Minggu|09:30</t>
  </si>
  <si>
    <t xml:space="preserve">HIB|- Lane 2 - Minggu|10:15</t>
  </si>
  <si>
    <t xml:space="preserve">HIB|- Lane 2 - Minggu|11:00</t>
  </si>
  <si>
    <t xml:space="preserve">HIB|- Lane 2 - Minggu|11:45</t>
  </si>
  <si>
    <t xml:space="preserve">HIB|- Lane 2 - Minggu|13:15</t>
  </si>
  <si>
    <t xml:space="preserve">HIB|- Lane 2 - Minggu|14:00</t>
  </si>
  <si>
    <t xml:space="preserve">HIB|- Lane 2 - Minggu|14:45</t>
  </si>
  <si>
    <t xml:space="preserve">HIB|- Lane 2 - Minggu|15:30</t>
  </si>
  <si>
    <t xml:space="preserve">HIB|- Lane 2 - Minggu|16:15</t>
  </si>
  <si>
    <t xml:space="preserve">HIB|- Lane 2 - Minggu|17:00</t>
  </si>
  <si>
    <t xml:space="preserve">HIB|- Lane 3 - Senin|08:15</t>
  </si>
  <si>
    <t xml:space="preserve">HIB|- Lane 3 - Senin|09:00</t>
  </si>
  <si>
    <t xml:space="preserve">SILVI</t>
  </si>
  <si>
    <t xml:space="preserve">HIB|- Lane 3 - Senin|09:45</t>
  </si>
  <si>
    <t xml:space="preserve">HIB|- Lane 3 - Senin|10:30</t>
  </si>
  <si>
    <t xml:space="preserve">HIB|- Lane 3 - Senin|11:15</t>
  </si>
  <si>
    <t xml:space="preserve">HIB|- Lane 3 - Senin|12:00</t>
  </si>
  <si>
    <t xml:space="preserve">HIB|- Lane 3 - Senin|13:30</t>
  </si>
  <si>
    <t xml:space="preserve">HIB|- Lane 3 - Senin|14:15</t>
  </si>
  <si>
    <t xml:space="preserve">HIB|- Lane 3 - Senin|15:00</t>
  </si>
  <si>
    <t xml:space="preserve">ANGGA</t>
  </si>
  <si>
    <t xml:space="preserve">HIB|- Lane 3 - Senin|15:45</t>
  </si>
  <si>
    <t xml:space="preserve">HIB|- Lane 3 - Senin|16:30</t>
  </si>
  <si>
    <t xml:space="preserve">HIB|- Lane 3 - Senin|17:15</t>
  </si>
  <si>
    <t xml:space="preserve">HIB|- Lane 3 - Selasa|08:15</t>
  </si>
  <si>
    <t xml:space="preserve">HIB|- Lane 3 - Selasa|09:00</t>
  </si>
  <si>
    <t xml:space="preserve">HIB|- Lane 3 - Selasa|09:45</t>
  </si>
  <si>
    <t xml:space="preserve">HIB|- Lane 3 - Selasa|10:30</t>
  </si>
  <si>
    <t xml:space="preserve">HIB|- Lane 3 - Selasa|11:15</t>
  </si>
  <si>
    <t xml:space="preserve">HIB|- Lane 3 - Selasa|12:00</t>
  </si>
  <si>
    <t xml:space="preserve">HIB|- Lane 3 - Selasa|13:30</t>
  </si>
  <si>
    <t xml:space="preserve">HIB|- Lane 3 - Selasa|14:15</t>
  </si>
  <si>
    <t xml:space="preserve">HIB|- Lane 3 - Selasa|15:00</t>
  </si>
  <si>
    <t xml:space="preserve">HIB|- Lane 3 - Selasa|15:45</t>
  </si>
  <si>
    <t xml:space="preserve">HIB|- Lane 3 - Selasa|16:30</t>
  </si>
  <si>
    <t xml:space="preserve">HIB|- Lane 3 - Selasa|17:15</t>
  </si>
  <si>
    <t xml:space="preserve">HIB|- Lane 3 - Rabu|08:15</t>
  </si>
  <si>
    <t xml:space="preserve">HIB|- Lane 3 - Rabu|09:00</t>
  </si>
  <si>
    <t xml:space="preserve">HIB|- Lane 3 - Rabu|09:45</t>
  </si>
  <si>
    <t xml:space="preserve">HIB|- Lane 3 - Rabu|10:30</t>
  </si>
  <si>
    <t xml:space="preserve">HIB|- Lane 3 - Rabu|11:15</t>
  </si>
  <si>
    <t xml:space="preserve">HIB|- Lane 3 - Rabu|12:00</t>
  </si>
  <si>
    <t xml:space="preserve">HIB|- Lane 3 - Rabu|13:30</t>
  </si>
  <si>
    <t xml:space="preserve">HIB|- Lane 3 - Rabu|14:15</t>
  </si>
  <si>
    <t xml:space="preserve">HIB|- Lane 3 - Rabu|15:00</t>
  </si>
  <si>
    <t xml:space="preserve">HIB|- Lane 3 - Rabu|15:45</t>
  </si>
  <si>
    <t xml:space="preserve">HIB|- Lane 3 - Rabu|16:30</t>
  </si>
  <si>
    <t xml:space="preserve">HIB|- Lane 3 - Rabu|17:15</t>
  </si>
  <si>
    <t xml:space="preserve">HIB|- Lane 3 - Kamis|08:15</t>
  </si>
  <si>
    <t xml:space="preserve">HIB|- Lane 3 - Kamis|09:00</t>
  </si>
  <si>
    <t xml:space="preserve">JUAN</t>
  </si>
  <si>
    <t xml:space="preserve">HIB|- Lane 3 - Kamis|09:45</t>
  </si>
  <si>
    <t xml:space="preserve">HIB|- Lane 3 - Kamis|10:30</t>
  </si>
  <si>
    <t xml:space="preserve">HIB|- Lane 3 - Kamis|11:15</t>
  </si>
  <si>
    <t xml:space="preserve">HIB|- Lane 3 - Kamis|12:00</t>
  </si>
  <si>
    <t xml:space="preserve">HIB|- Lane 3 - Kamis|13:30</t>
  </si>
  <si>
    <t xml:space="preserve">HIB|- Lane 3 - Kamis|14:15</t>
  </si>
  <si>
    <t xml:space="preserve">HIB|- Lane 3 - Kamis|15:00</t>
  </si>
  <si>
    <t xml:space="preserve">INDRA</t>
  </si>
  <si>
    <t xml:space="preserve">HIB|- Lane 3 - Kamis|15:45</t>
  </si>
  <si>
    <t xml:space="preserve">HIB|- Lane 3 - Kamis|16:30</t>
  </si>
  <si>
    <t xml:space="preserve">HIB|- Lane 3 - Kamis|17:15</t>
  </si>
  <si>
    <t xml:space="preserve">HIB|- Lane 3 - Jumat|08:15</t>
  </si>
  <si>
    <t xml:space="preserve">HIB|- Lane 3 - Jumat|09:00</t>
  </si>
  <si>
    <t xml:space="preserve">HIB|- Lane 3 - Jumat|09:45</t>
  </si>
  <si>
    <t xml:space="preserve">HIB|- Lane 3 - Jumat|10:30</t>
  </si>
  <si>
    <t xml:space="preserve">HIB|- Lane 3 - Jumat|11:15</t>
  </si>
  <si>
    <t xml:space="preserve">HIB|- Lane 3 - Jumat|12:00</t>
  </si>
  <si>
    <t xml:space="preserve">HIB|- Lane 3 - Jumat|13:30</t>
  </si>
  <si>
    <t xml:space="preserve">HIB|- Lane 3 - Jumat|14:15</t>
  </si>
  <si>
    <t xml:space="preserve">HIB|- Lane 3 - Jumat|15:00</t>
  </si>
  <si>
    <t xml:space="preserve">HIB|- Lane 3 - Jumat|15:45</t>
  </si>
  <si>
    <t xml:space="preserve">HIB|- Lane 3 - Jumat|16:30</t>
  </si>
  <si>
    <t xml:space="preserve">HIB|- Lane 3 - Jumat|17:15</t>
  </si>
  <si>
    <t xml:space="preserve">HIB|- Lane 3 - Sabtu|08:15</t>
  </si>
  <si>
    <t xml:space="preserve">HIB|- Lane 3 - Sabtu|09:00</t>
  </si>
  <si>
    <t xml:space="preserve">HIB|- Lane 3 - Sabtu|09:45</t>
  </si>
  <si>
    <t xml:space="preserve">HIB|- Lane 3 - Sabtu|10:30</t>
  </si>
  <si>
    <t xml:space="preserve">HIB|- Lane 3 - Sabtu|11:15</t>
  </si>
  <si>
    <t xml:space="preserve">HIB|- Lane 3 - Sabtu|12:00</t>
  </si>
  <si>
    <t xml:space="preserve">HIB|- Lane 3 - Sabtu|13:30</t>
  </si>
  <si>
    <t xml:space="preserve">HIB|- Lane 3 - Sabtu|14:15</t>
  </si>
  <si>
    <t xml:space="preserve">HIB|- Lane 3 - Sabtu|15:00</t>
  </si>
  <si>
    <t xml:space="preserve">HIB|- Lane 3 - Sabtu|15:45</t>
  </si>
  <si>
    <t xml:space="preserve">HIB|- Lane 3 - Sabtu|16:30</t>
  </si>
  <si>
    <t xml:space="preserve">HIB|- Lane 3 - Sabtu|17:15</t>
  </si>
  <si>
    <t xml:space="preserve">HIB|- Lane 3 - Minggu|08:15</t>
  </si>
  <si>
    <t xml:space="preserve">HIB|- Lane 3 - Minggu|09:00</t>
  </si>
  <si>
    <t xml:space="preserve">HIB|- Lane 3 - Minggu|09:45</t>
  </si>
  <si>
    <t xml:space="preserve">HIB|- Lane 3 - Minggu|10:30</t>
  </si>
  <si>
    <t xml:space="preserve">HIB|- Lane 3 - Minggu|11:15</t>
  </si>
  <si>
    <t xml:space="preserve">HIB|- Lane 3 - Minggu|12:00</t>
  </si>
  <si>
    <t xml:space="preserve">HIB|- Lane 3 - Minggu|13:30</t>
  </si>
  <si>
    <t xml:space="preserve">HIB|- Lane 3 - Minggu|14:15</t>
  </si>
  <si>
    <t xml:space="preserve">HIB|- Lane 3 - Minggu|15:00</t>
  </si>
  <si>
    <t xml:space="preserve">HIB|- Lane 3 - Minggu|15:45</t>
  </si>
  <si>
    <t xml:space="preserve">HIB|- Lane 3 - Minggu|16:30</t>
  </si>
  <si>
    <t xml:space="preserve">HIB|- Lane 3 - Minggu|17:15</t>
  </si>
  <si>
    <t xml:space="preserve">HIB|- Lane 4 - Senin|08:15</t>
  </si>
  <si>
    <t xml:space="preserve">HIB|- Lane 4 - Senin|09:00</t>
  </si>
  <si>
    <t xml:space="preserve">HIB|- Lane 4 - Senin|09:45</t>
  </si>
  <si>
    <t xml:space="preserve">HIB|- Lane 4 - Senin|10:30</t>
  </si>
  <si>
    <t xml:space="preserve">HIB|- Lane 4 - Senin|11:15</t>
  </si>
  <si>
    <t xml:space="preserve">HIB|- Lane 4 - Senin|12:00</t>
  </si>
  <si>
    <t xml:space="preserve">HIB|- Lane 4 - Senin|13:30</t>
  </si>
  <si>
    <t xml:space="preserve">HIB|- Lane 4 - Senin|14:15</t>
  </si>
  <si>
    <t xml:space="preserve">HIB|- Lane 4 - Senin|15:00</t>
  </si>
  <si>
    <t xml:space="preserve">HIB|- Lane 4 - Senin|15:45</t>
  </si>
  <si>
    <t xml:space="preserve">HIB|- Lane 4 - Senin|16:30</t>
  </si>
  <si>
    <t xml:space="preserve">HIB|- Lane 4 - Senin|17:15</t>
  </si>
  <si>
    <t xml:space="preserve">HIB|- Lane 4 - Selasa|08:15</t>
  </si>
  <si>
    <t xml:space="preserve">HIB|- Lane 4 - Selasa|09:00</t>
  </si>
  <si>
    <t xml:space="preserve">HIB|- Lane 4 - Selasa|09:45</t>
  </si>
  <si>
    <t xml:space="preserve">HIB|- Lane 4 - Selasa|10:30</t>
  </si>
  <si>
    <t xml:space="preserve">HIB|- Lane 4 - Selasa|11:15</t>
  </si>
  <si>
    <t xml:space="preserve">HIB|- Lane 4 - Selasa|12:00</t>
  </si>
  <si>
    <t xml:space="preserve">HIB|- Lane 4 - Selasa|13:30</t>
  </si>
  <si>
    <t xml:space="preserve">HIB|- Lane 4 - Selasa|14:15</t>
  </si>
  <si>
    <t xml:space="preserve">HIB|- Lane 4 - Selasa|15:00</t>
  </si>
  <si>
    <t xml:space="preserve">HIB|- Lane 4 - Selasa|15:45</t>
  </si>
  <si>
    <t xml:space="preserve">HIB|- Lane 4 - Selasa|16:30</t>
  </si>
  <si>
    <t xml:space="preserve">HIB|- Lane 4 - Selasa|17:15</t>
  </si>
  <si>
    <t xml:space="preserve">HIB|- Lane 4 - Rabu|08:15</t>
  </si>
  <si>
    <t xml:space="preserve">HIB|- Lane 4 - Rabu|09:00</t>
  </si>
  <si>
    <t xml:space="preserve">HIB|- Lane 4 - Rabu|09:45</t>
  </si>
  <si>
    <t xml:space="preserve">HIB|- Lane 4 - Rabu|10:30</t>
  </si>
  <si>
    <t xml:space="preserve">HIB|- Lane 4 - Rabu|11:15</t>
  </si>
  <si>
    <t xml:space="preserve">HIB|- Lane 4 - Rabu|12:00</t>
  </si>
  <si>
    <t xml:space="preserve">HIB|- Lane 4 - Rabu|13:30</t>
  </si>
  <si>
    <t xml:space="preserve">HIB|- Lane 4 - Rabu|14:15</t>
  </si>
  <si>
    <t xml:space="preserve">HIB|- Lane 4 - Rabu|15:00</t>
  </si>
  <si>
    <t xml:space="preserve">HIB|- Lane 4 - Rabu|15:45</t>
  </si>
  <si>
    <t xml:space="preserve">HIB|- Lane 4 - Rabu|16:30</t>
  </si>
  <si>
    <t xml:space="preserve">HIB|- Lane 4 - Rabu|17:15</t>
  </si>
  <si>
    <t xml:space="preserve">HIB|- Lane 4 - Kamis|08:15</t>
  </si>
  <si>
    <t xml:space="preserve">HIB|- Lane 4 - Kamis|09:00</t>
  </si>
  <si>
    <t xml:space="preserve">HIB|- Lane 4 - Kamis|09:45</t>
  </si>
  <si>
    <t xml:space="preserve">HIB|- Lane 4 - Kamis|10:30</t>
  </si>
  <si>
    <t xml:space="preserve">HIB|- Lane 4 - Kamis|11:15</t>
  </si>
  <si>
    <t xml:space="preserve">HIB|- Lane 4 - Kamis|12:00</t>
  </si>
  <si>
    <t xml:space="preserve">HIB|- Lane 4 - Kamis|13:30</t>
  </si>
  <si>
    <t xml:space="preserve">HIB|- Lane 4 - Kamis|14:15</t>
  </si>
  <si>
    <t xml:space="preserve">HIB|- Lane 4 - Kamis|15:00</t>
  </si>
  <si>
    <t xml:space="preserve">HIB|- Lane 4 - Kamis|15:45</t>
  </si>
  <si>
    <t xml:space="preserve">HIB|- Lane 4 - Kamis|16:30</t>
  </si>
  <si>
    <t xml:space="preserve">HIB|- Lane 4 - Kamis|17:15</t>
  </si>
  <si>
    <t xml:space="preserve">HIB|- Lane 4 - Jumat|08:15</t>
  </si>
  <si>
    <t xml:space="preserve">HIB|- Lane 4 - Jumat|09:00</t>
  </si>
  <si>
    <t xml:space="preserve">HIB|- Lane 4 - Jumat|09:45</t>
  </si>
  <si>
    <t xml:space="preserve">HIB|- Lane 4 - Jumat|10:30</t>
  </si>
  <si>
    <t xml:space="preserve">HIB|- Lane 4 - Jumat|11:15</t>
  </si>
  <si>
    <t xml:space="preserve">HIB|- Lane 4 - Jumat|12:00</t>
  </si>
  <si>
    <t xml:space="preserve">HIB|- Lane 4 - Jumat|13:30</t>
  </si>
  <si>
    <t xml:space="preserve">HIB|- Lane 4 - Jumat|14:15</t>
  </si>
  <si>
    <t xml:space="preserve">HIB|- Lane 4 - Jumat|15:00</t>
  </si>
  <si>
    <t xml:space="preserve">HIB|- Lane 4 - Jumat|15:45</t>
  </si>
  <si>
    <t xml:space="preserve">HIB|- Lane 4 - Jumat|16:30</t>
  </si>
  <si>
    <t xml:space="preserve">HIB|- Lane 4 - Jumat|17:15</t>
  </si>
  <si>
    <t xml:space="preserve">HIB|- Lane 4 - Sabtu|08:15</t>
  </si>
  <si>
    <t xml:space="preserve">HIB|- Lane 4 - Sabtu|09:00</t>
  </si>
  <si>
    <t xml:space="preserve">HIB|- Lane 4 - Sabtu|09:45</t>
  </si>
  <si>
    <t xml:space="preserve">HIB|- Lane 4 - Sabtu|10:30</t>
  </si>
  <si>
    <t xml:space="preserve">HIB|- Lane 4 - Sabtu|11:15</t>
  </si>
  <si>
    <t xml:space="preserve">HIB|- Lane 4 - Sabtu|12:00</t>
  </si>
  <si>
    <t xml:space="preserve">HIB|- Lane 4 - Sabtu|13:30</t>
  </si>
  <si>
    <t xml:space="preserve">HIB|- Lane 4 - Sabtu|14:15</t>
  </si>
  <si>
    <t xml:space="preserve">HIB|- Lane 4 - Sabtu|15:00</t>
  </si>
  <si>
    <t xml:space="preserve">HIB|- Lane 4 - Sabtu|15:45</t>
  </si>
  <si>
    <t xml:space="preserve">HIB|- Lane 4 - Sabtu|16:30</t>
  </si>
  <si>
    <t xml:space="preserve">HIB|- Lane 4 - Sabtu|17:15</t>
  </si>
  <si>
    <t xml:space="preserve">HIB|- Lane 4 - Minggu|08:15</t>
  </si>
  <si>
    <t xml:space="preserve">HIB|- Lane 4 - Minggu|09:00</t>
  </si>
  <si>
    <t xml:space="preserve">HIB|- Lane 4 - Minggu|09:45</t>
  </si>
  <si>
    <t xml:space="preserve">HIB|- Lane 4 - Minggu|10:30</t>
  </si>
  <si>
    <t xml:space="preserve">HIB|- Lane 4 - Minggu|11:15</t>
  </si>
  <si>
    <t xml:space="preserve">HIB|- Lane 4 - Minggu|12:00</t>
  </si>
  <si>
    <t xml:space="preserve">HIB|- Lane 4 - Minggu|13:30</t>
  </si>
  <si>
    <t xml:space="preserve">HIB|- Lane 4 - Minggu|14:15</t>
  </si>
  <si>
    <t xml:space="preserve">HIB|- Lane 4 - Minggu|15:00</t>
  </si>
  <si>
    <t xml:space="preserve">HIB|- Lane 4 - Minggu|15:45</t>
  </si>
  <si>
    <t xml:space="preserve">HIB|- Lane 4 - Minggu|16:30</t>
  </si>
  <si>
    <t xml:space="preserve">HIB|- Lane 4 - Minggu|17:15</t>
  </si>
  <si>
    <t xml:space="preserve">HIB|- Lane 5 - Senin|08:00</t>
  </si>
  <si>
    <t xml:space="preserve">HIB|- Lane 5 - Senin|08:45</t>
  </si>
  <si>
    <t xml:space="preserve">HIB|- Lane 5 - Senin|09:30</t>
  </si>
  <si>
    <t xml:space="preserve">HIB|- Lane 5 - Senin|10:15</t>
  </si>
  <si>
    <t xml:space="preserve">HIB|- Lane 5 - Senin|11:00</t>
  </si>
  <si>
    <t xml:space="preserve">HIB|- Lane 5 - Senin|11:45</t>
  </si>
  <si>
    <t xml:space="preserve">HIB|- Lane 5 - Senin|13:15</t>
  </si>
  <si>
    <t xml:space="preserve">HIB|- Lane 5 - Senin|14:00</t>
  </si>
  <si>
    <t xml:space="preserve">HIB|- Lane 5 - Senin|14:45</t>
  </si>
  <si>
    <t xml:space="preserve">HIB|- Lane 5 - Senin|15:30</t>
  </si>
  <si>
    <t xml:space="preserve">HIB|- Lane 5 - Senin|16:15</t>
  </si>
  <si>
    <t xml:space="preserve">HIB|- Lane 5 - Senin|17:00</t>
  </si>
  <si>
    <t xml:space="preserve">HIB|- Lane 5 - Selasa|08:00</t>
  </si>
  <si>
    <t xml:space="preserve">HIB|- Lane 5 - Selasa|08:45</t>
  </si>
  <si>
    <t xml:space="preserve">HIB|- Lane 5 - Selasa|09:30</t>
  </si>
  <si>
    <t xml:space="preserve">HIB|- Lane 5 - Selasa|10:15</t>
  </si>
  <si>
    <t xml:space="preserve">HIB|- Lane 5 - Selasa|11:00</t>
  </si>
  <si>
    <t xml:space="preserve">HIB|- Lane 5 - Selasa|11:45</t>
  </si>
  <si>
    <t xml:space="preserve">HIB|- Lane 5 - Selasa|13:15</t>
  </si>
  <si>
    <t xml:space="preserve">HIB|- Lane 5 - Selasa|14:00</t>
  </si>
  <si>
    <t xml:space="preserve">HIB|- Lane 5 - Selasa|14:45</t>
  </si>
  <si>
    <t xml:space="preserve">HIB|- Lane 5 - Selasa|15:30</t>
  </si>
  <si>
    <t xml:space="preserve">HIB|- Lane 5 - Selasa|16:15</t>
  </si>
  <si>
    <t xml:space="preserve">HIB|- Lane 5 - Selasa|17:00</t>
  </si>
  <si>
    <t xml:space="preserve">HIB|- Lane 5 - Rabu|08:00</t>
  </si>
  <si>
    <t xml:space="preserve">HIB|- Lane 5 - Rabu|08:45</t>
  </si>
  <si>
    <t xml:space="preserve">HIB|- Lane 5 - Rabu|09:30</t>
  </si>
  <si>
    <t xml:space="preserve">HIB|- Lane 5 - Rabu|10:15</t>
  </si>
  <si>
    <t xml:space="preserve">HIB|- Lane 5 - Rabu|11:00</t>
  </si>
  <si>
    <t xml:space="preserve">HIB|- Lane 5 - Rabu|11:45</t>
  </si>
  <si>
    <t xml:space="preserve">HIB|- Lane 5 - Rabu|13:15</t>
  </si>
  <si>
    <t xml:space="preserve">HIB|- Lane 5 - Rabu|14:00</t>
  </si>
  <si>
    <t xml:space="preserve">HIB|- Lane 5 - Rabu|14:45</t>
  </si>
  <si>
    <t xml:space="preserve">HIB|- Lane 5 - Rabu|15:30</t>
  </si>
  <si>
    <t xml:space="preserve">HIB|- Lane 5 - Rabu|16:15</t>
  </si>
  <si>
    <t xml:space="preserve">HIB|- Lane 5 - Rabu|17:00</t>
  </si>
  <si>
    <t xml:space="preserve">HIB|- Lane 5 - Kamis|08:00</t>
  </si>
  <si>
    <t xml:space="preserve">HIB|- Lane 5 - Kamis|08:45</t>
  </si>
  <si>
    <t xml:space="preserve">HIB|- Lane 5 - Kamis|09:30</t>
  </si>
  <si>
    <t xml:space="preserve">HIB|- Lane 5 - Kamis|10:15</t>
  </si>
  <si>
    <t xml:space="preserve">HIB|- Lane 5 - Kamis|11:00</t>
  </si>
  <si>
    <t xml:space="preserve">HIB|- Lane 5 - Kamis|11:45</t>
  </si>
  <si>
    <t xml:space="preserve">HIB|- Lane 5 - Kamis|13:15</t>
  </si>
  <si>
    <t xml:space="preserve">HIB|- Lane 5 - Kamis|14:00</t>
  </si>
  <si>
    <t xml:space="preserve">HIB|- Lane 5 - Kamis|14:45</t>
  </si>
  <si>
    <t xml:space="preserve">HIB|- Lane 5 - Kamis|15:30</t>
  </si>
  <si>
    <t xml:space="preserve">HIB|- Lane 5 - Kamis|16:15</t>
  </si>
  <si>
    <t xml:space="preserve">HIB|- Lane 5 - Kamis|17:00</t>
  </si>
  <si>
    <t xml:space="preserve">HIB|- Lane 5 - Jumat|08:00</t>
  </si>
  <si>
    <t xml:space="preserve">HIB|- Lane 5 - Jumat|08:45</t>
  </si>
  <si>
    <t xml:space="preserve">HIB|- Lane 5 - Jumat|09:30</t>
  </si>
  <si>
    <t xml:space="preserve">HIB|- Lane 5 - Jumat|10:15</t>
  </si>
  <si>
    <t xml:space="preserve">HIB|- Lane 5 - Jumat|11:00</t>
  </si>
  <si>
    <t xml:space="preserve">HIB|- Lane 5 - Jumat|11:45</t>
  </si>
  <si>
    <t xml:space="preserve">HIB|- Lane 5 - Jumat|13:15</t>
  </si>
  <si>
    <t xml:space="preserve">HIB|- Lane 5 - Jumat|14:00</t>
  </si>
  <si>
    <t xml:space="preserve">HIB|- Lane 5 - Jumat|14:45</t>
  </si>
  <si>
    <t xml:space="preserve">HIB|- Lane 5 - Jumat|15:30</t>
  </si>
  <si>
    <t xml:space="preserve">HIB|- Lane 5 - Jumat|16:15</t>
  </si>
  <si>
    <t xml:space="preserve">HIB|- Lane 5 - Jumat|17:00</t>
  </si>
  <si>
    <t xml:space="preserve">HIB|- Lane 5 - Sabtu|08:00</t>
  </si>
  <si>
    <t xml:space="preserve">HIB|- Lane 5 - Sabtu|08:45</t>
  </si>
  <si>
    <t xml:space="preserve">HIB|- Lane 5 - Sabtu|09:30</t>
  </si>
  <si>
    <t xml:space="preserve">HIB|- Lane 5 - Sabtu|10:15</t>
  </si>
  <si>
    <t xml:space="preserve">HIB|- Lane 5 - Sabtu|11:00</t>
  </si>
  <si>
    <t xml:space="preserve">HIB|- Lane 5 - Sabtu|11:45</t>
  </si>
  <si>
    <t xml:space="preserve">HIB|- Lane 5 - Sabtu|13:15</t>
  </si>
  <si>
    <t xml:space="preserve">HIB|- Lane 5 - Sabtu|14:00</t>
  </si>
  <si>
    <t xml:space="preserve">HIB|- Lane 5 - Sabtu|14:45</t>
  </si>
  <si>
    <t xml:space="preserve">HIB|- Lane 5 - Sabtu|15:30</t>
  </si>
  <si>
    <t xml:space="preserve">HIB|- Lane 5 - Sabtu|16:15</t>
  </si>
  <si>
    <t xml:space="preserve">HIB|- Lane 5 - Sabtu|17:00</t>
  </si>
  <si>
    <t xml:space="preserve">HIB|- Lane 5 - Minggu|08:00</t>
  </si>
  <si>
    <t xml:space="preserve">HIB|- Lane 5 - Minggu|08:45</t>
  </si>
  <si>
    <t xml:space="preserve">HIB|- Lane 5 - Minggu|09:30</t>
  </si>
  <si>
    <t xml:space="preserve">HIB|- Lane 5 - Minggu|10:15</t>
  </si>
  <si>
    <t xml:space="preserve">HIB|- Lane 5 - Minggu|11:00</t>
  </si>
  <si>
    <t xml:space="preserve">HIB|- Lane 5 - Minggu|11:45</t>
  </si>
  <si>
    <t xml:space="preserve">HIB|- Lane 5 - Minggu|13:15</t>
  </si>
  <si>
    <t xml:space="preserve">HIB|- Lane 5 - Minggu|14:00</t>
  </si>
  <si>
    <t xml:space="preserve">HIB|- Lane 5 - Minggu|14:45</t>
  </si>
  <si>
    <t xml:space="preserve">HIB|- Lane 5 - Minggu|15:30</t>
  </si>
  <si>
    <t xml:space="preserve">HIB|- Lane 5 - Minggu|16:15</t>
  </si>
  <si>
    <t xml:space="preserve">HIB|- Lane 5 - Minggu|17:00</t>
  </si>
  <si>
    <t xml:space="preserve">HIB|- Lane 6 - Senin|08:00</t>
  </si>
  <si>
    <t xml:space="preserve">HIB|- Lane 6 - Senin|08:45</t>
  </si>
  <si>
    <t xml:space="preserve">HIB|- Lane 6 - Senin|09:30</t>
  </si>
  <si>
    <t xml:space="preserve">HIB|- Lane 6 - Senin|10:15</t>
  </si>
  <si>
    <t xml:space="preserve">HIB|- Lane 6 - Senin|11:00</t>
  </si>
  <si>
    <t xml:space="preserve">HIB|- Lane 6 - Senin|11:45</t>
  </si>
  <si>
    <t xml:space="preserve">HIB|- Lane 6 - Senin|13:15</t>
  </si>
  <si>
    <t xml:space="preserve">HIB|- Lane 6 - Senin|14:00</t>
  </si>
  <si>
    <t xml:space="preserve">HIB|- Lane 6 - Senin|14:45</t>
  </si>
  <si>
    <t xml:space="preserve">HIB|- Lane 6 - Senin|15:30</t>
  </si>
  <si>
    <t xml:space="preserve">HIB|- Lane 6 - Senin|16:15</t>
  </si>
  <si>
    <t xml:space="preserve">HIB|- Lane 6 - Senin|17:00</t>
  </si>
  <si>
    <t xml:space="preserve">HIB|- Lane 6 - Selasa|08:00</t>
  </si>
  <si>
    <t xml:space="preserve">HIB|- Lane 6 - Selasa|08:45</t>
  </si>
  <si>
    <t xml:space="preserve">HIB|- Lane 6 - Selasa|09:30</t>
  </si>
  <si>
    <t xml:space="preserve">HIB|- Lane 6 - Selasa|10:15</t>
  </si>
  <si>
    <t xml:space="preserve">HIB|- Lane 6 - Selasa|11:00</t>
  </si>
  <si>
    <t xml:space="preserve">HIB|- Lane 6 - Selasa|11:45</t>
  </si>
  <si>
    <t xml:space="preserve">HIB|- Lane 6 - Selasa|13:15</t>
  </si>
  <si>
    <t xml:space="preserve">HIB|- Lane 6 - Selasa|14:00</t>
  </si>
  <si>
    <t xml:space="preserve">HIB|- Lane 6 - Selasa|14:45</t>
  </si>
  <si>
    <t xml:space="preserve">HIB|- Lane 6 - Selasa|15:30</t>
  </si>
  <si>
    <t xml:space="preserve">HIB|- Lane 6 - Selasa|16:15</t>
  </si>
  <si>
    <t xml:space="preserve">HIB|- Lane 6 - Selasa|17:00</t>
  </si>
  <si>
    <t xml:space="preserve">HIB|- Lane 6 - Rabu|08:00</t>
  </si>
  <si>
    <t xml:space="preserve">HIB|- Lane 6 - Rabu|08:45</t>
  </si>
  <si>
    <t xml:space="preserve">HIB|- Lane 6 - Rabu|09:30</t>
  </si>
  <si>
    <t xml:space="preserve">HIB|- Lane 6 - Rabu|10:15</t>
  </si>
  <si>
    <t xml:space="preserve">HIB|- Lane 6 - Rabu|11:00</t>
  </si>
  <si>
    <t xml:space="preserve">HIB|- Lane 6 - Rabu|11:45</t>
  </si>
  <si>
    <t xml:space="preserve">HIB|- Lane 6 - Rabu|13:15</t>
  </si>
  <si>
    <t xml:space="preserve">HIB|- Lane 6 - Rabu|14:00</t>
  </si>
  <si>
    <t xml:space="preserve">HIB|- Lane 6 - Rabu|14:45</t>
  </si>
  <si>
    <t xml:space="preserve">HIB|- Lane 6 - Rabu|15:30</t>
  </si>
  <si>
    <t xml:space="preserve">HIB|- Lane 6 - Rabu|16:15</t>
  </si>
  <si>
    <t xml:space="preserve">HIB|- Lane 6 - Rabu|17:00</t>
  </si>
  <si>
    <t xml:space="preserve">HIB|- Lane 6 - Kamis|08:00</t>
  </si>
  <si>
    <t xml:space="preserve">HIB|- Lane 6 - Kamis|08:45</t>
  </si>
  <si>
    <t xml:space="preserve">HIB|- Lane 6 - Kamis|09:30</t>
  </si>
  <si>
    <t xml:space="preserve">HIB|- Lane 6 - Kamis|10:15</t>
  </si>
  <si>
    <t xml:space="preserve">HIB|- Lane 6 - Kamis|11:00</t>
  </si>
  <si>
    <t xml:space="preserve">HIB|- Lane 6 - Kamis|11:45</t>
  </si>
  <si>
    <t xml:space="preserve">HIB|- Lane 6 - Kamis|13:15</t>
  </si>
  <si>
    <t xml:space="preserve">HIB|- Lane 6 - Kamis|14:00</t>
  </si>
  <si>
    <t xml:space="preserve">HIB|- Lane 6 - Kamis|14:45</t>
  </si>
  <si>
    <t xml:space="preserve">HIB|- Lane 6 - Kamis|15:30</t>
  </si>
  <si>
    <t xml:space="preserve">HIB|- Lane 6 - Kamis|16:15</t>
  </si>
  <si>
    <t xml:space="preserve">HIB|- Lane 6 - Kamis|17:00</t>
  </si>
  <si>
    <t xml:space="preserve">HIB|- Lane 6 - Jumat|08:00</t>
  </si>
  <si>
    <t xml:space="preserve">HIB|- Lane 6 - Jumat|08:45</t>
  </si>
  <si>
    <t xml:space="preserve">HIB|- Lane 6 - Jumat|09:30</t>
  </si>
  <si>
    <t xml:space="preserve">HIB|- Lane 6 - Jumat|10:15</t>
  </si>
  <si>
    <t xml:space="preserve">HIB|- Lane 6 - Jumat|11:00</t>
  </si>
  <si>
    <t xml:space="preserve">HIB|- Lane 6 - Jumat|11:45</t>
  </si>
  <si>
    <t xml:space="preserve">HIB|- Lane 6 - Jumat|13:15</t>
  </si>
  <si>
    <t xml:space="preserve">HIB|- Lane 6 - Jumat|14:00</t>
  </si>
  <si>
    <t xml:space="preserve">HIB|- Lane 6 - Jumat|14:45</t>
  </si>
  <si>
    <t xml:space="preserve">HIB|- Lane 6 - Jumat|15:30</t>
  </si>
  <si>
    <t xml:space="preserve">HIB|- Lane 6 - Jumat|16:15</t>
  </si>
  <si>
    <t xml:space="preserve">HIB|- Lane 6 - Jumat|17:00</t>
  </si>
  <si>
    <t xml:space="preserve">HIB|- Lane 6 - Sabtu|08:00</t>
  </si>
  <si>
    <t xml:space="preserve">HIB|- Lane 6 - Sabtu|08:45</t>
  </si>
  <si>
    <t xml:space="preserve">HIB|- Lane 6 - Sabtu|09:30</t>
  </si>
  <si>
    <t xml:space="preserve">HIB|- Lane 6 - Sabtu|10:15</t>
  </si>
  <si>
    <t xml:space="preserve">HIB|- Lane 6 - Sabtu|11:00</t>
  </si>
  <si>
    <t xml:space="preserve">HIB|- Lane 6 - Sabtu|11:45</t>
  </si>
  <si>
    <t xml:space="preserve">HIB|- Lane 6 - Sabtu|13:15</t>
  </si>
  <si>
    <t xml:space="preserve">HIB|- Lane 6 - Sabtu|14:00</t>
  </si>
  <si>
    <t xml:space="preserve">HIB|- Lane 6 - Sabtu|14:45</t>
  </si>
  <si>
    <t xml:space="preserve">HIB|- Lane 6 - Sabtu|15:30</t>
  </si>
  <si>
    <t xml:space="preserve">HIB|- Lane 6 - Sabtu|16:15</t>
  </si>
  <si>
    <t xml:space="preserve">HIB|- Lane 6 - Sabtu|17:00</t>
  </si>
  <si>
    <t xml:space="preserve">HIB|- Lane 6 - Minggu|08:00</t>
  </si>
  <si>
    <t xml:space="preserve">HIB|- Lane 6 - Minggu|08:45</t>
  </si>
  <si>
    <t xml:space="preserve">HIB|- Lane 6 - Minggu|09:30</t>
  </si>
  <si>
    <t xml:space="preserve">HIB|- Lane 6 - Minggu|10:15</t>
  </si>
  <si>
    <t xml:space="preserve">HIB|- Lane 6 - Minggu|11:00</t>
  </si>
  <si>
    <t xml:space="preserve">HIB|- Lane 6 - Minggu|11:45</t>
  </si>
  <si>
    <t xml:space="preserve">HIB|- Lane 6 - Minggu|13:15</t>
  </si>
  <si>
    <t xml:space="preserve">HIB|- Lane 6 - Minggu|14:00</t>
  </si>
  <si>
    <t xml:space="preserve">HIB|- Lane 6 - Minggu|14:45</t>
  </si>
  <si>
    <t xml:space="preserve">HIB|- Lane 6 - Minggu|15:30</t>
  </si>
  <si>
    <t xml:space="preserve">HIB|- Lane 6 - Minggu|16:15</t>
  </si>
  <si>
    <t xml:space="preserve">HIB|- Lane 6 - Minggu|17:00</t>
  </si>
</sst>
</file>

<file path=xl/styles.xml><?xml version="1.0" encoding="utf-8"?>
<styleSheet xmlns="http://schemas.openxmlformats.org/spreadsheetml/2006/main">
  <numFmts count="5">
    <numFmt numFmtId="164" formatCode="General"/>
    <numFmt numFmtId="165" formatCode="0%"/>
    <numFmt numFmtId="166" formatCode="General"/>
    <numFmt numFmtId="167" formatCode="@"/>
    <numFmt numFmtId="168" formatCode="0"/>
  </numFmts>
  <fonts count="28">
    <font>
      <sz val="11"/>
      <color theme="1"/>
      <name val="Calibri"/>
      <family val="2"/>
      <charset val="1"/>
    </font>
    <font>
      <sz val="10"/>
      <name val="Arial"/>
      <family val="0"/>
    </font>
    <font>
      <sz val="10"/>
      <name val="Arial"/>
      <family val="0"/>
    </font>
    <font>
      <sz val="10"/>
      <name val="Arial"/>
      <family val="0"/>
    </font>
    <font>
      <b val="true"/>
      <sz val="16"/>
      <color rgb="FF0B6475"/>
      <name val="Arial"/>
      <family val="0"/>
      <charset val="1"/>
    </font>
    <font>
      <sz val="10"/>
      <color rgb="FF6B7C82"/>
      <name val="Arial"/>
      <family val="0"/>
      <charset val="1"/>
    </font>
    <font>
      <b val="true"/>
      <sz val="12"/>
      <color rgb="FF1F2D33"/>
      <name val="Arial"/>
      <family val="0"/>
      <charset val="1"/>
    </font>
    <font>
      <b val="true"/>
      <sz val="10"/>
      <color rgb="FF1F2D33"/>
      <name val="Arial"/>
      <family val="0"/>
      <charset val="1"/>
    </font>
    <font>
      <sz val="10"/>
      <color rgb="FF1F2D33"/>
      <name val="Arial"/>
      <family val="0"/>
      <charset val="1"/>
    </font>
    <font>
      <b val="true"/>
      <sz val="10"/>
      <color rgb="FF6B7C82"/>
      <name val="Arial"/>
      <family val="0"/>
      <charset val="1"/>
    </font>
    <font>
      <b val="true"/>
      <sz val="10"/>
      <color rgb="FF0B6475"/>
      <name val="Arial"/>
      <family val="0"/>
      <charset val="1"/>
    </font>
    <font>
      <i val="true"/>
      <sz val="10"/>
      <color rgb="FF1F2D33"/>
      <name val="Arial"/>
      <family val="0"/>
      <charset val="1"/>
    </font>
    <font>
      <b val="true"/>
      <sz val="10"/>
      <color rgb="FFFFFFFF"/>
      <name val="Arial"/>
      <family val="0"/>
      <charset val="1"/>
    </font>
    <font>
      <u val="single"/>
      <sz val="10"/>
      <color rgb="FF0B6475"/>
      <name val="Arial"/>
      <family val="0"/>
      <charset val="1"/>
    </font>
    <font>
      <sz val="9"/>
      <color rgb="FF6B7C82"/>
      <name val="Arial"/>
      <family val="0"/>
      <charset val="1"/>
    </font>
    <font>
      <sz val="8"/>
      <color rgb="FF6B7C82"/>
      <name val="Arial"/>
      <family val="0"/>
      <charset val="1"/>
    </font>
    <font>
      <b val="true"/>
      <sz val="9"/>
      <color rgb="FF6B7C82"/>
      <name val="Arial"/>
      <family val="0"/>
      <charset val="1"/>
    </font>
    <font>
      <b val="true"/>
      <sz val="9"/>
      <color rgb="FF1F2D33"/>
      <name val="Arial"/>
      <family val="0"/>
      <charset val="1"/>
    </font>
    <font>
      <b val="true"/>
      <sz val="15"/>
      <color rgb="FF1F2D33"/>
      <name val="Arial"/>
      <family val="0"/>
      <charset val="1"/>
    </font>
    <font>
      <b val="true"/>
      <sz val="8"/>
      <color rgb="FF1F2D33"/>
      <name val="Arial"/>
      <family val="0"/>
      <charset val="1"/>
    </font>
    <font>
      <b val="true"/>
      <sz val="12"/>
      <color rgb="FFFFFFFF"/>
      <name val="Arial"/>
      <family val="0"/>
      <charset val="1"/>
    </font>
    <font>
      <sz val="9"/>
      <color rgb="FF1F2D33"/>
      <name val="Arial"/>
      <family val="0"/>
      <charset val="1"/>
    </font>
    <font>
      <b val="true"/>
      <sz val="8"/>
      <color rgb="FF6B7C82"/>
      <name val="Arial"/>
      <family val="0"/>
      <charset val="1"/>
    </font>
    <font>
      <i val="true"/>
      <sz val="8"/>
      <color rgb="FF6B7C82"/>
      <name val="Arial"/>
      <family val="0"/>
      <charset val="1"/>
    </font>
    <font>
      <b val="true"/>
      <sz val="13"/>
      <color rgb="FFFFFFFF"/>
      <name val="Arial"/>
      <family val="0"/>
      <charset val="1"/>
    </font>
    <font>
      <i val="true"/>
      <sz val="9"/>
      <color rgb="FF6B7C82"/>
      <name val="Arial"/>
      <family val="0"/>
      <charset val="1"/>
    </font>
    <font>
      <b val="true"/>
      <sz val="9"/>
      <color rgb="FFFFFFFF"/>
      <name val="Arial"/>
      <family val="0"/>
      <charset val="1"/>
    </font>
    <font>
      <b val="true"/>
      <sz val="10"/>
      <color rgb="FFB03A2E"/>
      <name val="Arial"/>
      <family val="0"/>
      <charset val="1"/>
    </font>
  </fonts>
  <fills count="22">
    <fill>
      <patternFill patternType="none"/>
    </fill>
    <fill>
      <patternFill patternType="gray125"/>
    </fill>
    <fill>
      <patternFill patternType="solid">
        <fgColor rgb="FFF8C9C0"/>
        <bgColor rgb="FFF7DBE6"/>
      </patternFill>
    </fill>
    <fill>
      <patternFill patternType="solid">
        <fgColor rgb="FFFFE3A6"/>
        <bgColor rgb="FFFDE7C4"/>
      </patternFill>
    </fill>
    <fill>
      <patternFill patternType="solid">
        <fgColor rgb="FFE3F1F4"/>
        <bgColor rgb="FFEAF4F6"/>
      </patternFill>
    </fill>
    <fill>
      <patternFill patternType="solid">
        <fgColor rgb="FFBFE3C8"/>
        <bgColor rgb="FFC4E1E6"/>
      </patternFill>
    </fill>
    <fill>
      <patternFill patternType="solid">
        <fgColor rgb="FFE2D4F5"/>
        <bgColor rgb="FFD5DDDF"/>
      </patternFill>
    </fill>
    <fill>
      <patternFill patternType="solid">
        <fgColor rgb="FFE4E4E4"/>
        <bgColor rgb="FFDBE4FB"/>
      </patternFill>
    </fill>
    <fill>
      <patternFill patternType="solid">
        <fgColor rgb="FFFFF4B8"/>
        <bgColor rgb="FFFDE7C4"/>
      </patternFill>
    </fill>
    <fill>
      <patternFill patternType="solid">
        <fgColor rgb="FF0B6475"/>
        <bgColor rgb="FF0D6B3A"/>
      </patternFill>
    </fill>
    <fill>
      <patternFill patternType="solid">
        <fgColor rgb="FFDCEDF0"/>
        <bgColor rgb="FFE3F1F4"/>
      </patternFill>
    </fill>
    <fill>
      <patternFill patternType="solid">
        <fgColor rgb="FFEAF4F6"/>
        <bgColor rgb="FFF0F4F5"/>
      </patternFill>
    </fill>
    <fill>
      <patternFill patternType="solid">
        <fgColor rgb="FFC4E1E6"/>
        <bgColor rgb="FFD5DDDF"/>
      </patternFill>
    </fill>
    <fill>
      <patternFill patternType="solid">
        <fgColor rgb="FFF7DBE6"/>
        <bgColor rgb="FFF1E2FA"/>
      </patternFill>
    </fill>
    <fill>
      <patternFill patternType="solid">
        <fgColor rgb="FFFDE7C4"/>
        <bgColor rgb="FFFFE3A6"/>
      </patternFill>
    </fill>
    <fill>
      <patternFill patternType="solid">
        <fgColor rgb="FFD6EFDC"/>
        <bgColor rgb="FFDCEDF0"/>
      </patternFill>
    </fill>
    <fill>
      <patternFill patternType="solid">
        <fgColor rgb="FFDBE4FB"/>
        <bgColor rgb="FFDCEDF0"/>
      </patternFill>
    </fill>
    <fill>
      <patternFill patternType="solid">
        <fgColor rgb="FFF1E2FA"/>
        <bgColor rgb="FFF7DBE6"/>
      </patternFill>
    </fill>
    <fill>
      <patternFill patternType="solid">
        <fgColor rgb="FFF0F4F5"/>
        <bgColor rgb="FFEAF4F6"/>
      </patternFill>
    </fill>
    <fill>
      <patternFill patternType="solid">
        <fgColor rgb="FFB03A2E"/>
        <bgColor rgb="FF993366"/>
      </patternFill>
    </fill>
    <fill>
      <patternFill patternType="solid">
        <fgColor rgb="FF1F2D33"/>
        <bgColor rgb="FF333300"/>
      </patternFill>
    </fill>
    <fill>
      <patternFill patternType="solid">
        <fgColor rgb="FF7A5C00"/>
        <bgColor rgb="FFB03A2E"/>
      </patternFill>
    </fill>
  </fills>
  <borders count="2">
    <border diagonalUp="false" diagonalDown="false">
      <left/>
      <right/>
      <top/>
      <bottom/>
      <diagonal/>
    </border>
    <border diagonalUp="false" diagonalDown="false">
      <left style="thin">
        <color rgb="FFD5DDDF"/>
      </left>
      <right style="thin">
        <color rgb="FFD5DDDF"/>
      </right>
      <top style="thin">
        <color rgb="FFD5DDDF"/>
      </top>
      <bottom style="thin">
        <color rgb="FFD5DD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fals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6" fontId="8" fillId="0" borderId="1" xfId="0" applyFont="true" applyBorder="true" applyAlignment="true" applyProtection="false">
      <alignment horizontal="center" vertical="bottom" textRotation="0" wrapText="false" indent="0" shrinkToFit="false"/>
      <protection locked="true" hidden="false"/>
    </xf>
    <xf numFmtId="166" fontId="8" fillId="2" borderId="1" xfId="0" applyFont="true" applyBorder="true" applyAlignment="true" applyProtection="false">
      <alignment horizontal="center" vertical="bottom" textRotation="0" wrapText="false" indent="0" shrinkToFit="false"/>
      <protection locked="true" hidden="false"/>
    </xf>
    <xf numFmtId="166" fontId="8" fillId="3"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7" fillId="10" borderId="1" xfId="0" applyFont="true" applyBorder="true" applyAlignment="true" applyProtection="false">
      <alignment horizontal="left" vertical="bottom" textRotation="0" wrapText="false" indent="0" shrinkToFit="false"/>
      <protection locked="true" hidden="false"/>
    </xf>
    <xf numFmtId="165" fontId="7" fillId="10" borderId="1" xfId="0" applyFont="true" applyBorder="true" applyAlignment="true" applyProtection="false">
      <alignment horizontal="center" vertical="bottom" textRotation="0" wrapText="false" indent="0" shrinkToFit="false"/>
      <protection locked="true" hidden="false"/>
    </xf>
    <xf numFmtId="166" fontId="7" fillId="10" borderId="1"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10" borderId="1" xfId="0" applyFont="true" applyBorder="true" applyAlignment="false" applyProtection="false">
      <alignment horizontal="general" vertical="bottom" textRotation="0" wrapText="false" indent="0" shrinkToFit="false"/>
      <protection locked="true" hidden="false"/>
    </xf>
    <xf numFmtId="164" fontId="17" fillId="2" borderId="1" xfId="0" applyFont="true" applyBorder="true" applyAlignment="false" applyProtection="false">
      <alignment horizontal="general" vertical="bottom" textRotation="0" wrapText="false" indent="0" shrinkToFit="false"/>
      <protection locked="true" hidden="false"/>
    </xf>
    <xf numFmtId="164" fontId="17" fillId="3" borderId="1" xfId="0" applyFont="true" applyBorder="true" applyAlignment="false" applyProtection="false">
      <alignment horizontal="general" vertical="bottom" textRotation="0" wrapText="false" indent="0" shrinkToFit="false"/>
      <protection locked="true" hidden="false"/>
    </xf>
    <xf numFmtId="164" fontId="17" fillId="5"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false" applyProtection="false">
      <alignment horizontal="general" vertical="bottom" textRotation="0" wrapText="false" indent="0" shrinkToFit="false"/>
      <protection locked="true" hidden="false"/>
    </xf>
    <xf numFmtId="164" fontId="17" fillId="7" borderId="1" xfId="0" applyFont="true" applyBorder="true" applyAlignment="false" applyProtection="false">
      <alignment horizontal="general" vertical="bottom" textRotation="0" wrapText="false" indent="0" shrinkToFit="false"/>
      <protection locked="true" hidden="false"/>
    </xf>
    <xf numFmtId="165" fontId="18" fillId="10" borderId="1" xfId="0" applyFont="true" applyBorder="true" applyAlignment="true" applyProtection="false">
      <alignment horizontal="left" vertical="bottom" textRotation="0" wrapText="false" indent="0" shrinkToFit="false"/>
      <protection locked="true" hidden="false"/>
    </xf>
    <xf numFmtId="167" fontId="18" fillId="10" borderId="1" xfId="0" applyFont="true" applyBorder="true" applyAlignment="true" applyProtection="false">
      <alignment horizontal="left" vertical="bottom" textRotation="0" wrapText="false" indent="0" shrinkToFit="false"/>
      <protection locked="true" hidden="false"/>
    </xf>
    <xf numFmtId="168" fontId="18" fillId="2" borderId="1" xfId="0" applyFont="true" applyBorder="true" applyAlignment="true" applyProtection="false">
      <alignment horizontal="left" vertical="bottom" textRotation="0" wrapText="false" indent="0" shrinkToFit="false"/>
      <protection locked="true" hidden="false"/>
    </xf>
    <xf numFmtId="168" fontId="18" fillId="3" borderId="1" xfId="0" applyFont="true" applyBorder="true" applyAlignment="true" applyProtection="false">
      <alignment horizontal="left" vertical="bottom" textRotation="0" wrapText="false" indent="0" shrinkToFit="false"/>
      <protection locked="true" hidden="false"/>
    </xf>
    <xf numFmtId="168" fontId="18" fillId="5" borderId="1" xfId="0" applyFont="true" applyBorder="true" applyAlignment="true" applyProtection="false">
      <alignment horizontal="left" vertical="bottom" textRotation="0" wrapText="false" indent="0" shrinkToFit="false"/>
      <protection locked="true" hidden="false"/>
    </xf>
    <xf numFmtId="168" fontId="18" fillId="6" borderId="1" xfId="0" applyFont="true" applyBorder="true" applyAlignment="true" applyProtection="false">
      <alignment horizontal="left" vertical="bottom" textRotation="0" wrapText="false" indent="0" shrinkToFit="false"/>
      <protection locked="true" hidden="false"/>
    </xf>
    <xf numFmtId="168" fontId="18" fillId="7" borderId="1" xfId="0" applyFont="true" applyBorder="true" applyAlignment="true" applyProtection="false">
      <alignment horizontal="left" vertical="bottom" textRotation="0" wrapText="fals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19" fillId="11" borderId="1" xfId="0" applyFont="true" applyBorder="true" applyAlignment="true" applyProtection="false">
      <alignment horizontal="center" vertical="center" textRotation="0" wrapText="true" indent="0" shrinkToFit="false"/>
      <protection locked="true" hidden="false"/>
    </xf>
    <xf numFmtId="164" fontId="19" fillId="12" borderId="1" xfId="0" applyFont="true" applyBorder="true" applyAlignment="true" applyProtection="false">
      <alignment horizontal="center" vertical="center" textRotation="0" wrapText="true" indent="0" shrinkToFit="false"/>
      <protection locked="true" hidden="false"/>
    </xf>
    <xf numFmtId="164" fontId="19"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true" applyProtection="false">
      <alignment horizontal="center" vertical="center" textRotation="0" wrapText="true" indent="0" shrinkToFit="false"/>
      <protection locked="true" hidden="false"/>
    </xf>
    <xf numFmtId="164" fontId="19" fillId="7" borderId="1"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bottom" textRotation="0" wrapText="false" indent="0" shrinkToFit="false"/>
      <protection locked="true" hidden="false"/>
    </xf>
    <xf numFmtId="164" fontId="17" fillId="14" borderId="1" xfId="0" applyFont="true" applyBorder="true" applyAlignment="true" applyProtection="false">
      <alignment horizontal="center" vertical="bottom" textRotation="0" wrapText="false" indent="0" shrinkToFit="false"/>
      <protection locked="true" hidden="false"/>
    </xf>
    <xf numFmtId="164" fontId="17" fillId="15" borderId="1" xfId="0" applyFont="true" applyBorder="true" applyAlignment="true" applyProtection="false">
      <alignment horizontal="center" vertical="bottom" textRotation="0" wrapText="false" indent="0" shrinkToFit="false"/>
      <protection locked="true" hidden="false"/>
    </xf>
    <xf numFmtId="164" fontId="17" fillId="16" borderId="1" xfId="0" applyFont="true" applyBorder="true" applyAlignment="true" applyProtection="false">
      <alignment horizontal="center" vertical="bottom" textRotation="0" wrapText="false" indent="0" shrinkToFit="false"/>
      <protection locked="true" hidden="false"/>
    </xf>
    <xf numFmtId="164" fontId="17" fillId="17"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20"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12" fillId="9"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7" fillId="18"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21" fillId="0" borderId="1" xfId="0" applyFont="true" applyBorder="true" applyAlignment="true" applyProtection="false">
      <alignment horizontal="general" vertical="top" textRotation="0" wrapText="true" indent="0" shrinkToFit="false"/>
      <protection locked="true" hidden="false"/>
    </xf>
    <xf numFmtId="164" fontId="22" fillId="18" borderId="1" xfId="0" applyFont="true" applyBorder="true" applyAlignment="false" applyProtection="false">
      <alignment horizontal="general" vertical="bottom" textRotation="0" wrapText="false" indent="0" shrinkToFit="false"/>
      <protection locked="true" hidden="false"/>
    </xf>
    <xf numFmtId="164" fontId="16" fillId="18" borderId="1" xfId="0" applyFont="true" applyBorder="true" applyAlignment="true" applyProtection="false">
      <alignment horizontal="center"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19" borderId="0" xfId="0" applyFont="tru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20" borderId="1" xfId="0" applyFont="true" applyBorder="true" applyAlignment="true" applyProtection="false">
      <alignment horizontal="center" vertical="center" textRotation="0" wrapText="true" indent="0" shrinkToFit="false"/>
      <protection locked="true" hidden="false"/>
    </xf>
    <xf numFmtId="164" fontId="26" fillId="21"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center"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21" fillId="8" borderId="1" xfId="0" applyFont="true" applyBorder="true" applyAlignment="true" applyProtection="false">
      <alignment horizontal="left" vertical="top" textRotation="0" wrapText="true" indent="0" shrinkToFit="false"/>
      <protection locked="true" hidden="false"/>
    </xf>
    <xf numFmtId="164" fontId="21" fillId="8" borderId="1" xfId="0" applyFont="true" applyBorder="true" applyAlignment="true" applyProtection="false">
      <alignment horizontal="center" vertical="top" textRotation="0" wrapText="true" indent="0" shrinkToFit="false"/>
      <protection locked="true" hidden="false"/>
    </xf>
    <xf numFmtId="164" fontId="14" fillId="0" borderId="1" xfId="0" applyFont="true" applyBorder="true" applyAlignment="true" applyProtection="false">
      <alignment horizontal="left" vertical="top" textRotation="0" wrapText="true" indent="0" shrinkToFit="false"/>
      <protection locked="true" hidden="false"/>
    </xf>
    <xf numFmtId="164" fontId="24" fillId="9" borderId="0" xfId="0" applyFont="true" applyBorder="false" applyAlignment="fals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left" vertical="bottom" textRotation="0" wrapText="false" indent="0" shrinkToFit="false"/>
      <protection locked="true" hidden="false"/>
    </xf>
    <xf numFmtId="164" fontId="21" fillId="0" borderId="1" xfId="0" applyFont="true" applyBorder="true" applyAlignment="true" applyProtection="false">
      <alignment horizontal="left" vertical="bottom" textRotation="0" wrapText="false" indent="0" shrinkToFit="false"/>
      <protection locked="true" hidden="false"/>
    </xf>
    <xf numFmtId="166" fontId="21" fillId="0" borderId="1"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1F2D33"/>
          <bgColor rgb="FF000000"/>
        </patternFill>
      </fill>
    </dxf>
    <dxf>
      <fill>
        <patternFill patternType="solid">
          <bgColor rgb="FF000000"/>
        </patternFill>
      </fill>
    </dxf>
    <dxf>
      <fill>
        <patternFill patternType="solid">
          <fgColor rgb="FFFFFFFF"/>
          <bgColor rgb="FF000000"/>
        </patternFill>
      </fill>
    </dxf>
    <dxf>
      <fill>
        <patternFill patternType="solid">
          <fgColor rgb="FFF8C9C0"/>
          <bgColor rgb="FF000000"/>
        </patternFill>
      </fill>
    </dxf>
    <dxf>
      <fill>
        <patternFill patternType="solid">
          <fgColor rgb="FFFFE3A6"/>
          <bgColor rgb="FF000000"/>
        </patternFill>
      </fill>
    </dxf>
    <dxf>
      <fill>
        <patternFill patternType="solid">
          <fgColor rgb="FF6B7C82"/>
          <bgColor rgb="FF000000"/>
        </patternFill>
      </fill>
    </dxf>
    <dxf>
      <fill>
        <patternFill patternType="solid">
          <fgColor rgb="FF7A5C00"/>
          <bgColor rgb="FF000000"/>
        </patternFill>
      </fill>
    </dxf>
    <dxf>
      <fill>
        <patternFill patternType="solid">
          <fgColor rgb="FFFFF4B8"/>
          <bgColor rgb="FF000000"/>
        </patternFill>
      </fill>
    </dxf>
    <dxf>
      <fill>
        <patternFill>
          <bgColor rgb="FFF8C9C0"/>
        </patternFill>
      </fill>
    </dxf>
    <dxf>
      <fill>
        <patternFill>
          <bgColor rgb="FFFFE3A6"/>
        </patternFill>
      </fill>
    </dxf>
    <dxf>
      <fill>
        <patternFill>
          <bgColor rgb="FFEAF4F6"/>
        </patternFill>
      </fill>
    </dxf>
    <dxf>
      <fill>
        <patternFill>
          <bgColor rgb="FFC4E1E6"/>
        </patternFill>
      </fill>
    </dxf>
    <dxf>
      <fill>
        <patternFill>
          <bgColor rgb="FFBFE3C8"/>
        </patternFill>
      </fill>
    </dxf>
    <dxf>
      <fill>
        <patternFill>
          <bgColor rgb="FFE2D4F5"/>
        </patternFill>
      </fill>
    </dxf>
    <dxf>
      <fill>
        <patternFill>
          <bgColor rgb="FFE4E4E4"/>
        </patternFill>
      </fill>
    </dxf>
    <dxf>
      <font>
        <name val="Arial"/>
        <charset val="1"/>
        <family val="0"/>
        <color rgb="FFB0B8BA"/>
      </font>
    </dxf>
    <dxf>
      <font>
        <name val="Arial"/>
        <charset val="1"/>
        <family val="0"/>
        <b val="1"/>
        <color rgb="FF0D6B3A"/>
      </font>
    </dxf>
  </dxfs>
  <colors>
    <indexedColors>
      <rgbColor rgb="FF000000"/>
      <rgbColor rgb="FFFFFFFF"/>
      <rgbColor rgb="FFFF0000"/>
      <rgbColor rgb="FF00FF00"/>
      <rgbColor rgb="FF0000FF"/>
      <rgbColor rgb="FFFDE7C4"/>
      <rgbColor rgb="FFFF00FF"/>
      <rgbColor rgb="FF00FFFF"/>
      <rgbColor rgb="FF800000"/>
      <rgbColor rgb="FF0D6B3A"/>
      <rgbColor rgb="FF000080"/>
      <rgbColor rgb="FF7A5C00"/>
      <rgbColor rgb="FF800080"/>
      <rgbColor rgb="FF0B6475"/>
      <rgbColor rgb="FFB0B8BA"/>
      <rgbColor rgb="FF6B7C82"/>
      <rgbColor rgb="FFBFE3C8"/>
      <rgbColor rgb="FF993366"/>
      <rgbColor rgb="FFFFF4B8"/>
      <rgbColor rgb="FFE3F1F4"/>
      <rgbColor rgb="FF660066"/>
      <rgbColor rgb="FFDBE4FB"/>
      <rgbColor rgb="FF0066CC"/>
      <rgbColor rgb="FFE2D4F5"/>
      <rgbColor rgb="FF000080"/>
      <rgbColor rgb="FFFF00FF"/>
      <rgbColor rgb="FFF0F4F5"/>
      <rgbColor rgb="FF00FFFF"/>
      <rgbColor rgb="FF800080"/>
      <rgbColor rgb="FF800000"/>
      <rgbColor rgb="FF008080"/>
      <rgbColor rgb="FF0000FF"/>
      <rgbColor rgb="FF00CCFF"/>
      <rgbColor rgb="FFDCEDF0"/>
      <rgbColor rgb="FFD6EFDC"/>
      <rgbColor rgb="FFFFE3A6"/>
      <rgbColor rgb="FFC4E1E6"/>
      <rgbColor rgb="FFF7DBE6"/>
      <rgbColor rgb="FFD5DDDF"/>
      <rgbColor rgb="FFF8C9C0"/>
      <rgbColor rgb="FF3366FF"/>
      <rgbColor rgb="FF33CCCC"/>
      <rgbColor rgb="FFEAF4F6"/>
      <rgbColor rgb="FFF1E2FA"/>
      <rgbColor rgb="FFFF9900"/>
      <rgbColor rgb="FFFF6600"/>
      <rgbColor rgb="FF666699"/>
      <rgbColor rgb="FFE4E4E4"/>
      <rgbColor rgb="FF003366"/>
      <rgbColor rgb="FF339966"/>
      <rgbColor rgb="FF003300"/>
      <rgbColor rgb="FF333300"/>
      <rgbColor rgb="FFB03A2E"/>
      <rgbColor rgb="FF993366"/>
      <rgbColor rgb="FF333399"/>
      <rgbColor rgb="FF1F2D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hyperlink" Target="Slot_Map_Weekly_Meeting_W40.xlsx" TargetMode="External"/><Relationship Id="rId5" Type="http://schemas.openxmlformats.org/officeDocument/2006/relationships/hyperlink" Target="Slot_Map_Weekly_Meeting_W40.xlsx" TargetMode="External"/><Relationship Id="rId6" Type="http://schemas.openxmlformats.org/officeDocument/2006/relationships/hyperlink" Target="Slot_Map_Weekly_Meeting_W40.xlsx" TargetMode="External"/>
</Relationships>
</file>

<file path=xl/worksheets/_rels/sheet3.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Slot_Map_Weekly_Meeting_W40.xlsx" TargetMode="External"/><Relationship Id="rId2" Type="http://schemas.openxmlformats.org/officeDocument/2006/relationships/hyperlink" Target="Slot_Map_Weekly_Meeting_W40.xlsx" TargetMode="External"/><Relationship Id="rId3" Type="http://schemas.openxmlformats.org/officeDocument/2006/relationships/hyperlink" Target="Slot_Map_Weekly_Meeting_W40.xlsx" TargetMode="External"/><Relationship Id="rId4"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90"/>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15" hidden="false" customHeight="false" outlineLevel="0" collapsed="false">
      <c r="B6" s="4" t="s">
        <v>3</v>
      </c>
      <c r="C6" s="5" t="s">
        <v>4</v>
      </c>
    </row>
    <row r="7" customFormat="false" ht="23.85" hidden="false" customHeight="false" outlineLevel="0" collapsed="false">
      <c r="B7" s="4" t="s">
        <v>5</v>
      </c>
      <c r="C7" s="5" t="s">
        <v>6</v>
      </c>
    </row>
    <row r="8" customFormat="false" ht="23.85" hidden="false" customHeight="false" outlineLevel="0" collapsed="false">
      <c r="B8" s="4" t="s">
        <v>7</v>
      </c>
      <c r="C8" s="5" t="s">
        <v>8</v>
      </c>
    </row>
    <row r="9" customFormat="false" ht="23.85" hidden="false" customHeight="false" outlineLevel="0" collapsed="false">
      <c r="B9" s="4" t="s">
        <v>9</v>
      </c>
      <c r="C9" s="5" t="s">
        <v>10</v>
      </c>
    </row>
    <row r="10" customFormat="false" ht="15" hidden="false" customHeight="fals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7" t="s">
        <v>15</v>
      </c>
    </row>
    <row r="14" customFormat="false" ht="15" hidden="false" customHeight="false" outlineLevel="0" collapsed="false">
      <c r="B14" s="8" t="s">
        <v>16</v>
      </c>
      <c r="C14" s="7" t="s">
        <v>17</v>
      </c>
    </row>
    <row r="15" customFormat="false" ht="15" hidden="false" customHeight="false" outlineLevel="0" collapsed="false">
      <c r="B15" s="9" t="s">
        <v>18</v>
      </c>
      <c r="C15" s="7" t="s">
        <v>19</v>
      </c>
    </row>
    <row r="16" customFormat="false" ht="15" hidden="false" customHeight="false" outlineLevel="0" collapsed="false">
      <c r="B16" s="10" t="s">
        <v>20</v>
      </c>
      <c r="C16" s="7" t="s">
        <v>21</v>
      </c>
    </row>
    <row r="17" customFormat="false" ht="15" hidden="false" customHeight="false" outlineLevel="0" collapsed="false">
      <c r="B17" s="11" t="s">
        <v>22</v>
      </c>
      <c r="C17" s="7" t="s">
        <v>23</v>
      </c>
    </row>
    <row r="18" customFormat="false" ht="15" hidden="false" customHeight="false" outlineLevel="0" collapsed="false">
      <c r="B18" s="12" t="s">
        <v>24</v>
      </c>
      <c r="C18" s="7" t="s">
        <v>25</v>
      </c>
    </row>
    <row r="19" customFormat="false" ht="15" hidden="false" customHeight="false" outlineLevel="0" collapsed="false">
      <c r="B19" s="13" t="s">
        <v>26</v>
      </c>
      <c r="C19" s="7" t="s">
        <v>27</v>
      </c>
    </row>
    <row r="21" customFormat="false" ht="15" hidden="false" customHeight="false" outlineLevel="0" collapsed="false">
      <c r="B21" s="3" t="s">
        <v>28</v>
      </c>
    </row>
    <row r="22" customFormat="false" ht="15" hidden="false" customHeight="false" outlineLevel="0" collapsed="false">
      <c r="B22" s="14" t="s">
        <v>29</v>
      </c>
      <c r="C22" s="7" t="s">
        <v>30</v>
      </c>
    </row>
    <row r="23" customFormat="false" ht="15" hidden="false" customHeight="false" outlineLevel="0" collapsed="false">
      <c r="B23" s="15" t="s">
        <v>31</v>
      </c>
      <c r="C23" s="7" t="s">
        <v>32</v>
      </c>
    </row>
    <row r="25" customFormat="false" ht="15" hidden="false" customHeight="false" outlineLevel="0" collapsed="false">
      <c r="B25" s="3" t="s">
        <v>33</v>
      </c>
    </row>
    <row r="26" customFormat="false" ht="15" hidden="false" customHeight="false" outlineLevel="0" collapsed="false">
      <c r="B26" s="13" t="s">
        <v>34</v>
      </c>
      <c r="C26" s="16" t="s">
        <v>35</v>
      </c>
    </row>
    <row r="27" customFormat="false" ht="15" hidden="false" customHeight="false" outlineLevel="0" collapsed="false">
      <c r="B27" s="13" t="s">
        <v>36</v>
      </c>
      <c r="C27" s="16" t="s">
        <v>14</v>
      </c>
    </row>
    <row r="28" customFormat="false" ht="15" hidden="false" customHeight="false" outlineLevel="0" collapsed="false">
      <c r="B28" s="13" t="s">
        <v>37</v>
      </c>
      <c r="C28" s="16" t="s">
        <v>38</v>
      </c>
    </row>
    <row r="29" customFormat="false" ht="15" hidden="false" customHeight="false" outlineLevel="0" collapsed="false">
      <c r="B29" s="13" t="s">
        <v>39</v>
      </c>
      <c r="C29" s="16" t="s">
        <v>40</v>
      </c>
    </row>
    <row r="30" customFormat="false" ht="15" hidden="false" customHeight="false" outlineLevel="0" collapsed="false">
      <c r="B30" s="13" t="s">
        <v>41</v>
      </c>
      <c r="C30" s="16" t="s">
        <v>42</v>
      </c>
    </row>
    <row r="31" customFormat="false" ht="15" hidden="false" customHeight="false" outlineLevel="0" collapsed="false">
      <c r="B31" s="13" t="s">
        <v>43</v>
      </c>
      <c r="C31" s="16" t="s">
        <v>44</v>
      </c>
    </row>
    <row r="32" customFormat="false" ht="15" hidden="false" customHeight="false" outlineLevel="0" collapsed="false">
      <c r="B32" s="13" t="s">
        <v>45</v>
      </c>
      <c r="C32" s="16" t="n">
        <v>3</v>
      </c>
    </row>
    <row r="33" customFormat="false" ht="15" hidden="false" customHeight="false" outlineLevel="0" collapsed="false">
      <c r="B33" s="13" t="s">
        <v>46</v>
      </c>
      <c r="C33" s="16" t="s">
        <v>47</v>
      </c>
    </row>
    <row r="35" customFormat="false" ht="15" hidden="false" customHeight="false" outlineLevel="0" collapsed="false">
      <c r="B35" s="3" t="s">
        <v>46</v>
      </c>
    </row>
    <row r="36" customFormat="false" ht="23.85" hidden="false" customHeight="false" outlineLevel="0" collapsed="false">
      <c r="B36" s="17" t="s">
        <v>48</v>
      </c>
      <c r="C36" s="5" t="s">
        <v>49</v>
      </c>
    </row>
    <row r="37" customFormat="false" ht="15" hidden="false" customHeight="false" outlineLevel="0" collapsed="false">
      <c r="B37" s="17" t="s">
        <v>48</v>
      </c>
      <c r="C37" s="5" t="s">
        <v>50</v>
      </c>
    </row>
    <row r="38" customFormat="false" ht="35.05" hidden="false" customHeight="false" outlineLevel="0" collapsed="false">
      <c r="B38" s="17" t="s">
        <v>48</v>
      </c>
      <c r="C38" s="5" t="s">
        <v>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6" min="6" style="0" width="15"/>
    <col collapsed="false" customWidth="true" hidden="false" outlineLevel="0" max="7" min="7" style="0" width="16"/>
    <col collapsed="false" customWidth="true" hidden="false" outlineLevel="0" max="8" min="8" style="0" width="10"/>
    <col collapsed="false" customWidth="true" hidden="false" outlineLevel="0" max="9" min="9" style="0" width="9"/>
    <col collapsed="false" customWidth="true" hidden="false" outlineLevel="0" max="10" min="10" style="0" width="12"/>
    <col collapsed="false" customWidth="true" hidden="false" outlineLevel="0" max="11" min="11" style="0" width="11"/>
  </cols>
  <sheetData>
    <row r="2" customFormat="false" ht="19.7" hidden="false" customHeight="false" outlineLevel="0" collapsed="false">
      <c r="B2" s="1" t="s">
        <v>52</v>
      </c>
    </row>
    <row r="3" customFormat="false" ht="15" hidden="false" customHeight="false" outlineLevel="0" collapsed="false">
      <c r="B3" s="2" t="s">
        <v>53</v>
      </c>
    </row>
    <row r="5" customFormat="false" ht="30" hidden="false" customHeight="true" outlineLevel="0" collapsed="false">
      <c r="B5" s="18" t="s">
        <v>54</v>
      </c>
      <c r="C5" s="18" t="s">
        <v>55</v>
      </c>
      <c r="D5" s="18" t="s">
        <v>56</v>
      </c>
      <c r="E5" s="18" t="s">
        <v>57</v>
      </c>
      <c r="F5" s="18" t="s">
        <v>58</v>
      </c>
      <c r="G5" s="18" t="s">
        <v>59</v>
      </c>
      <c r="H5" s="18" t="s">
        <v>18</v>
      </c>
      <c r="I5" s="18" t="s">
        <v>20</v>
      </c>
      <c r="J5" s="18" t="s">
        <v>22</v>
      </c>
      <c r="K5" s="18" t="s">
        <v>60</v>
      </c>
    </row>
    <row r="6" customFormat="false" ht="15" hidden="false" customHeight="false" outlineLevel="0" collapsed="false">
      <c r="B6" s="19" t="s">
        <v>61</v>
      </c>
      <c r="C6" s="20" t="n">
        <f aca="false">IFERROR(D6/E6,"")</f>
        <v>0.528398213146139</v>
      </c>
      <c r="D6" s="21" t="n">
        <f aca="false">SUMIFS('Reguler Class Availability'!$G:$G,'Reguler Class Availability'!$A:$A,B6,'Reguler Class Availability'!$F:$F,"&gt;0")</f>
        <v>828</v>
      </c>
      <c r="E6" s="21" t="n">
        <f aca="false">SUMIFS('Reguler Class Availability'!$F:$F,'Reguler Class Availability'!$A:$A,B6,'Reguler Class Availability'!$F:$F,"&gt;0")</f>
        <v>1567</v>
      </c>
      <c r="F6" s="22" t="n">
        <f aca="false">COUNTIF(KLM!$AV$1:$BB$1000,"Belum terisi")</f>
        <v>62</v>
      </c>
      <c r="G6" s="23" t="n">
        <f aca="false">COUNTIF(KLM!$AV$1:$BB$1000,"Kosong")</f>
        <v>56</v>
      </c>
      <c r="H6" s="21" t="n">
        <f aca="false">COUNTIF(KLM!$AV$1:$BB$1000,"Sebagian")+COUNTIF(KLM!$AV$1:$BB$1000,"Tinggi")</f>
        <v>101</v>
      </c>
      <c r="I6" s="21" t="n">
        <f aca="false">COUNTIF(KLM!$AV$1:$BB$1000,"Penuh")</f>
        <v>131</v>
      </c>
      <c r="J6" s="21" t="n">
        <f aca="false">COUNTIF(KLM!$AV$1:$BB$1000,"Lebih")</f>
        <v>24</v>
      </c>
      <c r="K6" s="24" t="s">
        <v>62</v>
      </c>
    </row>
    <row r="7" customFormat="false" ht="15" hidden="false" customHeight="false" outlineLevel="0" collapsed="false">
      <c r="B7" s="19" t="s">
        <v>63</v>
      </c>
      <c r="C7" s="20" t="n">
        <f aca="false">IFERROR(D7/E7,"")</f>
        <v>0.371733966745843</v>
      </c>
      <c r="D7" s="21" t="n">
        <f aca="false">SUMIFS('Reguler Class Availability'!$G:$G,'Reguler Class Availability'!$A:$A,B7,'Reguler Class Availability'!$F:$F,"&gt;0")</f>
        <v>626</v>
      </c>
      <c r="E7" s="21" t="n">
        <f aca="false">SUMIFS('Reguler Class Availability'!$F:$F,'Reguler Class Availability'!$A:$A,B7,'Reguler Class Availability'!$F:$F,"&gt;0")</f>
        <v>1684</v>
      </c>
      <c r="F7" s="22" t="n">
        <f aca="false">COUNTIF(KWC!$AV$1:$BB$1000,"Belum terisi")</f>
        <v>120</v>
      </c>
      <c r="G7" s="23" t="n">
        <f aca="false">COUNTIF(KWC!$AV$1:$BB$1000,"Kosong")</f>
        <v>35</v>
      </c>
      <c r="H7" s="21" t="n">
        <f aca="false">COUNTIF(KWC!$AV$1:$BB$1000,"Sebagian")+COUNTIF(KWC!$AV$1:$BB$1000,"Tinggi")</f>
        <v>129</v>
      </c>
      <c r="I7" s="21" t="n">
        <f aca="false">COUNTIF(KWC!$AV$1:$BB$1000,"Penuh")</f>
        <v>76</v>
      </c>
      <c r="J7" s="21" t="n">
        <f aca="false">COUNTIF(KWC!$AV$1:$BB$1000,"Lebih")</f>
        <v>3</v>
      </c>
      <c r="K7" s="24" t="s">
        <v>64</v>
      </c>
    </row>
    <row r="8" customFormat="false" ht="15" hidden="false" customHeight="false" outlineLevel="0" collapsed="false">
      <c r="B8" s="19" t="s">
        <v>65</v>
      </c>
      <c r="C8" s="20" t="n">
        <f aca="false">IFERROR(D8/E8,"")</f>
        <v>0.364983164983165</v>
      </c>
      <c r="D8" s="21" t="n">
        <f aca="false">SUMIFS('Reguler Class Availability'!$G:$G,'Reguler Class Availability'!$A:$A,B8,'Reguler Class Availability'!$F:$F,"&gt;0")</f>
        <v>542</v>
      </c>
      <c r="E8" s="21" t="n">
        <f aca="false">SUMIFS('Reguler Class Availability'!$F:$F,'Reguler Class Availability'!$A:$A,B8,'Reguler Class Availability'!$F:$F,"&gt;0")</f>
        <v>1485</v>
      </c>
      <c r="F8" s="22" t="n">
        <f aca="false">COUNTIF(PML!$AV$1:$BB$1000,"Belum terisi")</f>
        <v>120</v>
      </c>
      <c r="G8" s="23" t="n">
        <f aca="false">COUNTIF(PML!$AV$1:$BB$1000,"Kosong")</f>
        <v>33</v>
      </c>
      <c r="H8" s="21" t="n">
        <f aca="false">COUNTIF(PML!$AV$1:$BB$1000,"Sebagian")+COUNTIF(PML!$AV$1:$BB$1000,"Tinggi")</f>
        <v>100</v>
      </c>
      <c r="I8" s="21" t="n">
        <f aca="false">COUNTIF(PML!$AV$1:$BB$1000,"Penuh")</f>
        <v>71</v>
      </c>
      <c r="J8" s="21" t="n">
        <f aca="false">COUNTIF(PML!$AV$1:$BB$1000,"Lebih")</f>
        <v>10</v>
      </c>
      <c r="K8" s="24" t="s">
        <v>66</v>
      </c>
    </row>
    <row r="9" customFormat="false" ht="15" hidden="false" customHeight="false" outlineLevel="0" collapsed="false">
      <c r="B9" s="19" t="s">
        <v>67</v>
      </c>
      <c r="C9" s="20" t="n">
        <f aca="false">IFERROR(D9/E9,"")</f>
        <v>0.0773809523809524</v>
      </c>
      <c r="D9" s="21" t="n">
        <f aca="false">SUMIFS('Reguler Class Availability'!$G:$G,'Reguler Class Availability'!$A:$A,B9,'Reguler Class Availability'!$F:$F,"&gt;0")</f>
        <v>117</v>
      </c>
      <c r="E9" s="21" t="n">
        <f aca="false">SUMIFS('Reguler Class Availability'!$F:$F,'Reguler Class Availability'!$A:$A,B9,'Reguler Class Availability'!$F:$F,"&gt;0")</f>
        <v>1512</v>
      </c>
      <c r="F9" s="22" t="n">
        <f aca="false">COUNTIF(TMP!$AV$1:$BB$1000,"Belum terisi")</f>
        <v>269</v>
      </c>
      <c r="G9" s="23" t="n">
        <f aca="false">COUNTIF(TMP!$AV$1:$BB$1000,"Kosong")</f>
        <v>0</v>
      </c>
      <c r="H9" s="21" t="n">
        <f aca="false">COUNTIF(TMP!$AV$1:$BB$1000,"Sebagian")+COUNTIF(TMP!$AV$1:$BB$1000,"Tinggi")</f>
        <v>66</v>
      </c>
      <c r="I9" s="21" t="n">
        <f aca="false">COUNTIF(TMP!$AV$1:$BB$1000,"Penuh")</f>
        <v>1</v>
      </c>
      <c r="J9" s="21" t="n">
        <f aca="false">COUNTIF(TMP!$AV$1:$BB$1000,"Lebih")</f>
        <v>0</v>
      </c>
      <c r="K9" s="24" t="s">
        <v>68</v>
      </c>
    </row>
    <row r="10" customFormat="false" ht="15" hidden="false" customHeight="false" outlineLevel="0" collapsed="false">
      <c r="B10" s="19" t="s">
        <v>69</v>
      </c>
      <c r="C10" s="20" t="n">
        <f aca="false">IFERROR(D10/E10,"")</f>
        <v>0.0908163265306123</v>
      </c>
      <c r="D10" s="21" t="n">
        <f aca="false">SUMIFS('Reguler Class Availability'!$G:$G,'Reguler Class Availability'!$A:$A,B10,'Reguler Class Availability'!$F:$F,"&gt;0")</f>
        <v>178</v>
      </c>
      <c r="E10" s="21" t="n">
        <f aca="false">SUMIFS('Reguler Class Availability'!$F:$F,'Reguler Class Availability'!$A:$A,B10,'Reguler Class Availability'!$F:$F,"&gt;0")</f>
        <v>1960</v>
      </c>
      <c r="F10" s="22" t="n">
        <f aca="false">COUNTIF(BTU!$AV$1:$BB$1000,"Belum terisi")</f>
        <v>277</v>
      </c>
      <c r="G10" s="23" t="n">
        <f aca="false">COUNTIF(BTU!$AV$1:$BB$1000,"Kosong")</f>
        <v>84</v>
      </c>
      <c r="H10" s="21" t="n">
        <f aca="false">COUNTIF(BTU!$AV$1:$BB$1000,"Sebagian")+COUNTIF(BTU!$AV$1:$BB$1000,"Tinggi")</f>
        <v>61</v>
      </c>
      <c r="I10" s="21" t="n">
        <f aca="false">COUNTIF(BTU!$AV$1:$BB$1000,"Penuh")</f>
        <v>12</v>
      </c>
      <c r="J10" s="21" t="n">
        <f aca="false">COUNTIF(BTU!$AV$1:$BB$1000,"Lebih")</f>
        <v>0</v>
      </c>
      <c r="K10" s="24" t="s">
        <v>70</v>
      </c>
    </row>
    <row r="11" customFormat="false" ht="15" hidden="false" customHeight="false" outlineLevel="0" collapsed="false">
      <c r="B11" s="19" t="s">
        <v>71</v>
      </c>
      <c r="C11" s="20" t="n">
        <f aca="false">IFERROR(D11/E11,"")</f>
        <v>0.0872448979591837</v>
      </c>
      <c r="D11" s="21" t="n">
        <f aca="false">SUMIFS('Reguler Class Availability'!$G:$G,'Reguler Class Availability'!$A:$A,B11,'Reguler Class Availability'!$F:$F,"&gt;0")</f>
        <v>171</v>
      </c>
      <c r="E11" s="21" t="n">
        <f aca="false">SUMIFS('Reguler Class Availability'!$F:$F,'Reguler Class Availability'!$A:$A,B11,'Reguler Class Availability'!$F:$F,"&gt;0")</f>
        <v>1960</v>
      </c>
      <c r="F11" s="22" t="n">
        <f aca="false">COUNTIF(HIB!$AV$1:$BB$1000,"Belum terisi")</f>
        <v>257</v>
      </c>
      <c r="G11" s="23" t="n">
        <f aca="false">COUNTIF(HIB!$AV$1:$BB$1000,"Kosong")</f>
        <v>84</v>
      </c>
      <c r="H11" s="21" t="n">
        <f aca="false">COUNTIF(HIB!$AV$1:$BB$1000,"Sebagian")+COUNTIF(HIB!$AV$1:$BB$1000,"Tinggi")</f>
        <v>83</v>
      </c>
      <c r="I11" s="21" t="n">
        <f aca="false">COUNTIF(HIB!$AV$1:$BB$1000,"Penuh")</f>
        <v>10</v>
      </c>
      <c r="J11" s="21" t="n">
        <f aca="false">COUNTIF(HIB!$AV$1:$BB$1000,"Lebih")</f>
        <v>0</v>
      </c>
      <c r="K11" s="24" t="s">
        <v>72</v>
      </c>
    </row>
    <row r="12" customFormat="false" ht="15" hidden="false" customHeight="false" outlineLevel="0" collapsed="false">
      <c r="B12" s="25" t="s">
        <v>73</v>
      </c>
      <c r="C12" s="26" t="n">
        <f aca="false">IFERROR(D12/E12,"")</f>
        <v>0.24213217938631</v>
      </c>
      <c r="D12" s="27" t="n">
        <f aca="false">SUM(D6:D11)</f>
        <v>2462</v>
      </c>
      <c r="E12" s="27" t="n">
        <f aca="false">SUM(E6:E11)</f>
        <v>10168</v>
      </c>
      <c r="F12" s="27" t="n">
        <f aca="false">SUM(F6:F11)</f>
        <v>1105</v>
      </c>
      <c r="G12" s="27" t="n">
        <f aca="false">SUM(G6:G11)</f>
        <v>292</v>
      </c>
      <c r="H12" s="27" t="n">
        <f aca="false">SUM(H6:H11)</f>
        <v>540</v>
      </c>
      <c r="I12" s="27" t="n">
        <f aca="false">SUM(I6:I11)</f>
        <v>301</v>
      </c>
      <c r="J12" s="27" t="n">
        <f aca="false">SUM(J6:J11)</f>
        <v>37</v>
      </c>
    </row>
    <row r="14" customFormat="false" ht="15" hidden="false" customHeight="false" outlineLevel="0" collapsed="false">
      <c r="B14" s="28" t="s">
        <v>74</v>
      </c>
    </row>
  </sheetData>
  <conditionalFormatting sqref="C6:C11">
    <cfRule type="colorScale" priority="2">
      <colorScale>
        <cfvo type="num" val="0"/>
        <cfvo type="num" val="0.5"/>
        <cfvo type="num" val="1"/>
        <color rgb="FFF8C9C0"/>
        <color rgb="FFFFF4B8"/>
        <color rgb="FFBFE3C8"/>
      </colorScale>
    </cfRule>
  </conditionalFormatting>
  <hyperlinks>
    <hyperlink ref="K6" r:id="rId1" location="'KLM'!A1" display="→ KLM"/>
    <hyperlink ref="K7" r:id="rId2" location="'KWC'!A1" display="→ KWC"/>
    <hyperlink ref="K8" r:id="rId3" location="'PML'!A1" display="→ PML"/>
    <hyperlink ref="K9" r:id="rId4" location="'TMP'!A1" display="→ TMP"/>
    <hyperlink ref="K10" r:id="rId5" location="'BTU'!A1" display="→ BTU"/>
    <hyperlink ref="K11" r:id="rId6" location="'HIB'!A1" display="→ HIB"/>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3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75</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61</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0.528398213146139</v>
      </c>
      <c r="C7" s="42" t="str">
        <f aca="false">SUMIFS('Reguler Class Availability'!$G:$G,'Reguler Class Availability'!$A:$A,$B$4,'Reguler Class Availability'!$F:$F,"&gt;0")&amp;" / "&amp;SUMIFS('Reguler Class Availability'!$F:$F,'Reguler Class Availability'!$A:$A,$B$4,'Reguler Class Availability'!$F:$F,"&gt;0")</f>
        <v>828 / 1567</v>
      </c>
      <c r="D7" s="43" t="n">
        <f aca="false">COUNTIF($AV$1:$BB$1000,"Belum terisi")</f>
        <v>62</v>
      </c>
      <c r="E7" s="44" t="n">
        <f aca="false">COUNTIF($AV$1:$BB$1000,"Kosong")</f>
        <v>56</v>
      </c>
      <c r="F7" s="45" t="n">
        <f aca="false">COUNTIF($AV$1:$BB$1000,"Penuh")</f>
        <v>131</v>
      </c>
      <c r="G7" s="46" t="n">
        <f aca="false">COUNTIF($AV$1:$BB$1000,"Lebih")</f>
        <v>24</v>
      </c>
      <c r="H7" s="47" t="n">
        <f aca="false">COUNTIF($AV$1:$BB$1000,"Tutup")</f>
        <v>46</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1</v>
      </c>
      <c r="BF8" s="0" t="n">
        <f aca="false">BE8+BF7</f>
        <v>1</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1</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0</v>
      </c>
      <c r="BF10" s="30" t="n">
        <f aca="false">BE10+BF9</f>
        <v>1</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1</v>
      </c>
      <c r="BF11" s="30" t="n">
        <f aca="false">BE11+BF10</f>
        <v>2</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30%   ·   Belum terisi: 15   ·   Slot kosong: 27</v>
      </c>
      <c r="D12" s="62"/>
      <c r="E12" s="62"/>
      <c r="F12" s="62"/>
      <c r="G12" s="62"/>
      <c r="H12" s="62"/>
      <c r="BD12" s="30" t="s">
        <v>112</v>
      </c>
      <c r="BE12" s="30" t="n">
        <f aca="false">IF(COUNTIFS('Reguler Class Availability'!$L:$L,$B$4&amp;"|- Lane 1 - *|"&amp;BD12)&gt;0,1,0)</f>
        <v>0</v>
      </c>
      <c r="BF12" s="30" t="n">
        <f aca="false">BE12+BF11</f>
        <v>2</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0</v>
      </c>
      <c r="BF13" s="30" t="n">
        <f aca="false">BE13+BF12</f>
        <v>2</v>
      </c>
    </row>
    <row r="14" customFormat="false" ht="39.75" hidden="false" customHeight="true" outlineLevel="0" collapsed="false">
      <c r="A14" s="66" t="str">
        <f aca="false">IFERROR(INDEX($BD$2:$BD$61,MATCH(1,$BF$2:$BF$61,0)),"")</f>
        <v>07:30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Star  0/8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Star  0/8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Star  0/8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Star  0/8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Star  0/8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Star  0/8  (0%)
coach: –</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Star  0/8  (0%)
coach: –</v>
      </c>
      <c r="AN14" s="30" t="n">
        <f aca="false">IF($A14="","",IFERROR(MATCH($B$4&amp;"|- Lane 1 - "&amp;B$13&amp;"|"&amp;$A14,'Reguler Class Availability'!$L:$L,0),""))</f>
        <v>86</v>
      </c>
      <c r="AO14" s="30" t="n">
        <f aca="false">IF($A14="","",IFERROR(MATCH($B$4&amp;"|- Lane 1 - "&amp;C$13&amp;"|"&amp;$A14,'Reguler Class Availability'!$L:$L,0),""))</f>
        <v>87</v>
      </c>
      <c r="AP14" s="30" t="n">
        <f aca="false">IF($A14="","",IFERROR(MATCH($B$4&amp;"|- Lane 1 - "&amp;D$13&amp;"|"&amp;$A14,'Reguler Class Availability'!$L:$L,0),""))</f>
        <v>88</v>
      </c>
      <c r="AQ14" s="30" t="n">
        <f aca="false">IF($A14="","",IFERROR(MATCH($B$4&amp;"|- Lane 1 - "&amp;E$13&amp;"|"&amp;$A14,'Reguler Class Availability'!$L:$L,0),""))</f>
        <v>89</v>
      </c>
      <c r="AR14" s="30" t="n">
        <f aca="false">IF($A14="","",IFERROR(MATCH($B$4&amp;"|- Lane 1 - "&amp;F$13&amp;"|"&amp;$A14,'Reguler Class Availability'!$L:$L,0),""))</f>
        <v>90</v>
      </c>
      <c r="AS14" s="30" t="n">
        <f aca="false">IF($A14="","",IFERROR(MATCH($B$4&amp;"|- Lane 1 - "&amp;G$13&amp;"|"&amp;$A14,'Reguler Class Availability'!$L:$L,0),""))</f>
        <v>91</v>
      </c>
      <c r="AT14" s="30" t="n">
        <f aca="false">IF($A14="","",IFERROR(MATCH($B$4&amp;"|- Lane 1 - "&amp;H$13&amp;"|"&amp;$A14,'Reguler Class Availability'!$L:$L,0),""))</f>
        <v>92</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Belum terisi</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1</v>
      </c>
      <c r="BF14" s="30" t="n">
        <f aca="false">BE14+BF13</f>
        <v>3</v>
      </c>
    </row>
    <row r="15" customFormat="false" ht="39.75" hidden="false" customHeight="true" outlineLevel="0" collapsed="false">
      <c r="A15" s="66" t="str">
        <f aca="false">IFERROR(INDEX($BD$2:$BD$61,MATCH(2,$BF$2:$BF$61,0)),"")</f>
        <v>08:15</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v>
      </c>
      <c r="AN15" s="30" t="n">
        <f aca="false">IF($A15="","",IFERROR(MATCH($B$4&amp;"|- Lane 1 - "&amp;B$13&amp;"|"&amp;$A15,'Reguler Class Availability'!$L:$L,0),""))</f>
        <v>2</v>
      </c>
      <c r="AO15" s="30" t="n">
        <f aca="false">IF($A15="","",IFERROR(MATCH($B$4&amp;"|- Lane 1 - "&amp;C$13&amp;"|"&amp;$A15,'Reguler Class Availability'!$L:$L,0),""))</f>
        <v>14</v>
      </c>
      <c r="AP15" s="30" t="n">
        <f aca="false">IF($A15="","",IFERROR(MATCH($B$4&amp;"|- Lane 1 - "&amp;D$13&amp;"|"&amp;$A15,'Reguler Class Availability'!$L:$L,0),""))</f>
        <v>26</v>
      </c>
      <c r="AQ15" s="30" t="n">
        <f aca="false">IF($A15="","",IFERROR(MATCH($B$4&amp;"|- Lane 1 - "&amp;E$13&amp;"|"&amp;$A15,'Reguler Class Availability'!$L:$L,0),""))</f>
        <v>38</v>
      </c>
      <c r="AR15" s="30" t="n">
        <f aca="false">IF($A15="","",IFERROR(MATCH($B$4&amp;"|- Lane 1 - "&amp;F$13&amp;"|"&amp;$A15,'Reguler Class Availability'!$L:$L,0),""))</f>
        <v>50</v>
      </c>
      <c r="AS15" s="30" t="n">
        <f aca="false">IF($A15="","",IFERROR(MATCH($B$4&amp;"|- Lane 1 - "&amp;G$13&amp;"|"&amp;$A15,'Reguler Class Availability'!$L:$L,0),""))</f>
        <v>62</v>
      </c>
      <c r="AT15" s="30" t="n">
        <f aca="false">IF($A15="","",IFERROR(MATCH($B$4&amp;"|- Lane 1 - "&amp;H$13&amp;"|"&amp;$A15,'Reguler Class Availability'!$L:$L,0),""))</f>
        <v>74</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Tidak dibuka</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Tidak dibuka</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Tidak dibuka</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Tidak dibuka</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Tidak dibuka</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Tidak dibuka</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Tidak dibuka</v>
      </c>
      <c r="BD15" s="30" t="s">
        <v>122</v>
      </c>
      <c r="BE15" s="30" t="n">
        <f aca="false">IF(COUNTIFS('Reguler Class Availability'!$L:$L,$B$4&amp;"|- Lane 1 - *|"&amp;BD15)&gt;0,1,0)</f>
        <v>0</v>
      </c>
      <c r="BF15" s="30" t="n">
        <f aca="false">BE15+BF14</f>
        <v>3</v>
      </c>
    </row>
    <row r="16" customFormat="false" ht="39.75" hidden="false" customHeight="true" outlineLevel="0" collapsed="false">
      <c r="A16" s="66" t="str">
        <f aca="false">IFERROR(INDEX($BD$2:$BD$61,MATCH(3,$BF$2:$BF$61,0)),"")</f>
        <v>09:00</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Kosong  0/5  (0%)
coach: –</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Kosong  0/5  (0%)
coach: –</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Baby  5/5  (100%)
Nuky</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Kosong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Baby  5/5  (100%)
Surya</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Baby  5/5  (100%)
Eka</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Baby  5/5  (100%)
Rischa</v>
      </c>
      <c r="AN16" s="30" t="n">
        <f aca="false">IF($A16="","",IFERROR(MATCH($B$4&amp;"|- Lane 1 - "&amp;B$13&amp;"|"&amp;$A16,'Reguler Class Availability'!$L:$L,0),""))</f>
        <v>3</v>
      </c>
      <c r="AO16" s="30" t="n">
        <f aca="false">IF($A16="","",IFERROR(MATCH($B$4&amp;"|- Lane 1 - "&amp;C$13&amp;"|"&amp;$A16,'Reguler Class Availability'!$L:$L,0),""))</f>
        <v>15</v>
      </c>
      <c r="AP16" s="30" t="n">
        <f aca="false">IF($A16="","",IFERROR(MATCH($B$4&amp;"|- Lane 1 - "&amp;D$13&amp;"|"&amp;$A16,'Reguler Class Availability'!$L:$L,0),""))</f>
        <v>27</v>
      </c>
      <c r="AQ16" s="30" t="n">
        <f aca="false">IF($A16="","",IFERROR(MATCH($B$4&amp;"|- Lane 1 - "&amp;E$13&amp;"|"&amp;$A16,'Reguler Class Availability'!$L:$L,0),""))</f>
        <v>39</v>
      </c>
      <c r="AR16" s="30" t="n">
        <f aca="false">IF($A16="","",IFERROR(MATCH($B$4&amp;"|- Lane 1 - "&amp;F$13&amp;"|"&amp;$A16,'Reguler Class Availability'!$L:$L,0),""))</f>
        <v>51</v>
      </c>
      <c r="AS16" s="30" t="n">
        <f aca="false">IF($A16="","",IFERROR(MATCH($B$4&amp;"|- Lane 1 - "&amp;G$13&amp;"|"&amp;$A16,'Reguler Class Availability'!$L:$L,0),""))</f>
        <v>63</v>
      </c>
      <c r="AT16" s="30" t="n">
        <f aca="false">IF($A16="","",IFERROR(MATCH($B$4&amp;"|- Lane 1 - "&amp;H$13&amp;"|"&amp;$A16,'Reguler Class Availability'!$L:$L,0),""))</f>
        <v>75</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Kosong</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Kosong</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Penuh</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Kosong</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Penuh</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Penuh</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Penuh</v>
      </c>
      <c r="BD16" s="30" t="s">
        <v>123</v>
      </c>
      <c r="BE16" s="30" t="n">
        <f aca="false">IF(COUNTIFS('Reguler Class Availability'!$L:$L,$B$4&amp;"|- Lane 1 - *|"&amp;BD16)&gt;0,1,0)</f>
        <v>0</v>
      </c>
      <c r="BF16" s="30" t="n">
        <f aca="false">BE16+BF15</f>
        <v>3</v>
      </c>
    </row>
    <row r="17" customFormat="false" ht="39.75" hidden="false" customHeight="true" outlineLevel="0" collapsed="false">
      <c r="A17" s="66" t="str">
        <f aca="false">IFERROR(INDEX($BD$2:$BD$61,MATCH(4,$BF$2:$BF$61,0)),"")</f>
        <v>09:45</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Kosong  0/5  (0%)
coach: –</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Kosong  0/5  (0%)
coach: –</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Kosong  0/5  (0%)
coach: –</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Kosong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Kosong  0/5  (0%)
coach: –</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5/5  (100%)
Rischa</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5/5  (100%)
Zidane</v>
      </c>
      <c r="AN17" s="30" t="n">
        <f aca="false">IF($A17="","",IFERROR(MATCH($B$4&amp;"|- Lane 1 - "&amp;B$13&amp;"|"&amp;$A17,'Reguler Class Availability'!$L:$L,0),""))</f>
        <v>4</v>
      </c>
      <c r="AO17" s="30" t="n">
        <f aca="false">IF($A17="","",IFERROR(MATCH($B$4&amp;"|- Lane 1 - "&amp;C$13&amp;"|"&amp;$A17,'Reguler Class Availability'!$L:$L,0),""))</f>
        <v>16</v>
      </c>
      <c r="AP17" s="30" t="n">
        <f aca="false">IF($A17="","",IFERROR(MATCH($B$4&amp;"|- Lane 1 - "&amp;D$13&amp;"|"&amp;$A17,'Reguler Class Availability'!$L:$L,0),""))</f>
        <v>28</v>
      </c>
      <c r="AQ17" s="30" t="n">
        <f aca="false">IF($A17="","",IFERROR(MATCH($B$4&amp;"|- Lane 1 - "&amp;E$13&amp;"|"&amp;$A17,'Reguler Class Availability'!$L:$L,0),""))</f>
        <v>40</v>
      </c>
      <c r="AR17" s="30" t="n">
        <f aca="false">IF($A17="","",IFERROR(MATCH($B$4&amp;"|- Lane 1 - "&amp;F$13&amp;"|"&amp;$A17,'Reguler Class Availability'!$L:$L,0),""))</f>
        <v>52</v>
      </c>
      <c r="AS17" s="30" t="n">
        <f aca="false">IF($A17="","",IFERROR(MATCH($B$4&amp;"|- Lane 1 - "&amp;G$13&amp;"|"&amp;$A17,'Reguler Class Availability'!$L:$L,0),""))</f>
        <v>64</v>
      </c>
      <c r="AT17" s="30" t="n">
        <f aca="false">IF($A17="","",IFERROR(MATCH($B$4&amp;"|- Lane 1 - "&amp;H$13&amp;"|"&amp;$A17,'Reguler Class Availability'!$L:$L,0),""))</f>
        <v>76</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Kosong</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Kosong</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Kosong</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Kosong</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Kosong</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Penuh</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Penuh</v>
      </c>
      <c r="BD17" s="30" t="s">
        <v>124</v>
      </c>
      <c r="BE17" s="30" t="n">
        <f aca="false">IF(COUNTIFS('Reguler Class Availability'!$L:$L,$B$4&amp;"|- Lane 1 - *|"&amp;BD17)&gt;0,1,0)</f>
        <v>1</v>
      </c>
      <c r="BF17" s="30" t="n">
        <f aca="false">BE17+BF16</f>
        <v>4</v>
      </c>
    </row>
    <row r="18" customFormat="false" ht="39.75" hidden="false" customHeight="true" outlineLevel="0" collapsed="false">
      <c r="A18" s="66" t="str">
        <f aca="false">IFERROR(INDEX($BD$2:$BD$61,MATCH(5,$BF$2:$BF$61,0)),"")</f>
        <v>10:30</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Baby  1/5  (20%)
Danti</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Baby  1/5  (20%)
Zidane</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Kosong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Kosong  0/5  (0%)
coach: –</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Kosong  0/5  (0%)
coach: –</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Baby  5/5  (100%)
Rischa</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Baby  4/5  (80%)
Nuky</v>
      </c>
      <c r="AN18" s="30" t="n">
        <f aca="false">IF($A18="","",IFERROR(MATCH($B$4&amp;"|- Lane 1 - "&amp;B$13&amp;"|"&amp;$A18,'Reguler Class Availability'!$L:$L,0),""))</f>
        <v>5</v>
      </c>
      <c r="AO18" s="30" t="n">
        <f aca="false">IF($A18="","",IFERROR(MATCH($B$4&amp;"|- Lane 1 - "&amp;C$13&amp;"|"&amp;$A18,'Reguler Class Availability'!$L:$L,0),""))</f>
        <v>17</v>
      </c>
      <c r="AP18" s="30" t="n">
        <f aca="false">IF($A18="","",IFERROR(MATCH($B$4&amp;"|- Lane 1 - "&amp;D$13&amp;"|"&amp;$A18,'Reguler Class Availability'!$L:$L,0),""))</f>
        <v>29</v>
      </c>
      <c r="AQ18" s="30" t="n">
        <f aca="false">IF($A18="","",IFERROR(MATCH($B$4&amp;"|- Lane 1 - "&amp;E$13&amp;"|"&amp;$A18,'Reguler Class Availability'!$L:$L,0),""))</f>
        <v>41</v>
      </c>
      <c r="AR18" s="30" t="n">
        <f aca="false">IF($A18="","",IFERROR(MATCH($B$4&amp;"|- Lane 1 - "&amp;F$13&amp;"|"&amp;$A18,'Reguler Class Availability'!$L:$L,0),""))</f>
        <v>53</v>
      </c>
      <c r="AS18" s="30" t="n">
        <f aca="false">IF($A18="","",IFERROR(MATCH($B$4&amp;"|- Lane 1 - "&amp;G$13&amp;"|"&amp;$A18,'Reguler Class Availability'!$L:$L,0),""))</f>
        <v>65</v>
      </c>
      <c r="AT18" s="30" t="n">
        <f aca="false">IF($A18="","",IFERROR(MATCH($B$4&amp;"|- Lane 1 - "&amp;H$13&amp;"|"&amp;$A18,'Reguler Class Availability'!$L:$L,0),""))</f>
        <v>77</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Sebagian</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Sebagian</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Kosong</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Kosong</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Kosong</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Penuh</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Tinggi</v>
      </c>
      <c r="BD18" s="30" t="s">
        <v>125</v>
      </c>
      <c r="BE18" s="30" t="n">
        <f aca="false">IF(COUNTIFS('Reguler Class Availability'!$L:$L,$B$4&amp;"|- Lane 1 - *|"&amp;BD18)&gt;0,1,0)</f>
        <v>0</v>
      </c>
      <c r="BF18" s="30" t="n">
        <f aca="false">BE18+BF17</f>
        <v>4</v>
      </c>
    </row>
    <row r="19" customFormat="false" ht="39.75" hidden="false" customHeight="true" outlineLevel="0" collapsed="false">
      <c r="A19" s="66" t="str">
        <f aca="false">IFERROR(INDEX($BD$2:$BD$61,MATCH(6,$BF$2:$BF$61,0)),"")</f>
        <v>11:15</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Kosong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2/5  (40%)
Zidane</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2/5  (40%)
Nuky</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Kosong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Kosong  0/5  (0%)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Little  4/4  (100%)
Tessa</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Little  4/4  (100%)
Gita</v>
      </c>
      <c r="AN19" s="30" t="n">
        <f aca="false">IF($A19="","",IFERROR(MATCH($B$4&amp;"|- Lane 1 - "&amp;B$13&amp;"|"&amp;$A19,'Reguler Class Availability'!$L:$L,0),""))</f>
        <v>6</v>
      </c>
      <c r="AO19" s="30" t="n">
        <f aca="false">IF($A19="","",IFERROR(MATCH($B$4&amp;"|- Lane 1 - "&amp;C$13&amp;"|"&amp;$A19,'Reguler Class Availability'!$L:$L,0),""))</f>
        <v>18</v>
      </c>
      <c r="AP19" s="30" t="n">
        <f aca="false">IF($A19="","",IFERROR(MATCH($B$4&amp;"|- Lane 1 - "&amp;D$13&amp;"|"&amp;$A19,'Reguler Class Availability'!$L:$L,0),""))</f>
        <v>30</v>
      </c>
      <c r="AQ19" s="30" t="n">
        <f aca="false">IF($A19="","",IFERROR(MATCH($B$4&amp;"|- Lane 1 - "&amp;E$13&amp;"|"&amp;$A19,'Reguler Class Availability'!$L:$L,0),""))</f>
        <v>42</v>
      </c>
      <c r="AR19" s="30" t="n">
        <f aca="false">IF($A19="","",IFERROR(MATCH($B$4&amp;"|- Lane 1 - "&amp;F$13&amp;"|"&amp;$A19,'Reguler Class Availability'!$L:$L,0),""))</f>
        <v>54</v>
      </c>
      <c r="AS19" s="30" t="n">
        <f aca="false">IF($A19="","",IFERROR(MATCH($B$4&amp;"|- Lane 1 - "&amp;G$13&amp;"|"&amp;$A19,'Reguler Class Availability'!$L:$L,0),""))</f>
        <v>66</v>
      </c>
      <c r="AT19" s="30" t="n">
        <f aca="false">IF($A19="","",IFERROR(MATCH($B$4&amp;"|- Lane 1 - "&amp;H$13&amp;"|"&amp;$A19,'Reguler Class Availability'!$L:$L,0),""))</f>
        <v>78</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Kosong</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Sebagian</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Sebagian</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Kosong</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Kosong</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Penuh</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Penuh</v>
      </c>
      <c r="BD19" s="30" t="s">
        <v>126</v>
      </c>
      <c r="BE19" s="30" t="n">
        <f aca="false">IF(COUNTIFS('Reguler Class Availability'!$L:$L,$B$4&amp;"|- Lane 1 - *|"&amp;BD19)&gt;0,1,0)</f>
        <v>0</v>
      </c>
      <c r="BF19" s="30" t="n">
        <f aca="false">BE19+BF18</f>
        <v>4</v>
      </c>
    </row>
    <row r="20" customFormat="false" ht="39.75" hidden="false" customHeight="true" outlineLevel="0" collapsed="false">
      <c r="A20" s="66" t="str">
        <f aca="false">IFERROR(INDEX($BD$2:$BD$61,MATCH(7,$BF$2:$BF$61,0)),"")</f>
        <v>12:00</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Baby  3/5  (60%)
Danti</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Little  2/4  (50%)
Daffa</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Kosong  0/5  (0%)
coach: –</v>
      </c>
      <c r="AN20" s="30" t="n">
        <f aca="false">IF($A20="","",IFERROR(MATCH($B$4&amp;"|- Lane 1 - "&amp;B$13&amp;"|"&amp;$A20,'Reguler Class Availability'!$L:$L,0),""))</f>
        <v>7</v>
      </c>
      <c r="AO20" s="30" t="n">
        <f aca="false">IF($A20="","",IFERROR(MATCH($B$4&amp;"|- Lane 1 - "&amp;C$13&amp;"|"&amp;$A20,'Reguler Class Availability'!$L:$L,0),""))</f>
        <v>19</v>
      </c>
      <c r="AP20" s="30" t="n">
        <f aca="false">IF($A20="","",IFERROR(MATCH($B$4&amp;"|- Lane 1 - "&amp;D$13&amp;"|"&amp;$A20,'Reguler Class Availability'!$L:$L,0),""))</f>
        <v>31</v>
      </c>
      <c r="AQ20" s="30" t="n">
        <f aca="false">IF($A20="","",IFERROR(MATCH($B$4&amp;"|- Lane 1 - "&amp;E$13&amp;"|"&amp;$A20,'Reguler Class Availability'!$L:$L,0),""))</f>
        <v>43</v>
      </c>
      <c r="AR20" s="30" t="n">
        <f aca="false">IF($A20="","",IFERROR(MATCH($B$4&amp;"|- Lane 1 - "&amp;F$13&amp;"|"&amp;$A20,'Reguler Class Availability'!$L:$L,0),""))</f>
        <v>55</v>
      </c>
      <c r="AS20" s="30" t="n">
        <f aca="false">IF($A20="","",IFERROR(MATCH($B$4&amp;"|- Lane 1 - "&amp;G$13&amp;"|"&amp;$A20,'Reguler Class Availability'!$L:$L,0),""))</f>
        <v>67</v>
      </c>
      <c r="AT20" s="30" t="n">
        <f aca="false">IF($A20="","",IFERROR(MATCH($B$4&amp;"|- Lane 1 - "&amp;H$13&amp;"|"&amp;$A20,'Reguler Class Availability'!$L:$L,0),""))</f>
        <v>79</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Tinggi</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Tidak dibuka</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Tidak dibuka</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Tidak dibuka</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Tidak dibuka</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Sebagian</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Kosong</v>
      </c>
      <c r="BD20" s="30" t="s">
        <v>127</v>
      </c>
      <c r="BE20" s="30" t="n">
        <f aca="false">IF(COUNTIFS('Reguler Class Availability'!$L:$L,$B$4&amp;"|- Lane 1 - *|"&amp;BD20)&gt;0,1,0)</f>
        <v>1</v>
      </c>
      <c r="BF20" s="30" t="n">
        <f aca="false">BE20+BF19</f>
        <v>5</v>
      </c>
    </row>
    <row r="21" customFormat="false" ht="39.75" hidden="false" customHeight="true" outlineLevel="0" collapsed="false">
      <c r="A21" s="66" t="str">
        <f aca="false">IFERROR(INDEX($BD$2:$BD$61,MATCH(8,$BF$2:$BF$61,0)),"")</f>
        <v>13:30</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Little  1/4  (25%)
Gita</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Kosong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Baby  0/5  (0%)
coach: –</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Kosong  0/5  (0%)
coach: –</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Kosong  0/5  (0%)
coach: –</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5/5  (100%)
Danti</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3/5  (60%)
Eka</v>
      </c>
      <c r="AN21" s="30" t="n">
        <f aca="false">IF($A21="","",IFERROR(MATCH($B$4&amp;"|- Lane 1 - "&amp;B$13&amp;"|"&amp;$A21,'Reguler Class Availability'!$L:$L,0),""))</f>
        <v>8</v>
      </c>
      <c r="AO21" s="30" t="n">
        <f aca="false">IF($A21="","",IFERROR(MATCH($B$4&amp;"|- Lane 1 - "&amp;C$13&amp;"|"&amp;$A21,'Reguler Class Availability'!$L:$L,0),""))</f>
        <v>20</v>
      </c>
      <c r="AP21" s="30" t="n">
        <f aca="false">IF($A21="","",IFERROR(MATCH($B$4&amp;"|- Lane 1 - "&amp;D$13&amp;"|"&amp;$A21,'Reguler Class Availability'!$L:$L,0),""))</f>
        <v>32</v>
      </c>
      <c r="AQ21" s="30" t="n">
        <f aca="false">IF($A21="","",IFERROR(MATCH($B$4&amp;"|- Lane 1 - "&amp;E$13&amp;"|"&amp;$A21,'Reguler Class Availability'!$L:$L,0),""))</f>
        <v>44</v>
      </c>
      <c r="AR21" s="30" t="n">
        <f aca="false">IF($A21="","",IFERROR(MATCH($B$4&amp;"|- Lane 1 - "&amp;F$13&amp;"|"&amp;$A21,'Reguler Class Availability'!$L:$L,0),""))</f>
        <v>56</v>
      </c>
      <c r="AS21" s="30" t="n">
        <f aca="false">IF($A21="","",IFERROR(MATCH($B$4&amp;"|- Lane 1 - "&amp;G$13&amp;"|"&amp;$A21,'Reguler Class Availability'!$L:$L,0),""))</f>
        <v>68</v>
      </c>
      <c r="AT21" s="30" t="n">
        <f aca="false">IF($A21="","",IFERROR(MATCH($B$4&amp;"|- Lane 1 - "&amp;H$13&amp;"|"&amp;$A21,'Reguler Class Availability'!$L:$L,0),""))</f>
        <v>80</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Sebagian</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Kosong</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Belum terisi</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Kosong</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Kosong</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Penuh</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Tinggi</v>
      </c>
      <c r="BD21" s="30" t="s">
        <v>128</v>
      </c>
      <c r="BE21" s="30" t="n">
        <f aca="false">IF(COUNTIFS('Reguler Class Availability'!$L:$L,$B$4&amp;"|- Lane 1 - *|"&amp;BD21)&gt;0,1,0)</f>
        <v>0</v>
      </c>
      <c r="BF21" s="30" t="n">
        <f aca="false">BE21+BF20</f>
        <v>5</v>
      </c>
    </row>
    <row r="22" customFormat="false" ht="39.75" hidden="false" customHeight="true" outlineLevel="0" collapsed="false">
      <c r="A22" s="66" t="str">
        <f aca="false">IFERROR(INDEX($BD$2:$BD$61,MATCH(9,$BF$2:$BF$61,0)),"")</f>
        <v>14:15</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Kosong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Kosong  0/5  (0%)
coach: –</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Kosong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Kids  1/5  (20%)
Tessa</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Kids  3/4  (75%)
Tessa</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Kids  4/4  (100%)
Daffa</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Kids  4/4  (100%)
Danti</v>
      </c>
      <c r="AN22" s="30" t="n">
        <f aca="false">IF($A22="","",IFERROR(MATCH($B$4&amp;"|- Lane 1 - "&amp;B$13&amp;"|"&amp;$A22,'Reguler Class Availability'!$L:$L,0),""))</f>
        <v>9</v>
      </c>
      <c r="AO22" s="30" t="n">
        <f aca="false">IF($A22="","",IFERROR(MATCH($B$4&amp;"|- Lane 1 - "&amp;C$13&amp;"|"&amp;$A22,'Reguler Class Availability'!$L:$L,0),""))</f>
        <v>21</v>
      </c>
      <c r="AP22" s="30" t="n">
        <f aca="false">IF($A22="","",IFERROR(MATCH($B$4&amp;"|- Lane 1 - "&amp;D$13&amp;"|"&amp;$A22,'Reguler Class Availability'!$L:$L,0),""))</f>
        <v>33</v>
      </c>
      <c r="AQ22" s="30" t="n">
        <f aca="false">IF($A22="","",IFERROR(MATCH($B$4&amp;"|- Lane 1 - "&amp;E$13&amp;"|"&amp;$A22,'Reguler Class Availability'!$L:$L,0),""))</f>
        <v>45</v>
      </c>
      <c r="AR22" s="30" t="n">
        <f aca="false">IF($A22="","",IFERROR(MATCH($B$4&amp;"|- Lane 1 - "&amp;F$13&amp;"|"&amp;$A22,'Reguler Class Availability'!$L:$L,0),""))</f>
        <v>57</v>
      </c>
      <c r="AS22" s="30" t="n">
        <f aca="false">IF($A22="","",IFERROR(MATCH($B$4&amp;"|- Lane 1 - "&amp;G$13&amp;"|"&amp;$A22,'Reguler Class Availability'!$L:$L,0),""))</f>
        <v>69</v>
      </c>
      <c r="AT22" s="30" t="n">
        <f aca="false">IF($A22="","",IFERROR(MATCH($B$4&amp;"|- Lane 1 - "&amp;H$13&amp;"|"&amp;$A22,'Reguler Class Availability'!$L:$L,0),""))</f>
        <v>81</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Kosong</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Kosong</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Kosong</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Sebagian</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Tinggi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Penuh</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Penuh</v>
      </c>
      <c r="BD22" s="30" t="s">
        <v>129</v>
      </c>
      <c r="BE22" s="30" t="n">
        <f aca="false">IF(COUNTIFS('Reguler Class Availability'!$L:$L,$B$4&amp;"|- Lane 1 - *|"&amp;BD22)&gt;0,1,0)</f>
        <v>0</v>
      </c>
      <c r="BF22" s="30" t="n">
        <f aca="false">BE22+BF21</f>
        <v>5</v>
      </c>
    </row>
    <row r="23" customFormat="false" ht="39.75" hidden="false" customHeight="true" outlineLevel="0" collapsed="false">
      <c r="A23" s="66" t="str">
        <f aca="false">IFERROR(INDEX($BD$2:$BD$61,MATCH(10,$BF$2:$BF$61,0)),"")</f>
        <v>15:00</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Little  2/0
Gita</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Kids  4/0
Tessa</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Baby  1/0
Zidane</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1/0
Tessa</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Little  3/4  (75%)
Dian</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5/5  (100%)
Eka</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4/5  (80%)
Zidane</v>
      </c>
      <c r="AN23" s="30" t="n">
        <f aca="false">IF($A23="","",IFERROR(MATCH($B$4&amp;"|- Lane 1 - "&amp;B$13&amp;"|"&amp;$A23,'Reguler Class Availability'!$L:$L,0),""))</f>
        <v>10</v>
      </c>
      <c r="AO23" s="30" t="n">
        <f aca="false">IF($A23="","",IFERROR(MATCH($B$4&amp;"|- Lane 1 - "&amp;C$13&amp;"|"&amp;$A23,'Reguler Class Availability'!$L:$L,0),""))</f>
        <v>22</v>
      </c>
      <c r="AP23" s="30" t="n">
        <f aca="false">IF($A23="","",IFERROR(MATCH($B$4&amp;"|- Lane 1 - "&amp;D$13&amp;"|"&amp;$A23,'Reguler Class Availability'!$L:$L,0),""))</f>
        <v>34</v>
      </c>
      <c r="AQ23" s="30" t="n">
        <f aca="false">IF($A23="","",IFERROR(MATCH($B$4&amp;"|- Lane 1 - "&amp;E$13&amp;"|"&amp;$A23,'Reguler Class Availability'!$L:$L,0),""))</f>
        <v>46</v>
      </c>
      <c r="AR23" s="30" t="n">
        <f aca="false">IF($A23="","",IFERROR(MATCH($B$4&amp;"|- Lane 1 - "&amp;F$13&amp;"|"&amp;$A23,'Reguler Class Availability'!$L:$L,0),""))</f>
        <v>58</v>
      </c>
      <c r="AS23" s="30" t="n">
        <f aca="false">IF($A23="","",IFERROR(MATCH($B$4&amp;"|- Lane 1 - "&amp;G$13&amp;"|"&amp;$A23,'Reguler Class Availability'!$L:$L,0),""))</f>
        <v>70</v>
      </c>
      <c r="AT23" s="30" t="n">
        <f aca="false">IF($A23="","",IFERROR(MATCH($B$4&amp;"|- Lane 1 - "&amp;H$13&amp;"|"&amp;$A23,'Reguler Class Availability'!$L:$L,0),""))</f>
        <v>82</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Lebih</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Lebih</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Lebih</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Lebih</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Tinggi</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Penuh</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Tinggi</v>
      </c>
      <c r="BD23" s="30" t="s">
        <v>130</v>
      </c>
      <c r="BE23" s="30" t="n">
        <f aca="false">IF(COUNTIFS('Reguler Class Availability'!$L:$L,$B$4&amp;"|- Lane 1 - *|"&amp;BD23)&gt;0,1,0)</f>
        <v>1</v>
      </c>
      <c r="BF23" s="30" t="n">
        <f aca="false">BE23+BF22</f>
        <v>6</v>
      </c>
    </row>
    <row r="24" customFormat="false" ht="39.75" hidden="false" customHeight="true" outlineLevel="0" collapsed="false">
      <c r="A24" s="66" t="str">
        <f aca="false">IFERROR(INDEX($BD$2:$BD$61,MATCH(11,$BF$2:$BF$61,0)),"")</f>
        <v>15:45</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Little  3/0
Gita</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Kids  1/0
Daffa</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Kids  4/4  (100%)
Surya</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Little  4/4  (100%)
Daffa</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Kids  2/4  (50%)
Zidane</v>
      </c>
      <c r="AN24" s="30" t="n">
        <f aca="false">IF($A24="","",IFERROR(MATCH($B$4&amp;"|- Lane 1 - "&amp;B$13&amp;"|"&amp;$A24,'Reguler Class Availability'!$L:$L,0),""))</f>
        <v>11</v>
      </c>
      <c r="AO24" s="30" t="n">
        <f aca="false">IF($A24="","",IFERROR(MATCH($B$4&amp;"|- Lane 1 - "&amp;C$13&amp;"|"&amp;$A24,'Reguler Class Availability'!$L:$L,0),""))</f>
        <v>23</v>
      </c>
      <c r="AP24" s="30" t="n">
        <f aca="false">IF($A24="","",IFERROR(MATCH($B$4&amp;"|- Lane 1 - "&amp;D$13&amp;"|"&amp;$A24,'Reguler Class Availability'!$L:$L,0),""))</f>
        <v>35</v>
      </c>
      <c r="AQ24" s="30" t="n">
        <f aca="false">IF($A24="","",IFERROR(MATCH($B$4&amp;"|- Lane 1 - "&amp;E$13&amp;"|"&amp;$A24,'Reguler Class Availability'!$L:$L,0),""))</f>
        <v>47</v>
      </c>
      <c r="AR24" s="30" t="n">
        <f aca="false">IF($A24="","",IFERROR(MATCH($B$4&amp;"|- Lane 1 - "&amp;F$13&amp;"|"&amp;$A24,'Reguler Class Availability'!$L:$L,0),""))</f>
        <v>59</v>
      </c>
      <c r="AS24" s="30" t="n">
        <f aca="false">IF($A24="","",IFERROR(MATCH($B$4&amp;"|- Lane 1 - "&amp;G$13&amp;"|"&amp;$A24,'Reguler Class Availability'!$L:$L,0),""))</f>
        <v>71</v>
      </c>
      <c r="AT24" s="30" t="n">
        <f aca="false">IF($A24="","",IFERROR(MATCH($B$4&amp;"|- Lane 1 - "&amp;H$13&amp;"|"&amp;$A24,'Reguler Class Availability'!$L:$L,0),""))</f>
        <v>83</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Tidak dibuka</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Tidak dibuka</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Lebih</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Lebih</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Penuh</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Penuh</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Sebagian</v>
      </c>
      <c r="BD24" s="30" t="s">
        <v>131</v>
      </c>
      <c r="BE24" s="30" t="n">
        <f aca="false">IF(COUNTIFS('Reguler Class Availability'!$L:$L,$B$4&amp;"|- Lane 1 - *|"&amp;BD24)&gt;0,1,0)</f>
        <v>0</v>
      </c>
      <c r="BF24" s="30" t="n">
        <f aca="false">BE24+BF23</f>
        <v>6</v>
      </c>
    </row>
    <row r="25" customFormat="false" ht="39.75" hidden="false" customHeight="true" outlineLevel="0" collapsed="false">
      <c r="A25" s="66" t="str">
        <f aca="false">IFERROR(INDEX($BD$2:$BD$61,MATCH(12,$BF$2:$BF$61,0)),"")</f>
        <v>16:30</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Kids  3/5  (60%)
Gita</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Kosong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Kosong  0/5  (0%)
coach: –</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Kids  4/4  (100%)
Tessa</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Little  3/4  (75%)
Tessa</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4/5  (80%)
Danti</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Little  1/4  (25%)
Dian</v>
      </c>
      <c r="AN25" s="30" t="n">
        <f aca="false">IF($A25="","",IFERROR(MATCH($B$4&amp;"|- Lane 1 - "&amp;B$13&amp;"|"&amp;$A25,'Reguler Class Availability'!$L:$L,0),""))</f>
        <v>12</v>
      </c>
      <c r="AO25" s="30" t="n">
        <f aca="false">IF($A25="","",IFERROR(MATCH($B$4&amp;"|- Lane 1 - "&amp;C$13&amp;"|"&amp;$A25,'Reguler Class Availability'!$L:$L,0),""))</f>
        <v>24</v>
      </c>
      <c r="AP25" s="30" t="n">
        <f aca="false">IF($A25="","",IFERROR(MATCH($B$4&amp;"|- Lane 1 - "&amp;D$13&amp;"|"&amp;$A25,'Reguler Class Availability'!$L:$L,0),""))</f>
        <v>36</v>
      </c>
      <c r="AQ25" s="30" t="n">
        <f aca="false">IF($A25="","",IFERROR(MATCH($B$4&amp;"|- Lane 1 - "&amp;E$13&amp;"|"&amp;$A25,'Reguler Class Availability'!$L:$L,0),""))</f>
        <v>48</v>
      </c>
      <c r="AR25" s="30" t="n">
        <f aca="false">IF($A25="","",IFERROR(MATCH($B$4&amp;"|- Lane 1 - "&amp;F$13&amp;"|"&amp;$A25,'Reguler Class Availability'!$L:$L,0),""))</f>
        <v>60</v>
      </c>
      <c r="AS25" s="30" t="n">
        <f aca="false">IF($A25="","",IFERROR(MATCH($B$4&amp;"|- Lane 1 - "&amp;G$13&amp;"|"&amp;$A25,'Reguler Class Availability'!$L:$L,0),""))</f>
        <v>72</v>
      </c>
      <c r="AT25" s="30" t="n">
        <f aca="false">IF($A25="","",IFERROR(MATCH($B$4&amp;"|- Lane 1 - "&amp;H$13&amp;"|"&amp;$A25,'Reguler Class Availability'!$L:$L,0),""))</f>
        <v>84</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Tinggi</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Kosong</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Kosong</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Penuh</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Tinggi</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Tinggi</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Sebagian</v>
      </c>
      <c r="BD25" s="30" t="s">
        <v>132</v>
      </c>
      <c r="BE25" s="30" t="n">
        <f aca="false">IF(COUNTIFS('Reguler Class Availability'!$L:$L,$B$4&amp;"|- Lane 1 - *|"&amp;BD25)&gt;0,1,0)</f>
        <v>0</v>
      </c>
      <c r="BF25" s="30" t="n">
        <f aca="false">BE25+BF24</f>
        <v>6</v>
      </c>
    </row>
    <row r="26" customFormat="false" ht="39.75" hidden="false" customHeight="true" outlineLevel="0" collapsed="false">
      <c r="A26" s="66" t="str">
        <f aca="false">IFERROR(INDEX($BD$2:$BD$61,MATCH(13,$BF$2:$BF$61,0)),"")</f>
        <v>17:15</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Baby  2/5  (40%)
Rischa</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Baby  4/5  (80%)
Danti</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Kosong  0/5  (0%)
coach: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Kosong  0/5  (0%)
coach: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Baby  5/5  (100%)
Nuky</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Kosong  0/5  (0%)
coach: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Kosong  0/5  (0%)
coach: –</v>
      </c>
      <c r="AN26" s="30" t="n">
        <f aca="false">IF($A26="","",IFERROR(MATCH($B$4&amp;"|- Lane 1 - "&amp;B$13&amp;"|"&amp;$A26,'Reguler Class Availability'!$L:$L,0),""))</f>
        <v>13</v>
      </c>
      <c r="AO26" s="30" t="n">
        <f aca="false">IF($A26="","",IFERROR(MATCH($B$4&amp;"|- Lane 1 - "&amp;C$13&amp;"|"&amp;$A26,'Reguler Class Availability'!$L:$L,0),""))</f>
        <v>25</v>
      </c>
      <c r="AP26" s="30" t="n">
        <f aca="false">IF($A26="","",IFERROR(MATCH($B$4&amp;"|- Lane 1 - "&amp;D$13&amp;"|"&amp;$A26,'Reguler Class Availability'!$L:$L,0),""))</f>
        <v>37</v>
      </c>
      <c r="AQ26" s="30" t="n">
        <f aca="false">IF($A26="","",IFERROR(MATCH($B$4&amp;"|- Lane 1 - "&amp;E$13&amp;"|"&amp;$A26,'Reguler Class Availability'!$L:$L,0),""))</f>
        <v>49</v>
      </c>
      <c r="AR26" s="30" t="n">
        <f aca="false">IF($A26="","",IFERROR(MATCH($B$4&amp;"|- Lane 1 - "&amp;F$13&amp;"|"&amp;$A26,'Reguler Class Availability'!$L:$L,0),""))</f>
        <v>61</v>
      </c>
      <c r="AS26" s="30" t="n">
        <f aca="false">IF($A26="","",IFERROR(MATCH($B$4&amp;"|- Lane 1 - "&amp;G$13&amp;"|"&amp;$A26,'Reguler Class Availability'!$L:$L,0),""))</f>
        <v>73</v>
      </c>
      <c r="AT26" s="30" t="n">
        <f aca="false">IF($A26="","",IFERROR(MATCH($B$4&amp;"|- Lane 1 - "&amp;H$13&amp;"|"&amp;$A26,'Reguler Class Availability'!$L:$L,0),""))</f>
        <v>85</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Sebagian</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Tinggi</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Kosong</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Kosong</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Penuh</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Kosong</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Kosong</v>
      </c>
      <c r="BD26" s="30" t="s">
        <v>133</v>
      </c>
      <c r="BE26" s="30" t="n">
        <f aca="false">IF(COUNTIFS('Reguler Class Availability'!$L:$L,$B$4&amp;"|- Lane 1 - *|"&amp;BD26)&gt;0,1,0)</f>
        <v>1</v>
      </c>
      <c r="BF26" s="30" t="n">
        <f aca="false">BE26+BF25</f>
        <v>7</v>
      </c>
    </row>
    <row r="27" customFormat="false" ht="39.75" hidden="false" customHeight="true" outlineLevel="0" collapsed="false">
      <c r="A27" s="66" t="str">
        <f aca="false">IFERROR(INDEX($BD$2:$BD$61,MATCH(14,$BF$2:$BF$61,0)),"")</f>
        <v>18:00</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Star  0/8  (0%)
coach: –</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Star  0/8  (0%)
coach: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Star  0/8  (0%)
coach: –</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Star  0/8  (0%)
coach: –</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Star  0/8  (0%)
coach: –</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Star  0/8  (0%)
coach: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Star  0/8  (0%)
coach: –</v>
      </c>
      <c r="AN27" s="30" t="n">
        <f aca="false">IF($A27="","",IFERROR(MATCH($B$4&amp;"|- Lane 1 - "&amp;B$13&amp;"|"&amp;$A27,'Reguler Class Availability'!$L:$L,0),""))</f>
        <v>93</v>
      </c>
      <c r="AO27" s="30" t="n">
        <f aca="false">IF($A27="","",IFERROR(MATCH($B$4&amp;"|- Lane 1 - "&amp;C$13&amp;"|"&amp;$A27,'Reguler Class Availability'!$L:$L,0),""))</f>
        <v>94</v>
      </c>
      <c r="AP27" s="30" t="n">
        <f aca="false">IF($A27="","",IFERROR(MATCH($B$4&amp;"|- Lane 1 - "&amp;D$13&amp;"|"&amp;$A27,'Reguler Class Availability'!$L:$L,0),""))</f>
        <v>95</v>
      </c>
      <c r="AQ27" s="30" t="n">
        <f aca="false">IF($A27="","",IFERROR(MATCH($B$4&amp;"|- Lane 1 - "&amp;E$13&amp;"|"&amp;$A27,'Reguler Class Availability'!$L:$L,0),""))</f>
        <v>96</v>
      </c>
      <c r="AR27" s="30" t="n">
        <f aca="false">IF($A27="","",IFERROR(MATCH($B$4&amp;"|- Lane 1 - "&amp;F$13&amp;"|"&amp;$A27,'Reguler Class Availability'!$L:$L,0),""))</f>
        <v>97</v>
      </c>
      <c r="AS27" s="30" t="n">
        <f aca="false">IF($A27="","",IFERROR(MATCH($B$4&amp;"|- Lane 1 - "&amp;G$13&amp;"|"&amp;$A27,'Reguler Class Availability'!$L:$L,0),""))</f>
        <v>98</v>
      </c>
      <c r="AT27" s="30" t="n">
        <f aca="false">IF($A27="","",IFERROR(MATCH($B$4&amp;"|- Lane 1 - "&amp;H$13&amp;"|"&amp;$A27,'Reguler Class Availability'!$L:$L,0),""))</f>
        <v>99</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Belum terisi</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Belum terisi</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Belum terisi</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Belum terisi</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Belum terisi</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Belum terisi</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Belum terisi</v>
      </c>
      <c r="BD27" s="30" t="s">
        <v>134</v>
      </c>
      <c r="BE27" s="30" t="n">
        <f aca="false">IF(COUNTIFS('Reguler Class Availability'!$L:$L,$B$4&amp;"|- Lane 1 - *|"&amp;BD27)&gt;0,1,0)</f>
        <v>0</v>
      </c>
      <c r="BF27" s="30" t="n">
        <f aca="false">BE27+BF26</f>
        <v>7</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7</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7</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17%</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13%</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13%</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9%</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37%</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64%</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48%</v>
      </c>
      <c r="BD30" s="30" t="s">
        <v>138</v>
      </c>
      <c r="BE30" s="30" t="n">
        <f aca="false">IF(COUNTIFS('Reguler Class Availability'!$L:$L,$B$4&amp;"|- Lane 1 - *|"&amp;BD30)&gt;0,1,0)</f>
        <v>0</v>
      </c>
      <c r="BF30" s="30" t="n">
        <f aca="false">BE30+BF29</f>
        <v>7</v>
      </c>
    </row>
    <row r="31" customFormat="false" ht="15" hidden="false" customHeight="false" outlineLevel="0" collapsed="false">
      <c r="BD31" s="0" t="s">
        <v>139</v>
      </c>
      <c r="BE31" s="0" t="n">
        <f aca="false">IF(COUNTIFS('Reguler Class Availability'!$L:$L,$B$4&amp;"|- Lane 1 - *|"&amp;BD31)&gt;0,1,0)</f>
        <v>0</v>
      </c>
      <c r="BF31" s="0" t="n">
        <f aca="false">BE31+BF30</f>
        <v>7</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48%   ·   Belum terisi: 24   ·   Slot kosong: 0</v>
      </c>
      <c r="D32" s="62"/>
      <c r="E32" s="62"/>
      <c r="F32" s="62"/>
      <c r="G32" s="62"/>
      <c r="H32" s="62"/>
      <c r="BD32" s="30" t="s">
        <v>141</v>
      </c>
      <c r="BE32" s="30" t="n">
        <f aca="false">IF(COUNTIFS('Reguler Class Availability'!$L:$L,$B$4&amp;"|- Lane 1 - *|"&amp;BD32)&gt;0,1,0)</f>
        <v>1</v>
      </c>
      <c r="BF32" s="30" t="n">
        <f aca="false">BE32+BF31</f>
        <v>8</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8</v>
      </c>
    </row>
    <row r="34" customFormat="false" ht="39.75" hidden="false" customHeight="true" outlineLevel="0" collapsed="false">
      <c r="A34" s="66" t="str">
        <f aca="false">IFERROR(INDEX($BD$62:$BD$121,MATCH(1,$BF$62:$BF$121,0)),"")</f>
        <v>08:15</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Tiny  0/0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Tiny  0/0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Tiny  0/0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Tiny  0/0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Tiny  0/0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Tiny  0/0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Tiny  0/0
coach: –</v>
      </c>
      <c r="AN34" s="30" t="n">
        <f aca="false">IF($A34="","",IFERROR(MATCH($B$4&amp;"|- Lane 2 - "&amp;B$33&amp;"|"&amp;$A34,'Reguler Class Availability'!$L:$L,0),""))</f>
        <v>100</v>
      </c>
      <c r="AO34" s="30" t="n">
        <f aca="false">IF($A34="","",IFERROR(MATCH($B$4&amp;"|- Lane 2 - "&amp;C$33&amp;"|"&amp;$A34,'Reguler Class Availability'!$L:$L,0),""))</f>
        <v>112</v>
      </c>
      <c r="AP34" s="30" t="n">
        <f aca="false">IF($A34="","",IFERROR(MATCH($B$4&amp;"|- Lane 2 - "&amp;D$33&amp;"|"&amp;$A34,'Reguler Class Availability'!$L:$L,0),""))</f>
        <v>124</v>
      </c>
      <c r="AQ34" s="30" t="n">
        <f aca="false">IF($A34="","",IFERROR(MATCH($B$4&amp;"|- Lane 2 - "&amp;E$33&amp;"|"&amp;$A34,'Reguler Class Availability'!$L:$L,0),""))</f>
        <v>136</v>
      </c>
      <c r="AR34" s="30" t="n">
        <f aca="false">IF($A34="","",IFERROR(MATCH($B$4&amp;"|- Lane 2 - "&amp;F$33&amp;"|"&amp;$A34,'Reguler Class Availability'!$L:$L,0),""))</f>
        <v>148</v>
      </c>
      <c r="AS34" s="30" t="n">
        <f aca="false">IF($A34="","",IFERROR(MATCH($B$4&amp;"|- Lane 2 - "&amp;G$33&amp;"|"&amp;$A34,'Reguler Class Availability'!$L:$L,0),""))</f>
        <v>160</v>
      </c>
      <c r="AT34" s="30" t="n">
        <f aca="false">IF($A34="","",IFERROR(MATCH($B$4&amp;"|- Lane 2 - "&amp;H$33&amp;"|"&amp;$A34,'Reguler Class Availability'!$L:$L,0),""))</f>
        <v>172</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Tutup</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Tutup</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Tutup</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Tutup</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Tutup</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Tutup</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Tutup</v>
      </c>
      <c r="BD34" s="30" t="s">
        <v>143</v>
      </c>
      <c r="BE34" s="30" t="n">
        <f aca="false">IF(COUNTIFS('Reguler Class Availability'!$L:$L,$B$4&amp;"|- Lane 1 - *|"&amp;BD34)&gt;0,1,0)</f>
        <v>0</v>
      </c>
      <c r="BF34" s="30" t="n">
        <f aca="false">BE34+BF33</f>
        <v>8</v>
      </c>
    </row>
    <row r="35" customFormat="false" ht="39.75" hidden="false" customHeight="true" outlineLevel="0" collapsed="false">
      <c r="A35" s="66" t="str">
        <f aca="false">IFERROR(INDEX($BD$62:$BD$121,MATCH(2,$BF$62:$BF$121,0)),"")</f>
        <v>09:00</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Tiny  3/5  (60%)
Zidane</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Tiny  5/5  (100%)
Zidane</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Tiny  4/5  (80%)
Eka</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Tiny  0/5  (0%)
coach: –</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Tiny  2/5  (40%)
Gita</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Tiny  5/5  (100%)
Rischa</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Tiny  5/5  (100%)
Danti</v>
      </c>
      <c r="AN35" s="30" t="n">
        <f aca="false">IF($A35="","",IFERROR(MATCH($B$4&amp;"|- Lane 2 - "&amp;B$33&amp;"|"&amp;$A35,'Reguler Class Availability'!$L:$L,0),""))</f>
        <v>101</v>
      </c>
      <c r="AO35" s="30" t="n">
        <f aca="false">IF($A35="","",IFERROR(MATCH($B$4&amp;"|- Lane 2 - "&amp;C$33&amp;"|"&amp;$A35,'Reguler Class Availability'!$L:$L,0),""))</f>
        <v>113</v>
      </c>
      <c r="AP35" s="30" t="n">
        <f aca="false">IF($A35="","",IFERROR(MATCH($B$4&amp;"|- Lane 2 - "&amp;D$33&amp;"|"&amp;$A35,'Reguler Class Availability'!$L:$L,0),""))</f>
        <v>125</v>
      </c>
      <c r="AQ35" s="30" t="n">
        <f aca="false">IF($A35="","",IFERROR(MATCH($B$4&amp;"|- Lane 2 - "&amp;E$33&amp;"|"&amp;$A35,'Reguler Class Availability'!$L:$L,0),""))</f>
        <v>137</v>
      </c>
      <c r="AR35" s="30" t="n">
        <f aca="false">IF($A35="","",IFERROR(MATCH($B$4&amp;"|- Lane 2 - "&amp;F$33&amp;"|"&amp;$A35,'Reguler Class Availability'!$L:$L,0),""))</f>
        <v>149</v>
      </c>
      <c r="AS35" s="30" t="n">
        <f aca="false">IF($A35="","",IFERROR(MATCH($B$4&amp;"|- Lane 2 - "&amp;G$33&amp;"|"&amp;$A35,'Reguler Class Availability'!$L:$L,0),""))</f>
        <v>161</v>
      </c>
      <c r="AT35" s="30" t="n">
        <f aca="false">IF($A35="","",IFERROR(MATCH($B$4&amp;"|- Lane 2 - "&amp;H$33&amp;"|"&amp;$A35,'Reguler Class Availability'!$L:$L,0),""))</f>
        <v>173</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Tinggi</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Penuh</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Tinggi</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Belum terisi</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Sebagian</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Penuh</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Penuh</v>
      </c>
      <c r="BD35" s="30" t="s">
        <v>144</v>
      </c>
      <c r="BE35" s="30" t="n">
        <f aca="false">IF(COUNTIFS('Reguler Class Availability'!$L:$L,$B$4&amp;"|- Lane 1 - *|"&amp;BD35)&gt;0,1,0)</f>
        <v>1</v>
      </c>
      <c r="BF35" s="30" t="n">
        <f aca="false">BE35+BF34</f>
        <v>9</v>
      </c>
    </row>
    <row r="36" customFormat="false" ht="39.75" hidden="false" customHeight="true" outlineLevel="0" collapsed="false">
      <c r="A36" s="66" t="str">
        <f aca="false">IFERROR(INDEX($BD$62:$BD$121,MATCH(3,$BF$62:$BF$121,0)),"")</f>
        <v>09:45</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Tiny  3/5  (60%)
Zidane</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Tiny  4/5  (80%)
Rischa</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Tiny  4/5  (80%)
Surya</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Tiny  4/5  (80%)
Eka</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Tiny  5/5  (100%)
Surya</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Tiny  5/5  (100%)
Eka</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Tiny  4/5  (80%)
Rischa</v>
      </c>
      <c r="AN36" s="30" t="n">
        <f aca="false">IF($A36="","",IFERROR(MATCH($B$4&amp;"|- Lane 2 - "&amp;B$33&amp;"|"&amp;$A36,'Reguler Class Availability'!$L:$L,0),""))</f>
        <v>102</v>
      </c>
      <c r="AO36" s="30" t="n">
        <f aca="false">IF($A36="","",IFERROR(MATCH($B$4&amp;"|- Lane 2 - "&amp;C$33&amp;"|"&amp;$A36,'Reguler Class Availability'!$L:$L,0),""))</f>
        <v>114</v>
      </c>
      <c r="AP36" s="30" t="n">
        <f aca="false">IF($A36="","",IFERROR(MATCH($B$4&amp;"|- Lane 2 - "&amp;D$33&amp;"|"&amp;$A36,'Reguler Class Availability'!$L:$L,0),""))</f>
        <v>126</v>
      </c>
      <c r="AQ36" s="30" t="n">
        <f aca="false">IF($A36="","",IFERROR(MATCH($B$4&amp;"|- Lane 2 - "&amp;E$33&amp;"|"&amp;$A36,'Reguler Class Availability'!$L:$L,0),""))</f>
        <v>138</v>
      </c>
      <c r="AR36" s="30" t="n">
        <f aca="false">IF($A36="","",IFERROR(MATCH($B$4&amp;"|- Lane 2 - "&amp;F$33&amp;"|"&amp;$A36,'Reguler Class Availability'!$L:$L,0),""))</f>
        <v>150</v>
      </c>
      <c r="AS36" s="30" t="n">
        <f aca="false">IF($A36="","",IFERROR(MATCH($B$4&amp;"|- Lane 2 - "&amp;G$33&amp;"|"&amp;$A36,'Reguler Class Availability'!$L:$L,0),""))</f>
        <v>162</v>
      </c>
      <c r="AT36" s="30" t="n">
        <f aca="false">IF($A36="","",IFERROR(MATCH($B$4&amp;"|- Lane 2 - "&amp;H$33&amp;"|"&amp;$A36,'Reguler Class Availability'!$L:$L,0),""))</f>
        <v>174</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Tinggi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Tinggi</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Tinggi</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Tinggi</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Penuh</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Penuh</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Tinggi</v>
      </c>
      <c r="BD36" s="30" t="s">
        <v>145</v>
      </c>
      <c r="BE36" s="30" t="n">
        <f aca="false">IF(COUNTIFS('Reguler Class Availability'!$L:$L,$B$4&amp;"|- Lane 1 - *|"&amp;BD36)&gt;0,1,0)</f>
        <v>0</v>
      </c>
      <c r="BF36" s="30" t="n">
        <f aca="false">BE36+BF35</f>
        <v>9</v>
      </c>
    </row>
    <row r="37" customFormat="false" ht="39.75" hidden="false" customHeight="true" outlineLevel="0" collapsed="false">
      <c r="A37" s="66" t="str">
        <f aca="false">IFERROR(INDEX($BD$62:$BD$121,MATCH(4,$BF$62:$BF$121,0)),"")</f>
        <v>10:30</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Tiny  0/5  (0%)
coach: –</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Tiny  3/5  (60%)
Rischa</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Tiny  5/5  (100%)
Surya</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Tiny  0/5  (0%)
coach: –</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Tiny  0/5  (0%)
coach: –</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Tiny  5/5  (100%)
Eka</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Tiny  5/5  (100%)
Danti</v>
      </c>
      <c r="AN37" s="30" t="n">
        <f aca="false">IF($A37="","",IFERROR(MATCH($B$4&amp;"|- Lane 2 - "&amp;B$33&amp;"|"&amp;$A37,'Reguler Class Availability'!$L:$L,0),""))</f>
        <v>103</v>
      </c>
      <c r="AO37" s="30" t="n">
        <f aca="false">IF($A37="","",IFERROR(MATCH($B$4&amp;"|- Lane 2 - "&amp;C$33&amp;"|"&amp;$A37,'Reguler Class Availability'!$L:$L,0),""))</f>
        <v>115</v>
      </c>
      <c r="AP37" s="30" t="n">
        <f aca="false">IF($A37="","",IFERROR(MATCH($B$4&amp;"|- Lane 2 - "&amp;D$33&amp;"|"&amp;$A37,'Reguler Class Availability'!$L:$L,0),""))</f>
        <v>127</v>
      </c>
      <c r="AQ37" s="30" t="n">
        <f aca="false">IF($A37="","",IFERROR(MATCH($B$4&amp;"|- Lane 2 - "&amp;E$33&amp;"|"&amp;$A37,'Reguler Class Availability'!$L:$L,0),""))</f>
        <v>139</v>
      </c>
      <c r="AR37" s="30" t="n">
        <f aca="false">IF($A37="","",IFERROR(MATCH($B$4&amp;"|- Lane 2 - "&amp;F$33&amp;"|"&amp;$A37,'Reguler Class Availability'!$L:$L,0),""))</f>
        <v>151</v>
      </c>
      <c r="AS37" s="30" t="n">
        <f aca="false">IF($A37="","",IFERROR(MATCH($B$4&amp;"|- Lane 2 - "&amp;G$33&amp;"|"&amp;$A37,'Reguler Class Availability'!$L:$L,0),""))</f>
        <v>163</v>
      </c>
      <c r="AT37" s="30" t="n">
        <f aca="false">IF($A37="","",IFERROR(MATCH($B$4&amp;"|- Lane 2 - "&amp;H$33&amp;"|"&amp;$A37,'Reguler Class Availability'!$L:$L,0),""))</f>
        <v>175</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Belum terisi</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Tinggi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Penuh</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Belum terisi</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Belum terisi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Penuh</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Penuh</v>
      </c>
      <c r="BD37" s="30" t="s">
        <v>146</v>
      </c>
      <c r="BE37" s="30" t="n">
        <f aca="false">IF(COUNTIFS('Reguler Class Availability'!$L:$L,$B$4&amp;"|- Lane 1 - *|"&amp;BD37)&gt;0,1,0)</f>
        <v>0</v>
      </c>
      <c r="BF37" s="30" t="n">
        <f aca="false">BE37+BF36</f>
        <v>9</v>
      </c>
    </row>
    <row r="38" customFormat="false" ht="39.75" hidden="false" customHeight="true" outlineLevel="0" collapsed="false">
      <c r="A38" s="66" t="str">
        <f aca="false">IFERROR(INDEX($BD$62:$BD$121,MATCH(5,$BF$62:$BF$121,0)),"")</f>
        <v>11:15</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Tiny  0/5  (0%)
coach: –</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Tiny  0/5  (0%)
coach: –</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Tiny  0/5  (0%)
coach: –</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Tiny  0/5  (0%)
coach: –</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Tiny  0/5  (0%)
coach: –</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Tiny  4/5  (80%)
Nuky</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Tiny  5/5  (100%)
Surya</v>
      </c>
      <c r="AN38" s="30" t="n">
        <f aca="false">IF($A38="","",IFERROR(MATCH($B$4&amp;"|- Lane 2 - "&amp;B$33&amp;"|"&amp;$A38,'Reguler Class Availability'!$L:$L,0),""))</f>
        <v>104</v>
      </c>
      <c r="AO38" s="30" t="n">
        <f aca="false">IF($A38="","",IFERROR(MATCH($B$4&amp;"|- Lane 2 - "&amp;C$33&amp;"|"&amp;$A38,'Reguler Class Availability'!$L:$L,0),""))</f>
        <v>116</v>
      </c>
      <c r="AP38" s="30" t="n">
        <f aca="false">IF($A38="","",IFERROR(MATCH($B$4&amp;"|- Lane 2 - "&amp;D$33&amp;"|"&amp;$A38,'Reguler Class Availability'!$L:$L,0),""))</f>
        <v>128</v>
      </c>
      <c r="AQ38" s="30" t="n">
        <f aca="false">IF($A38="","",IFERROR(MATCH($B$4&amp;"|- Lane 2 - "&amp;E$33&amp;"|"&amp;$A38,'Reguler Class Availability'!$L:$L,0),""))</f>
        <v>140</v>
      </c>
      <c r="AR38" s="30" t="n">
        <f aca="false">IF($A38="","",IFERROR(MATCH($B$4&amp;"|- Lane 2 - "&amp;F$33&amp;"|"&amp;$A38,'Reguler Class Availability'!$L:$L,0),""))</f>
        <v>152</v>
      </c>
      <c r="AS38" s="30" t="n">
        <f aca="false">IF($A38="","",IFERROR(MATCH($B$4&amp;"|- Lane 2 - "&amp;G$33&amp;"|"&amp;$A38,'Reguler Class Availability'!$L:$L,0),""))</f>
        <v>164</v>
      </c>
      <c r="AT38" s="30" t="n">
        <f aca="false">IF($A38="","",IFERROR(MATCH($B$4&amp;"|- Lane 2 - "&amp;H$33&amp;"|"&amp;$A38,'Reguler Class Availability'!$L:$L,0),""))</f>
        <v>176</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Belum terisi</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Belum terisi</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Belum terisi</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Belum terisi</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Belum terisi</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Tinggi</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Penuh</v>
      </c>
      <c r="BD38" s="30" t="s">
        <v>147</v>
      </c>
      <c r="BE38" s="30" t="n">
        <f aca="false">IF(COUNTIFS('Reguler Class Availability'!$L:$L,$B$4&amp;"|- Lane 1 - *|"&amp;BD38)&gt;0,1,0)</f>
        <v>1</v>
      </c>
      <c r="BF38" s="30" t="n">
        <f aca="false">BE38+BF37</f>
        <v>10</v>
      </c>
    </row>
    <row r="39" customFormat="false" ht="39.75" hidden="false" customHeight="true" outlineLevel="0" collapsed="false">
      <c r="A39" s="66" t="str">
        <f aca="false">IFERROR(INDEX($BD$62:$BD$121,MATCH(6,$BF$62:$BF$121,0)),"")</f>
        <v>12:00</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Tiny  0/0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Tiny  0/0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Tiny  0/0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Tiny  0/0
coach: –</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Tiny  0/0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Kids  4/4  (100%)
Tessa</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Tiny  2/5  (40%)
Tessa</v>
      </c>
      <c r="AN39" s="30" t="n">
        <f aca="false">IF($A39="","",IFERROR(MATCH($B$4&amp;"|- Lane 2 - "&amp;B$33&amp;"|"&amp;$A39,'Reguler Class Availability'!$L:$L,0),""))</f>
        <v>105</v>
      </c>
      <c r="AO39" s="30" t="n">
        <f aca="false">IF($A39="","",IFERROR(MATCH($B$4&amp;"|- Lane 2 - "&amp;C$33&amp;"|"&amp;$A39,'Reguler Class Availability'!$L:$L,0),""))</f>
        <v>117</v>
      </c>
      <c r="AP39" s="30" t="n">
        <f aca="false">IF($A39="","",IFERROR(MATCH($B$4&amp;"|- Lane 2 - "&amp;D$33&amp;"|"&amp;$A39,'Reguler Class Availability'!$L:$L,0),""))</f>
        <v>129</v>
      </c>
      <c r="AQ39" s="30" t="n">
        <f aca="false">IF($A39="","",IFERROR(MATCH($B$4&amp;"|- Lane 2 - "&amp;E$33&amp;"|"&amp;$A39,'Reguler Class Availability'!$L:$L,0),""))</f>
        <v>141</v>
      </c>
      <c r="AR39" s="30" t="n">
        <f aca="false">IF($A39="","",IFERROR(MATCH($B$4&amp;"|- Lane 2 - "&amp;F$33&amp;"|"&amp;$A39,'Reguler Class Availability'!$L:$L,0),""))</f>
        <v>153</v>
      </c>
      <c r="AS39" s="30" t="n">
        <f aca="false">IF($A39="","",IFERROR(MATCH($B$4&amp;"|- Lane 2 - "&amp;G$33&amp;"|"&amp;$A39,'Reguler Class Availability'!$L:$L,0),""))</f>
        <v>165</v>
      </c>
      <c r="AT39" s="30" t="n">
        <f aca="false">IF($A39="","",IFERROR(MATCH($B$4&amp;"|- Lane 2 - "&amp;H$33&amp;"|"&amp;$A39,'Reguler Class Availability'!$L:$L,0),""))</f>
        <v>177</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Tutup</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Tutup</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Tutup</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Tutup</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Tutup</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Penuh</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Sebagian</v>
      </c>
      <c r="BD39" s="30" t="s">
        <v>148</v>
      </c>
      <c r="BE39" s="30" t="n">
        <f aca="false">IF(COUNTIFS('Reguler Class Availability'!$L:$L,$B$4&amp;"|- Lane 1 - *|"&amp;BD39)&gt;0,1,0)</f>
        <v>0</v>
      </c>
      <c r="BF39" s="30" t="n">
        <f aca="false">BE39+BF38</f>
        <v>10</v>
      </c>
    </row>
    <row r="40" customFormat="false" ht="39.75" hidden="false" customHeight="true" outlineLevel="0" collapsed="false">
      <c r="A40" s="66" t="str">
        <f aca="false">IFERROR(INDEX($BD$62:$BD$121,MATCH(7,$BF$62:$BF$121,0)),"")</f>
        <v>13:30</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Tiny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Tiny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Tiny  0/5  (0%)
coach: –</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Tiny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Tiny  0/5  (0%)
coach: –</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Tiny  3/5  (60%)
Zidane</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Tiny  4/5  (80%)
Surya</v>
      </c>
      <c r="AN40" s="30" t="n">
        <f aca="false">IF($A40="","",IFERROR(MATCH($B$4&amp;"|- Lane 2 - "&amp;B$33&amp;"|"&amp;$A40,'Reguler Class Availability'!$L:$L,0),""))</f>
        <v>106</v>
      </c>
      <c r="AO40" s="30" t="n">
        <f aca="false">IF($A40="","",IFERROR(MATCH($B$4&amp;"|- Lane 2 - "&amp;C$33&amp;"|"&amp;$A40,'Reguler Class Availability'!$L:$L,0),""))</f>
        <v>118</v>
      </c>
      <c r="AP40" s="30" t="n">
        <f aca="false">IF($A40="","",IFERROR(MATCH($B$4&amp;"|- Lane 2 - "&amp;D$33&amp;"|"&amp;$A40,'Reguler Class Availability'!$L:$L,0),""))</f>
        <v>130</v>
      </c>
      <c r="AQ40" s="30" t="n">
        <f aca="false">IF($A40="","",IFERROR(MATCH($B$4&amp;"|- Lane 2 - "&amp;E$33&amp;"|"&amp;$A40,'Reguler Class Availability'!$L:$L,0),""))</f>
        <v>142</v>
      </c>
      <c r="AR40" s="30" t="n">
        <f aca="false">IF($A40="","",IFERROR(MATCH($B$4&amp;"|- Lane 2 - "&amp;F$33&amp;"|"&amp;$A40,'Reguler Class Availability'!$L:$L,0),""))</f>
        <v>154</v>
      </c>
      <c r="AS40" s="30" t="n">
        <f aca="false">IF($A40="","",IFERROR(MATCH($B$4&amp;"|- Lane 2 - "&amp;G$33&amp;"|"&amp;$A40,'Reguler Class Availability'!$L:$L,0),""))</f>
        <v>166</v>
      </c>
      <c r="AT40" s="30" t="n">
        <f aca="false">IF($A40="","",IFERROR(MATCH($B$4&amp;"|- Lane 2 - "&amp;H$33&amp;"|"&amp;$A40,'Reguler Class Availability'!$L:$L,0),""))</f>
        <v>178</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Belum terisi</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Belum terisi</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Tinggi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Tinggi</v>
      </c>
      <c r="BD40" s="30" t="s">
        <v>149</v>
      </c>
      <c r="BE40" s="30" t="n">
        <f aca="false">IF(COUNTIFS('Reguler Class Availability'!$L:$L,$B$4&amp;"|- Lane 1 - *|"&amp;BD40)&gt;0,1,0)</f>
        <v>0</v>
      </c>
      <c r="BF40" s="30" t="n">
        <f aca="false">BE40+BF39</f>
        <v>10</v>
      </c>
    </row>
    <row r="41" customFormat="false" ht="39.75" hidden="false" customHeight="true" outlineLevel="0" collapsed="false">
      <c r="A41" s="66" t="str">
        <f aca="false">IFERROR(INDEX($BD$62:$BD$121,MATCH(8,$BF$62:$BF$121,0)),"")</f>
        <v>14:15</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Tiny  1/5  (20%)
Rischa</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Tiny  2/5  (40%)
Rischa</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Tiny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Tiny  0/5  (0%)
coach: –</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Tiny  3/5  (60%)
Surya</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Tiny  5/5  (100%)
Rischa</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Kids  1/4  (25%)
Tessa</v>
      </c>
      <c r="AN41" s="30" t="n">
        <f aca="false">IF($A41="","",IFERROR(MATCH($B$4&amp;"|- Lane 2 - "&amp;B$33&amp;"|"&amp;$A41,'Reguler Class Availability'!$L:$L,0),""))</f>
        <v>107</v>
      </c>
      <c r="AO41" s="30" t="n">
        <f aca="false">IF($A41="","",IFERROR(MATCH($B$4&amp;"|- Lane 2 - "&amp;C$33&amp;"|"&amp;$A41,'Reguler Class Availability'!$L:$L,0),""))</f>
        <v>119</v>
      </c>
      <c r="AP41" s="30" t="n">
        <f aca="false">IF($A41="","",IFERROR(MATCH($B$4&amp;"|- Lane 2 - "&amp;D$33&amp;"|"&amp;$A41,'Reguler Class Availability'!$L:$L,0),""))</f>
        <v>131</v>
      </c>
      <c r="AQ41" s="30" t="n">
        <f aca="false">IF($A41="","",IFERROR(MATCH($B$4&amp;"|- Lane 2 - "&amp;E$33&amp;"|"&amp;$A41,'Reguler Class Availability'!$L:$L,0),""))</f>
        <v>143</v>
      </c>
      <c r="AR41" s="30" t="n">
        <f aca="false">IF($A41="","",IFERROR(MATCH($B$4&amp;"|- Lane 2 - "&amp;F$33&amp;"|"&amp;$A41,'Reguler Class Availability'!$L:$L,0),""))</f>
        <v>155</v>
      </c>
      <c r="AS41" s="30" t="n">
        <f aca="false">IF($A41="","",IFERROR(MATCH($B$4&amp;"|- Lane 2 - "&amp;G$33&amp;"|"&amp;$A41,'Reguler Class Availability'!$L:$L,0),""))</f>
        <v>167</v>
      </c>
      <c r="AT41" s="30" t="n">
        <f aca="false">IF($A41="","",IFERROR(MATCH($B$4&amp;"|- Lane 2 - "&amp;H$33&amp;"|"&amp;$A41,'Reguler Class Availability'!$L:$L,0),""))</f>
        <v>179</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Sebagian</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Sebagian</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Belum terisi</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Tinggi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Penuh</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Sebagian</v>
      </c>
      <c r="BD41" s="30" t="s">
        <v>150</v>
      </c>
      <c r="BE41" s="30" t="n">
        <f aca="false">IF(COUNTIFS('Reguler Class Availability'!$L:$L,$B$4&amp;"|- Lane 1 - *|"&amp;BD41)&gt;0,1,0)</f>
        <v>1</v>
      </c>
      <c r="BF41" s="30" t="n">
        <f aca="false">BE41+BF40</f>
        <v>11</v>
      </c>
    </row>
    <row r="42" customFormat="false" ht="39.75" hidden="false" customHeight="true" outlineLevel="0" collapsed="false">
      <c r="A42" s="66" t="str">
        <f aca="false">IFERROR(INDEX($BD$62:$BD$121,MATCH(9,$BF$62:$BF$121,0)),"")</f>
        <v>15:00</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Tiny  0/0
coach: –</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Tiny  0/0
coach: –</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Tiny  0/0
coach: –</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Tiny  0/0
coach: –</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Tiny  0/0
coach: –</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Tiny  5/5  (100%)
Nuky</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Tiny  3/5  (60%)
Nuky</v>
      </c>
      <c r="AN42" s="30" t="n">
        <f aca="false">IF($A42="","",IFERROR(MATCH($B$4&amp;"|- Lane 2 - "&amp;B$33&amp;"|"&amp;$A42,'Reguler Class Availability'!$L:$L,0),""))</f>
        <v>108</v>
      </c>
      <c r="AO42" s="30" t="n">
        <f aca="false">IF($A42="","",IFERROR(MATCH($B$4&amp;"|- Lane 2 - "&amp;C$33&amp;"|"&amp;$A42,'Reguler Class Availability'!$L:$L,0),""))</f>
        <v>120</v>
      </c>
      <c r="AP42" s="30" t="n">
        <f aca="false">IF($A42="","",IFERROR(MATCH($B$4&amp;"|- Lane 2 - "&amp;D$33&amp;"|"&amp;$A42,'Reguler Class Availability'!$L:$L,0),""))</f>
        <v>132</v>
      </c>
      <c r="AQ42" s="30" t="n">
        <f aca="false">IF($A42="","",IFERROR(MATCH($B$4&amp;"|- Lane 2 - "&amp;E$33&amp;"|"&amp;$A42,'Reguler Class Availability'!$L:$L,0),""))</f>
        <v>144</v>
      </c>
      <c r="AR42" s="30" t="n">
        <f aca="false">IF($A42="","",IFERROR(MATCH($B$4&amp;"|- Lane 2 - "&amp;F$33&amp;"|"&amp;$A42,'Reguler Class Availability'!$L:$L,0),""))</f>
        <v>156</v>
      </c>
      <c r="AS42" s="30" t="n">
        <f aca="false">IF($A42="","",IFERROR(MATCH($B$4&amp;"|- Lane 2 - "&amp;G$33&amp;"|"&amp;$A42,'Reguler Class Availability'!$L:$L,0),""))</f>
        <v>168</v>
      </c>
      <c r="AT42" s="30" t="n">
        <f aca="false">IF($A42="","",IFERROR(MATCH($B$4&amp;"|- Lane 2 - "&amp;H$33&amp;"|"&amp;$A42,'Reguler Class Availability'!$L:$L,0),""))</f>
        <v>180</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Tutup</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Tutup</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Tutup</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Tutup</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Tutup</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Penuh</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Tinggi</v>
      </c>
      <c r="BD42" s="30" t="s">
        <v>151</v>
      </c>
      <c r="BE42" s="30" t="n">
        <f aca="false">IF(COUNTIFS('Reguler Class Availability'!$L:$L,$B$4&amp;"|- Lane 1 - *|"&amp;BD42)&gt;0,1,0)</f>
        <v>0</v>
      </c>
      <c r="BF42" s="30" t="n">
        <f aca="false">BE42+BF41</f>
        <v>11</v>
      </c>
    </row>
    <row r="43" customFormat="false" ht="39.75" hidden="false" customHeight="true" outlineLevel="0" collapsed="false">
      <c r="A43" s="66" t="str">
        <f aca="false">IFERROR(INDEX($BD$62:$BD$121,MATCH(10,$BF$62:$BF$121,0)),"")</f>
        <v>15:45</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Tiny  0/0
coach: –</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Kids  4/0
Dian</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Tiny  0/5  (0%)
coach: –</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Tiny  0/0
coach: –</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Kids  4/0
Tessa</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Kids  4/4  (100%)
Gita</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Tiny  5/5  (100%)
Gita</v>
      </c>
      <c r="AN43" s="30" t="n">
        <f aca="false">IF($A43="","",IFERROR(MATCH($B$4&amp;"|- Lane 2 - "&amp;B$33&amp;"|"&amp;$A43,'Reguler Class Availability'!$L:$L,0),""))</f>
        <v>109</v>
      </c>
      <c r="AO43" s="30" t="n">
        <f aca="false">IF($A43="","",IFERROR(MATCH($B$4&amp;"|- Lane 2 - "&amp;C$33&amp;"|"&amp;$A43,'Reguler Class Availability'!$L:$L,0),""))</f>
        <v>121</v>
      </c>
      <c r="AP43" s="30" t="n">
        <f aca="false">IF($A43="","",IFERROR(MATCH($B$4&amp;"|- Lane 2 - "&amp;D$33&amp;"|"&amp;$A43,'Reguler Class Availability'!$L:$L,0),""))</f>
        <v>133</v>
      </c>
      <c r="AQ43" s="30" t="n">
        <f aca="false">IF($A43="","",IFERROR(MATCH($B$4&amp;"|- Lane 2 - "&amp;E$33&amp;"|"&amp;$A43,'Reguler Class Availability'!$L:$L,0),""))</f>
        <v>145</v>
      </c>
      <c r="AR43" s="30" t="n">
        <f aca="false">IF($A43="","",IFERROR(MATCH($B$4&amp;"|- Lane 2 - "&amp;F$33&amp;"|"&amp;$A43,'Reguler Class Availability'!$L:$L,0),""))</f>
        <v>157</v>
      </c>
      <c r="AS43" s="30" t="n">
        <f aca="false">IF($A43="","",IFERROR(MATCH($B$4&amp;"|- Lane 2 - "&amp;G$33&amp;"|"&amp;$A43,'Reguler Class Availability'!$L:$L,0),""))</f>
        <v>169</v>
      </c>
      <c r="AT43" s="30" t="n">
        <f aca="false">IF($A43="","",IFERROR(MATCH($B$4&amp;"|- Lane 2 - "&amp;H$33&amp;"|"&amp;$A43,'Reguler Class Availability'!$L:$L,0),""))</f>
        <v>181</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Tutup</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Lebih</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Belum terisi</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Tutup</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Lebih</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Penuh</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Penuh</v>
      </c>
      <c r="BD43" s="30" t="s">
        <v>152</v>
      </c>
      <c r="BE43" s="30" t="n">
        <f aca="false">IF(COUNTIFS('Reguler Class Availability'!$L:$L,$B$4&amp;"|- Lane 1 - *|"&amp;BD43)&gt;0,1,0)</f>
        <v>0</v>
      </c>
      <c r="BF43" s="30" t="n">
        <f aca="false">BE43+BF42</f>
        <v>11</v>
      </c>
    </row>
    <row r="44" customFormat="false" ht="39.75" hidden="false" customHeight="true" outlineLevel="0" collapsed="false">
      <c r="A44" s="66" t="str">
        <f aca="false">IFERROR(INDEX($BD$62:$BD$121,MATCH(11,$BF$62:$BF$121,0)),"")</f>
        <v>16:30</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Tiny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Tiny  3/5  (60%)
Zidane</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Tiny  5/5  (100%)
Nuky</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Tiny  0/5  (0%)
coach: –</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Tiny  4/5  (80%)
Surya</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Tiny  5/5  (100%)
Tessa</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Tiny  5/5  (100%)
Nuky</v>
      </c>
      <c r="AN44" s="30" t="n">
        <f aca="false">IF($A44="","",IFERROR(MATCH($B$4&amp;"|- Lane 2 - "&amp;B$33&amp;"|"&amp;$A44,'Reguler Class Availability'!$L:$L,0),""))</f>
        <v>110</v>
      </c>
      <c r="AO44" s="30" t="n">
        <f aca="false">IF($A44="","",IFERROR(MATCH($B$4&amp;"|- Lane 2 - "&amp;C$33&amp;"|"&amp;$A44,'Reguler Class Availability'!$L:$L,0),""))</f>
        <v>122</v>
      </c>
      <c r="AP44" s="30" t="n">
        <f aca="false">IF($A44="","",IFERROR(MATCH($B$4&amp;"|- Lane 2 - "&amp;D$33&amp;"|"&amp;$A44,'Reguler Class Availability'!$L:$L,0),""))</f>
        <v>134</v>
      </c>
      <c r="AQ44" s="30" t="n">
        <f aca="false">IF($A44="","",IFERROR(MATCH($B$4&amp;"|- Lane 2 - "&amp;E$33&amp;"|"&amp;$A44,'Reguler Class Availability'!$L:$L,0),""))</f>
        <v>146</v>
      </c>
      <c r="AR44" s="30" t="n">
        <f aca="false">IF($A44="","",IFERROR(MATCH($B$4&amp;"|- Lane 2 - "&amp;F$33&amp;"|"&amp;$A44,'Reguler Class Availability'!$L:$L,0),""))</f>
        <v>158</v>
      </c>
      <c r="AS44" s="30" t="n">
        <f aca="false">IF($A44="","",IFERROR(MATCH($B$4&amp;"|- Lane 2 - "&amp;G$33&amp;"|"&amp;$A44,'Reguler Class Availability'!$L:$L,0),""))</f>
        <v>170</v>
      </c>
      <c r="AT44" s="30" t="n">
        <f aca="false">IF($A44="","",IFERROR(MATCH($B$4&amp;"|- Lane 2 - "&amp;H$33&amp;"|"&amp;$A44,'Reguler Class Availability'!$L:$L,0),""))</f>
        <v>182</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Belum terisi</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Tinggi</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Penuh</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Belum terisi</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Tinggi</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Penuh</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Penuh</v>
      </c>
      <c r="BD44" s="30" t="s">
        <v>153</v>
      </c>
      <c r="BE44" s="30" t="n">
        <f aca="false">IF(COUNTIFS('Reguler Class Availability'!$L:$L,$B$4&amp;"|- Lane 1 - *|"&amp;BD44)&gt;0,1,0)</f>
        <v>1</v>
      </c>
      <c r="BF44" s="30" t="n">
        <f aca="false">BE44+BF43</f>
        <v>12</v>
      </c>
    </row>
    <row r="45" customFormat="false" ht="39.75" hidden="false" customHeight="true" outlineLevel="0" collapsed="false">
      <c r="A45" s="66" t="str">
        <f aca="false">IFERROR(INDEX($BD$62:$BD$121,MATCH(12,$BF$62:$BF$121,0)),"")</f>
        <v>17:15</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Tiny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Tiny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Tiny  4/5  (80%)
Eka</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Tiny  0/5  (0%)
coach: –</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Tiny  3/5  (60%)
Tessa</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Tiny  0/5  (0%)
coach: –</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Tiny  0/5  (0%)
coach: –</v>
      </c>
      <c r="AN45" s="30" t="n">
        <f aca="false">IF($A45="","",IFERROR(MATCH($B$4&amp;"|- Lane 2 - "&amp;B$33&amp;"|"&amp;$A45,'Reguler Class Availability'!$L:$L,0),""))</f>
        <v>111</v>
      </c>
      <c r="AO45" s="30" t="n">
        <f aca="false">IF($A45="","",IFERROR(MATCH($B$4&amp;"|- Lane 2 - "&amp;C$33&amp;"|"&amp;$A45,'Reguler Class Availability'!$L:$L,0),""))</f>
        <v>123</v>
      </c>
      <c r="AP45" s="30" t="n">
        <f aca="false">IF($A45="","",IFERROR(MATCH($B$4&amp;"|- Lane 2 - "&amp;D$33&amp;"|"&amp;$A45,'Reguler Class Availability'!$L:$L,0),""))</f>
        <v>135</v>
      </c>
      <c r="AQ45" s="30" t="n">
        <f aca="false">IF($A45="","",IFERROR(MATCH($B$4&amp;"|- Lane 2 - "&amp;E$33&amp;"|"&amp;$A45,'Reguler Class Availability'!$L:$L,0),""))</f>
        <v>147</v>
      </c>
      <c r="AR45" s="30" t="n">
        <f aca="false">IF($A45="","",IFERROR(MATCH($B$4&amp;"|- Lane 2 - "&amp;F$33&amp;"|"&amp;$A45,'Reguler Class Availability'!$L:$L,0),""))</f>
        <v>159</v>
      </c>
      <c r="AS45" s="30" t="n">
        <f aca="false">IF($A45="","",IFERROR(MATCH($B$4&amp;"|- Lane 2 - "&amp;G$33&amp;"|"&amp;$A45,'Reguler Class Availability'!$L:$L,0),""))</f>
        <v>171</v>
      </c>
      <c r="AT45" s="30" t="n">
        <f aca="false">IF($A45="","",IFERROR(MATCH($B$4&amp;"|- Lane 2 - "&amp;H$33&amp;"|"&amp;$A45,'Reguler Class Availability'!$L:$L,0),""))</f>
        <v>183</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Belum terisi</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Belum terisi</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Tinggi</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Belum terisi</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Tinggi</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Belum terisi</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Belum terisi</v>
      </c>
      <c r="BD45" s="30" t="s">
        <v>154</v>
      </c>
      <c r="BE45" s="30" t="n">
        <f aca="false">IF(COUNTIFS('Reguler Class Availability'!$L:$L,$B$4&amp;"|- Lane 1 - *|"&amp;BD45)&gt;0,1,0)</f>
        <v>0</v>
      </c>
      <c r="BF45" s="30" t="n">
        <f aca="false">BE45+BF44</f>
        <v>12</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0</v>
      </c>
      <c r="BF46" s="30" t="n">
        <f aca="false">BE46+BF45</f>
        <v>12</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1</v>
      </c>
      <c r="BF47" s="30" t="n">
        <f aca="false">BE47+BF46</f>
        <v>13</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18%</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43%</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49%</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10%</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43%</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85%</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72%</v>
      </c>
      <c r="BD48" s="30" t="s">
        <v>157</v>
      </c>
      <c r="BE48" s="30" t="n">
        <f aca="false">IF(COUNTIFS('Reguler Class Availability'!$L:$L,$B$4&amp;"|- Lane 1 - *|"&amp;BD48)&gt;0,1,0)</f>
        <v>0</v>
      </c>
      <c r="BF48" s="30" t="n">
        <f aca="false">BE48+BF47</f>
        <v>13</v>
      </c>
    </row>
    <row r="49" customFormat="false" ht="15" hidden="false" customHeight="false" outlineLevel="0" collapsed="false">
      <c r="BD49" s="0" t="s">
        <v>158</v>
      </c>
      <c r="BE49" s="0" t="n">
        <f aca="false">IF(COUNTIFS('Reguler Class Availability'!$L:$L,$B$4&amp;"|- Lane 1 - *|"&amp;BD49)&gt;0,1,0)</f>
        <v>0</v>
      </c>
      <c r="BF49" s="0" t="n">
        <f aca="false">BE49+BF48</f>
        <v>13</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77%   ·   Belum terisi: 6   ·   Slot kosong: 0</v>
      </c>
      <c r="D50" s="62"/>
      <c r="E50" s="62"/>
      <c r="F50" s="62"/>
      <c r="G50" s="62"/>
      <c r="H50" s="62"/>
      <c r="BD50" s="30" t="s">
        <v>160</v>
      </c>
      <c r="BE50" s="30" t="n">
        <f aca="false">IF(COUNTIFS('Reguler Class Availability'!$L:$L,$B$4&amp;"|- Lane 1 - *|"&amp;BD50)&gt;0,1,0)</f>
        <v>1</v>
      </c>
      <c r="BF50" s="30" t="n">
        <f aca="false">BE50+BF49</f>
        <v>14</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14</v>
      </c>
    </row>
    <row r="52" customFormat="false" ht="39.75" hidden="false" customHeight="true" outlineLevel="0" collapsed="false">
      <c r="A52" s="66" t="str">
        <f aca="false">IFERROR(INDEX($BD$122:$BD$181,MATCH(1,$BF$122:$BF$181,0)),"")</f>
        <v>08:00</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Little  0/0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Little  0/0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Little  0/0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Little  0/0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Little  0/0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Little  0/0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Little  0/0
coach: –</v>
      </c>
      <c r="AN52" s="30" t="n">
        <f aca="false">IF($A52="","",IFERROR(MATCH($B$4&amp;"|- Lane 3 - "&amp;B$51&amp;"|"&amp;$A52,'Reguler Class Availability'!$L:$L,0),""))</f>
        <v>184</v>
      </c>
      <c r="AO52" s="30" t="n">
        <f aca="false">IF($A52="","",IFERROR(MATCH($B$4&amp;"|- Lane 3 - "&amp;C$51&amp;"|"&amp;$A52,'Reguler Class Availability'!$L:$L,0),""))</f>
        <v>196</v>
      </c>
      <c r="AP52" s="30" t="n">
        <f aca="false">IF($A52="","",IFERROR(MATCH($B$4&amp;"|- Lane 3 - "&amp;D$51&amp;"|"&amp;$A52,'Reguler Class Availability'!$L:$L,0),""))</f>
        <v>208</v>
      </c>
      <c r="AQ52" s="30" t="n">
        <f aca="false">IF($A52="","",IFERROR(MATCH($B$4&amp;"|- Lane 3 - "&amp;E$51&amp;"|"&amp;$A52,'Reguler Class Availability'!$L:$L,0),""))</f>
        <v>220</v>
      </c>
      <c r="AR52" s="30" t="n">
        <f aca="false">IF($A52="","",IFERROR(MATCH($B$4&amp;"|- Lane 3 - "&amp;F$51&amp;"|"&amp;$A52,'Reguler Class Availability'!$L:$L,0),""))</f>
        <v>232</v>
      </c>
      <c r="AS52" s="30" t="n">
        <f aca="false">IF($A52="","",IFERROR(MATCH($B$4&amp;"|- Lane 3 - "&amp;G$51&amp;"|"&amp;$A52,'Reguler Class Availability'!$L:$L,0),""))</f>
        <v>244</v>
      </c>
      <c r="AT52" s="30" t="n">
        <f aca="false">IF($A52="","",IFERROR(MATCH($B$4&amp;"|- Lane 3 - "&amp;H$51&amp;"|"&amp;$A52,'Reguler Class Availability'!$L:$L,0),""))</f>
        <v>256</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Tutup</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Tutup</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Tutup</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Tutup</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Tutup</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Tutup</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Tutup</v>
      </c>
      <c r="BD52" s="30" t="s">
        <v>162</v>
      </c>
      <c r="BE52" s="30" t="n">
        <f aca="false">IF(COUNTIFS('Reguler Class Availability'!$L:$L,$B$4&amp;"|- Lane 1 - *|"&amp;BD52)&gt;0,1,0)</f>
        <v>0</v>
      </c>
      <c r="BF52" s="30" t="n">
        <f aca="false">BE52+BF51</f>
        <v>14</v>
      </c>
    </row>
    <row r="53" customFormat="false" ht="39.75" hidden="false" customHeight="true" outlineLevel="0" collapsed="false">
      <c r="A53" s="66" t="str">
        <f aca="false">IFERROR(INDEX($BD$122:$BD$181,MATCH(2,$BF$122:$BF$181,0)),"")</f>
        <v>08:45</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Little  2/4  (50%)
Daffa</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Little  3/4  (75%)
Dian</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Little  3/4  (75%)
Danti</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Little  4/4  (100%)
Surya</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Little  0/4  (0%)
coach: –</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Little  4/4  (100%)
Zidane</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Little  3/4  (75%)
Zidane</v>
      </c>
      <c r="AN53" s="30" t="n">
        <f aca="false">IF($A53="","",IFERROR(MATCH($B$4&amp;"|- Lane 3 - "&amp;B$51&amp;"|"&amp;$A53,'Reguler Class Availability'!$L:$L,0),""))</f>
        <v>185</v>
      </c>
      <c r="AO53" s="30" t="n">
        <f aca="false">IF($A53="","",IFERROR(MATCH($B$4&amp;"|- Lane 3 - "&amp;C$51&amp;"|"&amp;$A53,'Reguler Class Availability'!$L:$L,0),""))</f>
        <v>197</v>
      </c>
      <c r="AP53" s="30" t="n">
        <f aca="false">IF($A53="","",IFERROR(MATCH($B$4&amp;"|- Lane 3 - "&amp;D$51&amp;"|"&amp;$A53,'Reguler Class Availability'!$L:$L,0),""))</f>
        <v>209</v>
      </c>
      <c r="AQ53" s="30" t="n">
        <f aca="false">IF($A53="","",IFERROR(MATCH($B$4&amp;"|- Lane 3 - "&amp;E$51&amp;"|"&amp;$A53,'Reguler Class Availability'!$L:$L,0),""))</f>
        <v>221</v>
      </c>
      <c r="AR53" s="30" t="n">
        <f aca="false">IF($A53="","",IFERROR(MATCH($B$4&amp;"|- Lane 3 - "&amp;F$51&amp;"|"&amp;$A53,'Reguler Class Availability'!$L:$L,0),""))</f>
        <v>233</v>
      </c>
      <c r="AS53" s="30" t="n">
        <f aca="false">IF($A53="","",IFERROR(MATCH($B$4&amp;"|- Lane 3 - "&amp;G$51&amp;"|"&amp;$A53,'Reguler Class Availability'!$L:$L,0),""))</f>
        <v>245</v>
      </c>
      <c r="AT53" s="30" t="n">
        <f aca="false">IF($A53="","",IFERROR(MATCH($B$4&amp;"|- Lane 3 - "&amp;H$51&amp;"|"&amp;$A53,'Reguler Class Availability'!$L:$L,0),""))</f>
        <v>257</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Sebagian</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Tinggi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Tinggi</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Penuh</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Belum terisi</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Penuh</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Tinggi</v>
      </c>
      <c r="BD53" s="30" t="s">
        <v>163</v>
      </c>
      <c r="BE53" s="30" t="n">
        <f aca="false">IF(COUNTIFS('Reguler Class Availability'!$L:$L,$B$4&amp;"|- Lane 1 - *|"&amp;BD53)&gt;0,1,0)</f>
        <v>0</v>
      </c>
      <c r="BF53" s="30" t="n">
        <f aca="false">BE53+BF52</f>
        <v>14</v>
      </c>
    </row>
    <row r="54" customFormat="false" ht="39.75" hidden="false" customHeight="true" outlineLevel="0" collapsed="false">
      <c r="A54" s="66" t="str">
        <f aca="false">IFERROR(INDEX($BD$122:$BD$181,MATCH(3,$BF$122:$BF$181,0)),"")</f>
        <v>09:30</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Little  0/4  (0%)
coach: –</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Little  2/4  (50%)
Dian</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Little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Little  4/4  (100%)
Daffa</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Little  0/4  (0%)
coach: –</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Little  4/4  (100%)
Surya</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Little  4/4  (100%)
Surya</v>
      </c>
      <c r="AN54" s="30" t="n">
        <f aca="false">IF($A54="","",IFERROR(MATCH($B$4&amp;"|- Lane 3 - "&amp;B$51&amp;"|"&amp;$A54,'Reguler Class Availability'!$L:$L,0),""))</f>
        <v>186</v>
      </c>
      <c r="AO54" s="30" t="n">
        <f aca="false">IF($A54="","",IFERROR(MATCH($B$4&amp;"|- Lane 3 - "&amp;C$51&amp;"|"&amp;$A54,'Reguler Class Availability'!$L:$L,0),""))</f>
        <v>198</v>
      </c>
      <c r="AP54" s="30" t="n">
        <f aca="false">IF($A54="","",IFERROR(MATCH($B$4&amp;"|- Lane 3 - "&amp;D$51&amp;"|"&amp;$A54,'Reguler Class Availability'!$L:$L,0),""))</f>
        <v>210</v>
      </c>
      <c r="AQ54" s="30" t="n">
        <f aca="false">IF($A54="","",IFERROR(MATCH($B$4&amp;"|- Lane 3 - "&amp;E$51&amp;"|"&amp;$A54,'Reguler Class Availability'!$L:$L,0),""))</f>
        <v>222</v>
      </c>
      <c r="AR54" s="30" t="n">
        <f aca="false">IF($A54="","",IFERROR(MATCH($B$4&amp;"|- Lane 3 - "&amp;F$51&amp;"|"&amp;$A54,'Reguler Class Availability'!$L:$L,0),""))</f>
        <v>234</v>
      </c>
      <c r="AS54" s="30" t="n">
        <f aca="false">IF($A54="","",IFERROR(MATCH($B$4&amp;"|- Lane 3 - "&amp;G$51&amp;"|"&amp;$A54,'Reguler Class Availability'!$L:$L,0),""))</f>
        <v>246</v>
      </c>
      <c r="AT54" s="30" t="n">
        <f aca="false">IF($A54="","",IFERROR(MATCH($B$4&amp;"|- Lane 3 - "&amp;H$51&amp;"|"&amp;$A54,'Reguler Class Availability'!$L:$L,0),""))</f>
        <v>258</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Belum terisi</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Sebagian</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Penuh</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Belum terisi</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Penuh</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Penuh</v>
      </c>
      <c r="BD54" s="30" t="s">
        <v>164</v>
      </c>
      <c r="BE54" s="30" t="n">
        <f aca="false">IF(COUNTIFS('Reguler Class Availability'!$L:$L,$B$4&amp;"|- Lane 1 - *|"&amp;BD54)&gt;0,1,0)</f>
        <v>0</v>
      </c>
      <c r="BF54" s="30" t="n">
        <f aca="false">BE54+BF53</f>
        <v>14</v>
      </c>
    </row>
    <row r="55" customFormat="false" ht="39.75" hidden="false" customHeight="true" outlineLevel="0" collapsed="false">
      <c r="A55" s="66" t="str">
        <f aca="false">IFERROR(INDEX($BD$122:$BD$181,MATCH(4,$BF$122:$BF$181,0)),"")</f>
        <v>10:15</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Little  3/4  (75%)
Dian</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Little  2/4  (50%)
Danti</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Little  1/4  (25%)
Zidane</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Little  3/4  (75%)
Eka</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Little  3/4  (75%)
Eka</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Little  4/4  (100%)
Zidane</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Little  4/4  (100%)
Dian</v>
      </c>
      <c r="AN55" s="30" t="n">
        <f aca="false">IF($A55="","",IFERROR(MATCH($B$4&amp;"|- Lane 3 - "&amp;B$51&amp;"|"&amp;$A55,'Reguler Class Availability'!$L:$L,0),""))</f>
        <v>187</v>
      </c>
      <c r="AO55" s="30" t="n">
        <f aca="false">IF($A55="","",IFERROR(MATCH($B$4&amp;"|- Lane 3 - "&amp;C$51&amp;"|"&amp;$A55,'Reguler Class Availability'!$L:$L,0),""))</f>
        <v>199</v>
      </c>
      <c r="AP55" s="30" t="n">
        <f aca="false">IF($A55="","",IFERROR(MATCH($B$4&amp;"|- Lane 3 - "&amp;D$51&amp;"|"&amp;$A55,'Reguler Class Availability'!$L:$L,0),""))</f>
        <v>211</v>
      </c>
      <c r="AQ55" s="30" t="n">
        <f aca="false">IF($A55="","",IFERROR(MATCH($B$4&amp;"|- Lane 3 - "&amp;E$51&amp;"|"&amp;$A55,'Reguler Class Availability'!$L:$L,0),""))</f>
        <v>223</v>
      </c>
      <c r="AR55" s="30" t="n">
        <f aca="false">IF($A55="","",IFERROR(MATCH($B$4&amp;"|- Lane 3 - "&amp;F$51&amp;"|"&amp;$A55,'Reguler Class Availability'!$L:$L,0),""))</f>
        <v>235</v>
      </c>
      <c r="AS55" s="30" t="n">
        <f aca="false">IF($A55="","",IFERROR(MATCH($B$4&amp;"|- Lane 3 - "&amp;G$51&amp;"|"&amp;$A55,'Reguler Class Availability'!$L:$L,0),""))</f>
        <v>247</v>
      </c>
      <c r="AT55" s="30" t="n">
        <f aca="false">IF($A55="","",IFERROR(MATCH($B$4&amp;"|- Lane 3 - "&amp;H$51&amp;"|"&amp;$A55,'Reguler Class Availability'!$L:$L,0),""))</f>
        <v>259</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Tinggi</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Sebagian</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Sebagian</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Tinggi</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Tinggi</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Penuh</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Penuh</v>
      </c>
      <c r="BD55" s="30" t="s">
        <v>165</v>
      </c>
      <c r="BE55" s="30" t="n">
        <f aca="false">IF(COUNTIFS('Reguler Class Availability'!$L:$L,$B$4&amp;"|- Lane 1 - *|"&amp;BD55)&gt;0,1,0)</f>
        <v>0</v>
      </c>
      <c r="BF55" s="30" t="n">
        <f aca="false">BE55+BF54</f>
        <v>14</v>
      </c>
    </row>
    <row r="56" customFormat="false" ht="39.75" hidden="false" customHeight="true" outlineLevel="0" collapsed="false">
      <c r="A56" s="66" t="str">
        <f aca="false">IFERROR(INDEX($BD$122:$BD$181,MATCH(5,$BF$122:$BF$181,0)),"")</f>
        <v>11:00</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Little  3/4  (75%)
Rischa</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Little  4/4  (100%)
Danti</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Little  4/4  (100%)
Danti</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Little  3/4  (75%)
Surya</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Little  2/4  (50%)
Rischa</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Little  4/4  (100%)
Dian</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Little  4/4  (100%)
Eka</v>
      </c>
      <c r="AN56" s="30" t="n">
        <f aca="false">IF($A56="","",IFERROR(MATCH($B$4&amp;"|- Lane 3 - "&amp;B$51&amp;"|"&amp;$A56,'Reguler Class Availability'!$L:$L,0),""))</f>
        <v>188</v>
      </c>
      <c r="AO56" s="30" t="n">
        <f aca="false">IF($A56="","",IFERROR(MATCH($B$4&amp;"|- Lane 3 - "&amp;C$51&amp;"|"&amp;$A56,'Reguler Class Availability'!$L:$L,0),""))</f>
        <v>200</v>
      </c>
      <c r="AP56" s="30" t="n">
        <f aca="false">IF($A56="","",IFERROR(MATCH($B$4&amp;"|- Lane 3 - "&amp;D$51&amp;"|"&amp;$A56,'Reguler Class Availability'!$L:$L,0),""))</f>
        <v>212</v>
      </c>
      <c r="AQ56" s="30" t="n">
        <f aca="false">IF($A56="","",IFERROR(MATCH($B$4&amp;"|- Lane 3 - "&amp;E$51&amp;"|"&amp;$A56,'Reguler Class Availability'!$L:$L,0),""))</f>
        <v>224</v>
      </c>
      <c r="AR56" s="30" t="n">
        <f aca="false">IF($A56="","",IFERROR(MATCH($B$4&amp;"|- Lane 3 - "&amp;F$51&amp;"|"&amp;$A56,'Reguler Class Availability'!$L:$L,0),""))</f>
        <v>236</v>
      </c>
      <c r="AS56" s="30" t="n">
        <f aca="false">IF($A56="","",IFERROR(MATCH($B$4&amp;"|- Lane 3 - "&amp;G$51&amp;"|"&amp;$A56,'Reguler Class Availability'!$L:$L,0),""))</f>
        <v>248</v>
      </c>
      <c r="AT56" s="30" t="n">
        <f aca="false">IF($A56="","",IFERROR(MATCH($B$4&amp;"|- Lane 3 - "&amp;H$51&amp;"|"&amp;$A56,'Reguler Class Availability'!$L:$L,0),""))</f>
        <v>260</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Tinggi</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Penuh</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Penuh</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Tinggi</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Sebagian</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Penuh</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Penuh</v>
      </c>
      <c r="BD56" s="30" t="s">
        <v>166</v>
      </c>
      <c r="BE56" s="30" t="n">
        <f aca="false">IF(COUNTIFS('Reguler Class Availability'!$L:$L,$B$4&amp;"|- Lane 1 - *|"&amp;BD56)&gt;0,1,0)</f>
        <v>0</v>
      </c>
      <c r="BF56" s="30" t="n">
        <f aca="false">BE56+BF55</f>
        <v>14</v>
      </c>
    </row>
    <row r="57" customFormat="false" ht="39.75" hidden="false" customHeight="true" outlineLevel="0" collapsed="false">
      <c r="A57" s="66" t="str">
        <f aca="false">IFERROR(INDEX($BD$122:$BD$181,MATCH(6,$BF$122:$BF$181,0)),"")</f>
        <v>11:45</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Little  2/0
Gita</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Little  1/0
Tessa</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Little  0/0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Little  0/0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Little  3/4  (75%)
Rischa</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Little  3/4  (75%)
Zidane</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Little  4/4  (100%)
Nuky</v>
      </c>
      <c r="AN57" s="30" t="n">
        <f aca="false">IF($A57="","",IFERROR(MATCH($B$4&amp;"|- Lane 3 - "&amp;B$51&amp;"|"&amp;$A57,'Reguler Class Availability'!$L:$L,0),""))</f>
        <v>189</v>
      </c>
      <c r="AO57" s="30" t="n">
        <f aca="false">IF($A57="","",IFERROR(MATCH($B$4&amp;"|- Lane 3 - "&amp;C$51&amp;"|"&amp;$A57,'Reguler Class Availability'!$L:$L,0),""))</f>
        <v>201</v>
      </c>
      <c r="AP57" s="30" t="n">
        <f aca="false">IF($A57="","",IFERROR(MATCH($B$4&amp;"|- Lane 3 - "&amp;D$51&amp;"|"&amp;$A57,'Reguler Class Availability'!$L:$L,0),""))</f>
        <v>213</v>
      </c>
      <c r="AQ57" s="30" t="n">
        <f aca="false">IF($A57="","",IFERROR(MATCH($B$4&amp;"|- Lane 3 - "&amp;E$51&amp;"|"&amp;$A57,'Reguler Class Availability'!$L:$L,0),""))</f>
        <v>225</v>
      </c>
      <c r="AR57" s="30" t="n">
        <f aca="false">IF($A57="","",IFERROR(MATCH($B$4&amp;"|- Lane 3 - "&amp;F$51&amp;"|"&amp;$A57,'Reguler Class Availability'!$L:$L,0),""))</f>
        <v>237</v>
      </c>
      <c r="AS57" s="30" t="n">
        <f aca="false">IF($A57="","",IFERROR(MATCH($B$4&amp;"|- Lane 3 - "&amp;G$51&amp;"|"&amp;$A57,'Reguler Class Availability'!$L:$L,0),""))</f>
        <v>249</v>
      </c>
      <c r="AT57" s="30" t="n">
        <f aca="false">IF($A57="","",IFERROR(MATCH($B$4&amp;"|- Lane 3 - "&amp;H$51&amp;"|"&amp;$A57,'Reguler Class Availability'!$L:$L,0),""))</f>
        <v>261</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Lebih</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Lebih</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Tutup</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Tutup</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Tinggi</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Tinggi</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Penuh</v>
      </c>
      <c r="BD57" s="30" t="s">
        <v>167</v>
      </c>
      <c r="BE57" s="30" t="n">
        <f aca="false">IF(COUNTIFS('Reguler Class Availability'!$L:$L,$B$4&amp;"|- Lane 1 - *|"&amp;BD57)&gt;0,1,0)</f>
        <v>0</v>
      </c>
      <c r="BF57" s="30" t="n">
        <f aca="false">BE57+BF56</f>
        <v>14</v>
      </c>
    </row>
    <row r="58" customFormat="false" ht="39.75" hidden="false" customHeight="true" outlineLevel="0" collapsed="false">
      <c r="A58" s="66" t="str">
        <f aca="false">IFERROR(INDEX($BD$122:$BD$181,MATCH(7,$BF$122:$BF$181,0)),"")</f>
        <v>13:15</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Little  0/4  (0%)
coach: –</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Little  0/4  (0%)
coach: –</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Little  4/4  (100%)
Zidane</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Little  3/4  (75%)
Daffa</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Little  3/0
Nuky</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Little  4/4  (100%)
Rischa</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Little  3/4  (75%)
Daffa</v>
      </c>
      <c r="AN58" s="30" t="n">
        <f aca="false">IF($A58="","",IFERROR(MATCH($B$4&amp;"|- Lane 3 - "&amp;B$51&amp;"|"&amp;$A58,'Reguler Class Availability'!$L:$L,0),""))</f>
        <v>190</v>
      </c>
      <c r="AO58" s="30" t="n">
        <f aca="false">IF($A58="","",IFERROR(MATCH($B$4&amp;"|- Lane 3 - "&amp;C$51&amp;"|"&amp;$A58,'Reguler Class Availability'!$L:$L,0),""))</f>
        <v>202</v>
      </c>
      <c r="AP58" s="30" t="n">
        <f aca="false">IF($A58="","",IFERROR(MATCH($B$4&amp;"|- Lane 3 - "&amp;D$51&amp;"|"&amp;$A58,'Reguler Class Availability'!$L:$L,0),""))</f>
        <v>214</v>
      </c>
      <c r="AQ58" s="30" t="n">
        <f aca="false">IF($A58="","",IFERROR(MATCH($B$4&amp;"|- Lane 3 - "&amp;E$51&amp;"|"&amp;$A58,'Reguler Class Availability'!$L:$L,0),""))</f>
        <v>226</v>
      </c>
      <c r="AR58" s="30" t="n">
        <f aca="false">IF($A58="","",IFERROR(MATCH($B$4&amp;"|- Lane 3 - "&amp;F$51&amp;"|"&amp;$A58,'Reguler Class Availability'!$L:$L,0),""))</f>
        <v>238</v>
      </c>
      <c r="AS58" s="30" t="n">
        <f aca="false">IF($A58="","",IFERROR(MATCH($B$4&amp;"|- Lane 3 - "&amp;G$51&amp;"|"&amp;$A58,'Reguler Class Availability'!$L:$L,0),""))</f>
        <v>250</v>
      </c>
      <c r="AT58" s="30" t="n">
        <f aca="false">IF($A58="","",IFERROR(MATCH($B$4&amp;"|- Lane 3 - "&amp;H$51&amp;"|"&amp;$A58,'Reguler Class Availability'!$L:$L,0),""))</f>
        <v>262</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Belum terisi</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Belum terisi</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Penuh</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Tinggi</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Lebih</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Penuh</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Tinggi</v>
      </c>
      <c r="BD58" s="30" t="s">
        <v>168</v>
      </c>
      <c r="BE58" s="30" t="n">
        <f aca="false">IF(COUNTIFS('Reguler Class Availability'!$L:$L,$B$4&amp;"|- Lane 1 - *|"&amp;BD58)&gt;0,1,0)</f>
        <v>0</v>
      </c>
      <c r="BF58" s="30" t="n">
        <f aca="false">BE58+BF57</f>
        <v>14</v>
      </c>
    </row>
    <row r="59" customFormat="false" ht="39.75" hidden="false" customHeight="true" outlineLevel="0" collapsed="false">
      <c r="A59" s="66" t="str">
        <f aca="false">IFERROR(INDEX($BD$122:$BD$181,MATCH(8,$BF$122:$BF$181,0)),"")</f>
        <v>14:00</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Little  2/4  (50%)
Zidane</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Little  3/4  (75%)
Danti</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Little  3/4  (75%)
Eka</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Little  4/4  (100%)
Nuky</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Little  2/4  (50%)
Dian</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Little  2/4  (50%)
Danti</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Little  3/4  (75%)
Zidane</v>
      </c>
      <c r="AN59" s="30" t="n">
        <f aca="false">IF($A59="","",IFERROR(MATCH($B$4&amp;"|- Lane 3 - "&amp;B$51&amp;"|"&amp;$A59,'Reguler Class Availability'!$L:$L,0),""))</f>
        <v>191</v>
      </c>
      <c r="AO59" s="30" t="n">
        <f aca="false">IF($A59="","",IFERROR(MATCH($B$4&amp;"|- Lane 3 - "&amp;C$51&amp;"|"&amp;$A59,'Reguler Class Availability'!$L:$L,0),""))</f>
        <v>203</v>
      </c>
      <c r="AP59" s="30" t="n">
        <f aca="false">IF($A59="","",IFERROR(MATCH($B$4&amp;"|- Lane 3 - "&amp;D$51&amp;"|"&amp;$A59,'Reguler Class Availability'!$L:$L,0),""))</f>
        <v>215</v>
      </c>
      <c r="AQ59" s="30" t="n">
        <f aca="false">IF($A59="","",IFERROR(MATCH($B$4&amp;"|- Lane 3 - "&amp;E$51&amp;"|"&amp;$A59,'Reguler Class Availability'!$L:$L,0),""))</f>
        <v>227</v>
      </c>
      <c r="AR59" s="30" t="n">
        <f aca="false">IF($A59="","",IFERROR(MATCH($B$4&amp;"|- Lane 3 - "&amp;F$51&amp;"|"&amp;$A59,'Reguler Class Availability'!$L:$L,0),""))</f>
        <v>239</v>
      </c>
      <c r="AS59" s="30" t="n">
        <f aca="false">IF($A59="","",IFERROR(MATCH($B$4&amp;"|- Lane 3 - "&amp;G$51&amp;"|"&amp;$A59,'Reguler Class Availability'!$L:$L,0),""))</f>
        <v>251</v>
      </c>
      <c r="AT59" s="30" t="n">
        <f aca="false">IF($A59="","",IFERROR(MATCH($B$4&amp;"|- Lane 3 - "&amp;H$51&amp;"|"&amp;$A59,'Reguler Class Availability'!$L:$L,0),""))</f>
        <v>263</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Sebagian</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Tinggi</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Tinggi</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Penuh</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Sebagian</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Sebagian</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Tinggi</v>
      </c>
      <c r="BD59" s="30" t="s">
        <v>169</v>
      </c>
      <c r="BE59" s="30" t="n">
        <f aca="false">IF(COUNTIFS('Reguler Class Availability'!$L:$L,$B$4&amp;"|- Lane 1 - *|"&amp;BD59)&gt;0,1,0)</f>
        <v>0</v>
      </c>
      <c r="BF59" s="30" t="n">
        <f aca="false">BE59+BF58</f>
        <v>14</v>
      </c>
    </row>
    <row r="60" customFormat="false" ht="39.75" hidden="false" customHeight="true" outlineLevel="0" collapsed="false">
      <c r="A60" s="66" t="str">
        <f aca="false">IFERROR(INDEX($BD$122:$BD$181,MATCH(9,$BF$122:$BF$181,0)),"")</f>
        <v>14:45</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Little  3/0
Daffa</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Little  3/4  (75%)
Rischa</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Little  2/0
Surya</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Little  0/0
coach: –</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Little  4/4  (100%)
Surya</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Little  4/4  (100%)
Tessa</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Little  4/4  (100%)
Rischa</v>
      </c>
      <c r="AN60" s="30" t="n">
        <f aca="false">IF($A60="","",IFERROR(MATCH($B$4&amp;"|- Lane 3 - "&amp;B$51&amp;"|"&amp;$A60,'Reguler Class Availability'!$L:$L,0),""))</f>
        <v>192</v>
      </c>
      <c r="AO60" s="30" t="n">
        <f aca="false">IF($A60="","",IFERROR(MATCH($B$4&amp;"|- Lane 3 - "&amp;C$51&amp;"|"&amp;$A60,'Reguler Class Availability'!$L:$L,0),""))</f>
        <v>204</v>
      </c>
      <c r="AP60" s="30" t="n">
        <f aca="false">IF($A60="","",IFERROR(MATCH($B$4&amp;"|- Lane 3 - "&amp;D$51&amp;"|"&amp;$A60,'Reguler Class Availability'!$L:$L,0),""))</f>
        <v>216</v>
      </c>
      <c r="AQ60" s="30" t="n">
        <f aca="false">IF($A60="","",IFERROR(MATCH($B$4&amp;"|- Lane 3 - "&amp;E$51&amp;"|"&amp;$A60,'Reguler Class Availability'!$L:$L,0),""))</f>
        <v>228</v>
      </c>
      <c r="AR60" s="30" t="n">
        <f aca="false">IF($A60="","",IFERROR(MATCH($B$4&amp;"|- Lane 3 - "&amp;F$51&amp;"|"&amp;$A60,'Reguler Class Availability'!$L:$L,0),""))</f>
        <v>240</v>
      </c>
      <c r="AS60" s="30" t="n">
        <f aca="false">IF($A60="","",IFERROR(MATCH($B$4&amp;"|- Lane 3 - "&amp;G$51&amp;"|"&amp;$A60,'Reguler Class Availability'!$L:$L,0),""))</f>
        <v>252</v>
      </c>
      <c r="AT60" s="30" t="n">
        <f aca="false">IF($A60="","",IFERROR(MATCH($B$4&amp;"|- Lane 3 - "&amp;H$51&amp;"|"&amp;$A60,'Reguler Class Availability'!$L:$L,0),""))</f>
        <v>264</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Lebih</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Tinggi</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Lebih</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Tutup</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Penuh</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Penuh</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Penuh</v>
      </c>
      <c r="BD60" s="30" t="s">
        <v>170</v>
      </c>
      <c r="BE60" s="30" t="n">
        <f aca="false">IF(COUNTIFS('Reguler Class Availability'!$L:$L,$B$4&amp;"|- Lane 1 - *|"&amp;BD60)&gt;0,1,0)</f>
        <v>0</v>
      </c>
      <c r="BF60" s="30" t="n">
        <f aca="false">BE60+BF59</f>
        <v>14</v>
      </c>
    </row>
    <row r="61" customFormat="false" ht="39.75" hidden="false" customHeight="true" outlineLevel="0" collapsed="false">
      <c r="A61" s="66" t="str">
        <f aca="false">IFERROR(INDEX($BD$122:$BD$181,MATCH(10,$BF$122:$BF$181,0)),"")</f>
        <v>15:30</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Little  3/4  (75%)
Dian</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Little  0/0
coach: –</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Little  4/4  (100%)
Surya</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Little  4/4  (100%)
Surya</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Little  3/4  (75%)
Eka</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Little  4/4  (100%)
Zidane</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Little  4/4  (100%)
Dian</v>
      </c>
      <c r="AN61" s="30" t="n">
        <f aca="false">IF($A61="","",IFERROR(MATCH($B$4&amp;"|- Lane 3 - "&amp;B$51&amp;"|"&amp;$A61,'Reguler Class Availability'!$L:$L,0),""))</f>
        <v>193</v>
      </c>
      <c r="AO61" s="30" t="n">
        <f aca="false">IF($A61="","",IFERROR(MATCH($B$4&amp;"|- Lane 3 - "&amp;C$51&amp;"|"&amp;$A61,'Reguler Class Availability'!$L:$L,0),""))</f>
        <v>205</v>
      </c>
      <c r="AP61" s="30" t="n">
        <f aca="false">IF($A61="","",IFERROR(MATCH($B$4&amp;"|- Lane 3 - "&amp;D$51&amp;"|"&amp;$A61,'Reguler Class Availability'!$L:$L,0),""))</f>
        <v>217</v>
      </c>
      <c r="AQ61" s="30" t="n">
        <f aca="false">IF($A61="","",IFERROR(MATCH($B$4&amp;"|- Lane 3 - "&amp;E$51&amp;"|"&amp;$A61,'Reguler Class Availability'!$L:$L,0),""))</f>
        <v>229</v>
      </c>
      <c r="AR61" s="30" t="n">
        <f aca="false">IF($A61="","",IFERROR(MATCH($B$4&amp;"|- Lane 3 - "&amp;F$51&amp;"|"&amp;$A61,'Reguler Class Availability'!$L:$L,0),""))</f>
        <v>241</v>
      </c>
      <c r="AS61" s="30" t="n">
        <f aca="false">IF($A61="","",IFERROR(MATCH($B$4&amp;"|- Lane 3 - "&amp;G$51&amp;"|"&amp;$A61,'Reguler Class Availability'!$L:$L,0),""))</f>
        <v>253</v>
      </c>
      <c r="AT61" s="30" t="n">
        <f aca="false">IF($A61="","",IFERROR(MATCH($B$4&amp;"|- Lane 3 - "&amp;H$51&amp;"|"&amp;$A61,'Reguler Class Availability'!$L:$L,0),""))</f>
        <v>265</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Tinggi</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Tutup</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Penuh</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Penuh</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Tinggi</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Penuh</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Penuh</v>
      </c>
      <c r="BD61" s="30" t="s">
        <v>171</v>
      </c>
      <c r="BE61" s="30" t="n">
        <f aca="false">IF(COUNTIFS('Reguler Class Availability'!$L:$L,$B$4&amp;"|- Lane 1 - *|"&amp;BD61)&gt;0,1,0)</f>
        <v>0</v>
      </c>
      <c r="BF61" s="30" t="n">
        <f aca="false">BE61+BF60</f>
        <v>14</v>
      </c>
    </row>
    <row r="62" customFormat="false" ht="39.75" hidden="false" customHeight="true" outlineLevel="0" collapsed="false">
      <c r="A62" s="66" t="str">
        <f aca="false">IFERROR(INDEX($BD$122:$BD$181,MATCH(11,$BF$122:$BF$181,0)),"")</f>
        <v>16:15</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Little  3/4  (75%)
Rischa</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Little  4/4  (100%)
Rischa</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Little  3/4  (75%)
Eka</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Little  4/4  (100%)
Surya</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Little  4/4  (100%)
Daffa</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Little  4/4  (100%)
Nuky</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Little  4/4  (100%)
Danti</v>
      </c>
      <c r="AN62" s="30" t="n">
        <f aca="false">IF($A62="","",IFERROR(MATCH($B$4&amp;"|- Lane 3 - "&amp;B$51&amp;"|"&amp;$A62,'Reguler Class Availability'!$L:$L,0),""))</f>
        <v>194</v>
      </c>
      <c r="AO62" s="30" t="n">
        <f aca="false">IF($A62="","",IFERROR(MATCH($B$4&amp;"|- Lane 3 - "&amp;C$51&amp;"|"&amp;$A62,'Reguler Class Availability'!$L:$L,0),""))</f>
        <v>206</v>
      </c>
      <c r="AP62" s="30" t="n">
        <f aca="false">IF($A62="","",IFERROR(MATCH($B$4&amp;"|- Lane 3 - "&amp;D$51&amp;"|"&amp;$A62,'Reguler Class Availability'!$L:$L,0),""))</f>
        <v>218</v>
      </c>
      <c r="AQ62" s="30" t="n">
        <f aca="false">IF($A62="","",IFERROR(MATCH($B$4&amp;"|- Lane 3 - "&amp;E$51&amp;"|"&amp;$A62,'Reguler Class Availability'!$L:$L,0),""))</f>
        <v>230</v>
      </c>
      <c r="AR62" s="30" t="n">
        <f aca="false">IF($A62="","",IFERROR(MATCH($B$4&amp;"|- Lane 3 - "&amp;F$51&amp;"|"&amp;$A62,'Reguler Class Availability'!$L:$L,0),""))</f>
        <v>242</v>
      </c>
      <c r="AS62" s="30" t="n">
        <f aca="false">IF($A62="","",IFERROR(MATCH($B$4&amp;"|- Lane 3 - "&amp;G$51&amp;"|"&amp;$A62,'Reguler Class Availability'!$L:$L,0),""))</f>
        <v>254</v>
      </c>
      <c r="AT62" s="30" t="n">
        <f aca="false">IF($A62="","",IFERROR(MATCH($B$4&amp;"|- Lane 3 - "&amp;H$51&amp;"|"&amp;$A62,'Reguler Class Availability'!$L:$L,0),""))</f>
        <v>266</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Tinggi</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Penuh</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Tinggi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Penuh</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Penuh</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Penuh</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Penuh</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17:00</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Little  4/4  (100%)
Daffa</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Little  4/4  (100%)
Zidane</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Little  4/4  (100%)
Surya</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Little  4/4  (100%)
Nuky</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Little  4/4  (100%)
Rischa</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Little  4/4  (100%)
Danti</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Little  3/4  (75%)
Eka</v>
      </c>
      <c r="AN63" s="30" t="n">
        <f aca="false">IF($A63="","",IFERROR(MATCH($B$4&amp;"|- Lane 3 - "&amp;B$51&amp;"|"&amp;$A63,'Reguler Class Availability'!$L:$L,0),""))</f>
        <v>195</v>
      </c>
      <c r="AO63" s="30" t="n">
        <f aca="false">IF($A63="","",IFERROR(MATCH($B$4&amp;"|- Lane 3 - "&amp;C$51&amp;"|"&amp;$A63,'Reguler Class Availability'!$L:$L,0),""))</f>
        <v>207</v>
      </c>
      <c r="AP63" s="30" t="n">
        <f aca="false">IF($A63="","",IFERROR(MATCH($B$4&amp;"|- Lane 3 - "&amp;D$51&amp;"|"&amp;$A63,'Reguler Class Availability'!$L:$L,0),""))</f>
        <v>219</v>
      </c>
      <c r="AQ63" s="30" t="n">
        <f aca="false">IF($A63="","",IFERROR(MATCH($B$4&amp;"|- Lane 3 - "&amp;E$51&amp;"|"&amp;$A63,'Reguler Class Availability'!$L:$L,0),""))</f>
        <v>231</v>
      </c>
      <c r="AR63" s="30" t="n">
        <f aca="false">IF($A63="","",IFERROR(MATCH($B$4&amp;"|- Lane 3 - "&amp;F$51&amp;"|"&amp;$A63,'Reguler Class Availability'!$L:$L,0),""))</f>
        <v>243</v>
      </c>
      <c r="AS63" s="30" t="n">
        <f aca="false">IF($A63="","",IFERROR(MATCH($B$4&amp;"|- Lane 3 - "&amp;G$51&amp;"|"&amp;$A63,'Reguler Class Availability'!$L:$L,0),""))</f>
        <v>255</v>
      </c>
      <c r="AT63" s="30" t="n">
        <f aca="false">IF($A63="","",IFERROR(MATCH($B$4&amp;"|- Lane 3 - "&amp;H$51&amp;"|"&amp;$A63,'Reguler Class Availability'!$L:$L,0),""))</f>
        <v>267</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Penuh</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Penuh</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Penuh</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Penuh</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Penuh</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Penuh</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Tinggi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56%</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69%</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72%</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92%</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63%</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93%</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91%</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67%   ·   Belum terisi: 17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08:00</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0/0
coach: –</v>
      </c>
      <c r="AN70" s="30" t="n">
        <f aca="false">IF($A70="","",IFERROR(MATCH($B$4&amp;"|- Lane 4 - "&amp;B$69&amp;"|"&amp;$A70,'Reguler Class Availability'!$L:$L,0),""))</f>
        <v>268</v>
      </c>
      <c r="AO70" s="30" t="n">
        <f aca="false">IF($A70="","",IFERROR(MATCH($B$4&amp;"|- Lane 4 - "&amp;C$69&amp;"|"&amp;$A70,'Reguler Class Availability'!$L:$L,0),""))</f>
        <v>280</v>
      </c>
      <c r="AP70" s="30" t="n">
        <f aca="false">IF($A70="","",IFERROR(MATCH($B$4&amp;"|- Lane 4 - "&amp;D$69&amp;"|"&amp;$A70,'Reguler Class Availability'!$L:$L,0),""))</f>
        <v>292</v>
      </c>
      <c r="AQ70" s="30" t="n">
        <f aca="false">IF($A70="","",IFERROR(MATCH($B$4&amp;"|- Lane 4 - "&amp;E$69&amp;"|"&amp;$A70,'Reguler Class Availability'!$L:$L,0),""))</f>
        <v>304</v>
      </c>
      <c r="AR70" s="30" t="n">
        <f aca="false">IF($A70="","",IFERROR(MATCH($B$4&amp;"|- Lane 4 - "&amp;F$69&amp;"|"&amp;$A70,'Reguler Class Availability'!$L:$L,0),""))</f>
        <v>316</v>
      </c>
      <c r="AS70" s="30" t="n">
        <f aca="false">IF($A70="","",IFERROR(MATCH($B$4&amp;"|- Lane 4 - "&amp;G$69&amp;"|"&amp;$A70,'Reguler Class Availability'!$L:$L,0),""))</f>
        <v>328</v>
      </c>
      <c r="AT70" s="30" t="n">
        <f aca="false">IF($A70="","",IFERROR(MATCH($B$4&amp;"|- Lane 4 - "&amp;H$69&amp;"|"&amp;$A70,'Reguler Class Availability'!$L:$L,0),""))</f>
        <v>340</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Tutup</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Tutup</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Tutup</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Tutup</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Tutup</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Tutup</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Tutup</v>
      </c>
      <c r="BD70" s="30" t="s">
        <v>105</v>
      </c>
      <c r="BE70" s="30" t="n">
        <f aca="false">IF(COUNTIFS('Reguler Class Availability'!$L:$L,$B$4&amp;"|- Lane 2 - *|"&amp;BD70)&gt;0,1,0)</f>
        <v>0</v>
      </c>
      <c r="BF70" s="30" t="n">
        <f aca="false">BE70+BF69</f>
        <v>0</v>
      </c>
    </row>
    <row r="71" customFormat="false" ht="39.75" hidden="false" customHeight="true" outlineLevel="0" collapsed="false">
      <c r="A71" s="66" t="str">
        <f aca="false">IFERROR(INDEX($BD$182:$BD$241,MATCH(2,$BF$182:$BF$241,0)),"")</f>
        <v>08:45</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3/4  (75%)
Gita</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4/4  (100%)
Dian</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4/4  (100%)
Dian</v>
      </c>
      <c r="AN71" s="30" t="n">
        <f aca="false">IF($A71="","",IFERROR(MATCH($B$4&amp;"|- Lane 4 - "&amp;B$69&amp;"|"&amp;$A71,'Reguler Class Availability'!$L:$L,0),""))</f>
        <v>269</v>
      </c>
      <c r="AO71" s="30" t="n">
        <f aca="false">IF($A71="","",IFERROR(MATCH($B$4&amp;"|- Lane 4 - "&amp;C$69&amp;"|"&amp;$A71,'Reguler Class Availability'!$L:$L,0),""))</f>
        <v>281</v>
      </c>
      <c r="AP71" s="30" t="n">
        <f aca="false">IF($A71="","",IFERROR(MATCH($B$4&amp;"|- Lane 4 - "&amp;D$69&amp;"|"&amp;$A71,'Reguler Class Availability'!$L:$L,0),""))</f>
        <v>293</v>
      </c>
      <c r="AQ71" s="30" t="n">
        <f aca="false">IF($A71="","",IFERROR(MATCH($B$4&amp;"|- Lane 4 - "&amp;E$69&amp;"|"&amp;$A71,'Reguler Class Availability'!$L:$L,0),""))</f>
        <v>305</v>
      </c>
      <c r="AR71" s="30" t="n">
        <f aca="false">IF($A71="","",IFERROR(MATCH($B$4&amp;"|- Lane 4 - "&amp;F$69&amp;"|"&amp;$A71,'Reguler Class Availability'!$L:$L,0),""))</f>
        <v>317</v>
      </c>
      <c r="AS71" s="30" t="n">
        <f aca="false">IF($A71="","",IFERROR(MATCH($B$4&amp;"|- Lane 4 - "&amp;G$69&amp;"|"&amp;$A71,'Reguler Class Availability'!$L:$L,0),""))</f>
        <v>329</v>
      </c>
      <c r="AT71" s="30" t="n">
        <f aca="false">IF($A71="","",IFERROR(MATCH($B$4&amp;"|- Lane 4 - "&amp;H$69&amp;"|"&amp;$A71,'Reguler Class Availability'!$L:$L,0),""))</f>
        <v>341</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Tinggi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Penuh</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Penuh</v>
      </c>
      <c r="BD71" s="30" t="s">
        <v>110</v>
      </c>
      <c r="BE71" s="30" t="n">
        <f aca="false">IF(COUNTIFS('Reguler Class Availability'!$L:$L,$B$4&amp;"|- Lane 2 - *|"&amp;BD71)&gt;0,1,0)</f>
        <v>1</v>
      </c>
      <c r="BF71" s="30" t="n">
        <f aca="false">BE71+BF70</f>
        <v>1</v>
      </c>
    </row>
    <row r="72" customFormat="false" ht="39.75" hidden="false" customHeight="true" outlineLevel="0" collapsed="false">
      <c r="A72" s="66" t="str">
        <f aca="false">IFERROR(INDEX($BD$182:$BD$241,MATCH(3,$BF$182:$BF$241,0)),"")</f>
        <v>09:30</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0/4  (0%)
coach: –</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3/4  (75%)
Surya</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0/4  (0%)
coach: –</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3/4  (75%)
Dian</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3/4  (75%)
Eka</v>
      </c>
      <c r="AN72" s="30" t="n">
        <f aca="false">IF($A72="","",IFERROR(MATCH($B$4&amp;"|- Lane 4 - "&amp;B$69&amp;"|"&amp;$A72,'Reguler Class Availability'!$L:$L,0),""))</f>
        <v>270</v>
      </c>
      <c r="AO72" s="30" t="n">
        <f aca="false">IF($A72="","",IFERROR(MATCH($B$4&amp;"|- Lane 4 - "&amp;C$69&amp;"|"&amp;$A72,'Reguler Class Availability'!$L:$L,0),""))</f>
        <v>282</v>
      </c>
      <c r="AP72" s="30" t="n">
        <f aca="false">IF($A72="","",IFERROR(MATCH($B$4&amp;"|- Lane 4 - "&amp;D$69&amp;"|"&amp;$A72,'Reguler Class Availability'!$L:$L,0),""))</f>
        <v>294</v>
      </c>
      <c r="AQ72" s="30" t="n">
        <f aca="false">IF($A72="","",IFERROR(MATCH($B$4&amp;"|- Lane 4 - "&amp;E$69&amp;"|"&amp;$A72,'Reguler Class Availability'!$L:$L,0),""))</f>
        <v>306</v>
      </c>
      <c r="AR72" s="30" t="n">
        <f aca="false">IF($A72="","",IFERROR(MATCH($B$4&amp;"|- Lane 4 - "&amp;F$69&amp;"|"&amp;$A72,'Reguler Class Availability'!$L:$L,0),""))</f>
        <v>318</v>
      </c>
      <c r="AS72" s="30" t="n">
        <f aca="false">IF($A72="","",IFERROR(MATCH($B$4&amp;"|- Lane 4 - "&amp;G$69&amp;"|"&amp;$A72,'Reguler Class Availability'!$L:$L,0),""))</f>
        <v>330</v>
      </c>
      <c r="AT72" s="30" t="n">
        <f aca="false">IF($A72="","",IFERROR(MATCH($B$4&amp;"|- Lane 4 - "&amp;H$69&amp;"|"&amp;$A72,'Reguler Class Availability'!$L:$L,0),""))</f>
        <v>342</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Belum terisi</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Tinggi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Belum terisi</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Tinggi</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Tinggi</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10:15</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0/4  (0%)
coach: –</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3/4  (75%)
Rischa</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4/4  (100%)
Danti</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4/4  (100%)
Daffa</v>
      </c>
      <c r="AN73" s="30" t="n">
        <f aca="false">IF($A73="","",IFERROR(MATCH($B$4&amp;"|- Lane 4 - "&amp;B$69&amp;"|"&amp;$A73,'Reguler Class Availability'!$L:$L,0),""))</f>
        <v>271</v>
      </c>
      <c r="AO73" s="30" t="n">
        <f aca="false">IF($A73="","",IFERROR(MATCH($B$4&amp;"|- Lane 4 - "&amp;C$69&amp;"|"&amp;$A73,'Reguler Class Availability'!$L:$L,0),""))</f>
        <v>283</v>
      </c>
      <c r="AP73" s="30" t="n">
        <f aca="false">IF($A73="","",IFERROR(MATCH($B$4&amp;"|- Lane 4 - "&amp;D$69&amp;"|"&amp;$A73,'Reguler Class Availability'!$L:$L,0),""))</f>
        <v>295</v>
      </c>
      <c r="AQ73" s="30" t="n">
        <f aca="false">IF($A73="","",IFERROR(MATCH($B$4&amp;"|- Lane 4 - "&amp;E$69&amp;"|"&amp;$A73,'Reguler Class Availability'!$L:$L,0),""))</f>
        <v>307</v>
      </c>
      <c r="AR73" s="30" t="n">
        <f aca="false">IF($A73="","",IFERROR(MATCH($B$4&amp;"|- Lane 4 - "&amp;F$69&amp;"|"&amp;$A73,'Reguler Class Availability'!$L:$L,0),""))</f>
        <v>319</v>
      </c>
      <c r="AS73" s="30" t="n">
        <f aca="false">IF($A73="","",IFERROR(MATCH($B$4&amp;"|- Lane 4 - "&amp;G$69&amp;"|"&amp;$A73,'Reguler Class Availability'!$L:$L,0),""))</f>
        <v>331</v>
      </c>
      <c r="AT73" s="30" t="n">
        <f aca="false">IF($A73="","",IFERROR(MATCH($B$4&amp;"|- Lane 4 - "&amp;H$69&amp;"|"&amp;$A73,'Reguler Class Availability'!$L:$L,0),""))</f>
        <v>343</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Belum terisi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Tinggi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Penuh</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Penuh</v>
      </c>
      <c r="BD73" s="30" t="s">
        <v>120</v>
      </c>
      <c r="BE73" s="30" t="n">
        <f aca="false">IF(COUNTIFS('Reguler Class Availability'!$L:$L,$B$4&amp;"|- Lane 2 - *|"&amp;BD73)&gt;0,1,0)</f>
        <v>0</v>
      </c>
      <c r="BF73" s="30" t="n">
        <f aca="false">BE73+BF72</f>
        <v>1</v>
      </c>
    </row>
    <row r="74" customFormat="false" ht="39.75" hidden="false" customHeight="true" outlineLevel="0" collapsed="false">
      <c r="A74" s="66" t="str">
        <f aca="false">IFERROR(INDEX($BD$182:$BD$241,MATCH(5,$BF$182:$BF$241,0)),"")</f>
        <v>11:00</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0/4  (0%)
coach: –</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0/4  (0%)
coach: –</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0/4  (0%)
coach: –</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3/4  (75%)
Eka</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4/4  (100%)
Daffa</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4/4  (100%)
Nuky</v>
      </c>
      <c r="AN74" s="30" t="n">
        <f aca="false">IF($A74="","",IFERROR(MATCH($B$4&amp;"|- Lane 4 - "&amp;B$69&amp;"|"&amp;$A74,'Reguler Class Availability'!$L:$L,0),""))</f>
        <v>272</v>
      </c>
      <c r="AO74" s="30" t="n">
        <f aca="false">IF($A74="","",IFERROR(MATCH($B$4&amp;"|- Lane 4 - "&amp;C$69&amp;"|"&amp;$A74,'Reguler Class Availability'!$L:$L,0),""))</f>
        <v>284</v>
      </c>
      <c r="AP74" s="30" t="n">
        <f aca="false">IF($A74="","",IFERROR(MATCH($B$4&amp;"|- Lane 4 - "&amp;D$69&amp;"|"&amp;$A74,'Reguler Class Availability'!$L:$L,0),""))</f>
        <v>296</v>
      </c>
      <c r="AQ74" s="30" t="n">
        <f aca="false">IF($A74="","",IFERROR(MATCH($B$4&amp;"|- Lane 4 - "&amp;E$69&amp;"|"&amp;$A74,'Reguler Class Availability'!$L:$L,0),""))</f>
        <v>308</v>
      </c>
      <c r="AR74" s="30" t="n">
        <f aca="false">IF($A74="","",IFERROR(MATCH($B$4&amp;"|- Lane 4 - "&amp;F$69&amp;"|"&amp;$A74,'Reguler Class Availability'!$L:$L,0),""))</f>
        <v>320</v>
      </c>
      <c r="AS74" s="30" t="n">
        <f aca="false">IF($A74="","",IFERROR(MATCH($B$4&amp;"|- Lane 4 - "&amp;G$69&amp;"|"&amp;$A74,'Reguler Class Availability'!$L:$L,0),""))</f>
        <v>332</v>
      </c>
      <c r="AT74" s="30" t="n">
        <f aca="false">IF($A74="","",IFERROR(MATCH($B$4&amp;"|- Lane 4 - "&amp;H$69&amp;"|"&amp;$A74,'Reguler Class Availability'!$L:$L,0),""))</f>
        <v>344</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Belum terisi</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Belum terisi</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Belum terisi</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Tinggi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Penuh</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Penuh</v>
      </c>
      <c r="BD74" s="30" t="s">
        <v>121</v>
      </c>
      <c r="BE74" s="30" t="n">
        <f aca="false">IF(COUNTIFS('Reguler Class Availability'!$L:$L,$B$4&amp;"|- Lane 2 - *|"&amp;BD74)&gt;0,1,0)</f>
        <v>1</v>
      </c>
      <c r="BF74" s="30" t="n">
        <f aca="false">BE74+BF73</f>
        <v>2</v>
      </c>
    </row>
    <row r="75" customFormat="false" ht="39.75" hidden="false" customHeight="true" outlineLevel="0" collapsed="false">
      <c r="A75" s="66" t="str">
        <f aca="false">IFERROR(INDEX($BD$182:$BD$241,MATCH(6,$BF$182:$BF$241,0)),"")</f>
        <v>11:45</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4/4  (100%)
Surya</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4/4  (100%)
Zidane</v>
      </c>
      <c r="AN75" s="30" t="n">
        <f aca="false">IF($A75="","",IFERROR(MATCH($B$4&amp;"|- Lane 4 - "&amp;B$69&amp;"|"&amp;$A75,'Reguler Class Availability'!$L:$L,0),""))</f>
        <v>273</v>
      </c>
      <c r="AO75" s="30" t="n">
        <f aca="false">IF($A75="","",IFERROR(MATCH($B$4&amp;"|- Lane 4 - "&amp;C$69&amp;"|"&amp;$A75,'Reguler Class Availability'!$L:$L,0),""))</f>
        <v>285</v>
      </c>
      <c r="AP75" s="30" t="n">
        <f aca="false">IF($A75="","",IFERROR(MATCH($B$4&amp;"|- Lane 4 - "&amp;D$69&amp;"|"&amp;$A75,'Reguler Class Availability'!$L:$L,0),""))</f>
        <v>297</v>
      </c>
      <c r="AQ75" s="30" t="n">
        <f aca="false">IF($A75="","",IFERROR(MATCH($B$4&amp;"|- Lane 4 - "&amp;E$69&amp;"|"&amp;$A75,'Reguler Class Availability'!$L:$L,0),""))</f>
        <v>309</v>
      </c>
      <c r="AR75" s="30" t="n">
        <f aca="false">IF($A75="","",IFERROR(MATCH($B$4&amp;"|- Lane 4 - "&amp;F$69&amp;"|"&amp;$A75,'Reguler Class Availability'!$L:$L,0),""))</f>
        <v>321</v>
      </c>
      <c r="AS75" s="30" t="n">
        <f aca="false">IF($A75="","",IFERROR(MATCH($B$4&amp;"|- Lane 4 - "&amp;G$69&amp;"|"&amp;$A75,'Reguler Class Availability'!$L:$L,0),""))</f>
        <v>333</v>
      </c>
      <c r="AT75" s="30" t="n">
        <f aca="false">IF($A75="","",IFERROR(MATCH($B$4&amp;"|- Lane 4 - "&amp;H$69&amp;"|"&amp;$A75,'Reguler Class Availability'!$L:$L,0),""))</f>
        <v>345</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Tutup</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Tutup</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Tutup</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Tutup</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Tutup</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Penuh</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Penuh</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13:15</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3/4  (75%)
Zidane</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3/4  (75%)
Dian</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4/4  (100%)
Surya</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3/4  (75%)
Eka</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3/4  (75%)
Surya</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4/4  (100%)
Rischa</v>
      </c>
      <c r="AN76" s="30" t="n">
        <f aca="false">IF($A76="","",IFERROR(MATCH($B$4&amp;"|- Lane 4 - "&amp;B$69&amp;"|"&amp;$A76,'Reguler Class Availability'!$L:$L,0),""))</f>
        <v>274</v>
      </c>
      <c r="AO76" s="30" t="n">
        <f aca="false">IF($A76="","",IFERROR(MATCH($B$4&amp;"|- Lane 4 - "&amp;C$69&amp;"|"&amp;$A76,'Reguler Class Availability'!$L:$L,0),""))</f>
        <v>286</v>
      </c>
      <c r="AP76" s="30" t="n">
        <f aca="false">IF($A76="","",IFERROR(MATCH($B$4&amp;"|- Lane 4 - "&amp;D$69&amp;"|"&amp;$A76,'Reguler Class Availability'!$L:$L,0),""))</f>
        <v>298</v>
      </c>
      <c r="AQ76" s="30" t="n">
        <f aca="false">IF($A76="","",IFERROR(MATCH($B$4&amp;"|- Lane 4 - "&amp;E$69&amp;"|"&amp;$A76,'Reguler Class Availability'!$L:$L,0),""))</f>
        <v>310</v>
      </c>
      <c r="AR76" s="30" t="n">
        <f aca="false">IF($A76="","",IFERROR(MATCH($B$4&amp;"|- Lane 4 - "&amp;F$69&amp;"|"&amp;$A76,'Reguler Class Availability'!$L:$L,0),""))</f>
        <v>322</v>
      </c>
      <c r="AS76" s="30" t="n">
        <f aca="false">IF($A76="","",IFERROR(MATCH($B$4&amp;"|- Lane 4 - "&amp;G$69&amp;"|"&amp;$A76,'Reguler Class Availability'!$L:$L,0),""))</f>
        <v>334</v>
      </c>
      <c r="AT76" s="30" t="n">
        <f aca="false">IF($A76="","",IFERROR(MATCH($B$4&amp;"|- Lane 4 - "&amp;H$69&amp;"|"&amp;$A76,'Reguler Class Availability'!$L:$L,0),""))</f>
        <v>346</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Tinggi</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Tinggi</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Penuh</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Tinggi</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Tinggi</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Penuh</v>
      </c>
      <c r="BD76" s="30" t="s">
        <v>123</v>
      </c>
      <c r="BE76" s="30" t="n">
        <f aca="false">IF(COUNTIFS('Reguler Class Availability'!$L:$L,$B$4&amp;"|- Lane 2 - *|"&amp;BD76)&gt;0,1,0)</f>
        <v>0</v>
      </c>
      <c r="BF76" s="30" t="n">
        <f aca="false">BE76+BF75</f>
        <v>2</v>
      </c>
    </row>
    <row r="77" customFormat="false" ht="39.75" hidden="false" customHeight="true" outlineLevel="0" collapsed="false">
      <c r="A77" s="66" t="str">
        <f aca="false">IFERROR(INDEX($BD$182:$BD$241,MATCH(8,$BF$182:$BF$241,0)),"")</f>
        <v>14:00</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4/4  (100%)
Dian</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4/4  (100%)
Zidane</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4/4  (100%)
Danti</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3/4  (75%)
Surya</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2/4  (50%)
Daffa</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4/4  (100%)
Nuky</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4/4  (100%)
Daffa</v>
      </c>
      <c r="AN77" s="30" t="n">
        <f aca="false">IF($A77="","",IFERROR(MATCH($B$4&amp;"|- Lane 4 - "&amp;B$69&amp;"|"&amp;$A77,'Reguler Class Availability'!$L:$L,0),""))</f>
        <v>275</v>
      </c>
      <c r="AO77" s="30" t="n">
        <f aca="false">IF($A77="","",IFERROR(MATCH($B$4&amp;"|- Lane 4 - "&amp;C$69&amp;"|"&amp;$A77,'Reguler Class Availability'!$L:$L,0),""))</f>
        <v>287</v>
      </c>
      <c r="AP77" s="30" t="n">
        <f aca="false">IF($A77="","",IFERROR(MATCH($B$4&amp;"|- Lane 4 - "&amp;D$69&amp;"|"&amp;$A77,'Reguler Class Availability'!$L:$L,0),""))</f>
        <v>299</v>
      </c>
      <c r="AQ77" s="30" t="n">
        <f aca="false">IF($A77="","",IFERROR(MATCH($B$4&amp;"|- Lane 4 - "&amp;E$69&amp;"|"&amp;$A77,'Reguler Class Availability'!$L:$L,0),""))</f>
        <v>311</v>
      </c>
      <c r="AR77" s="30" t="n">
        <f aca="false">IF($A77="","",IFERROR(MATCH($B$4&amp;"|- Lane 4 - "&amp;F$69&amp;"|"&amp;$A77,'Reguler Class Availability'!$L:$L,0),""))</f>
        <v>323</v>
      </c>
      <c r="AS77" s="30" t="n">
        <f aca="false">IF($A77="","",IFERROR(MATCH($B$4&amp;"|- Lane 4 - "&amp;G$69&amp;"|"&amp;$A77,'Reguler Class Availability'!$L:$L,0),""))</f>
        <v>335</v>
      </c>
      <c r="AT77" s="30" t="n">
        <f aca="false">IF($A77="","",IFERROR(MATCH($B$4&amp;"|- Lane 4 - "&amp;H$69&amp;"|"&amp;$A77,'Reguler Class Availability'!$L:$L,0),""))</f>
        <v>347</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Penuh</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Penuh</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Penuh</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Tinggi</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Sebagian</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Penuh</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Penuh</v>
      </c>
      <c r="BD77" s="30" t="s">
        <v>124</v>
      </c>
      <c r="BE77" s="30" t="n">
        <f aca="false">IF(COUNTIFS('Reguler Class Availability'!$L:$L,$B$4&amp;"|- Lane 2 - *|"&amp;BD77)&gt;0,1,0)</f>
        <v>1</v>
      </c>
      <c r="BF77" s="30" t="n">
        <f aca="false">BE77+BF76</f>
        <v>3</v>
      </c>
    </row>
    <row r="78" customFormat="false" ht="39.75" hidden="false" customHeight="true" outlineLevel="0" collapsed="false">
      <c r="A78" s="66" t="str">
        <f aca="false">IFERROR(INDEX($BD$182:$BD$241,MATCH(9,$BF$182:$BF$241,0)),"")</f>
        <v>14:45</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4/4  (100%)
Danti</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4/4  (100%)
Dian</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4/4  (100%)
Danti</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0/0
coach: –</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4/4  (100%)
Rischa</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4/4  (100%)
Surya</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4/4  (100%)
Dian</v>
      </c>
      <c r="AN78" s="30" t="n">
        <f aca="false">IF($A78="","",IFERROR(MATCH($B$4&amp;"|- Lane 4 - "&amp;B$69&amp;"|"&amp;$A78,'Reguler Class Availability'!$L:$L,0),""))</f>
        <v>276</v>
      </c>
      <c r="AO78" s="30" t="n">
        <f aca="false">IF($A78="","",IFERROR(MATCH($B$4&amp;"|- Lane 4 - "&amp;C$69&amp;"|"&amp;$A78,'Reguler Class Availability'!$L:$L,0),""))</f>
        <v>288</v>
      </c>
      <c r="AP78" s="30" t="n">
        <f aca="false">IF($A78="","",IFERROR(MATCH($B$4&amp;"|- Lane 4 - "&amp;D$69&amp;"|"&amp;$A78,'Reguler Class Availability'!$L:$L,0),""))</f>
        <v>300</v>
      </c>
      <c r="AQ78" s="30" t="n">
        <f aca="false">IF($A78="","",IFERROR(MATCH($B$4&amp;"|- Lane 4 - "&amp;E$69&amp;"|"&amp;$A78,'Reguler Class Availability'!$L:$L,0),""))</f>
        <v>312</v>
      </c>
      <c r="AR78" s="30" t="n">
        <f aca="false">IF($A78="","",IFERROR(MATCH($B$4&amp;"|- Lane 4 - "&amp;F$69&amp;"|"&amp;$A78,'Reguler Class Availability'!$L:$L,0),""))</f>
        <v>324</v>
      </c>
      <c r="AS78" s="30" t="n">
        <f aca="false">IF($A78="","",IFERROR(MATCH($B$4&amp;"|- Lane 4 - "&amp;G$69&amp;"|"&amp;$A78,'Reguler Class Availability'!$L:$L,0),""))</f>
        <v>336</v>
      </c>
      <c r="AT78" s="30" t="n">
        <f aca="false">IF($A78="","",IFERROR(MATCH($B$4&amp;"|- Lane 4 - "&amp;H$69&amp;"|"&amp;$A78,'Reguler Class Availability'!$L:$L,0),""))</f>
        <v>348</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Penuh</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Penuh</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Penuh</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Tutup</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Penuh</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Penuh</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Penuh</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15:30</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2/4  (50%)
Zidane</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4/0
Zidane</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4/4  (100%)
Danti</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3/4  (75%)
Eka</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3/0
Daffa</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3/4  (75%)
Dian</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4/4  (100%)
Surya</v>
      </c>
      <c r="AN79" s="30" t="n">
        <f aca="false">IF($A79="","",IFERROR(MATCH($B$4&amp;"|- Lane 4 - "&amp;B$69&amp;"|"&amp;$A79,'Reguler Class Availability'!$L:$L,0),""))</f>
        <v>277</v>
      </c>
      <c r="AO79" s="30" t="n">
        <f aca="false">IF($A79="","",IFERROR(MATCH($B$4&amp;"|- Lane 4 - "&amp;C$69&amp;"|"&amp;$A79,'Reguler Class Availability'!$L:$L,0),""))</f>
        <v>289</v>
      </c>
      <c r="AP79" s="30" t="n">
        <f aca="false">IF($A79="","",IFERROR(MATCH($B$4&amp;"|- Lane 4 - "&amp;D$69&amp;"|"&amp;$A79,'Reguler Class Availability'!$L:$L,0),""))</f>
        <v>301</v>
      </c>
      <c r="AQ79" s="30" t="n">
        <f aca="false">IF($A79="","",IFERROR(MATCH($B$4&amp;"|- Lane 4 - "&amp;E$69&amp;"|"&amp;$A79,'Reguler Class Availability'!$L:$L,0),""))</f>
        <v>313</v>
      </c>
      <c r="AR79" s="30" t="n">
        <f aca="false">IF($A79="","",IFERROR(MATCH($B$4&amp;"|- Lane 4 - "&amp;F$69&amp;"|"&amp;$A79,'Reguler Class Availability'!$L:$L,0),""))</f>
        <v>325</v>
      </c>
      <c r="AS79" s="30" t="n">
        <f aca="false">IF($A79="","",IFERROR(MATCH($B$4&amp;"|- Lane 4 - "&amp;G$69&amp;"|"&amp;$A79,'Reguler Class Availability'!$L:$L,0),""))</f>
        <v>337</v>
      </c>
      <c r="AT79" s="30" t="n">
        <f aca="false">IF($A79="","",IFERROR(MATCH($B$4&amp;"|- Lane 4 - "&amp;H$69&amp;"|"&amp;$A79,'Reguler Class Availability'!$L:$L,0),""))</f>
        <v>349</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Sebagian</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Lebih</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Penuh</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Tinggi</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Lebih</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Tinggi</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Penuh</v>
      </c>
      <c r="BD79" s="30" t="s">
        <v>126</v>
      </c>
      <c r="BE79" s="30" t="n">
        <f aca="false">IF(COUNTIFS('Reguler Class Availability'!$L:$L,$B$4&amp;"|- Lane 2 - *|"&amp;BD79)&gt;0,1,0)</f>
        <v>0</v>
      </c>
      <c r="BF79" s="30" t="n">
        <f aca="false">BE79+BF78</f>
        <v>3</v>
      </c>
    </row>
    <row r="80" customFormat="false" ht="39.75" hidden="false" customHeight="true" outlineLevel="0" collapsed="false">
      <c r="A80" s="66" t="str">
        <f aca="false">IFERROR(INDEX($BD$182:$BD$241,MATCH(11,$BF$182:$BF$241,0)),"")</f>
        <v>16:15</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4/4  (100%)
Danti</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3/4  (75%)
Danti</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4/4  (100%)
Zidane</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4/4  (100%)
Eka</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4/4  (100%)
Dian</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3/4  (75%)
Zidane</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4/4  (100%)
Eka</v>
      </c>
      <c r="AN80" s="30" t="n">
        <f aca="false">IF($A80="","",IFERROR(MATCH($B$4&amp;"|- Lane 4 - "&amp;B$69&amp;"|"&amp;$A80,'Reguler Class Availability'!$L:$L,0),""))</f>
        <v>278</v>
      </c>
      <c r="AO80" s="30" t="n">
        <f aca="false">IF($A80="","",IFERROR(MATCH($B$4&amp;"|- Lane 4 - "&amp;C$69&amp;"|"&amp;$A80,'Reguler Class Availability'!$L:$L,0),""))</f>
        <v>290</v>
      </c>
      <c r="AP80" s="30" t="n">
        <f aca="false">IF($A80="","",IFERROR(MATCH($B$4&amp;"|- Lane 4 - "&amp;D$69&amp;"|"&amp;$A80,'Reguler Class Availability'!$L:$L,0),""))</f>
        <v>302</v>
      </c>
      <c r="AQ80" s="30" t="n">
        <f aca="false">IF($A80="","",IFERROR(MATCH($B$4&amp;"|- Lane 4 - "&amp;E$69&amp;"|"&amp;$A80,'Reguler Class Availability'!$L:$L,0),""))</f>
        <v>314</v>
      </c>
      <c r="AR80" s="30" t="n">
        <f aca="false">IF($A80="","",IFERROR(MATCH($B$4&amp;"|- Lane 4 - "&amp;F$69&amp;"|"&amp;$A80,'Reguler Class Availability'!$L:$L,0),""))</f>
        <v>326</v>
      </c>
      <c r="AS80" s="30" t="n">
        <f aca="false">IF($A80="","",IFERROR(MATCH($B$4&amp;"|- Lane 4 - "&amp;G$69&amp;"|"&amp;$A80,'Reguler Class Availability'!$L:$L,0),""))</f>
        <v>338</v>
      </c>
      <c r="AT80" s="30" t="n">
        <f aca="false">IF($A80="","",IFERROR(MATCH($B$4&amp;"|- Lane 4 - "&amp;H$69&amp;"|"&amp;$A80,'Reguler Class Availability'!$L:$L,0),""))</f>
        <v>350</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Penuh</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Tinggi</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Penuh</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Penuh</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Penuh</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Tinggi</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Penuh</v>
      </c>
      <c r="BD80" s="30" t="s">
        <v>127</v>
      </c>
      <c r="BE80" s="30" t="n">
        <f aca="false">IF(COUNTIFS('Reguler Class Availability'!$L:$L,$B$4&amp;"|- Lane 2 - *|"&amp;BD80)&gt;0,1,0)</f>
        <v>1</v>
      </c>
      <c r="BF80" s="30" t="n">
        <f aca="false">BE80+BF79</f>
        <v>4</v>
      </c>
    </row>
    <row r="81" customFormat="false" ht="39.75" hidden="false" customHeight="true" outlineLevel="0" collapsed="false">
      <c r="A81" s="66" t="str">
        <f aca="false">IFERROR(INDEX($BD$182:$BD$241,MATCH(12,$BF$182:$BF$241,0)),"")</f>
        <v>17:00</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4/4  (100%)
Dian</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4/4  (100%)
Rischa</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3/4  (75%)
Zidane</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4/4  (100%)
Daffa</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4/4  (100%)
Eka</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4/4  (100%)
Daffa</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Kids  2/4  (50%)
Alan</v>
      </c>
      <c r="AN81" s="30" t="n">
        <f aca="false">IF($A81="","",IFERROR(MATCH($B$4&amp;"|- Lane 4 - "&amp;B$69&amp;"|"&amp;$A81,'Reguler Class Availability'!$L:$L,0),""))</f>
        <v>279</v>
      </c>
      <c r="AO81" s="30" t="n">
        <f aca="false">IF($A81="","",IFERROR(MATCH($B$4&amp;"|- Lane 4 - "&amp;C$69&amp;"|"&amp;$A81,'Reguler Class Availability'!$L:$L,0),""))</f>
        <v>291</v>
      </c>
      <c r="AP81" s="30" t="n">
        <f aca="false">IF($A81="","",IFERROR(MATCH($B$4&amp;"|- Lane 4 - "&amp;D$69&amp;"|"&amp;$A81,'Reguler Class Availability'!$L:$L,0),""))</f>
        <v>303</v>
      </c>
      <c r="AQ81" s="30" t="n">
        <f aca="false">IF($A81="","",IFERROR(MATCH($B$4&amp;"|- Lane 4 - "&amp;E$69&amp;"|"&amp;$A81,'Reguler Class Availability'!$L:$L,0),""))</f>
        <v>315</v>
      </c>
      <c r="AR81" s="30" t="n">
        <f aca="false">IF($A81="","",IFERROR(MATCH($B$4&amp;"|- Lane 4 - "&amp;F$69&amp;"|"&amp;$A81,'Reguler Class Availability'!$L:$L,0),""))</f>
        <v>327</v>
      </c>
      <c r="AS81" s="30" t="n">
        <f aca="false">IF($A81="","",IFERROR(MATCH($B$4&amp;"|- Lane 4 - "&amp;G$69&amp;"|"&amp;$A81,'Reguler Class Availability'!$L:$L,0),""))</f>
        <v>339</v>
      </c>
      <c r="AT81" s="30" t="n">
        <f aca="false">IF($A81="","",IFERROR(MATCH($B$4&amp;"|- Lane 4 - "&amp;H$69&amp;"|"&amp;$A81,'Reguler Class Availability'!$L:$L,0),""))</f>
        <v>351</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Penuh</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Penuh</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Tinggi</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Penuh</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Penuh</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Penuh</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Sebagian</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0</v>
      </c>
      <c r="BF82" s="30" t="n">
        <f aca="false">BE82+BF81</f>
        <v>4</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1</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53%</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50%</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65%</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47%</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64%</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91%</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93%</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0</v>
      </c>
      <c r="BF85" s="0" t="n">
        <f aca="false">BE85+BF84</f>
        <v>5</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54%   ·   Belum terisi: 0   ·   Slot kosong: 29</v>
      </c>
      <c r="D86" s="62"/>
      <c r="E86" s="62"/>
      <c r="F86" s="62"/>
      <c r="G86" s="62"/>
      <c r="H86" s="62"/>
      <c r="BD86" s="30" t="s">
        <v>133</v>
      </c>
      <c r="BE86" s="30" t="n">
        <f aca="false">IF(COUNTIFS('Reguler Class Availability'!$L:$L,$B$4&amp;"|- Lane 2 - *|"&amp;BD86)&gt;0,1,0)</f>
        <v>1</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08:00</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v>
      </c>
      <c r="AN88" s="30" t="n">
        <f aca="false">IF($A88="","",IFERROR(MATCH($B$4&amp;"|- Lane 5 - "&amp;B$87&amp;"|"&amp;$A88,'Reguler Class Availability'!$L:$L,0),""))</f>
        <v>352</v>
      </c>
      <c r="AO88" s="30" t="n">
        <f aca="false">IF($A88="","",IFERROR(MATCH($B$4&amp;"|- Lane 5 - "&amp;C$87&amp;"|"&amp;$A88,'Reguler Class Availability'!$L:$L,0),""))</f>
        <v>364</v>
      </c>
      <c r="AP88" s="30" t="n">
        <f aca="false">IF($A88="","",IFERROR(MATCH($B$4&amp;"|- Lane 5 - "&amp;D$87&amp;"|"&amp;$A88,'Reguler Class Availability'!$L:$L,0),""))</f>
        <v>376</v>
      </c>
      <c r="AQ88" s="30" t="n">
        <f aca="false">IF($A88="","",IFERROR(MATCH($B$4&amp;"|- Lane 5 - "&amp;E$87&amp;"|"&amp;$A88,'Reguler Class Availability'!$L:$L,0),""))</f>
        <v>388</v>
      </c>
      <c r="AR88" s="30" t="n">
        <f aca="false">IF($A88="","",IFERROR(MATCH($B$4&amp;"|- Lane 5 - "&amp;F$87&amp;"|"&amp;$A88,'Reguler Class Availability'!$L:$L,0),""))</f>
        <v>400</v>
      </c>
      <c r="AS88" s="30" t="n">
        <f aca="false">IF($A88="","",IFERROR(MATCH($B$4&amp;"|- Lane 5 - "&amp;G$87&amp;"|"&amp;$A88,'Reguler Class Availability'!$L:$L,0),""))</f>
        <v>412</v>
      </c>
      <c r="AT88" s="30" t="n">
        <f aca="false">IF($A88="","",IFERROR(MATCH($B$4&amp;"|- Lane 5 - "&amp;H$87&amp;"|"&amp;$A88,'Reguler Class Availability'!$L:$L,0),""))</f>
        <v>424</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Tidak dibuka</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Tidak dibuka</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Tidak dibuka</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Tidak dibuka</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Tidak dibuka</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Tidak dibuka</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Tidak dibuka</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08:45</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Kosong  0/4  (0%)
coach: –</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Kosong  0/4  (0%)
coach: –</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Kosong  0/4  (0%)
coach: –</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Kosong  0/4  (0%)
coach: –</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Kosong  0/4  (0%)
coach: –</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Little  4/4  (100%)
Nuky</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Little  4/4  (100%)
Daffa</v>
      </c>
      <c r="AN89" s="30" t="n">
        <f aca="false">IF($A89="","",IFERROR(MATCH($B$4&amp;"|- Lane 5 - "&amp;B$87&amp;"|"&amp;$A89,'Reguler Class Availability'!$L:$L,0),""))</f>
        <v>353</v>
      </c>
      <c r="AO89" s="30" t="n">
        <f aca="false">IF($A89="","",IFERROR(MATCH($B$4&amp;"|- Lane 5 - "&amp;C$87&amp;"|"&amp;$A89,'Reguler Class Availability'!$L:$L,0),""))</f>
        <v>365</v>
      </c>
      <c r="AP89" s="30" t="n">
        <f aca="false">IF($A89="","",IFERROR(MATCH($B$4&amp;"|- Lane 5 - "&amp;D$87&amp;"|"&amp;$A89,'Reguler Class Availability'!$L:$L,0),""))</f>
        <v>377</v>
      </c>
      <c r="AQ89" s="30" t="n">
        <f aca="false">IF($A89="","",IFERROR(MATCH($B$4&amp;"|- Lane 5 - "&amp;E$87&amp;"|"&amp;$A89,'Reguler Class Availability'!$L:$L,0),""))</f>
        <v>389</v>
      </c>
      <c r="AR89" s="30" t="n">
        <f aca="false">IF($A89="","",IFERROR(MATCH($B$4&amp;"|- Lane 5 - "&amp;F$87&amp;"|"&amp;$A89,'Reguler Class Availability'!$L:$L,0),""))</f>
        <v>401</v>
      </c>
      <c r="AS89" s="30" t="n">
        <f aca="false">IF($A89="","",IFERROR(MATCH($B$4&amp;"|- Lane 5 - "&amp;G$87&amp;"|"&amp;$A89,'Reguler Class Availability'!$L:$L,0),""))</f>
        <v>413</v>
      </c>
      <c r="AT89" s="30" t="n">
        <f aca="false">IF($A89="","",IFERROR(MATCH($B$4&amp;"|- Lane 5 - "&amp;H$87&amp;"|"&amp;$A89,'Reguler Class Availability'!$L:$L,0),""))</f>
        <v>425</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Kosong</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Kosong</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Kosong</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Kosong</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Kosong</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Penuh</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Penuh</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09:30</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Kosong  0/4  (0%)
coach: –</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Kosong  0/4  (0%)
coach: –</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Kosong  0/4  (0%)
coach: –</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Kosong  0/4  (0%)
coach: –</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Kosong  0/4  (0%)
coach: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Little  4/4  (100%)
Danti</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Little  4/4  (100%)
Danti</v>
      </c>
      <c r="AN90" s="30" t="n">
        <f aca="false">IF($A90="","",IFERROR(MATCH($B$4&amp;"|- Lane 5 - "&amp;B$87&amp;"|"&amp;$A90,'Reguler Class Availability'!$L:$L,0),""))</f>
        <v>354</v>
      </c>
      <c r="AO90" s="30" t="n">
        <f aca="false">IF($A90="","",IFERROR(MATCH($B$4&amp;"|- Lane 5 - "&amp;C$87&amp;"|"&amp;$A90,'Reguler Class Availability'!$L:$L,0),""))</f>
        <v>366</v>
      </c>
      <c r="AP90" s="30" t="n">
        <f aca="false">IF($A90="","",IFERROR(MATCH($B$4&amp;"|- Lane 5 - "&amp;D$87&amp;"|"&amp;$A90,'Reguler Class Availability'!$L:$L,0),""))</f>
        <v>378</v>
      </c>
      <c r="AQ90" s="30" t="n">
        <f aca="false">IF($A90="","",IFERROR(MATCH($B$4&amp;"|- Lane 5 - "&amp;E$87&amp;"|"&amp;$A90,'Reguler Class Availability'!$L:$L,0),""))</f>
        <v>390</v>
      </c>
      <c r="AR90" s="30" t="n">
        <f aca="false">IF($A90="","",IFERROR(MATCH($B$4&amp;"|- Lane 5 - "&amp;F$87&amp;"|"&amp;$A90,'Reguler Class Availability'!$L:$L,0),""))</f>
        <v>402</v>
      </c>
      <c r="AS90" s="30" t="n">
        <f aca="false">IF($A90="","",IFERROR(MATCH($B$4&amp;"|- Lane 5 - "&amp;G$87&amp;"|"&amp;$A90,'Reguler Class Availability'!$L:$L,0),""))</f>
        <v>414</v>
      </c>
      <c r="AT90" s="30" t="n">
        <f aca="false">IF($A90="","",IFERROR(MATCH($B$4&amp;"|- Lane 5 - "&amp;H$87&amp;"|"&amp;$A90,'Reguler Class Availability'!$L:$L,0),""))</f>
        <v>426</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Kosong</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Kosong</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Kosong</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Kosong</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Kosong</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Penuh</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Penuh</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10:15</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Kosong  0/4  (0%)
coach: –</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Kosong  0/4  (0%)
coach: –</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Kosong  0/4  (0%)
coach: –</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Kosong  0/4  (0%)
coach: –</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Kosong  0/4  (0%)
coach: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Kids  4/4  (100%)
Nuky</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Kids  4/4  (100%)
Rischa</v>
      </c>
      <c r="AN91" s="30" t="n">
        <f aca="false">IF($A91="","",IFERROR(MATCH($B$4&amp;"|- Lane 5 - "&amp;B$87&amp;"|"&amp;$A91,'Reguler Class Availability'!$L:$L,0),""))</f>
        <v>355</v>
      </c>
      <c r="AO91" s="30" t="n">
        <f aca="false">IF($A91="","",IFERROR(MATCH($B$4&amp;"|- Lane 5 - "&amp;C$87&amp;"|"&amp;$A91,'Reguler Class Availability'!$L:$L,0),""))</f>
        <v>367</v>
      </c>
      <c r="AP91" s="30" t="n">
        <f aca="false">IF($A91="","",IFERROR(MATCH($B$4&amp;"|- Lane 5 - "&amp;D$87&amp;"|"&amp;$A91,'Reguler Class Availability'!$L:$L,0),""))</f>
        <v>379</v>
      </c>
      <c r="AQ91" s="30" t="n">
        <f aca="false">IF($A91="","",IFERROR(MATCH($B$4&amp;"|- Lane 5 - "&amp;E$87&amp;"|"&amp;$A91,'Reguler Class Availability'!$L:$L,0),""))</f>
        <v>391</v>
      </c>
      <c r="AR91" s="30" t="n">
        <f aca="false">IF($A91="","",IFERROR(MATCH($B$4&amp;"|- Lane 5 - "&amp;F$87&amp;"|"&amp;$A91,'Reguler Class Availability'!$L:$L,0),""))</f>
        <v>403</v>
      </c>
      <c r="AS91" s="30" t="n">
        <f aca="false">IF($A91="","",IFERROR(MATCH($B$4&amp;"|- Lane 5 - "&amp;G$87&amp;"|"&amp;$A91,'Reguler Class Availability'!$L:$L,0),""))</f>
        <v>415</v>
      </c>
      <c r="AT91" s="30" t="n">
        <f aca="false">IF($A91="","",IFERROR(MATCH($B$4&amp;"|- Lane 5 - "&amp;H$87&amp;"|"&amp;$A91,'Reguler Class Availability'!$L:$L,0),""))</f>
        <v>427</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Kosong</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Kosong</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Kosong</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Kosong</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Kosong</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Penuh</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Penuh</v>
      </c>
      <c r="BD91" s="30" t="s">
        <v>139</v>
      </c>
      <c r="BE91" s="30" t="n">
        <f aca="false">IF(COUNTIFS('Reguler Class Availability'!$L:$L,$B$4&amp;"|- Lane 2 - *|"&amp;BD91)&gt;0,1,0)</f>
        <v>0</v>
      </c>
      <c r="BF91" s="30" t="n">
        <f aca="false">BE91+BF90</f>
        <v>6</v>
      </c>
    </row>
    <row r="92" customFormat="false" ht="39.75" hidden="false" customHeight="true" outlineLevel="0" collapsed="false">
      <c r="A92" s="66" t="str">
        <f aca="false">IFERROR(INDEX($BD$242:$BD$301,MATCH(5,$BF$242:$BF$301,0)),"")</f>
        <v>11:00</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Kosong  0/4  (0%)
coach: –</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Kosong  0/4  (0%)
coach: –</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Kosong  0/4  (0%)
coach: –</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Kosong  0/4  (0%)
coach: –</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Kids  4/4  (100%)
Gita</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Kids  4/4  (100%)
Rischa</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Little  3/4  (75%)
Dian</v>
      </c>
      <c r="AN92" s="30" t="n">
        <f aca="false">IF($A92="","",IFERROR(MATCH($B$4&amp;"|- Lane 5 - "&amp;B$87&amp;"|"&amp;$A92,'Reguler Class Availability'!$L:$L,0),""))</f>
        <v>356</v>
      </c>
      <c r="AO92" s="30" t="n">
        <f aca="false">IF($A92="","",IFERROR(MATCH($B$4&amp;"|- Lane 5 - "&amp;C$87&amp;"|"&amp;$A92,'Reguler Class Availability'!$L:$L,0),""))</f>
        <v>368</v>
      </c>
      <c r="AP92" s="30" t="n">
        <f aca="false">IF($A92="","",IFERROR(MATCH($B$4&amp;"|- Lane 5 - "&amp;D$87&amp;"|"&amp;$A92,'Reguler Class Availability'!$L:$L,0),""))</f>
        <v>380</v>
      </c>
      <c r="AQ92" s="30" t="n">
        <f aca="false">IF($A92="","",IFERROR(MATCH($B$4&amp;"|- Lane 5 - "&amp;E$87&amp;"|"&amp;$A92,'Reguler Class Availability'!$L:$L,0),""))</f>
        <v>392</v>
      </c>
      <c r="AR92" s="30" t="n">
        <f aca="false">IF($A92="","",IFERROR(MATCH($B$4&amp;"|- Lane 5 - "&amp;F$87&amp;"|"&amp;$A92,'Reguler Class Availability'!$L:$L,0),""))</f>
        <v>404</v>
      </c>
      <c r="AS92" s="30" t="n">
        <f aca="false">IF($A92="","",IFERROR(MATCH($B$4&amp;"|- Lane 5 - "&amp;G$87&amp;"|"&amp;$A92,'Reguler Class Availability'!$L:$L,0),""))</f>
        <v>416</v>
      </c>
      <c r="AT92" s="30" t="n">
        <f aca="false">IF($A92="","",IFERROR(MATCH($B$4&amp;"|- Lane 5 - "&amp;H$87&amp;"|"&amp;$A92,'Reguler Class Availability'!$L:$L,0),""))</f>
        <v>428</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Kosong</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Kosong</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Kosong</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Kosong</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Penuh</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Penuh</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Tinggi</v>
      </c>
      <c r="BD92" s="30" t="s">
        <v>141</v>
      </c>
      <c r="BE92" s="30" t="n">
        <f aca="false">IF(COUNTIFS('Reguler Class Availability'!$L:$L,$B$4&amp;"|- Lane 2 - *|"&amp;BD92)&gt;0,1,0)</f>
        <v>1</v>
      </c>
      <c r="BF92" s="30" t="n">
        <f aca="false">BE92+BF91</f>
        <v>7</v>
      </c>
    </row>
    <row r="93" customFormat="false" ht="39.75" hidden="false" customHeight="true" outlineLevel="0" collapsed="false">
      <c r="A93" s="66" t="str">
        <f aca="false">IFERROR(INDEX($BD$242:$BD$301,MATCH(6,$BF$242:$BF$301,0)),"")</f>
        <v>11:45</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Kosong  0/4  (0%)
coach: –</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Kosong  0/4  (0%)
coach: –</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Kosong  0/4  (0%)
coach: –</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Kids  4/4  (100%)
Nuky</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Kosong  0/4  (0%)
coach: –</v>
      </c>
      <c r="AN93" s="30" t="n">
        <f aca="false">IF($A93="","",IFERROR(MATCH($B$4&amp;"|- Lane 5 - "&amp;B$87&amp;"|"&amp;$A93,'Reguler Class Availability'!$L:$L,0),""))</f>
        <v>357</v>
      </c>
      <c r="AO93" s="30" t="n">
        <f aca="false">IF($A93="","",IFERROR(MATCH($B$4&amp;"|- Lane 5 - "&amp;C$87&amp;"|"&amp;$A93,'Reguler Class Availability'!$L:$L,0),""))</f>
        <v>369</v>
      </c>
      <c r="AP93" s="30" t="n">
        <f aca="false">IF($A93="","",IFERROR(MATCH($B$4&amp;"|- Lane 5 - "&amp;D$87&amp;"|"&amp;$A93,'Reguler Class Availability'!$L:$L,0),""))</f>
        <v>381</v>
      </c>
      <c r="AQ93" s="30" t="n">
        <f aca="false">IF($A93="","",IFERROR(MATCH($B$4&amp;"|- Lane 5 - "&amp;E$87&amp;"|"&amp;$A93,'Reguler Class Availability'!$L:$L,0),""))</f>
        <v>393</v>
      </c>
      <c r="AR93" s="30" t="n">
        <f aca="false">IF($A93="","",IFERROR(MATCH($B$4&amp;"|- Lane 5 - "&amp;F$87&amp;"|"&amp;$A93,'Reguler Class Availability'!$L:$L,0),""))</f>
        <v>405</v>
      </c>
      <c r="AS93" s="30" t="n">
        <f aca="false">IF($A93="","",IFERROR(MATCH($B$4&amp;"|- Lane 5 - "&amp;G$87&amp;"|"&amp;$A93,'Reguler Class Availability'!$L:$L,0),""))</f>
        <v>417</v>
      </c>
      <c r="AT93" s="30" t="n">
        <f aca="false">IF($A93="","",IFERROR(MATCH($B$4&amp;"|- Lane 5 - "&amp;H$87&amp;"|"&amp;$A93,'Reguler Class Availability'!$L:$L,0),""))</f>
        <v>429</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Tidak dibuka</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Tidak dibuka</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Kosong</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Kosong</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Kosong</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Penuh</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Kosong</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13:15</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Kosong  0/4  (0%)
coach: –</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Kosong  0/4  (0%)
coach: –</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Little  3/4  (75%)
Eka</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Little  2/4  (50%)
Nuky</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Kids  4/4  (100%)
Daffa</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Little  3/4  (75%)
Eka</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Kids  4/4  (100%)
Danti</v>
      </c>
      <c r="AN94" s="30" t="n">
        <f aca="false">IF($A94="","",IFERROR(MATCH($B$4&amp;"|- Lane 5 - "&amp;B$87&amp;"|"&amp;$A94,'Reguler Class Availability'!$L:$L,0),""))</f>
        <v>358</v>
      </c>
      <c r="AO94" s="30" t="n">
        <f aca="false">IF($A94="","",IFERROR(MATCH($B$4&amp;"|- Lane 5 - "&amp;C$87&amp;"|"&amp;$A94,'Reguler Class Availability'!$L:$L,0),""))</f>
        <v>370</v>
      </c>
      <c r="AP94" s="30" t="n">
        <f aca="false">IF($A94="","",IFERROR(MATCH($B$4&amp;"|- Lane 5 - "&amp;D$87&amp;"|"&amp;$A94,'Reguler Class Availability'!$L:$L,0),""))</f>
        <v>382</v>
      </c>
      <c r="AQ94" s="30" t="n">
        <f aca="false">IF($A94="","",IFERROR(MATCH($B$4&amp;"|- Lane 5 - "&amp;E$87&amp;"|"&amp;$A94,'Reguler Class Availability'!$L:$L,0),""))</f>
        <v>394</v>
      </c>
      <c r="AR94" s="30" t="n">
        <f aca="false">IF($A94="","",IFERROR(MATCH($B$4&amp;"|- Lane 5 - "&amp;F$87&amp;"|"&amp;$A94,'Reguler Class Availability'!$L:$L,0),""))</f>
        <v>406</v>
      </c>
      <c r="AS94" s="30" t="n">
        <f aca="false">IF($A94="","",IFERROR(MATCH($B$4&amp;"|- Lane 5 - "&amp;G$87&amp;"|"&amp;$A94,'Reguler Class Availability'!$L:$L,0),""))</f>
        <v>418</v>
      </c>
      <c r="AT94" s="30" t="n">
        <f aca="false">IF($A94="","",IFERROR(MATCH($B$4&amp;"|- Lane 5 - "&amp;H$87&amp;"|"&amp;$A94,'Reguler Class Availability'!$L:$L,0),""))</f>
        <v>430</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Kosong</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Kosong</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Tinggi</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Sebagian</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Penuh</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Tinggi</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Penuh</v>
      </c>
      <c r="BD94" s="30" t="s">
        <v>143</v>
      </c>
      <c r="BE94" s="30" t="n">
        <f aca="false">IF(COUNTIFS('Reguler Class Availability'!$L:$L,$B$4&amp;"|- Lane 2 - *|"&amp;BD94)&gt;0,1,0)</f>
        <v>0</v>
      </c>
      <c r="BF94" s="30" t="n">
        <f aca="false">BE94+BF93</f>
        <v>7</v>
      </c>
    </row>
    <row r="95" customFormat="false" ht="39.75" hidden="false" customHeight="true" outlineLevel="0" collapsed="false">
      <c r="A95" s="66" t="str">
        <f aca="false">IFERROR(INDEX($BD$242:$BD$301,MATCH(8,$BF$242:$BF$301,0)),"")</f>
        <v>14:00</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Little  3/4  (75%)
Daffa</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Little  3/4  (75%)
Tessa</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Kosong  0/4  (0%)
coach: –</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Kids  4/4  (100%)
Eka</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Kids  3/4  (75%)
Eka</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Little  4/4  (100%)
Surya</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Kids  4/4  (100%)
Nuky</v>
      </c>
      <c r="AN95" s="30" t="n">
        <f aca="false">IF($A95="","",IFERROR(MATCH($B$4&amp;"|- Lane 5 - "&amp;B$87&amp;"|"&amp;$A95,'Reguler Class Availability'!$L:$L,0),""))</f>
        <v>359</v>
      </c>
      <c r="AO95" s="30" t="n">
        <f aca="false">IF($A95="","",IFERROR(MATCH($B$4&amp;"|- Lane 5 - "&amp;C$87&amp;"|"&amp;$A95,'Reguler Class Availability'!$L:$L,0),""))</f>
        <v>371</v>
      </c>
      <c r="AP95" s="30" t="n">
        <f aca="false">IF($A95="","",IFERROR(MATCH($B$4&amp;"|- Lane 5 - "&amp;D$87&amp;"|"&amp;$A95,'Reguler Class Availability'!$L:$L,0),""))</f>
        <v>383</v>
      </c>
      <c r="AQ95" s="30" t="n">
        <f aca="false">IF($A95="","",IFERROR(MATCH($B$4&amp;"|- Lane 5 - "&amp;E$87&amp;"|"&amp;$A95,'Reguler Class Availability'!$L:$L,0),""))</f>
        <v>395</v>
      </c>
      <c r="AR95" s="30" t="n">
        <f aca="false">IF($A95="","",IFERROR(MATCH($B$4&amp;"|- Lane 5 - "&amp;F$87&amp;"|"&amp;$A95,'Reguler Class Availability'!$L:$L,0),""))</f>
        <v>407</v>
      </c>
      <c r="AS95" s="30" t="n">
        <f aca="false">IF($A95="","",IFERROR(MATCH($B$4&amp;"|- Lane 5 - "&amp;G$87&amp;"|"&amp;$A95,'Reguler Class Availability'!$L:$L,0),""))</f>
        <v>419</v>
      </c>
      <c r="AT95" s="30" t="n">
        <f aca="false">IF($A95="","",IFERROR(MATCH($B$4&amp;"|- Lane 5 - "&amp;H$87&amp;"|"&amp;$A95,'Reguler Class Availability'!$L:$L,0),""))</f>
        <v>431</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Tinggi</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Tinggi</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Kosong</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Penuh</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Tinggi</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Penuh</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Penuh</v>
      </c>
      <c r="BD95" s="30" t="s">
        <v>144</v>
      </c>
      <c r="BE95" s="30" t="n">
        <f aca="false">IF(COUNTIFS('Reguler Class Availability'!$L:$L,$B$4&amp;"|- Lane 2 - *|"&amp;BD95)&gt;0,1,0)</f>
        <v>1</v>
      </c>
      <c r="BF95" s="30" t="n">
        <f aca="false">BE95+BF94</f>
        <v>8</v>
      </c>
    </row>
    <row r="96" customFormat="false" ht="39.75" hidden="false" customHeight="true" outlineLevel="0" collapsed="false">
      <c r="A96" s="66" t="str">
        <f aca="false">IFERROR(INDEX($BD$242:$BD$301,MATCH(9,$BF$242:$BF$301,0)),"")</f>
        <v>14:45</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Kids  4/4  (100%)
Dian</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Kosong  0/4  (0%)
coach: –</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Kosong  0/4  (0%)
coach: –</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Little  4/4  (100%)
Nuky</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Kids  3/4  (75%)
Rischa</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Little  4/4  (100%)
Daffa</v>
      </c>
      <c r="AN96" s="30" t="n">
        <f aca="false">IF($A96="","",IFERROR(MATCH($B$4&amp;"|- Lane 5 - "&amp;B$87&amp;"|"&amp;$A96,'Reguler Class Availability'!$L:$L,0),""))</f>
        <v>360</v>
      </c>
      <c r="AO96" s="30" t="n">
        <f aca="false">IF($A96="","",IFERROR(MATCH($B$4&amp;"|- Lane 5 - "&amp;C$87&amp;"|"&amp;$A96,'Reguler Class Availability'!$L:$L,0),""))</f>
        <v>372</v>
      </c>
      <c r="AP96" s="30" t="n">
        <f aca="false">IF($A96="","",IFERROR(MATCH($B$4&amp;"|- Lane 5 - "&amp;D$87&amp;"|"&amp;$A96,'Reguler Class Availability'!$L:$L,0),""))</f>
        <v>384</v>
      </c>
      <c r="AQ96" s="30" t="n">
        <f aca="false">IF($A96="","",IFERROR(MATCH($B$4&amp;"|- Lane 5 - "&amp;E$87&amp;"|"&amp;$A96,'Reguler Class Availability'!$L:$L,0),""))</f>
        <v>396</v>
      </c>
      <c r="AR96" s="30" t="n">
        <f aca="false">IF($A96="","",IFERROR(MATCH($B$4&amp;"|- Lane 5 - "&amp;F$87&amp;"|"&amp;$A96,'Reguler Class Availability'!$L:$L,0),""))</f>
        <v>408</v>
      </c>
      <c r="AS96" s="30" t="n">
        <f aca="false">IF($A96="","",IFERROR(MATCH($B$4&amp;"|- Lane 5 - "&amp;G$87&amp;"|"&amp;$A96,'Reguler Class Availability'!$L:$L,0),""))</f>
        <v>420</v>
      </c>
      <c r="AT96" s="30" t="n">
        <f aca="false">IF($A96="","",IFERROR(MATCH($B$4&amp;"|- Lane 5 - "&amp;H$87&amp;"|"&amp;$A96,'Reguler Class Availability'!$L:$L,0),""))</f>
        <v>432</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Penuh</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Kosong</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Kosong</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Tidak dibuka</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Penuh</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Tinggi</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Penuh</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15:30</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Kids  4/4  (100%)
Rischa</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Little  2/4  (50%)
Danti</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Kids  4/4  (100%)
Nuky</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Kids  4/0
Nuky</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Kids  4/4  (100%)
Rischa</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Kids  4/4  (100%)
Danti</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Kids  4/4  (100%)
Eka</v>
      </c>
      <c r="AN97" s="30" t="n">
        <f aca="false">IF($A97="","",IFERROR(MATCH($B$4&amp;"|- Lane 5 - "&amp;B$87&amp;"|"&amp;$A97,'Reguler Class Availability'!$L:$L,0),""))</f>
        <v>361</v>
      </c>
      <c r="AO97" s="30" t="n">
        <f aca="false">IF($A97="","",IFERROR(MATCH($B$4&amp;"|- Lane 5 - "&amp;C$87&amp;"|"&amp;$A97,'Reguler Class Availability'!$L:$L,0),""))</f>
        <v>373</v>
      </c>
      <c r="AP97" s="30" t="n">
        <f aca="false">IF($A97="","",IFERROR(MATCH($B$4&amp;"|- Lane 5 - "&amp;D$87&amp;"|"&amp;$A97,'Reguler Class Availability'!$L:$L,0),""))</f>
        <v>385</v>
      </c>
      <c r="AQ97" s="30" t="n">
        <f aca="false">IF($A97="","",IFERROR(MATCH($B$4&amp;"|- Lane 5 - "&amp;E$87&amp;"|"&amp;$A97,'Reguler Class Availability'!$L:$L,0),""))</f>
        <v>397</v>
      </c>
      <c r="AR97" s="30" t="n">
        <f aca="false">IF($A97="","",IFERROR(MATCH($B$4&amp;"|- Lane 5 - "&amp;F$87&amp;"|"&amp;$A97,'Reguler Class Availability'!$L:$L,0),""))</f>
        <v>409</v>
      </c>
      <c r="AS97" s="30" t="n">
        <f aca="false">IF($A97="","",IFERROR(MATCH($B$4&amp;"|- Lane 5 - "&amp;G$87&amp;"|"&amp;$A97,'Reguler Class Availability'!$L:$L,0),""))</f>
        <v>421</v>
      </c>
      <c r="AT97" s="30" t="n">
        <f aca="false">IF($A97="","",IFERROR(MATCH($B$4&amp;"|- Lane 5 - "&amp;H$87&amp;"|"&amp;$A97,'Reguler Class Availability'!$L:$L,0),""))</f>
        <v>433</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Penuh</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Sebagian</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Penuh</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Lebih</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Penuh</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Penuh</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Penuh</v>
      </c>
      <c r="BD97" s="30" t="s">
        <v>146</v>
      </c>
      <c r="BE97" s="30" t="n">
        <f aca="false">IF(COUNTIFS('Reguler Class Availability'!$L:$L,$B$4&amp;"|- Lane 2 - *|"&amp;BD97)&gt;0,1,0)</f>
        <v>0</v>
      </c>
      <c r="BF97" s="30" t="n">
        <f aca="false">BE97+BF96</f>
        <v>8</v>
      </c>
    </row>
    <row r="98" customFormat="false" ht="39.75" hidden="false" customHeight="true" outlineLevel="0" collapsed="false">
      <c r="A98" s="66" t="str">
        <f aca="false">IFERROR(INDEX($BD$242:$BD$301,MATCH(11,$BF$242:$BF$301,0)),"")</f>
        <v>16:15</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Kids  2/4  (50%)
Daffa</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Kids  4/4  (100%)
Tessa</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Kids  4/4  (100%)
Danti</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Kids  4/0
Nuky</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Kids  4/4  (100%)
Nuky</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Kids  4/4  (100%)
Eka</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Kids  4/4  (100%)
Surya</v>
      </c>
      <c r="AN98" s="30" t="n">
        <f aca="false">IF($A98="","",IFERROR(MATCH($B$4&amp;"|- Lane 5 - "&amp;B$87&amp;"|"&amp;$A98,'Reguler Class Availability'!$L:$L,0),""))</f>
        <v>362</v>
      </c>
      <c r="AO98" s="30" t="n">
        <f aca="false">IF($A98="","",IFERROR(MATCH($B$4&amp;"|- Lane 5 - "&amp;C$87&amp;"|"&amp;$A98,'Reguler Class Availability'!$L:$L,0),""))</f>
        <v>374</v>
      </c>
      <c r="AP98" s="30" t="n">
        <f aca="false">IF($A98="","",IFERROR(MATCH($B$4&amp;"|- Lane 5 - "&amp;D$87&amp;"|"&amp;$A98,'Reguler Class Availability'!$L:$L,0),""))</f>
        <v>386</v>
      </c>
      <c r="AQ98" s="30" t="n">
        <f aca="false">IF($A98="","",IFERROR(MATCH($B$4&amp;"|- Lane 5 - "&amp;E$87&amp;"|"&amp;$A98,'Reguler Class Availability'!$L:$L,0),""))</f>
        <v>398</v>
      </c>
      <c r="AR98" s="30" t="n">
        <f aca="false">IF($A98="","",IFERROR(MATCH($B$4&amp;"|- Lane 5 - "&amp;F$87&amp;"|"&amp;$A98,'Reguler Class Availability'!$L:$L,0),""))</f>
        <v>410</v>
      </c>
      <c r="AS98" s="30" t="n">
        <f aca="false">IF($A98="","",IFERROR(MATCH($B$4&amp;"|- Lane 5 - "&amp;G$87&amp;"|"&amp;$A98,'Reguler Class Availability'!$L:$L,0),""))</f>
        <v>422</v>
      </c>
      <c r="AT98" s="30" t="n">
        <f aca="false">IF($A98="","",IFERROR(MATCH($B$4&amp;"|- Lane 5 - "&amp;H$87&amp;"|"&amp;$A98,'Reguler Class Availability'!$L:$L,0),""))</f>
        <v>434</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Sebagian</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Penuh</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Penuh</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Lebih</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Penuh</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Penuh</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Penuh</v>
      </c>
      <c r="BD98" s="30" t="s">
        <v>147</v>
      </c>
      <c r="BE98" s="30" t="n">
        <f aca="false">IF(COUNTIFS('Reguler Class Availability'!$L:$L,$B$4&amp;"|- Lane 2 - *|"&amp;BD98)&gt;0,1,0)</f>
        <v>1</v>
      </c>
      <c r="BF98" s="30" t="n">
        <f aca="false">BE98+BF97</f>
        <v>9</v>
      </c>
    </row>
    <row r="99" customFormat="false" ht="39.75" hidden="false" customHeight="true" outlineLevel="0" collapsed="false">
      <c r="A99" s="66" t="str">
        <f aca="false">IFERROR(INDEX($BD$242:$BD$301,MATCH(12,$BF$242:$BF$301,0)),"")</f>
        <v>17:00</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Kids  4/4  (100%)
Danti</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Little  4/4  (100%)
Dian</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Kids  4/4  (100%)
Nuky</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Kids  4/0
Eka</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Little  4/4  (100%)
Daffa</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Little  3/4  (75%)
Surya</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Kosong  0/4  (0%)
coach: –</v>
      </c>
      <c r="AN99" s="30" t="n">
        <f aca="false">IF($A99="","",IFERROR(MATCH($B$4&amp;"|- Lane 5 - "&amp;B$87&amp;"|"&amp;$A99,'Reguler Class Availability'!$L:$L,0),""))</f>
        <v>363</v>
      </c>
      <c r="AO99" s="30" t="n">
        <f aca="false">IF($A99="","",IFERROR(MATCH($B$4&amp;"|- Lane 5 - "&amp;C$87&amp;"|"&amp;$A99,'Reguler Class Availability'!$L:$L,0),""))</f>
        <v>375</v>
      </c>
      <c r="AP99" s="30" t="n">
        <f aca="false">IF($A99="","",IFERROR(MATCH($B$4&amp;"|- Lane 5 - "&amp;D$87&amp;"|"&amp;$A99,'Reguler Class Availability'!$L:$L,0),""))</f>
        <v>387</v>
      </c>
      <c r="AQ99" s="30" t="n">
        <f aca="false">IF($A99="","",IFERROR(MATCH($B$4&amp;"|- Lane 5 - "&amp;E$87&amp;"|"&amp;$A99,'Reguler Class Availability'!$L:$L,0),""))</f>
        <v>399</v>
      </c>
      <c r="AR99" s="30" t="n">
        <f aca="false">IF($A99="","",IFERROR(MATCH($B$4&amp;"|- Lane 5 - "&amp;F$87&amp;"|"&amp;$A99,'Reguler Class Availability'!$L:$L,0),""))</f>
        <v>411</v>
      </c>
      <c r="AS99" s="30" t="n">
        <f aca="false">IF($A99="","",IFERROR(MATCH($B$4&amp;"|- Lane 5 - "&amp;G$87&amp;"|"&amp;$A99,'Reguler Class Availability'!$L:$L,0),""))</f>
        <v>423</v>
      </c>
      <c r="AT99" s="30" t="n">
        <f aca="false">IF($A99="","",IFERROR(MATCH($B$4&amp;"|- Lane 5 - "&amp;H$87&amp;"|"&amp;$A99,'Reguler Class Availability'!$L:$L,0),""))</f>
        <v>435</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Penuh</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Penuh</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Penuh</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Lebih</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Penuh</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Tinggi</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Kosong</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0</v>
      </c>
      <c r="BF100" s="30" t="n">
        <f aca="false">BE100+BF99</f>
        <v>9</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1</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43%</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33%</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34%</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21%</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61%</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93%</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80%</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0</v>
      </c>
      <c r="BF103" s="0" t="n">
        <f aca="false">BE103+BF102</f>
        <v>10</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1</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08:00</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v>
      </c>
      <c r="AN106" s="30" t="n">
        <f aca="false">IF($A106="","",IFERROR(MATCH($B$4&amp;"|- Lane 6 - "&amp;B$105&amp;"|"&amp;$A106,'Reguler Class Availability'!$L:$L,0),""))</f>
        <v>436</v>
      </c>
      <c r="AO106" s="30" t="n">
        <f aca="false">IF($A106="","",IFERROR(MATCH($B$4&amp;"|- Lane 6 - "&amp;C$105&amp;"|"&amp;$A106,'Reguler Class Availability'!$L:$L,0),""))</f>
        <v>448</v>
      </c>
      <c r="AP106" s="30" t="n">
        <f aca="false">IF($A106="","",IFERROR(MATCH($B$4&amp;"|- Lane 6 - "&amp;D$105&amp;"|"&amp;$A106,'Reguler Class Availability'!$L:$L,0),""))</f>
        <v>460</v>
      </c>
      <c r="AQ106" s="30" t="n">
        <f aca="false">IF($A106="","",IFERROR(MATCH($B$4&amp;"|- Lane 6 - "&amp;E$105&amp;"|"&amp;$A106,'Reguler Class Availability'!$L:$L,0),""))</f>
        <v>472</v>
      </c>
      <c r="AR106" s="30" t="n">
        <f aca="false">IF($A106="","",IFERROR(MATCH($B$4&amp;"|- Lane 6 - "&amp;F$105&amp;"|"&amp;$A106,'Reguler Class Availability'!$L:$L,0),""))</f>
        <v>484</v>
      </c>
      <c r="AS106" s="30" t="n">
        <f aca="false">IF($A106="","",IFERROR(MATCH($B$4&amp;"|- Lane 6 - "&amp;G$105&amp;"|"&amp;$A106,'Reguler Class Availability'!$L:$L,0),""))</f>
        <v>496</v>
      </c>
      <c r="AT106" s="30" t="n">
        <f aca="false">IF($A106="","",IFERROR(MATCH($B$4&amp;"|- Lane 6 - "&amp;H$105&amp;"|"&amp;$A106,'Reguler Class Availability'!$L:$L,0),""))</f>
        <v>508</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Tidak dibuka</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Tidak dibuka</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Tidak dibuka</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Tidak dibuka</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Tidak dibuka</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Tidak dibuka</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Tidak dibuka</v>
      </c>
      <c r="BD106" s="30" t="s">
        <v>155</v>
      </c>
      <c r="BE106" s="30" t="n">
        <f aca="false">IF(COUNTIFS('Reguler Class Availability'!$L:$L,$B$4&amp;"|- Lane 2 - *|"&amp;BD106)&gt;0,1,0)</f>
        <v>0</v>
      </c>
      <c r="BF106" s="30" t="n">
        <f aca="false">BE106+BF105</f>
        <v>11</v>
      </c>
    </row>
    <row r="107" customFormat="false" ht="39.75" hidden="false" customHeight="true" outlineLevel="0" collapsed="false">
      <c r="A107" s="66" t="str">
        <f aca="false">IFERROR(INDEX($BD$302:$BD$361,MATCH(2,$BF$302:$BF$361,0)),"")</f>
        <v>08:45</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Kids  4/0
Gita</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v>
      </c>
      <c r="AN107" s="30" t="n">
        <f aca="false">IF($A107="","",IFERROR(MATCH($B$4&amp;"|- Lane 6 - "&amp;B$105&amp;"|"&amp;$A107,'Reguler Class Availability'!$L:$L,0),""))</f>
        <v>437</v>
      </c>
      <c r="AO107" s="30" t="n">
        <f aca="false">IF($A107="","",IFERROR(MATCH($B$4&amp;"|- Lane 6 - "&amp;C$105&amp;"|"&amp;$A107,'Reguler Class Availability'!$L:$L,0),""))</f>
        <v>449</v>
      </c>
      <c r="AP107" s="30" t="n">
        <f aca="false">IF($A107="","",IFERROR(MATCH($B$4&amp;"|- Lane 6 - "&amp;D$105&amp;"|"&amp;$A107,'Reguler Class Availability'!$L:$L,0),""))</f>
        <v>461</v>
      </c>
      <c r="AQ107" s="30" t="n">
        <f aca="false">IF($A107="","",IFERROR(MATCH($B$4&amp;"|- Lane 6 - "&amp;E$105&amp;"|"&amp;$A107,'Reguler Class Availability'!$L:$L,0),""))</f>
        <v>473</v>
      </c>
      <c r="AR107" s="30" t="n">
        <f aca="false">IF($A107="","",IFERROR(MATCH($B$4&amp;"|- Lane 6 - "&amp;F$105&amp;"|"&amp;$A107,'Reguler Class Availability'!$L:$L,0),""))</f>
        <v>485</v>
      </c>
      <c r="AS107" s="30" t="n">
        <f aca="false">IF($A107="","",IFERROR(MATCH($B$4&amp;"|- Lane 6 - "&amp;G$105&amp;"|"&amp;$A107,'Reguler Class Availability'!$L:$L,0),""))</f>
        <v>497</v>
      </c>
      <c r="AT107" s="30" t="n">
        <f aca="false">IF($A107="","",IFERROR(MATCH($B$4&amp;"|- Lane 6 - "&amp;H$105&amp;"|"&amp;$A107,'Reguler Class Availability'!$L:$L,0),""))</f>
        <v>509</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Tidak dibuka</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Tidak dibuka</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Tidak dibuka</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Tidak dibuka</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Tidak dibuka</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Lebih</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Tidak dibuka</v>
      </c>
      <c r="BD107" s="30" t="s">
        <v>156</v>
      </c>
      <c r="BE107" s="30" t="n">
        <f aca="false">IF(COUNTIFS('Reguler Class Availability'!$L:$L,$B$4&amp;"|- Lane 2 - *|"&amp;BD107)&gt;0,1,0)</f>
        <v>1</v>
      </c>
      <c r="BF107" s="30" t="n">
        <f aca="false">BE107+BF106</f>
        <v>12</v>
      </c>
    </row>
    <row r="108" customFormat="false" ht="39.75" hidden="false" customHeight="true" outlineLevel="0" collapsed="false">
      <c r="A108" s="66" t="str">
        <f aca="false">IFERROR(INDEX($BD$302:$BD$361,MATCH(3,$BF$302:$BF$361,0)),"")</f>
        <v>09:30</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Little  4/0
Gita</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v>
      </c>
      <c r="AN108" s="30" t="n">
        <f aca="false">IF($A108="","",IFERROR(MATCH($B$4&amp;"|- Lane 6 - "&amp;B$105&amp;"|"&amp;$A108,'Reguler Class Availability'!$L:$L,0),""))</f>
        <v>438</v>
      </c>
      <c r="AO108" s="30" t="n">
        <f aca="false">IF($A108="","",IFERROR(MATCH($B$4&amp;"|- Lane 6 - "&amp;C$105&amp;"|"&amp;$A108,'Reguler Class Availability'!$L:$L,0),""))</f>
        <v>450</v>
      </c>
      <c r="AP108" s="30" t="n">
        <f aca="false">IF($A108="","",IFERROR(MATCH($B$4&amp;"|- Lane 6 - "&amp;D$105&amp;"|"&amp;$A108,'Reguler Class Availability'!$L:$L,0),""))</f>
        <v>462</v>
      </c>
      <c r="AQ108" s="30" t="n">
        <f aca="false">IF($A108="","",IFERROR(MATCH($B$4&amp;"|- Lane 6 - "&amp;E$105&amp;"|"&amp;$A108,'Reguler Class Availability'!$L:$L,0),""))</f>
        <v>474</v>
      </c>
      <c r="AR108" s="30" t="n">
        <f aca="false">IF($A108="","",IFERROR(MATCH($B$4&amp;"|- Lane 6 - "&amp;F$105&amp;"|"&amp;$A108,'Reguler Class Availability'!$L:$L,0),""))</f>
        <v>486</v>
      </c>
      <c r="AS108" s="30" t="n">
        <f aca="false">IF($A108="","",IFERROR(MATCH($B$4&amp;"|- Lane 6 - "&amp;G$105&amp;"|"&amp;$A108,'Reguler Class Availability'!$L:$L,0),""))</f>
        <v>498</v>
      </c>
      <c r="AT108" s="30" t="n">
        <f aca="false">IF($A108="","",IFERROR(MATCH($B$4&amp;"|- Lane 6 - "&amp;H$105&amp;"|"&amp;$A108,'Reguler Class Availability'!$L:$L,0),""))</f>
        <v>510</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Tidak dibuka</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Tidak dibuka</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Tidak dibuka</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Tidak dibuka</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Tidak dibuka</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Lebih</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Tidak dibuka</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10:15</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Kosong  0/0
Gita</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Kids  3/0
Alan</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v>
      </c>
      <c r="AN109" s="30" t="n">
        <f aca="false">IF($A109="","",IFERROR(MATCH($B$4&amp;"|- Lane 6 - "&amp;B$105&amp;"|"&amp;$A109,'Reguler Class Availability'!$L:$L,0),""))</f>
        <v>439</v>
      </c>
      <c r="AO109" s="30" t="n">
        <f aca="false">IF($A109="","",IFERROR(MATCH($B$4&amp;"|- Lane 6 - "&amp;C$105&amp;"|"&amp;$A109,'Reguler Class Availability'!$L:$L,0),""))</f>
        <v>451</v>
      </c>
      <c r="AP109" s="30" t="n">
        <f aca="false">IF($A109="","",IFERROR(MATCH($B$4&amp;"|- Lane 6 - "&amp;D$105&amp;"|"&amp;$A109,'Reguler Class Availability'!$L:$L,0),""))</f>
        <v>463</v>
      </c>
      <c r="AQ109" s="30" t="n">
        <f aca="false">IF($A109="","",IFERROR(MATCH($B$4&amp;"|- Lane 6 - "&amp;E$105&amp;"|"&amp;$A109,'Reguler Class Availability'!$L:$L,0),""))</f>
        <v>475</v>
      </c>
      <c r="AR109" s="30" t="n">
        <f aca="false">IF($A109="","",IFERROR(MATCH($B$4&amp;"|- Lane 6 - "&amp;F$105&amp;"|"&amp;$A109,'Reguler Class Availability'!$L:$L,0),""))</f>
        <v>487</v>
      </c>
      <c r="AS109" s="30" t="n">
        <f aca="false">IF($A109="","",IFERROR(MATCH($B$4&amp;"|- Lane 6 - "&amp;G$105&amp;"|"&amp;$A109,'Reguler Class Availability'!$L:$L,0),""))</f>
        <v>499</v>
      </c>
      <c r="AT109" s="30" t="n">
        <f aca="false">IF($A109="","",IFERROR(MATCH($B$4&amp;"|- Lane 6 - "&amp;H$105&amp;"|"&amp;$A109,'Reguler Class Availability'!$L:$L,0),""))</f>
        <v>511</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Tidak dibuka</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Tutup</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Tidak dibuka</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Tidak dibuka</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Tidak dibuka</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Lebih</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Tidak dibuka</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11:00</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v>
      </c>
      <c r="AN110" s="30" t="n">
        <f aca="false">IF($A110="","",IFERROR(MATCH($B$4&amp;"|- Lane 6 - "&amp;B$105&amp;"|"&amp;$A110,'Reguler Class Availability'!$L:$L,0),""))</f>
        <v>440</v>
      </c>
      <c r="AO110" s="30" t="n">
        <f aca="false">IF($A110="","",IFERROR(MATCH($B$4&amp;"|- Lane 6 - "&amp;C$105&amp;"|"&amp;$A110,'Reguler Class Availability'!$L:$L,0),""))</f>
        <v>452</v>
      </c>
      <c r="AP110" s="30" t="n">
        <f aca="false">IF($A110="","",IFERROR(MATCH($B$4&amp;"|- Lane 6 - "&amp;D$105&amp;"|"&amp;$A110,'Reguler Class Availability'!$L:$L,0),""))</f>
        <v>464</v>
      </c>
      <c r="AQ110" s="30" t="n">
        <f aca="false">IF($A110="","",IFERROR(MATCH($B$4&amp;"|- Lane 6 - "&amp;E$105&amp;"|"&amp;$A110,'Reguler Class Availability'!$L:$L,0),""))</f>
        <v>476</v>
      </c>
      <c r="AR110" s="30" t="n">
        <f aca="false">IF($A110="","",IFERROR(MATCH($B$4&amp;"|- Lane 6 - "&amp;F$105&amp;"|"&amp;$A110,'Reguler Class Availability'!$L:$L,0),""))</f>
        <v>488</v>
      </c>
      <c r="AS110" s="30" t="n">
        <f aca="false">IF($A110="","",IFERROR(MATCH($B$4&amp;"|- Lane 6 - "&amp;G$105&amp;"|"&amp;$A110,'Reguler Class Availability'!$L:$L,0),""))</f>
        <v>500</v>
      </c>
      <c r="AT110" s="30" t="n">
        <f aca="false">IF($A110="","",IFERROR(MATCH($B$4&amp;"|- Lane 6 - "&amp;H$105&amp;"|"&amp;$A110,'Reguler Class Availability'!$L:$L,0),""))</f>
        <v>512</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Tidak dibuka</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Tidak dibuka</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Tidak dibuka</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Tidak dibuka</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Tidak dibuka</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Tidak dibuka</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Tidak dibuka</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11:45</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v>
      </c>
      <c r="AN111" s="30" t="n">
        <f aca="false">IF($A111="","",IFERROR(MATCH($B$4&amp;"|- Lane 6 - "&amp;B$105&amp;"|"&amp;$A111,'Reguler Class Availability'!$L:$L,0),""))</f>
        <v>441</v>
      </c>
      <c r="AO111" s="30" t="n">
        <f aca="false">IF($A111="","",IFERROR(MATCH($B$4&amp;"|- Lane 6 - "&amp;C$105&amp;"|"&amp;$A111,'Reguler Class Availability'!$L:$L,0),""))</f>
        <v>453</v>
      </c>
      <c r="AP111" s="30" t="n">
        <f aca="false">IF($A111="","",IFERROR(MATCH($B$4&amp;"|- Lane 6 - "&amp;D$105&amp;"|"&amp;$A111,'Reguler Class Availability'!$L:$L,0),""))</f>
        <v>465</v>
      </c>
      <c r="AQ111" s="30" t="n">
        <f aca="false">IF($A111="","",IFERROR(MATCH($B$4&amp;"|- Lane 6 - "&amp;E$105&amp;"|"&amp;$A111,'Reguler Class Availability'!$L:$L,0),""))</f>
        <v>477</v>
      </c>
      <c r="AR111" s="30" t="n">
        <f aca="false">IF($A111="","",IFERROR(MATCH($B$4&amp;"|- Lane 6 - "&amp;F$105&amp;"|"&amp;$A111,'Reguler Class Availability'!$L:$L,0),""))</f>
        <v>489</v>
      </c>
      <c r="AS111" s="30" t="n">
        <f aca="false">IF($A111="","",IFERROR(MATCH($B$4&amp;"|- Lane 6 - "&amp;G$105&amp;"|"&amp;$A111,'Reguler Class Availability'!$L:$L,0),""))</f>
        <v>501</v>
      </c>
      <c r="AT111" s="30" t="n">
        <f aca="false">IF($A111="","",IFERROR(MATCH($B$4&amp;"|- Lane 6 - "&amp;H$105&amp;"|"&amp;$A111,'Reguler Class Availability'!$L:$L,0),""))</f>
        <v>513</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Tidak dibuka</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Tidak dibuka</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Tidak dibuka</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Tidak dibuka</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Tidak dibuka</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Tidak dibuka</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Tidak dibuka</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13:15</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v>
      </c>
      <c r="AN112" s="30" t="n">
        <f aca="false">IF($A112="","",IFERROR(MATCH($B$4&amp;"|- Lane 6 - "&amp;B$105&amp;"|"&amp;$A112,'Reguler Class Availability'!$L:$L,0),""))</f>
        <v>442</v>
      </c>
      <c r="AO112" s="30" t="n">
        <f aca="false">IF($A112="","",IFERROR(MATCH($B$4&amp;"|- Lane 6 - "&amp;C$105&amp;"|"&amp;$A112,'Reguler Class Availability'!$L:$L,0),""))</f>
        <v>454</v>
      </c>
      <c r="AP112" s="30" t="n">
        <f aca="false">IF($A112="","",IFERROR(MATCH($B$4&amp;"|- Lane 6 - "&amp;D$105&amp;"|"&amp;$A112,'Reguler Class Availability'!$L:$L,0),""))</f>
        <v>466</v>
      </c>
      <c r="AQ112" s="30" t="n">
        <f aca="false">IF($A112="","",IFERROR(MATCH($B$4&amp;"|- Lane 6 - "&amp;E$105&amp;"|"&amp;$A112,'Reguler Class Availability'!$L:$L,0),""))</f>
        <v>478</v>
      </c>
      <c r="AR112" s="30" t="n">
        <f aca="false">IF($A112="","",IFERROR(MATCH($B$4&amp;"|- Lane 6 - "&amp;F$105&amp;"|"&amp;$A112,'Reguler Class Availability'!$L:$L,0),""))</f>
        <v>490</v>
      </c>
      <c r="AS112" s="30" t="n">
        <f aca="false">IF($A112="","",IFERROR(MATCH($B$4&amp;"|- Lane 6 - "&amp;G$105&amp;"|"&amp;$A112,'Reguler Class Availability'!$L:$L,0),""))</f>
        <v>502</v>
      </c>
      <c r="AT112" s="30" t="n">
        <f aca="false">IF($A112="","",IFERROR(MATCH($B$4&amp;"|- Lane 6 - "&amp;H$105&amp;"|"&amp;$A112,'Reguler Class Availability'!$L:$L,0),""))</f>
        <v>514</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Tidak dibuka</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Tidak dibuka</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Tidak dibuka</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Tidak dibuka</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Tidak dibuka</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Tidak dibuka</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Tidak dibuka</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14:00</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v>
      </c>
      <c r="AN113" s="30" t="n">
        <f aca="false">IF($A113="","",IFERROR(MATCH($B$4&amp;"|- Lane 6 - "&amp;B$105&amp;"|"&amp;$A113,'Reguler Class Availability'!$L:$L,0),""))</f>
        <v>443</v>
      </c>
      <c r="AO113" s="30" t="n">
        <f aca="false">IF($A113="","",IFERROR(MATCH($B$4&amp;"|- Lane 6 - "&amp;C$105&amp;"|"&amp;$A113,'Reguler Class Availability'!$L:$L,0),""))</f>
        <v>455</v>
      </c>
      <c r="AP113" s="30" t="n">
        <f aca="false">IF($A113="","",IFERROR(MATCH($B$4&amp;"|- Lane 6 - "&amp;D$105&amp;"|"&amp;$A113,'Reguler Class Availability'!$L:$L,0),""))</f>
        <v>467</v>
      </c>
      <c r="AQ113" s="30" t="n">
        <f aca="false">IF($A113="","",IFERROR(MATCH($B$4&amp;"|- Lane 6 - "&amp;E$105&amp;"|"&amp;$A113,'Reguler Class Availability'!$L:$L,0),""))</f>
        <v>479</v>
      </c>
      <c r="AR113" s="30" t="n">
        <f aca="false">IF($A113="","",IFERROR(MATCH($B$4&amp;"|- Lane 6 - "&amp;F$105&amp;"|"&amp;$A113,'Reguler Class Availability'!$L:$L,0),""))</f>
        <v>491</v>
      </c>
      <c r="AS113" s="30" t="n">
        <f aca="false">IF($A113="","",IFERROR(MATCH($B$4&amp;"|- Lane 6 - "&amp;G$105&amp;"|"&amp;$A113,'Reguler Class Availability'!$L:$L,0),""))</f>
        <v>503</v>
      </c>
      <c r="AT113" s="30" t="n">
        <f aca="false">IF($A113="","",IFERROR(MATCH($B$4&amp;"|- Lane 6 - "&amp;H$105&amp;"|"&amp;$A113,'Reguler Class Availability'!$L:$L,0),""))</f>
        <v>515</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Tidak dibuka</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Tidak dibuka</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Tidak dibuka</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Tidak dibuka</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Tidak dibuka</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Tidak dibuka</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Tidak dibuka</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14:45</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v>
      </c>
      <c r="AN114" s="30" t="n">
        <f aca="false">IF($A114="","",IFERROR(MATCH($B$4&amp;"|- Lane 6 - "&amp;B$105&amp;"|"&amp;$A114,'Reguler Class Availability'!$L:$L,0),""))</f>
        <v>444</v>
      </c>
      <c r="AO114" s="30" t="n">
        <f aca="false">IF($A114="","",IFERROR(MATCH($B$4&amp;"|- Lane 6 - "&amp;C$105&amp;"|"&amp;$A114,'Reguler Class Availability'!$L:$L,0),""))</f>
        <v>456</v>
      </c>
      <c r="AP114" s="30" t="n">
        <f aca="false">IF($A114="","",IFERROR(MATCH($B$4&amp;"|- Lane 6 - "&amp;D$105&amp;"|"&amp;$A114,'Reguler Class Availability'!$L:$L,0),""))</f>
        <v>468</v>
      </c>
      <c r="AQ114" s="30" t="n">
        <f aca="false">IF($A114="","",IFERROR(MATCH($B$4&amp;"|- Lane 6 - "&amp;E$105&amp;"|"&amp;$A114,'Reguler Class Availability'!$L:$L,0),""))</f>
        <v>480</v>
      </c>
      <c r="AR114" s="30" t="n">
        <f aca="false">IF($A114="","",IFERROR(MATCH($B$4&amp;"|- Lane 6 - "&amp;F$105&amp;"|"&amp;$A114,'Reguler Class Availability'!$L:$L,0),""))</f>
        <v>492</v>
      </c>
      <c r="AS114" s="30" t="n">
        <f aca="false">IF($A114="","",IFERROR(MATCH($B$4&amp;"|- Lane 6 - "&amp;G$105&amp;"|"&amp;$A114,'Reguler Class Availability'!$L:$L,0),""))</f>
        <v>504</v>
      </c>
      <c r="AT114" s="30" t="n">
        <f aca="false">IF($A114="","",IFERROR(MATCH($B$4&amp;"|- Lane 6 - "&amp;H$105&amp;"|"&amp;$A114,'Reguler Class Availability'!$L:$L,0),""))</f>
        <v>516</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Tidak dibuka</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Tidak dibuka</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Tidak dibuka</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Tidak dibuka</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Tidak dibuka</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Tidak dibuka</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Tidak dibuka</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15:30</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Kids  0/0
coach: –</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v>
      </c>
      <c r="AN115" s="30" t="n">
        <f aca="false">IF($A115="","",IFERROR(MATCH($B$4&amp;"|- Lane 6 - "&amp;B$105&amp;"|"&amp;$A115,'Reguler Class Availability'!$L:$L,0),""))</f>
        <v>445</v>
      </c>
      <c r="AO115" s="30" t="n">
        <f aca="false">IF($A115="","",IFERROR(MATCH($B$4&amp;"|- Lane 6 - "&amp;C$105&amp;"|"&amp;$A115,'Reguler Class Availability'!$L:$L,0),""))</f>
        <v>457</v>
      </c>
      <c r="AP115" s="30" t="n">
        <f aca="false">IF($A115="","",IFERROR(MATCH($B$4&amp;"|- Lane 6 - "&amp;D$105&amp;"|"&amp;$A115,'Reguler Class Availability'!$L:$L,0),""))</f>
        <v>469</v>
      </c>
      <c r="AQ115" s="30" t="n">
        <f aca="false">IF($A115="","",IFERROR(MATCH($B$4&amp;"|- Lane 6 - "&amp;E$105&amp;"|"&amp;$A115,'Reguler Class Availability'!$L:$L,0),""))</f>
        <v>481</v>
      </c>
      <c r="AR115" s="30" t="n">
        <f aca="false">IF($A115="","",IFERROR(MATCH($B$4&amp;"|- Lane 6 - "&amp;F$105&amp;"|"&amp;$A115,'Reguler Class Availability'!$L:$L,0),""))</f>
        <v>493</v>
      </c>
      <c r="AS115" s="30" t="n">
        <f aca="false">IF($A115="","",IFERROR(MATCH($B$4&amp;"|- Lane 6 - "&amp;G$105&amp;"|"&amp;$A115,'Reguler Class Availability'!$L:$L,0),""))</f>
        <v>505</v>
      </c>
      <c r="AT115" s="30" t="n">
        <f aca="false">IF($A115="","",IFERROR(MATCH($B$4&amp;"|- Lane 6 - "&amp;H$105&amp;"|"&amp;$A115,'Reguler Class Availability'!$L:$L,0),""))</f>
        <v>517</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Tutup</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Tidak dibuka</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Tidak dibuka</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Tidak dibuka</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Tidak dibuka</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Tidak dibuka</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Tidak dibuka</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16:15</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Kids  2/0
Zidane</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Little  3/0
Gita</v>
      </c>
      <c r="AN116" s="30" t="n">
        <f aca="false">IF($A116="","",IFERROR(MATCH($B$4&amp;"|- Lane 6 - "&amp;B$105&amp;"|"&amp;$A116,'Reguler Class Availability'!$L:$L,0),""))</f>
        <v>446</v>
      </c>
      <c r="AO116" s="30" t="n">
        <f aca="false">IF($A116="","",IFERROR(MATCH($B$4&amp;"|- Lane 6 - "&amp;C$105&amp;"|"&amp;$A116,'Reguler Class Availability'!$L:$L,0),""))</f>
        <v>458</v>
      </c>
      <c r="AP116" s="30" t="n">
        <f aca="false">IF($A116="","",IFERROR(MATCH($B$4&amp;"|- Lane 6 - "&amp;D$105&amp;"|"&amp;$A116,'Reguler Class Availability'!$L:$L,0),""))</f>
        <v>470</v>
      </c>
      <c r="AQ116" s="30" t="n">
        <f aca="false">IF($A116="","",IFERROR(MATCH($B$4&amp;"|- Lane 6 - "&amp;E$105&amp;"|"&amp;$A116,'Reguler Class Availability'!$L:$L,0),""))</f>
        <v>482</v>
      </c>
      <c r="AR116" s="30" t="n">
        <f aca="false">IF($A116="","",IFERROR(MATCH($B$4&amp;"|- Lane 6 - "&amp;F$105&amp;"|"&amp;$A116,'Reguler Class Availability'!$L:$L,0),""))</f>
        <v>494</v>
      </c>
      <c r="AS116" s="30" t="n">
        <f aca="false">IF($A116="","",IFERROR(MATCH($B$4&amp;"|- Lane 6 - "&amp;G$105&amp;"|"&amp;$A116,'Reguler Class Availability'!$L:$L,0),""))</f>
        <v>506</v>
      </c>
      <c r="AT116" s="30" t="n">
        <f aca="false">IF($A116="","",IFERROR(MATCH($B$4&amp;"|- Lane 6 - "&amp;H$105&amp;"|"&amp;$A116,'Reguler Class Availability'!$L:$L,0),""))</f>
        <v>518</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Lebih</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Tidak dibuka</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Tidak dibuka</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Tidak dibuka</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Tidak dibuka</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Tidak dibuka</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Lebih</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17:00</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Tiny  0/0
Zidane</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Kids  4/0
Gita</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v>
      </c>
      <c r="AN117" s="30" t="n">
        <f aca="false">IF($A117="","",IFERROR(MATCH($B$4&amp;"|- Lane 6 - "&amp;B$105&amp;"|"&amp;$A117,'Reguler Class Availability'!$L:$L,0),""))</f>
        <v>447</v>
      </c>
      <c r="AO117" s="30" t="n">
        <f aca="false">IF($A117="","",IFERROR(MATCH($B$4&amp;"|- Lane 6 - "&amp;C$105&amp;"|"&amp;$A117,'Reguler Class Availability'!$L:$L,0),""))</f>
        <v>459</v>
      </c>
      <c r="AP117" s="30" t="n">
        <f aca="false">IF($A117="","",IFERROR(MATCH($B$4&amp;"|- Lane 6 - "&amp;D$105&amp;"|"&amp;$A117,'Reguler Class Availability'!$L:$L,0),""))</f>
        <v>471</v>
      </c>
      <c r="AQ117" s="30" t="n">
        <f aca="false">IF($A117="","",IFERROR(MATCH($B$4&amp;"|- Lane 6 - "&amp;E$105&amp;"|"&amp;$A117,'Reguler Class Availability'!$L:$L,0),""))</f>
        <v>483</v>
      </c>
      <c r="AR117" s="30" t="n">
        <f aca="false">IF($A117="","",IFERROR(MATCH($B$4&amp;"|- Lane 6 - "&amp;F$105&amp;"|"&amp;$A117,'Reguler Class Availability'!$L:$L,0),""))</f>
        <v>495</v>
      </c>
      <c r="AS117" s="30" t="n">
        <f aca="false">IF($A117="","",IFERROR(MATCH($B$4&amp;"|- Lane 6 - "&amp;G$105&amp;"|"&amp;$A117,'Reguler Class Availability'!$L:$L,0),""))</f>
        <v>507</v>
      </c>
      <c r="AT117" s="30" t="n">
        <f aca="false">IF($A117="","",IFERROR(MATCH($B$4&amp;"|- Lane 6 - "&amp;H$105&amp;"|"&amp;$A117,'Reguler Class Availability'!$L:$L,0),""))</f>
        <v>519</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Tutup</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Tidak dibuka</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Tidak dibuka</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Tidak dibuka</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Lebih</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Tidak dibuka</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Tidak dibuka</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52.5" hidden="false" customHeight="true" outlineLevel="0" collapsed="false">
      <c r="A127" s="76" t="n">
        <v>1</v>
      </c>
      <c r="B127" s="77" t="s">
        <v>114</v>
      </c>
      <c r="C127" s="76" t="s">
        <v>91</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Star</v>
      </c>
      <c r="G127" s="76" t="n">
        <f aca="false">IF($Q127="","",IFERROR(--(INDEX('Reguler Class Availability'!$F:$F,$Q127)&amp;""),0))</f>
        <v>8</v>
      </c>
      <c r="H127" s="77" t="str">
        <f aca="false">IF($Q127="","",PROPER(INDEX('Reguler Class Availability'!$I:$I,$Q127)&amp;"")&amp;IF(INDEX('Reguler Class Availability'!$J:$J,$Q127)&amp;""="",""," + asst "&amp;PROPER(INDEX('Reguler Class Availability'!$J:$J,$Q127)&amp;"")))</f>
        <v/>
      </c>
      <c r="I127" s="77" t="s">
        <v>185</v>
      </c>
      <c r="J127" s="77" t="s">
        <v>186</v>
      </c>
      <c r="K127" s="78"/>
      <c r="L127" s="78"/>
      <c r="M127" s="78"/>
      <c r="N127" s="79"/>
      <c r="O127" s="78"/>
      <c r="Q127" s="30" t="n">
        <f aca="false">IFERROR(MATCH($B$4&amp;"|- Lane "&amp;D127&amp;" - "&amp;B127&amp;"|"&amp;C127,'Reguler Class Availability'!$L:$L,0),"")</f>
        <v>86</v>
      </c>
      <c r="BD127" s="30" t="s">
        <v>90</v>
      </c>
      <c r="BE127" s="30" t="n">
        <f aca="false">IF(COUNTIFS('Reguler Class Availability'!$L:$L,$B$4&amp;"|- Lane 3 - *|"&amp;BD127)&gt;0,1,0)</f>
        <v>0</v>
      </c>
      <c r="BF127" s="30" t="n">
        <f aca="false">BE127+BF126</f>
        <v>0</v>
      </c>
    </row>
    <row r="128" customFormat="false" ht="40.5" hidden="false" customHeight="true" outlineLevel="0" collapsed="false">
      <c r="A128" s="76" t="n">
        <v>2</v>
      </c>
      <c r="B128" s="77" t="s">
        <v>114</v>
      </c>
      <c r="C128" s="76" t="s">
        <v>120</v>
      </c>
      <c r="D128" s="76" t="n">
        <v>4</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Belum terisi</v>
      </c>
      <c r="F128" s="77" t="str">
        <f aca="false">IF($Q128="","",PROPER(INDEX('Reguler Class Availability'!$B:$B,$Q128)&amp;""))</f>
        <v>Kids</v>
      </c>
      <c r="G128" s="76" t="n">
        <f aca="false">IF($Q128="","",IFERROR(--(INDEX('Reguler Class Availability'!$F:$F,$Q128)&amp;""),0))</f>
        <v>4</v>
      </c>
      <c r="H128" s="77" t="str">
        <f aca="false">IF($Q128="","",PROPER(INDEX('Reguler Class Availability'!$I:$I,$Q128)&amp;"")&amp;IF(INDEX('Reguler Class Availability'!$J:$J,$Q128)&amp;""="",""," + asst "&amp;PROPER(INDEX('Reguler Class Availability'!$J:$J,$Q128)&amp;"")))</f>
        <v/>
      </c>
      <c r="I128" s="77" t="s">
        <v>187</v>
      </c>
      <c r="J128" s="77" t="s">
        <v>188</v>
      </c>
      <c r="K128" s="78"/>
      <c r="L128" s="78"/>
      <c r="M128" s="78"/>
      <c r="N128" s="79"/>
      <c r="O128" s="78"/>
      <c r="Q128" s="30" t="n">
        <f aca="false">IFERROR(MATCH($B$4&amp;"|- Lane "&amp;D128&amp;" - "&amp;B128&amp;"|"&amp;C128,'Reguler Class Availability'!$L:$L,0),"")</f>
        <v>269</v>
      </c>
      <c r="BD128" s="30" t="s">
        <v>91</v>
      </c>
      <c r="BE128" s="30" t="n">
        <f aca="false">IF(COUNTIFS('Reguler Class Availability'!$L:$L,$B$4&amp;"|- Lane 3 - *|"&amp;BD128)&gt;0,1,0)</f>
        <v>0</v>
      </c>
      <c r="BF128" s="30" t="n">
        <f aca="false">BE128+BF127</f>
        <v>0</v>
      </c>
    </row>
    <row r="129" customFormat="false" ht="40.5" hidden="false" customHeight="true" outlineLevel="0" collapsed="false">
      <c r="A129" s="76" t="n">
        <v>3</v>
      </c>
      <c r="B129" s="77" t="s">
        <v>114</v>
      </c>
      <c r="C129" s="76" t="s">
        <v>120</v>
      </c>
      <c r="D129" s="76" t="n">
        <v>5</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Kosong</v>
      </c>
      <c r="F129" s="77" t="str">
        <f aca="false">IF($Q129="","",PROPER(INDEX('Reguler Class Availability'!$B:$B,$Q129)&amp;""))</f>
        <v/>
      </c>
      <c r="G129" s="76" t="n">
        <f aca="false">IF($Q129="","",IFERROR(--(INDEX('Reguler Class Availability'!$F:$F,$Q129)&amp;""),0))</f>
        <v>4</v>
      </c>
      <c r="H129" s="77" t="str">
        <f aca="false">IF($Q129="","",PROPER(INDEX('Reguler Class Availability'!$I:$I,$Q129)&amp;"")&amp;IF(INDEX('Reguler Class Availability'!$J:$J,$Q129)&amp;""="",""," + asst "&amp;PROPER(INDEX('Reguler Class Availability'!$J:$J,$Q129)&amp;"")))</f>
        <v/>
      </c>
      <c r="I129" s="77" t="s">
        <v>187</v>
      </c>
      <c r="J129" s="77" t="s">
        <v>188</v>
      </c>
      <c r="K129" s="78"/>
      <c r="L129" s="78"/>
      <c r="M129" s="78"/>
      <c r="N129" s="79"/>
      <c r="O129" s="78"/>
      <c r="Q129" s="30" t="n">
        <f aca="false">IFERROR(MATCH($B$4&amp;"|- Lane "&amp;D129&amp;" - "&amp;B129&amp;"|"&amp;C129,'Reguler Class Availability'!$L:$L,0),"")</f>
        <v>353</v>
      </c>
      <c r="BD129" s="30" t="s">
        <v>98</v>
      </c>
      <c r="BE129" s="30" t="n">
        <f aca="false">IF(COUNTIFS('Reguler Class Availability'!$L:$L,$B$4&amp;"|- Lane 3 - *|"&amp;BD129)&gt;0,1,0)</f>
        <v>0</v>
      </c>
      <c r="BF129" s="30" t="n">
        <f aca="false">BE129+BF128</f>
        <v>0</v>
      </c>
    </row>
    <row r="130" customFormat="false" ht="40.5" hidden="false" customHeight="true" outlineLevel="0" collapsed="false">
      <c r="A130" s="76" t="n">
        <v>4</v>
      </c>
      <c r="B130" s="77" t="s">
        <v>114</v>
      </c>
      <c r="C130" s="76" t="s">
        <v>121</v>
      </c>
      <c r="D130" s="76" t="n">
        <v>1</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Kosong</v>
      </c>
      <c r="F130" s="77" t="str">
        <f aca="false">IF($Q130="","",PROPER(INDEX('Reguler Class Availability'!$B:$B,$Q130)&amp;""))</f>
        <v/>
      </c>
      <c r="G130" s="76" t="n">
        <f aca="false">IF($Q130="","",IFERROR(--(INDEX('Reguler Class Availability'!$F:$F,$Q130)&amp;""),0))</f>
        <v>5</v>
      </c>
      <c r="H130" s="77" t="str">
        <f aca="false">IF($Q130="","",PROPER(INDEX('Reguler Class Availability'!$I:$I,$Q130)&amp;"")&amp;IF(INDEX('Reguler Class Availability'!$J:$J,$Q130)&amp;""="",""," + asst "&amp;PROPER(INDEX('Reguler Class Availability'!$J:$J,$Q130)&amp;"")))</f>
        <v/>
      </c>
      <c r="I130" s="77" t="s">
        <v>187</v>
      </c>
      <c r="J130" s="77" t="s">
        <v>188</v>
      </c>
      <c r="K130" s="78"/>
      <c r="L130" s="78"/>
      <c r="M130" s="78"/>
      <c r="N130" s="79"/>
      <c r="O130" s="78"/>
      <c r="Q130" s="30" t="n">
        <f aca="false">IFERROR(MATCH($B$4&amp;"|- Lane "&amp;D130&amp;" - "&amp;B130&amp;"|"&amp;C130,'Reguler Class Availability'!$L:$L,0),"")</f>
        <v>3</v>
      </c>
      <c r="BD130" s="30" t="s">
        <v>105</v>
      </c>
      <c r="BE130" s="30" t="n">
        <f aca="false">IF(COUNTIFS('Reguler Class Availability'!$L:$L,$B$4&amp;"|- Lane 3 - *|"&amp;BD130)&gt;0,1,0)</f>
        <v>1</v>
      </c>
      <c r="BF130" s="30" t="n">
        <f aca="false">BE130+BF129</f>
        <v>1</v>
      </c>
    </row>
    <row r="131" customFormat="false" ht="52.5" hidden="false" customHeight="true" outlineLevel="0" collapsed="false">
      <c r="A131" s="76" t="n">
        <v>5</v>
      </c>
      <c r="B131" s="77" t="s">
        <v>114</v>
      </c>
      <c r="C131" s="76" t="s">
        <v>123</v>
      </c>
      <c r="D131" s="76" t="n">
        <v>3</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Little</v>
      </c>
      <c r="G131" s="76" t="n">
        <f aca="false">IF($Q131="","",IFERROR(--(INDEX('Reguler Class Availability'!$F:$F,$Q131)&amp;""),0))</f>
        <v>4</v>
      </c>
      <c r="H131" s="77" t="str">
        <f aca="false">IF($Q131="","",PROPER(INDEX('Reguler Class Availability'!$I:$I,$Q131)&amp;"")&amp;IF(INDEX('Reguler Class Availability'!$J:$J,$Q131)&amp;""="",""," + asst "&amp;PROPER(INDEX('Reguler Class Availability'!$J:$J,$Q131)&amp;"")))</f>
        <v/>
      </c>
      <c r="I131" s="77" t="s">
        <v>189</v>
      </c>
      <c r="J131" s="77" t="s">
        <v>188</v>
      </c>
      <c r="K131" s="78"/>
      <c r="L131" s="78"/>
      <c r="M131" s="78"/>
      <c r="N131" s="79"/>
      <c r="O131" s="78"/>
      <c r="Q131" s="30" t="n">
        <f aca="false">IFERROR(MATCH($B$4&amp;"|- Lane "&amp;D131&amp;" - "&amp;B131&amp;"|"&amp;C131,'Reguler Class Availability'!$L:$L,0),"")</f>
        <v>186</v>
      </c>
      <c r="BD131" s="30" t="s">
        <v>110</v>
      </c>
      <c r="BE131" s="30" t="n">
        <f aca="false">IF(COUNTIFS('Reguler Class Availability'!$L:$L,$B$4&amp;"|- Lane 3 - *|"&amp;BD131)&gt;0,1,0)</f>
        <v>0</v>
      </c>
      <c r="BF131" s="30" t="n">
        <f aca="false">BE131+BF130</f>
        <v>1</v>
      </c>
    </row>
    <row r="132" customFormat="false" ht="52.5" hidden="false" customHeight="true" outlineLevel="0" collapsed="false">
      <c r="A132" s="76" t="n">
        <v>6</v>
      </c>
      <c r="B132" s="77" t="s">
        <v>114</v>
      </c>
      <c r="C132" s="76" t="s">
        <v>123</v>
      </c>
      <c r="D132" s="76" t="n">
        <v>4</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Kids</v>
      </c>
      <c r="G132" s="76" t="n">
        <f aca="false">IF($Q132="","",IFERROR(--(INDEX('Reguler Class Availability'!$F:$F,$Q132)&amp;""),0))</f>
        <v>4</v>
      </c>
      <c r="H132" s="77" t="str">
        <f aca="false">IF($Q132="","",PROPER(INDEX('Reguler Class Availability'!$I:$I,$Q132)&amp;"")&amp;IF(INDEX('Reguler Class Availability'!$J:$J,$Q132)&amp;""="",""," + asst "&amp;PROPER(INDEX('Reguler Class Availability'!$J:$J,$Q132)&amp;"")))</f>
        <v/>
      </c>
      <c r="I132" s="77" t="s">
        <v>189</v>
      </c>
      <c r="J132" s="77" t="s">
        <v>188</v>
      </c>
      <c r="K132" s="78"/>
      <c r="L132" s="78"/>
      <c r="M132" s="78"/>
      <c r="N132" s="79"/>
      <c r="O132" s="78"/>
      <c r="Q132" s="30" t="n">
        <f aca="false">IFERROR(MATCH($B$4&amp;"|- Lane "&amp;D132&amp;" - "&amp;B132&amp;"|"&amp;C132,'Reguler Class Availability'!$L:$L,0),"")</f>
        <v>270</v>
      </c>
      <c r="BD132" s="30" t="s">
        <v>112</v>
      </c>
      <c r="BE132" s="30" t="n">
        <f aca="false">IF(COUNTIFS('Reguler Class Availability'!$L:$L,$B$4&amp;"|- Lane 3 - *|"&amp;BD132)&gt;0,1,0)</f>
        <v>0</v>
      </c>
      <c r="BF132" s="30" t="n">
        <f aca="false">BE132+BF131</f>
        <v>1</v>
      </c>
    </row>
    <row r="133" customFormat="false" ht="52.5" hidden="false" customHeight="true" outlineLevel="0" collapsed="false">
      <c r="A133" s="76" t="n">
        <v>7</v>
      </c>
      <c r="B133" s="77" t="s">
        <v>114</v>
      </c>
      <c r="C133" s="76" t="s">
        <v>123</v>
      </c>
      <c r="D133" s="76" t="n">
        <v>5</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Kosong</v>
      </c>
      <c r="F133" s="77" t="str">
        <f aca="false">IF($Q133="","",PROPER(INDEX('Reguler Class Availability'!$B:$B,$Q133)&amp;""))</f>
        <v/>
      </c>
      <c r="G133" s="76" t="n">
        <f aca="false">IF($Q133="","",IFERROR(--(INDEX('Reguler Class Availability'!$F:$F,$Q133)&amp;""),0))</f>
        <v>4</v>
      </c>
      <c r="H133" s="77" t="str">
        <f aca="false">IF($Q133="","",PROPER(INDEX('Reguler Class Availability'!$I:$I,$Q133)&amp;"")&amp;IF(INDEX('Reguler Class Availability'!$J:$J,$Q133)&amp;""="",""," + asst "&amp;PROPER(INDEX('Reguler Class Availability'!$J:$J,$Q133)&amp;"")))</f>
        <v/>
      </c>
      <c r="I133" s="77" t="s">
        <v>189</v>
      </c>
      <c r="J133" s="77" t="s">
        <v>188</v>
      </c>
      <c r="K133" s="78"/>
      <c r="L133" s="78"/>
      <c r="M133" s="78"/>
      <c r="N133" s="79"/>
      <c r="O133" s="78"/>
      <c r="Q133" s="30" t="n">
        <f aca="false">IFERROR(MATCH($B$4&amp;"|- Lane "&amp;D133&amp;" - "&amp;B133&amp;"|"&amp;C133,'Reguler Class Availability'!$L:$L,0),"")</f>
        <v>354</v>
      </c>
      <c r="BD133" s="30" t="s">
        <v>120</v>
      </c>
      <c r="BE133" s="30" t="n">
        <f aca="false">IF(COUNTIFS('Reguler Class Availability'!$L:$L,$B$4&amp;"|- Lane 3 - *|"&amp;BD133)&gt;0,1,0)</f>
        <v>1</v>
      </c>
      <c r="BF133" s="30" t="n">
        <f aca="false">BE133+BF132</f>
        <v>2</v>
      </c>
    </row>
    <row r="134" customFormat="false" ht="40.5" hidden="false" customHeight="true" outlineLevel="0" collapsed="false">
      <c r="A134" s="76" t="n">
        <v>8</v>
      </c>
      <c r="B134" s="77" t="s">
        <v>114</v>
      </c>
      <c r="C134" s="76" t="s">
        <v>124</v>
      </c>
      <c r="D134" s="76" t="n">
        <v>1</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Kosong</v>
      </c>
      <c r="F134" s="77" t="str">
        <f aca="false">IF($Q134="","",PROPER(INDEX('Reguler Class Availability'!$B:$B,$Q134)&amp;""))</f>
        <v/>
      </c>
      <c r="G134" s="76" t="n">
        <f aca="false">IF($Q134="","",IFERROR(--(INDEX('Reguler Class Availability'!$F:$F,$Q134)&amp;""),0))</f>
        <v>5</v>
      </c>
      <c r="H134" s="77" t="str">
        <f aca="false">IF($Q134="","",PROPER(INDEX('Reguler Class Availability'!$I:$I,$Q134)&amp;"")&amp;IF(INDEX('Reguler Class Availability'!$J:$J,$Q134)&amp;""="",""," + asst "&amp;PROPER(INDEX('Reguler Class Availability'!$J:$J,$Q134)&amp;"")))</f>
        <v/>
      </c>
      <c r="I134" s="77" t="s">
        <v>190</v>
      </c>
      <c r="J134" s="77" t="s">
        <v>188</v>
      </c>
      <c r="K134" s="78"/>
      <c r="L134" s="78"/>
      <c r="M134" s="78"/>
      <c r="N134" s="79"/>
      <c r="O134" s="78"/>
      <c r="Q134" s="30" t="n">
        <f aca="false">IFERROR(MATCH($B$4&amp;"|- Lane "&amp;D134&amp;" - "&amp;B134&amp;"|"&amp;C134,'Reguler Class Availability'!$L:$L,0),"")</f>
        <v>4</v>
      </c>
      <c r="BD134" s="30" t="s">
        <v>121</v>
      </c>
      <c r="BE134" s="30" t="n">
        <f aca="false">IF(COUNTIFS('Reguler Class Availability'!$L:$L,$B$4&amp;"|- Lane 3 - *|"&amp;BD134)&gt;0,1,0)</f>
        <v>0</v>
      </c>
      <c r="BF134" s="30" t="n">
        <f aca="false">BE134+BF133</f>
        <v>2</v>
      </c>
    </row>
    <row r="135" customFormat="false" ht="27.75" hidden="false" customHeight="true" outlineLevel="0" collapsed="false">
      <c r="A135" s="76" t="n">
        <v>9</v>
      </c>
      <c r="B135" s="77" t="s">
        <v>114</v>
      </c>
      <c r="C135" s="76" t="s">
        <v>126</v>
      </c>
      <c r="D135" s="76" t="n">
        <v>4</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Belum terisi</v>
      </c>
      <c r="F135" s="77" t="str">
        <f aca="false">IF($Q135="","",PROPER(INDEX('Reguler Class Availability'!$B:$B,$Q135)&amp;""))</f>
        <v>Kids</v>
      </c>
      <c r="G135" s="76" t="n">
        <f aca="false">IF($Q135="","",IFERROR(--(INDEX('Reguler Class Availability'!$F:$F,$Q135)&amp;""),0))</f>
        <v>4</v>
      </c>
      <c r="H135" s="77" t="str">
        <f aca="false">IF($Q135="","",PROPER(INDEX('Reguler Class Availability'!$I:$I,$Q135)&amp;"")&amp;IF(INDEX('Reguler Class Availability'!$J:$J,$Q135)&amp;""="",""," + asst "&amp;PROPER(INDEX('Reguler Class Availability'!$J:$J,$Q135)&amp;"")))</f>
        <v/>
      </c>
      <c r="I135" s="77" t="s">
        <v>191</v>
      </c>
      <c r="J135" s="77" t="s">
        <v>188</v>
      </c>
      <c r="K135" s="78"/>
      <c r="L135" s="78"/>
      <c r="M135" s="78"/>
      <c r="N135" s="79"/>
      <c r="O135" s="78"/>
      <c r="Q135" s="30" t="n">
        <f aca="false">IFERROR(MATCH($B$4&amp;"|- Lane "&amp;D135&amp;" - "&amp;B135&amp;"|"&amp;C135,'Reguler Class Availability'!$L:$L,0),"")</f>
        <v>271</v>
      </c>
      <c r="BD135" s="30" t="s">
        <v>122</v>
      </c>
      <c r="BE135" s="30" t="n">
        <f aca="false">IF(COUNTIFS('Reguler Class Availability'!$L:$L,$B$4&amp;"|- Lane 3 - *|"&amp;BD135)&gt;0,1,0)</f>
        <v>0</v>
      </c>
      <c r="BF135" s="30" t="n">
        <f aca="false">BE135+BF134</f>
        <v>2</v>
      </c>
    </row>
    <row r="136" customFormat="false" ht="27.75" hidden="false" customHeight="true" outlineLevel="0" collapsed="false">
      <c r="A136" s="76" t="n">
        <v>10</v>
      </c>
      <c r="B136" s="77" t="s">
        <v>114</v>
      </c>
      <c r="C136" s="76" t="s">
        <v>126</v>
      </c>
      <c r="D136" s="76" t="n">
        <v>5</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Kosong</v>
      </c>
      <c r="F136" s="77" t="str">
        <f aca="false">IF($Q136="","",PROPER(INDEX('Reguler Class Availability'!$B:$B,$Q136)&amp;""))</f>
        <v/>
      </c>
      <c r="G136" s="76" t="n">
        <f aca="false">IF($Q136="","",IFERROR(--(INDEX('Reguler Class Availability'!$F:$F,$Q136)&amp;""),0))</f>
        <v>4</v>
      </c>
      <c r="H136" s="77" t="str">
        <f aca="false">IF($Q136="","",PROPER(INDEX('Reguler Class Availability'!$I:$I,$Q136)&amp;"")&amp;IF(INDEX('Reguler Class Availability'!$J:$J,$Q136)&amp;""="",""," + asst "&amp;PROPER(INDEX('Reguler Class Availability'!$J:$J,$Q136)&amp;"")))</f>
        <v/>
      </c>
      <c r="I136" s="77" t="s">
        <v>191</v>
      </c>
      <c r="J136" s="77" t="s">
        <v>188</v>
      </c>
      <c r="K136" s="78"/>
      <c r="L136" s="78"/>
      <c r="M136" s="78"/>
      <c r="N136" s="79"/>
      <c r="O136" s="78"/>
      <c r="Q136" s="30" t="n">
        <f aca="false">IFERROR(MATCH($B$4&amp;"|- Lane "&amp;D136&amp;" - "&amp;B136&amp;"|"&amp;C136,'Reguler Class Availability'!$L:$L,0),"")</f>
        <v>355</v>
      </c>
      <c r="BD136" s="30" t="s">
        <v>123</v>
      </c>
      <c r="BE136" s="30" t="n">
        <f aca="false">IF(COUNTIFS('Reguler Class Availability'!$L:$L,$B$4&amp;"|- Lane 3 - *|"&amp;BD136)&gt;0,1,0)</f>
        <v>1</v>
      </c>
      <c r="BF136" s="30" t="n">
        <f aca="false">BE136+BF135</f>
        <v>3</v>
      </c>
    </row>
    <row r="137" customFormat="false" ht="27.75" hidden="false" customHeight="true" outlineLevel="0" collapsed="false">
      <c r="A137" s="76" t="n">
        <v>11</v>
      </c>
      <c r="B137" s="77" t="s">
        <v>114</v>
      </c>
      <c r="C137" s="76" t="s">
        <v>127</v>
      </c>
      <c r="D137" s="76" t="n">
        <v>2</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Belum terisi</v>
      </c>
      <c r="F137" s="77" t="str">
        <f aca="false">IF($Q137="","",PROPER(INDEX('Reguler Class Availability'!$B:$B,$Q137)&amp;""))</f>
        <v>Tiny</v>
      </c>
      <c r="G137" s="76" t="n">
        <f aca="false">IF($Q137="","",IFERROR(--(INDEX('Reguler Class Availability'!$F:$F,$Q137)&amp;""),0))</f>
        <v>5</v>
      </c>
      <c r="H137" s="77" t="str">
        <f aca="false">IF($Q137="","",PROPER(INDEX('Reguler Class Availability'!$I:$I,$Q137)&amp;"")&amp;IF(INDEX('Reguler Class Availability'!$J:$J,$Q137)&amp;""="",""," + asst "&amp;PROPER(INDEX('Reguler Class Availability'!$J:$J,$Q137)&amp;"")))</f>
        <v/>
      </c>
      <c r="I137" s="77" t="s">
        <v>192</v>
      </c>
      <c r="J137" s="77" t="s">
        <v>188</v>
      </c>
      <c r="K137" s="78"/>
      <c r="L137" s="78"/>
      <c r="M137" s="78"/>
      <c r="N137" s="79"/>
      <c r="O137" s="78"/>
      <c r="Q137" s="30" t="n">
        <f aca="false">IFERROR(MATCH($B$4&amp;"|- Lane "&amp;D137&amp;" - "&amp;B137&amp;"|"&amp;C137,'Reguler Class Availability'!$L:$L,0),"")</f>
        <v>103</v>
      </c>
      <c r="BD137" s="30" t="s">
        <v>124</v>
      </c>
      <c r="BE137" s="30" t="n">
        <f aca="false">IF(COUNTIFS('Reguler Class Availability'!$L:$L,$B$4&amp;"|- Lane 3 - *|"&amp;BD137)&gt;0,1,0)</f>
        <v>0</v>
      </c>
      <c r="BF137" s="30" t="n">
        <f aca="false">BE137+BF136</f>
        <v>3</v>
      </c>
    </row>
    <row r="138" customFormat="false" ht="40.5" hidden="false" customHeight="true" outlineLevel="0" collapsed="false">
      <c r="A138" s="76" t="n">
        <v>12</v>
      </c>
      <c r="B138" s="77" t="s">
        <v>114</v>
      </c>
      <c r="C138" s="76" t="s">
        <v>129</v>
      </c>
      <c r="D138" s="76" t="n">
        <v>4</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Kids</v>
      </c>
      <c r="G138" s="76" t="n">
        <f aca="false">IF($Q138="","",IFERROR(--(INDEX('Reguler Class Availability'!$F:$F,$Q138)&amp;""),0))</f>
        <v>4</v>
      </c>
      <c r="H138" s="77" t="str">
        <f aca="false">IF($Q138="","",PROPER(INDEX('Reguler Class Availability'!$I:$I,$Q138)&amp;"")&amp;IF(INDEX('Reguler Class Availability'!$J:$J,$Q138)&amp;""="",""," + asst "&amp;PROPER(INDEX('Reguler Class Availability'!$J:$J,$Q138)&amp;"")))</f>
        <v/>
      </c>
      <c r="I138" s="77" t="s">
        <v>193</v>
      </c>
      <c r="J138" s="77" t="s">
        <v>188</v>
      </c>
      <c r="K138" s="78"/>
      <c r="L138" s="78"/>
      <c r="M138" s="78"/>
      <c r="N138" s="79"/>
      <c r="O138" s="78"/>
      <c r="Q138" s="30" t="n">
        <f aca="false">IFERROR(MATCH($B$4&amp;"|- Lane "&amp;D138&amp;" - "&amp;B138&amp;"|"&amp;C138,'Reguler Class Availability'!$L:$L,0),"")</f>
        <v>272</v>
      </c>
      <c r="BD138" s="30" t="s">
        <v>125</v>
      </c>
      <c r="BE138" s="30" t="n">
        <f aca="false">IF(COUNTIFS('Reguler Class Availability'!$L:$L,$B$4&amp;"|- Lane 3 - *|"&amp;BD138)&gt;0,1,0)</f>
        <v>0</v>
      </c>
      <c r="BF138" s="30" t="n">
        <f aca="false">BE138+BF137</f>
        <v>3</v>
      </c>
    </row>
    <row r="139" customFormat="false" ht="40.5" hidden="false" customHeight="true" outlineLevel="0" collapsed="false">
      <c r="A139" s="76" t="n">
        <v>13</v>
      </c>
      <c r="B139" s="77" t="s">
        <v>114</v>
      </c>
      <c r="C139" s="76" t="s">
        <v>129</v>
      </c>
      <c r="D139" s="76" t="n">
        <v>5</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Kosong</v>
      </c>
      <c r="F139" s="77" t="str">
        <f aca="false">IF($Q139="","",PROPER(INDEX('Reguler Class Availability'!$B:$B,$Q139)&amp;""))</f>
        <v/>
      </c>
      <c r="G139" s="76" t="n">
        <f aca="false">IF($Q139="","",IFERROR(--(INDEX('Reguler Class Availability'!$F:$F,$Q139)&amp;""),0))</f>
        <v>4</v>
      </c>
      <c r="H139" s="77" t="str">
        <f aca="false">IF($Q139="","",PROPER(INDEX('Reguler Class Availability'!$I:$I,$Q139)&amp;"")&amp;IF(INDEX('Reguler Class Availability'!$J:$J,$Q139)&amp;""="",""," + asst "&amp;PROPER(INDEX('Reguler Class Availability'!$J:$J,$Q139)&amp;"")))</f>
        <v/>
      </c>
      <c r="I139" s="77" t="s">
        <v>193</v>
      </c>
      <c r="J139" s="77" t="s">
        <v>188</v>
      </c>
      <c r="K139" s="78"/>
      <c r="L139" s="78"/>
      <c r="M139" s="78"/>
      <c r="N139" s="79"/>
      <c r="O139" s="78"/>
      <c r="Q139" s="30" t="n">
        <f aca="false">IFERROR(MATCH($B$4&amp;"|- Lane "&amp;D139&amp;" - "&amp;B139&amp;"|"&amp;C139,'Reguler Class Availability'!$L:$L,0),"")</f>
        <v>356</v>
      </c>
      <c r="BD139" s="30" t="s">
        <v>126</v>
      </c>
      <c r="BE139" s="30" t="n">
        <f aca="false">IF(COUNTIFS('Reguler Class Availability'!$L:$L,$B$4&amp;"|- Lane 3 - *|"&amp;BD139)&gt;0,1,0)</f>
        <v>1</v>
      </c>
      <c r="BF139" s="30" t="n">
        <f aca="false">BE139+BF138</f>
        <v>4</v>
      </c>
    </row>
    <row r="140" customFormat="false" ht="40.5" hidden="false" customHeight="true" outlineLevel="0" collapsed="false">
      <c r="A140" s="76" t="n">
        <v>14</v>
      </c>
      <c r="B140" s="77" t="s">
        <v>114</v>
      </c>
      <c r="C140" s="76" t="s">
        <v>130</v>
      </c>
      <c r="D140" s="76" t="n">
        <v>1</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Kosong</v>
      </c>
      <c r="F140" s="77" t="str">
        <f aca="false">IF($Q140="","",PROPER(INDEX('Reguler Class Availability'!$B:$B,$Q140)&amp;""))</f>
        <v/>
      </c>
      <c r="G140" s="76" t="n">
        <f aca="false">IF($Q140="","",IFERROR(--(INDEX('Reguler Class Availability'!$F:$F,$Q140)&amp;""),0))</f>
        <v>5</v>
      </c>
      <c r="H140" s="77" t="str">
        <f aca="false">IF($Q140="","",PROPER(INDEX('Reguler Class Availability'!$I:$I,$Q140)&amp;"")&amp;IF(INDEX('Reguler Class Availability'!$J:$J,$Q140)&amp;""="",""," + asst "&amp;PROPER(INDEX('Reguler Class Availability'!$J:$J,$Q140)&amp;"")))</f>
        <v/>
      </c>
      <c r="I140" s="77" t="s">
        <v>194</v>
      </c>
      <c r="J140" s="77" t="s">
        <v>188</v>
      </c>
      <c r="K140" s="78"/>
      <c r="L140" s="78"/>
      <c r="M140" s="78"/>
      <c r="N140" s="79"/>
      <c r="O140" s="78"/>
      <c r="Q140" s="30" t="n">
        <f aca="false">IFERROR(MATCH($B$4&amp;"|- Lane "&amp;D140&amp;" - "&amp;B140&amp;"|"&amp;C140,'Reguler Class Availability'!$L:$L,0),"")</f>
        <v>6</v>
      </c>
      <c r="BD140" s="30" t="s">
        <v>127</v>
      </c>
      <c r="BE140" s="30" t="n">
        <f aca="false">IF(COUNTIFS('Reguler Class Availability'!$L:$L,$B$4&amp;"|- Lane 3 - *|"&amp;BD140)&gt;0,1,0)</f>
        <v>0</v>
      </c>
      <c r="BF140" s="30" t="n">
        <f aca="false">BE140+BF139</f>
        <v>4</v>
      </c>
    </row>
    <row r="141" customFormat="false" ht="40.5" hidden="false" customHeight="true" outlineLevel="0" collapsed="false">
      <c r="A141" s="76" t="n">
        <v>15</v>
      </c>
      <c r="B141" s="77" t="s">
        <v>114</v>
      </c>
      <c r="C141" s="76" t="s">
        <v>130</v>
      </c>
      <c r="D141" s="76" t="n">
        <v>2</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Belum terisi</v>
      </c>
      <c r="F141" s="77" t="str">
        <f aca="false">IF($Q141="","",PROPER(INDEX('Reguler Class Availability'!$B:$B,$Q141)&amp;""))</f>
        <v>Tiny</v>
      </c>
      <c r="G141" s="76" t="n">
        <f aca="false">IF($Q141="","",IFERROR(--(INDEX('Reguler Class Availability'!$F:$F,$Q141)&amp;""),0))</f>
        <v>5</v>
      </c>
      <c r="H141" s="77" t="str">
        <f aca="false">IF($Q141="","",PROPER(INDEX('Reguler Class Availability'!$I:$I,$Q141)&amp;"")&amp;IF(INDEX('Reguler Class Availability'!$J:$J,$Q141)&amp;""="",""," + asst "&amp;PROPER(INDEX('Reguler Class Availability'!$J:$J,$Q141)&amp;"")))</f>
        <v/>
      </c>
      <c r="I141" s="77" t="s">
        <v>194</v>
      </c>
      <c r="J141" s="77" t="s">
        <v>188</v>
      </c>
      <c r="K141" s="78"/>
      <c r="L141" s="78"/>
      <c r="M141" s="78"/>
      <c r="N141" s="79"/>
      <c r="O141" s="78"/>
      <c r="Q141" s="30" t="n">
        <f aca="false">IFERROR(MATCH($B$4&amp;"|- Lane "&amp;D141&amp;" - "&amp;B141&amp;"|"&amp;C141,'Reguler Class Availability'!$L:$L,0),"")</f>
        <v>104</v>
      </c>
      <c r="BD141" s="30" t="s">
        <v>128</v>
      </c>
      <c r="BE141" s="30" t="n">
        <f aca="false">IF(COUNTIFS('Reguler Class Availability'!$L:$L,$B$4&amp;"|- Lane 3 - *|"&amp;BD141)&gt;0,1,0)</f>
        <v>0</v>
      </c>
      <c r="BF141" s="30" t="n">
        <f aca="false">BE141+BF140</f>
        <v>4</v>
      </c>
    </row>
    <row r="142" customFormat="false" ht="40.5" hidden="false" customHeight="true" outlineLevel="0" collapsed="false">
      <c r="A142" s="76" t="n">
        <v>16</v>
      </c>
      <c r="B142" s="77" t="s">
        <v>114</v>
      </c>
      <c r="C142" s="76" t="s">
        <v>139</v>
      </c>
      <c r="D142" s="76" t="n">
        <v>3</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Little</v>
      </c>
      <c r="G142" s="76" t="n">
        <f aca="false">IF($Q142="","",IFERROR(--(INDEX('Reguler Class Availability'!$F:$F,$Q142)&amp;""),0))</f>
        <v>4</v>
      </c>
      <c r="H142" s="77" t="str">
        <f aca="false">IF($Q142="","",PROPER(INDEX('Reguler Class Availability'!$I:$I,$Q142)&amp;"")&amp;IF(INDEX('Reguler Class Availability'!$J:$J,$Q142)&amp;""="",""," + asst "&amp;PROPER(INDEX('Reguler Class Availability'!$J:$J,$Q142)&amp;"")))</f>
        <v/>
      </c>
      <c r="I142" s="77" t="s">
        <v>195</v>
      </c>
      <c r="J142" s="77" t="s">
        <v>188</v>
      </c>
      <c r="K142" s="78"/>
      <c r="L142" s="78"/>
      <c r="M142" s="78"/>
      <c r="N142" s="79"/>
      <c r="O142" s="78"/>
      <c r="Q142" s="30" t="n">
        <f aca="false">IFERROR(MATCH($B$4&amp;"|- Lane "&amp;D142&amp;" - "&amp;B142&amp;"|"&amp;C142,'Reguler Class Availability'!$L:$L,0),"")</f>
        <v>190</v>
      </c>
      <c r="BD142" s="30" t="s">
        <v>129</v>
      </c>
      <c r="BE142" s="30" t="n">
        <f aca="false">IF(COUNTIFS('Reguler Class Availability'!$L:$L,$B$4&amp;"|- Lane 3 - *|"&amp;BD142)&gt;0,1,0)</f>
        <v>1</v>
      </c>
      <c r="BF142" s="30" t="n">
        <f aca="false">BE142+BF141</f>
        <v>5</v>
      </c>
    </row>
    <row r="143" customFormat="false" ht="40.5" hidden="false" customHeight="true" outlineLevel="0" collapsed="false">
      <c r="A143" s="76" t="n">
        <v>17</v>
      </c>
      <c r="B143" s="77" t="s">
        <v>114</v>
      </c>
      <c r="C143" s="76" t="s">
        <v>139</v>
      </c>
      <c r="D143" s="76" t="n">
        <v>5</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Kosong</v>
      </c>
      <c r="F143" s="77" t="str">
        <f aca="false">IF($Q143="","",PROPER(INDEX('Reguler Class Availability'!$B:$B,$Q143)&amp;""))</f>
        <v/>
      </c>
      <c r="G143" s="76" t="n">
        <f aca="false">IF($Q143="","",IFERROR(--(INDEX('Reguler Class Availability'!$F:$F,$Q143)&amp;""),0))</f>
        <v>4</v>
      </c>
      <c r="H143" s="77" t="str">
        <f aca="false">IF($Q143="","",PROPER(INDEX('Reguler Class Availability'!$I:$I,$Q143)&amp;"")&amp;IF(INDEX('Reguler Class Availability'!$J:$J,$Q143)&amp;""="",""," + asst "&amp;PROPER(INDEX('Reguler Class Availability'!$J:$J,$Q143)&amp;"")))</f>
        <v/>
      </c>
      <c r="I143" s="77" t="s">
        <v>195</v>
      </c>
      <c r="J143" s="77" t="s">
        <v>188</v>
      </c>
      <c r="K143" s="78"/>
      <c r="L143" s="78"/>
      <c r="M143" s="78"/>
      <c r="N143" s="79"/>
      <c r="O143" s="78"/>
      <c r="Q143" s="30" t="n">
        <f aca="false">IFERROR(MATCH($B$4&amp;"|- Lane "&amp;D143&amp;" - "&amp;B143&amp;"|"&amp;C143,'Reguler Class Availability'!$L:$L,0),"")</f>
        <v>358</v>
      </c>
      <c r="BD143" s="30" t="s">
        <v>130</v>
      </c>
      <c r="BE143" s="30" t="n">
        <f aca="false">IF(COUNTIFS('Reguler Class Availability'!$L:$L,$B$4&amp;"|- Lane 3 - *|"&amp;BD143)&gt;0,1,0)</f>
        <v>0</v>
      </c>
      <c r="BF143" s="30" t="n">
        <f aca="false">BE143+BF142</f>
        <v>5</v>
      </c>
    </row>
    <row r="144" customFormat="false" ht="27.75" hidden="false" customHeight="true" outlineLevel="0" collapsed="false">
      <c r="A144" s="76" t="n">
        <v>18</v>
      </c>
      <c r="B144" s="77" t="s">
        <v>114</v>
      </c>
      <c r="C144" s="76" t="s">
        <v>141</v>
      </c>
      <c r="D144" s="76" t="n">
        <v>2</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Belum terisi</v>
      </c>
      <c r="F144" s="77" t="str">
        <f aca="false">IF($Q144="","",PROPER(INDEX('Reguler Class Availability'!$B:$B,$Q144)&amp;""))</f>
        <v>Tiny</v>
      </c>
      <c r="G144" s="76" t="n">
        <f aca="false">IF($Q144="","",IFERROR(--(INDEX('Reguler Class Availability'!$F:$F,$Q144)&amp;""),0))</f>
        <v>5</v>
      </c>
      <c r="H144" s="77" t="str">
        <f aca="false">IF($Q144="","",PROPER(INDEX('Reguler Class Availability'!$I:$I,$Q144)&amp;"")&amp;IF(INDEX('Reguler Class Availability'!$J:$J,$Q144)&amp;""="",""," + asst "&amp;PROPER(INDEX('Reguler Class Availability'!$J:$J,$Q144)&amp;"")))</f>
        <v/>
      </c>
      <c r="I144" s="77" t="s">
        <v>196</v>
      </c>
      <c r="J144" s="77" t="s">
        <v>188</v>
      </c>
      <c r="K144" s="78"/>
      <c r="L144" s="78"/>
      <c r="M144" s="78"/>
      <c r="N144" s="79"/>
      <c r="O144" s="78"/>
      <c r="Q144" s="30" t="n">
        <f aca="false">IFERROR(MATCH($B$4&amp;"|- Lane "&amp;D144&amp;" - "&amp;B144&amp;"|"&amp;C144,'Reguler Class Availability'!$L:$L,0),"")</f>
        <v>106</v>
      </c>
      <c r="BD144" s="30" t="s">
        <v>131</v>
      </c>
      <c r="BE144" s="30" t="n">
        <f aca="false">IF(COUNTIFS('Reguler Class Availability'!$L:$L,$B$4&amp;"|- Lane 3 - *|"&amp;BD144)&gt;0,1,0)</f>
        <v>0</v>
      </c>
      <c r="BF144" s="30" t="n">
        <f aca="false">BE144+BF143</f>
        <v>5</v>
      </c>
    </row>
    <row r="145" customFormat="false" ht="15.75" hidden="false" customHeight="true" outlineLevel="0" collapsed="false">
      <c r="A145" s="76" t="n">
        <v>19</v>
      </c>
      <c r="B145" s="77" t="s">
        <v>114</v>
      </c>
      <c r="C145" s="76" t="s">
        <v>144</v>
      </c>
      <c r="D145" s="76" t="n">
        <v>1</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Kosong</v>
      </c>
      <c r="F145" s="77" t="str">
        <f aca="false">IF($Q145="","",PROPER(INDEX('Reguler Class Availability'!$B:$B,$Q145)&amp;""))</f>
        <v/>
      </c>
      <c r="G145" s="76" t="n">
        <f aca="false">IF($Q145="","",IFERROR(--(INDEX('Reguler Class Availability'!$F:$F,$Q145)&amp;""),0))</f>
        <v>5</v>
      </c>
      <c r="H145" s="77" t="str">
        <f aca="false">IF($Q145="","",PROPER(INDEX('Reguler Class Availability'!$I:$I,$Q145)&amp;"")&amp;IF(INDEX('Reguler Class Availability'!$J:$J,$Q145)&amp;""="",""," + asst "&amp;PROPER(INDEX('Reguler Class Availability'!$J:$J,$Q145)&amp;"")))</f>
        <v/>
      </c>
      <c r="I145" s="77" t="s">
        <v>197</v>
      </c>
      <c r="J145" s="77" t="s">
        <v>198</v>
      </c>
      <c r="K145" s="78"/>
      <c r="L145" s="78"/>
      <c r="M145" s="78"/>
      <c r="N145" s="79"/>
      <c r="O145" s="78"/>
      <c r="Q145" s="30" t="n">
        <f aca="false">IFERROR(MATCH($B$4&amp;"|- Lane "&amp;D145&amp;" - "&amp;B145&amp;"|"&amp;C145,'Reguler Class Availability'!$L:$L,0),"")</f>
        <v>9</v>
      </c>
      <c r="BD145" s="30" t="s">
        <v>132</v>
      </c>
      <c r="BE145" s="30" t="n">
        <f aca="false">IF(COUNTIFS('Reguler Class Availability'!$L:$L,$B$4&amp;"|- Lane 3 - *|"&amp;BD145)&gt;0,1,0)</f>
        <v>1</v>
      </c>
      <c r="BF145" s="30" t="n">
        <f aca="false">BE145+BF144</f>
        <v>6</v>
      </c>
    </row>
    <row r="146" customFormat="false" ht="15.75" hidden="false" customHeight="true" outlineLevel="0" collapsed="false">
      <c r="A146" s="76" t="n">
        <v>20</v>
      </c>
      <c r="B146" s="77" t="s">
        <v>114</v>
      </c>
      <c r="C146" s="76" t="s">
        <v>153</v>
      </c>
      <c r="D146" s="76" t="n">
        <v>2</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Belum terisi</v>
      </c>
      <c r="F146" s="77" t="str">
        <f aca="false">IF($Q146="","",PROPER(INDEX('Reguler Class Availability'!$B:$B,$Q146)&amp;""))</f>
        <v>Tiny</v>
      </c>
      <c r="G146" s="76" t="n">
        <f aca="false">IF($Q146="","",IFERROR(--(INDEX('Reguler Class Availability'!$F:$F,$Q146)&amp;""),0))</f>
        <v>5</v>
      </c>
      <c r="H146" s="77" t="str">
        <f aca="false">IF($Q146="","",PROPER(INDEX('Reguler Class Availability'!$I:$I,$Q146)&amp;"")&amp;IF(INDEX('Reguler Class Availability'!$J:$J,$Q146)&amp;""="",""," + asst "&amp;PROPER(INDEX('Reguler Class Availability'!$J:$J,$Q146)&amp;"")))</f>
        <v/>
      </c>
      <c r="I146" s="80" t="s">
        <v>199</v>
      </c>
      <c r="J146" s="77" t="s">
        <v>42</v>
      </c>
      <c r="K146" s="78"/>
      <c r="L146" s="78"/>
      <c r="M146" s="78"/>
      <c r="N146" s="79"/>
      <c r="O146" s="78"/>
      <c r="Q146" s="30" t="n">
        <f aca="false">IFERROR(MATCH($B$4&amp;"|- Lane "&amp;D146&amp;" - "&amp;B146&amp;"|"&amp;C146,'Reguler Class Availability'!$L:$L,0),"")</f>
        <v>110</v>
      </c>
      <c r="BD146" s="30" t="s">
        <v>133</v>
      </c>
      <c r="BE146" s="30" t="n">
        <f aca="false">IF(COUNTIFS('Reguler Class Availability'!$L:$L,$B$4&amp;"|- Lane 3 - *|"&amp;BD146)&gt;0,1,0)</f>
        <v>0</v>
      </c>
      <c r="BF146" s="30" t="n">
        <f aca="false">BE146+BF145</f>
        <v>6</v>
      </c>
    </row>
    <row r="147" customFormat="false" ht="15.75" hidden="false" customHeight="true" outlineLevel="0" collapsed="false">
      <c r="A147" s="76" t="n">
        <v>21</v>
      </c>
      <c r="B147" s="77" t="s">
        <v>114</v>
      </c>
      <c r="C147" s="76" t="s">
        <v>156</v>
      </c>
      <c r="D147" s="76" t="n">
        <v>2</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Belum terisi</v>
      </c>
      <c r="F147" s="77" t="str">
        <f aca="false">IF($Q147="","",PROPER(INDEX('Reguler Class Availability'!$B:$B,$Q147)&amp;""))</f>
        <v>Tiny</v>
      </c>
      <c r="G147" s="76" t="n">
        <f aca="false">IF($Q147="","",IFERROR(--(INDEX('Reguler Class Availability'!$F:$F,$Q147)&amp;""),0))</f>
        <v>5</v>
      </c>
      <c r="H147" s="77" t="str">
        <f aca="false">IF($Q147="","",PROPER(INDEX('Reguler Class Availability'!$I:$I,$Q147)&amp;"")&amp;IF(INDEX('Reguler Class Availability'!$J:$J,$Q147)&amp;""="",""," + asst "&amp;PROPER(INDEX('Reguler Class Availability'!$J:$J,$Q147)&amp;"")))</f>
        <v/>
      </c>
      <c r="I147" s="77" t="s">
        <v>197</v>
      </c>
      <c r="J147" s="77" t="s">
        <v>198</v>
      </c>
      <c r="K147" s="78"/>
      <c r="L147" s="78"/>
      <c r="M147" s="78"/>
      <c r="N147" s="79"/>
      <c r="O147" s="78"/>
      <c r="Q147" s="30" t="n">
        <f aca="false">IFERROR(MATCH($B$4&amp;"|- Lane "&amp;D147&amp;" - "&amp;B147&amp;"|"&amp;C147,'Reguler Class Availability'!$L:$L,0),"")</f>
        <v>111</v>
      </c>
      <c r="BD147" s="30" t="s">
        <v>134</v>
      </c>
      <c r="BE147" s="30" t="n">
        <f aca="false">IF(COUNTIFS('Reguler Class Availability'!$L:$L,$B$4&amp;"|- Lane 3 - *|"&amp;BD147)&gt;0,1,0)</f>
        <v>0</v>
      </c>
      <c r="BF147" s="30" t="n">
        <f aca="false">BE147+BF146</f>
        <v>6</v>
      </c>
    </row>
    <row r="148" customFormat="false" ht="52.5" hidden="false" customHeight="true" outlineLevel="0" collapsed="false">
      <c r="A148" s="76" t="n">
        <v>22</v>
      </c>
      <c r="B148" s="77" t="s">
        <v>114</v>
      </c>
      <c r="C148" s="76" t="s">
        <v>160</v>
      </c>
      <c r="D148" s="76" t="n">
        <v>1</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Star</v>
      </c>
      <c r="G148" s="76" t="n">
        <f aca="false">IF($Q148="","",IFERROR(--(INDEX('Reguler Class Availability'!$F:$F,$Q148)&amp;""),0))</f>
        <v>8</v>
      </c>
      <c r="H148" s="77" t="str">
        <f aca="false">IF($Q148="","",PROPER(INDEX('Reguler Class Availability'!$I:$I,$Q148)&amp;"")&amp;IF(INDEX('Reguler Class Availability'!$J:$J,$Q148)&amp;""="",""," + asst "&amp;PROPER(INDEX('Reguler Class Availability'!$J:$J,$Q148)&amp;"")))</f>
        <v/>
      </c>
      <c r="I148" s="77" t="s">
        <v>185</v>
      </c>
      <c r="J148" s="77" t="s">
        <v>186</v>
      </c>
      <c r="K148" s="78"/>
      <c r="L148" s="78"/>
      <c r="M148" s="78"/>
      <c r="N148" s="79"/>
      <c r="O148" s="78"/>
      <c r="Q148" s="30" t="n">
        <f aca="false">IFERROR(MATCH($B$4&amp;"|- Lane "&amp;D148&amp;" - "&amp;B148&amp;"|"&amp;C148,'Reguler Class Availability'!$L:$L,0),"")</f>
        <v>93</v>
      </c>
      <c r="BD148" s="30" t="s">
        <v>135</v>
      </c>
      <c r="BE148" s="30" t="n">
        <f aca="false">IF(COUNTIFS('Reguler Class Availability'!$L:$L,$B$4&amp;"|- Lane 3 - *|"&amp;BD148)&gt;0,1,0)</f>
        <v>0</v>
      </c>
      <c r="BF148" s="30" t="n">
        <f aca="false">BE148+BF147</f>
        <v>6</v>
      </c>
    </row>
    <row r="149" customFormat="false" ht="65.25" hidden="false" customHeight="true" outlineLevel="0" collapsed="false">
      <c r="A149" s="76" t="n">
        <v>23</v>
      </c>
      <c r="B149" s="77" t="s">
        <v>115</v>
      </c>
      <c r="C149" s="76" t="s">
        <v>91</v>
      </c>
      <c r="D149" s="76" t="n">
        <v>1</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Belum terisi</v>
      </c>
      <c r="F149" s="77" t="str">
        <f aca="false">IF($Q149="","",PROPER(INDEX('Reguler Class Availability'!$B:$B,$Q149)&amp;""))</f>
        <v>Star</v>
      </c>
      <c r="G149" s="76" t="n">
        <f aca="false">IF($Q149="","",IFERROR(--(INDEX('Reguler Class Availability'!$F:$F,$Q149)&amp;""),0))</f>
        <v>8</v>
      </c>
      <c r="H149" s="77" t="str">
        <f aca="false">IF($Q149="","",PROPER(INDEX('Reguler Class Availability'!$I:$I,$Q149)&amp;"")&amp;IF(INDEX('Reguler Class Availability'!$J:$J,$Q149)&amp;""="",""," + asst "&amp;PROPER(INDEX('Reguler Class Availability'!$J:$J,$Q149)&amp;"")))</f>
        <v/>
      </c>
      <c r="I149" s="77" t="s">
        <v>200</v>
      </c>
      <c r="J149" s="77" t="s">
        <v>186</v>
      </c>
      <c r="K149" s="78"/>
      <c r="L149" s="78"/>
      <c r="M149" s="78"/>
      <c r="N149" s="79"/>
      <c r="O149" s="78"/>
      <c r="Q149" s="30" t="n">
        <f aca="false">IFERROR(MATCH($B$4&amp;"|- Lane "&amp;D149&amp;" - "&amp;B149&amp;"|"&amp;C149,'Reguler Class Availability'!$L:$L,0),"")</f>
        <v>87</v>
      </c>
      <c r="BD149" s="30" t="s">
        <v>136</v>
      </c>
      <c r="BE149" s="30" t="n">
        <f aca="false">IF(COUNTIFS('Reguler Class Availability'!$L:$L,$B$4&amp;"|- Lane 3 - *|"&amp;BD149)&gt;0,1,0)</f>
        <v>0</v>
      </c>
      <c r="BF149" s="30" t="n">
        <f aca="false">BE149+BF148</f>
        <v>6</v>
      </c>
    </row>
    <row r="150" customFormat="false" ht="40.5" hidden="false" customHeight="true" outlineLevel="0" collapsed="false">
      <c r="A150" s="76" t="n">
        <v>24</v>
      </c>
      <c r="B150" s="77" t="s">
        <v>115</v>
      </c>
      <c r="C150" s="76" t="s">
        <v>120</v>
      </c>
      <c r="D150" s="76" t="n">
        <v>4</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Belum terisi</v>
      </c>
      <c r="F150" s="77" t="str">
        <f aca="false">IF($Q150="","",PROPER(INDEX('Reguler Class Availability'!$B:$B,$Q150)&amp;""))</f>
        <v>Kids</v>
      </c>
      <c r="G150" s="76" t="n">
        <f aca="false">IF($Q150="","",IFERROR(--(INDEX('Reguler Class Availability'!$F:$F,$Q150)&amp;""),0))</f>
        <v>4</v>
      </c>
      <c r="H150" s="77" t="str">
        <f aca="false">IF($Q150="","",PROPER(INDEX('Reguler Class Availability'!$I:$I,$Q150)&amp;"")&amp;IF(INDEX('Reguler Class Availability'!$J:$J,$Q150)&amp;""="",""," + asst "&amp;PROPER(INDEX('Reguler Class Availability'!$J:$J,$Q150)&amp;"")))</f>
        <v/>
      </c>
      <c r="I150" s="77" t="s">
        <v>201</v>
      </c>
      <c r="J150" s="77" t="s">
        <v>188</v>
      </c>
      <c r="K150" s="78"/>
      <c r="L150" s="78"/>
      <c r="M150" s="78"/>
      <c r="N150" s="79"/>
      <c r="O150" s="78"/>
      <c r="Q150" s="30" t="n">
        <f aca="false">IFERROR(MATCH($B$4&amp;"|- Lane "&amp;D150&amp;" - "&amp;B150&amp;"|"&amp;C150,'Reguler Class Availability'!$L:$L,0),"")</f>
        <v>281</v>
      </c>
      <c r="BD150" s="30" t="s">
        <v>138</v>
      </c>
      <c r="BE150" s="30" t="n">
        <f aca="false">IF(COUNTIFS('Reguler Class Availability'!$L:$L,$B$4&amp;"|- Lane 3 - *|"&amp;BD150)&gt;0,1,0)</f>
        <v>0</v>
      </c>
      <c r="BF150" s="30" t="n">
        <f aca="false">BE150+BF149</f>
        <v>6</v>
      </c>
    </row>
    <row r="151" customFormat="false" ht="40.5" hidden="false" customHeight="true" outlineLevel="0" collapsed="false">
      <c r="A151" s="76" t="n">
        <v>25</v>
      </c>
      <c r="B151" s="77" t="s">
        <v>115</v>
      </c>
      <c r="C151" s="76" t="s">
        <v>120</v>
      </c>
      <c r="D151" s="76" t="n">
        <v>5</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Kosong</v>
      </c>
      <c r="F151" s="77" t="str">
        <f aca="false">IF($Q151="","",PROPER(INDEX('Reguler Class Availability'!$B:$B,$Q151)&amp;""))</f>
        <v/>
      </c>
      <c r="G151" s="76" t="n">
        <f aca="false">IF($Q151="","",IFERROR(--(INDEX('Reguler Class Availability'!$F:$F,$Q151)&amp;""),0))</f>
        <v>4</v>
      </c>
      <c r="H151" s="77" t="str">
        <f aca="false">IF($Q151="","",PROPER(INDEX('Reguler Class Availability'!$I:$I,$Q151)&amp;"")&amp;IF(INDEX('Reguler Class Availability'!$J:$J,$Q151)&amp;""="",""," + asst "&amp;PROPER(INDEX('Reguler Class Availability'!$J:$J,$Q151)&amp;"")))</f>
        <v/>
      </c>
      <c r="I151" s="77" t="s">
        <v>201</v>
      </c>
      <c r="J151" s="77" t="s">
        <v>188</v>
      </c>
      <c r="K151" s="78"/>
      <c r="L151" s="78"/>
      <c r="M151" s="78"/>
      <c r="N151" s="79"/>
      <c r="O151" s="78"/>
      <c r="Q151" s="30" t="n">
        <f aca="false">IFERROR(MATCH($B$4&amp;"|- Lane "&amp;D151&amp;" - "&amp;B151&amp;"|"&amp;C151,'Reguler Class Availability'!$L:$L,0),"")</f>
        <v>365</v>
      </c>
      <c r="BD151" s="30" t="s">
        <v>139</v>
      </c>
      <c r="BE151" s="30" t="n">
        <f aca="false">IF(COUNTIFS('Reguler Class Availability'!$L:$L,$B$4&amp;"|- Lane 3 - *|"&amp;BD151)&gt;0,1,0)</f>
        <v>1</v>
      </c>
      <c r="BF151" s="30" t="n">
        <f aca="false">BE151+BF150</f>
        <v>7</v>
      </c>
    </row>
    <row r="152" customFormat="false" ht="40.5" hidden="false" customHeight="true" outlineLevel="0" collapsed="false">
      <c r="A152" s="76" t="n">
        <v>26</v>
      </c>
      <c r="B152" s="77" t="s">
        <v>115</v>
      </c>
      <c r="C152" s="76" t="s">
        <v>121</v>
      </c>
      <c r="D152" s="76" t="n">
        <v>1</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Kosong</v>
      </c>
      <c r="F152" s="77" t="str">
        <f aca="false">IF($Q152="","",PROPER(INDEX('Reguler Class Availability'!$B:$B,$Q152)&amp;""))</f>
        <v/>
      </c>
      <c r="G152" s="76" t="n">
        <f aca="false">IF($Q152="","",IFERROR(--(INDEX('Reguler Class Availability'!$F:$F,$Q152)&amp;""),0))</f>
        <v>5</v>
      </c>
      <c r="H152" s="77" t="str">
        <f aca="false">IF($Q152="","",PROPER(INDEX('Reguler Class Availability'!$I:$I,$Q152)&amp;"")&amp;IF(INDEX('Reguler Class Availability'!$J:$J,$Q152)&amp;""="",""," + asst "&amp;PROPER(INDEX('Reguler Class Availability'!$J:$J,$Q152)&amp;"")))</f>
        <v/>
      </c>
      <c r="I152" s="77" t="s">
        <v>201</v>
      </c>
      <c r="J152" s="77" t="s">
        <v>188</v>
      </c>
      <c r="K152" s="78"/>
      <c r="L152" s="78"/>
      <c r="M152" s="78"/>
      <c r="N152" s="79"/>
      <c r="O152" s="78"/>
      <c r="Q152" s="30" t="n">
        <f aca="false">IFERROR(MATCH($B$4&amp;"|- Lane "&amp;D152&amp;" - "&amp;B152&amp;"|"&amp;C152,'Reguler Class Availability'!$L:$L,0),"")</f>
        <v>15</v>
      </c>
      <c r="BD152" s="30" t="s">
        <v>141</v>
      </c>
      <c r="BE152" s="30" t="n">
        <f aca="false">IF(COUNTIFS('Reguler Class Availability'!$L:$L,$B$4&amp;"|- Lane 3 - *|"&amp;BD152)&gt;0,1,0)</f>
        <v>0</v>
      </c>
      <c r="BF152" s="30" t="n">
        <f aca="false">BE152+BF151</f>
        <v>7</v>
      </c>
    </row>
    <row r="153" customFormat="false" ht="40.5" hidden="false" customHeight="true" outlineLevel="0" collapsed="false">
      <c r="A153" s="76" t="n">
        <v>27</v>
      </c>
      <c r="B153" s="77" t="s">
        <v>115</v>
      </c>
      <c r="C153" s="76" t="s">
        <v>123</v>
      </c>
      <c r="D153" s="76" t="n">
        <v>4</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Kids</v>
      </c>
      <c r="G153" s="76" t="n">
        <f aca="false">IF($Q153="","",IFERROR(--(INDEX('Reguler Class Availability'!$F:$F,$Q153)&amp;""),0))</f>
        <v>4</v>
      </c>
      <c r="H153" s="77" t="str">
        <f aca="false">IF($Q153="","",PROPER(INDEX('Reguler Class Availability'!$I:$I,$Q153)&amp;"")&amp;IF(INDEX('Reguler Class Availability'!$J:$J,$Q153)&amp;""="",""," + asst "&amp;PROPER(INDEX('Reguler Class Availability'!$J:$J,$Q153)&amp;"")))</f>
        <v/>
      </c>
      <c r="I153" s="77" t="s">
        <v>202</v>
      </c>
      <c r="J153" s="77" t="s">
        <v>188</v>
      </c>
      <c r="K153" s="78"/>
      <c r="L153" s="78"/>
      <c r="M153" s="78"/>
      <c r="N153" s="79"/>
      <c r="O153" s="78"/>
      <c r="Q153" s="30" t="n">
        <f aca="false">IFERROR(MATCH($B$4&amp;"|- Lane "&amp;D153&amp;" - "&amp;B153&amp;"|"&amp;C153,'Reguler Class Availability'!$L:$L,0),"")</f>
        <v>282</v>
      </c>
      <c r="BD153" s="30" t="s">
        <v>142</v>
      </c>
      <c r="BE153" s="30" t="n">
        <f aca="false">IF(COUNTIFS('Reguler Class Availability'!$L:$L,$B$4&amp;"|- Lane 3 - *|"&amp;BD153)&gt;0,1,0)</f>
        <v>0</v>
      </c>
      <c r="BF153" s="30" t="n">
        <f aca="false">BE153+BF152</f>
        <v>7</v>
      </c>
    </row>
    <row r="154" customFormat="false" ht="40.5" hidden="false" customHeight="true" outlineLevel="0" collapsed="false">
      <c r="A154" s="76" t="n">
        <v>28</v>
      </c>
      <c r="B154" s="77" t="s">
        <v>115</v>
      </c>
      <c r="C154" s="76" t="s">
        <v>123</v>
      </c>
      <c r="D154" s="76" t="n">
        <v>5</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Kosong</v>
      </c>
      <c r="F154" s="77" t="str">
        <f aca="false">IF($Q154="","",PROPER(INDEX('Reguler Class Availability'!$B:$B,$Q154)&amp;""))</f>
        <v/>
      </c>
      <c r="G154" s="76" t="n">
        <f aca="false">IF($Q154="","",IFERROR(--(INDEX('Reguler Class Availability'!$F:$F,$Q154)&amp;""),0))</f>
        <v>4</v>
      </c>
      <c r="H154" s="77" t="str">
        <f aca="false">IF($Q154="","",PROPER(INDEX('Reguler Class Availability'!$I:$I,$Q154)&amp;"")&amp;IF(INDEX('Reguler Class Availability'!$J:$J,$Q154)&amp;""="",""," + asst "&amp;PROPER(INDEX('Reguler Class Availability'!$J:$J,$Q154)&amp;"")))</f>
        <v/>
      </c>
      <c r="I154" s="77" t="s">
        <v>202</v>
      </c>
      <c r="J154" s="77" t="s">
        <v>188</v>
      </c>
      <c r="K154" s="78"/>
      <c r="L154" s="78"/>
      <c r="M154" s="78"/>
      <c r="N154" s="79"/>
      <c r="O154" s="78"/>
      <c r="Q154" s="30" t="n">
        <f aca="false">IFERROR(MATCH($B$4&amp;"|- Lane "&amp;D154&amp;" - "&amp;B154&amp;"|"&amp;C154,'Reguler Class Availability'!$L:$L,0),"")</f>
        <v>366</v>
      </c>
      <c r="BD154" s="30" t="s">
        <v>143</v>
      </c>
      <c r="BE154" s="30" t="n">
        <f aca="false">IF(COUNTIFS('Reguler Class Availability'!$L:$L,$B$4&amp;"|- Lane 3 - *|"&amp;BD154)&gt;0,1,0)</f>
        <v>1</v>
      </c>
      <c r="BF154" s="30" t="n">
        <f aca="false">BE154+BF153</f>
        <v>8</v>
      </c>
    </row>
    <row r="155" customFormat="false" ht="27.75" hidden="false" customHeight="true" outlineLevel="0" collapsed="false">
      <c r="A155" s="76" t="n">
        <v>29</v>
      </c>
      <c r="B155" s="77" t="s">
        <v>115</v>
      </c>
      <c r="C155" s="76" t="s">
        <v>124</v>
      </c>
      <c r="D155" s="76" t="n">
        <v>1</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Kosong</v>
      </c>
      <c r="F155" s="77" t="str">
        <f aca="false">IF($Q155="","",PROPER(INDEX('Reguler Class Availability'!$B:$B,$Q155)&amp;""))</f>
        <v/>
      </c>
      <c r="G155" s="76" t="n">
        <f aca="false">IF($Q155="","",IFERROR(--(INDEX('Reguler Class Availability'!$F:$F,$Q155)&amp;""),0))</f>
        <v>5</v>
      </c>
      <c r="H155" s="77" t="str">
        <f aca="false">IF($Q155="","",PROPER(INDEX('Reguler Class Availability'!$I:$I,$Q155)&amp;"")&amp;IF(INDEX('Reguler Class Availability'!$J:$J,$Q155)&amp;""="",""," + asst "&amp;PROPER(INDEX('Reguler Class Availability'!$J:$J,$Q155)&amp;"")))</f>
        <v/>
      </c>
      <c r="I155" s="77" t="s">
        <v>203</v>
      </c>
      <c r="J155" s="77" t="s">
        <v>188</v>
      </c>
      <c r="K155" s="78"/>
      <c r="L155" s="78"/>
      <c r="M155" s="78"/>
      <c r="N155" s="79"/>
      <c r="O155" s="78"/>
      <c r="Q155" s="30" t="n">
        <f aca="false">IFERROR(MATCH($B$4&amp;"|- Lane "&amp;D155&amp;" - "&amp;B155&amp;"|"&amp;C155,'Reguler Class Availability'!$L:$L,0),"")</f>
        <v>16</v>
      </c>
      <c r="BD155" s="30" t="s">
        <v>144</v>
      </c>
      <c r="BE155" s="30" t="n">
        <f aca="false">IF(COUNTIFS('Reguler Class Availability'!$L:$L,$B$4&amp;"|- Lane 3 - *|"&amp;BD155)&gt;0,1,0)</f>
        <v>0</v>
      </c>
      <c r="BF155" s="30" t="n">
        <f aca="false">BE155+BF154</f>
        <v>8</v>
      </c>
    </row>
    <row r="156" customFormat="false" ht="27.75" hidden="false" customHeight="true" outlineLevel="0" collapsed="false">
      <c r="A156" s="76" t="n">
        <v>30</v>
      </c>
      <c r="B156" s="77" t="s">
        <v>115</v>
      </c>
      <c r="C156" s="76" t="s">
        <v>126</v>
      </c>
      <c r="D156" s="76" t="n">
        <v>4</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Belum terisi</v>
      </c>
      <c r="F156" s="77" t="str">
        <f aca="false">IF($Q156="","",PROPER(INDEX('Reguler Class Availability'!$B:$B,$Q156)&amp;""))</f>
        <v>Kids</v>
      </c>
      <c r="G156" s="76" t="n">
        <f aca="false">IF($Q156="","",IFERROR(--(INDEX('Reguler Class Availability'!$F:$F,$Q156)&amp;""),0))</f>
        <v>4</v>
      </c>
      <c r="H156" s="77" t="str">
        <f aca="false">IF($Q156="","",PROPER(INDEX('Reguler Class Availability'!$I:$I,$Q156)&amp;"")&amp;IF(INDEX('Reguler Class Availability'!$J:$J,$Q156)&amp;""="",""," + asst "&amp;PROPER(INDEX('Reguler Class Availability'!$J:$J,$Q156)&amp;"")))</f>
        <v/>
      </c>
      <c r="I156" s="77" t="s">
        <v>204</v>
      </c>
      <c r="J156" s="77" t="s">
        <v>188</v>
      </c>
      <c r="K156" s="78"/>
      <c r="L156" s="78"/>
      <c r="M156" s="78"/>
      <c r="N156" s="79"/>
      <c r="O156" s="78"/>
      <c r="Q156" s="30" t="n">
        <f aca="false">IFERROR(MATCH($B$4&amp;"|- Lane "&amp;D156&amp;" - "&amp;B156&amp;"|"&amp;C156,'Reguler Class Availability'!$L:$L,0),"")</f>
        <v>283</v>
      </c>
      <c r="BD156" s="30" t="s">
        <v>145</v>
      </c>
      <c r="BE156" s="30" t="n">
        <f aca="false">IF(COUNTIFS('Reguler Class Availability'!$L:$L,$B$4&amp;"|- Lane 3 - *|"&amp;BD156)&gt;0,1,0)</f>
        <v>0</v>
      </c>
      <c r="BF156" s="30" t="n">
        <f aca="false">BE156+BF155</f>
        <v>8</v>
      </c>
    </row>
    <row r="157" customFormat="false" ht="27.75" hidden="false" customHeight="true" outlineLevel="0" collapsed="false">
      <c r="A157" s="76" t="n">
        <v>31</v>
      </c>
      <c r="B157" s="77" t="s">
        <v>115</v>
      </c>
      <c r="C157" s="76" t="s">
        <v>126</v>
      </c>
      <c r="D157" s="76" t="n">
        <v>5</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Kosong</v>
      </c>
      <c r="F157" s="77" t="str">
        <f aca="false">IF($Q157="","",PROPER(INDEX('Reguler Class Availability'!$B:$B,$Q157)&amp;""))</f>
        <v/>
      </c>
      <c r="G157" s="76" t="n">
        <f aca="false">IF($Q157="","",IFERROR(--(INDEX('Reguler Class Availability'!$F:$F,$Q157)&amp;""),0))</f>
        <v>4</v>
      </c>
      <c r="H157" s="77" t="str">
        <f aca="false">IF($Q157="","",PROPER(INDEX('Reguler Class Availability'!$I:$I,$Q157)&amp;"")&amp;IF(INDEX('Reguler Class Availability'!$J:$J,$Q157)&amp;""="",""," + asst "&amp;PROPER(INDEX('Reguler Class Availability'!$J:$J,$Q157)&amp;"")))</f>
        <v/>
      </c>
      <c r="I157" s="77" t="s">
        <v>204</v>
      </c>
      <c r="J157" s="77" t="s">
        <v>188</v>
      </c>
      <c r="K157" s="78"/>
      <c r="L157" s="78"/>
      <c r="M157" s="78"/>
      <c r="N157" s="79"/>
      <c r="O157" s="78"/>
      <c r="Q157" s="30" t="n">
        <f aca="false">IFERROR(MATCH($B$4&amp;"|- Lane "&amp;D157&amp;" - "&amp;B157&amp;"|"&amp;C157,'Reguler Class Availability'!$L:$L,0),"")</f>
        <v>367</v>
      </c>
      <c r="BD157" s="30" t="s">
        <v>146</v>
      </c>
      <c r="BE157" s="30" t="n">
        <f aca="false">IF(COUNTIFS('Reguler Class Availability'!$L:$L,$B$4&amp;"|- Lane 3 - *|"&amp;BD157)&gt;0,1,0)</f>
        <v>1</v>
      </c>
      <c r="BF157" s="30" t="n">
        <f aca="false">BE157+BF156</f>
        <v>9</v>
      </c>
    </row>
    <row r="158" customFormat="false" ht="27.75" hidden="false" customHeight="true" outlineLevel="0" collapsed="false">
      <c r="A158" s="76" t="n">
        <v>32</v>
      </c>
      <c r="B158" s="77" t="s">
        <v>115</v>
      </c>
      <c r="C158" s="76" t="s">
        <v>129</v>
      </c>
      <c r="D158" s="76" t="n">
        <v>4</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Kids</v>
      </c>
      <c r="G158" s="76" t="n">
        <f aca="false">IF($Q158="","",IFERROR(--(INDEX('Reguler Class Availability'!$F:$F,$Q158)&amp;""),0))</f>
        <v>4</v>
      </c>
      <c r="H158" s="77" t="str">
        <f aca="false">IF($Q158="","",PROPER(INDEX('Reguler Class Availability'!$I:$I,$Q158)&amp;"")&amp;IF(INDEX('Reguler Class Availability'!$J:$J,$Q158)&amp;""="",""," + asst "&amp;PROPER(INDEX('Reguler Class Availability'!$J:$J,$Q158)&amp;"")))</f>
        <v/>
      </c>
      <c r="I158" s="77" t="s">
        <v>205</v>
      </c>
      <c r="J158" s="77" t="s">
        <v>188</v>
      </c>
      <c r="K158" s="78"/>
      <c r="L158" s="78"/>
      <c r="M158" s="78"/>
      <c r="N158" s="79"/>
      <c r="O158" s="78"/>
      <c r="Q158" s="30" t="n">
        <f aca="false">IFERROR(MATCH($B$4&amp;"|- Lane "&amp;D158&amp;" - "&amp;B158&amp;"|"&amp;C158,'Reguler Class Availability'!$L:$L,0),"")</f>
        <v>284</v>
      </c>
      <c r="BD158" s="30" t="s">
        <v>147</v>
      </c>
      <c r="BE158" s="30" t="n">
        <f aca="false">IF(COUNTIFS('Reguler Class Availability'!$L:$L,$B$4&amp;"|- Lane 3 - *|"&amp;BD158)&gt;0,1,0)</f>
        <v>0</v>
      </c>
      <c r="BF158" s="30" t="n">
        <f aca="false">BE158+BF157</f>
        <v>9</v>
      </c>
    </row>
    <row r="159" customFormat="false" ht="27.75" hidden="false" customHeight="true" outlineLevel="0" collapsed="false">
      <c r="A159" s="76" t="n">
        <v>33</v>
      </c>
      <c r="B159" s="77" t="s">
        <v>115</v>
      </c>
      <c r="C159" s="76" t="s">
        <v>129</v>
      </c>
      <c r="D159" s="76" t="n">
        <v>5</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Kosong</v>
      </c>
      <c r="F159" s="77" t="str">
        <f aca="false">IF($Q159="","",PROPER(INDEX('Reguler Class Availability'!$B:$B,$Q159)&amp;""))</f>
        <v/>
      </c>
      <c r="G159" s="76" t="n">
        <f aca="false">IF($Q159="","",IFERROR(--(INDEX('Reguler Class Availability'!$F:$F,$Q159)&amp;""),0))</f>
        <v>4</v>
      </c>
      <c r="H159" s="77" t="str">
        <f aca="false">IF($Q159="","",PROPER(INDEX('Reguler Class Availability'!$I:$I,$Q159)&amp;"")&amp;IF(INDEX('Reguler Class Availability'!$J:$J,$Q159)&amp;""="",""," + asst "&amp;PROPER(INDEX('Reguler Class Availability'!$J:$J,$Q159)&amp;"")))</f>
        <v/>
      </c>
      <c r="I159" s="77" t="s">
        <v>205</v>
      </c>
      <c r="J159" s="77" t="s">
        <v>188</v>
      </c>
      <c r="K159" s="78"/>
      <c r="L159" s="78"/>
      <c r="M159" s="78"/>
      <c r="N159" s="79"/>
      <c r="O159" s="78"/>
      <c r="Q159" s="30" t="n">
        <f aca="false">IFERROR(MATCH($B$4&amp;"|- Lane "&amp;D159&amp;" - "&amp;B159&amp;"|"&amp;C159,'Reguler Class Availability'!$L:$L,0),"")</f>
        <v>368</v>
      </c>
      <c r="BD159" s="30" t="s">
        <v>148</v>
      </c>
      <c r="BE159" s="30" t="n">
        <f aca="false">IF(COUNTIFS('Reguler Class Availability'!$L:$L,$B$4&amp;"|- Lane 3 - *|"&amp;BD159)&gt;0,1,0)</f>
        <v>0</v>
      </c>
      <c r="BF159" s="30" t="n">
        <f aca="false">BE159+BF158</f>
        <v>9</v>
      </c>
    </row>
    <row r="160" customFormat="false" ht="27.75" hidden="false" customHeight="true" outlineLevel="0" collapsed="false">
      <c r="A160" s="76" t="n">
        <v>34</v>
      </c>
      <c r="B160" s="77" t="s">
        <v>115</v>
      </c>
      <c r="C160" s="76" t="s">
        <v>130</v>
      </c>
      <c r="D160" s="76" t="n">
        <v>2</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Belum terisi</v>
      </c>
      <c r="F160" s="77" t="str">
        <f aca="false">IF($Q160="","",PROPER(INDEX('Reguler Class Availability'!$B:$B,$Q160)&amp;""))</f>
        <v>Tiny</v>
      </c>
      <c r="G160" s="76" t="n">
        <f aca="false">IF($Q160="","",IFERROR(--(INDEX('Reguler Class Availability'!$F:$F,$Q160)&amp;""),0))</f>
        <v>5</v>
      </c>
      <c r="H160" s="77" t="str">
        <f aca="false">IF($Q160="","",PROPER(INDEX('Reguler Class Availability'!$I:$I,$Q160)&amp;"")&amp;IF(INDEX('Reguler Class Availability'!$J:$J,$Q160)&amp;""="",""," + asst "&amp;PROPER(INDEX('Reguler Class Availability'!$J:$J,$Q160)&amp;"")))</f>
        <v/>
      </c>
      <c r="I160" s="77" t="s">
        <v>206</v>
      </c>
      <c r="J160" s="77" t="s">
        <v>188</v>
      </c>
      <c r="K160" s="78"/>
      <c r="L160" s="78"/>
      <c r="M160" s="78"/>
      <c r="N160" s="79"/>
      <c r="O160" s="78"/>
      <c r="Q160" s="30" t="n">
        <f aca="false">IFERROR(MATCH($B$4&amp;"|- Lane "&amp;D160&amp;" - "&amp;B160&amp;"|"&amp;C160,'Reguler Class Availability'!$L:$L,0),"")</f>
        <v>116</v>
      </c>
      <c r="BD160" s="30" t="s">
        <v>149</v>
      </c>
      <c r="BE160" s="30" t="n">
        <f aca="false">IF(COUNTIFS('Reguler Class Availability'!$L:$L,$B$4&amp;"|- Lane 3 - *|"&amp;BD160)&gt;0,1,0)</f>
        <v>1</v>
      </c>
      <c r="BF160" s="30" t="n">
        <f aca="false">BE160+BF159</f>
        <v>10</v>
      </c>
    </row>
    <row r="161" customFormat="false" ht="52.5" hidden="false" customHeight="true" outlineLevel="0" collapsed="false">
      <c r="A161" s="76" t="n">
        <v>35</v>
      </c>
      <c r="B161" s="77" t="s">
        <v>115</v>
      </c>
      <c r="C161" s="76" t="s">
        <v>139</v>
      </c>
      <c r="D161" s="76" t="n">
        <v>3</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Little</v>
      </c>
      <c r="G161" s="76" t="n">
        <f aca="false">IF($Q161="","",IFERROR(--(INDEX('Reguler Class Availability'!$F:$F,$Q161)&amp;""),0))</f>
        <v>4</v>
      </c>
      <c r="H161" s="77" t="str">
        <f aca="false">IF($Q161="","",PROPER(INDEX('Reguler Class Availability'!$I:$I,$Q161)&amp;"")&amp;IF(INDEX('Reguler Class Availability'!$J:$J,$Q161)&amp;""="",""," + asst "&amp;PROPER(INDEX('Reguler Class Availability'!$J:$J,$Q161)&amp;"")))</f>
        <v/>
      </c>
      <c r="I161" s="77" t="s">
        <v>207</v>
      </c>
      <c r="J161" s="77" t="s">
        <v>188</v>
      </c>
      <c r="K161" s="78"/>
      <c r="L161" s="78"/>
      <c r="M161" s="78"/>
      <c r="N161" s="79"/>
      <c r="O161" s="78"/>
      <c r="Q161" s="30" t="n">
        <f aca="false">IFERROR(MATCH($B$4&amp;"|- Lane "&amp;D161&amp;" - "&amp;B161&amp;"|"&amp;C161,'Reguler Class Availability'!$L:$L,0),"")</f>
        <v>202</v>
      </c>
      <c r="BD161" s="30" t="s">
        <v>150</v>
      </c>
      <c r="BE161" s="30" t="n">
        <f aca="false">IF(COUNTIFS('Reguler Class Availability'!$L:$L,$B$4&amp;"|- Lane 3 - *|"&amp;BD161)&gt;0,1,0)</f>
        <v>0</v>
      </c>
      <c r="BF161" s="30" t="n">
        <f aca="false">BE161+BF160</f>
        <v>10</v>
      </c>
    </row>
    <row r="162" customFormat="false" ht="52.5" hidden="false" customHeight="true" outlineLevel="0" collapsed="false">
      <c r="A162" s="76" t="n">
        <v>36</v>
      </c>
      <c r="B162" s="77" t="s">
        <v>115</v>
      </c>
      <c r="C162" s="76" t="s">
        <v>139</v>
      </c>
      <c r="D162" s="76" t="n">
        <v>5</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Kosong</v>
      </c>
      <c r="F162" s="77" t="str">
        <f aca="false">IF($Q162="","",PROPER(INDEX('Reguler Class Availability'!$B:$B,$Q162)&amp;""))</f>
        <v/>
      </c>
      <c r="G162" s="76" t="n">
        <f aca="false">IF($Q162="","",IFERROR(--(INDEX('Reguler Class Availability'!$F:$F,$Q162)&amp;""),0))</f>
        <v>4</v>
      </c>
      <c r="H162" s="77" t="str">
        <f aca="false">IF($Q162="","",PROPER(INDEX('Reguler Class Availability'!$I:$I,$Q162)&amp;"")&amp;IF(INDEX('Reguler Class Availability'!$J:$J,$Q162)&amp;""="",""," + asst "&amp;PROPER(INDEX('Reguler Class Availability'!$J:$J,$Q162)&amp;"")))</f>
        <v/>
      </c>
      <c r="I162" s="77" t="s">
        <v>207</v>
      </c>
      <c r="J162" s="77" t="s">
        <v>188</v>
      </c>
      <c r="K162" s="78"/>
      <c r="L162" s="78"/>
      <c r="M162" s="78"/>
      <c r="N162" s="79"/>
      <c r="O162" s="78"/>
      <c r="Q162" s="30" t="n">
        <f aca="false">IFERROR(MATCH($B$4&amp;"|- Lane "&amp;D162&amp;" - "&amp;B162&amp;"|"&amp;C162,'Reguler Class Availability'!$L:$L,0),"")</f>
        <v>370</v>
      </c>
      <c r="BD162" s="30" t="s">
        <v>151</v>
      </c>
      <c r="BE162" s="30" t="n">
        <f aca="false">IF(COUNTIFS('Reguler Class Availability'!$L:$L,$B$4&amp;"|- Lane 3 - *|"&amp;BD162)&gt;0,1,0)</f>
        <v>0</v>
      </c>
      <c r="BF162" s="30" t="n">
        <f aca="false">BE162+BF161</f>
        <v>10</v>
      </c>
    </row>
    <row r="163" customFormat="false" ht="27.75" hidden="false" customHeight="true" outlineLevel="0" collapsed="false">
      <c r="A163" s="76" t="n">
        <v>37</v>
      </c>
      <c r="B163" s="77" t="s">
        <v>115</v>
      </c>
      <c r="C163" s="76" t="s">
        <v>141</v>
      </c>
      <c r="D163" s="76" t="n">
        <v>1</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Kosong</v>
      </c>
      <c r="F163" s="77" t="str">
        <f aca="false">IF($Q163="","",PROPER(INDEX('Reguler Class Availability'!$B:$B,$Q163)&amp;""))</f>
        <v/>
      </c>
      <c r="G163" s="76" t="n">
        <f aca="false">IF($Q163="","",IFERROR(--(INDEX('Reguler Class Availability'!$F:$F,$Q163)&amp;""),0))</f>
        <v>5</v>
      </c>
      <c r="H163" s="77" t="str">
        <f aca="false">IF($Q163="","",PROPER(INDEX('Reguler Class Availability'!$I:$I,$Q163)&amp;"")&amp;IF(INDEX('Reguler Class Availability'!$J:$J,$Q163)&amp;""="",""," + asst "&amp;PROPER(INDEX('Reguler Class Availability'!$J:$J,$Q163)&amp;"")))</f>
        <v/>
      </c>
      <c r="I163" s="77" t="s">
        <v>208</v>
      </c>
      <c r="J163" s="77" t="s">
        <v>188</v>
      </c>
      <c r="K163" s="78"/>
      <c r="L163" s="78"/>
      <c r="M163" s="78"/>
      <c r="N163" s="79"/>
      <c r="O163" s="78"/>
      <c r="Q163" s="30" t="n">
        <f aca="false">IFERROR(MATCH($B$4&amp;"|- Lane "&amp;D163&amp;" - "&amp;B163&amp;"|"&amp;C163,'Reguler Class Availability'!$L:$L,0),"")</f>
        <v>20</v>
      </c>
      <c r="BD163" s="30" t="s">
        <v>152</v>
      </c>
      <c r="BE163" s="30" t="n">
        <f aca="false">IF(COUNTIFS('Reguler Class Availability'!$L:$L,$B$4&amp;"|- Lane 3 - *|"&amp;BD163)&gt;0,1,0)</f>
        <v>1</v>
      </c>
      <c r="BF163" s="30" t="n">
        <f aca="false">BE163+BF162</f>
        <v>11</v>
      </c>
    </row>
    <row r="164" customFormat="false" ht="27.75" hidden="false" customHeight="true" outlineLevel="0" collapsed="false">
      <c r="A164" s="76" t="n">
        <v>38</v>
      </c>
      <c r="B164" s="77" t="s">
        <v>115</v>
      </c>
      <c r="C164" s="76" t="s">
        <v>141</v>
      </c>
      <c r="D164" s="76" t="n">
        <v>2</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Belum terisi</v>
      </c>
      <c r="F164" s="77" t="str">
        <f aca="false">IF($Q164="","",PROPER(INDEX('Reguler Class Availability'!$B:$B,$Q164)&amp;""))</f>
        <v>Tiny</v>
      </c>
      <c r="G164" s="76" t="n">
        <f aca="false">IF($Q164="","",IFERROR(--(INDEX('Reguler Class Availability'!$F:$F,$Q164)&amp;""),0))</f>
        <v>5</v>
      </c>
      <c r="H164" s="77" t="str">
        <f aca="false">IF($Q164="","",PROPER(INDEX('Reguler Class Availability'!$I:$I,$Q164)&amp;"")&amp;IF(INDEX('Reguler Class Availability'!$J:$J,$Q164)&amp;""="",""," + asst "&amp;PROPER(INDEX('Reguler Class Availability'!$J:$J,$Q164)&amp;"")))</f>
        <v/>
      </c>
      <c r="I164" s="77" t="s">
        <v>208</v>
      </c>
      <c r="J164" s="77" t="s">
        <v>188</v>
      </c>
      <c r="K164" s="78"/>
      <c r="L164" s="78"/>
      <c r="M164" s="78"/>
      <c r="N164" s="79"/>
      <c r="O164" s="78"/>
      <c r="Q164" s="30" t="n">
        <f aca="false">IFERROR(MATCH($B$4&amp;"|- Lane "&amp;D164&amp;" - "&amp;B164&amp;"|"&amp;C164,'Reguler Class Availability'!$L:$L,0),"")</f>
        <v>118</v>
      </c>
      <c r="BD164" s="30" t="s">
        <v>153</v>
      </c>
      <c r="BE164" s="30" t="n">
        <f aca="false">IF(COUNTIFS('Reguler Class Availability'!$L:$L,$B$4&amp;"|- Lane 3 - *|"&amp;BD164)&gt;0,1,0)</f>
        <v>0</v>
      </c>
      <c r="BF164" s="30" t="n">
        <f aca="false">BE164+BF163</f>
        <v>11</v>
      </c>
    </row>
    <row r="165" customFormat="false" ht="15.75" hidden="false" customHeight="true" outlineLevel="0" collapsed="false">
      <c r="A165" s="76" t="n">
        <v>39</v>
      </c>
      <c r="B165" s="77" t="s">
        <v>115</v>
      </c>
      <c r="C165" s="76" t="s">
        <v>144</v>
      </c>
      <c r="D165" s="76" t="n">
        <v>1</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Kosong</v>
      </c>
      <c r="F165" s="77" t="str">
        <f aca="false">IF($Q165="","",PROPER(INDEX('Reguler Class Availability'!$B:$B,$Q165)&amp;""))</f>
        <v/>
      </c>
      <c r="G165" s="76" t="n">
        <f aca="false">IF($Q165="","",IFERROR(--(INDEX('Reguler Class Availability'!$F:$F,$Q165)&amp;""),0))</f>
        <v>5</v>
      </c>
      <c r="H165" s="77" t="str">
        <f aca="false">IF($Q165="","",PROPER(INDEX('Reguler Class Availability'!$I:$I,$Q165)&amp;"")&amp;IF(INDEX('Reguler Class Availability'!$J:$J,$Q165)&amp;""="",""," + asst "&amp;PROPER(INDEX('Reguler Class Availability'!$J:$J,$Q165)&amp;"")))</f>
        <v/>
      </c>
      <c r="I165" s="77" t="s">
        <v>197</v>
      </c>
      <c r="J165" s="77" t="s">
        <v>198</v>
      </c>
      <c r="K165" s="78"/>
      <c r="L165" s="78"/>
      <c r="M165" s="78"/>
      <c r="N165" s="79"/>
      <c r="O165" s="78"/>
      <c r="Q165" s="30" t="n">
        <f aca="false">IFERROR(MATCH($B$4&amp;"|- Lane "&amp;D165&amp;" - "&amp;B165&amp;"|"&amp;C165,'Reguler Class Availability'!$L:$L,0),"")</f>
        <v>21</v>
      </c>
      <c r="BD165" s="30" t="s">
        <v>154</v>
      </c>
      <c r="BE165" s="30" t="n">
        <f aca="false">IF(COUNTIFS('Reguler Class Availability'!$L:$L,$B$4&amp;"|- Lane 3 - *|"&amp;BD165)&gt;0,1,0)</f>
        <v>0</v>
      </c>
      <c r="BF165" s="30" t="n">
        <f aca="false">BE165+BF164</f>
        <v>11</v>
      </c>
    </row>
    <row r="166" customFormat="false" ht="40.5" hidden="false" customHeight="true" outlineLevel="0" collapsed="false">
      <c r="A166" s="76" t="n">
        <v>40</v>
      </c>
      <c r="B166" s="77" t="s">
        <v>115</v>
      </c>
      <c r="C166" s="76" t="s">
        <v>146</v>
      </c>
      <c r="D166" s="76" t="n">
        <v>5</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Kosong</v>
      </c>
      <c r="F166" s="77" t="str">
        <f aca="false">IF($Q166="","",PROPER(INDEX('Reguler Class Availability'!$B:$B,$Q166)&amp;""))</f>
        <v/>
      </c>
      <c r="G166" s="76" t="n">
        <f aca="false">IF($Q166="","",IFERROR(--(INDEX('Reguler Class Availability'!$F:$F,$Q166)&amp;""),0))</f>
        <v>4</v>
      </c>
      <c r="H166" s="77" t="str">
        <f aca="false">IF($Q166="","",PROPER(INDEX('Reguler Class Availability'!$I:$I,$Q166)&amp;"")&amp;IF(INDEX('Reguler Class Availability'!$J:$J,$Q166)&amp;""="",""," + asst "&amp;PROPER(INDEX('Reguler Class Availability'!$J:$J,$Q166)&amp;"")))</f>
        <v/>
      </c>
      <c r="I166" s="77" t="s">
        <v>209</v>
      </c>
      <c r="J166" s="77" t="s">
        <v>188</v>
      </c>
      <c r="K166" s="78"/>
      <c r="L166" s="78"/>
      <c r="M166" s="78"/>
      <c r="N166" s="79"/>
      <c r="O166" s="78"/>
      <c r="Q166" s="30" t="n">
        <f aca="false">IFERROR(MATCH($B$4&amp;"|- Lane "&amp;D166&amp;" - "&amp;B166&amp;"|"&amp;C166,'Reguler Class Availability'!$L:$L,0),"")</f>
        <v>372</v>
      </c>
      <c r="BD166" s="30" t="s">
        <v>155</v>
      </c>
      <c r="BE166" s="30" t="n">
        <f aca="false">IF(COUNTIFS('Reguler Class Availability'!$L:$L,$B$4&amp;"|- Lane 3 - *|"&amp;BD166)&gt;0,1,0)</f>
        <v>1</v>
      </c>
      <c r="BF166" s="30" t="n">
        <f aca="false">BE166+BF165</f>
        <v>12</v>
      </c>
    </row>
    <row r="167" customFormat="false" ht="15.75" hidden="false" customHeight="true" outlineLevel="0" collapsed="false">
      <c r="A167" s="76" t="n">
        <v>41</v>
      </c>
      <c r="B167" s="77" t="s">
        <v>115</v>
      </c>
      <c r="C167" s="76" t="s">
        <v>153</v>
      </c>
      <c r="D167" s="76" t="n">
        <v>1</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Kosong</v>
      </c>
      <c r="F167" s="77" t="str">
        <f aca="false">IF($Q167="","",PROPER(INDEX('Reguler Class Availability'!$B:$B,$Q167)&amp;""))</f>
        <v/>
      </c>
      <c r="G167" s="76" t="n">
        <f aca="false">IF($Q167="","",IFERROR(--(INDEX('Reguler Class Availability'!$F:$F,$Q167)&amp;""),0))</f>
        <v>5</v>
      </c>
      <c r="H167" s="77" t="str">
        <f aca="false">IF($Q167="","",PROPER(INDEX('Reguler Class Availability'!$I:$I,$Q167)&amp;"")&amp;IF(INDEX('Reguler Class Availability'!$J:$J,$Q167)&amp;""="",""," + asst "&amp;PROPER(INDEX('Reguler Class Availability'!$J:$J,$Q167)&amp;"")))</f>
        <v/>
      </c>
      <c r="I167" s="77" t="s">
        <v>197</v>
      </c>
      <c r="J167" s="77" t="s">
        <v>198</v>
      </c>
      <c r="K167" s="78"/>
      <c r="L167" s="78"/>
      <c r="M167" s="78"/>
      <c r="N167" s="79"/>
      <c r="O167" s="78"/>
      <c r="Q167" s="30" t="n">
        <f aca="false">IFERROR(MATCH($B$4&amp;"|- Lane "&amp;D167&amp;" - "&amp;B167&amp;"|"&amp;C167,'Reguler Class Availability'!$L:$L,0),"")</f>
        <v>24</v>
      </c>
      <c r="BD167" s="30" t="s">
        <v>156</v>
      </c>
      <c r="BE167" s="30" t="n">
        <f aca="false">IF(COUNTIFS('Reguler Class Availability'!$L:$L,$B$4&amp;"|- Lane 3 - *|"&amp;BD167)&gt;0,1,0)</f>
        <v>0</v>
      </c>
      <c r="BF167" s="30" t="n">
        <f aca="false">BE167+BF166</f>
        <v>12</v>
      </c>
    </row>
    <row r="168" customFormat="false" ht="27.75" hidden="false" customHeight="true" outlineLevel="0" collapsed="false">
      <c r="A168" s="76" t="n">
        <v>42</v>
      </c>
      <c r="B168" s="77" t="s">
        <v>115</v>
      </c>
      <c r="C168" s="76" t="s">
        <v>156</v>
      </c>
      <c r="D168" s="76" t="n">
        <v>2</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Belum terisi</v>
      </c>
      <c r="F168" s="77" t="str">
        <f aca="false">IF($Q168="","",PROPER(INDEX('Reguler Class Availability'!$B:$B,$Q168)&amp;""))</f>
        <v>Tiny</v>
      </c>
      <c r="G168" s="76" t="n">
        <f aca="false">IF($Q168="","",IFERROR(--(INDEX('Reguler Class Availability'!$F:$F,$Q168)&amp;""),0))</f>
        <v>5</v>
      </c>
      <c r="H168" s="77" t="str">
        <f aca="false">IF($Q168="","",PROPER(INDEX('Reguler Class Availability'!$I:$I,$Q168)&amp;"")&amp;IF(INDEX('Reguler Class Availability'!$J:$J,$Q168)&amp;""="",""," + asst "&amp;PROPER(INDEX('Reguler Class Availability'!$J:$J,$Q168)&amp;"")))</f>
        <v/>
      </c>
      <c r="I168" s="77" t="s">
        <v>210</v>
      </c>
      <c r="J168" s="77" t="s">
        <v>188</v>
      </c>
      <c r="K168" s="78"/>
      <c r="L168" s="78"/>
      <c r="M168" s="78"/>
      <c r="N168" s="79"/>
      <c r="O168" s="78"/>
      <c r="Q168" s="30" t="n">
        <f aca="false">IFERROR(MATCH($B$4&amp;"|- Lane "&amp;D168&amp;" - "&amp;B168&amp;"|"&amp;C168,'Reguler Class Availability'!$L:$L,0),"")</f>
        <v>123</v>
      </c>
      <c r="BD168" s="30" t="s">
        <v>157</v>
      </c>
      <c r="BE168" s="30" t="n">
        <f aca="false">IF(COUNTIFS('Reguler Class Availability'!$L:$L,$B$4&amp;"|- Lane 3 - *|"&amp;BD168)&gt;0,1,0)</f>
        <v>0</v>
      </c>
      <c r="BF168" s="30" t="n">
        <f aca="false">BE168+BF167</f>
        <v>12</v>
      </c>
    </row>
    <row r="169" customFormat="false" ht="65.25" hidden="false" customHeight="true" outlineLevel="0" collapsed="false">
      <c r="A169" s="76" t="n">
        <v>43</v>
      </c>
      <c r="B169" s="77" t="s">
        <v>115</v>
      </c>
      <c r="C169" s="76" t="s">
        <v>160</v>
      </c>
      <c r="D169" s="76" t="n">
        <v>1</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Belum terisi</v>
      </c>
      <c r="F169" s="77" t="str">
        <f aca="false">IF($Q169="","",PROPER(INDEX('Reguler Class Availability'!$B:$B,$Q169)&amp;""))</f>
        <v>Star</v>
      </c>
      <c r="G169" s="76" t="n">
        <f aca="false">IF($Q169="","",IFERROR(--(INDEX('Reguler Class Availability'!$F:$F,$Q169)&amp;""),0))</f>
        <v>8</v>
      </c>
      <c r="H169" s="77" t="str">
        <f aca="false">IF($Q169="","",PROPER(INDEX('Reguler Class Availability'!$I:$I,$Q169)&amp;"")&amp;IF(INDEX('Reguler Class Availability'!$J:$J,$Q169)&amp;""="",""," + asst "&amp;PROPER(INDEX('Reguler Class Availability'!$J:$J,$Q169)&amp;"")))</f>
        <v/>
      </c>
      <c r="I169" s="77" t="s">
        <v>200</v>
      </c>
      <c r="J169" s="77" t="s">
        <v>186</v>
      </c>
      <c r="K169" s="78"/>
      <c r="L169" s="78"/>
      <c r="M169" s="78"/>
      <c r="N169" s="79"/>
      <c r="O169" s="78"/>
      <c r="Q169" s="30" t="n">
        <f aca="false">IFERROR(MATCH($B$4&amp;"|- Lane "&amp;D169&amp;" - "&amp;B169&amp;"|"&amp;C169,'Reguler Class Availability'!$L:$L,0),"")</f>
        <v>94</v>
      </c>
      <c r="BD169" s="30" t="s">
        <v>158</v>
      </c>
      <c r="BE169" s="30" t="n">
        <f aca="false">IF(COUNTIFS('Reguler Class Availability'!$L:$L,$B$4&amp;"|- Lane 3 - *|"&amp;BD169)&gt;0,1,0)</f>
        <v>0</v>
      </c>
      <c r="BF169" s="30" t="n">
        <f aca="false">BE169+BF168</f>
        <v>12</v>
      </c>
    </row>
    <row r="170" customFormat="false" ht="65.25" hidden="false" customHeight="true" outlineLevel="0" collapsed="false">
      <c r="A170" s="76" t="n">
        <v>44</v>
      </c>
      <c r="B170" s="77" t="s">
        <v>116</v>
      </c>
      <c r="C170" s="76" t="s">
        <v>91</v>
      </c>
      <c r="D170" s="76" t="n">
        <v>1</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Belum terisi</v>
      </c>
      <c r="F170" s="77" t="str">
        <f aca="false">IF($Q170="","",PROPER(INDEX('Reguler Class Availability'!$B:$B,$Q170)&amp;""))</f>
        <v>Star</v>
      </c>
      <c r="G170" s="76" t="n">
        <f aca="false">IF($Q170="","",IFERROR(--(INDEX('Reguler Class Availability'!$F:$F,$Q170)&amp;""),0))</f>
        <v>8</v>
      </c>
      <c r="H170" s="77" t="str">
        <f aca="false">IF($Q170="","",PROPER(INDEX('Reguler Class Availability'!$I:$I,$Q170)&amp;"")&amp;IF(INDEX('Reguler Class Availability'!$J:$J,$Q170)&amp;""="",""," + asst "&amp;PROPER(INDEX('Reguler Class Availability'!$J:$J,$Q170)&amp;"")))</f>
        <v/>
      </c>
      <c r="I170" s="77" t="s">
        <v>211</v>
      </c>
      <c r="J170" s="77" t="s">
        <v>186</v>
      </c>
      <c r="K170" s="78"/>
      <c r="L170" s="78"/>
      <c r="M170" s="78"/>
      <c r="N170" s="79"/>
      <c r="O170" s="78"/>
      <c r="Q170" s="30" t="n">
        <f aca="false">IFERROR(MATCH($B$4&amp;"|- Lane "&amp;D170&amp;" - "&amp;B170&amp;"|"&amp;C170,'Reguler Class Availability'!$L:$L,0),"")</f>
        <v>88</v>
      </c>
      <c r="BD170" s="30" t="s">
        <v>160</v>
      </c>
      <c r="BE170" s="30" t="n">
        <f aca="false">IF(COUNTIFS('Reguler Class Availability'!$L:$L,$B$4&amp;"|- Lane 3 - *|"&amp;BD170)&gt;0,1,0)</f>
        <v>0</v>
      </c>
      <c r="BF170" s="30" t="n">
        <f aca="false">BE170+BF169</f>
        <v>12</v>
      </c>
    </row>
    <row r="171" customFormat="false" ht="27.75" hidden="false" customHeight="true" outlineLevel="0" collapsed="false">
      <c r="A171" s="76" t="n">
        <v>45</v>
      </c>
      <c r="B171" s="77" t="s">
        <v>116</v>
      </c>
      <c r="C171" s="76" t="s">
        <v>120</v>
      </c>
      <c r="D171" s="76" t="n">
        <v>5</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Kosong</v>
      </c>
      <c r="F171" s="77" t="str">
        <f aca="false">IF($Q171="","",PROPER(INDEX('Reguler Class Availability'!$B:$B,$Q171)&amp;""))</f>
        <v/>
      </c>
      <c r="G171" s="76" t="n">
        <f aca="false">IF($Q171="","",IFERROR(--(INDEX('Reguler Class Availability'!$F:$F,$Q171)&amp;""),0))</f>
        <v>4</v>
      </c>
      <c r="H171" s="77" t="str">
        <f aca="false">IF($Q171="","",PROPER(INDEX('Reguler Class Availability'!$I:$I,$Q171)&amp;"")&amp;IF(INDEX('Reguler Class Availability'!$J:$J,$Q171)&amp;""="",""," + asst "&amp;PROPER(INDEX('Reguler Class Availability'!$J:$J,$Q171)&amp;"")))</f>
        <v/>
      </c>
      <c r="I171" s="77" t="s">
        <v>212</v>
      </c>
      <c r="J171" s="77" t="s">
        <v>188</v>
      </c>
      <c r="K171" s="78"/>
      <c r="L171" s="78"/>
      <c r="M171" s="78"/>
      <c r="N171" s="79"/>
      <c r="O171" s="78"/>
      <c r="Q171" s="30" t="n">
        <f aca="false">IFERROR(MATCH($B$4&amp;"|- Lane "&amp;D171&amp;" - "&amp;B171&amp;"|"&amp;C171,'Reguler Class Availability'!$L:$L,0),"")</f>
        <v>377</v>
      </c>
      <c r="BD171" s="30" t="s">
        <v>161</v>
      </c>
      <c r="BE171" s="30" t="n">
        <f aca="false">IF(COUNTIFS('Reguler Class Availability'!$L:$L,$B$4&amp;"|- Lane 3 - *|"&amp;BD171)&gt;0,1,0)</f>
        <v>0</v>
      </c>
      <c r="BF171" s="30" t="n">
        <f aca="false">BE171+BF170</f>
        <v>12</v>
      </c>
    </row>
    <row r="172" customFormat="false" ht="40.5" hidden="false" customHeight="true" outlineLevel="0" collapsed="false">
      <c r="A172" s="76" t="n">
        <v>46</v>
      </c>
      <c r="B172" s="77" t="s">
        <v>116</v>
      </c>
      <c r="C172" s="76" t="s">
        <v>123</v>
      </c>
      <c r="D172" s="76" t="n">
        <v>3</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Little</v>
      </c>
      <c r="G172" s="76" t="n">
        <f aca="false">IF($Q172="","",IFERROR(--(INDEX('Reguler Class Availability'!$F:$F,$Q172)&amp;""),0))</f>
        <v>4</v>
      </c>
      <c r="H172" s="77" t="str">
        <f aca="false">IF($Q172="","",PROPER(INDEX('Reguler Class Availability'!$I:$I,$Q172)&amp;"")&amp;IF(INDEX('Reguler Class Availability'!$J:$J,$Q172)&amp;""="",""," + asst "&amp;PROPER(INDEX('Reguler Class Availability'!$J:$J,$Q172)&amp;"")))</f>
        <v/>
      </c>
      <c r="I172" s="77" t="s">
        <v>209</v>
      </c>
      <c r="J172" s="77" t="s">
        <v>188</v>
      </c>
      <c r="K172" s="78"/>
      <c r="L172" s="78"/>
      <c r="M172" s="78"/>
      <c r="N172" s="79"/>
      <c r="O172" s="78"/>
      <c r="Q172" s="30" t="n">
        <f aca="false">IFERROR(MATCH($B$4&amp;"|- Lane "&amp;D172&amp;" - "&amp;B172&amp;"|"&amp;C172,'Reguler Class Availability'!$L:$L,0),"")</f>
        <v>210</v>
      </c>
      <c r="BD172" s="30" t="s">
        <v>162</v>
      </c>
      <c r="BE172" s="30" t="n">
        <f aca="false">IF(COUNTIFS('Reguler Class Availability'!$L:$L,$B$4&amp;"|- Lane 3 - *|"&amp;BD172)&gt;0,1,0)</f>
        <v>0</v>
      </c>
      <c r="BF172" s="30" t="n">
        <f aca="false">BE172+BF171</f>
        <v>12</v>
      </c>
    </row>
    <row r="173" customFormat="false" ht="40.5" hidden="false" customHeight="true" outlineLevel="0" collapsed="false">
      <c r="A173" s="76" t="n">
        <v>47</v>
      </c>
      <c r="B173" s="77" t="s">
        <v>116</v>
      </c>
      <c r="C173" s="76" t="s">
        <v>123</v>
      </c>
      <c r="D173" s="76" t="n">
        <v>4</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Belum terisi</v>
      </c>
      <c r="F173" s="77" t="str">
        <f aca="false">IF($Q173="","",PROPER(INDEX('Reguler Class Availability'!$B:$B,$Q173)&amp;""))</f>
        <v>Kids</v>
      </c>
      <c r="G173" s="76" t="n">
        <f aca="false">IF($Q173="","",IFERROR(--(INDEX('Reguler Class Availability'!$F:$F,$Q173)&amp;""),0))</f>
        <v>4</v>
      </c>
      <c r="H173" s="77" t="str">
        <f aca="false">IF($Q173="","",PROPER(INDEX('Reguler Class Availability'!$I:$I,$Q173)&amp;"")&amp;IF(INDEX('Reguler Class Availability'!$J:$J,$Q173)&amp;""="",""," + asst "&amp;PROPER(INDEX('Reguler Class Availability'!$J:$J,$Q173)&amp;"")))</f>
        <v/>
      </c>
      <c r="I173" s="77" t="s">
        <v>209</v>
      </c>
      <c r="J173" s="77" t="s">
        <v>188</v>
      </c>
      <c r="K173" s="78"/>
      <c r="L173" s="78"/>
      <c r="M173" s="78"/>
      <c r="N173" s="79"/>
      <c r="O173" s="78"/>
      <c r="Q173" s="30" t="n">
        <f aca="false">IFERROR(MATCH($B$4&amp;"|- Lane "&amp;D173&amp;" - "&amp;B173&amp;"|"&amp;C173,'Reguler Class Availability'!$L:$L,0),"")</f>
        <v>294</v>
      </c>
      <c r="BD173" s="30" t="s">
        <v>163</v>
      </c>
      <c r="BE173" s="30" t="n">
        <f aca="false">IF(COUNTIFS('Reguler Class Availability'!$L:$L,$B$4&amp;"|- Lane 3 - *|"&amp;BD173)&gt;0,1,0)</f>
        <v>0</v>
      </c>
      <c r="BF173" s="30" t="n">
        <f aca="false">BE173+BF172</f>
        <v>12</v>
      </c>
    </row>
    <row r="174" customFormat="false" ht="40.5" hidden="false" customHeight="true" outlineLevel="0" collapsed="false">
      <c r="A174" s="76" t="n">
        <v>48</v>
      </c>
      <c r="B174" s="77" t="s">
        <v>116</v>
      </c>
      <c r="C174" s="76" t="s">
        <v>123</v>
      </c>
      <c r="D174" s="76" t="n">
        <v>5</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Kosong</v>
      </c>
      <c r="F174" s="77" t="str">
        <f aca="false">IF($Q174="","",PROPER(INDEX('Reguler Class Availability'!$B:$B,$Q174)&amp;""))</f>
        <v/>
      </c>
      <c r="G174" s="76" t="n">
        <f aca="false">IF($Q174="","",IFERROR(--(INDEX('Reguler Class Availability'!$F:$F,$Q174)&amp;""),0))</f>
        <v>4</v>
      </c>
      <c r="H174" s="77" t="str">
        <f aca="false">IF($Q174="","",PROPER(INDEX('Reguler Class Availability'!$I:$I,$Q174)&amp;"")&amp;IF(INDEX('Reguler Class Availability'!$J:$J,$Q174)&amp;""="",""," + asst "&amp;PROPER(INDEX('Reguler Class Availability'!$J:$J,$Q174)&amp;"")))</f>
        <v/>
      </c>
      <c r="I174" s="77" t="s">
        <v>209</v>
      </c>
      <c r="J174" s="77" t="s">
        <v>188</v>
      </c>
      <c r="K174" s="78"/>
      <c r="L174" s="78"/>
      <c r="M174" s="78"/>
      <c r="N174" s="79"/>
      <c r="O174" s="78"/>
      <c r="Q174" s="30" t="n">
        <f aca="false">IFERROR(MATCH($B$4&amp;"|- Lane "&amp;D174&amp;" - "&amp;B174&amp;"|"&amp;C174,'Reguler Class Availability'!$L:$L,0),"")</f>
        <v>378</v>
      </c>
      <c r="BD174" s="30" t="s">
        <v>164</v>
      </c>
      <c r="BE174" s="30" t="n">
        <f aca="false">IF(COUNTIFS('Reguler Class Availability'!$L:$L,$B$4&amp;"|- Lane 3 - *|"&amp;BD174)&gt;0,1,0)</f>
        <v>0</v>
      </c>
      <c r="BF174" s="30" t="n">
        <f aca="false">BE174+BF173</f>
        <v>12</v>
      </c>
    </row>
    <row r="175" customFormat="false" ht="40.5" hidden="false" customHeight="true" outlineLevel="0" collapsed="false">
      <c r="A175" s="76" t="n">
        <v>49</v>
      </c>
      <c r="B175" s="77" t="s">
        <v>116</v>
      </c>
      <c r="C175" s="76" t="s">
        <v>124</v>
      </c>
      <c r="D175" s="76" t="n">
        <v>1</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Kosong</v>
      </c>
      <c r="F175" s="77" t="str">
        <f aca="false">IF($Q175="","",PROPER(INDEX('Reguler Class Availability'!$B:$B,$Q175)&amp;""))</f>
        <v/>
      </c>
      <c r="G175" s="76" t="n">
        <f aca="false">IF($Q175="","",IFERROR(--(INDEX('Reguler Class Availability'!$F:$F,$Q175)&amp;""),0))</f>
        <v>5</v>
      </c>
      <c r="H175" s="77" t="str">
        <f aca="false">IF($Q175="","",PROPER(INDEX('Reguler Class Availability'!$I:$I,$Q175)&amp;"")&amp;IF(INDEX('Reguler Class Availability'!$J:$J,$Q175)&amp;""="",""," + asst "&amp;PROPER(INDEX('Reguler Class Availability'!$J:$J,$Q175)&amp;"")))</f>
        <v/>
      </c>
      <c r="I175" s="77" t="s">
        <v>213</v>
      </c>
      <c r="J175" s="77" t="s">
        <v>188</v>
      </c>
      <c r="K175" s="78"/>
      <c r="L175" s="78"/>
      <c r="M175" s="78"/>
      <c r="N175" s="79"/>
      <c r="O175" s="78"/>
      <c r="Q175" s="30" t="n">
        <f aca="false">IFERROR(MATCH($B$4&amp;"|- Lane "&amp;D175&amp;" - "&amp;B175&amp;"|"&amp;C175,'Reguler Class Availability'!$L:$L,0),"")</f>
        <v>28</v>
      </c>
      <c r="BD175" s="30" t="s">
        <v>165</v>
      </c>
      <c r="BE175" s="30" t="n">
        <f aca="false">IF(COUNTIFS('Reguler Class Availability'!$L:$L,$B$4&amp;"|- Lane 3 - *|"&amp;BD175)&gt;0,1,0)</f>
        <v>0</v>
      </c>
      <c r="BF175" s="30" t="n">
        <f aca="false">BE175+BF174</f>
        <v>12</v>
      </c>
    </row>
    <row r="176" customFormat="false" ht="40.5" hidden="false" customHeight="true" outlineLevel="0" collapsed="false">
      <c r="A176" s="76" t="n">
        <v>50</v>
      </c>
      <c r="B176" s="77" t="s">
        <v>116</v>
      </c>
      <c r="C176" s="76" t="s">
        <v>126</v>
      </c>
      <c r="D176" s="76" t="n">
        <v>4</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Belum terisi</v>
      </c>
      <c r="F176" s="77" t="str">
        <f aca="false">IF($Q176="","",PROPER(INDEX('Reguler Class Availability'!$B:$B,$Q176)&amp;""))</f>
        <v>Kids</v>
      </c>
      <c r="G176" s="76" t="n">
        <f aca="false">IF($Q176="","",IFERROR(--(INDEX('Reguler Class Availability'!$F:$F,$Q176)&amp;""),0))</f>
        <v>4</v>
      </c>
      <c r="H176" s="77" t="str">
        <f aca="false">IF($Q176="","",PROPER(INDEX('Reguler Class Availability'!$I:$I,$Q176)&amp;"")&amp;IF(INDEX('Reguler Class Availability'!$J:$J,$Q176)&amp;""="",""," + asst "&amp;PROPER(INDEX('Reguler Class Availability'!$J:$J,$Q176)&amp;"")))</f>
        <v/>
      </c>
      <c r="I176" s="77" t="s">
        <v>213</v>
      </c>
      <c r="J176" s="77" t="s">
        <v>188</v>
      </c>
      <c r="K176" s="78"/>
      <c r="L176" s="78"/>
      <c r="M176" s="78"/>
      <c r="N176" s="79"/>
      <c r="O176" s="78"/>
      <c r="Q176" s="30" t="n">
        <f aca="false">IFERROR(MATCH($B$4&amp;"|- Lane "&amp;D176&amp;" - "&amp;B176&amp;"|"&amp;C176,'Reguler Class Availability'!$L:$L,0),"")</f>
        <v>295</v>
      </c>
      <c r="BD176" s="30" t="s">
        <v>166</v>
      </c>
      <c r="BE176" s="30" t="n">
        <f aca="false">IF(COUNTIFS('Reguler Class Availability'!$L:$L,$B$4&amp;"|- Lane 3 - *|"&amp;BD176)&gt;0,1,0)</f>
        <v>0</v>
      </c>
      <c r="BF176" s="30" t="n">
        <f aca="false">BE176+BF175</f>
        <v>12</v>
      </c>
    </row>
    <row r="177" customFormat="false" ht="40.5" hidden="false" customHeight="true" outlineLevel="0" collapsed="false">
      <c r="A177" s="76" t="n">
        <v>51</v>
      </c>
      <c r="B177" s="77" t="s">
        <v>116</v>
      </c>
      <c r="C177" s="76" t="s">
        <v>126</v>
      </c>
      <c r="D177" s="76" t="n">
        <v>5</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Kosong</v>
      </c>
      <c r="F177" s="77" t="str">
        <f aca="false">IF($Q177="","",PROPER(INDEX('Reguler Class Availability'!$B:$B,$Q177)&amp;""))</f>
        <v/>
      </c>
      <c r="G177" s="76" t="n">
        <f aca="false">IF($Q177="","",IFERROR(--(INDEX('Reguler Class Availability'!$F:$F,$Q177)&amp;""),0))</f>
        <v>4</v>
      </c>
      <c r="H177" s="77" t="str">
        <f aca="false">IF($Q177="","",PROPER(INDEX('Reguler Class Availability'!$I:$I,$Q177)&amp;"")&amp;IF(INDEX('Reguler Class Availability'!$J:$J,$Q177)&amp;""="",""," + asst "&amp;PROPER(INDEX('Reguler Class Availability'!$J:$J,$Q177)&amp;"")))</f>
        <v/>
      </c>
      <c r="I177" s="77" t="s">
        <v>213</v>
      </c>
      <c r="J177" s="77" t="s">
        <v>188</v>
      </c>
      <c r="K177" s="78"/>
      <c r="L177" s="78"/>
      <c r="M177" s="78"/>
      <c r="N177" s="79"/>
      <c r="O177" s="78"/>
      <c r="Q177" s="30" t="n">
        <f aca="false">IFERROR(MATCH($B$4&amp;"|- Lane "&amp;D177&amp;" - "&amp;B177&amp;"|"&amp;C177,'Reguler Class Availability'!$L:$L,0),"")</f>
        <v>379</v>
      </c>
      <c r="BD177" s="30" t="s">
        <v>167</v>
      </c>
      <c r="BE177" s="30" t="n">
        <f aca="false">IF(COUNTIFS('Reguler Class Availability'!$L:$L,$B$4&amp;"|- Lane 3 - *|"&amp;BD177)&gt;0,1,0)</f>
        <v>0</v>
      </c>
      <c r="BF177" s="30" t="n">
        <f aca="false">BE177+BF176</f>
        <v>12</v>
      </c>
    </row>
    <row r="178" customFormat="false" ht="40.5" hidden="false" customHeight="true" outlineLevel="0" collapsed="false">
      <c r="A178" s="76" t="n">
        <v>52</v>
      </c>
      <c r="B178" s="77" t="s">
        <v>116</v>
      </c>
      <c r="C178" s="76" t="s">
        <v>127</v>
      </c>
      <c r="D178" s="76" t="n">
        <v>1</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Kosong</v>
      </c>
      <c r="F178" s="77" t="str">
        <f aca="false">IF($Q178="","",PROPER(INDEX('Reguler Class Availability'!$B:$B,$Q178)&amp;""))</f>
        <v/>
      </c>
      <c r="G178" s="76" t="n">
        <f aca="false">IF($Q178="","",IFERROR(--(INDEX('Reguler Class Availability'!$F:$F,$Q178)&amp;""),0))</f>
        <v>5</v>
      </c>
      <c r="H178" s="77" t="str">
        <f aca="false">IF($Q178="","",PROPER(INDEX('Reguler Class Availability'!$I:$I,$Q178)&amp;"")&amp;IF(INDEX('Reguler Class Availability'!$J:$J,$Q178)&amp;""="",""," + asst "&amp;PROPER(INDEX('Reguler Class Availability'!$J:$J,$Q178)&amp;"")))</f>
        <v/>
      </c>
      <c r="I178" s="77" t="s">
        <v>214</v>
      </c>
      <c r="J178" s="77" t="s">
        <v>188</v>
      </c>
      <c r="K178" s="78"/>
      <c r="L178" s="78"/>
      <c r="M178" s="78"/>
      <c r="N178" s="79"/>
      <c r="O178" s="78"/>
      <c r="Q178" s="30" t="n">
        <f aca="false">IFERROR(MATCH($B$4&amp;"|- Lane "&amp;D178&amp;" - "&amp;B178&amp;"|"&amp;C178,'Reguler Class Availability'!$L:$L,0),"")</f>
        <v>29</v>
      </c>
      <c r="BD178" s="30" t="s">
        <v>168</v>
      </c>
      <c r="BE178" s="30" t="n">
        <f aca="false">IF(COUNTIFS('Reguler Class Availability'!$L:$L,$B$4&amp;"|- Lane 3 - *|"&amp;BD178)&gt;0,1,0)</f>
        <v>0</v>
      </c>
      <c r="BF178" s="30" t="n">
        <f aca="false">BE178+BF177</f>
        <v>12</v>
      </c>
    </row>
    <row r="179" customFormat="false" ht="40.5" hidden="false" customHeight="true" outlineLevel="0" collapsed="false">
      <c r="A179" s="76" t="n">
        <v>53</v>
      </c>
      <c r="B179" s="77" t="s">
        <v>116</v>
      </c>
      <c r="C179" s="76" t="s">
        <v>129</v>
      </c>
      <c r="D179" s="76" t="n">
        <v>4</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Kids</v>
      </c>
      <c r="G179" s="76" t="n">
        <f aca="false">IF($Q179="","",IFERROR(--(INDEX('Reguler Class Availability'!$F:$F,$Q179)&amp;""),0))</f>
        <v>4</v>
      </c>
      <c r="H179" s="77" t="str">
        <f aca="false">IF($Q179="","",PROPER(INDEX('Reguler Class Availability'!$I:$I,$Q179)&amp;"")&amp;IF(INDEX('Reguler Class Availability'!$J:$J,$Q179)&amp;""="",""," + asst "&amp;PROPER(INDEX('Reguler Class Availability'!$J:$J,$Q179)&amp;"")))</f>
        <v/>
      </c>
      <c r="I179" s="77" t="s">
        <v>215</v>
      </c>
      <c r="J179" s="77" t="s">
        <v>188</v>
      </c>
      <c r="K179" s="78"/>
      <c r="L179" s="78"/>
      <c r="M179" s="78"/>
      <c r="N179" s="79"/>
      <c r="O179" s="78"/>
      <c r="Q179" s="30" t="n">
        <f aca="false">IFERROR(MATCH($B$4&amp;"|- Lane "&amp;D179&amp;" - "&amp;B179&amp;"|"&amp;C179,'Reguler Class Availability'!$L:$L,0),"")</f>
        <v>296</v>
      </c>
      <c r="BD179" s="30" t="s">
        <v>169</v>
      </c>
      <c r="BE179" s="30" t="n">
        <f aca="false">IF(COUNTIFS('Reguler Class Availability'!$L:$L,$B$4&amp;"|- Lane 3 - *|"&amp;BD179)&gt;0,1,0)</f>
        <v>0</v>
      </c>
      <c r="BF179" s="30" t="n">
        <f aca="false">BE179+BF178</f>
        <v>12</v>
      </c>
    </row>
    <row r="180" customFormat="false" ht="40.5" hidden="false" customHeight="true" outlineLevel="0" collapsed="false">
      <c r="A180" s="76" t="n">
        <v>54</v>
      </c>
      <c r="B180" s="77" t="s">
        <v>116</v>
      </c>
      <c r="C180" s="76" t="s">
        <v>129</v>
      </c>
      <c r="D180" s="76" t="n">
        <v>5</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Kosong</v>
      </c>
      <c r="F180" s="77" t="str">
        <f aca="false">IF($Q180="","",PROPER(INDEX('Reguler Class Availability'!$B:$B,$Q180)&amp;""))</f>
        <v/>
      </c>
      <c r="G180" s="76" t="n">
        <f aca="false">IF($Q180="","",IFERROR(--(INDEX('Reguler Class Availability'!$F:$F,$Q180)&amp;""),0))</f>
        <v>4</v>
      </c>
      <c r="H180" s="77" t="str">
        <f aca="false">IF($Q180="","",PROPER(INDEX('Reguler Class Availability'!$I:$I,$Q180)&amp;"")&amp;IF(INDEX('Reguler Class Availability'!$J:$J,$Q180)&amp;""="",""," + asst "&amp;PROPER(INDEX('Reguler Class Availability'!$J:$J,$Q180)&amp;"")))</f>
        <v/>
      </c>
      <c r="I180" s="77" t="s">
        <v>215</v>
      </c>
      <c r="J180" s="77" t="s">
        <v>188</v>
      </c>
      <c r="K180" s="78"/>
      <c r="L180" s="78"/>
      <c r="M180" s="78"/>
      <c r="N180" s="79"/>
      <c r="O180" s="78"/>
      <c r="Q180" s="30" t="n">
        <f aca="false">IFERROR(MATCH($B$4&amp;"|- Lane "&amp;D180&amp;" - "&amp;B180&amp;"|"&amp;C180,'Reguler Class Availability'!$L:$L,0),"")</f>
        <v>380</v>
      </c>
      <c r="BD180" s="30" t="s">
        <v>170</v>
      </c>
      <c r="BE180" s="30" t="n">
        <f aca="false">IF(COUNTIFS('Reguler Class Availability'!$L:$L,$B$4&amp;"|- Lane 3 - *|"&amp;BD180)&gt;0,1,0)</f>
        <v>0</v>
      </c>
      <c r="BF180" s="30" t="n">
        <f aca="false">BE180+BF179</f>
        <v>12</v>
      </c>
    </row>
    <row r="181" customFormat="false" ht="40.5" hidden="false" customHeight="true" outlineLevel="0" collapsed="false">
      <c r="A181" s="76" t="n">
        <v>55</v>
      </c>
      <c r="B181" s="77" t="s">
        <v>116</v>
      </c>
      <c r="C181" s="76" t="s">
        <v>130</v>
      </c>
      <c r="D181" s="76" t="n">
        <v>2</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Tiny</v>
      </c>
      <c r="G181" s="76" t="n">
        <f aca="false">IF($Q181="","",IFERROR(--(INDEX('Reguler Class Availability'!$F:$F,$Q181)&amp;""),0))</f>
        <v>5</v>
      </c>
      <c r="H181" s="77" t="str">
        <f aca="false">IF($Q181="","",PROPER(INDEX('Reguler Class Availability'!$I:$I,$Q181)&amp;"")&amp;IF(INDEX('Reguler Class Availability'!$J:$J,$Q181)&amp;""="",""," + asst "&amp;PROPER(INDEX('Reguler Class Availability'!$J:$J,$Q181)&amp;"")))</f>
        <v/>
      </c>
      <c r="I181" s="77" t="s">
        <v>216</v>
      </c>
      <c r="J181" s="77" t="s">
        <v>188</v>
      </c>
      <c r="K181" s="78"/>
      <c r="L181" s="78"/>
      <c r="M181" s="78"/>
      <c r="N181" s="79"/>
      <c r="O181" s="78"/>
      <c r="Q181" s="30" t="n">
        <f aca="false">IFERROR(MATCH($B$4&amp;"|- Lane "&amp;D181&amp;" - "&amp;B181&amp;"|"&amp;C181,'Reguler Class Availability'!$L:$L,0),"")</f>
        <v>128</v>
      </c>
      <c r="BD181" s="30" t="s">
        <v>171</v>
      </c>
      <c r="BE181" s="30" t="n">
        <f aca="false">IF(COUNTIFS('Reguler Class Availability'!$L:$L,$B$4&amp;"|- Lane 3 - *|"&amp;BD181)&gt;0,1,0)</f>
        <v>0</v>
      </c>
      <c r="BF181" s="30" t="n">
        <f aca="false">BE181+BF180</f>
        <v>12</v>
      </c>
    </row>
    <row r="182" customFormat="false" ht="52.5" hidden="false" customHeight="true" outlineLevel="0" collapsed="false">
      <c r="A182" s="76" t="n">
        <v>56</v>
      </c>
      <c r="B182" s="77" t="s">
        <v>116</v>
      </c>
      <c r="C182" s="76" t="s">
        <v>132</v>
      </c>
      <c r="D182" s="76" t="n">
        <v>5</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Kosong</v>
      </c>
      <c r="F182" s="77" t="str">
        <f aca="false">IF($Q182="","",PROPER(INDEX('Reguler Class Availability'!$B:$B,$Q182)&amp;""))</f>
        <v/>
      </c>
      <c r="G182" s="76" t="n">
        <f aca="false">IF($Q182="","",IFERROR(--(INDEX('Reguler Class Availability'!$F:$F,$Q182)&amp;""),0))</f>
        <v>4</v>
      </c>
      <c r="H182" s="77" t="str">
        <f aca="false">IF($Q182="","",PROPER(INDEX('Reguler Class Availability'!$I:$I,$Q182)&amp;"")&amp;IF(INDEX('Reguler Class Availability'!$J:$J,$Q182)&amp;""="",""," + asst "&amp;PROPER(INDEX('Reguler Class Availability'!$J:$J,$Q182)&amp;"")))</f>
        <v/>
      </c>
      <c r="I182" s="77" t="s">
        <v>217</v>
      </c>
      <c r="J182" s="77" t="s">
        <v>188</v>
      </c>
      <c r="K182" s="78"/>
      <c r="L182" s="78"/>
      <c r="M182" s="78"/>
      <c r="N182" s="79"/>
      <c r="O182" s="78"/>
      <c r="Q182" s="30" t="n">
        <f aca="false">IFERROR(MATCH($B$4&amp;"|- Lane "&amp;D182&amp;" - "&amp;B182&amp;"|"&amp;C182,'Reguler Class Availability'!$L:$L,0),"")</f>
        <v>381</v>
      </c>
      <c r="BD182" s="30" t="s">
        <v>78</v>
      </c>
      <c r="BE182" s="30" t="n">
        <f aca="false">IF(COUNTIFS('Reguler Class Availability'!$L:$L,$B$4&amp;"|- Lane 4 - *|"&amp;BD182)&gt;0,1,0)</f>
        <v>0</v>
      </c>
      <c r="BF182" s="30" t="n">
        <f aca="false">BE182</f>
        <v>0</v>
      </c>
    </row>
    <row r="183" customFormat="false" ht="27.75" hidden="false" customHeight="true" outlineLevel="0" collapsed="false">
      <c r="A183" s="76" t="n">
        <v>57</v>
      </c>
      <c r="B183" s="77" t="s">
        <v>116</v>
      </c>
      <c r="C183" s="76" t="s">
        <v>141</v>
      </c>
      <c r="D183" s="76" t="n">
        <v>1</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Baby</v>
      </c>
      <c r="G183" s="76" t="n">
        <f aca="false">IF($Q183="","",IFERROR(--(INDEX('Reguler Class Availability'!$F:$F,$Q183)&amp;""),0))</f>
        <v>5</v>
      </c>
      <c r="H183" s="77" t="str">
        <f aca="false">IF($Q183="","",PROPER(INDEX('Reguler Class Availability'!$I:$I,$Q183)&amp;"")&amp;IF(INDEX('Reguler Class Availability'!$J:$J,$Q183)&amp;""="",""," + asst "&amp;PROPER(INDEX('Reguler Class Availability'!$J:$J,$Q183)&amp;"")))</f>
        <v/>
      </c>
      <c r="I183" s="77" t="s">
        <v>218</v>
      </c>
      <c r="J183" s="77" t="s">
        <v>188</v>
      </c>
      <c r="K183" s="78"/>
      <c r="L183" s="78"/>
      <c r="M183" s="78"/>
      <c r="N183" s="79"/>
      <c r="O183" s="78"/>
      <c r="Q183" s="30" t="n">
        <f aca="false">IFERROR(MATCH($B$4&amp;"|- Lane "&amp;D183&amp;" - "&amp;B183&amp;"|"&amp;C183,'Reguler Class Availability'!$L:$L,0),"")</f>
        <v>32</v>
      </c>
      <c r="BD183" s="30" t="s">
        <v>79</v>
      </c>
      <c r="BE183" s="30" t="n">
        <f aca="false">IF(COUNTIFS('Reguler Class Availability'!$L:$L,$B$4&amp;"|- Lane 4 - *|"&amp;BD183)&gt;0,1,0)</f>
        <v>0</v>
      </c>
      <c r="BF183" s="30" t="n">
        <f aca="false">BE183+BF182</f>
        <v>0</v>
      </c>
    </row>
    <row r="184" customFormat="false" ht="27.75" hidden="false" customHeight="true" outlineLevel="0" collapsed="false">
      <c r="A184" s="76" t="n">
        <v>58</v>
      </c>
      <c r="B184" s="77" t="s">
        <v>116</v>
      </c>
      <c r="C184" s="76" t="s">
        <v>141</v>
      </c>
      <c r="D184" s="76" t="n">
        <v>2</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Belum terisi</v>
      </c>
      <c r="F184" s="77" t="str">
        <f aca="false">IF($Q184="","",PROPER(INDEX('Reguler Class Availability'!$B:$B,$Q184)&amp;""))</f>
        <v>Tiny</v>
      </c>
      <c r="G184" s="76" t="n">
        <f aca="false">IF($Q184="","",IFERROR(--(INDEX('Reguler Class Availability'!$F:$F,$Q184)&amp;""),0))</f>
        <v>5</v>
      </c>
      <c r="H184" s="77" t="str">
        <f aca="false">IF($Q184="","",PROPER(INDEX('Reguler Class Availability'!$I:$I,$Q184)&amp;"")&amp;IF(INDEX('Reguler Class Availability'!$J:$J,$Q184)&amp;""="",""," + asst "&amp;PROPER(INDEX('Reguler Class Availability'!$J:$J,$Q184)&amp;"")))</f>
        <v/>
      </c>
      <c r="I184" s="77" t="s">
        <v>218</v>
      </c>
      <c r="J184" s="77" t="s">
        <v>188</v>
      </c>
      <c r="K184" s="78"/>
      <c r="L184" s="78"/>
      <c r="M184" s="78"/>
      <c r="N184" s="79"/>
      <c r="O184" s="78"/>
      <c r="Q184" s="30" t="n">
        <f aca="false">IFERROR(MATCH($B$4&amp;"|- Lane "&amp;D184&amp;" - "&amp;B184&amp;"|"&amp;C184,'Reguler Class Availability'!$L:$L,0),"")</f>
        <v>130</v>
      </c>
      <c r="BD184" s="30" t="s">
        <v>84</v>
      </c>
      <c r="BE184" s="30" t="n">
        <f aca="false">IF(COUNTIFS('Reguler Class Availability'!$L:$L,$B$4&amp;"|- Lane 4 - *|"&amp;BD184)&gt;0,1,0)</f>
        <v>0</v>
      </c>
      <c r="BF184" s="30" t="n">
        <f aca="false">BE184+BF183</f>
        <v>0</v>
      </c>
    </row>
    <row r="185" customFormat="false" ht="40.5" hidden="false" customHeight="true" outlineLevel="0" collapsed="false">
      <c r="A185" s="76" t="n">
        <v>59</v>
      </c>
      <c r="B185" s="77" t="s">
        <v>116</v>
      </c>
      <c r="C185" s="76" t="s">
        <v>143</v>
      </c>
      <c r="D185" s="76" t="n">
        <v>5</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Kosong</v>
      </c>
      <c r="F185" s="77" t="str">
        <f aca="false">IF($Q185="","",PROPER(INDEX('Reguler Class Availability'!$B:$B,$Q185)&amp;""))</f>
        <v/>
      </c>
      <c r="G185" s="76" t="n">
        <f aca="false">IF($Q185="","",IFERROR(--(INDEX('Reguler Class Availability'!$F:$F,$Q185)&amp;""),0))</f>
        <v>4</v>
      </c>
      <c r="H185" s="77" t="str">
        <f aca="false">IF($Q185="","",PROPER(INDEX('Reguler Class Availability'!$I:$I,$Q185)&amp;"")&amp;IF(INDEX('Reguler Class Availability'!$J:$J,$Q185)&amp;""="",""," + asst "&amp;PROPER(INDEX('Reguler Class Availability'!$J:$J,$Q185)&amp;"")))</f>
        <v/>
      </c>
      <c r="I185" s="77" t="s">
        <v>219</v>
      </c>
      <c r="J185" s="77" t="s">
        <v>188</v>
      </c>
      <c r="K185" s="78"/>
      <c r="L185" s="78"/>
      <c r="M185" s="78"/>
      <c r="N185" s="79"/>
      <c r="O185" s="78"/>
      <c r="Q185" s="30" t="n">
        <f aca="false">IFERROR(MATCH($B$4&amp;"|- Lane "&amp;D185&amp;" - "&amp;B185&amp;"|"&amp;C185,'Reguler Class Availability'!$L:$L,0),"")</f>
        <v>383</v>
      </c>
      <c r="BD185" s="30" t="s">
        <v>85</v>
      </c>
      <c r="BE185" s="30" t="n">
        <f aca="false">IF(COUNTIFS('Reguler Class Availability'!$L:$L,$B$4&amp;"|- Lane 4 - *|"&amp;BD185)&gt;0,1,0)</f>
        <v>0</v>
      </c>
      <c r="BF185" s="30" t="n">
        <f aca="false">BE185+BF184</f>
        <v>0</v>
      </c>
    </row>
    <row r="186" customFormat="false" ht="40.5" hidden="false" customHeight="true" outlineLevel="0" collapsed="false">
      <c r="A186" s="76" t="n">
        <v>60</v>
      </c>
      <c r="B186" s="77" t="s">
        <v>116</v>
      </c>
      <c r="C186" s="76" t="s">
        <v>144</v>
      </c>
      <c r="D186" s="76" t="n">
        <v>1</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Kosong</v>
      </c>
      <c r="F186" s="77" t="str">
        <f aca="false">IF($Q186="","",PROPER(INDEX('Reguler Class Availability'!$B:$B,$Q186)&amp;""))</f>
        <v/>
      </c>
      <c r="G186" s="76" t="n">
        <f aca="false">IF($Q186="","",IFERROR(--(INDEX('Reguler Class Availability'!$F:$F,$Q186)&amp;""),0))</f>
        <v>5</v>
      </c>
      <c r="H186" s="77" t="str">
        <f aca="false">IF($Q186="","",PROPER(INDEX('Reguler Class Availability'!$I:$I,$Q186)&amp;"")&amp;IF(INDEX('Reguler Class Availability'!$J:$J,$Q186)&amp;""="",""," + asst "&amp;PROPER(INDEX('Reguler Class Availability'!$J:$J,$Q186)&amp;"")))</f>
        <v/>
      </c>
      <c r="I186" s="77" t="s">
        <v>220</v>
      </c>
      <c r="J186" s="77" t="s">
        <v>188</v>
      </c>
      <c r="K186" s="78"/>
      <c r="L186" s="78"/>
      <c r="M186" s="78"/>
      <c r="N186" s="79"/>
      <c r="O186" s="78"/>
      <c r="Q186" s="30" t="n">
        <f aca="false">IFERROR(MATCH($B$4&amp;"|- Lane "&amp;D186&amp;" - "&amp;B186&amp;"|"&amp;C186,'Reguler Class Availability'!$L:$L,0),"")</f>
        <v>33</v>
      </c>
      <c r="BD186" s="30" t="s">
        <v>89</v>
      </c>
      <c r="BE186" s="30" t="n">
        <f aca="false">IF(COUNTIFS('Reguler Class Availability'!$L:$L,$B$4&amp;"|- Lane 4 - *|"&amp;BD186)&gt;0,1,0)</f>
        <v>0</v>
      </c>
      <c r="BF186" s="30" t="n">
        <f aca="false">BE186+BF185</f>
        <v>0</v>
      </c>
    </row>
    <row r="187" customFormat="false" ht="40.5" hidden="false" customHeight="true" outlineLevel="0" collapsed="false">
      <c r="A187" s="76" t="n">
        <v>61</v>
      </c>
      <c r="B187" s="77" t="s">
        <v>116</v>
      </c>
      <c r="C187" s="76" t="s">
        <v>144</v>
      </c>
      <c r="D187" s="76" t="n">
        <v>2</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Belum terisi</v>
      </c>
      <c r="F187" s="77" t="str">
        <f aca="false">IF($Q187="","",PROPER(INDEX('Reguler Class Availability'!$B:$B,$Q187)&amp;""))</f>
        <v>Tiny</v>
      </c>
      <c r="G187" s="76" t="n">
        <f aca="false">IF($Q187="","",IFERROR(--(INDEX('Reguler Class Availability'!$F:$F,$Q187)&amp;""),0))</f>
        <v>5</v>
      </c>
      <c r="H187" s="77" t="str">
        <f aca="false">IF($Q187="","",PROPER(INDEX('Reguler Class Availability'!$I:$I,$Q187)&amp;"")&amp;IF(INDEX('Reguler Class Availability'!$J:$J,$Q187)&amp;""="",""," + asst "&amp;PROPER(INDEX('Reguler Class Availability'!$J:$J,$Q187)&amp;"")))</f>
        <v/>
      </c>
      <c r="I187" s="77" t="s">
        <v>220</v>
      </c>
      <c r="J187" s="77" t="s">
        <v>188</v>
      </c>
      <c r="K187" s="78"/>
      <c r="L187" s="78"/>
      <c r="M187" s="78"/>
      <c r="N187" s="79"/>
      <c r="O187" s="78"/>
      <c r="Q187" s="30" t="n">
        <f aca="false">IFERROR(MATCH($B$4&amp;"|- Lane "&amp;D187&amp;" - "&amp;B187&amp;"|"&amp;C187,'Reguler Class Availability'!$L:$L,0),"")</f>
        <v>131</v>
      </c>
      <c r="BD187" s="30" t="s">
        <v>90</v>
      </c>
      <c r="BE187" s="30" t="n">
        <f aca="false">IF(COUNTIFS('Reguler Class Availability'!$L:$L,$B$4&amp;"|- Lane 4 - *|"&amp;BD187)&gt;0,1,0)</f>
        <v>0</v>
      </c>
      <c r="BF187" s="30" t="n">
        <f aca="false">BE187+BF186</f>
        <v>0</v>
      </c>
    </row>
    <row r="188" customFormat="false" ht="40.5" hidden="false" customHeight="true" outlineLevel="0" collapsed="false">
      <c r="A188" s="76" t="n">
        <v>62</v>
      </c>
      <c r="B188" s="77" t="s">
        <v>116</v>
      </c>
      <c r="C188" s="76" t="s">
        <v>146</v>
      </c>
      <c r="D188" s="76" t="n">
        <v>5</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Kosong</v>
      </c>
      <c r="F188" s="77" t="str">
        <f aca="false">IF($Q188="","",PROPER(INDEX('Reguler Class Availability'!$B:$B,$Q188)&amp;""))</f>
        <v/>
      </c>
      <c r="G188" s="76" t="n">
        <f aca="false">IF($Q188="","",IFERROR(--(INDEX('Reguler Class Availability'!$F:$F,$Q188)&amp;""),0))</f>
        <v>4</v>
      </c>
      <c r="H188" s="77" t="str">
        <f aca="false">IF($Q188="","",PROPER(INDEX('Reguler Class Availability'!$I:$I,$Q188)&amp;"")&amp;IF(INDEX('Reguler Class Availability'!$J:$J,$Q188)&amp;""="",""," + asst "&amp;PROPER(INDEX('Reguler Class Availability'!$J:$J,$Q188)&amp;"")))</f>
        <v/>
      </c>
      <c r="I188" s="77" t="s">
        <v>214</v>
      </c>
      <c r="J188" s="77" t="s">
        <v>188</v>
      </c>
      <c r="K188" s="78"/>
      <c r="L188" s="78"/>
      <c r="M188" s="78"/>
      <c r="N188" s="79"/>
      <c r="O188" s="78"/>
      <c r="Q188" s="30" t="n">
        <f aca="false">IFERROR(MATCH($B$4&amp;"|- Lane "&amp;D188&amp;" - "&amp;B188&amp;"|"&amp;C188,'Reguler Class Availability'!$L:$L,0),"")</f>
        <v>384</v>
      </c>
      <c r="BD188" s="30" t="s">
        <v>91</v>
      </c>
      <c r="BE188" s="30" t="n">
        <f aca="false">IF(COUNTIFS('Reguler Class Availability'!$L:$L,$B$4&amp;"|- Lane 4 - *|"&amp;BD188)&gt;0,1,0)</f>
        <v>0</v>
      </c>
      <c r="BF188" s="30" t="n">
        <f aca="false">BE188+BF187</f>
        <v>0</v>
      </c>
    </row>
    <row r="189" customFormat="false" ht="15.75" hidden="false" customHeight="true" outlineLevel="0" collapsed="false">
      <c r="A189" s="76" t="n">
        <v>63</v>
      </c>
      <c r="B189" s="77" t="s">
        <v>116</v>
      </c>
      <c r="C189" s="76" t="s">
        <v>150</v>
      </c>
      <c r="D189" s="76" t="n">
        <v>2</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Belum terisi</v>
      </c>
      <c r="F189" s="77" t="str">
        <f aca="false">IF($Q189="","",PROPER(INDEX('Reguler Class Availability'!$B:$B,$Q189)&amp;""))</f>
        <v>Tiny</v>
      </c>
      <c r="G189" s="76" t="n">
        <f aca="false">IF($Q189="","",IFERROR(--(INDEX('Reguler Class Availability'!$F:$F,$Q189)&amp;""),0))</f>
        <v>5</v>
      </c>
      <c r="H189" s="77" t="str">
        <f aca="false">IF($Q189="","",PROPER(INDEX('Reguler Class Availability'!$I:$I,$Q189)&amp;"")&amp;IF(INDEX('Reguler Class Availability'!$J:$J,$Q189)&amp;""="",""," + asst "&amp;PROPER(INDEX('Reguler Class Availability'!$J:$J,$Q189)&amp;"")))</f>
        <v/>
      </c>
      <c r="I189" s="80" t="s">
        <v>199</v>
      </c>
      <c r="J189" s="77" t="s">
        <v>42</v>
      </c>
      <c r="K189" s="78"/>
      <c r="L189" s="78"/>
      <c r="M189" s="78"/>
      <c r="N189" s="79"/>
      <c r="O189" s="78"/>
      <c r="Q189" s="30" t="n">
        <f aca="false">IFERROR(MATCH($B$4&amp;"|- Lane "&amp;D189&amp;" - "&amp;B189&amp;"|"&amp;C189,'Reguler Class Availability'!$L:$L,0),"")</f>
        <v>133</v>
      </c>
      <c r="BD189" s="30" t="s">
        <v>98</v>
      </c>
      <c r="BE189" s="30" t="n">
        <f aca="false">IF(COUNTIFS('Reguler Class Availability'!$L:$L,$B$4&amp;"|- Lane 4 - *|"&amp;BD189)&gt;0,1,0)</f>
        <v>0</v>
      </c>
      <c r="BF189" s="30" t="n">
        <f aca="false">BE189+BF188</f>
        <v>0</v>
      </c>
    </row>
    <row r="190" customFormat="false" ht="15.75" hidden="false" customHeight="true" outlineLevel="0" collapsed="false">
      <c r="A190" s="76" t="n">
        <v>64</v>
      </c>
      <c r="B190" s="77" t="s">
        <v>116</v>
      </c>
      <c r="C190" s="76" t="s">
        <v>153</v>
      </c>
      <c r="D190" s="76" t="n">
        <v>1</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Kosong</v>
      </c>
      <c r="F190" s="77" t="str">
        <f aca="false">IF($Q190="","",PROPER(INDEX('Reguler Class Availability'!$B:$B,$Q190)&amp;""))</f>
        <v/>
      </c>
      <c r="G190" s="76" t="n">
        <f aca="false">IF($Q190="","",IFERROR(--(INDEX('Reguler Class Availability'!$F:$F,$Q190)&amp;""),0))</f>
        <v>5</v>
      </c>
      <c r="H190" s="77" t="str">
        <f aca="false">IF($Q190="","",PROPER(INDEX('Reguler Class Availability'!$I:$I,$Q190)&amp;"")&amp;IF(INDEX('Reguler Class Availability'!$J:$J,$Q190)&amp;""="",""," + asst "&amp;PROPER(INDEX('Reguler Class Availability'!$J:$J,$Q190)&amp;"")))</f>
        <v/>
      </c>
      <c r="I190" s="77" t="s">
        <v>197</v>
      </c>
      <c r="J190" s="77" t="s">
        <v>198</v>
      </c>
      <c r="K190" s="78"/>
      <c r="L190" s="78"/>
      <c r="M190" s="78"/>
      <c r="N190" s="79"/>
      <c r="O190" s="78"/>
      <c r="Q190" s="30" t="n">
        <f aca="false">IFERROR(MATCH($B$4&amp;"|- Lane "&amp;D190&amp;" - "&amp;B190&amp;"|"&amp;C190,'Reguler Class Availability'!$L:$L,0),"")</f>
        <v>36</v>
      </c>
      <c r="BD190" s="30" t="s">
        <v>105</v>
      </c>
      <c r="BE190" s="30" t="n">
        <f aca="false">IF(COUNTIFS('Reguler Class Availability'!$L:$L,$B$4&amp;"|- Lane 4 - *|"&amp;BD190)&gt;0,1,0)</f>
        <v>1</v>
      </c>
      <c r="BF190" s="30" t="n">
        <f aca="false">BE190+BF189</f>
        <v>1</v>
      </c>
    </row>
    <row r="191" customFormat="false" ht="27.75" hidden="false" customHeight="true" outlineLevel="0" collapsed="false">
      <c r="A191" s="76" t="n">
        <v>65</v>
      </c>
      <c r="B191" s="77" t="s">
        <v>116</v>
      </c>
      <c r="C191" s="76" t="s">
        <v>156</v>
      </c>
      <c r="D191" s="76" t="n">
        <v>1</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Kosong</v>
      </c>
      <c r="F191" s="77" t="str">
        <f aca="false">IF($Q191="","",PROPER(INDEX('Reguler Class Availability'!$B:$B,$Q191)&amp;""))</f>
        <v/>
      </c>
      <c r="G191" s="76" t="n">
        <f aca="false">IF($Q191="","",IFERROR(--(INDEX('Reguler Class Availability'!$F:$F,$Q191)&amp;""),0))</f>
        <v>5</v>
      </c>
      <c r="H191" s="77" t="str">
        <f aca="false">IF($Q191="","",PROPER(INDEX('Reguler Class Availability'!$I:$I,$Q191)&amp;"")&amp;IF(INDEX('Reguler Class Availability'!$J:$J,$Q191)&amp;""="",""," + asst "&amp;PROPER(INDEX('Reguler Class Availability'!$J:$J,$Q191)&amp;"")))</f>
        <v/>
      </c>
      <c r="I191" s="77" t="s">
        <v>221</v>
      </c>
      <c r="J191" s="77" t="s">
        <v>188</v>
      </c>
      <c r="K191" s="78"/>
      <c r="L191" s="78"/>
      <c r="M191" s="78"/>
      <c r="N191" s="79"/>
      <c r="O191" s="78"/>
      <c r="Q191" s="30" t="n">
        <f aca="false">IFERROR(MATCH($B$4&amp;"|- Lane "&amp;D191&amp;" - "&amp;B191&amp;"|"&amp;C191,'Reguler Class Availability'!$L:$L,0),"")</f>
        <v>37</v>
      </c>
      <c r="BD191" s="30" t="s">
        <v>110</v>
      </c>
      <c r="BE191" s="30" t="n">
        <f aca="false">IF(COUNTIFS('Reguler Class Availability'!$L:$L,$B$4&amp;"|- Lane 4 - *|"&amp;BD191)&gt;0,1,0)</f>
        <v>0</v>
      </c>
      <c r="BF191" s="30" t="n">
        <f aca="false">BE191+BF190</f>
        <v>1</v>
      </c>
    </row>
    <row r="192" customFormat="false" ht="65.25" hidden="false" customHeight="true" outlineLevel="0" collapsed="false">
      <c r="A192" s="76" t="n">
        <v>66</v>
      </c>
      <c r="B192" s="77" t="s">
        <v>116</v>
      </c>
      <c r="C192" s="76" t="s">
        <v>160</v>
      </c>
      <c r="D192" s="76" t="n">
        <v>1</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Belum terisi</v>
      </c>
      <c r="F192" s="77" t="str">
        <f aca="false">IF($Q192="","",PROPER(INDEX('Reguler Class Availability'!$B:$B,$Q192)&amp;""))</f>
        <v>Star</v>
      </c>
      <c r="G192" s="76" t="n">
        <f aca="false">IF($Q192="","",IFERROR(--(INDEX('Reguler Class Availability'!$F:$F,$Q192)&amp;""),0))</f>
        <v>8</v>
      </c>
      <c r="H192" s="77" t="str">
        <f aca="false">IF($Q192="","",PROPER(INDEX('Reguler Class Availability'!$I:$I,$Q192)&amp;"")&amp;IF(INDEX('Reguler Class Availability'!$J:$J,$Q192)&amp;""="",""," + asst "&amp;PROPER(INDEX('Reguler Class Availability'!$J:$J,$Q192)&amp;"")))</f>
        <v/>
      </c>
      <c r="I192" s="77" t="s">
        <v>211</v>
      </c>
      <c r="J192" s="77" t="s">
        <v>186</v>
      </c>
      <c r="K192" s="78"/>
      <c r="L192" s="78"/>
      <c r="M192" s="78"/>
      <c r="N192" s="79"/>
      <c r="O192" s="78"/>
      <c r="Q192" s="30" t="n">
        <f aca="false">IFERROR(MATCH($B$4&amp;"|- Lane "&amp;D192&amp;" - "&amp;B192&amp;"|"&amp;C192,'Reguler Class Availability'!$L:$L,0),"")</f>
        <v>95</v>
      </c>
      <c r="BD192" s="30" t="s">
        <v>112</v>
      </c>
      <c r="BE192" s="30" t="n">
        <f aca="false">IF(COUNTIFS('Reguler Class Availability'!$L:$L,$B$4&amp;"|- Lane 4 - *|"&amp;BD192)&gt;0,1,0)</f>
        <v>0</v>
      </c>
      <c r="BF192" s="30" t="n">
        <f aca="false">BE192+BF191</f>
        <v>1</v>
      </c>
    </row>
    <row r="193" customFormat="false" ht="52.5" hidden="false" customHeight="true" outlineLevel="0" collapsed="false">
      <c r="A193" s="76" t="n">
        <v>67</v>
      </c>
      <c r="B193" s="77" t="s">
        <v>117</v>
      </c>
      <c r="C193" s="76" t="s">
        <v>91</v>
      </c>
      <c r="D193" s="76" t="n">
        <v>1</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Belum terisi</v>
      </c>
      <c r="F193" s="77" t="str">
        <f aca="false">IF($Q193="","",PROPER(INDEX('Reguler Class Availability'!$B:$B,$Q193)&amp;""))</f>
        <v>Star</v>
      </c>
      <c r="G193" s="76" t="n">
        <f aca="false">IF($Q193="","",IFERROR(--(INDEX('Reguler Class Availability'!$F:$F,$Q193)&amp;""),0))</f>
        <v>8</v>
      </c>
      <c r="H193" s="77" t="str">
        <f aca="false">IF($Q193="","",PROPER(INDEX('Reguler Class Availability'!$I:$I,$Q193)&amp;"")&amp;IF(INDEX('Reguler Class Availability'!$J:$J,$Q193)&amp;""="",""," + asst "&amp;PROPER(INDEX('Reguler Class Availability'!$J:$J,$Q193)&amp;"")))</f>
        <v/>
      </c>
      <c r="I193" s="77" t="s">
        <v>222</v>
      </c>
      <c r="J193" s="77" t="s">
        <v>186</v>
      </c>
      <c r="K193" s="78"/>
      <c r="L193" s="78"/>
      <c r="M193" s="78"/>
      <c r="N193" s="79"/>
      <c r="O193" s="78"/>
      <c r="Q193" s="30" t="n">
        <f aca="false">IFERROR(MATCH($B$4&amp;"|- Lane "&amp;D193&amp;" - "&amp;B193&amp;"|"&amp;C193,'Reguler Class Availability'!$L:$L,0),"")</f>
        <v>89</v>
      </c>
      <c r="BD193" s="30" t="s">
        <v>120</v>
      </c>
      <c r="BE193" s="30" t="n">
        <f aca="false">IF(COUNTIFS('Reguler Class Availability'!$L:$L,$B$4&amp;"|- Lane 4 - *|"&amp;BD193)&gt;0,1,0)</f>
        <v>1</v>
      </c>
      <c r="BF193" s="30" t="n">
        <f aca="false">BE193+BF192</f>
        <v>2</v>
      </c>
    </row>
    <row r="194" customFormat="false" ht="40.5" hidden="false" customHeight="true" outlineLevel="0" collapsed="false">
      <c r="A194" s="76" t="n">
        <v>68</v>
      </c>
      <c r="B194" s="77" t="s">
        <v>117</v>
      </c>
      <c r="C194" s="76" t="s">
        <v>120</v>
      </c>
      <c r="D194" s="76" t="n">
        <v>4</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Belum terisi</v>
      </c>
      <c r="F194" s="77" t="str">
        <f aca="false">IF($Q194="","",PROPER(INDEX('Reguler Class Availability'!$B:$B,$Q194)&amp;""))</f>
        <v>Kids</v>
      </c>
      <c r="G194" s="76" t="n">
        <f aca="false">IF($Q194="","",IFERROR(--(INDEX('Reguler Class Availability'!$F:$F,$Q194)&amp;""),0))</f>
        <v>4</v>
      </c>
      <c r="H194" s="77" t="str">
        <f aca="false">IF($Q194="","",PROPER(INDEX('Reguler Class Availability'!$I:$I,$Q194)&amp;"")&amp;IF(INDEX('Reguler Class Availability'!$J:$J,$Q194)&amp;""="",""," + asst "&amp;PROPER(INDEX('Reguler Class Availability'!$J:$J,$Q194)&amp;"")))</f>
        <v/>
      </c>
      <c r="I194" s="77" t="s">
        <v>223</v>
      </c>
      <c r="J194" s="77" t="s">
        <v>188</v>
      </c>
      <c r="K194" s="78"/>
      <c r="L194" s="78"/>
      <c r="M194" s="78"/>
      <c r="N194" s="79"/>
      <c r="O194" s="78"/>
      <c r="Q194" s="30" t="n">
        <f aca="false">IFERROR(MATCH($B$4&amp;"|- Lane "&amp;D194&amp;" - "&amp;B194&amp;"|"&amp;C194,'Reguler Class Availability'!$L:$L,0),"")</f>
        <v>305</v>
      </c>
      <c r="BD194" s="30" t="s">
        <v>121</v>
      </c>
      <c r="BE194" s="30" t="n">
        <f aca="false">IF(COUNTIFS('Reguler Class Availability'!$L:$L,$B$4&amp;"|- Lane 4 - *|"&amp;BD194)&gt;0,1,0)</f>
        <v>0</v>
      </c>
      <c r="BF194" s="30" t="n">
        <f aca="false">BE194+BF193</f>
        <v>2</v>
      </c>
    </row>
    <row r="195" customFormat="false" ht="40.5" hidden="false" customHeight="true" outlineLevel="0" collapsed="false">
      <c r="A195" s="76" t="n">
        <v>69</v>
      </c>
      <c r="B195" s="77" t="s">
        <v>117</v>
      </c>
      <c r="C195" s="76" t="s">
        <v>120</v>
      </c>
      <c r="D195" s="76" t="n">
        <v>5</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Kosong</v>
      </c>
      <c r="F195" s="77" t="str">
        <f aca="false">IF($Q195="","",PROPER(INDEX('Reguler Class Availability'!$B:$B,$Q195)&amp;""))</f>
        <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223</v>
      </c>
      <c r="J195" s="77" t="s">
        <v>188</v>
      </c>
      <c r="K195" s="78"/>
      <c r="L195" s="78"/>
      <c r="M195" s="78"/>
      <c r="N195" s="79"/>
      <c r="O195" s="78"/>
      <c r="Q195" s="30" t="n">
        <f aca="false">IFERROR(MATCH($B$4&amp;"|- Lane "&amp;D195&amp;" - "&amp;B195&amp;"|"&amp;C195,'Reguler Class Availability'!$L:$L,0),"")</f>
        <v>389</v>
      </c>
      <c r="BD195" s="30" t="s">
        <v>122</v>
      </c>
      <c r="BE195" s="30" t="n">
        <f aca="false">IF(COUNTIFS('Reguler Class Availability'!$L:$L,$B$4&amp;"|- Lane 4 - *|"&amp;BD195)&gt;0,1,0)</f>
        <v>0</v>
      </c>
      <c r="BF195" s="30" t="n">
        <f aca="false">BE195+BF194</f>
        <v>2</v>
      </c>
    </row>
    <row r="196" customFormat="false" ht="40.5" hidden="false" customHeight="true" outlineLevel="0" collapsed="false">
      <c r="A196" s="76" t="n">
        <v>70</v>
      </c>
      <c r="B196" s="77" t="s">
        <v>117</v>
      </c>
      <c r="C196" s="76" t="s">
        <v>121</v>
      </c>
      <c r="D196" s="76" t="n">
        <v>1</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Kosong</v>
      </c>
      <c r="F196" s="77" t="str">
        <f aca="false">IF($Q196="","",PROPER(INDEX('Reguler Class Availability'!$B:$B,$Q196)&amp;""))</f>
        <v/>
      </c>
      <c r="G196" s="76" t="n">
        <f aca="false">IF($Q196="","",IFERROR(--(INDEX('Reguler Class Availability'!$F:$F,$Q196)&amp;""),0))</f>
        <v>5</v>
      </c>
      <c r="H196" s="77" t="str">
        <f aca="false">IF($Q196="","",PROPER(INDEX('Reguler Class Availability'!$I:$I,$Q196)&amp;"")&amp;IF(INDEX('Reguler Class Availability'!$J:$J,$Q196)&amp;""="",""," + asst "&amp;PROPER(INDEX('Reguler Class Availability'!$J:$J,$Q196)&amp;"")))</f>
        <v/>
      </c>
      <c r="I196" s="77" t="s">
        <v>224</v>
      </c>
      <c r="J196" s="77" t="s">
        <v>188</v>
      </c>
      <c r="K196" s="78"/>
      <c r="L196" s="78"/>
      <c r="M196" s="78"/>
      <c r="N196" s="79"/>
      <c r="O196" s="78"/>
      <c r="Q196" s="30" t="n">
        <f aca="false">IFERROR(MATCH($B$4&amp;"|- Lane "&amp;D196&amp;" - "&amp;B196&amp;"|"&amp;C196,'Reguler Class Availability'!$L:$L,0),"")</f>
        <v>39</v>
      </c>
      <c r="BD196" s="30" t="s">
        <v>123</v>
      </c>
      <c r="BE196" s="30" t="n">
        <f aca="false">IF(COUNTIFS('Reguler Class Availability'!$L:$L,$B$4&amp;"|- Lane 4 - *|"&amp;BD196)&gt;0,1,0)</f>
        <v>1</v>
      </c>
      <c r="BF196" s="30" t="n">
        <f aca="false">BE196+BF195</f>
        <v>3</v>
      </c>
    </row>
    <row r="197" customFormat="false" ht="40.5" hidden="false" customHeight="true" outlineLevel="0" collapsed="false">
      <c r="A197" s="76" t="n">
        <v>71</v>
      </c>
      <c r="B197" s="77" t="s">
        <v>117</v>
      </c>
      <c r="C197" s="76" t="s">
        <v>121</v>
      </c>
      <c r="D197" s="76" t="n">
        <v>2</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Belum terisi</v>
      </c>
      <c r="F197" s="77" t="str">
        <f aca="false">IF($Q197="","",PROPER(INDEX('Reguler Class Availability'!$B:$B,$Q197)&amp;""))</f>
        <v>Tiny</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224</v>
      </c>
      <c r="J197" s="77" t="s">
        <v>188</v>
      </c>
      <c r="K197" s="78"/>
      <c r="L197" s="78"/>
      <c r="M197" s="78"/>
      <c r="N197" s="79"/>
      <c r="O197" s="78"/>
      <c r="Q197" s="30" t="n">
        <f aca="false">IFERROR(MATCH($B$4&amp;"|- Lane "&amp;D197&amp;" - "&amp;B197&amp;"|"&amp;C197,'Reguler Class Availability'!$L:$L,0),"")</f>
        <v>137</v>
      </c>
      <c r="BD197" s="30" t="s">
        <v>124</v>
      </c>
      <c r="BE197" s="30" t="n">
        <f aca="false">IF(COUNTIFS('Reguler Class Availability'!$L:$L,$B$4&amp;"|- Lane 4 - *|"&amp;BD197)&gt;0,1,0)</f>
        <v>0</v>
      </c>
      <c r="BF197" s="30" t="n">
        <f aca="false">BE197+BF196</f>
        <v>3</v>
      </c>
    </row>
    <row r="198" customFormat="false" ht="27.75" hidden="false" customHeight="true" outlineLevel="0" collapsed="false">
      <c r="A198" s="76" t="n">
        <v>72</v>
      </c>
      <c r="B198" s="77" t="s">
        <v>117</v>
      </c>
      <c r="C198" s="76" t="s">
        <v>123</v>
      </c>
      <c r="D198" s="76" t="n">
        <v>5</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Kosong</v>
      </c>
      <c r="F198" s="77" t="str">
        <f aca="false">IF($Q198="","",PROPER(INDEX('Reguler Class Availability'!$B:$B,$Q198)&amp;""))</f>
        <v/>
      </c>
      <c r="G198" s="76" t="n">
        <f aca="false">IF($Q198="","",IFERROR(--(INDEX('Reguler Class Availability'!$F:$F,$Q198)&amp;""),0))</f>
        <v>4</v>
      </c>
      <c r="H198" s="77" t="str">
        <f aca="false">IF($Q198="","",PROPER(INDEX('Reguler Class Availability'!$I:$I,$Q198)&amp;"")&amp;IF(INDEX('Reguler Class Availability'!$J:$J,$Q198)&amp;""="",""," + asst "&amp;PROPER(INDEX('Reguler Class Availability'!$J:$J,$Q198)&amp;"")))</f>
        <v/>
      </c>
      <c r="I198" s="77" t="s">
        <v>225</v>
      </c>
      <c r="J198" s="77" t="s">
        <v>188</v>
      </c>
      <c r="K198" s="78"/>
      <c r="L198" s="78"/>
      <c r="M198" s="78"/>
      <c r="N198" s="79"/>
      <c r="O198" s="78"/>
      <c r="Q198" s="30" t="n">
        <f aca="false">IFERROR(MATCH($B$4&amp;"|- Lane "&amp;D198&amp;" - "&amp;B198&amp;"|"&amp;C198,'Reguler Class Availability'!$L:$L,0),"")</f>
        <v>390</v>
      </c>
      <c r="BD198" s="30" t="s">
        <v>125</v>
      </c>
      <c r="BE198" s="30" t="n">
        <f aca="false">IF(COUNTIFS('Reguler Class Availability'!$L:$L,$B$4&amp;"|- Lane 4 - *|"&amp;BD198)&gt;0,1,0)</f>
        <v>0</v>
      </c>
      <c r="BF198" s="30" t="n">
        <f aca="false">BE198+BF197</f>
        <v>3</v>
      </c>
    </row>
    <row r="199" customFormat="false" ht="27.75" hidden="false" customHeight="true" outlineLevel="0" collapsed="false">
      <c r="A199" s="76" t="n">
        <v>73</v>
      </c>
      <c r="B199" s="77" t="s">
        <v>117</v>
      </c>
      <c r="C199" s="76" t="s">
        <v>124</v>
      </c>
      <c r="D199" s="76" t="n">
        <v>1</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Kosong</v>
      </c>
      <c r="F199" s="77" t="str">
        <f aca="false">IF($Q199="","",PROPER(INDEX('Reguler Class Availability'!$B:$B,$Q199)&amp;""))</f>
        <v/>
      </c>
      <c r="G199" s="76" t="n">
        <f aca="false">IF($Q199="","",IFERROR(--(INDEX('Reguler Class Availability'!$F:$F,$Q199)&amp;""),0))</f>
        <v>5</v>
      </c>
      <c r="H199" s="77" t="str">
        <f aca="false">IF($Q199="","",PROPER(INDEX('Reguler Class Availability'!$I:$I,$Q199)&amp;"")&amp;IF(INDEX('Reguler Class Availability'!$J:$J,$Q199)&amp;""="",""," + asst "&amp;PROPER(INDEX('Reguler Class Availability'!$J:$J,$Q199)&amp;"")))</f>
        <v/>
      </c>
      <c r="I199" s="77" t="s">
        <v>225</v>
      </c>
      <c r="J199" s="77" t="s">
        <v>188</v>
      </c>
      <c r="K199" s="78"/>
      <c r="L199" s="78"/>
      <c r="M199" s="78"/>
      <c r="N199" s="79"/>
      <c r="O199" s="78"/>
      <c r="Q199" s="30" t="n">
        <f aca="false">IFERROR(MATCH($B$4&amp;"|- Lane "&amp;D199&amp;" - "&amp;B199&amp;"|"&amp;C199,'Reguler Class Availability'!$L:$L,0),"")</f>
        <v>40</v>
      </c>
      <c r="BD199" s="30" t="s">
        <v>126</v>
      </c>
      <c r="BE199" s="30" t="n">
        <f aca="false">IF(COUNTIFS('Reguler Class Availability'!$L:$L,$B$4&amp;"|- Lane 4 - *|"&amp;BD199)&gt;0,1,0)</f>
        <v>1</v>
      </c>
      <c r="BF199" s="30" t="n">
        <f aca="false">BE199+BF198</f>
        <v>4</v>
      </c>
    </row>
    <row r="200" customFormat="false" ht="40.5" hidden="false" customHeight="true" outlineLevel="0" collapsed="false">
      <c r="A200" s="76" t="n">
        <v>74</v>
      </c>
      <c r="B200" s="77" t="s">
        <v>117</v>
      </c>
      <c r="C200" s="76" t="s">
        <v>126</v>
      </c>
      <c r="D200" s="76" t="n">
        <v>4</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Belum terisi</v>
      </c>
      <c r="F200" s="77" t="str">
        <f aca="false">IF($Q200="","",PROPER(INDEX('Reguler Class Availability'!$B:$B,$Q200)&amp;""))</f>
        <v>Kids</v>
      </c>
      <c r="G200" s="76" t="n">
        <f aca="false">IF($Q200="","",IFERROR(--(INDEX('Reguler Class Availability'!$F:$F,$Q200)&amp;""),0))</f>
        <v>4</v>
      </c>
      <c r="H200" s="77" t="str">
        <f aca="false">IF($Q200="","",PROPER(INDEX('Reguler Class Availability'!$I:$I,$Q200)&amp;"")&amp;IF(INDEX('Reguler Class Availability'!$J:$J,$Q200)&amp;""="",""," + asst "&amp;PROPER(INDEX('Reguler Class Availability'!$J:$J,$Q200)&amp;"")))</f>
        <v/>
      </c>
      <c r="I200" s="77" t="s">
        <v>226</v>
      </c>
      <c r="J200" s="77" t="s">
        <v>188</v>
      </c>
      <c r="K200" s="78"/>
      <c r="L200" s="78"/>
      <c r="M200" s="78"/>
      <c r="N200" s="79"/>
      <c r="O200" s="78"/>
      <c r="Q200" s="30" t="n">
        <f aca="false">IFERROR(MATCH($B$4&amp;"|- Lane "&amp;D200&amp;" - "&amp;B200&amp;"|"&amp;C200,'Reguler Class Availability'!$L:$L,0),"")</f>
        <v>307</v>
      </c>
      <c r="BD200" s="30" t="s">
        <v>127</v>
      </c>
      <c r="BE200" s="30" t="n">
        <f aca="false">IF(COUNTIFS('Reguler Class Availability'!$L:$L,$B$4&amp;"|- Lane 4 - *|"&amp;BD200)&gt;0,1,0)</f>
        <v>0</v>
      </c>
      <c r="BF200" s="30" t="n">
        <f aca="false">BE200+BF199</f>
        <v>4</v>
      </c>
    </row>
    <row r="201" customFormat="false" ht="40.5" hidden="false" customHeight="true" outlineLevel="0" collapsed="false">
      <c r="A201" s="76" t="n">
        <v>75</v>
      </c>
      <c r="B201" s="77" t="s">
        <v>117</v>
      </c>
      <c r="C201" s="76" t="s">
        <v>126</v>
      </c>
      <c r="D201" s="76" t="n">
        <v>5</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Kosong</v>
      </c>
      <c r="F201" s="77" t="str">
        <f aca="false">IF($Q201="","",PROPER(INDEX('Reguler Class Availability'!$B:$B,$Q201)&amp;""))</f>
        <v/>
      </c>
      <c r="G201" s="76" t="n">
        <f aca="false">IF($Q201="","",IFERROR(--(INDEX('Reguler Class Availability'!$F:$F,$Q201)&amp;""),0))</f>
        <v>4</v>
      </c>
      <c r="H201" s="77" t="str">
        <f aca="false">IF($Q201="","",PROPER(INDEX('Reguler Class Availability'!$I:$I,$Q201)&amp;"")&amp;IF(INDEX('Reguler Class Availability'!$J:$J,$Q201)&amp;""="",""," + asst "&amp;PROPER(INDEX('Reguler Class Availability'!$J:$J,$Q201)&amp;"")))</f>
        <v/>
      </c>
      <c r="I201" s="77" t="s">
        <v>226</v>
      </c>
      <c r="J201" s="77" t="s">
        <v>188</v>
      </c>
      <c r="K201" s="78"/>
      <c r="L201" s="78"/>
      <c r="M201" s="78"/>
      <c r="N201" s="79"/>
      <c r="O201" s="78"/>
      <c r="Q201" s="30" t="n">
        <f aca="false">IFERROR(MATCH($B$4&amp;"|- Lane "&amp;D201&amp;" - "&amp;B201&amp;"|"&amp;C201,'Reguler Class Availability'!$L:$L,0),"")</f>
        <v>391</v>
      </c>
      <c r="BD201" s="30" t="s">
        <v>128</v>
      </c>
      <c r="BE201" s="30" t="n">
        <f aca="false">IF(COUNTIFS('Reguler Class Availability'!$L:$L,$B$4&amp;"|- Lane 4 - *|"&amp;BD201)&gt;0,1,0)</f>
        <v>0</v>
      </c>
      <c r="BF201" s="30" t="n">
        <f aca="false">BE201+BF200</f>
        <v>4</v>
      </c>
    </row>
    <row r="202" customFormat="false" ht="27.75" hidden="false" customHeight="true" outlineLevel="0" collapsed="false">
      <c r="A202" s="76" t="n">
        <v>76</v>
      </c>
      <c r="B202" s="77" t="s">
        <v>117</v>
      </c>
      <c r="C202" s="76" t="s">
        <v>127</v>
      </c>
      <c r="D202" s="76" t="n">
        <v>1</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Kosong</v>
      </c>
      <c r="F202" s="77" t="str">
        <f aca="false">IF($Q202="","",PROPER(INDEX('Reguler Class Availability'!$B:$B,$Q202)&amp;""))</f>
        <v/>
      </c>
      <c r="G202" s="76" t="n">
        <f aca="false">IF($Q202="","",IFERROR(--(INDEX('Reguler Class Availability'!$F:$F,$Q202)&amp;""),0))</f>
        <v>5</v>
      </c>
      <c r="H202" s="77" t="str">
        <f aca="false">IF($Q202="","",PROPER(INDEX('Reguler Class Availability'!$I:$I,$Q202)&amp;"")&amp;IF(INDEX('Reguler Class Availability'!$J:$J,$Q202)&amp;""="",""," + asst "&amp;PROPER(INDEX('Reguler Class Availability'!$J:$J,$Q202)&amp;"")))</f>
        <v/>
      </c>
      <c r="I202" s="77" t="s">
        <v>227</v>
      </c>
      <c r="J202" s="77" t="s">
        <v>188</v>
      </c>
      <c r="K202" s="78"/>
      <c r="L202" s="78"/>
      <c r="M202" s="78"/>
      <c r="N202" s="79"/>
      <c r="O202" s="78"/>
      <c r="Q202" s="30" t="n">
        <f aca="false">IFERROR(MATCH($B$4&amp;"|- Lane "&amp;D202&amp;" - "&amp;B202&amp;"|"&amp;C202,'Reguler Class Availability'!$L:$L,0),"")</f>
        <v>41</v>
      </c>
      <c r="BD202" s="30" t="s">
        <v>129</v>
      </c>
      <c r="BE202" s="30" t="n">
        <f aca="false">IF(COUNTIFS('Reguler Class Availability'!$L:$L,$B$4&amp;"|- Lane 4 - *|"&amp;BD202)&gt;0,1,0)</f>
        <v>1</v>
      </c>
      <c r="BF202" s="30" t="n">
        <f aca="false">BE202+BF201</f>
        <v>5</v>
      </c>
    </row>
    <row r="203" customFormat="false" ht="27.75" hidden="false" customHeight="true" outlineLevel="0" collapsed="false">
      <c r="A203" s="76" t="n">
        <v>77</v>
      </c>
      <c r="B203" s="77" t="s">
        <v>117</v>
      </c>
      <c r="C203" s="76" t="s">
        <v>127</v>
      </c>
      <c r="D203" s="76" t="n">
        <v>2</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Belum terisi</v>
      </c>
      <c r="F203" s="77" t="str">
        <f aca="false">IF($Q203="","",PROPER(INDEX('Reguler Class Availability'!$B:$B,$Q203)&amp;""))</f>
        <v>Tiny</v>
      </c>
      <c r="G203" s="76" t="n">
        <f aca="false">IF($Q203="","",IFERROR(--(INDEX('Reguler Class Availability'!$F:$F,$Q203)&amp;""),0))</f>
        <v>5</v>
      </c>
      <c r="H203" s="77" t="str">
        <f aca="false">IF($Q203="","",PROPER(INDEX('Reguler Class Availability'!$I:$I,$Q203)&amp;"")&amp;IF(INDEX('Reguler Class Availability'!$J:$J,$Q203)&amp;""="",""," + asst "&amp;PROPER(INDEX('Reguler Class Availability'!$J:$J,$Q203)&amp;"")))</f>
        <v/>
      </c>
      <c r="I203" s="77" t="s">
        <v>227</v>
      </c>
      <c r="J203" s="77" t="s">
        <v>188</v>
      </c>
      <c r="K203" s="78"/>
      <c r="L203" s="78"/>
      <c r="M203" s="78"/>
      <c r="N203" s="79"/>
      <c r="O203" s="78"/>
      <c r="Q203" s="30" t="n">
        <f aca="false">IFERROR(MATCH($B$4&amp;"|- Lane "&amp;D203&amp;" - "&amp;B203&amp;"|"&amp;C203,'Reguler Class Availability'!$L:$L,0),"")</f>
        <v>139</v>
      </c>
      <c r="BD203" s="30" t="s">
        <v>130</v>
      </c>
      <c r="BE203" s="30" t="n">
        <f aca="false">IF(COUNTIFS('Reguler Class Availability'!$L:$L,$B$4&amp;"|- Lane 4 - *|"&amp;BD203)&gt;0,1,0)</f>
        <v>0</v>
      </c>
      <c r="BF203" s="30" t="n">
        <f aca="false">BE203+BF202</f>
        <v>5</v>
      </c>
    </row>
    <row r="204" customFormat="false" ht="40.5" hidden="false" customHeight="true" outlineLevel="0" collapsed="false">
      <c r="A204" s="76" t="n">
        <v>78</v>
      </c>
      <c r="B204" s="77" t="s">
        <v>117</v>
      </c>
      <c r="C204" s="76" t="s">
        <v>129</v>
      </c>
      <c r="D204" s="76" t="n">
        <v>4</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Kids</v>
      </c>
      <c r="G204" s="76" t="n">
        <f aca="false">IF($Q204="","",IFERROR(--(INDEX('Reguler Class Availability'!$F:$F,$Q204)&amp;""),0))</f>
        <v>4</v>
      </c>
      <c r="H204" s="77" t="str">
        <f aca="false">IF($Q204="","",PROPER(INDEX('Reguler Class Availability'!$I:$I,$Q204)&amp;"")&amp;IF(INDEX('Reguler Class Availability'!$J:$J,$Q204)&amp;""="",""," + asst "&amp;PROPER(INDEX('Reguler Class Availability'!$J:$J,$Q204)&amp;"")))</f>
        <v/>
      </c>
      <c r="I204" s="77" t="s">
        <v>223</v>
      </c>
      <c r="J204" s="77" t="s">
        <v>188</v>
      </c>
      <c r="K204" s="78"/>
      <c r="L204" s="78"/>
      <c r="M204" s="78"/>
      <c r="N204" s="79"/>
      <c r="O204" s="78"/>
      <c r="Q204" s="30" t="n">
        <f aca="false">IFERROR(MATCH($B$4&amp;"|- Lane "&amp;D204&amp;" - "&amp;B204&amp;"|"&amp;C204,'Reguler Class Availability'!$L:$L,0),"")</f>
        <v>308</v>
      </c>
      <c r="BD204" s="30" t="s">
        <v>131</v>
      </c>
      <c r="BE204" s="30" t="n">
        <f aca="false">IF(COUNTIFS('Reguler Class Availability'!$L:$L,$B$4&amp;"|- Lane 4 - *|"&amp;BD204)&gt;0,1,0)</f>
        <v>0</v>
      </c>
      <c r="BF204" s="30" t="n">
        <f aca="false">BE204+BF203</f>
        <v>5</v>
      </c>
    </row>
    <row r="205" customFormat="false" ht="40.5" hidden="false" customHeight="true" outlineLevel="0" collapsed="false">
      <c r="A205" s="76" t="n">
        <v>79</v>
      </c>
      <c r="B205" s="77" t="s">
        <v>117</v>
      </c>
      <c r="C205" s="76" t="s">
        <v>129</v>
      </c>
      <c r="D205" s="76" t="n">
        <v>5</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Kosong</v>
      </c>
      <c r="F205" s="77" t="str">
        <f aca="false">IF($Q205="","",PROPER(INDEX('Reguler Class Availability'!$B:$B,$Q205)&amp;""))</f>
        <v/>
      </c>
      <c r="G205" s="76" t="n">
        <f aca="false">IF($Q205="","",IFERROR(--(INDEX('Reguler Class Availability'!$F:$F,$Q205)&amp;""),0))</f>
        <v>4</v>
      </c>
      <c r="H205" s="77" t="str">
        <f aca="false">IF($Q205="","",PROPER(INDEX('Reguler Class Availability'!$I:$I,$Q205)&amp;"")&amp;IF(INDEX('Reguler Class Availability'!$J:$J,$Q205)&amp;""="",""," + asst "&amp;PROPER(INDEX('Reguler Class Availability'!$J:$J,$Q205)&amp;"")))</f>
        <v/>
      </c>
      <c r="I205" s="77" t="s">
        <v>223</v>
      </c>
      <c r="J205" s="77" t="s">
        <v>188</v>
      </c>
      <c r="K205" s="78"/>
      <c r="L205" s="78"/>
      <c r="M205" s="78"/>
      <c r="N205" s="79"/>
      <c r="O205" s="78"/>
      <c r="Q205" s="30" t="n">
        <f aca="false">IFERROR(MATCH($B$4&amp;"|- Lane "&amp;D205&amp;" - "&amp;B205&amp;"|"&amp;C205,'Reguler Class Availability'!$L:$L,0),"")</f>
        <v>392</v>
      </c>
      <c r="BD205" s="30" t="s">
        <v>132</v>
      </c>
      <c r="BE205" s="30" t="n">
        <f aca="false">IF(COUNTIFS('Reguler Class Availability'!$L:$L,$B$4&amp;"|- Lane 4 - *|"&amp;BD205)&gt;0,1,0)</f>
        <v>1</v>
      </c>
      <c r="BF205" s="30" t="n">
        <f aca="false">BE205+BF204</f>
        <v>6</v>
      </c>
    </row>
    <row r="206" customFormat="false" ht="40.5" hidden="false" customHeight="true" outlineLevel="0" collapsed="false">
      <c r="A206" s="76" t="n">
        <v>80</v>
      </c>
      <c r="B206" s="77" t="s">
        <v>117</v>
      </c>
      <c r="C206" s="76" t="s">
        <v>130</v>
      </c>
      <c r="D206" s="76" t="n">
        <v>1</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Kosong</v>
      </c>
      <c r="F206" s="77" t="str">
        <f aca="false">IF($Q206="","",PROPER(INDEX('Reguler Class Availability'!$B:$B,$Q206)&amp;""))</f>
        <v/>
      </c>
      <c r="G206" s="76" t="n">
        <f aca="false">IF($Q206="","",IFERROR(--(INDEX('Reguler Class Availability'!$F:$F,$Q206)&amp;""),0))</f>
        <v>5</v>
      </c>
      <c r="H206" s="77" t="str">
        <f aca="false">IF($Q206="","",PROPER(INDEX('Reguler Class Availability'!$I:$I,$Q206)&amp;"")&amp;IF(INDEX('Reguler Class Availability'!$J:$J,$Q206)&amp;""="",""," + asst "&amp;PROPER(INDEX('Reguler Class Availability'!$J:$J,$Q206)&amp;"")))</f>
        <v/>
      </c>
      <c r="I206" s="77" t="s">
        <v>223</v>
      </c>
      <c r="J206" s="77" t="s">
        <v>188</v>
      </c>
      <c r="K206" s="78"/>
      <c r="L206" s="78"/>
      <c r="M206" s="78"/>
      <c r="N206" s="79"/>
      <c r="O206" s="78"/>
      <c r="Q206" s="30" t="n">
        <f aca="false">IFERROR(MATCH($B$4&amp;"|- Lane "&amp;D206&amp;" - "&amp;B206&amp;"|"&amp;C206,'Reguler Class Availability'!$L:$L,0),"")</f>
        <v>42</v>
      </c>
      <c r="BD206" s="30" t="s">
        <v>133</v>
      </c>
      <c r="BE206" s="30" t="n">
        <f aca="false">IF(COUNTIFS('Reguler Class Availability'!$L:$L,$B$4&amp;"|- Lane 4 - *|"&amp;BD206)&gt;0,1,0)</f>
        <v>0</v>
      </c>
      <c r="BF206" s="30" t="n">
        <f aca="false">BE206+BF205</f>
        <v>6</v>
      </c>
    </row>
    <row r="207" customFormat="false" ht="40.5" hidden="false" customHeight="true" outlineLevel="0" collapsed="false">
      <c r="A207" s="76" t="n">
        <v>81</v>
      </c>
      <c r="B207" s="77" t="s">
        <v>117</v>
      </c>
      <c r="C207" s="76" t="s">
        <v>130</v>
      </c>
      <c r="D207" s="76" t="n">
        <v>2</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Belum terisi</v>
      </c>
      <c r="F207" s="77" t="str">
        <f aca="false">IF($Q207="","",PROPER(INDEX('Reguler Class Availability'!$B:$B,$Q207)&amp;""))</f>
        <v>Tiny</v>
      </c>
      <c r="G207" s="76" t="n">
        <f aca="false">IF($Q207="","",IFERROR(--(INDEX('Reguler Class Availability'!$F:$F,$Q207)&amp;""),0))</f>
        <v>5</v>
      </c>
      <c r="H207" s="77" t="str">
        <f aca="false">IF($Q207="","",PROPER(INDEX('Reguler Class Availability'!$I:$I,$Q207)&amp;"")&amp;IF(INDEX('Reguler Class Availability'!$J:$J,$Q207)&amp;""="",""," + asst "&amp;PROPER(INDEX('Reguler Class Availability'!$J:$J,$Q207)&amp;"")))</f>
        <v/>
      </c>
      <c r="I207" s="77" t="s">
        <v>223</v>
      </c>
      <c r="J207" s="77" t="s">
        <v>188</v>
      </c>
      <c r="K207" s="78"/>
      <c r="L207" s="78"/>
      <c r="M207" s="78"/>
      <c r="N207" s="79"/>
      <c r="O207" s="78"/>
      <c r="Q207" s="30" t="n">
        <f aca="false">IFERROR(MATCH($B$4&amp;"|- Lane "&amp;D207&amp;" - "&amp;B207&amp;"|"&amp;C207,'Reguler Class Availability'!$L:$L,0),"")</f>
        <v>140</v>
      </c>
      <c r="BD207" s="30" t="s">
        <v>134</v>
      </c>
      <c r="BE207" s="30" t="n">
        <f aca="false">IF(COUNTIFS('Reguler Class Availability'!$L:$L,$B$4&amp;"|- Lane 4 - *|"&amp;BD207)&gt;0,1,0)</f>
        <v>0</v>
      </c>
      <c r="BF207" s="30" t="n">
        <f aca="false">BE207+BF206</f>
        <v>6</v>
      </c>
    </row>
    <row r="208" customFormat="false" ht="52.5" hidden="false" customHeight="true" outlineLevel="0" collapsed="false">
      <c r="A208" s="76" t="n">
        <v>82</v>
      </c>
      <c r="B208" s="77" t="s">
        <v>117</v>
      </c>
      <c r="C208" s="76" t="s">
        <v>132</v>
      </c>
      <c r="D208" s="76" t="n">
        <v>5</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Kosong</v>
      </c>
      <c r="F208" s="77" t="str">
        <f aca="false">IF($Q208="","",PROPER(INDEX('Reguler Class Availability'!$B:$B,$Q208)&amp;""))</f>
        <v/>
      </c>
      <c r="G208" s="76" t="n">
        <f aca="false">IF($Q208="","",IFERROR(--(INDEX('Reguler Class Availability'!$F:$F,$Q208)&amp;""),0))</f>
        <v>4</v>
      </c>
      <c r="H208" s="77" t="str">
        <f aca="false">IF($Q208="","",PROPER(INDEX('Reguler Class Availability'!$I:$I,$Q208)&amp;"")&amp;IF(INDEX('Reguler Class Availability'!$J:$J,$Q208)&amp;""="",""," + asst "&amp;PROPER(INDEX('Reguler Class Availability'!$J:$J,$Q208)&amp;"")))</f>
        <v/>
      </c>
      <c r="I208" s="77" t="s">
        <v>222</v>
      </c>
      <c r="J208" s="77" t="s">
        <v>188</v>
      </c>
      <c r="K208" s="78"/>
      <c r="L208" s="78"/>
      <c r="M208" s="78"/>
      <c r="N208" s="79"/>
      <c r="O208" s="78"/>
      <c r="Q208" s="30" t="n">
        <f aca="false">IFERROR(MATCH($B$4&amp;"|- Lane "&amp;D208&amp;" - "&amp;B208&amp;"|"&amp;C208,'Reguler Class Availability'!$L:$L,0),"")</f>
        <v>393</v>
      </c>
      <c r="BD208" s="30" t="s">
        <v>135</v>
      </c>
      <c r="BE208" s="30" t="n">
        <f aca="false">IF(COUNTIFS('Reguler Class Availability'!$L:$L,$B$4&amp;"|- Lane 4 - *|"&amp;BD208)&gt;0,1,0)</f>
        <v>0</v>
      </c>
      <c r="BF208" s="30" t="n">
        <f aca="false">BE208+BF207</f>
        <v>6</v>
      </c>
    </row>
    <row r="209" customFormat="false" ht="40.5" hidden="false" customHeight="true" outlineLevel="0" collapsed="false">
      <c r="A209" s="76" t="n">
        <v>83</v>
      </c>
      <c r="B209" s="77" t="s">
        <v>117</v>
      </c>
      <c r="C209" s="76" t="s">
        <v>139</v>
      </c>
      <c r="D209" s="76" t="n">
        <v>4</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Kids</v>
      </c>
      <c r="G209" s="76" t="n">
        <f aca="false">IF($Q209="","",IFERROR(--(INDEX('Reguler Class Availability'!$F:$F,$Q209)&amp;""),0))</f>
        <v>4</v>
      </c>
      <c r="H209" s="77" t="str">
        <f aca="false">IF($Q209="","",PROPER(INDEX('Reguler Class Availability'!$I:$I,$Q209)&amp;"")&amp;IF(INDEX('Reguler Class Availability'!$J:$J,$Q209)&amp;""="",""," + asst "&amp;PROPER(INDEX('Reguler Class Availability'!$J:$J,$Q209)&amp;"")))</f>
        <v/>
      </c>
      <c r="I209" s="77" t="s">
        <v>228</v>
      </c>
      <c r="J209" s="77" t="s">
        <v>188</v>
      </c>
      <c r="K209" s="78"/>
      <c r="L209" s="78"/>
      <c r="M209" s="78"/>
      <c r="N209" s="79"/>
      <c r="O209" s="78"/>
      <c r="Q209" s="30" t="n">
        <f aca="false">IFERROR(MATCH($B$4&amp;"|- Lane "&amp;D209&amp;" - "&amp;B209&amp;"|"&amp;C209,'Reguler Class Availability'!$L:$L,0),"")</f>
        <v>310</v>
      </c>
      <c r="BD209" s="30" t="s">
        <v>136</v>
      </c>
      <c r="BE209" s="30" t="n">
        <f aca="false">IF(COUNTIFS('Reguler Class Availability'!$L:$L,$B$4&amp;"|- Lane 4 - *|"&amp;BD209)&gt;0,1,0)</f>
        <v>0</v>
      </c>
      <c r="BF209" s="30" t="n">
        <f aca="false">BE209+BF208</f>
        <v>6</v>
      </c>
    </row>
    <row r="210" customFormat="false" ht="15.75" hidden="false" customHeight="true" outlineLevel="0" collapsed="false">
      <c r="A210" s="76" t="n">
        <v>84</v>
      </c>
      <c r="B210" s="77" t="s">
        <v>117</v>
      </c>
      <c r="C210" s="76" t="s">
        <v>141</v>
      </c>
      <c r="D210" s="76" t="n">
        <v>1</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Kosong</v>
      </c>
      <c r="F210" s="77" t="str">
        <f aca="false">IF($Q210="","",PROPER(INDEX('Reguler Class Availability'!$B:$B,$Q210)&amp;""))</f>
        <v/>
      </c>
      <c r="G210" s="76" t="n">
        <f aca="false">IF($Q210="","",IFERROR(--(INDEX('Reguler Class Availability'!$F:$F,$Q210)&amp;""),0))</f>
        <v>5</v>
      </c>
      <c r="H210" s="77" t="str">
        <f aca="false">IF($Q210="","",PROPER(INDEX('Reguler Class Availability'!$I:$I,$Q210)&amp;"")&amp;IF(INDEX('Reguler Class Availability'!$J:$J,$Q210)&amp;""="",""," + asst "&amp;PROPER(INDEX('Reguler Class Availability'!$J:$J,$Q210)&amp;"")))</f>
        <v/>
      </c>
      <c r="I210" s="77" t="s">
        <v>229</v>
      </c>
      <c r="J210" s="77" t="s">
        <v>188</v>
      </c>
      <c r="K210" s="78"/>
      <c r="L210" s="78"/>
      <c r="M210" s="78"/>
      <c r="N210" s="79"/>
      <c r="O210" s="78"/>
      <c r="Q210" s="30" t="n">
        <f aca="false">IFERROR(MATCH($B$4&amp;"|- Lane "&amp;D210&amp;" - "&amp;B210&amp;"|"&amp;C210,'Reguler Class Availability'!$L:$L,0),"")</f>
        <v>44</v>
      </c>
      <c r="BD210" s="30" t="s">
        <v>138</v>
      </c>
      <c r="BE210" s="30" t="n">
        <f aca="false">IF(COUNTIFS('Reguler Class Availability'!$L:$L,$B$4&amp;"|- Lane 4 - *|"&amp;BD210)&gt;0,1,0)</f>
        <v>0</v>
      </c>
      <c r="BF210" s="30" t="n">
        <f aca="false">BE210+BF209</f>
        <v>6</v>
      </c>
    </row>
    <row r="211" customFormat="false" ht="15.75" hidden="false" customHeight="true" outlineLevel="0" collapsed="false">
      <c r="A211" s="76" t="n">
        <v>85</v>
      </c>
      <c r="B211" s="77" t="s">
        <v>117</v>
      </c>
      <c r="C211" s="76" t="s">
        <v>141</v>
      </c>
      <c r="D211" s="76" t="n">
        <v>2</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Belum terisi</v>
      </c>
      <c r="F211" s="77" t="str">
        <f aca="false">IF($Q211="","",PROPER(INDEX('Reguler Class Availability'!$B:$B,$Q211)&amp;""))</f>
        <v>Tiny</v>
      </c>
      <c r="G211" s="76" t="n">
        <f aca="false">IF($Q211="","",IFERROR(--(INDEX('Reguler Class Availability'!$F:$F,$Q211)&amp;""),0))</f>
        <v>5</v>
      </c>
      <c r="H211" s="77" t="str">
        <f aca="false">IF($Q211="","",PROPER(INDEX('Reguler Class Availability'!$I:$I,$Q211)&amp;"")&amp;IF(INDEX('Reguler Class Availability'!$J:$J,$Q211)&amp;""="",""," + asst "&amp;PROPER(INDEX('Reguler Class Availability'!$J:$J,$Q211)&amp;"")))</f>
        <v/>
      </c>
      <c r="I211" s="77" t="s">
        <v>229</v>
      </c>
      <c r="J211" s="77" t="s">
        <v>188</v>
      </c>
      <c r="K211" s="78"/>
      <c r="L211" s="78"/>
      <c r="M211" s="78"/>
      <c r="N211" s="79"/>
      <c r="O211" s="78"/>
      <c r="Q211" s="30" t="n">
        <f aca="false">IFERROR(MATCH($B$4&amp;"|- Lane "&amp;D211&amp;" - "&amp;B211&amp;"|"&amp;C211,'Reguler Class Availability'!$L:$L,0),"")</f>
        <v>142</v>
      </c>
      <c r="BD211" s="30" t="s">
        <v>139</v>
      </c>
      <c r="BE211" s="30" t="n">
        <f aca="false">IF(COUNTIFS('Reguler Class Availability'!$L:$L,$B$4&amp;"|- Lane 4 - *|"&amp;BD211)&gt;0,1,0)</f>
        <v>1</v>
      </c>
      <c r="BF211" s="30" t="n">
        <f aca="false">BE211+BF210</f>
        <v>7</v>
      </c>
    </row>
    <row r="212" customFormat="false" ht="15.75" hidden="false" customHeight="true" outlineLevel="0" collapsed="false">
      <c r="A212" s="76" t="n">
        <v>86</v>
      </c>
      <c r="B212" s="77" t="s">
        <v>117</v>
      </c>
      <c r="C212" s="76" t="s">
        <v>144</v>
      </c>
      <c r="D212" s="76" t="n">
        <v>2</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Belum terisi</v>
      </c>
      <c r="F212" s="77" t="str">
        <f aca="false">IF($Q212="","",PROPER(INDEX('Reguler Class Availability'!$B:$B,$Q212)&amp;""))</f>
        <v>Tiny</v>
      </c>
      <c r="G212" s="76" t="n">
        <f aca="false">IF($Q212="","",IFERROR(--(INDEX('Reguler Class Availability'!$F:$F,$Q212)&amp;""),0))</f>
        <v>5</v>
      </c>
      <c r="H212" s="77" t="str">
        <f aca="false">IF($Q212="","",PROPER(INDEX('Reguler Class Availability'!$I:$I,$Q212)&amp;"")&amp;IF(INDEX('Reguler Class Availability'!$J:$J,$Q212)&amp;""="",""," + asst "&amp;PROPER(INDEX('Reguler Class Availability'!$J:$J,$Q212)&amp;"")))</f>
        <v/>
      </c>
      <c r="I212" s="77" t="s">
        <v>230</v>
      </c>
      <c r="J212" s="77" t="s">
        <v>198</v>
      </c>
      <c r="K212" s="78"/>
      <c r="L212" s="78"/>
      <c r="M212" s="78"/>
      <c r="N212" s="79"/>
      <c r="O212" s="78"/>
      <c r="Q212" s="30" t="n">
        <f aca="false">IFERROR(MATCH($B$4&amp;"|- Lane "&amp;D212&amp;" - "&amp;B212&amp;"|"&amp;C212,'Reguler Class Availability'!$L:$L,0),"")</f>
        <v>143</v>
      </c>
      <c r="BD212" s="30" t="s">
        <v>141</v>
      </c>
      <c r="BE212" s="30" t="n">
        <f aca="false">IF(COUNTIFS('Reguler Class Availability'!$L:$L,$B$4&amp;"|- Lane 4 - *|"&amp;BD212)&gt;0,1,0)</f>
        <v>0</v>
      </c>
      <c r="BF212" s="30" t="n">
        <f aca="false">BE212+BF211</f>
        <v>7</v>
      </c>
    </row>
    <row r="213" customFormat="false" ht="15.75" hidden="false" customHeight="true" outlineLevel="0" collapsed="false">
      <c r="A213" s="76" t="n">
        <v>87</v>
      </c>
      <c r="B213" s="77" t="s">
        <v>117</v>
      </c>
      <c r="C213" s="76" t="s">
        <v>153</v>
      </c>
      <c r="D213" s="76" t="n">
        <v>2</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Belum terisi</v>
      </c>
      <c r="F213" s="77" t="str">
        <f aca="false">IF($Q213="","",PROPER(INDEX('Reguler Class Availability'!$B:$B,$Q213)&amp;""))</f>
        <v>Tiny</v>
      </c>
      <c r="G213" s="76" t="n">
        <f aca="false">IF($Q213="","",IFERROR(--(INDEX('Reguler Class Availability'!$F:$F,$Q213)&amp;""),0))</f>
        <v>5</v>
      </c>
      <c r="H213" s="77" t="str">
        <f aca="false">IF($Q213="","",PROPER(INDEX('Reguler Class Availability'!$I:$I,$Q213)&amp;"")&amp;IF(INDEX('Reguler Class Availability'!$J:$J,$Q213)&amp;""="",""," + asst "&amp;PROPER(INDEX('Reguler Class Availability'!$J:$J,$Q213)&amp;"")))</f>
        <v/>
      </c>
      <c r="I213" s="80" t="s">
        <v>199</v>
      </c>
      <c r="J213" s="77" t="s">
        <v>42</v>
      </c>
      <c r="K213" s="78"/>
      <c r="L213" s="78"/>
      <c r="M213" s="78"/>
      <c r="N213" s="79"/>
      <c r="O213" s="78"/>
      <c r="Q213" s="30" t="n">
        <f aca="false">IFERROR(MATCH($B$4&amp;"|- Lane "&amp;D213&amp;" - "&amp;B213&amp;"|"&amp;C213,'Reguler Class Availability'!$L:$L,0),"")</f>
        <v>146</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117</v>
      </c>
      <c r="C214" s="76" t="s">
        <v>156</v>
      </c>
      <c r="D214" s="76" t="n">
        <v>1</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Kosong</v>
      </c>
      <c r="F214" s="77" t="str">
        <f aca="false">IF($Q214="","",PROPER(INDEX('Reguler Class Availability'!$B:$B,$Q214)&amp;""))</f>
        <v/>
      </c>
      <c r="G214" s="76" t="n">
        <f aca="false">IF($Q214="","",IFERROR(--(INDEX('Reguler Class Availability'!$F:$F,$Q214)&amp;""),0))</f>
        <v>5</v>
      </c>
      <c r="H214" s="77" t="str">
        <f aca="false">IF($Q214="","",PROPER(INDEX('Reguler Class Availability'!$I:$I,$Q214)&amp;"")&amp;IF(INDEX('Reguler Class Availability'!$J:$J,$Q214)&amp;""="",""," + asst "&amp;PROPER(INDEX('Reguler Class Availability'!$J:$J,$Q214)&amp;"")))</f>
        <v/>
      </c>
      <c r="I214" s="77" t="s">
        <v>231</v>
      </c>
      <c r="J214" s="77" t="s">
        <v>188</v>
      </c>
      <c r="K214" s="78"/>
      <c r="L214" s="78"/>
      <c r="M214" s="78"/>
      <c r="N214" s="79"/>
      <c r="O214" s="78"/>
      <c r="Q214" s="30" t="n">
        <f aca="false">IFERROR(MATCH($B$4&amp;"|- Lane "&amp;D214&amp;" - "&amp;B214&amp;"|"&amp;C214,'Reguler Class Availability'!$L:$L,0),"")</f>
        <v>49</v>
      </c>
      <c r="BD214" s="30" t="s">
        <v>143</v>
      </c>
      <c r="BE214" s="30" t="n">
        <f aca="false">IF(COUNTIFS('Reguler Class Availability'!$L:$L,$B$4&amp;"|- Lane 4 - *|"&amp;BD214)&gt;0,1,0)</f>
        <v>1</v>
      </c>
      <c r="BF214" s="30" t="n">
        <f aca="false">BE214+BF213</f>
        <v>8</v>
      </c>
    </row>
    <row r="215" customFormat="false" ht="27.75" hidden="false" customHeight="true" outlineLevel="0" collapsed="false">
      <c r="A215" s="76" t="n">
        <v>89</v>
      </c>
      <c r="B215" s="77" t="s">
        <v>117</v>
      </c>
      <c r="C215" s="76" t="s">
        <v>156</v>
      </c>
      <c r="D215" s="76" t="n">
        <v>2</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Belum terisi</v>
      </c>
      <c r="F215" s="77" t="str">
        <f aca="false">IF($Q215="","",PROPER(INDEX('Reguler Class Availability'!$B:$B,$Q215)&amp;""))</f>
        <v>Tiny</v>
      </c>
      <c r="G215" s="76" t="n">
        <f aca="false">IF($Q215="","",IFERROR(--(INDEX('Reguler Class Availability'!$F:$F,$Q215)&amp;""),0))</f>
        <v>5</v>
      </c>
      <c r="H215" s="77" t="str">
        <f aca="false">IF($Q215="","",PROPER(INDEX('Reguler Class Availability'!$I:$I,$Q215)&amp;"")&amp;IF(INDEX('Reguler Class Availability'!$J:$J,$Q215)&amp;""="",""," + asst "&amp;PROPER(INDEX('Reguler Class Availability'!$J:$J,$Q215)&amp;"")))</f>
        <v/>
      </c>
      <c r="I215" s="77" t="s">
        <v>231</v>
      </c>
      <c r="J215" s="77" t="s">
        <v>188</v>
      </c>
      <c r="K215" s="78"/>
      <c r="L215" s="78"/>
      <c r="M215" s="78"/>
      <c r="N215" s="79"/>
      <c r="O215" s="78"/>
      <c r="Q215" s="30" t="n">
        <f aca="false">IFERROR(MATCH($B$4&amp;"|- Lane "&amp;D215&amp;" - "&amp;B215&amp;"|"&amp;C215,'Reguler Class Availability'!$L:$L,0),"")</f>
        <v>147</v>
      </c>
      <c r="BD215" s="30" t="s">
        <v>144</v>
      </c>
      <c r="BE215" s="30" t="n">
        <f aca="false">IF(COUNTIFS('Reguler Class Availability'!$L:$L,$B$4&amp;"|- Lane 4 - *|"&amp;BD215)&gt;0,1,0)</f>
        <v>0</v>
      </c>
      <c r="BF215" s="30" t="n">
        <f aca="false">BE215+BF214</f>
        <v>8</v>
      </c>
    </row>
    <row r="216" customFormat="false" ht="52.5" hidden="false" customHeight="true" outlineLevel="0" collapsed="false">
      <c r="A216" s="76" t="n">
        <v>90</v>
      </c>
      <c r="B216" s="77" t="s">
        <v>117</v>
      </c>
      <c r="C216" s="76" t="s">
        <v>160</v>
      </c>
      <c r="D216" s="76" t="n">
        <v>1</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Belum terisi</v>
      </c>
      <c r="F216" s="77" t="str">
        <f aca="false">IF($Q216="","",PROPER(INDEX('Reguler Class Availability'!$B:$B,$Q216)&amp;""))</f>
        <v>Star</v>
      </c>
      <c r="G216" s="76" t="n">
        <f aca="false">IF($Q216="","",IFERROR(--(INDEX('Reguler Class Availability'!$F:$F,$Q216)&amp;""),0))</f>
        <v>8</v>
      </c>
      <c r="H216" s="77" t="str">
        <f aca="false">IF($Q216="","",PROPER(INDEX('Reguler Class Availability'!$I:$I,$Q216)&amp;"")&amp;IF(INDEX('Reguler Class Availability'!$J:$J,$Q216)&amp;""="",""," + asst "&amp;PROPER(INDEX('Reguler Class Availability'!$J:$J,$Q216)&amp;"")))</f>
        <v/>
      </c>
      <c r="I216" s="77" t="s">
        <v>222</v>
      </c>
      <c r="J216" s="77" t="s">
        <v>186</v>
      </c>
      <c r="K216" s="78"/>
      <c r="L216" s="78"/>
      <c r="M216" s="78"/>
      <c r="N216" s="79"/>
      <c r="O216" s="78"/>
      <c r="Q216" s="30" t="n">
        <f aca="false">IFERROR(MATCH($B$4&amp;"|- Lane "&amp;D216&amp;" - "&amp;B216&amp;"|"&amp;C216,'Reguler Class Availability'!$L:$L,0),"")</f>
        <v>96</v>
      </c>
      <c r="BD216" s="30" t="s">
        <v>145</v>
      </c>
      <c r="BE216" s="30" t="n">
        <f aca="false">IF(COUNTIFS('Reguler Class Availability'!$L:$L,$B$4&amp;"|- Lane 4 - *|"&amp;BD216)&gt;0,1,0)</f>
        <v>0</v>
      </c>
      <c r="BF216" s="30" t="n">
        <f aca="false">BE216+BF215</f>
        <v>8</v>
      </c>
    </row>
    <row r="217" customFormat="false" ht="65.25" hidden="false" customHeight="true" outlineLevel="0" collapsed="false">
      <c r="A217" s="76" t="n">
        <v>91</v>
      </c>
      <c r="B217" s="77" t="s">
        <v>118</v>
      </c>
      <c r="C217" s="76" t="s">
        <v>91</v>
      </c>
      <c r="D217" s="76" t="n">
        <v>1</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Belum terisi</v>
      </c>
      <c r="F217" s="77" t="str">
        <f aca="false">IF($Q217="","",PROPER(INDEX('Reguler Class Availability'!$B:$B,$Q217)&amp;""))</f>
        <v>Star</v>
      </c>
      <c r="G217" s="76" t="n">
        <f aca="false">IF($Q217="","",IFERROR(--(INDEX('Reguler Class Availability'!$F:$F,$Q217)&amp;""),0))</f>
        <v>8</v>
      </c>
      <c r="H217" s="77" t="str">
        <f aca="false">IF($Q217="","",PROPER(INDEX('Reguler Class Availability'!$I:$I,$Q217)&amp;"")&amp;IF(INDEX('Reguler Class Availability'!$J:$J,$Q217)&amp;""="",""," + asst "&amp;PROPER(INDEX('Reguler Class Availability'!$J:$J,$Q217)&amp;"")))</f>
        <v/>
      </c>
      <c r="I217" s="77" t="s">
        <v>232</v>
      </c>
      <c r="J217" s="77" t="s">
        <v>186</v>
      </c>
      <c r="K217" s="78"/>
      <c r="L217" s="78"/>
      <c r="M217" s="78"/>
      <c r="N217" s="79"/>
      <c r="O217" s="78"/>
      <c r="Q217" s="30" t="n">
        <f aca="false">IFERROR(MATCH($B$4&amp;"|- Lane "&amp;D217&amp;" - "&amp;B217&amp;"|"&amp;C217,'Reguler Class Availability'!$L:$L,0),"")</f>
        <v>90</v>
      </c>
      <c r="BD217" s="30" t="s">
        <v>146</v>
      </c>
      <c r="BE217" s="30" t="n">
        <f aca="false">IF(COUNTIFS('Reguler Class Availability'!$L:$L,$B$4&amp;"|- Lane 4 - *|"&amp;BD217)&gt;0,1,0)</f>
        <v>1</v>
      </c>
      <c r="BF217" s="30" t="n">
        <f aca="false">BE217+BF216</f>
        <v>9</v>
      </c>
    </row>
    <row r="218" customFormat="false" ht="52.5" hidden="false" customHeight="true" outlineLevel="0" collapsed="false">
      <c r="A218" s="76" t="n">
        <v>92</v>
      </c>
      <c r="B218" s="77" t="s">
        <v>118</v>
      </c>
      <c r="C218" s="76" t="s">
        <v>120</v>
      </c>
      <c r="D218" s="76" t="n">
        <v>3</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Belum terisi</v>
      </c>
      <c r="F218" s="77" t="str">
        <f aca="false">IF($Q218="","",PROPER(INDEX('Reguler Class Availability'!$B:$B,$Q218)&amp;""))</f>
        <v>Little</v>
      </c>
      <c r="G218" s="76" t="n">
        <f aca="false">IF($Q218="","",IFERROR(--(INDEX('Reguler Class Availability'!$F:$F,$Q218)&amp;""),0))</f>
        <v>4</v>
      </c>
      <c r="H218" s="77" t="str">
        <f aca="false">IF($Q218="","",PROPER(INDEX('Reguler Class Availability'!$I:$I,$Q218)&amp;"")&amp;IF(INDEX('Reguler Class Availability'!$J:$J,$Q218)&amp;""="",""," + asst "&amp;PROPER(INDEX('Reguler Class Availability'!$J:$J,$Q218)&amp;"")))</f>
        <v/>
      </c>
      <c r="I218" s="77" t="s">
        <v>233</v>
      </c>
      <c r="J218" s="77" t="s">
        <v>188</v>
      </c>
      <c r="K218" s="78"/>
      <c r="L218" s="78"/>
      <c r="M218" s="78"/>
      <c r="N218" s="79"/>
      <c r="O218" s="78"/>
      <c r="Q218" s="30" t="n">
        <f aca="false">IFERROR(MATCH($B$4&amp;"|- Lane "&amp;D218&amp;" - "&amp;B218&amp;"|"&amp;C218,'Reguler Class Availability'!$L:$L,0),"")</f>
        <v>233</v>
      </c>
      <c r="BD218" s="30" t="s">
        <v>147</v>
      </c>
      <c r="BE218" s="30" t="n">
        <f aca="false">IF(COUNTIFS('Reguler Class Availability'!$L:$L,$B$4&amp;"|- Lane 4 - *|"&amp;BD218)&gt;0,1,0)</f>
        <v>0</v>
      </c>
      <c r="BF218" s="30" t="n">
        <f aca="false">BE218+BF217</f>
        <v>9</v>
      </c>
    </row>
    <row r="219" customFormat="false" ht="52.5" hidden="false" customHeight="true" outlineLevel="0" collapsed="false">
      <c r="A219" s="76" t="n">
        <v>93</v>
      </c>
      <c r="B219" s="77" t="s">
        <v>118</v>
      </c>
      <c r="C219" s="76" t="s">
        <v>120</v>
      </c>
      <c r="D219" s="76" t="n">
        <v>4</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Belum terisi</v>
      </c>
      <c r="F219" s="77" t="str">
        <f aca="false">IF($Q219="","",PROPER(INDEX('Reguler Class Availability'!$B:$B,$Q219)&amp;""))</f>
        <v>Kids</v>
      </c>
      <c r="G219" s="76" t="n">
        <f aca="false">IF($Q219="","",IFERROR(--(INDEX('Reguler Class Availability'!$F:$F,$Q219)&amp;""),0))</f>
        <v>4</v>
      </c>
      <c r="H219" s="77" t="str">
        <f aca="false">IF($Q219="","",PROPER(INDEX('Reguler Class Availability'!$I:$I,$Q219)&amp;"")&amp;IF(INDEX('Reguler Class Availability'!$J:$J,$Q219)&amp;""="",""," + asst "&amp;PROPER(INDEX('Reguler Class Availability'!$J:$J,$Q219)&amp;"")))</f>
        <v/>
      </c>
      <c r="I219" s="77" t="s">
        <v>233</v>
      </c>
      <c r="J219" s="77" t="s">
        <v>188</v>
      </c>
      <c r="K219" s="78"/>
      <c r="L219" s="78"/>
      <c r="M219" s="78"/>
      <c r="N219" s="79"/>
      <c r="O219" s="78"/>
      <c r="Q219" s="30" t="n">
        <f aca="false">IFERROR(MATCH($B$4&amp;"|- Lane "&amp;D219&amp;" - "&amp;B219&amp;"|"&amp;C219,'Reguler Class Availability'!$L:$L,0),"")</f>
        <v>317</v>
      </c>
      <c r="BD219" s="30" t="s">
        <v>148</v>
      </c>
      <c r="BE219" s="30" t="n">
        <f aca="false">IF(COUNTIFS('Reguler Class Availability'!$L:$L,$B$4&amp;"|- Lane 4 - *|"&amp;BD219)&gt;0,1,0)</f>
        <v>0</v>
      </c>
      <c r="BF219" s="30" t="n">
        <f aca="false">BE219+BF218</f>
        <v>9</v>
      </c>
    </row>
    <row r="220" customFormat="false" ht="52.5" hidden="false" customHeight="true" outlineLevel="0" collapsed="false">
      <c r="A220" s="76" t="n">
        <v>94</v>
      </c>
      <c r="B220" s="77" t="s">
        <v>118</v>
      </c>
      <c r="C220" s="76" t="s">
        <v>120</v>
      </c>
      <c r="D220" s="76" t="n">
        <v>5</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Kosong</v>
      </c>
      <c r="F220" s="77" t="str">
        <f aca="false">IF($Q220="","",PROPER(INDEX('Reguler Class Availability'!$B:$B,$Q220)&amp;""))</f>
        <v/>
      </c>
      <c r="G220" s="76" t="n">
        <f aca="false">IF($Q220="","",IFERROR(--(INDEX('Reguler Class Availability'!$F:$F,$Q220)&amp;""),0))</f>
        <v>4</v>
      </c>
      <c r="H220" s="77" t="str">
        <f aca="false">IF($Q220="","",PROPER(INDEX('Reguler Class Availability'!$I:$I,$Q220)&amp;"")&amp;IF(INDEX('Reguler Class Availability'!$J:$J,$Q220)&amp;""="",""," + asst "&amp;PROPER(INDEX('Reguler Class Availability'!$J:$J,$Q220)&amp;"")))</f>
        <v/>
      </c>
      <c r="I220" s="77" t="s">
        <v>233</v>
      </c>
      <c r="J220" s="77" t="s">
        <v>188</v>
      </c>
      <c r="K220" s="78"/>
      <c r="L220" s="78"/>
      <c r="M220" s="78"/>
      <c r="N220" s="79"/>
      <c r="O220" s="78"/>
      <c r="Q220" s="30" t="n">
        <f aca="false">IFERROR(MATCH($B$4&amp;"|- Lane "&amp;D220&amp;" - "&amp;B220&amp;"|"&amp;C220,'Reguler Class Availability'!$L:$L,0),"")</f>
        <v>401</v>
      </c>
      <c r="BD220" s="30" t="s">
        <v>149</v>
      </c>
      <c r="BE220" s="30" t="n">
        <f aca="false">IF(COUNTIFS('Reguler Class Availability'!$L:$L,$B$4&amp;"|- Lane 4 - *|"&amp;BD220)&gt;0,1,0)</f>
        <v>1</v>
      </c>
      <c r="BF220" s="30" t="n">
        <f aca="false">BE220+BF219</f>
        <v>10</v>
      </c>
    </row>
    <row r="221" customFormat="false" ht="52.5" hidden="false" customHeight="true" outlineLevel="0" collapsed="false">
      <c r="A221" s="76" t="n">
        <v>95</v>
      </c>
      <c r="B221" s="77" t="s">
        <v>118</v>
      </c>
      <c r="C221" s="76" t="s">
        <v>123</v>
      </c>
      <c r="D221" s="76" t="n">
        <v>3</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Belum terisi</v>
      </c>
      <c r="F221" s="77" t="str">
        <f aca="false">IF($Q221="","",PROPER(INDEX('Reguler Class Availability'!$B:$B,$Q221)&amp;""))</f>
        <v>Little</v>
      </c>
      <c r="G221" s="76" t="n">
        <f aca="false">IF($Q221="","",IFERROR(--(INDEX('Reguler Class Availability'!$F:$F,$Q221)&amp;""),0))</f>
        <v>4</v>
      </c>
      <c r="H221" s="77" t="str">
        <f aca="false">IF($Q221="","",PROPER(INDEX('Reguler Class Availability'!$I:$I,$Q221)&amp;"")&amp;IF(INDEX('Reguler Class Availability'!$J:$J,$Q221)&amp;""="",""," + asst "&amp;PROPER(INDEX('Reguler Class Availability'!$J:$J,$Q221)&amp;"")))</f>
        <v/>
      </c>
      <c r="I221" s="77" t="s">
        <v>233</v>
      </c>
      <c r="J221" s="77" t="s">
        <v>188</v>
      </c>
      <c r="K221" s="78"/>
      <c r="L221" s="78"/>
      <c r="M221" s="78"/>
      <c r="N221" s="79"/>
      <c r="O221" s="78"/>
      <c r="Q221" s="30" t="n">
        <f aca="false">IFERROR(MATCH($B$4&amp;"|- Lane "&amp;D221&amp;" - "&amp;B221&amp;"|"&amp;C221,'Reguler Class Availability'!$L:$L,0),"")</f>
        <v>234</v>
      </c>
      <c r="BD221" s="30" t="s">
        <v>150</v>
      </c>
      <c r="BE221" s="30" t="n">
        <f aca="false">IF(COUNTIFS('Reguler Class Availability'!$L:$L,$B$4&amp;"|- Lane 4 - *|"&amp;BD221)&gt;0,1,0)</f>
        <v>0</v>
      </c>
      <c r="BF221" s="30" t="n">
        <f aca="false">BE221+BF220</f>
        <v>10</v>
      </c>
    </row>
    <row r="222" customFormat="false" ht="52.5" hidden="false" customHeight="true" outlineLevel="0" collapsed="false">
      <c r="A222" s="76" t="n">
        <v>96</v>
      </c>
      <c r="B222" s="77" t="s">
        <v>118</v>
      </c>
      <c r="C222" s="76" t="s">
        <v>123</v>
      </c>
      <c r="D222" s="76" t="n">
        <v>4</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Belum terisi</v>
      </c>
      <c r="F222" s="77" t="str">
        <f aca="false">IF($Q222="","",PROPER(INDEX('Reguler Class Availability'!$B:$B,$Q222)&amp;""))</f>
        <v>Kids</v>
      </c>
      <c r="G222" s="76" t="n">
        <f aca="false">IF($Q222="","",IFERROR(--(INDEX('Reguler Class Availability'!$F:$F,$Q222)&amp;""),0))</f>
        <v>4</v>
      </c>
      <c r="H222" s="77" t="str">
        <f aca="false">IF($Q222="","",PROPER(INDEX('Reguler Class Availability'!$I:$I,$Q222)&amp;"")&amp;IF(INDEX('Reguler Class Availability'!$J:$J,$Q222)&amp;""="",""," + asst "&amp;PROPER(INDEX('Reguler Class Availability'!$J:$J,$Q222)&amp;"")))</f>
        <v/>
      </c>
      <c r="I222" s="77" t="s">
        <v>233</v>
      </c>
      <c r="J222" s="77" t="s">
        <v>188</v>
      </c>
      <c r="K222" s="78"/>
      <c r="L222" s="78"/>
      <c r="M222" s="78"/>
      <c r="N222" s="79"/>
      <c r="O222" s="78"/>
      <c r="Q222" s="30" t="n">
        <f aca="false">IFERROR(MATCH($B$4&amp;"|- Lane "&amp;D222&amp;" - "&amp;B222&amp;"|"&amp;C222,'Reguler Class Availability'!$L:$L,0),"")</f>
        <v>318</v>
      </c>
      <c r="BD222" s="30" t="s">
        <v>151</v>
      </c>
      <c r="BE222" s="30" t="n">
        <f aca="false">IF(COUNTIFS('Reguler Class Availability'!$L:$L,$B$4&amp;"|- Lane 4 - *|"&amp;BD222)&gt;0,1,0)</f>
        <v>0</v>
      </c>
      <c r="BF222" s="30" t="n">
        <f aca="false">BE222+BF221</f>
        <v>10</v>
      </c>
    </row>
    <row r="223" customFormat="false" ht="52.5" hidden="false" customHeight="true" outlineLevel="0" collapsed="false">
      <c r="A223" s="76" t="n">
        <v>97</v>
      </c>
      <c r="B223" s="77" t="s">
        <v>118</v>
      </c>
      <c r="C223" s="76" t="s">
        <v>123</v>
      </c>
      <c r="D223" s="76" t="n">
        <v>5</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Kosong</v>
      </c>
      <c r="F223" s="77" t="str">
        <f aca="false">IF($Q223="","",PROPER(INDEX('Reguler Class Availability'!$B:$B,$Q223)&amp;""))</f>
        <v/>
      </c>
      <c r="G223" s="76" t="n">
        <f aca="false">IF($Q223="","",IFERROR(--(INDEX('Reguler Class Availability'!$F:$F,$Q223)&amp;""),0))</f>
        <v>4</v>
      </c>
      <c r="H223" s="77" t="str">
        <f aca="false">IF($Q223="","",PROPER(INDEX('Reguler Class Availability'!$I:$I,$Q223)&amp;"")&amp;IF(INDEX('Reguler Class Availability'!$J:$J,$Q223)&amp;""="",""," + asst "&amp;PROPER(INDEX('Reguler Class Availability'!$J:$J,$Q223)&amp;"")))</f>
        <v/>
      </c>
      <c r="I223" s="77" t="s">
        <v>233</v>
      </c>
      <c r="J223" s="77" t="s">
        <v>188</v>
      </c>
      <c r="K223" s="78"/>
      <c r="L223" s="78"/>
      <c r="M223" s="78"/>
      <c r="N223" s="79"/>
      <c r="O223" s="78"/>
      <c r="Q223" s="30" t="n">
        <f aca="false">IFERROR(MATCH($B$4&amp;"|- Lane "&amp;D223&amp;" - "&amp;B223&amp;"|"&amp;C223,'Reguler Class Availability'!$L:$L,0),"")</f>
        <v>402</v>
      </c>
      <c r="BD223" s="30" t="s">
        <v>152</v>
      </c>
      <c r="BE223" s="30" t="n">
        <f aca="false">IF(COUNTIFS('Reguler Class Availability'!$L:$L,$B$4&amp;"|- Lane 4 - *|"&amp;BD223)&gt;0,1,0)</f>
        <v>1</v>
      </c>
      <c r="BF223" s="30" t="n">
        <f aca="false">BE223+BF222</f>
        <v>11</v>
      </c>
    </row>
    <row r="224" customFormat="false" ht="52.5" hidden="false" customHeight="true" outlineLevel="0" collapsed="false">
      <c r="A224" s="76" t="n">
        <v>98</v>
      </c>
      <c r="B224" s="77" t="s">
        <v>118</v>
      </c>
      <c r="C224" s="76" t="s">
        <v>124</v>
      </c>
      <c r="D224" s="76" t="n">
        <v>1</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Kosong</v>
      </c>
      <c r="F224" s="77" t="str">
        <f aca="false">IF($Q224="","",PROPER(INDEX('Reguler Class Availability'!$B:$B,$Q224)&amp;""))</f>
        <v/>
      </c>
      <c r="G224" s="76" t="n">
        <f aca="false">IF($Q224="","",IFERROR(--(INDEX('Reguler Class Availability'!$F:$F,$Q224)&amp;""),0))</f>
        <v>5</v>
      </c>
      <c r="H224" s="77" t="str">
        <f aca="false">IF($Q224="","",PROPER(INDEX('Reguler Class Availability'!$I:$I,$Q224)&amp;"")&amp;IF(INDEX('Reguler Class Availability'!$J:$J,$Q224)&amp;""="",""," + asst "&amp;PROPER(INDEX('Reguler Class Availability'!$J:$J,$Q224)&amp;"")))</f>
        <v/>
      </c>
      <c r="I224" s="77" t="s">
        <v>234</v>
      </c>
      <c r="J224" s="77" t="s">
        <v>188</v>
      </c>
      <c r="K224" s="78"/>
      <c r="L224" s="78"/>
      <c r="M224" s="78"/>
      <c r="N224" s="79"/>
      <c r="O224" s="78"/>
      <c r="Q224" s="30" t="n">
        <f aca="false">IFERROR(MATCH($B$4&amp;"|- Lane "&amp;D224&amp;" - "&amp;B224&amp;"|"&amp;C224,'Reguler Class Availability'!$L:$L,0),"")</f>
        <v>52</v>
      </c>
      <c r="BD224" s="30" t="s">
        <v>153</v>
      </c>
      <c r="BE224" s="30" t="n">
        <f aca="false">IF(COUNTIFS('Reguler Class Availability'!$L:$L,$B$4&amp;"|- Lane 4 - *|"&amp;BD224)&gt;0,1,0)</f>
        <v>0</v>
      </c>
      <c r="BF224" s="30" t="n">
        <f aca="false">BE224+BF223</f>
        <v>11</v>
      </c>
    </row>
    <row r="225" customFormat="false" ht="52.5" hidden="false" customHeight="true" outlineLevel="0" collapsed="false">
      <c r="A225" s="76" t="n">
        <v>99</v>
      </c>
      <c r="B225" s="77" t="s">
        <v>118</v>
      </c>
      <c r="C225" s="76" t="s">
        <v>126</v>
      </c>
      <c r="D225" s="76" t="n">
        <v>5</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Kosong</v>
      </c>
      <c r="F225" s="77" t="str">
        <f aca="false">IF($Q225="","",PROPER(INDEX('Reguler Class Availability'!$B:$B,$Q225)&amp;""))</f>
        <v/>
      </c>
      <c r="G225" s="76" t="n">
        <f aca="false">IF($Q225="","",IFERROR(--(INDEX('Reguler Class Availability'!$F:$F,$Q225)&amp;""),0))</f>
        <v>4</v>
      </c>
      <c r="H225" s="77" t="str">
        <f aca="false">IF($Q225="","",PROPER(INDEX('Reguler Class Availability'!$I:$I,$Q225)&amp;"")&amp;IF(INDEX('Reguler Class Availability'!$J:$J,$Q225)&amp;""="",""," + asst "&amp;PROPER(INDEX('Reguler Class Availability'!$J:$J,$Q225)&amp;"")))</f>
        <v/>
      </c>
      <c r="I225" s="77" t="s">
        <v>234</v>
      </c>
      <c r="J225" s="77" t="s">
        <v>188</v>
      </c>
      <c r="K225" s="78"/>
      <c r="L225" s="78"/>
      <c r="M225" s="78"/>
      <c r="N225" s="79"/>
      <c r="O225" s="78"/>
      <c r="Q225" s="30" t="n">
        <f aca="false">IFERROR(MATCH($B$4&amp;"|- Lane "&amp;D225&amp;" - "&amp;B225&amp;"|"&amp;C225,'Reguler Class Availability'!$L:$L,0),"")</f>
        <v>403</v>
      </c>
      <c r="BD225" s="30" t="s">
        <v>154</v>
      </c>
      <c r="BE225" s="30" t="n">
        <f aca="false">IF(COUNTIFS('Reguler Class Availability'!$L:$L,$B$4&amp;"|- Lane 4 - *|"&amp;BD225)&gt;0,1,0)</f>
        <v>0</v>
      </c>
      <c r="BF225" s="30" t="n">
        <f aca="false">BE225+BF224</f>
        <v>11</v>
      </c>
    </row>
    <row r="226" customFormat="false" ht="52.5" hidden="false" customHeight="true" outlineLevel="0" collapsed="false">
      <c r="A226" s="76" t="n">
        <v>100</v>
      </c>
      <c r="B226" s="77" t="s">
        <v>118</v>
      </c>
      <c r="C226" s="76" t="s">
        <v>127</v>
      </c>
      <c r="D226" s="76" t="n">
        <v>1</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Kosong</v>
      </c>
      <c r="F226" s="77" t="str">
        <f aca="false">IF($Q226="","",PROPER(INDEX('Reguler Class Availability'!$B:$B,$Q226)&amp;""))</f>
        <v/>
      </c>
      <c r="G226" s="76" t="n">
        <f aca="false">IF($Q226="","",IFERROR(--(INDEX('Reguler Class Availability'!$F:$F,$Q226)&amp;""),0))</f>
        <v>5</v>
      </c>
      <c r="H226" s="77" t="str">
        <f aca="false">IF($Q226="","",PROPER(INDEX('Reguler Class Availability'!$I:$I,$Q226)&amp;"")&amp;IF(INDEX('Reguler Class Availability'!$J:$J,$Q226)&amp;""="",""," + asst "&amp;PROPER(INDEX('Reguler Class Availability'!$J:$J,$Q226)&amp;"")))</f>
        <v/>
      </c>
      <c r="I226" s="77" t="s">
        <v>235</v>
      </c>
      <c r="J226" s="77" t="s">
        <v>188</v>
      </c>
      <c r="K226" s="78"/>
      <c r="L226" s="78"/>
      <c r="M226" s="78"/>
      <c r="N226" s="79"/>
      <c r="O226" s="78"/>
      <c r="Q226" s="30" t="n">
        <f aca="false">IFERROR(MATCH($B$4&amp;"|- Lane "&amp;D226&amp;" - "&amp;B226&amp;"|"&amp;C226,'Reguler Class Availability'!$L:$L,0),"")</f>
        <v>53</v>
      </c>
      <c r="BD226" s="30" t="s">
        <v>155</v>
      </c>
      <c r="BE226" s="30" t="n">
        <f aca="false">IF(COUNTIFS('Reguler Class Availability'!$L:$L,$B$4&amp;"|- Lane 4 - *|"&amp;BD226)&gt;0,1,0)</f>
        <v>1</v>
      </c>
      <c r="BF226" s="30" t="n">
        <f aca="false">BE226+BF225</f>
        <v>12</v>
      </c>
    </row>
    <row r="227" customFormat="false" ht="52.5" hidden="false" customHeight="true" outlineLevel="0" collapsed="false">
      <c r="A227" s="76" t="n">
        <v>101</v>
      </c>
      <c r="B227" s="77" t="s">
        <v>118</v>
      </c>
      <c r="C227" s="76" t="s">
        <v>127</v>
      </c>
      <c r="D227" s="76" t="n">
        <v>2</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Tiny</v>
      </c>
      <c r="G227" s="76" t="n">
        <f aca="false">IF($Q227="","",IFERROR(--(INDEX('Reguler Class Availability'!$F:$F,$Q227)&amp;""),0))</f>
        <v>5</v>
      </c>
      <c r="H227" s="77" t="str">
        <f aca="false">IF($Q227="","",PROPER(INDEX('Reguler Class Availability'!$I:$I,$Q227)&amp;"")&amp;IF(INDEX('Reguler Class Availability'!$J:$J,$Q227)&amp;""="",""," + asst "&amp;PROPER(INDEX('Reguler Class Availability'!$J:$J,$Q227)&amp;"")))</f>
        <v/>
      </c>
      <c r="I227" s="77" t="s">
        <v>235</v>
      </c>
      <c r="J227" s="77" t="s">
        <v>188</v>
      </c>
      <c r="K227" s="78"/>
      <c r="L227" s="78"/>
      <c r="M227" s="78"/>
      <c r="N227" s="79"/>
      <c r="O227" s="78"/>
      <c r="Q227" s="30" t="n">
        <f aca="false">IFERROR(MATCH($B$4&amp;"|- Lane "&amp;D227&amp;" - "&amp;B227&amp;"|"&amp;C227,'Reguler Class Availability'!$L:$L,0),"")</f>
        <v>151</v>
      </c>
      <c r="BD227" s="30" t="s">
        <v>156</v>
      </c>
      <c r="BE227" s="30" t="n">
        <f aca="false">IF(COUNTIFS('Reguler Class Availability'!$L:$L,$B$4&amp;"|- Lane 4 - *|"&amp;BD227)&gt;0,1,0)</f>
        <v>0</v>
      </c>
      <c r="BF227" s="30" t="n">
        <f aca="false">BE227+BF226</f>
        <v>12</v>
      </c>
    </row>
    <row r="228" customFormat="false" ht="52.5" hidden="false" customHeight="true" outlineLevel="0" collapsed="false">
      <c r="A228" s="76" t="n">
        <v>102</v>
      </c>
      <c r="B228" s="77" t="s">
        <v>118</v>
      </c>
      <c r="C228" s="76" t="s">
        <v>130</v>
      </c>
      <c r="D228" s="76" t="n">
        <v>1</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Kosong</v>
      </c>
      <c r="F228" s="77" t="str">
        <f aca="false">IF($Q228="","",PROPER(INDEX('Reguler Class Availability'!$B:$B,$Q228)&amp;""))</f>
        <v/>
      </c>
      <c r="G228" s="76" t="n">
        <f aca="false">IF($Q228="","",IFERROR(--(INDEX('Reguler Class Availability'!$F:$F,$Q228)&amp;""),0))</f>
        <v>5</v>
      </c>
      <c r="H228" s="77" t="str">
        <f aca="false">IF($Q228="","",PROPER(INDEX('Reguler Class Availability'!$I:$I,$Q228)&amp;"")&amp;IF(INDEX('Reguler Class Availability'!$J:$J,$Q228)&amp;""="",""," + asst "&amp;PROPER(INDEX('Reguler Class Availability'!$J:$J,$Q228)&amp;"")))</f>
        <v/>
      </c>
      <c r="I228" s="77" t="s">
        <v>235</v>
      </c>
      <c r="J228" s="77" t="s">
        <v>188</v>
      </c>
      <c r="K228" s="78"/>
      <c r="L228" s="78"/>
      <c r="M228" s="78"/>
      <c r="N228" s="79"/>
      <c r="O228" s="78"/>
      <c r="Q228" s="30" t="n">
        <f aca="false">IFERROR(MATCH($B$4&amp;"|- Lane "&amp;D228&amp;" - "&amp;B228&amp;"|"&amp;C228,'Reguler Class Availability'!$L:$L,0),"")</f>
        <v>54</v>
      </c>
      <c r="BD228" s="30" t="s">
        <v>157</v>
      </c>
      <c r="BE228" s="30" t="n">
        <f aca="false">IF(COUNTIFS('Reguler Class Availability'!$L:$L,$B$4&amp;"|- Lane 4 - *|"&amp;BD228)&gt;0,1,0)</f>
        <v>0</v>
      </c>
      <c r="BF228" s="30" t="n">
        <f aca="false">BE228+BF227</f>
        <v>12</v>
      </c>
    </row>
    <row r="229" customFormat="false" ht="52.5" hidden="false" customHeight="true" outlineLevel="0" collapsed="false">
      <c r="A229" s="76" t="n">
        <v>103</v>
      </c>
      <c r="B229" s="77" t="s">
        <v>118</v>
      </c>
      <c r="C229" s="76" t="s">
        <v>130</v>
      </c>
      <c r="D229" s="76" t="n">
        <v>2</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Belum terisi</v>
      </c>
      <c r="F229" s="77" t="str">
        <f aca="false">IF($Q229="","",PROPER(INDEX('Reguler Class Availability'!$B:$B,$Q229)&amp;""))</f>
        <v>Tiny</v>
      </c>
      <c r="G229" s="76" t="n">
        <f aca="false">IF($Q229="","",IFERROR(--(INDEX('Reguler Class Availability'!$F:$F,$Q229)&amp;""),0))</f>
        <v>5</v>
      </c>
      <c r="H229" s="77" t="str">
        <f aca="false">IF($Q229="","",PROPER(INDEX('Reguler Class Availability'!$I:$I,$Q229)&amp;"")&amp;IF(INDEX('Reguler Class Availability'!$J:$J,$Q229)&amp;""="",""," + asst "&amp;PROPER(INDEX('Reguler Class Availability'!$J:$J,$Q229)&amp;"")))</f>
        <v/>
      </c>
      <c r="I229" s="77" t="s">
        <v>235</v>
      </c>
      <c r="J229" s="77" t="s">
        <v>188</v>
      </c>
      <c r="K229" s="78"/>
      <c r="L229" s="78"/>
      <c r="M229" s="78"/>
      <c r="N229" s="79"/>
      <c r="O229" s="78"/>
      <c r="Q229" s="30" t="n">
        <f aca="false">IFERROR(MATCH($B$4&amp;"|- Lane "&amp;D229&amp;" - "&amp;B229&amp;"|"&amp;C229,'Reguler Class Availability'!$L:$L,0),"")</f>
        <v>152</v>
      </c>
      <c r="BD229" s="30" t="s">
        <v>158</v>
      </c>
      <c r="BE229" s="30" t="n">
        <f aca="false">IF(COUNTIFS('Reguler Class Availability'!$L:$L,$B$4&amp;"|- Lane 4 - *|"&amp;BD229)&gt;0,1,0)</f>
        <v>0</v>
      </c>
      <c r="BF229" s="30" t="n">
        <f aca="false">BE229+BF228</f>
        <v>12</v>
      </c>
    </row>
    <row r="230" customFormat="false" ht="65.25" hidden="false" customHeight="true" outlineLevel="0" collapsed="false">
      <c r="A230" s="76" t="n">
        <v>104</v>
      </c>
      <c r="B230" s="77" t="s">
        <v>118</v>
      </c>
      <c r="C230" s="76" t="s">
        <v>132</v>
      </c>
      <c r="D230" s="76" t="n">
        <v>5</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Kosong</v>
      </c>
      <c r="F230" s="77" t="str">
        <f aca="false">IF($Q230="","",PROPER(INDEX('Reguler Class Availability'!$B:$B,$Q230)&amp;""))</f>
        <v/>
      </c>
      <c r="G230" s="76" t="n">
        <f aca="false">IF($Q230="","",IFERROR(--(INDEX('Reguler Class Availability'!$F:$F,$Q230)&amp;""),0))</f>
        <v>4</v>
      </c>
      <c r="H230" s="77" t="str">
        <f aca="false">IF($Q230="","",PROPER(INDEX('Reguler Class Availability'!$I:$I,$Q230)&amp;"")&amp;IF(INDEX('Reguler Class Availability'!$J:$J,$Q230)&amp;""="",""," + asst "&amp;PROPER(INDEX('Reguler Class Availability'!$J:$J,$Q230)&amp;"")))</f>
        <v/>
      </c>
      <c r="I230" s="77" t="s">
        <v>236</v>
      </c>
      <c r="J230" s="77" t="s">
        <v>188</v>
      </c>
      <c r="K230" s="78"/>
      <c r="L230" s="78"/>
      <c r="M230" s="78"/>
      <c r="N230" s="79"/>
      <c r="O230" s="78"/>
      <c r="Q230" s="30" t="n">
        <f aca="false">IFERROR(MATCH($B$4&amp;"|- Lane "&amp;D230&amp;" - "&amp;B230&amp;"|"&amp;C230,'Reguler Class Availability'!$L:$L,0),"")</f>
        <v>405</v>
      </c>
      <c r="BD230" s="30" t="s">
        <v>160</v>
      </c>
      <c r="BE230" s="30" t="n">
        <f aca="false">IF(COUNTIFS('Reguler Class Availability'!$L:$L,$B$4&amp;"|- Lane 4 - *|"&amp;BD230)&gt;0,1,0)</f>
        <v>0</v>
      </c>
      <c r="BF230" s="30" t="n">
        <f aca="false">BE230+BF229</f>
        <v>12</v>
      </c>
    </row>
    <row r="231" customFormat="false" ht="40.5" hidden="false" customHeight="true" outlineLevel="0" collapsed="false">
      <c r="A231" s="76" t="n">
        <v>105</v>
      </c>
      <c r="B231" s="77" t="s">
        <v>118</v>
      </c>
      <c r="C231" s="76" t="s">
        <v>141</v>
      </c>
      <c r="D231" s="76" t="n">
        <v>1</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Kosong</v>
      </c>
      <c r="F231" s="77" t="str">
        <f aca="false">IF($Q231="","",PROPER(INDEX('Reguler Class Availability'!$B:$B,$Q231)&amp;""))</f>
        <v/>
      </c>
      <c r="G231" s="76" t="n">
        <f aca="false">IF($Q231="","",IFERROR(--(INDEX('Reguler Class Availability'!$F:$F,$Q231)&amp;""),0))</f>
        <v>5</v>
      </c>
      <c r="H231" s="77" t="str">
        <f aca="false">IF($Q231="","",PROPER(INDEX('Reguler Class Availability'!$I:$I,$Q231)&amp;"")&amp;IF(INDEX('Reguler Class Availability'!$J:$J,$Q231)&amp;""="",""," + asst "&amp;PROPER(INDEX('Reguler Class Availability'!$J:$J,$Q231)&amp;"")))</f>
        <v/>
      </c>
      <c r="I231" s="77" t="s">
        <v>237</v>
      </c>
      <c r="J231" s="77" t="s">
        <v>188</v>
      </c>
      <c r="K231" s="78"/>
      <c r="L231" s="78"/>
      <c r="M231" s="78"/>
      <c r="N231" s="79"/>
      <c r="O231" s="78"/>
      <c r="Q231" s="30" t="n">
        <f aca="false">IFERROR(MATCH($B$4&amp;"|- Lane "&amp;D231&amp;" - "&amp;B231&amp;"|"&amp;C231,'Reguler Class Availability'!$L:$L,0),"")</f>
        <v>56</v>
      </c>
      <c r="BD231" s="30" t="s">
        <v>161</v>
      </c>
      <c r="BE231" s="30" t="n">
        <f aca="false">IF(COUNTIFS('Reguler Class Availability'!$L:$L,$B$4&amp;"|- Lane 4 - *|"&amp;BD231)&gt;0,1,0)</f>
        <v>0</v>
      </c>
      <c r="BF231" s="30" t="n">
        <f aca="false">BE231+BF230</f>
        <v>12</v>
      </c>
    </row>
    <row r="232" customFormat="false" ht="40.5" hidden="false" customHeight="true" outlineLevel="0" collapsed="false">
      <c r="A232" s="76" t="n">
        <v>106</v>
      </c>
      <c r="B232" s="77" t="s">
        <v>118</v>
      </c>
      <c r="C232" s="76" t="s">
        <v>141</v>
      </c>
      <c r="D232" s="76" t="n">
        <v>2</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Belum terisi</v>
      </c>
      <c r="F232" s="77" t="str">
        <f aca="false">IF($Q232="","",PROPER(INDEX('Reguler Class Availability'!$B:$B,$Q232)&amp;""))</f>
        <v>Tiny</v>
      </c>
      <c r="G232" s="76" t="n">
        <f aca="false">IF($Q232="","",IFERROR(--(INDEX('Reguler Class Availability'!$F:$F,$Q232)&amp;""),0))</f>
        <v>5</v>
      </c>
      <c r="H232" s="77" t="str">
        <f aca="false">IF($Q232="","",PROPER(INDEX('Reguler Class Availability'!$I:$I,$Q232)&amp;"")&amp;IF(INDEX('Reguler Class Availability'!$J:$J,$Q232)&amp;""="",""," + asst "&amp;PROPER(INDEX('Reguler Class Availability'!$J:$J,$Q232)&amp;"")))</f>
        <v/>
      </c>
      <c r="I232" s="77" t="s">
        <v>237</v>
      </c>
      <c r="J232" s="77" t="s">
        <v>188</v>
      </c>
      <c r="K232" s="78"/>
      <c r="L232" s="78"/>
      <c r="M232" s="78"/>
      <c r="N232" s="79"/>
      <c r="O232" s="78"/>
      <c r="Q232" s="30" t="n">
        <f aca="false">IFERROR(MATCH($B$4&amp;"|- Lane "&amp;D232&amp;" - "&amp;B232&amp;"|"&amp;C232,'Reguler Class Availability'!$L:$L,0),"")</f>
        <v>154</v>
      </c>
      <c r="BD232" s="30" t="s">
        <v>162</v>
      </c>
      <c r="BE232" s="30" t="n">
        <f aca="false">IF(COUNTIFS('Reguler Class Availability'!$L:$L,$B$4&amp;"|- Lane 4 - *|"&amp;BD232)&gt;0,1,0)</f>
        <v>0</v>
      </c>
      <c r="BF232" s="30" t="n">
        <f aca="false">BE232+BF231</f>
        <v>12</v>
      </c>
    </row>
    <row r="233" customFormat="false" ht="65.25" hidden="false" customHeight="true" outlineLevel="0" collapsed="false">
      <c r="A233" s="76" t="n">
        <v>107</v>
      </c>
      <c r="B233" s="77" t="s">
        <v>118</v>
      </c>
      <c r="C233" s="76" t="s">
        <v>160</v>
      </c>
      <c r="D233" s="76" t="n">
        <v>1</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Belum terisi</v>
      </c>
      <c r="F233" s="77" t="str">
        <f aca="false">IF($Q233="","",PROPER(INDEX('Reguler Class Availability'!$B:$B,$Q233)&amp;""))</f>
        <v>Star</v>
      </c>
      <c r="G233" s="76" t="n">
        <f aca="false">IF($Q233="","",IFERROR(--(INDEX('Reguler Class Availability'!$F:$F,$Q233)&amp;""),0))</f>
        <v>8</v>
      </c>
      <c r="H233" s="77" t="str">
        <f aca="false">IF($Q233="","",PROPER(INDEX('Reguler Class Availability'!$I:$I,$Q233)&amp;"")&amp;IF(INDEX('Reguler Class Availability'!$J:$J,$Q233)&amp;""="",""," + asst "&amp;PROPER(INDEX('Reguler Class Availability'!$J:$J,$Q233)&amp;"")))</f>
        <v/>
      </c>
      <c r="I233" s="77" t="s">
        <v>232</v>
      </c>
      <c r="J233" s="77" t="s">
        <v>186</v>
      </c>
      <c r="K233" s="78"/>
      <c r="L233" s="78"/>
      <c r="M233" s="78"/>
      <c r="N233" s="79"/>
      <c r="O233" s="78"/>
      <c r="Q233" s="30" t="n">
        <f aca="false">IFERROR(MATCH($B$4&amp;"|- Lane "&amp;D233&amp;" - "&amp;B233&amp;"|"&amp;C233,'Reguler Class Availability'!$L:$L,0),"")</f>
        <v>97</v>
      </c>
      <c r="BD233" s="30" t="s">
        <v>163</v>
      </c>
      <c r="BE233" s="30" t="n">
        <f aca="false">IF(COUNTIFS('Reguler Class Availability'!$L:$L,$B$4&amp;"|- Lane 4 - *|"&amp;BD233)&gt;0,1,0)</f>
        <v>0</v>
      </c>
      <c r="BF233" s="30" t="n">
        <f aca="false">BE233+BF232</f>
        <v>12</v>
      </c>
    </row>
    <row r="234" customFormat="false" ht="65.25" hidden="false" customHeight="true" outlineLevel="0" collapsed="false">
      <c r="A234" s="76" t="n">
        <v>108</v>
      </c>
      <c r="B234" s="77" t="s">
        <v>119</v>
      </c>
      <c r="C234" s="76" t="s">
        <v>91</v>
      </c>
      <c r="D234" s="76" t="n">
        <v>1</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Belum terisi</v>
      </c>
      <c r="F234" s="77" t="str">
        <f aca="false">IF($Q234="","",PROPER(INDEX('Reguler Class Availability'!$B:$B,$Q234)&amp;""))</f>
        <v>Star</v>
      </c>
      <c r="G234" s="76" t="n">
        <f aca="false">IF($Q234="","",IFERROR(--(INDEX('Reguler Class Availability'!$F:$F,$Q234)&amp;""),0))</f>
        <v>8</v>
      </c>
      <c r="H234" s="77" t="str">
        <f aca="false">IF($Q234="","",PROPER(INDEX('Reguler Class Availability'!$I:$I,$Q234)&amp;"")&amp;IF(INDEX('Reguler Class Availability'!$J:$J,$Q234)&amp;""="",""," + asst "&amp;PROPER(INDEX('Reguler Class Availability'!$J:$J,$Q234)&amp;"")))</f>
        <v/>
      </c>
      <c r="I234" s="77" t="s">
        <v>238</v>
      </c>
      <c r="J234" s="77" t="s">
        <v>186</v>
      </c>
      <c r="K234" s="78"/>
      <c r="L234" s="78"/>
      <c r="M234" s="78"/>
      <c r="N234" s="79"/>
      <c r="O234" s="78"/>
      <c r="Q234" s="30" t="n">
        <f aca="false">IFERROR(MATCH($B$4&amp;"|- Lane "&amp;D234&amp;" - "&amp;B234&amp;"|"&amp;C234,'Reguler Class Availability'!$L:$L,0),"")</f>
        <v>91</v>
      </c>
      <c r="BD234" s="30" t="s">
        <v>164</v>
      </c>
      <c r="BE234" s="30" t="n">
        <f aca="false">IF(COUNTIFS('Reguler Class Availability'!$L:$L,$B$4&amp;"|- Lane 4 - *|"&amp;BD234)&gt;0,1,0)</f>
        <v>0</v>
      </c>
      <c r="BF234" s="30" t="n">
        <f aca="false">BE234+BF233</f>
        <v>12</v>
      </c>
    </row>
    <row r="235" customFormat="false" ht="65.25" hidden="false" customHeight="true" outlineLevel="0" collapsed="false">
      <c r="A235" s="76" t="n">
        <v>109</v>
      </c>
      <c r="B235" s="77" t="s">
        <v>119</v>
      </c>
      <c r="C235" s="76" t="s">
        <v>156</v>
      </c>
      <c r="D235" s="76" t="n">
        <v>1</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Kosong</v>
      </c>
      <c r="F235" s="77" t="str">
        <f aca="false">IF($Q235="","",PROPER(INDEX('Reguler Class Availability'!$B:$B,$Q235)&amp;""))</f>
        <v/>
      </c>
      <c r="G235" s="76" t="n">
        <f aca="false">IF($Q235="","",IFERROR(--(INDEX('Reguler Class Availability'!$F:$F,$Q235)&amp;""),0))</f>
        <v>5</v>
      </c>
      <c r="H235" s="77" t="str">
        <f aca="false">IF($Q235="","",PROPER(INDEX('Reguler Class Availability'!$I:$I,$Q235)&amp;"")&amp;IF(INDEX('Reguler Class Availability'!$J:$J,$Q235)&amp;""="",""," + asst "&amp;PROPER(INDEX('Reguler Class Availability'!$J:$J,$Q235)&amp;"")))</f>
        <v/>
      </c>
      <c r="I235" s="77" t="s">
        <v>239</v>
      </c>
      <c r="J235" s="77" t="s">
        <v>188</v>
      </c>
      <c r="K235" s="78"/>
      <c r="L235" s="78"/>
      <c r="M235" s="78"/>
      <c r="N235" s="79"/>
      <c r="O235" s="78"/>
      <c r="Q235" s="30" t="n">
        <f aca="false">IFERROR(MATCH($B$4&amp;"|- Lane "&amp;D235&amp;" - "&amp;B235&amp;"|"&amp;C235,'Reguler Class Availability'!$L:$L,0),"")</f>
        <v>73</v>
      </c>
      <c r="BD235" s="30" t="s">
        <v>165</v>
      </c>
      <c r="BE235" s="30" t="n">
        <f aca="false">IF(COUNTIFS('Reguler Class Availability'!$L:$L,$B$4&amp;"|- Lane 4 - *|"&amp;BD235)&gt;0,1,0)</f>
        <v>0</v>
      </c>
      <c r="BF235" s="30" t="n">
        <f aca="false">BE235+BF234</f>
        <v>12</v>
      </c>
    </row>
    <row r="236" customFormat="false" ht="65.25" hidden="false" customHeight="true" outlineLevel="0" collapsed="false">
      <c r="A236" s="76" t="n">
        <v>110</v>
      </c>
      <c r="B236" s="77" t="s">
        <v>119</v>
      </c>
      <c r="C236" s="76" t="s">
        <v>156</v>
      </c>
      <c r="D236" s="76" t="n">
        <v>2</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Tiny</v>
      </c>
      <c r="G236" s="76" t="n">
        <f aca="false">IF($Q236="","",IFERROR(--(INDEX('Reguler Class Availability'!$F:$F,$Q236)&amp;""),0))</f>
        <v>5</v>
      </c>
      <c r="H236" s="77" t="str">
        <f aca="false">IF($Q236="","",PROPER(INDEX('Reguler Class Availability'!$I:$I,$Q236)&amp;"")&amp;IF(INDEX('Reguler Class Availability'!$J:$J,$Q236)&amp;""="",""," + asst "&amp;PROPER(INDEX('Reguler Class Availability'!$J:$J,$Q236)&amp;"")))</f>
        <v/>
      </c>
      <c r="I236" s="77" t="s">
        <v>239</v>
      </c>
      <c r="J236" s="77" t="s">
        <v>188</v>
      </c>
      <c r="K236" s="78"/>
      <c r="L236" s="78"/>
      <c r="M236" s="78"/>
      <c r="N236" s="79"/>
      <c r="O236" s="78"/>
      <c r="Q236" s="30" t="n">
        <f aca="false">IFERROR(MATCH($B$4&amp;"|- Lane "&amp;D236&amp;" - "&amp;B236&amp;"|"&amp;C236,'Reguler Class Availability'!$L:$L,0),"")</f>
        <v>171</v>
      </c>
      <c r="BD236" s="30" t="s">
        <v>166</v>
      </c>
      <c r="BE236" s="30" t="n">
        <f aca="false">IF(COUNTIFS('Reguler Class Availability'!$L:$L,$B$4&amp;"|- Lane 4 - *|"&amp;BD236)&gt;0,1,0)</f>
        <v>0</v>
      </c>
      <c r="BF236" s="30" t="n">
        <f aca="false">BE236+BF235</f>
        <v>12</v>
      </c>
    </row>
    <row r="237" customFormat="false" ht="65.25" hidden="false" customHeight="true" outlineLevel="0" collapsed="false">
      <c r="A237" s="76" t="n">
        <v>111</v>
      </c>
      <c r="B237" s="77" t="s">
        <v>119</v>
      </c>
      <c r="C237" s="76" t="s">
        <v>160</v>
      </c>
      <c r="D237" s="76" t="n">
        <v>1</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Belum terisi</v>
      </c>
      <c r="F237" s="77" t="str">
        <f aca="false">IF($Q237="","",PROPER(INDEX('Reguler Class Availability'!$B:$B,$Q237)&amp;""))</f>
        <v>Star</v>
      </c>
      <c r="G237" s="76" t="n">
        <f aca="false">IF($Q237="","",IFERROR(--(INDEX('Reguler Class Availability'!$F:$F,$Q237)&amp;""),0))</f>
        <v>8</v>
      </c>
      <c r="H237" s="77" t="str">
        <f aca="false">IF($Q237="","",PROPER(INDEX('Reguler Class Availability'!$I:$I,$Q237)&amp;"")&amp;IF(INDEX('Reguler Class Availability'!$J:$J,$Q237)&amp;""="",""," + asst "&amp;PROPER(INDEX('Reguler Class Availability'!$J:$J,$Q237)&amp;"")))</f>
        <v/>
      </c>
      <c r="I237" s="77" t="s">
        <v>238</v>
      </c>
      <c r="J237" s="77" t="s">
        <v>186</v>
      </c>
      <c r="K237" s="78"/>
      <c r="L237" s="78"/>
      <c r="M237" s="78"/>
      <c r="N237" s="79"/>
      <c r="O237" s="78"/>
      <c r="Q237" s="30" t="n">
        <f aca="false">IFERROR(MATCH($B$4&amp;"|- Lane "&amp;D237&amp;" - "&amp;B237&amp;"|"&amp;C237,'Reguler Class Availability'!$L:$L,0),"")</f>
        <v>98</v>
      </c>
      <c r="BD237" s="30" t="s">
        <v>167</v>
      </c>
      <c r="BE237" s="30" t="n">
        <f aca="false">IF(COUNTIFS('Reguler Class Availability'!$L:$L,$B$4&amp;"|- Lane 4 - *|"&amp;BD237)&gt;0,1,0)</f>
        <v>0</v>
      </c>
      <c r="BF237" s="30" t="n">
        <f aca="false">BE237+BF236</f>
        <v>12</v>
      </c>
    </row>
    <row r="238" customFormat="false" ht="65.25" hidden="false" customHeight="true" outlineLevel="0" collapsed="false">
      <c r="A238" s="76" t="n">
        <v>112</v>
      </c>
      <c r="B238" s="77" t="s">
        <v>80</v>
      </c>
      <c r="C238" s="76" t="s">
        <v>91</v>
      </c>
      <c r="D238" s="76" t="n">
        <v>1</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Star</v>
      </c>
      <c r="G238" s="76" t="n">
        <f aca="false">IF($Q238="","",IFERROR(--(INDEX('Reguler Class Availability'!$F:$F,$Q238)&amp;""),0))</f>
        <v>8</v>
      </c>
      <c r="H238" s="77" t="str">
        <f aca="false">IF($Q238="","",PROPER(INDEX('Reguler Class Availability'!$I:$I,$Q238)&amp;"")&amp;IF(INDEX('Reguler Class Availability'!$J:$J,$Q238)&amp;""="",""," + asst "&amp;PROPER(INDEX('Reguler Class Availability'!$J:$J,$Q238)&amp;"")))</f>
        <v/>
      </c>
      <c r="I238" s="77" t="s">
        <v>238</v>
      </c>
      <c r="J238" s="77" t="s">
        <v>186</v>
      </c>
      <c r="K238" s="78"/>
      <c r="L238" s="78"/>
      <c r="M238" s="78"/>
      <c r="N238" s="79"/>
      <c r="O238" s="78"/>
      <c r="Q238" s="30" t="n">
        <f aca="false">IFERROR(MATCH($B$4&amp;"|- Lane "&amp;D238&amp;" - "&amp;B238&amp;"|"&amp;C238,'Reguler Class Availability'!$L:$L,0),"")</f>
        <v>92</v>
      </c>
      <c r="BD238" s="30" t="s">
        <v>168</v>
      </c>
      <c r="BE238" s="30" t="n">
        <f aca="false">IF(COUNTIFS('Reguler Class Availability'!$L:$L,$B$4&amp;"|- Lane 4 - *|"&amp;BD238)&gt;0,1,0)</f>
        <v>0</v>
      </c>
      <c r="BF238" s="30" t="n">
        <f aca="false">BE238+BF237</f>
        <v>12</v>
      </c>
    </row>
    <row r="239" customFormat="false" ht="52.5" hidden="false" customHeight="true" outlineLevel="0" collapsed="false">
      <c r="A239" s="76" t="n">
        <v>113</v>
      </c>
      <c r="B239" s="77" t="s">
        <v>80</v>
      </c>
      <c r="C239" s="76" t="s">
        <v>132</v>
      </c>
      <c r="D239" s="76" t="n">
        <v>5</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Kosong</v>
      </c>
      <c r="F239" s="77" t="str">
        <f aca="false">IF($Q239="","",PROPER(INDEX('Reguler Class Availability'!$B:$B,$Q239)&amp;""))</f>
        <v/>
      </c>
      <c r="G239" s="76" t="n">
        <f aca="false">IF($Q239="","",IFERROR(--(INDEX('Reguler Class Availability'!$F:$F,$Q239)&amp;""),0))</f>
        <v>4</v>
      </c>
      <c r="H239" s="77" t="str">
        <f aca="false">IF($Q239="","",PROPER(INDEX('Reguler Class Availability'!$I:$I,$Q239)&amp;"")&amp;IF(INDEX('Reguler Class Availability'!$J:$J,$Q239)&amp;""="",""," + asst "&amp;PROPER(INDEX('Reguler Class Availability'!$J:$J,$Q239)&amp;"")))</f>
        <v/>
      </c>
      <c r="I239" s="77" t="s">
        <v>240</v>
      </c>
      <c r="J239" s="77" t="s">
        <v>188</v>
      </c>
      <c r="K239" s="78"/>
      <c r="L239" s="78"/>
      <c r="M239" s="78"/>
      <c r="N239" s="79"/>
      <c r="O239" s="78"/>
      <c r="Q239" s="30" t="n">
        <f aca="false">IFERROR(MATCH($B$4&amp;"|- Lane "&amp;D239&amp;" - "&amp;B239&amp;"|"&amp;C239,'Reguler Class Availability'!$L:$L,0),"")</f>
        <v>429</v>
      </c>
      <c r="BD239" s="30" t="s">
        <v>169</v>
      </c>
      <c r="BE239" s="30" t="n">
        <f aca="false">IF(COUNTIFS('Reguler Class Availability'!$L:$L,$B$4&amp;"|- Lane 4 - *|"&amp;BD239)&gt;0,1,0)</f>
        <v>0</v>
      </c>
      <c r="BF239" s="30" t="n">
        <f aca="false">BE239+BF238</f>
        <v>12</v>
      </c>
    </row>
    <row r="240" customFormat="false" ht="65.25" hidden="false" customHeight="true" outlineLevel="0" collapsed="false">
      <c r="A240" s="76" t="n">
        <v>114</v>
      </c>
      <c r="B240" s="77" t="s">
        <v>80</v>
      </c>
      <c r="C240" s="76" t="s">
        <v>133</v>
      </c>
      <c r="D240" s="76" t="n">
        <v>1</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Kosong</v>
      </c>
      <c r="F240" s="77" t="str">
        <f aca="false">IF($Q240="","",PROPER(INDEX('Reguler Class Availability'!$B:$B,$Q240)&amp;""))</f>
        <v/>
      </c>
      <c r="G240" s="76" t="n">
        <f aca="false">IF($Q240="","",IFERROR(--(INDEX('Reguler Class Availability'!$F:$F,$Q240)&amp;""),0))</f>
        <v>5</v>
      </c>
      <c r="H240" s="77" t="str">
        <f aca="false">IF($Q240="","",PROPER(INDEX('Reguler Class Availability'!$I:$I,$Q240)&amp;"")&amp;IF(INDEX('Reguler Class Availability'!$J:$J,$Q240)&amp;""="",""," + asst "&amp;PROPER(INDEX('Reguler Class Availability'!$J:$J,$Q240)&amp;"")))</f>
        <v/>
      </c>
      <c r="I240" s="77" t="s">
        <v>241</v>
      </c>
      <c r="J240" s="77" t="s">
        <v>188</v>
      </c>
      <c r="K240" s="78"/>
      <c r="L240" s="78"/>
      <c r="M240" s="78"/>
      <c r="N240" s="79"/>
      <c r="O240" s="78"/>
      <c r="Q240" s="30" t="n">
        <f aca="false">IFERROR(MATCH($B$4&amp;"|- Lane "&amp;D240&amp;" - "&amp;B240&amp;"|"&amp;C240,'Reguler Class Availability'!$L:$L,0),"")</f>
        <v>79</v>
      </c>
      <c r="BD240" s="30" t="s">
        <v>170</v>
      </c>
      <c r="BE240" s="30" t="n">
        <f aca="false">IF(COUNTIFS('Reguler Class Availability'!$L:$L,$B$4&amp;"|- Lane 4 - *|"&amp;BD240)&gt;0,1,0)</f>
        <v>0</v>
      </c>
      <c r="BF240" s="30" t="n">
        <f aca="false">BE240+BF239</f>
        <v>12</v>
      </c>
    </row>
    <row r="241" customFormat="false" ht="65.25" hidden="false" customHeight="true" outlineLevel="0" collapsed="false">
      <c r="A241" s="76" t="n">
        <v>115</v>
      </c>
      <c r="B241" s="77" t="s">
        <v>80</v>
      </c>
      <c r="C241" s="76" t="s">
        <v>155</v>
      </c>
      <c r="D241" s="76" t="n">
        <v>5</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Kosong</v>
      </c>
      <c r="F241" s="77" t="str">
        <f aca="false">IF($Q241="","",PROPER(INDEX('Reguler Class Availability'!$B:$B,$Q241)&amp;""))</f>
        <v/>
      </c>
      <c r="G241" s="76" t="n">
        <f aca="false">IF($Q241="","",IFERROR(--(INDEX('Reguler Class Availability'!$F:$F,$Q241)&amp;""),0))</f>
        <v>4</v>
      </c>
      <c r="H241" s="77" t="str">
        <f aca="false">IF($Q241="","",PROPER(INDEX('Reguler Class Availability'!$I:$I,$Q241)&amp;"")&amp;IF(INDEX('Reguler Class Availability'!$J:$J,$Q241)&amp;""="",""," + asst "&amp;PROPER(INDEX('Reguler Class Availability'!$J:$J,$Q241)&amp;"")))</f>
        <v/>
      </c>
      <c r="I241" s="77" t="s">
        <v>242</v>
      </c>
      <c r="J241" s="77" t="s">
        <v>188</v>
      </c>
      <c r="K241" s="78"/>
      <c r="L241" s="78"/>
      <c r="M241" s="78"/>
      <c r="N241" s="79"/>
      <c r="O241" s="78"/>
      <c r="Q241" s="30" t="n">
        <f aca="false">IFERROR(MATCH($B$4&amp;"|- Lane "&amp;D241&amp;" - "&amp;B241&amp;"|"&amp;C241,'Reguler Class Availability'!$L:$L,0),"")</f>
        <v>435</v>
      </c>
      <c r="BD241" s="30" t="s">
        <v>171</v>
      </c>
      <c r="BE241" s="30" t="n">
        <f aca="false">IF(COUNTIFS('Reguler Class Availability'!$L:$L,$B$4&amp;"|- Lane 4 - *|"&amp;BD241)&gt;0,1,0)</f>
        <v>0</v>
      </c>
      <c r="BF241" s="30" t="n">
        <f aca="false">BE241+BF240</f>
        <v>12</v>
      </c>
    </row>
    <row r="242" customFormat="false" ht="65.25" hidden="false" customHeight="true" outlineLevel="0" collapsed="false">
      <c r="A242" s="76" t="n">
        <v>116</v>
      </c>
      <c r="B242" s="77" t="s">
        <v>80</v>
      </c>
      <c r="C242" s="76" t="s">
        <v>156</v>
      </c>
      <c r="D242" s="76" t="n">
        <v>1</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Kosong</v>
      </c>
      <c r="F242" s="77" t="str">
        <f aca="false">IF($Q242="","",PROPER(INDEX('Reguler Class Availability'!$B:$B,$Q242)&amp;""))</f>
        <v/>
      </c>
      <c r="G242" s="76" t="n">
        <f aca="false">IF($Q242="","",IFERROR(--(INDEX('Reguler Class Availability'!$F:$F,$Q242)&amp;""),0))</f>
        <v>5</v>
      </c>
      <c r="H242" s="77" t="str">
        <f aca="false">IF($Q242="","",PROPER(INDEX('Reguler Class Availability'!$I:$I,$Q242)&amp;"")&amp;IF(INDEX('Reguler Class Availability'!$J:$J,$Q242)&amp;""="",""," + asst "&amp;PROPER(INDEX('Reguler Class Availability'!$J:$J,$Q242)&amp;"")))</f>
        <v/>
      </c>
      <c r="I242" s="77" t="s">
        <v>243</v>
      </c>
      <c r="J242" s="77" t="s">
        <v>188</v>
      </c>
      <c r="K242" s="78"/>
      <c r="L242" s="78"/>
      <c r="M242" s="78"/>
      <c r="N242" s="79"/>
      <c r="O242" s="78"/>
      <c r="Q242" s="30" t="n">
        <f aca="false">IFERROR(MATCH($B$4&amp;"|- Lane "&amp;D242&amp;" - "&amp;B242&amp;"|"&amp;C242,'Reguler Class Availability'!$L:$L,0),"")</f>
        <v>85</v>
      </c>
      <c r="BD242" s="30" t="s">
        <v>78</v>
      </c>
      <c r="BE242" s="30" t="n">
        <f aca="false">IF(COUNTIFS('Reguler Class Availability'!$L:$L,$B$4&amp;"|- Lane 5 - *|"&amp;BD242)&gt;0,1,0)</f>
        <v>0</v>
      </c>
      <c r="BF242" s="30" t="n">
        <f aca="false">BE242</f>
        <v>0</v>
      </c>
    </row>
    <row r="243" customFormat="false" ht="65.25" hidden="false" customHeight="true" outlineLevel="0" collapsed="false">
      <c r="A243" s="76" t="n">
        <v>117</v>
      </c>
      <c r="B243" s="77" t="s">
        <v>80</v>
      </c>
      <c r="C243" s="76" t="s">
        <v>156</v>
      </c>
      <c r="D243" s="76" t="n">
        <v>2</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Tiny</v>
      </c>
      <c r="G243" s="76" t="n">
        <f aca="false">IF($Q243="","",IFERROR(--(INDEX('Reguler Class Availability'!$F:$F,$Q243)&amp;""),0))</f>
        <v>5</v>
      </c>
      <c r="H243" s="77" t="str">
        <f aca="false">IF($Q243="","",PROPER(INDEX('Reguler Class Availability'!$I:$I,$Q243)&amp;"")&amp;IF(INDEX('Reguler Class Availability'!$J:$J,$Q243)&amp;""="",""," + asst "&amp;PROPER(INDEX('Reguler Class Availability'!$J:$J,$Q243)&amp;"")))</f>
        <v/>
      </c>
      <c r="I243" s="77" t="s">
        <v>243</v>
      </c>
      <c r="J243" s="77" t="s">
        <v>188</v>
      </c>
      <c r="K243" s="78"/>
      <c r="L243" s="78"/>
      <c r="M243" s="78"/>
      <c r="N243" s="79"/>
      <c r="O243" s="78"/>
      <c r="Q243" s="30" t="n">
        <f aca="false">IFERROR(MATCH($B$4&amp;"|- Lane "&amp;D243&amp;" - "&amp;B243&amp;"|"&amp;C243,'Reguler Class Availability'!$L:$L,0),"")</f>
        <v>183</v>
      </c>
      <c r="BD243" s="30" t="s">
        <v>79</v>
      </c>
      <c r="BE243" s="30" t="n">
        <f aca="false">IF(COUNTIFS('Reguler Class Availability'!$L:$L,$B$4&amp;"|- Lane 5 - *|"&amp;BD243)&gt;0,1,0)</f>
        <v>0</v>
      </c>
      <c r="BF243" s="30" t="n">
        <f aca="false">BE243+BF242</f>
        <v>0</v>
      </c>
    </row>
    <row r="244" customFormat="false" ht="65.25" hidden="false" customHeight="true" outlineLevel="0" collapsed="false">
      <c r="A244" s="76" t="n">
        <v>118</v>
      </c>
      <c r="B244" s="77" t="s">
        <v>80</v>
      </c>
      <c r="C244" s="76" t="s">
        <v>160</v>
      </c>
      <c r="D244" s="76" t="n">
        <v>1</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Belum terisi</v>
      </c>
      <c r="F244" s="77" t="str">
        <f aca="false">IF($Q244="","",PROPER(INDEX('Reguler Class Availability'!$B:$B,$Q244)&amp;""))</f>
        <v>Star</v>
      </c>
      <c r="G244" s="76" t="n">
        <f aca="false">IF($Q244="","",IFERROR(--(INDEX('Reguler Class Availability'!$F:$F,$Q244)&amp;""),0))</f>
        <v>8</v>
      </c>
      <c r="H244" s="77" t="str">
        <f aca="false">IF($Q244="","",PROPER(INDEX('Reguler Class Availability'!$I:$I,$Q244)&amp;"")&amp;IF(INDEX('Reguler Class Availability'!$J:$J,$Q244)&amp;""="",""," + asst "&amp;PROPER(INDEX('Reguler Class Availability'!$J:$J,$Q244)&amp;"")))</f>
        <v/>
      </c>
      <c r="I244" s="77" t="s">
        <v>238</v>
      </c>
      <c r="J244" s="77" t="s">
        <v>186</v>
      </c>
      <c r="K244" s="78"/>
      <c r="L244" s="78"/>
      <c r="M244" s="78"/>
      <c r="N244" s="79"/>
      <c r="O244" s="78"/>
      <c r="Q244" s="30" t="n">
        <f aca="false">IFERROR(MATCH($B$4&amp;"|- Lane "&amp;D244&amp;" - "&amp;B244&amp;"|"&amp;C244,'Reguler Class Availability'!$L:$L,0),"")</f>
        <v>99</v>
      </c>
      <c r="BD244" s="30" t="s">
        <v>84</v>
      </c>
      <c r="BE244" s="30" t="n">
        <f aca="false">IF(COUNTIFS('Reguler Class Availability'!$L:$L,$B$4&amp;"|- Lane 5 - *|"&amp;BD244)&gt;0,1,0)</f>
        <v>0</v>
      </c>
      <c r="BF244" s="30" t="n">
        <f aca="false">BE244+BF243</f>
        <v>0</v>
      </c>
    </row>
    <row r="245" customFormat="false" ht="15" hidden="false" customHeight="false" outlineLevel="0" collapsed="false">
      <c r="BD245" s="0" t="s">
        <v>85</v>
      </c>
      <c r="BE245" s="0" t="n">
        <f aca="false">IF(COUNTIFS('Reguler Class Availability'!$L:$L,$B$4&amp;"|- Lane 5 - *|"&amp;BD245)&gt;0,1,0)</f>
        <v>0</v>
      </c>
      <c r="BF245" s="0" t="n">
        <f aca="false">BE245+BF244</f>
        <v>0</v>
      </c>
    </row>
    <row r="246" customFormat="false" ht="15" hidden="false" customHeight="false" outlineLevel="0" collapsed="false">
      <c r="BD246" s="0" t="s">
        <v>89</v>
      </c>
      <c r="BE246" s="0" t="n">
        <f aca="false">IF(COUNTIFS('Reguler Class Availability'!$L:$L,$B$4&amp;"|- Lane 5 - *|"&amp;BD246)&gt;0,1,0)</f>
        <v>0</v>
      </c>
      <c r="BF246" s="0" t="n">
        <f aca="false">BE246+BF245</f>
        <v>0</v>
      </c>
    </row>
    <row r="247" customFormat="false" ht="16.15" hidden="false" customHeight="false" outlineLevel="0" collapsed="false">
      <c r="A247" s="81" t="s">
        <v>244</v>
      </c>
      <c r="B247" s="62"/>
      <c r="C247" s="62"/>
      <c r="D247" s="62"/>
      <c r="E247" s="62"/>
      <c r="F247" s="62"/>
      <c r="G247" s="62"/>
      <c r="H247" s="62"/>
      <c r="I247" s="62"/>
      <c r="J247" s="62"/>
      <c r="K247" s="62"/>
      <c r="L247" s="62"/>
      <c r="M247" s="62"/>
      <c r="N247" s="62"/>
      <c r="BD247" s="30" t="s">
        <v>90</v>
      </c>
      <c r="BE247" s="30" t="n">
        <f aca="false">IF(COUNTIFS('Reguler Class Availability'!$L:$L,$B$4&amp;"|- Lane 5 - *|"&amp;BD247)&gt;0,1,0)</f>
        <v>0</v>
      </c>
      <c r="BF247" s="30" t="n">
        <f aca="false">BE247+BF246</f>
        <v>0</v>
      </c>
    </row>
    <row r="248" customFormat="false" ht="15" hidden="false" customHeight="false" outlineLevel="0" collapsed="false">
      <c r="A248" s="73" t="s">
        <v>245</v>
      </c>
      <c r="BD248" s="30" t="s">
        <v>91</v>
      </c>
      <c r="BE248" s="30" t="n">
        <f aca="false">IF(COUNTIFS('Reguler Class Availability'!$L:$L,$B$4&amp;"|- Lane 5 - *|"&amp;BD248)&gt;0,1,0)</f>
        <v>0</v>
      </c>
      <c r="BF248" s="30" t="n">
        <f aca="false">BE248+BF247</f>
        <v>0</v>
      </c>
    </row>
    <row r="249" customFormat="false" ht="22.35" hidden="false" customHeight="false" outlineLevel="0" collapsed="false">
      <c r="A249" s="74" t="s">
        <v>178</v>
      </c>
      <c r="B249" s="74" t="s">
        <v>246</v>
      </c>
      <c r="C249" s="74" t="s">
        <v>247</v>
      </c>
      <c r="D249" s="74" t="s">
        <v>114</v>
      </c>
      <c r="E249" s="74" t="s">
        <v>115</v>
      </c>
      <c r="F249" s="74" t="s">
        <v>116</v>
      </c>
      <c r="G249" s="74" t="s">
        <v>117</v>
      </c>
      <c r="H249" s="74" t="s">
        <v>118</v>
      </c>
      <c r="I249" s="74" t="s">
        <v>119</v>
      </c>
      <c r="J249" s="74" t="s">
        <v>80</v>
      </c>
      <c r="K249" s="74" t="s">
        <v>248</v>
      </c>
      <c r="L249" s="74" t="s">
        <v>249</v>
      </c>
      <c r="M249" s="74" t="s">
        <v>250</v>
      </c>
      <c r="BD249" s="30" t="s">
        <v>98</v>
      </c>
      <c r="BE249" s="30" t="n">
        <f aca="false">IF(COUNTIFS('Reguler Class Availability'!$L:$L,$B$4&amp;"|- Lane 5 - *|"&amp;BD249)&gt;0,1,0)</f>
        <v>0</v>
      </c>
      <c r="BF249" s="30" t="n">
        <f aca="false">BE249+BF248</f>
        <v>0</v>
      </c>
    </row>
    <row r="250" customFormat="false" ht="15" hidden="false" customHeight="false" outlineLevel="0" collapsed="false">
      <c r="A250" s="82" t="n">
        <v>1</v>
      </c>
      <c r="B250" s="83" t="s">
        <v>251</v>
      </c>
      <c r="C250" s="84" t="s">
        <v>188</v>
      </c>
      <c r="D250" s="85" t="n">
        <f aca="false">COUNTIFS('Reguler Class Availability'!$A:$A,$B$4,'Reguler Class Availability'!$I:$I,$B250,'Reguler Class Availability'!$C:$C,"* - "&amp;D$249)+COUNTIFS('Reguler Class Availability'!$A:$A,$B$4,'Reguler Class Availability'!$J:$J,$B250,'Reguler Class Availability'!$C:$C,"* - "&amp;D$249)</f>
        <v>7</v>
      </c>
      <c r="E250" s="85" t="n">
        <f aca="false">COUNTIFS('Reguler Class Availability'!$A:$A,$B$4,'Reguler Class Availability'!$I:$I,$B250,'Reguler Class Availability'!$C:$C,"* - "&amp;E$249)+COUNTIFS('Reguler Class Availability'!$A:$A,$B$4,'Reguler Class Availability'!$J:$J,$B250,'Reguler Class Availability'!$C:$C,"* - "&amp;E$249)</f>
        <v>7</v>
      </c>
      <c r="F250" s="85" t="n">
        <f aca="false">COUNTIFS('Reguler Class Availability'!$A:$A,$B$4,'Reguler Class Availability'!$I:$I,$B250,'Reguler Class Availability'!$C:$C,"* - "&amp;F$249)+COUNTIFS('Reguler Class Availability'!$A:$A,$B$4,'Reguler Class Availability'!$J:$J,$B250,'Reguler Class Availability'!$C:$C,"* - "&amp;F$249)</f>
        <v>5</v>
      </c>
      <c r="G250" s="85" t="n">
        <f aca="false">COUNTIFS('Reguler Class Availability'!$A:$A,$B$4,'Reguler Class Availability'!$I:$I,$B250,'Reguler Class Availability'!$C:$C,"* - "&amp;G$249)+COUNTIFS('Reguler Class Availability'!$A:$A,$B$4,'Reguler Class Availability'!$J:$J,$B250,'Reguler Class Availability'!$C:$C,"* - "&amp;G$249)</f>
        <v>0</v>
      </c>
      <c r="H250" s="85" t="n">
        <f aca="false">COUNTIFS('Reguler Class Availability'!$A:$A,$B$4,'Reguler Class Availability'!$I:$I,$B250,'Reguler Class Availability'!$C:$C,"* - "&amp;H$249)+COUNTIFS('Reguler Class Availability'!$A:$A,$B$4,'Reguler Class Availability'!$J:$J,$B250,'Reguler Class Availability'!$C:$C,"* - "&amp;H$249)</f>
        <v>0</v>
      </c>
      <c r="I250" s="85" t="n">
        <f aca="false">COUNTIFS('Reguler Class Availability'!$A:$A,$B$4,'Reguler Class Availability'!$I:$I,$B250,'Reguler Class Availability'!$C:$C,"* - "&amp;I$249)+COUNTIFS('Reguler Class Availability'!$A:$A,$B$4,'Reguler Class Availability'!$J:$J,$B250,'Reguler Class Availability'!$C:$C,"* - "&amp;I$249)</f>
        <v>6</v>
      </c>
      <c r="J250" s="85" t="n">
        <f aca="false">COUNTIFS('Reguler Class Availability'!$A:$A,$B$4,'Reguler Class Availability'!$I:$I,$B250,'Reguler Class Availability'!$C:$C,"* - "&amp;J$249)+COUNTIFS('Reguler Class Availability'!$A:$A,$B$4,'Reguler Class Availability'!$J:$J,$B250,'Reguler Class Availability'!$C:$C,"* - "&amp;J$249)</f>
        <v>6</v>
      </c>
      <c r="K250" s="82" t="n">
        <f aca="false">COUNTIFS('Reguler Class Availability'!$A:$A,$B$4,'Reguler Class Availability'!$I:$I,$B250)</f>
        <v>31</v>
      </c>
      <c r="L250" s="82" t="n">
        <f aca="false">COUNTIFS('Reguler Class Availability'!$A:$A,$B$4,'Reguler Class Availability'!$J:$J,$B250)</f>
        <v>0</v>
      </c>
      <c r="M250" s="82" t="s">
        <v>252</v>
      </c>
      <c r="BD250" s="30" t="s">
        <v>105</v>
      </c>
      <c r="BE250" s="30" t="n">
        <f aca="false">IF(COUNTIFS('Reguler Class Availability'!$L:$L,$B$4&amp;"|- Lane 5 - *|"&amp;BD250)&gt;0,1,0)</f>
        <v>1</v>
      </c>
      <c r="BF250" s="30" t="n">
        <f aca="false">BE250+BF249</f>
        <v>1</v>
      </c>
    </row>
    <row r="251" customFormat="false" ht="15" hidden="false" customHeight="false" outlineLevel="0" collapsed="false">
      <c r="A251" s="82" t="n">
        <v>2</v>
      </c>
      <c r="B251" s="83" t="s">
        <v>44</v>
      </c>
      <c r="C251" s="84" t="s">
        <v>188</v>
      </c>
      <c r="D251" s="85" t="n">
        <f aca="false">COUNTIFS('Reguler Class Availability'!$A:$A,$B$4,'Reguler Class Availability'!$I:$I,$B251,'Reguler Class Availability'!$C:$C,"* - "&amp;D$249)+COUNTIFS('Reguler Class Availability'!$A:$A,$B$4,'Reguler Class Availability'!$J:$J,$B251,'Reguler Class Availability'!$C:$C,"* - "&amp;D$249)</f>
        <v>5</v>
      </c>
      <c r="E251" s="85" t="n">
        <f aca="false">COUNTIFS('Reguler Class Availability'!$A:$A,$B$4,'Reguler Class Availability'!$I:$I,$B251,'Reguler Class Availability'!$C:$C,"* - "&amp;E$249)+COUNTIFS('Reguler Class Availability'!$A:$A,$B$4,'Reguler Class Availability'!$J:$J,$B251,'Reguler Class Availability'!$C:$C,"* - "&amp;E$249)</f>
        <v>6</v>
      </c>
      <c r="F251" s="85" t="n">
        <f aca="false">COUNTIFS('Reguler Class Availability'!$A:$A,$B$4,'Reguler Class Availability'!$I:$I,$B251,'Reguler Class Availability'!$C:$C,"* - "&amp;F$249)+COUNTIFS('Reguler Class Availability'!$A:$A,$B$4,'Reguler Class Availability'!$J:$J,$B251,'Reguler Class Availability'!$C:$C,"* - "&amp;F$249)</f>
        <v>6</v>
      </c>
      <c r="G251" s="85" t="n">
        <f aca="false">COUNTIFS('Reguler Class Availability'!$A:$A,$B$4,'Reguler Class Availability'!$I:$I,$B251,'Reguler Class Availability'!$C:$C,"* - "&amp;G$249)+COUNTIFS('Reguler Class Availability'!$A:$A,$B$4,'Reguler Class Availability'!$J:$J,$B251,'Reguler Class Availability'!$C:$C,"* - "&amp;G$249)</f>
        <v>0</v>
      </c>
      <c r="H251" s="85" t="n">
        <f aca="false">COUNTIFS('Reguler Class Availability'!$A:$A,$B$4,'Reguler Class Availability'!$I:$I,$B251,'Reguler Class Availability'!$C:$C,"* - "&amp;H$249)+COUNTIFS('Reguler Class Availability'!$A:$A,$B$4,'Reguler Class Availability'!$J:$J,$B251,'Reguler Class Availability'!$C:$C,"* - "&amp;H$249)</f>
        <v>0</v>
      </c>
      <c r="I251" s="85" t="n">
        <f aca="false">COUNTIFS('Reguler Class Availability'!$A:$A,$B$4,'Reguler Class Availability'!$I:$I,$B251,'Reguler Class Availability'!$C:$C,"* - "&amp;I$249)+COUNTIFS('Reguler Class Availability'!$A:$A,$B$4,'Reguler Class Availability'!$J:$J,$B251,'Reguler Class Availability'!$C:$C,"* - "&amp;I$249)</f>
        <v>7</v>
      </c>
      <c r="J251" s="85" t="n">
        <f aca="false">COUNTIFS('Reguler Class Availability'!$A:$A,$B$4,'Reguler Class Availability'!$I:$I,$B251,'Reguler Class Availability'!$C:$C,"* - "&amp;J$249)+COUNTIFS('Reguler Class Availability'!$A:$A,$B$4,'Reguler Class Availability'!$J:$J,$B251,'Reguler Class Availability'!$C:$C,"* - "&amp;J$249)</f>
        <v>6</v>
      </c>
      <c r="K251" s="82" t="n">
        <f aca="false">COUNTIFS('Reguler Class Availability'!$A:$A,$B$4,'Reguler Class Availability'!$I:$I,$B251)</f>
        <v>30</v>
      </c>
      <c r="L251" s="82" t="n">
        <f aca="false">COUNTIFS('Reguler Class Availability'!$A:$A,$B$4,'Reguler Class Availability'!$J:$J,$B251)</f>
        <v>0</v>
      </c>
      <c r="M251" s="82" t="s">
        <v>253</v>
      </c>
      <c r="BD251" s="30" t="s">
        <v>110</v>
      </c>
      <c r="BE251" s="30" t="n">
        <f aca="false">IF(COUNTIFS('Reguler Class Availability'!$L:$L,$B$4&amp;"|- Lane 5 - *|"&amp;BD251)&gt;0,1,0)</f>
        <v>0</v>
      </c>
      <c r="BF251" s="30" t="n">
        <f aca="false">BE251+BF250</f>
        <v>1</v>
      </c>
    </row>
    <row r="252" customFormat="false" ht="15" hidden="false" customHeight="false" outlineLevel="0" collapsed="false">
      <c r="A252" s="82" t="n">
        <v>3</v>
      </c>
      <c r="B252" s="83" t="s">
        <v>254</v>
      </c>
      <c r="C252" s="84" t="s">
        <v>188</v>
      </c>
      <c r="D252" s="85" t="n">
        <f aca="false">COUNTIFS('Reguler Class Availability'!$A:$A,$B$4,'Reguler Class Availability'!$I:$I,$B252,'Reguler Class Availability'!$C:$C,"* - "&amp;D$249)+COUNTIFS('Reguler Class Availability'!$A:$A,$B$4,'Reguler Class Availability'!$J:$J,$B252,'Reguler Class Availability'!$C:$C,"* - "&amp;D$249)</f>
        <v>0</v>
      </c>
      <c r="E252" s="85" t="n">
        <f aca="false">COUNTIFS('Reguler Class Availability'!$A:$A,$B$4,'Reguler Class Availability'!$I:$I,$B252,'Reguler Class Availability'!$C:$C,"* - "&amp;E$249)+COUNTIFS('Reguler Class Availability'!$A:$A,$B$4,'Reguler Class Availability'!$J:$J,$B252,'Reguler Class Availability'!$C:$C,"* - "&amp;E$249)</f>
        <v>0</v>
      </c>
      <c r="F252" s="85" t="n">
        <f aca="false">COUNTIFS('Reguler Class Availability'!$A:$A,$B$4,'Reguler Class Availability'!$I:$I,$B252,'Reguler Class Availability'!$C:$C,"* - "&amp;F$249)+COUNTIFS('Reguler Class Availability'!$A:$A,$B$4,'Reguler Class Availability'!$J:$J,$B252,'Reguler Class Availability'!$C:$C,"* - "&amp;F$249)</f>
        <v>5</v>
      </c>
      <c r="G252" s="85" t="n">
        <f aca="false">COUNTIFS('Reguler Class Availability'!$A:$A,$B$4,'Reguler Class Availability'!$I:$I,$B252,'Reguler Class Availability'!$C:$C,"* - "&amp;G$249)+COUNTIFS('Reguler Class Availability'!$A:$A,$B$4,'Reguler Class Availability'!$J:$J,$B252,'Reguler Class Availability'!$C:$C,"* - "&amp;G$249)</f>
        <v>6</v>
      </c>
      <c r="H252" s="85" t="n">
        <f aca="false">COUNTIFS('Reguler Class Availability'!$A:$A,$B$4,'Reguler Class Availability'!$I:$I,$B252,'Reguler Class Availability'!$C:$C,"* - "&amp;H$249)+COUNTIFS('Reguler Class Availability'!$A:$A,$B$4,'Reguler Class Availability'!$J:$J,$B252,'Reguler Class Availability'!$C:$C,"* - "&amp;H$249)</f>
        <v>6</v>
      </c>
      <c r="I252" s="85" t="n">
        <f aca="false">COUNTIFS('Reguler Class Availability'!$A:$A,$B$4,'Reguler Class Availability'!$I:$I,$B252,'Reguler Class Availability'!$C:$C,"* - "&amp;I$249)+COUNTIFS('Reguler Class Availability'!$A:$A,$B$4,'Reguler Class Availability'!$J:$J,$B252,'Reguler Class Availability'!$C:$C,"* - "&amp;I$249)</f>
        <v>6</v>
      </c>
      <c r="J252" s="85" t="n">
        <f aca="false">COUNTIFS('Reguler Class Availability'!$A:$A,$B$4,'Reguler Class Availability'!$I:$I,$B252,'Reguler Class Availability'!$C:$C,"* - "&amp;J$249)+COUNTIFS('Reguler Class Availability'!$A:$A,$B$4,'Reguler Class Availability'!$J:$J,$B252,'Reguler Class Availability'!$C:$C,"* - "&amp;J$249)</f>
        <v>6</v>
      </c>
      <c r="K252" s="82" t="n">
        <f aca="false">COUNTIFS('Reguler Class Availability'!$A:$A,$B$4,'Reguler Class Availability'!$I:$I,$B252)</f>
        <v>29</v>
      </c>
      <c r="L252" s="82" t="n">
        <f aca="false">COUNTIFS('Reguler Class Availability'!$A:$A,$B$4,'Reguler Class Availability'!$J:$J,$B252)</f>
        <v>0</v>
      </c>
      <c r="M252" s="82" t="s">
        <v>255</v>
      </c>
      <c r="BD252" s="30" t="s">
        <v>112</v>
      </c>
      <c r="BE252" s="30" t="n">
        <f aca="false">IF(COUNTIFS('Reguler Class Availability'!$L:$L,$B$4&amp;"|- Lane 5 - *|"&amp;BD252)&gt;0,1,0)</f>
        <v>0</v>
      </c>
      <c r="BF252" s="30" t="n">
        <f aca="false">BE252+BF251</f>
        <v>1</v>
      </c>
    </row>
    <row r="253" customFormat="false" ht="15" hidden="false" customHeight="false" outlineLevel="0" collapsed="false">
      <c r="A253" s="82" t="n">
        <v>4</v>
      </c>
      <c r="B253" s="83" t="s">
        <v>256</v>
      </c>
      <c r="C253" s="84" t="s">
        <v>188</v>
      </c>
      <c r="D253" s="85" t="n">
        <f aca="false">COUNTIFS('Reguler Class Availability'!$A:$A,$B$4,'Reguler Class Availability'!$I:$I,$B253,'Reguler Class Availability'!$C:$C,"* - "&amp;D$249)+COUNTIFS('Reguler Class Availability'!$A:$A,$B$4,'Reguler Class Availability'!$J:$J,$B253,'Reguler Class Availability'!$C:$C,"* - "&amp;D$249)</f>
        <v>5</v>
      </c>
      <c r="E253" s="85" t="n">
        <f aca="false">COUNTIFS('Reguler Class Availability'!$A:$A,$B$4,'Reguler Class Availability'!$I:$I,$B253,'Reguler Class Availability'!$C:$C,"* - "&amp;E$249)+COUNTIFS('Reguler Class Availability'!$A:$A,$B$4,'Reguler Class Availability'!$J:$J,$B253,'Reguler Class Availability'!$C:$C,"* - "&amp;E$249)</f>
        <v>6</v>
      </c>
      <c r="F253" s="85" t="n">
        <f aca="false">COUNTIFS('Reguler Class Availability'!$A:$A,$B$4,'Reguler Class Availability'!$I:$I,$B253,'Reguler Class Availability'!$C:$C,"* - "&amp;F$249)+COUNTIFS('Reguler Class Availability'!$A:$A,$B$4,'Reguler Class Availability'!$J:$J,$B253,'Reguler Class Availability'!$C:$C,"* - "&amp;F$249)</f>
        <v>0</v>
      </c>
      <c r="G253" s="85" t="n">
        <f aca="false">COUNTIFS('Reguler Class Availability'!$A:$A,$B$4,'Reguler Class Availability'!$I:$I,$B253,'Reguler Class Availability'!$C:$C,"* - "&amp;G$249)+COUNTIFS('Reguler Class Availability'!$A:$A,$B$4,'Reguler Class Availability'!$J:$J,$B253,'Reguler Class Availability'!$C:$C,"* - "&amp;G$249)</f>
        <v>0</v>
      </c>
      <c r="H253" s="85" t="n">
        <f aca="false">COUNTIFS('Reguler Class Availability'!$A:$A,$B$4,'Reguler Class Availability'!$I:$I,$B253,'Reguler Class Availability'!$C:$C,"* - "&amp;H$249)+COUNTIFS('Reguler Class Availability'!$A:$A,$B$4,'Reguler Class Availability'!$J:$J,$B253,'Reguler Class Availability'!$C:$C,"* - "&amp;H$249)</f>
        <v>6</v>
      </c>
      <c r="I253" s="85" t="n">
        <f aca="false">COUNTIFS('Reguler Class Availability'!$A:$A,$B$4,'Reguler Class Availability'!$I:$I,$B253,'Reguler Class Availability'!$C:$C,"* - "&amp;I$249)+COUNTIFS('Reguler Class Availability'!$A:$A,$B$4,'Reguler Class Availability'!$J:$J,$B253,'Reguler Class Availability'!$C:$C,"* - "&amp;I$249)</f>
        <v>7</v>
      </c>
      <c r="J253" s="85" t="n">
        <f aca="false">COUNTIFS('Reguler Class Availability'!$A:$A,$B$4,'Reguler Class Availability'!$I:$I,$B253,'Reguler Class Availability'!$C:$C,"* - "&amp;J$249)+COUNTIFS('Reguler Class Availability'!$A:$A,$B$4,'Reguler Class Availability'!$J:$J,$B253,'Reguler Class Availability'!$C:$C,"* - "&amp;J$249)</f>
        <v>5</v>
      </c>
      <c r="K253" s="82" t="n">
        <f aca="false">COUNTIFS('Reguler Class Availability'!$A:$A,$B$4,'Reguler Class Availability'!$I:$I,$B253)</f>
        <v>29</v>
      </c>
      <c r="L253" s="82" t="n">
        <f aca="false">COUNTIFS('Reguler Class Availability'!$A:$A,$B$4,'Reguler Class Availability'!$J:$J,$B253)</f>
        <v>0</v>
      </c>
      <c r="M253" s="82" t="s">
        <v>255</v>
      </c>
      <c r="BD253" s="30" t="s">
        <v>120</v>
      </c>
      <c r="BE253" s="30" t="n">
        <f aca="false">IF(COUNTIFS('Reguler Class Availability'!$L:$L,$B$4&amp;"|- Lane 5 - *|"&amp;BD253)&gt;0,1,0)</f>
        <v>1</v>
      </c>
      <c r="BF253" s="30" t="n">
        <f aca="false">BE253+BF252</f>
        <v>2</v>
      </c>
    </row>
    <row r="254" customFormat="false" ht="15" hidden="false" customHeight="false" outlineLevel="0" collapsed="false">
      <c r="A254" s="82" t="n">
        <v>5</v>
      </c>
      <c r="B254" s="83" t="s">
        <v>257</v>
      </c>
      <c r="C254" s="84" t="s">
        <v>188</v>
      </c>
      <c r="D254" s="85" t="n">
        <f aca="false">COUNTIFS('Reguler Class Availability'!$A:$A,$B$4,'Reguler Class Availability'!$I:$I,$B254,'Reguler Class Availability'!$C:$C,"* - "&amp;D$249)+COUNTIFS('Reguler Class Availability'!$A:$A,$B$4,'Reguler Class Availability'!$J:$J,$B254,'Reguler Class Availability'!$C:$C,"* - "&amp;D$249)</f>
        <v>0</v>
      </c>
      <c r="E254" s="85" t="n">
        <f aca="false">COUNTIFS('Reguler Class Availability'!$A:$A,$B$4,'Reguler Class Availability'!$I:$I,$B254,'Reguler Class Availability'!$C:$C,"* - "&amp;E$249)+COUNTIFS('Reguler Class Availability'!$A:$A,$B$4,'Reguler Class Availability'!$J:$J,$B254,'Reguler Class Availability'!$C:$C,"* - "&amp;E$249)</f>
        <v>0</v>
      </c>
      <c r="F254" s="85" t="n">
        <f aca="false">COUNTIFS('Reguler Class Availability'!$A:$A,$B$4,'Reguler Class Availability'!$I:$I,$B254,'Reguler Class Availability'!$C:$C,"* - "&amp;F$249)+COUNTIFS('Reguler Class Availability'!$A:$A,$B$4,'Reguler Class Availability'!$J:$J,$B254,'Reguler Class Availability'!$C:$C,"* - "&amp;F$249)</f>
        <v>6</v>
      </c>
      <c r="G254" s="85" t="n">
        <f aca="false">COUNTIFS('Reguler Class Availability'!$A:$A,$B$4,'Reguler Class Availability'!$I:$I,$B254,'Reguler Class Availability'!$C:$C,"* - "&amp;G$249)+COUNTIFS('Reguler Class Availability'!$A:$A,$B$4,'Reguler Class Availability'!$J:$J,$B254,'Reguler Class Availability'!$C:$C,"* - "&amp;G$249)</f>
        <v>6</v>
      </c>
      <c r="H254" s="85" t="n">
        <f aca="false">COUNTIFS('Reguler Class Availability'!$A:$A,$B$4,'Reguler Class Availability'!$I:$I,$B254,'Reguler Class Availability'!$C:$C,"* - "&amp;H$249)+COUNTIFS('Reguler Class Availability'!$A:$A,$B$4,'Reguler Class Availability'!$J:$J,$B254,'Reguler Class Availability'!$C:$C,"* - "&amp;H$249)</f>
        <v>6</v>
      </c>
      <c r="I254" s="85" t="n">
        <f aca="false">COUNTIFS('Reguler Class Availability'!$A:$A,$B$4,'Reguler Class Availability'!$I:$I,$B254,'Reguler Class Availability'!$C:$C,"* - "&amp;I$249)+COUNTIFS('Reguler Class Availability'!$A:$A,$B$4,'Reguler Class Availability'!$J:$J,$B254,'Reguler Class Availability'!$C:$C,"* - "&amp;I$249)</f>
        <v>6</v>
      </c>
      <c r="J254" s="85" t="n">
        <f aca="false">COUNTIFS('Reguler Class Availability'!$A:$A,$B$4,'Reguler Class Availability'!$I:$I,$B254,'Reguler Class Availability'!$C:$C,"* - "&amp;J$249)+COUNTIFS('Reguler Class Availability'!$A:$A,$B$4,'Reguler Class Availability'!$J:$J,$B254,'Reguler Class Availability'!$C:$C,"* - "&amp;J$249)</f>
        <v>5</v>
      </c>
      <c r="K254" s="82" t="n">
        <f aca="false">COUNTIFS('Reguler Class Availability'!$A:$A,$B$4,'Reguler Class Availability'!$I:$I,$B254)</f>
        <v>29</v>
      </c>
      <c r="L254" s="82" t="n">
        <f aca="false">COUNTIFS('Reguler Class Availability'!$A:$A,$B$4,'Reguler Class Availability'!$J:$J,$B254)</f>
        <v>0</v>
      </c>
      <c r="M254" s="82" t="s">
        <v>252</v>
      </c>
      <c r="BD254" s="30" t="s">
        <v>121</v>
      </c>
      <c r="BE254" s="30" t="n">
        <f aca="false">IF(COUNTIFS('Reguler Class Availability'!$L:$L,$B$4&amp;"|- Lane 5 - *|"&amp;BD254)&gt;0,1,0)</f>
        <v>0</v>
      </c>
      <c r="BF254" s="30" t="n">
        <f aca="false">BE254+BF253</f>
        <v>2</v>
      </c>
    </row>
    <row r="255" customFormat="false" ht="15" hidden="false" customHeight="false" outlineLevel="0" collapsed="false">
      <c r="A255" s="82" t="n">
        <v>6</v>
      </c>
      <c r="B255" s="83" t="s">
        <v>258</v>
      </c>
      <c r="C255" s="84" t="s">
        <v>188</v>
      </c>
      <c r="D255" s="85" t="n">
        <f aca="false">COUNTIFS('Reguler Class Availability'!$A:$A,$B$4,'Reguler Class Availability'!$I:$I,$B255,'Reguler Class Availability'!$C:$C,"* - "&amp;D$249)+COUNTIFS('Reguler Class Availability'!$A:$A,$B$4,'Reguler Class Availability'!$J:$J,$B255,'Reguler Class Availability'!$C:$C,"* - "&amp;D$249)</f>
        <v>0</v>
      </c>
      <c r="E255" s="85" t="n">
        <f aca="false">COUNTIFS('Reguler Class Availability'!$A:$A,$B$4,'Reguler Class Availability'!$I:$I,$B255,'Reguler Class Availability'!$C:$C,"* - "&amp;E$249)+COUNTIFS('Reguler Class Availability'!$A:$A,$B$4,'Reguler Class Availability'!$J:$J,$B255,'Reguler Class Availability'!$C:$C,"* - "&amp;E$249)</f>
        <v>0</v>
      </c>
      <c r="F255" s="85" t="n">
        <f aca="false">COUNTIFS('Reguler Class Availability'!$A:$A,$B$4,'Reguler Class Availability'!$I:$I,$B255,'Reguler Class Availability'!$C:$C,"* - "&amp;F$249)+COUNTIFS('Reguler Class Availability'!$A:$A,$B$4,'Reguler Class Availability'!$J:$J,$B255,'Reguler Class Availability'!$C:$C,"* - "&amp;F$249)</f>
        <v>5</v>
      </c>
      <c r="G255" s="85" t="n">
        <f aca="false">COUNTIFS('Reguler Class Availability'!$A:$A,$B$4,'Reguler Class Availability'!$I:$I,$B255,'Reguler Class Availability'!$C:$C,"* - "&amp;G$249)+COUNTIFS('Reguler Class Availability'!$A:$A,$B$4,'Reguler Class Availability'!$J:$J,$B255,'Reguler Class Availability'!$C:$C,"* - "&amp;G$249)</f>
        <v>5</v>
      </c>
      <c r="H255" s="85" t="n">
        <f aca="false">COUNTIFS('Reguler Class Availability'!$A:$A,$B$4,'Reguler Class Availability'!$I:$I,$B255,'Reguler Class Availability'!$C:$C,"* - "&amp;H$249)+COUNTIFS('Reguler Class Availability'!$A:$A,$B$4,'Reguler Class Availability'!$J:$J,$B255,'Reguler Class Availability'!$C:$C,"* - "&amp;H$249)</f>
        <v>4</v>
      </c>
      <c r="I255" s="85" t="n">
        <f aca="false">COUNTIFS('Reguler Class Availability'!$A:$A,$B$4,'Reguler Class Availability'!$I:$I,$B255,'Reguler Class Availability'!$C:$C,"* - "&amp;I$249)+COUNTIFS('Reguler Class Availability'!$A:$A,$B$4,'Reguler Class Availability'!$J:$J,$B255,'Reguler Class Availability'!$C:$C,"* - "&amp;I$249)</f>
        <v>7</v>
      </c>
      <c r="J255" s="85" t="n">
        <f aca="false">COUNTIFS('Reguler Class Availability'!$A:$A,$B$4,'Reguler Class Availability'!$I:$I,$B255,'Reguler Class Availability'!$C:$C,"* - "&amp;J$249)+COUNTIFS('Reguler Class Availability'!$A:$A,$B$4,'Reguler Class Availability'!$J:$J,$B255,'Reguler Class Availability'!$C:$C,"* - "&amp;J$249)</f>
        <v>6</v>
      </c>
      <c r="K255" s="82" t="n">
        <f aca="false">COUNTIFS('Reguler Class Availability'!$A:$A,$B$4,'Reguler Class Availability'!$I:$I,$B255)</f>
        <v>27</v>
      </c>
      <c r="L255" s="82" t="n">
        <f aca="false">COUNTIFS('Reguler Class Availability'!$A:$A,$B$4,'Reguler Class Availability'!$J:$J,$B255)</f>
        <v>0</v>
      </c>
      <c r="M255" s="82" t="s">
        <v>253</v>
      </c>
      <c r="BD255" s="30" t="s">
        <v>122</v>
      </c>
      <c r="BE255" s="30" t="n">
        <f aca="false">IF(COUNTIFS('Reguler Class Availability'!$L:$L,$B$4&amp;"|- Lane 5 - *|"&amp;BD255)&gt;0,1,0)</f>
        <v>0</v>
      </c>
      <c r="BF255" s="30" t="n">
        <f aca="false">BE255+BF254</f>
        <v>2</v>
      </c>
    </row>
    <row r="256" customFormat="false" ht="15" hidden="false" customHeight="false" outlineLevel="0" collapsed="false">
      <c r="A256" s="82" t="n">
        <v>7</v>
      </c>
      <c r="B256" s="83" t="s">
        <v>259</v>
      </c>
      <c r="C256" s="84" t="s">
        <v>260</v>
      </c>
      <c r="D256" s="85" t="n">
        <f aca="false">COUNTIFS('Reguler Class Availability'!$A:$A,$B$4,'Reguler Class Availability'!$I:$I,$B256,'Reguler Class Availability'!$C:$C,"* - "&amp;D$249)+COUNTIFS('Reguler Class Availability'!$A:$A,$B$4,'Reguler Class Availability'!$J:$J,$B256,'Reguler Class Availability'!$C:$C,"* - "&amp;D$249)</f>
        <v>5</v>
      </c>
      <c r="E256" s="85" t="n">
        <f aca="false">COUNTIFS('Reguler Class Availability'!$A:$A,$B$4,'Reguler Class Availability'!$I:$I,$B256,'Reguler Class Availability'!$C:$C,"* - "&amp;E$249)+COUNTIFS('Reguler Class Availability'!$A:$A,$B$4,'Reguler Class Availability'!$J:$J,$B256,'Reguler Class Availability'!$C:$C,"* - "&amp;E$249)</f>
        <v>0</v>
      </c>
      <c r="F256" s="85" t="n">
        <f aca="false">COUNTIFS('Reguler Class Availability'!$A:$A,$B$4,'Reguler Class Availability'!$I:$I,$B256,'Reguler Class Availability'!$C:$C,"* - "&amp;F$249)+COUNTIFS('Reguler Class Availability'!$A:$A,$B$4,'Reguler Class Availability'!$J:$J,$B256,'Reguler Class Availability'!$C:$C,"* - "&amp;F$249)</f>
        <v>0</v>
      </c>
      <c r="G256" s="85" t="n">
        <f aca="false">COUNTIFS('Reguler Class Availability'!$A:$A,$B$4,'Reguler Class Availability'!$I:$I,$B256,'Reguler Class Availability'!$C:$C,"* - "&amp;G$249)+COUNTIFS('Reguler Class Availability'!$A:$A,$B$4,'Reguler Class Availability'!$J:$J,$B256,'Reguler Class Availability'!$C:$C,"* - "&amp;G$249)</f>
        <v>4</v>
      </c>
      <c r="H256" s="85" t="n">
        <f aca="false">COUNTIFS('Reguler Class Availability'!$A:$A,$B$4,'Reguler Class Availability'!$I:$I,$B256,'Reguler Class Availability'!$C:$C,"* - "&amp;H$249)+COUNTIFS('Reguler Class Availability'!$A:$A,$B$4,'Reguler Class Availability'!$J:$J,$B256,'Reguler Class Availability'!$C:$C,"* - "&amp;H$249)</f>
        <v>5</v>
      </c>
      <c r="I256" s="85" t="n">
        <f aca="false">COUNTIFS('Reguler Class Availability'!$A:$A,$B$4,'Reguler Class Availability'!$I:$I,$B256,'Reguler Class Availability'!$C:$C,"* - "&amp;I$249)+COUNTIFS('Reguler Class Availability'!$A:$A,$B$4,'Reguler Class Availability'!$J:$J,$B256,'Reguler Class Availability'!$C:$C,"* - "&amp;I$249)</f>
        <v>5</v>
      </c>
      <c r="J256" s="85" t="n">
        <f aca="false">COUNTIFS('Reguler Class Availability'!$A:$A,$B$4,'Reguler Class Availability'!$I:$I,$B256,'Reguler Class Availability'!$C:$C,"* - "&amp;J$249)+COUNTIFS('Reguler Class Availability'!$A:$A,$B$4,'Reguler Class Availability'!$J:$J,$B256,'Reguler Class Availability'!$C:$C,"* - "&amp;J$249)</f>
        <v>5</v>
      </c>
      <c r="K256" s="82" t="n">
        <f aca="false">COUNTIFS('Reguler Class Availability'!$A:$A,$B$4,'Reguler Class Availability'!$I:$I,$B256)</f>
        <v>24</v>
      </c>
      <c r="L256" s="82" t="n">
        <f aca="false">COUNTIFS('Reguler Class Availability'!$A:$A,$B$4,'Reguler Class Availability'!$J:$J,$B256)</f>
        <v>0</v>
      </c>
      <c r="M256" s="82" t="s">
        <v>252</v>
      </c>
      <c r="BD256" s="30" t="s">
        <v>123</v>
      </c>
      <c r="BE256" s="30" t="n">
        <f aca="false">IF(COUNTIFS('Reguler Class Availability'!$L:$L,$B$4&amp;"|- Lane 5 - *|"&amp;BD256)&gt;0,1,0)</f>
        <v>1</v>
      </c>
      <c r="BF256" s="30" t="n">
        <f aca="false">BE256+BF255</f>
        <v>3</v>
      </c>
    </row>
    <row r="257" customFormat="false" ht="15" hidden="false" customHeight="false" outlineLevel="0" collapsed="false">
      <c r="A257" s="82" t="n">
        <v>8</v>
      </c>
      <c r="B257" s="83" t="s">
        <v>261</v>
      </c>
      <c r="C257" s="84" t="s">
        <v>260</v>
      </c>
      <c r="D257" s="85" t="n">
        <f aca="false">COUNTIFS('Reguler Class Availability'!$A:$A,$B$4,'Reguler Class Availability'!$I:$I,$B257,'Reguler Class Availability'!$C:$C,"* - "&amp;D$249)+COUNTIFS('Reguler Class Availability'!$A:$A,$B$4,'Reguler Class Availability'!$J:$J,$B257,'Reguler Class Availability'!$C:$C,"* - "&amp;D$249)</f>
        <v>5</v>
      </c>
      <c r="E257" s="85" t="n">
        <f aca="false">COUNTIFS('Reguler Class Availability'!$A:$A,$B$4,'Reguler Class Availability'!$I:$I,$B257,'Reguler Class Availability'!$C:$C,"* - "&amp;E$249)+COUNTIFS('Reguler Class Availability'!$A:$A,$B$4,'Reguler Class Availability'!$J:$J,$B257,'Reguler Class Availability'!$C:$C,"* - "&amp;E$249)</f>
        <v>6</v>
      </c>
      <c r="F257" s="85" t="n">
        <f aca="false">COUNTIFS('Reguler Class Availability'!$A:$A,$B$4,'Reguler Class Availability'!$I:$I,$B257,'Reguler Class Availability'!$C:$C,"* - "&amp;F$249)+COUNTIFS('Reguler Class Availability'!$A:$A,$B$4,'Reguler Class Availability'!$J:$J,$B257,'Reguler Class Availability'!$C:$C,"* - "&amp;F$249)</f>
        <v>0</v>
      </c>
      <c r="G257" s="85" t="n">
        <f aca="false">COUNTIFS('Reguler Class Availability'!$A:$A,$B$4,'Reguler Class Availability'!$I:$I,$B257,'Reguler Class Availability'!$C:$C,"* - "&amp;G$249)+COUNTIFS('Reguler Class Availability'!$A:$A,$B$4,'Reguler Class Availability'!$J:$J,$B257,'Reguler Class Availability'!$C:$C,"* - "&amp;G$249)</f>
        <v>0</v>
      </c>
      <c r="H257" s="85" t="n">
        <f aca="false">COUNTIFS('Reguler Class Availability'!$A:$A,$B$4,'Reguler Class Availability'!$I:$I,$B257,'Reguler Class Availability'!$C:$C,"* - "&amp;H$249)+COUNTIFS('Reguler Class Availability'!$A:$A,$B$4,'Reguler Class Availability'!$J:$J,$B257,'Reguler Class Availability'!$C:$C,"* - "&amp;H$249)</f>
        <v>3</v>
      </c>
      <c r="I257" s="85" t="n">
        <f aca="false">COUNTIFS('Reguler Class Availability'!$A:$A,$B$4,'Reguler Class Availability'!$I:$I,$B257,'Reguler Class Availability'!$C:$C,"* - "&amp;I$249)+COUNTIFS('Reguler Class Availability'!$A:$A,$B$4,'Reguler Class Availability'!$J:$J,$B257,'Reguler Class Availability'!$C:$C,"* - "&amp;I$249)</f>
        <v>4</v>
      </c>
      <c r="J257" s="85" t="n">
        <f aca="false">COUNTIFS('Reguler Class Availability'!$A:$A,$B$4,'Reguler Class Availability'!$I:$I,$B257,'Reguler Class Availability'!$C:$C,"* - "&amp;J$249)+COUNTIFS('Reguler Class Availability'!$A:$A,$B$4,'Reguler Class Availability'!$J:$J,$B257,'Reguler Class Availability'!$C:$C,"* - "&amp;J$249)</f>
        <v>6</v>
      </c>
      <c r="K257" s="82" t="n">
        <f aca="false">COUNTIFS('Reguler Class Availability'!$A:$A,$B$4,'Reguler Class Availability'!$I:$I,$B257)</f>
        <v>24</v>
      </c>
      <c r="L257" s="82" t="n">
        <f aca="false">COUNTIFS('Reguler Class Availability'!$A:$A,$B$4,'Reguler Class Availability'!$J:$J,$B257)</f>
        <v>0</v>
      </c>
      <c r="M257" s="82" t="s">
        <v>252</v>
      </c>
      <c r="BD257" s="30" t="s">
        <v>124</v>
      </c>
      <c r="BE257" s="30" t="n">
        <f aca="false">IF(COUNTIFS('Reguler Class Availability'!$L:$L,$B$4&amp;"|- Lane 5 - *|"&amp;BD257)&gt;0,1,0)</f>
        <v>0</v>
      </c>
      <c r="BF257" s="30" t="n">
        <f aca="false">BE257+BF256</f>
        <v>3</v>
      </c>
    </row>
    <row r="258" customFormat="false" ht="15" hidden="false" customHeight="false" outlineLevel="0" collapsed="false">
      <c r="A258" s="82" t="n">
        <v>9</v>
      </c>
      <c r="B258" s="83" t="s">
        <v>262</v>
      </c>
      <c r="C258" s="84" t="s">
        <v>188</v>
      </c>
      <c r="D258" s="85" t="n">
        <f aca="false">COUNTIFS('Reguler Class Availability'!$A:$A,$B$4,'Reguler Class Availability'!$I:$I,$B258,'Reguler Class Availability'!$C:$C,"* - "&amp;D$249)+COUNTIFS('Reguler Class Availability'!$A:$A,$B$4,'Reguler Class Availability'!$J:$J,$B258,'Reguler Class Availability'!$C:$C,"* - "&amp;D$249)</f>
        <v>0</v>
      </c>
      <c r="E258" s="85" t="n">
        <f aca="false">COUNTIFS('Reguler Class Availability'!$A:$A,$B$4,'Reguler Class Availability'!$I:$I,$B258,'Reguler Class Availability'!$C:$C,"* - "&amp;E$249)+COUNTIFS('Reguler Class Availability'!$A:$A,$B$4,'Reguler Class Availability'!$J:$J,$B258,'Reguler Class Availability'!$C:$C,"* - "&amp;E$249)</f>
        <v>4</v>
      </c>
      <c r="F258" s="85" t="n">
        <f aca="false">COUNTIFS('Reguler Class Availability'!$A:$A,$B$4,'Reguler Class Availability'!$I:$I,$B258,'Reguler Class Availability'!$C:$C,"* - "&amp;F$249)+COUNTIFS('Reguler Class Availability'!$A:$A,$B$4,'Reguler Class Availability'!$J:$J,$B258,'Reguler Class Availability'!$C:$C,"* - "&amp;F$249)</f>
        <v>0</v>
      </c>
      <c r="G258" s="85" t="n">
        <f aca="false">COUNTIFS('Reguler Class Availability'!$A:$A,$B$4,'Reguler Class Availability'!$I:$I,$B258,'Reguler Class Availability'!$C:$C,"* - "&amp;G$249)+COUNTIFS('Reguler Class Availability'!$A:$A,$B$4,'Reguler Class Availability'!$J:$J,$B258,'Reguler Class Availability'!$C:$C,"* - "&amp;G$249)</f>
        <v>3</v>
      </c>
      <c r="H258" s="85" t="n">
        <f aca="false">COUNTIFS('Reguler Class Availability'!$A:$A,$B$4,'Reguler Class Availability'!$I:$I,$B258,'Reguler Class Availability'!$C:$C,"* - "&amp;H$249)+COUNTIFS('Reguler Class Availability'!$A:$A,$B$4,'Reguler Class Availability'!$J:$J,$B258,'Reguler Class Availability'!$C:$C,"* - "&amp;H$249)</f>
        <v>4</v>
      </c>
      <c r="I258" s="85" t="n">
        <f aca="false">COUNTIFS('Reguler Class Availability'!$A:$A,$B$4,'Reguler Class Availability'!$I:$I,$B258,'Reguler Class Availability'!$C:$C,"* - "&amp;I$249)+COUNTIFS('Reguler Class Availability'!$A:$A,$B$4,'Reguler Class Availability'!$J:$J,$B258,'Reguler Class Availability'!$C:$C,"* - "&amp;I$249)</f>
        <v>4</v>
      </c>
      <c r="J258" s="85" t="n">
        <f aca="false">COUNTIFS('Reguler Class Availability'!$A:$A,$B$4,'Reguler Class Availability'!$I:$I,$B258,'Reguler Class Availability'!$C:$C,"* - "&amp;J$249)+COUNTIFS('Reguler Class Availability'!$A:$A,$B$4,'Reguler Class Availability'!$J:$J,$B258,'Reguler Class Availability'!$C:$C,"* - "&amp;J$249)</f>
        <v>2</v>
      </c>
      <c r="K258" s="82" t="n">
        <f aca="false">COUNTIFS('Reguler Class Availability'!$A:$A,$B$4,'Reguler Class Availability'!$I:$I,$B258)</f>
        <v>17</v>
      </c>
      <c r="L258" s="82" t="n">
        <f aca="false">COUNTIFS('Reguler Class Availability'!$A:$A,$B$4,'Reguler Class Availability'!$J:$J,$B258)</f>
        <v>0</v>
      </c>
      <c r="M258" s="82" t="s">
        <v>263</v>
      </c>
      <c r="BD258" s="30" t="s">
        <v>125</v>
      </c>
      <c r="BE258" s="30" t="n">
        <f aca="false">IF(COUNTIFS('Reguler Class Availability'!$L:$L,$B$4&amp;"|- Lane 5 - *|"&amp;BD258)&gt;0,1,0)</f>
        <v>0</v>
      </c>
      <c r="BF258" s="30" t="n">
        <f aca="false">BE258+BF257</f>
        <v>3</v>
      </c>
    </row>
    <row r="259" customFormat="false" ht="15" hidden="false" customHeight="false" outlineLevel="0" collapsed="false">
      <c r="A259" s="82" t="n">
        <v>10</v>
      </c>
      <c r="B259" s="83" t="s">
        <v>264</v>
      </c>
      <c r="C259" s="84" t="s">
        <v>198</v>
      </c>
      <c r="D259" s="85" t="n">
        <f aca="false">COUNTIFS('Reguler Class Availability'!$A:$A,$B$4,'Reguler Class Availability'!$I:$I,$B259,'Reguler Class Availability'!$C:$C,"* - "&amp;D$249)+COUNTIFS('Reguler Class Availability'!$A:$A,$B$4,'Reguler Class Availability'!$J:$J,$B259,'Reguler Class Availability'!$C:$C,"* - "&amp;D$249)</f>
        <v>4</v>
      </c>
      <c r="E259" s="85" t="n">
        <f aca="false">COUNTIFS('Reguler Class Availability'!$A:$A,$B$4,'Reguler Class Availability'!$I:$I,$B259,'Reguler Class Availability'!$C:$C,"* - "&amp;E$249)+COUNTIFS('Reguler Class Availability'!$A:$A,$B$4,'Reguler Class Availability'!$J:$J,$B259,'Reguler Class Availability'!$C:$C,"* - "&amp;E$249)</f>
        <v>1</v>
      </c>
      <c r="F259" s="85" t="n">
        <f aca="false">COUNTIFS('Reguler Class Availability'!$A:$A,$B$4,'Reguler Class Availability'!$I:$I,$B259,'Reguler Class Availability'!$C:$C,"* - "&amp;F$249)+COUNTIFS('Reguler Class Availability'!$A:$A,$B$4,'Reguler Class Availability'!$J:$J,$B259,'Reguler Class Availability'!$C:$C,"* - "&amp;F$249)</f>
        <v>2</v>
      </c>
      <c r="G259" s="85" t="n">
        <f aca="false">COUNTIFS('Reguler Class Availability'!$A:$A,$B$4,'Reguler Class Availability'!$I:$I,$B259,'Reguler Class Availability'!$C:$C,"* - "&amp;G$249)+COUNTIFS('Reguler Class Availability'!$A:$A,$B$4,'Reguler Class Availability'!$J:$J,$B259,'Reguler Class Availability'!$C:$C,"* - "&amp;G$249)</f>
        <v>0</v>
      </c>
      <c r="H259" s="85" t="n">
        <f aca="false">COUNTIFS('Reguler Class Availability'!$A:$A,$B$4,'Reguler Class Availability'!$I:$I,$B259,'Reguler Class Availability'!$C:$C,"* - "&amp;H$249)+COUNTIFS('Reguler Class Availability'!$A:$A,$B$4,'Reguler Class Availability'!$J:$J,$B259,'Reguler Class Availability'!$C:$C,"* - "&amp;H$249)</f>
        <v>3</v>
      </c>
      <c r="I259" s="85" t="n">
        <f aca="false">COUNTIFS('Reguler Class Availability'!$A:$A,$B$4,'Reguler Class Availability'!$I:$I,$B259,'Reguler Class Availability'!$C:$C,"* - "&amp;I$249)+COUNTIFS('Reguler Class Availability'!$A:$A,$B$4,'Reguler Class Availability'!$J:$J,$B259,'Reguler Class Availability'!$C:$C,"* - "&amp;I$249)</f>
        <v>3</v>
      </c>
      <c r="J259" s="85" t="n">
        <f aca="false">COUNTIFS('Reguler Class Availability'!$A:$A,$B$4,'Reguler Class Availability'!$I:$I,$B259,'Reguler Class Availability'!$C:$C,"* - "&amp;J$249)+COUNTIFS('Reguler Class Availability'!$A:$A,$B$4,'Reguler Class Availability'!$J:$J,$B259,'Reguler Class Availability'!$C:$C,"* - "&amp;J$249)</f>
        <v>3</v>
      </c>
      <c r="K259" s="82" t="n">
        <f aca="false">COUNTIFS('Reguler Class Availability'!$A:$A,$B$4,'Reguler Class Availability'!$I:$I,$B259)</f>
        <v>16</v>
      </c>
      <c r="L259" s="82" t="n">
        <f aca="false">COUNTIFS('Reguler Class Availability'!$A:$A,$B$4,'Reguler Class Availability'!$J:$J,$B259)</f>
        <v>0</v>
      </c>
      <c r="M259" s="82" t="s">
        <v>252</v>
      </c>
      <c r="BD259" s="30" t="s">
        <v>126</v>
      </c>
      <c r="BE259" s="30" t="n">
        <f aca="false">IF(COUNTIFS('Reguler Class Availability'!$L:$L,$B$4&amp;"|- Lane 5 - *|"&amp;BD259)&gt;0,1,0)</f>
        <v>1</v>
      </c>
      <c r="BF259" s="30" t="n">
        <f aca="false">BE259+BF258</f>
        <v>4</v>
      </c>
    </row>
    <row r="260" customFormat="false" ht="15" hidden="false" customHeight="false" outlineLevel="0" collapsed="false">
      <c r="A260" s="82" t="n">
        <v>11</v>
      </c>
      <c r="B260" s="83" t="s">
        <v>265</v>
      </c>
      <c r="C260" s="84" t="s">
        <v>266</v>
      </c>
      <c r="D260" s="85" t="n">
        <f aca="false">COUNTIFS('Reguler Class Availability'!$A:$A,$B$4,'Reguler Class Availability'!$I:$I,$B260,'Reguler Class Availability'!$C:$C,"* - "&amp;D$249)+COUNTIFS('Reguler Class Availability'!$A:$A,$B$4,'Reguler Class Availability'!$J:$J,$B260,'Reguler Class Availability'!$C:$C,"* - "&amp;D$249)</f>
        <v>0</v>
      </c>
      <c r="E260" s="85" t="n">
        <f aca="false">COUNTIFS('Reguler Class Availability'!$A:$A,$B$4,'Reguler Class Availability'!$I:$I,$B260,'Reguler Class Availability'!$C:$C,"* - "&amp;E$249)+COUNTIFS('Reguler Class Availability'!$A:$A,$B$4,'Reguler Class Availability'!$J:$J,$B260,'Reguler Class Availability'!$C:$C,"* - "&amp;E$249)</f>
        <v>0</v>
      </c>
      <c r="F260" s="85" t="n">
        <f aca="false">COUNTIFS('Reguler Class Availability'!$A:$A,$B$4,'Reguler Class Availability'!$I:$I,$B260,'Reguler Class Availability'!$C:$C,"* - "&amp;F$249)+COUNTIFS('Reguler Class Availability'!$A:$A,$B$4,'Reguler Class Availability'!$J:$J,$B260,'Reguler Class Availability'!$C:$C,"* - "&amp;F$249)</f>
        <v>0</v>
      </c>
      <c r="G260" s="85" t="n">
        <f aca="false">COUNTIFS('Reguler Class Availability'!$A:$A,$B$4,'Reguler Class Availability'!$I:$I,$B260,'Reguler Class Availability'!$C:$C,"* - "&amp;G$249)+COUNTIFS('Reguler Class Availability'!$A:$A,$B$4,'Reguler Class Availability'!$J:$J,$B260,'Reguler Class Availability'!$C:$C,"* - "&amp;G$249)</f>
        <v>0</v>
      </c>
      <c r="H260" s="85" t="n">
        <f aca="false">COUNTIFS('Reguler Class Availability'!$A:$A,$B$4,'Reguler Class Availability'!$I:$I,$B260,'Reguler Class Availability'!$C:$C,"* - "&amp;H$249)+COUNTIFS('Reguler Class Availability'!$A:$A,$B$4,'Reguler Class Availability'!$J:$J,$B260,'Reguler Class Availability'!$C:$C,"* - "&amp;H$249)</f>
        <v>0</v>
      </c>
      <c r="I260" s="85" t="n">
        <f aca="false">COUNTIFS('Reguler Class Availability'!$A:$A,$B$4,'Reguler Class Availability'!$I:$I,$B260,'Reguler Class Availability'!$C:$C,"* - "&amp;I$249)+COUNTIFS('Reguler Class Availability'!$A:$A,$B$4,'Reguler Class Availability'!$J:$J,$B260,'Reguler Class Availability'!$C:$C,"* - "&amp;I$249)</f>
        <v>1</v>
      </c>
      <c r="J260" s="85" t="n">
        <f aca="false">COUNTIFS('Reguler Class Availability'!$A:$A,$B$4,'Reguler Class Availability'!$I:$I,$B260,'Reguler Class Availability'!$C:$C,"* - "&amp;J$249)+COUNTIFS('Reguler Class Availability'!$A:$A,$B$4,'Reguler Class Availability'!$J:$J,$B260,'Reguler Class Availability'!$C:$C,"* - "&amp;J$249)</f>
        <v>1</v>
      </c>
      <c r="K260" s="82" t="n">
        <f aca="false">COUNTIFS('Reguler Class Availability'!$A:$A,$B$4,'Reguler Class Availability'!$I:$I,$B260)</f>
        <v>2</v>
      </c>
      <c r="L260" s="82" t="n">
        <f aca="false">COUNTIFS('Reguler Class Availability'!$A:$A,$B$4,'Reguler Class Availability'!$J:$J,$B260)</f>
        <v>0</v>
      </c>
      <c r="M260" s="82" t="s">
        <v>267</v>
      </c>
      <c r="BD260" s="30" t="s">
        <v>127</v>
      </c>
      <c r="BE260" s="30" t="n">
        <f aca="false">IF(COUNTIFS('Reguler Class Availability'!$L:$L,$B$4&amp;"|- Lane 5 - *|"&amp;BD260)&gt;0,1,0)</f>
        <v>0</v>
      </c>
      <c r="BF260" s="30" t="n">
        <f aca="false">BE260+BF259</f>
        <v>4</v>
      </c>
    </row>
    <row r="261" customFormat="false" ht="15" hidden="false" customHeight="false" outlineLevel="0" collapsed="false">
      <c r="BD261" s="0" t="s">
        <v>128</v>
      </c>
      <c r="BE261" s="0" t="n">
        <f aca="false">IF(COUNTIFS('Reguler Class Availability'!$L:$L,$B$4&amp;"|- Lane 5 - *|"&amp;BD261)&gt;0,1,0)</f>
        <v>0</v>
      </c>
      <c r="BF261" s="0" t="n">
        <f aca="false">BE261+BF260</f>
        <v>4</v>
      </c>
    </row>
    <row r="262" customFormat="false" ht="15" hidden="false" customHeight="false" outlineLevel="0" collapsed="false">
      <c r="BD262" s="0" t="s">
        <v>129</v>
      </c>
      <c r="BE262" s="0" t="n">
        <f aca="false">IF(COUNTIFS('Reguler Class Availability'!$L:$L,$B$4&amp;"|- Lane 5 - *|"&amp;BD262)&gt;0,1,0)</f>
        <v>1</v>
      </c>
      <c r="BF262" s="0" t="n">
        <f aca="false">BE262+BF261</f>
        <v>5</v>
      </c>
    </row>
    <row r="263" customFormat="false" ht="15" hidden="false" customHeight="false" outlineLevel="0" collapsed="false">
      <c r="BD263" s="0" t="s">
        <v>130</v>
      </c>
      <c r="BE263" s="0" t="n">
        <f aca="false">IF(COUNTIFS('Reguler Class Availability'!$L:$L,$B$4&amp;"|- Lane 5 - *|"&amp;BD263)&gt;0,1,0)</f>
        <v>0</v>
      </c>
      <c r="BF263" s="0" t="n">
        <f aca="false">BE263+BF262</f>
        <v>5</v>
      </c>
    </row>
    <row r="264" customFormat="false" ht="15" hidden="false" customHeight="false" outlineLevel="0" collapsed="false">
      <c r="BD264" s="0" t="s">
        <v>131</v>
      </c>
      <c r="BE264" s="0" t="n">
        <f aca="false">IF(COUNTIFS('Reguler Class Availability'!$L:$L,$B$4&amp;"|- Lane 5 - *|"&amp;BD264)&gt;0,1,0)</f>
        <v>0</v>
      </c>
      <c r="BF264" s="0" t="n">
        <f aca="false">BE264+BF263</f>
        <v>5</v>
      </c>
    </row>
    <row r="265" customFormat="false" ht="15" hidden="false" customHeight="false" outlineLevel="0" collapsed="false">
      <c r="BD265" s="0" t="s">
        <v>132</v>
      </c>
      <c r="BE265" s="0" t="n">
        <f aca="false">IF(COUNTIFS('Reguler Class Availability'!$L:$L,$B$4&amp;"|- Lane 5 - *|"&amp;BD265)&gt;0,1,0)</f>
        <v>1</v>
      </c>
      <c r="BF265" s="0" t="n">
        <f aca="false">BE265+BF264</f>
        <v>6</v>
      </c>
    </row>
    <row r="266" customFormat="false" ht="15" hidden="false" customHeight="false" outlineLevel="0" collapsed="false">
      <c r="BD266" s="0" t="s">
        <v>133</v>
      </c>
      <c r="BE266" s="0" t="n">
        <f aca="false">IF(COUNTIFS('Reguler Class Availability'!$L:$L,$B$4&amp;"|- Lane 5 - *|"&amp;BD266)&gt;0,1,0)</f>
        <v>0</v>
      </c>
      <c r="BF266" s="0" t="n">
        <f aca="false">BE266+BF265</f>
        <v>6</v>
      </c>
    </row>
    <row r="267" customFormat="false" ht="15" hidden="false" customHeight="false" outlineLevel="0" collapsed="false">
      <c r="BD267" s="0" t="s">
        <v>134</v>
      </c>
      <c r="BE267" s="0" t="n">
        <f aca="false">IF(COUNTIFS('Reguler Class Availability'!$L:$L,$B$4&amp;"|- Lane 5 - *|"&amp;BD267)&gt;0,1,0)</f>
        <v>0</v>
      </c>
      <c r="BF267" s="0" t="n">
        <f aca="false">BE267+BF266</f>
        <v>6</v>
      </c>
    </row>
    <row r="268" customFormat="false" ht="15" hidden="false" customHeight="false" outlineLevel="0" collapsed="false">
      <c r="BD268" s="0" t="s">
        <v>135</v>
      </c>
      <c r="BE268" s="0" t="n">
        <f aca="false">IF(COUNTIFS('Reguler Class Availability'!$L:$L,$B$4&amp;"|- Lane 5 - *|"&amp;BD268)&gt;0,1,0)</f>
        <v>0</v>
      </c>
      <c r="BF268" s="0" t="n">
        <f aca="false">BE268+BF267</f>
        <v>6</v>
      </c>
    </row>
    <row r="269" customFormat="false" ht="15" hidden="false" customHeight="false" outlineLevel="0" collapsed="false">
      <c r="BD269" s="0" t="s">
        <v>136</v>
      </c>
      <c r="BE269" s="0" t="n">
        <f aca="false">IF(COUNTIFS('Reguler Class Availability'!$L:$L,$B$4&amp;"|- Lane 5 - *|"&amp;BD269)&gt;0,1,0)</f>
        <v>0</v>
      </c>
      <c r="BF269" s="0" t="n">
        <f aca="false">BE269+BF268</f>
        <v>6</v>
      </c>
    </row>
    <row r="270" customFormat="false" ht="15" hidden="false" customHeight="false" outlineLevel="0" collapsed="false">
      <c r="BD270" s="0" t="s">
        <v>138</v>
      </c>
      <c r="BE270" s="0" t="n">
        <f aca="false">IF(COUNTIFS('Reguler Class Availability'!$L:$L,$B$4&amp;"|- Lane 5 - *|"&amp;BD270)&gt;0,1,0)</f>
        <v>0</v>
      </c>
      <c r="BF270" s="0" t="n">
        <f aca="false">BE270+BF269</f>
        <v>6</v>
      </c>
    </row>
    <row r="271" customFormat="false" ht="15" hidden="false" customHeight="false" outlineLevel="0" collapsed="false">
      <c r="BD271" s="0" t="s">
        <v>139</v>
      </c>
      <c r="BE271" s="0" t="n">
        <f aca="false">IF(COUNTIFS('Reguler Class Availability'!$L:$L,$B$4&amp;"|- Lane 5 - *|"&amp;BD271)&gt;0,1,0)</f>
        <v>1</v>
      </c>
      <c r="BF271" s="0" t="n">
        <f aca="false">BE271+BF270</f>
        <v>7</v>
      </c>
    </row>
    <row r="272" customFormat="false" ht="15" hidden="false" customHeight="false" outlineLevel="0" collapsed="false">
      <c r="BD272" s="0" t="s">
        <v>141</v>
      </c>
      <c r="BE272" s="0" t="n">
        <f aca="false">IF(COUNTIFS('Reguler Class Availability'!$L:$L,$B$4&amp;"|- Lane 5 - *|"&amp;BD272)&gt;0,1,0)</f>
        <v>0</v>
      </c>
      <c r="BF272" s="0" t="n">
        <f aca="false">BE272+BF271</f>
        <v>7</v>
      </c>
    </row>
    <row r="273" customFormat="false" ht="15" hidden="false" customHeight="false" outlineLevel="0" collapsed="false">
      <c r="BD273" s="0" t="s">
        <v>142</v>
      </c>
      <c r="BE273" s="0" t="n">
        <f aca="false">IF(COUNTIFS('Reguler Class Availability'!$L:$L,$B$4&amp;"|- Lane 5 - *|"&amp;BD273)&gt;0,1,0)</f>
        <v>0</v>
      </c>
      <c r="BF273" s="0" t="n">
        <f aca="false">BE273+BF272</f>
        <v>7</v>
      </c>
    </row>
    <row r="274" customFormat="false" ht="15" hidden="false" customHeight="false" outlineLevel="0" collapsed="false">
      <c r="BD274" s="0" t="s">
        <v>143</v>
      </c>
      <c r="BE274" s="0" t="n">
        <f aca="false">IF(COUNTIFS('Reguler Class Availability'!$L:$L,$B$4&amp;"|- Lane 5 - *|"&amp;BD274)&gt;0,1,0)</f>
        <v>1</v>
      </c>
      <c r="BF274" s="0" t="n">
        <f aca="false">BE274+BF273</f>
        <v>8</v>
      </c>
    </row>
    <row r="275" customFormat="false" ht="15" hidden="false" customHeight="false" outlineLevel="0" collapsed="false">
      <c r="BD275" s="0" t="s">
        <v>144</v>
      </c>
      <c r="BE275" s="0" t="n">
        <f aca="false">IF(COUNTIFS('Reguler Class Availability'!$L:$L,$B$4&amp;"|- Lane 5 - *|"&amp;BD275)&gt;0,1,0)</f>
        <v>0</v>
      </c>
      <c r="BF275" s="0" t="n">
        <f aca="false">BE275+BF274</f>
        <v>8</v>
      </c>
    </row>
    <row r="276" customFormat="false" ht="15" hidden="false" customHeight="false" outlineLevel="0" collapsed="false">
      <c r="BD276" s="0" t="s">
        <v>145</v>
      </c>
      <c r="BE276" s="0" t="n">
        <f aca="false">IF(COUNTIFS('Reguler Class Availability'!$L:$L,$B$4&amp;"|- Lane 5 - *|"&amp;BD276)&gt;0,1,0)</f>
        <v>0</v>
      </c>
      <c r="BF276" s="0" t="n">
        <f aca="false">BE276+BF275</f>
        <v>8</v>
      </c>
    </row>
    <row r="277" customFormat="false" ht="15" hidden="false" customHeight="false" outlineLevel="0" collapsed="false">
      <c r="BD277" s="0" t="s">
        <v>146</v>
      </c>
      <c r="BE277" s="0" t="n">
        <f aca="false">IF(COUNTIFS('Reguler Class Availability'!$L:$L,$B$4&amp;"|- Lane 5 - *|"&amp;BD277)&gt;0,1,0)</f>
        <v>1</v>
      </c>
      <c r="BF277" s="0" t="n">
        <f aca="false">BE277+BF276</f>
        <v>9</v>
      </c>
    </row>
    <row r="278" customFormat="false" ht="15" hidden="false" customHeight="false" outlineLevel="0" collapsed="false">
      <c r="BD278" s="0" t="s">
        <v>147</v>
      </c>
      <c r="BE278" s="0" t="n">
        <f aca="false">IF(COUNTIFS('Reguler Class Availability'!$L:$L,$B$4&amp;"|- Lane 5 - *|"&amp;BD278)&gt;0,1,0)</f>
        <v>0</v>
      </c>
      <c r="BF278" s="0" t="n">
        <f aca="false">BE278+BF277</f>
        <v>9</v>
      </c>
    </row>
    <row r="279" customFormat="false" ht="15" hidden="false" customHeight="false" outlineLevel="0" collapsed="false">
      <c r="BD279" s="0" t="s">
        <v>148</v>
      </c>
      <c r="BE279" s="0" t="n">
        <f aca="false">IF(COUNTIFS('Reguler Class Availability'!$L:$L,$B$4&amp;"|- Lane 5 - *|"&amp;BD279)&gt;0,1,0)</f>
        <v>0</v>
      </c>
      <c r="BF279" s="0" t="n">
        <f aca="false">BE279+BF278</f>
        <v>9</v>
      </c>
    </row>
    <row r="280" customFormat="false" ht="15" hidden="false" customHeight="false" outlineLevel="0" collapsed="false">
      <c r="BD280" s="0" t="s">
        <v>149</v>
      </c>
      <c r="BE280" s="0" t="n">
        <f aca="false">IF(COUNTIFS('Reguler Class Availability'!$L:$L,$B$4&amp;"|- Lane 5 - *|"&amp;BD280)&gt;0,1,0)</f>
        <v>1</v>
      </c>
      <c r="BF280" s="0" t="n">
        <f aca="false">BE280+BF279</f>
        <v>10</v>
      </c>
    </row>
    <row r="281" customFormat="false" ht="15" hidden="false" customHeight="false" outlineLevel="0" collapsed="false">
      <c r="BD281" s="0" t="s">
        <v>150</v>
      </c>
      <c r="BE281" s="0" t="n">
        <f aca="false">IF(COUNTIFS('Reguler Class Availability'!$L:$L,$B$4&amp;"|- Lane 5 - *|"&amp;BD281)&gt;0,1,0)</f>
        <v>0</v>
      </c>
      <c r="BF281" s="0" t="n">
        <f aca="false">BE281+BF280</f>
        <v>10</v>
      </c>
    </row>
    <row r="282" customFormat="false" ht="15" hidden="false" customHeight="false" outlineLevel="0" collapsed="false">
      <c r="BD282" s="0" t="s">
        <v>151</v>
      </c>
      <c r="BE282" s="0" t="n">
        <f aca="false">IF(COUNTIFS('Reguler Class Availability'!$L:$L,$B$4&amp;"|- Lane 5 - *|"&amp;BD282)&gt;0,1,0)</f>
        <v>0</v>
      </c>
      <c r="BF282" s="0" t="n">
        <f aca="false">BE282+BF281</f>
        <v>10</v>
      </c>
    </row>
    <row r="283" customFormat="false" ht="15" hidden="false" customHeight="false" outlineLevel="0" collapsed="false">
      <c r="BD283" s="0" t="s">
        <v>152</v>
      </c>
      <c r="BE283" s="0" t="n">
        <f aca="false">IF(COUNTIFS('Reguler Class Availability'!$L:$L,$B$4&amp;"|- Lane 5 - *|"&amp;BD283)&gt;0,1,0)</f>
        <v>1</v>
      </c>
      <c r="BF283" s="0" t="n">
        <f aca="false">BE283+BF282</f>
        <v>11</v>
      </c>
    </row>
    <row r="284" customFormat="false" ht="15" hidden="false" customHeight="false" outlineLevel="0" collapsed="false">
      <c r="BD284" s="0" t="s">
        <v>153</v>
      </c>
      <c r="BE284" s="0" t="n">
        <f aca="false">IF(COUNTIFS('Reguler Class Availability'!$L:$L,$B$4&amp;"|- Lane 5 - *|"&amp;BD284)&gt;0,1,0)</f>
        <v>0</v>
      </c>
      <c r="BF284" s="0" t="n">
        <f aca="false">BE284+BF283</f>
        <v>11</v>
      </c>
    </row>
    <row r="285" customFormat="false" ht="15" hidden="false" customHeight="false" outlineLevel="0" collapsed="false">
      <c r="BD285" s="0" t="s">
        <v>154</v>
      </c>
      <c r="BE285" s="0" t="n">
        <f aca="false">IF(COUNTIFS('Reguler Class Availability'!$L:$L,$B$4&amp;"|- Lane 5 - *|"&amp;BD285)&gt;0,1,0)</f>
        <v>0</v>
      </c>
      <c r="BF285" s="0" t="n">
        <f aca="false">BE285+BF284</f>
        <v>11</v>
      </c>
    </row>
    <row r="286" customFormat="false" ht="15" hidden="false" customHeight="false" outlineLevel="0" collapsed="false">
      <c r="BD286" s="0" t="s">
        <v>155</v>
      </c>
      <c r="BE286" s="0" t="n">
        <f aca="false">IF(COUNTIFS('Reguler Class Availability'!$L:$L,$B$4&amp;"|- Lane 5 - *|"&amp;BD286)&gt;0,1,0)</f>
        <v>1</v>
      </c>
      <c r="BF286" s="0" t="n">
        <f aca="false">BE286+BF285</f>
        <v>12</v>
      </c>
    </row>
    <row r="287" customFormat="false" ht="15" hidden="false" customHeight="false" outlineLevel="0" collapsed="false">
      <c r="BD287" s="0" t="s">
        <v>156</v>
      </c>
      <c r="BE287" s="0" t="n">
        <f aca="false">IF(COUNTIFS('Reguler Class Availability'!$L:$L,$B$4&amp;"|- Lane 5 - *|"&amp;BD287)&gt;0,1,0)</f>
        <v>0</v>
      </c>
      <c r="BF287" s="0" t="n">
        <f aca="false">BE287+BF286</f>
        <v>12</v>
      </c>
    </row>
    <row r="288" customFormat="false" ht="15" hidden="false" customHeight="false" outlineLevel="0" collapsed="false">
      <c r="BD288" s="0" t="s">
        <v>157</v>
      </c>
      <c r="BE288" s="0" t="n">
        <f aca="false">IF(COUNTIFS('Reguler Class Availability'!$L:$L,$B$4&amp;"|- Lane 5 - *|"&amp;BD288)&gt;0,1,0)</f>
        <v>0</v>
      </c>
      <c r="BF288" s="0" t="n">
        <f aca="false">BE288+BF287</f>
        <v>12</v>
      </c>
    </row>
    <row r="289" customFormat="false" ht="15" hidden="false" customHeight="false" outlineLevel="0" collapsed="false">
      <c r="BD289" s="0" t="s">
        <v>158</v>
      </c>
      <c r="BE289" s="0" t="n">
        <f aca="false">IF(COUNTIFS('Reguler Class Availability'!$L:$L,$B$4&amp;"|- Lane 5 - *|"&amp;BD289)&gt;0,1,0)</f>
        <v>0</v>
      </c>
      <c r="BF289" s="0" t="n">
        <f aca="false">BE289+BF288</f>
        <v>12</v>
      </c>
    </row>
    <row r="290" customFormat="false" ht="15" hidden="false" customHeight="false" outlineLevel="0" collapsed="false">
      <c r="BD290" s="0" t="s">
        <v>160</v>
      </c>
      <c r="BE290" s="0" t="n">
        <f aca="false">IF(COUNTIFS('Reguler Class Availability'!$L:$L,$B$4&amp;"|- Lane 5 - *|"&amp;BD290)&gt;0,1,0)</f>
        <v>0</v>
      </c>
      <c r="BF290" s="0" t="n">
        <f aca="false">BE290+BF289</f>
        <v>12</v>
      </c>
    </row>
    <row r="291" customFormat="false" ht="15" hidden="false" customHeight="false" outlineLevel="0" collapsed="false">
      <c r="BD291" s="0" t="s">
        <v>161</v>
      </c>
      <c r="BE291" s="0" t="n">
        <f aca="false">IF(COUNTIFS('Reguler Class Availability'!$L:$L,$B$4&amp;"|- Lane 5 - *|"&amp;BD291)&gt;0,1,0)</f>
        <v>0</v>
      </c>
      <c r="BF291" s="0" t="n">
        <f aca="false">BE291+BF290</f>
        <v>12</v>
      </c>
    </row>
    <row r="292" customFormat="false" ht="15" hidden="false" customHeight="false" outlineLevel="0" collapsed="false">
      <c r="BD292" s="0" t="s">
        <v>162</v>
      </c>
      <c r="BE292" s="0" t="n">
        <f aca="false">IF(COUNTIFS('Reguler Class Availability'!$L:$L,$B$4&amp;"|- Lane 5 - *|"&amp;BD292)&gt;0,1,0)</f>
        <v>0</v>
      </c>
      <c r="BF292" s="0" t="n">
        <f aca="false">BE292+BF291</f>
        <v>12</v>
      </c>
    </row>
    <row r="293" customFormat="false" ht="15" hidden="false" customHeight="false" outlineLevel="0" collapsed="false">
      <c r="BD293" s="0" t="s">
        <v>163</v>
      </c>
      <c r="BE293" s="0" t="n">
        <f aca="false">IF(COUNTIFS('Reguler Class Availability'!$L:$L,$B$4&amp;"|- Lane 5 - *|"&amp;BD293)&gt;0,1,0)</f>
        <v>0</v>
      </c>
      <c r="BF293" s="0" t="n">
        <f aca="false">BE293+BF292</f>
        <v>12</v>
      </c>
    </row>
    <row r="294" customFormat="false" ht="15" hidden="false" customHeight="false" outlineLevel="0" collapsed="false">
      <c r="BD294" s="0" t="s">
        <v>164</v>
      </c>
      <c r="BE294" s="0" t="n">
        <f aca="false">IF(COUNTIFS('Reguler Class Availability'!$L:$L,$B$4&amp;"|- Lane 5 - *|"&amp;BD294)&gt;0,1,0)</f>
        <v>0</v>
      </c>
      <c r="BF294" s="0" t="n">
        <f aca="false">BE294+BF293</f>
        <v>12</v>
      </c>
    </row>
    <row r="295" customFormat="false" ht="15" hidden="false" customHeight="false" outlineLevel="0" collapsed="false">
      <c r="BD295" s="0" t="s">
        <v>165</v>
      </c>
      <c r="BE295" s="0" t="n">
        <f aca="false">IF(COUNTIFS('Reguler Class Availability'!$L:$L,$B$4&amp;"|- Lane 5 - *|"&amp;BD295)&gt;0,1,0)</f>
        <v>0</v>
      </c>
      <c r="BF295" s="0" t="n">
        <f aca="false">BE295+BF294</f>
        <v>12</v>
      </c>
    </row>
    <row r="296" customFormat="false" ht="15" hidden="false" customHeight="false" outlineLevel="0" collapsed="false">
      <c r="BD296" s="0" t="s">
        <v>166</v>
      </c>
      <c r="BE296" s="0" t="n">
        <f aca="false">IF(COUNTIFS('Reguler Class Availability'!$L:$L,$B$4&amp;"|- Lane 5 - *|"&amp;BD296)&gt;0,1,0)</f>
        <v>0</v>
      </c>
      <c r="BF296" s="0" t="n">
        <f aca="false">BE296+BF295</f>
        <v>12</v>
      </c>
    </row>
    <row r="297" customFormat="false" ht="15" hidden="false" customHeight="false" outlineLevel="0" collapsed="false">
      <c r="BD297" s="0" t="s">
        <v>167</v>
      </c>
      <c r="BE297" s="0" t="n">
        <f aca="false">IF(COUNTIFS('Reguler Class Availability'!$L:$L,$B$4&amp;"|- Lane 5 - *|"&amp;BD297)&gt;0,1,0)</f>
        <v>0</v>
      </c>
      <c r="BF297" s="0" t="n">
        <f aca="false">BE297+BF296</f>
        <v>12</v>
      </c>
    </row>
    <row r="298" customFormat="false" ht="15" hidden="false" customHeight="false" outlineLevel="0" collapsed="false">
      <c r="BD298" s="0" t="s">
        <v>168</v>
      </c>
      <c r="BE298" s="0" t="n">
        <f aca="false">IF(COUNTIFS('Reguler Class Availability'!$L:$L,$B$4&amp;"|- Lane 5 - *|"&amp;BD298)&gt;0,1,0)</f>
        <v>0</v>
      </c>
      <c r="BF298" s="0" t="n">
        <f aca="false">BE298+BF297</f>
        <v>12</v>
      </c>
    </row>
    <row r="299" customFormat="false" ht="15" hidden="false" customHeight="false" outlineLevel="0" collapsed="false">
      <c r="BD299" s="0" t="s">
        <v>169</v>
      </c>
      <c r="BE299" s="0" t="n">
        <f aca="false">IF(COUNTIFS('Reguler Class Availability'!$L:$L,$B$4&amp;"|- Lane 5 - *|"&amp;BD299)&gt;0,1,0)</f>
        <v>0</v>
      </c>
      <c r="BF299" s="0" t="n">
        <f aca="false">BE299+BF298</f>
        <v>12</v>
      </c>
    </row>
    <row r="300" customFormat="false" ht="15" hidden="false" customHeight="false" outlineLevel="0" collapsed="false">
      <c r="BD300" s="0" t="s">
        <v>170</v>
      </c>
      <c r="BE300" s="0" t="n">
        <f aca="false">IF(COUNTIFS('Reguler Class Availability'!$L:$L,$B$4&amp;"|- Lane 5 - *|"&amp;BD300)&gt;0,1,0)</f>
        <v>0</v>
      </c>
      <c r="BF300" s="0" t="n">
        <f aca="false">BE300+BF299</f>
        <v>12</v>
      </c>
    </row>
    <row r="301" customFormat="false" ht="15" hidden="false" customHeight="false" outlineLevel="0" collapsed="false">
      <c r="BD301" s="0" t="s">
        <v>171</v>
      </c>
      <c r="BE301" s="0" t="n">
        <f aca="false">IF(COUNTIFS('Reguler Class Availability'!$L:$L,$B$4&amp;"|- Lane 5 - *|"&amp;BD301)&gt;0,1,0)</f>
        <v>0</v>
      </c>
      <c r="BF301" s="0" t="n">
        <f aca="false">BE301+BF300</f>
        <v>12</v>
      </c>
    </row>
    <row r="302" customFormat="false" ht="15" hidden="false" customHeight="false" outlineLevel="0" collapsed="false">
      <c r="BD302" s="0" t="s">
        <v>78</v>
      </c>
      <c r="BE302" s="0" t="n">
        <f aca="false">IF(COUNTIFS('Reguler Class Availability'!$L:$L,$B$4&amp;"|- Lane 6 - *|"&amp;BD302)&gt;0,1,0)</f>
        <v>0</v>
      </c>
      <c r="BF302" s="0" t="n">
        <f aca="false">BE302</f>
        <v>0</v>
      </c>
    </row>
    <row r="303" customFormat="false" ht="15" hidden="false" customHeight="false" outlineLevel="0" collapsed="false">
      <c r="BD303" s="0" t="s">
        <v>79</v>
      </c>
      <c r="BE303" s="0" t="n">
        <f aca="false">IF(COUNTIFS('Reguler Class Availability'!$L:$L,$B$4&amp;"|- Lane 6 - *|"&amp;BD303)&gt;0,1,0)</f>
        <v>0</v>
      </c>
      <c r="BF303" s="0" t="n">
        <f aca="false">BE303+BF302</f>
        <v>0</v>
      </c>
    </row>
    <row r="304" customFormat="false" ht="15" hidden="false" customHeight="false" outlineLevel="0" collapsed="false">
      <c r="BD304" s="0" t="s">
        <v>84</v>
      </c>
      <c r="BE304" s="0" t="n">
        <f aca="false">IF(COUNTIFS('Reguler Class Availability'!$L:$L,$B$4&amp;"|- Lane 6 - *|"&amp;BD304)&gt;0,1,0)</f>
        <v>0</v>
      </c>
      <c r="BF304" s="0" t="n">
        <f aca="false">BE304+BF303</f>
        <v>0</v>
      </c>
    </row>
    <row r="305" customFormat="false" ht="15" hidden="false" customHeight="false" outlineLevel="0" collapsed="false">
      <c r="BD305" s="0" t="s">
        <v>85</v>
      </c>
      <c r="BE305" s="0" t="n">
        <f aca="false">IF(COUNTIFS('Reguler Class Availability'!$L:$L,$B$4&amp;"|- Lane 6 - *|"&amp;BD305)&gt;0,1,0)</f>
        <v>0</v>
      </c>
      <c r="BF305" s="0" t="n">
        <f aca="false">BE305+BF304</f>
        <v>0</v>
      </c>
    </row>
    <row r="306" customFormat="false" ht="15" hidden="false" customHeight="false" outlineLevel="0" collapsed="false">
      <c r="BD306" s="0" t="s">
        <v>89</v>
      </c>
      <c r="BE306" s="0" t="n">
        <f aca="false">IF(COUNTIFS('Reguler Class Availability'!$L:$L,$B$4&amp;"|- Lane 6 - *|"&amp;BD306)&gt;0,1,0)</f>
        <v>0</v>
      </c>
      <c r="BF306" s="0" t="n">
        <f aca="false">BE306+BF305</f>
        <v>0</v>
      </c>
    </row>
    <row r="307" customFormat="false" ht="15" hidden="false" customHeight="false" outlineLevel="0" collapsed="false">
      <c r="BD307" s="0" t="s">
        <v>90</v>
      </c>
      <c r="BE307" s="0" t="n">
        <f aca="false">IF(COUNTIFS('Reguler Class Availability'!$L:$L,$B$4&amp;"|- Lane 6 - *|"&amp;BD307)&gt;0,1,0)</f>
        <v>0</v>
      </c>
      <c r="BF307" s="0" t="n">
        <f aca="false">BE307+BF306</f>
        <v>0</v>
      </c>
    </row>
    <row r="308" customFormat="false" ht="15" hidden="false" customHeight="false" outlineLevel="0" collapsed="false">
      <c r="BD308" s="0" t="s">
        <v>91</v>
      </c>
      <c r="BE308" s="0" t="n">
        <f aca="false">IF(COUNTIFS('Reguler Class Availability'!$L:$L,$B$4&amp;"|- Lane 6 - *|"&amp;BD308)&gt;0,1,0)</f>
        <v>0</v>
      </c>
      <c r="BF308" s="0" t="n">
        <f aca="false">BE308+BF307</f>
        <v>0</v>
      </c>
    </row>
    <row r="309" customFormat="false" ht="15" hidden="false" customHeight="false" outlineLevel="0" collapsed="false">
      <c r="BD309" s="0" t="s">
        <v>98</v>
      </c>
      <c r="BE309" s="0" t="n">
        <f aca="false">IF(COUNTIFS('Reguler Class Availability'!$L:$L,$B$4&amp;"|- Lane 6 - *|"&amp;BD309)&gt;0,1,0)</f>
        <v>0</v>
      </c>
      <c r="BF309" s="0" t="n">
        <f aca="false">BE309+BF308</f>
        <v>0</v>
      </c>
    </row>
    <row r="310" customFormat="false" ht="15" hidden="false" customHeight="false" outlineLevel="0" collapsed="false">
      <c r="BD310" s="0" t="s">
        <v>105</v>
      </c>
      <c r="BE310" s="0" t="n">
        <f aca="false">IF(COUNTIFS('Reguler Class Availability'!$L:$L,$B$4&amp;"|- Lane 6 - *|"&amp;BD310)&gt;0,1,0)</f>
        <v>1</v>
      </c>
      <c r="BF310" s="0" t="n">
        <f aca="false">BE310+BF309</f>
        <v>1</v>
      </c>
    </row>
    <row r="311" customFormat="false" ht="15" hidden="false" customHeight="false" outlineLevel="0" collapsed="false">
      <c r="BD311" s="0" t="s">
        <v>110</v>
      </c>
      <c r="BE311" s="0" t="n">
        <f aca="false">IF(COUNTIFS('Reguler Class Availability'!$L:$L,$B$4&amp;"|- Lane 6 - *|"&amp;BD311)&gt;0,1,0)</f>
        <v>0</v>
      </c>
      <c r="BF311" s="0" t="n">
        <f aca="false">BE311+BF310</f>
        <v>1</v>
      </c>
    </row>
    <row r="312" customFormat="false" ht="15" hidden="false" customHeight="false" outlineLevel="0" collapsed="false">
      <c r="BD312" s="0" t="s">
        <v>112</v>
      </c>
      <c r="BE312" s="0" t="n">
        <f aca="false">IF(COUNTIFS('Reguler Class Availability'!$L:$L,$B$4&amp;"|- Lane 6 - *|"&amp;BD312)&gt;0,1,0)</f>
        <v>0</v>
      </c>
      <c r="BF312" s="0" t="n">
        <f aca="false">BE312+BF311</f>
        <v>1</v>
      </c>
    </row>
    <row r="313" customFormat="false" ht="15" hidden="false" customHeight="false" outlineLevel="0" collapsed="false">
      <c r="BD313" s="0" t="s">
        <v>120</v>
      </c>
      <c r="BE313" s="0" t="n">
        <f aca="false">IF(COUNTIFS('Reguler Class Availability'!$L:$L,$B$4&amp;"|- Lane 6 - *|"&amp;BD313)&gt;0,1,0)</f>
        <v>1</v>
      </c>
      <c r="BF313" s="0" t="n">
        <f aca="false">BE313+BF312</f>
        <v>2</v>
      </c>
    </row>
    <row r="314" customFormat="false" ht="15" hidden="false" customHeight="false" outlineLevel="0" collapsed="false">
      <c r="BD314" s="0" t="s">
        <v>121</v>
      </c>
      <c r="BE314" s="0" t="n">
        <f aca="false">IF(COUNTIFS('Reguler Class Availability'!$L:$L,$B$4&amp;"|- Lane 6 - *|"&amp;BD314)&gt;0,1,0)</f>
        <v>0</v>
      </c>
      <c r="BF314" s="0" t="n">
        <f aca="false">BE314+BF313</f>
        <v>2</v>
      </c>
    </row>
    <row r="315" customFormat="false" ht="15" hidden="false" customHeight="false" outlineLevel="0" collapsed="false">
      <c r="BD315" s="0" t="s">
        <v>122</v>
      </c>
      <c r="BE315" s="0" t="n">
        <f aca="false">IF(COUNTIFS('Reguler Class Availability'!$L:$L,$B$4&amp;"|- Lane 6 - *|"&amp;BD315)&gt;0,1,0)</f>
        <v>0</v>
      </c>
      <c r="BF315" s="0" t="n">
        <f aca="false">BE315+BF314</f>
        <v>2</v>
      </c>
    </row>
    <row r="316" customFormat="false" ht="15" hidden="false" customHeight="false" outlineLevel="0" collapsed="false">
      <c r="BD316" s="0" t="s">
        <v>123</v>
      </c>
      <c r="BE316" s="0" t="n">
        <f aca="false">IF(COUNTIFS('Reguler Class Availability'!$L:$L,$B$4&amp;"|- Lane 6 - *|"&amp;BD316)&gt;0,1,0)</f>
        <v>1</v>
      </c>
      <c r="BF316" s="0" t="n">
        <f aca="false">BE316+BF315</f>
        <v>3</v>
      </c>
    </row>
    <row r="317" customFormat="false" ht="15" hidden="false" customHeight="false" outlineLevel="0" collapsed="false">
      <c r="BD317" s="0" t="s">
        <v>124</v>
      </c>
      <c r="BE317" s="0" t="n">
        <f aca="false">IF(COUNTIFS('Reguler Class Availability'!$L:$L,$B$4&amp;"|- Lane 6 - *|"&amp;BD317)&gt;0,1,0)</f>
        <v>0</v>
      </c>
      <c r="BF317" s="0" t="n">
        <f aca="false">BE317+BF316</f>
        <v>3</v>
      </c>
    </row>
    <row r="318" customFormat="false" ht="15" hidden="false" customHeight="false" outlineLevel="0" collapsed="false">
      <c r="BD318" s="0" t="s">
        <v>125</v>
      </c>
      <c r="BE318" s="0" t="n">
        <f aca="false">IF(COUNTIFS('Reguler Class Availability'!$L:$L,$B$4&amp;"|- Lane 6 - *|"&amp;BD318)&gt;0,1,0)</f>
        <v>0</v>
      </c>
      <c r="BF318" s="0" t="n">
        <f aca="false">BE318+BF317</f>
        <v>3</v>
      </c>
    </row>
    <row r="319" customFormat="false" ht="15" hidden="false" customHeight="false" outlineLevel="0" collapsed="false">
      <c r="BD319" s="0" t="s">
        <v>126</v>
      </c>
      <c r="BE319" s="0" t="n">
        <f aca="false">IF(COUNTIFS('Reguler Class Availability'!$L:$L,$B$4&amp;"|- Lane 6 - *|"&amp;BD319)&gt;0,1,0)</f>
        <v>1</v>
      </c>
      <c r="BF319" s="0" t="n">
        <f aca="false">BE319+BF318</f>
        <v>4</v>
      </c>
    </row>
    <row r="320" customFormat="false" ht="15" hidden="false" customHeight="false" outlineLevel="0" collapsed="false">
      <c r="BD320" s="0" t="s">
        <v>127</v>
      </c>
      <c r="BE320" s="0" t="n">
        <f aca="false">IF(COUNTIFS('Reguler Class Availability'!$L:$L,$B$4&amp;"|- Lane 6 - *|"&amp;BD320)&gt;0,1,0)</f>
        <v>0</v>
      </c>
      <c r="BF320" s="0" t="n">
        <f aca="false">BE320+BF319</f>
        <v>4</v>
      </c>
    </row>
    <row r="321" customFormat="false" ht="15" hidden="false" customHeight="false" outlineLevel="0" collapsed="false">
      <c r="BD321" s="0" t="s">
        <v>128</v>
      </c>
      <c r="BE321" s="0" t="n">
        <f aca="false">IF(COUNTIFS('Reguler Class Availability'!$L:$L,$B$4&amp;"|- Lane 6 - *|"&amp;BD321)&gt;0,1,0)</f>
        <v>0</v>
      </c>
      <c r="BF321" s="0" t="n">
        <f aca="false">BE321+BF320</f>
        <v>4</v>
      </c>
    </row>
    <row r="322" customFormat="false" ht="15" hidden="false" customHeight="false" outlineLevel="0" collapsed="false">
      <c r="BD322" s="0" t="s">
        <v>129</v>
      </c>
      <c r="BE322" s="0" t="n">
        <f aca="false">IF(COUNTIFS('Reguler Class Availability'!$L:$L,$B$4&amp;"|- Lane 6 - *|"&amp;BD322)&gt;0,1,0)</f>
        <v>1</v>
      </c>
      <c r="BF322" s="0" t="n">
        <f aca="false">BE322+BF321</f>
        <v>5</v>
      </c>
    </row>
    <row r="323" customFormat="false" ht="15" hidden="false" customHeight="false" outlineLevel="0" collapsed="false">
      <c r="BD323" s="0" t="s">
        <v>130</v>
      </c>
      <c r="BE323" s="0" t="n">
        <f aca="false">IF(COUNTIFS('Reguler Class Availability'!$L:$L,$B$4&amp;"|- Lane 6 - *|"&amp;BD323)&gt;0,1,0)</f>
        <v>0</v>
      </c>
      <c r="BF323" s="0" t="n">
        <f aca="false">BE323+BF322</f>
        <v>5</v>
      </c>
    </row>
    <row r="324" customFormat="false" ht="15" hidden="false" customHeight="false" outlineLevel="0" collapsed="false">
      <c r="BD324" s="0" t="s">
        <v>131</v>
      </c>
      <c r="BE324" s="0" t="n">
        <f aca="false">IF(COUNTIFS('Reguler Class Availability'!$L:$L,$B$4&amp;"|- Lane 6 - *|"&amp;BD324)&gt;0,1,0)</f>
        <v>0</v>
      </c>
      <c r="BF324" s="0" t="n">
        <f aca="false">BE324+BF323</f>
        <v>5</v>
      </c>
    </row>
    <row r="325" customFormat="false" ht="15" hidden="false" customHeight="false" outlineLevel="0" collapsed="false">
      <c r="BD325" s="0" t="s">
        <v>132</v>
      </c>
      <c r="BE325" s="0" t="n">
        <f aca="false">IF(COUNTIFS('Reguler Class Availability'!$L:$L,$B$4&amp;"|- Lane 6 - *|"&amp;BD325)&gt;0,1,0)</f>
        <v>1</v>
      </c>
      <c r="BF325" s="0" t="n">
        <f aca="false">BE325+BF324</f>
        <v>6</v>
      </c>
    </row>
    <row r="326" customFormat="false" ht="15" hidden="false" customHeight="false" outlineLevel="0" collapsed="false">
      <c r="BD326" s="0" t="s">
        <v>133</v>
      </c>
      <c r="BE326" s="0" t="n">
        <f aca="false">IF(COUNTIFS('Reguler Class Availability'!$L:$L,$B$4&amp;"|- Lane 6 - *|"&amp;BD326)&gt;0,1,0)</f>
        <v>0</v>
      </c>
      <c r="BF326" s="0" t="n">
        <f aca="false">BE326+BF325</f>
        <v>6</v>
      </c>
    </row>
    <row r="327" customFormat="false" ht="15" hidden="false" customHeight="false" outlineLevel="0" collapsed="false">
      <c r="BD327" s="0" t="s">
        <v>134</v>
      </c>
      <c r="BE327" s="0" t="n">
        <f aca="false">IF(COUNTIFS('Reguler Class Availability'!$L:$L,$B$4&amp;"|- Lane 6 - *|"&amp;BD327)&gt;0,1,0)</f>
        <v>0</v>
      </c>
      <c r="BF327" s="0" t="n">
        <f aca="false">BE327+BF326</f>
        <v>6</v>
      </c>
    </row>
    <row r="328" customFormat="false" ht="15" hidden="false" customHeight="false" outlineLevel="0" collapsed="false">
      <c r="BD328" s="0" t="s">
        <v>135</v>
      </c>
      <c r="BE328" s="0" t="n">
        <f aca="false">IF(COUNTIFS('Reguler Class Availability'!$L:$L,$B$4&amp;"|- Lane 6 - *|"&amp;BD328)&gt;0,1,0)</f>
        <v>0</v>
      </c>
      <c r="BF328" s="0" t="n">
        <f aca="false">BE328+BF327</f>
        <v>6</v>
      </c>
    </row>
    <row r="329" customFormat="false" ht="15" hidden="false" customHeight="false" outlineLevel="0" collapsed="false">
      <c r="BD329" s="0" t="s">
        <v>136</v>
      </c>
      <c r="BE329" s="0" t="n">
        <f aca="false">IF(COUNTIFS('Reguler Class Availability'!$L:$L,$B$4&amp;"|- Lane 6 - *|"&amp;BD329)&gt;0,1,0)</f>
        <v>0</v>
      </c>
      <c r="BF329" s="0" t="n">
        <f aca="false">BE329+BF328</f>
        <v>6</v>
      </c>
    </row>
    <row r="330" customFormat="false" ht="15" hidden="false" customHeight="false" outlineLevel="0" collapsed="false">
      <c r="BD330" s="0" t="s">
        <v>138</v>
      </c>
      <c r="BE330" s="0" t="n">
        <f aca="false">IF(COUNTIFS('Reguler Class Availability'!$L:$L,$B$4&amp;"|- Lane 6 - *|"&amp;BD330)&gt;0,1,0)</f>
        <v>0</v>
      </c>
      <c r="BF330" s="0" t="n">
        <f aca="false">BE330+BF329</f>
        <v>6</v>
      </c>
    </row>
    <row r="331" customFormat="false" ht="15" hidden="false" customHeight="false" outlineLevel="0" collapsed="false">
      <c r="BD331" s="0" t="s">
        <v>139</v>
      </c>
      <c r="BE331" s="0" t="n">
        <f aca="false">IF(COUNTIFS('Reguler Class Availability'!$L:$L,$B$4&amp;"|- Lane 6 - *|"&amp;BD331)&gt;0,1,0)</f>
        <v>1</v>
      </c>
      <c r="BF331" s="0" t="n">
        <f aca="false">BE331+BF330</f>
        <v>7</v>
      </c>
    </row>
    <row r="332" customFormat="false" ht="15" hidden="false" customHeight="false" outlineLevel="0" collapsed="false">
      <c r="BD332" s="0" t="s">
        <v>141</v>
      </c>
      <c r="BE332" s="0" t="n">
        <f aca="false">IF(COUNTIFS('Reguler Class Availability'!$L:$L,$B$4&amp;"|- Lane 6 - *|"&amp;BD332)&gt;0,1,0)</f>
        <v>0</v>
      </c>
      <c r="BF332" s="0" t="n">
        <f aca="false">BE332+BF331</f>
        <v>7</v>
      </c>
    </row>
    <row r="333" customFormat="false" ht="15" hidden="false" customHeight="false" outlineLevel="0" collapsed="false">
      <c r="BD333" s="0" t="s">
        <v>142</v>
      </c>
      <c r="BE333" s="0" t="n">
        <f aca="false">IF(COUNTIFS('Reguler Class Availability'!$L:$L,$B$4&amp;"|- Lane 6 - *|"&amp;BD333)&gt;0,1,0)</f>
        <v>0</v>
      </c>
      <c r="BF333" s="0" t="n">
        <f aca="false">BE333+BF332</f>
        <v>7</v>
      </c>
    </row>
    <row r="334" customFormat="false" ht="15" hidden="false" customHeight="false" outlineLevel="0" collapsed="false">
      <c r="BD334" s="0" t="s">
        <v>143</v>
      </c>
      <c r="BE334" s="0" t="n">
        <f aca="false">IF(COUNTIFS('Reguler Class Availability'!$L:$L,$B$4&amp;"|- Lane 6 - *|"&amp;BD334)&gt;0,1,0)</f>
        <v>1</v>
      </c>
      <c r="BF334" s="0" t="n">
        <f aca="false">BE334+BF333</f>
        <v>8</v>
      </c>
    </row>
    <row r="335" customFormat="false" ht="15" hidden="false" customHeight="false" outlineLevel="0" collapsed="false">
      <c r="BD335" s="0" t="s">
        <v>144</v>
      </c>
      <c r="BE335" s="0" t="n">
        <f aca="false">IF(COUNTIFS('Reguler Class Availability'!$L:$L,$B$4&amp;"|- Lane 6 - *|"&amp;BD335)&gt;0,1,0)</f>
        <v>0</v>
      </c>
      <c r="BF335" s="0" t="n">
        <f aca="false">BE335+BF334</f>
        <v>8</v>
      </c>
    </row>
    <row r="336" customFormat="false" ht="15" hidden="false" customHeight="false" outlineLevel="0" collapsed="false">
      <c r="BD336" s="0" t="s">
        <v>145</v>
      </c>
      <c r="BE336" s="0" t="n">
        <f aca="false">IF(COUNTIFS('Reguler Class Availability'!$L:$L,$B$4&amp;"|- Lane 6 - *|"&amp;BD336)&gt;0,1,0)</f>
        <v>0</v>
      </c>
      <c r="BF336" s="0" t="n">
        <f aca="false">BE336+BF335</f>
        <v>8</v>
      </c>
    </row>
    <row r="337" customFormat="false" ht="15" hidden="false" customHeight="false" outlineLevel="0" collapsed="false">
      <c r="BD337" s="0" t="s">
        <v>146</v>
      </c>
      <c r="BE337" s="0" t="n">
        <f aca="false">IF(COUNTIFS('Reguler Class Availability'!$L:$L,$B$4&amp;"|- Lane 6 - *|"&amp;BD337)&gt;0,1,0)</f>
        <v>1</v>
      </c>
      <c r="BF337" s="0" t="n">
        <f aca="false">BE337+BF336</f>
        <v>9</v>
      </c>
    </row>
    <row r="338" customFormat="false" ht="15" hidden="false" customHeight="false" outlineLevel="0" collapsed="false">
      <c r="BD338" s="0" t="s">
        <v>147</v>
      </c>
      <c r="BE338" s="0" t="n">
        <f aca="false">IF(COUNTIFS('Reguler Class Availability'!$L:$L,$B$4&amp;"|- Lane 6 - *|"&amp;BD338)&gt;0,1,0)</f>
        <v>0</v>
      </c>
      <c r="BF338" s="0" t="n">
        <f aca="false">BE338+BF337</f>
        <v>9</v>
      </c>
    </row>
    <row r="339" customFormat="false" ht="15" hidden="false" customHeight="false" outlineLevel="0" collapsed="false">
      <c r="BD339" s="0" t="s">
        <v>148</v>
      </c>
      <c r="BE339" s="0" t="n">
        <f aca="false">IF(COUNTIFS('Reguler Class Availability'!$L:$L,$B$4&amp;"|- Lane 6 - *|"&amp;BD339)&gt;0,1,0)</f>
        <v>0</v>
      </c>
      <c r="BF339" s="0" t="n">
        <f aca="false">BE339+BF338</f>
        <v>9</v>
      </c>
    </row>
    <row r="340" customFormat="false" ht="15" hidden="false" customHeight="false" outlineLevel="0" collapsed="false">
      <c r="BD340" s="0" t="s">
        <v>149</v>
      </c>
      <c r="BE340" s="0" t="n">
        <f aca="false">IF(COUNTIFS('Reguler Class Availability'!$L:$L,$B$4&amp;"|- Lane 6 - *|"&amp;BD340)&gt;0,1,0)</f>
        <v>1</v>
      </c>
      <c r="BF340" s="0" t="n">
        <f aca="false">BE340+BF339</f>
        <v>10</v>
      </c>
    </row>
    <row r="341" customFormat="false" ht="15" hidden="false" customHeight="false" outlineLevel="0" collapsed="false">
      <c r="BD341" s="0" t="s">
        <v>150</v>
      </c>
      <c r="BE341" s="0" t="n">
        <f aca="false">IF(COUNTIFS('Reguler Class Availability'!$L:$L,$B$4&amp;"|- Lane 6 - *|"&amp;BD341)&gt;0,1,0)</f>
        <v>0</v>
      </c>
      <c r="BF341" s="0" t="n">
        <f aca="false">BE341+BF340</f>
        <v>10</v>
      </c>
    </row>
    <row r="342" customFormat="false" ht="15" hidden="false" customHeight="false" outlineLevel="0" collapsed="false">
      <c r="BD342" s="0" t="s">
        <v>151</v>
      </c>
      <c r="BE342" s="0" t="n">
        <f aca="false">IF(COUNTIFS('Reguler Class Availability'!$L:$L,$B$4&amp;"|- Lane 6 - *|"&amp;BD342)&gt;0,1,0)</f>
        <v>0</v>
      </c>
      <c r="BF342" s="0" t="n">
        <f aca="false">BE342+BF341</f>
        <v>10</v>
      </c>
    </row>
    <row r="343" customFormat="false" ht="15" hidden="false" customHeight="false" outlineLevel="0" collapsed="false">
      <c r="BD343" s="0" t="s">
        <v>152</v>
      </c>
      <c r="BE343" s="0" t="n">
        <f aca="false">IF(COUNTIFS('Reguler Class Availability'!$L:$L,$B$4&amp;"|- Lane 6 - *|"&amp;BD343)&gt;0,1,0)</f>
        <v>1</v>
      </c>
      <c r="BF343" s="0" t="n">
        <f aca="false">BE343+BF342</f>
        <v>11</v>
      </c>
    </row>
    <row r="344" customFormat="false" ht="15" hidden="false" customHeight="false" outlineLevel="0" collapsed="false">
      <c r="BD344" s="0" t="s">
        <v>153</v>
      </c>
      <c r="BE344" s="0" t="n">
        <f aca="false">IF(COUNTIFS('Reguler Class Availability'!$L:$L,$B$4&amp;"|- Lane 6 - *|"&amp;BD344)&gt;0,1,0)</f>
        <v>0</v>
      </c>
      <c r="BF344" s="0" t="n">
        <f aca="false">BE344+BF343</f>
        <v>11</v>
      </c>
    </row>
    <row r="345" customFormat="false" ht="15" hidden="false" customHeight="false" outlineLevel="0" collapsed="false">
      <c r="BD345" s="0" t="s">
        <v>154</v>
      </c>
      <c r="BE345" s="0" t="n">
        <f aca="false">IF(COUNTIFS('Reguler Class Availability'!$L:$L,$B$4&amp;"|- Lane 6 - *|"&amp;BD345)&gt;0,1,0)</f>
        <v>0</v>
      </c>
      <c r="BF345" s="0" t="n">
        <f aca="false">BE345+BF344</f>
        <v>11</v>
      </c>
    </row>
    <row r="346" customFormat="false" ht="15" hidden="false" customHeight="false" outlineLevel="0" collapsed="false">
      <c r="BD346" s="0" t="s">
        <v>155</v>
      </c>
      <c r="BE346" s="0" t="n">
        <f aca="false">IF(COUNTIFS('Reguler Class Availability'!$L:$L,$B$4&amp;"|- Lane 6 - *|"&amp;BD346)&gt;0,1,0)</f>
        <v>1</v>
      </c>
      <c r="BF346" s="0" t="n">
        <f aca="false">BE346+BF345</f>
        <v>12</v>
      </c>
    </row>
    <row r="347" customFormat="false" ht="15" hidden="false" customHeight="false" outlineLevel="0" collapsed="false">
      <c r="BD347" s="0" t="s">
        <v>156</v>
      </c>
      <c r="BE347" s="0" t="n">
        <f aca="false">IF(COUNTIFS('Reguler Class Availability'!$L:$L,$B$4&amp;"|- Lane 6 - *|"&amp;BD347)&gt;0,1,0)</f>
        <v>0</v>
      </c>
      <c r="BF347" s="0" t="n">
        <f aca="false">BE347+BF346</f>
        <v>12</v>
      </c>
    </row>
    <row r="348" customFormat="false" ht="15" hidden="false" customHeight="false" outlineLevel="0" collapsed="false">
      <c r="BD348" s="0" t="s">
        <v>157</v>
      </c>
      <c r="BE348" s="0" t="n">
        <f aca="false">IF(COUNTIFS('Reguler Class Availability'!$L:$L,$B$4&amp;"|- Lane 6 - *|"&amp;BD348)&gt;0,1,0)</f>
        <v>0</v>
      </c>
      <c r="BF348" s="0" t="n">
        <f aca="false">BE348+BF347</f>
        <v>12</v>
      </c>
    </row>
    <row r="349" customFormat="false" ht="15" hidden="false" customHeight="false" outlineLevel="0" collapsed="false">
      <c r="BD349" s="0" t="s">
        <v>158</v>
      </c>
      <c r="BE349" s="0" t="n">
        <f aca="false">IF(COUNTIFS('Reguler Class Availability'!$L:$L,$B$4&amp;"|- Lane 6 - *|"&amp;BD349)&gt;0,1,0)</f>
        <v>0</v>
      </c>
      <c r="BF349" s="0" t="n">
        <f aca="false">BE349+BF348</f>
        <v>12</v>
      </c>
    </row>
    <row r="350" customFormat="false" ht="15" hidden="false" customHeight="false" outlineLevel="0" collapsed="false">
      <c r="BD350" s="0" t="s">
        <v>160</v>
      </c>
      <c r="BE350" s="0" t="n">
        <f aca="false">IF(COUNTIFS('Reguler Class Availability'!$L:$L,$B$4&amp;"|- Lane 6 - *|"&amp;BD350)&gt;0,1,0)</f>
        <v>0</v>
      </c>
      <c r="BF350" s="0" t="n">
        <f aca="false">BE350+BF349</f>
        <v>12</v>
      </c>
    </row>
    <row r="351" customFormat="false" ht="15" hidden="false" customHeight="false" outlineLevel="0" collapsed="false">
      <c r="BD351" s="0" t="s">
        <v>161</v>
      </c>
      <c r="BE351" s="0" t="n">
        <f aca="false">IF(COUNTIFS('Reguler Class Availability'!$L:$L,$B$4&amp;"|- Lane 6 - *|"&amp;BD351)&gt;0,1,0)</f>
        <v>0</v>
      </c>
      <c r="BF351" s="0" t="n">
        <f aca="false">BE351+BF350</f>
        <v>12</v>
      </c>
    </row>
    <row r="352" customFormat="false" ht="15" hidden="false" customHeight="false" outlineLevel="0" collapsed="false">
      <c r="BD352" s="0" t="s">
        <v>162</v>
      </c>
      <c r="BE352" s="0" t="n">
        <f aca="false">IF(COUNTIFS('Reguler Class Availability'!$L:$L,$B$4&amp;"|- Lane 6 - *|"&amp;BD352)&gt;0,1,0)</f>
        <v>0</v>
      </c>
      <c r="BF352" s="0" t="n">
        <f aca="false">BE352+BF351</f>
        <v>12</v>
      </c>
    </row>
    <row r="353" customFormat="false" ht="15" hidden="false" customHeight="false" outlineLevel="0" collapsed="false">
      <c r="BD353" s="0" t="s">
        <v>163</v>
      </c>
      <c r="BE353" s="0" t="n">
        <f aca="false">IF(COUNTIFS('Reguler Class Availability'!$L:$L,$B$4&amp;"|- Lane 6 - *|"&amp;BD353)&gt;0,1,0)</f>
        <v>0</v>
      </c>
      <c r="BF353" s="0" t="n">
        <f aca="false">BE353+BF352</f>
        <v>12</v>
      </c>
    </row>
    <row r="354" customFormat="false" ht="15" hidden="false" customHeight="false" outlineLevel="0" collapsed="false">
      <c r="BD354" s="0" t="s">
        <v>164</v>
      </c>
      <c r="BE354" s="0" t="n">
        <f aca="false">IF(COUNTIFS('Reguler Class Availability'!$L:$L,$B$4&amp;"|- Lane 6 - *|"&amp;BD354)&gt;0,1,0)</f>
        <v>0</v>
      </c>
      <c r="BF354" s="0" t="n">
        <f aca="false">BE354+BF353</f>
        <v>12</v>
      </c>
    </row>
    <row r="355" customFormat="false" ht="15" hidden="false" customHeight="false" outlineLevel="0" collapsed="false">
      <c r="BD355" s="0" t="s">
        <v>165</v>
      </c>
      <c r="BE355" s="0" t="n">
        <f aca="false">IF(COUNTIFS('Reguler Class Availability'!$L:$L,$B$4&amp;"|- Lane 6 - *|"&amp;BD355)&gt;0,1,0)</f>
        <v>0</v>
      </c>
      <c r="BF355" s="0" t="n">
        <f aca="false">BE355+BF354</f>
        <v>12</v>
      </c>
    </row>
    <row r="356" customFormat="false" ht="15" hidden="false" customHeight="false" outlineLevel="0" collapsed="false">
      <c r="BD356" s="0" t="s">
        <v>166</v>
      </c>
      <c r="BE356" s="0" t="n">
        <f aca="false">IF(COUNTIFS('Reguler Class Availability'!$L:$L,$B$4&amp;"|- Lane 6 - *|"&amp;BD356)&gt;0,1,0)</f>
        <v>0</v>
      </c>
      <c r="BF356" s="0" t="n">
        <f aca="false">BE356+BF355</f>
        <v>12</v>
      </c>
    </row>
    <row r="357" customFormat="false" ht="15" hidden="false" customHeight="false" outlineLevel="0" collapsed="false">
      <c r="BD357" s="0" t="s">
        <v>167</v>
      </c>
      <c r="BE357" s="0" t="n">
        <f aca="false">IF(COUNTIFS('Reguler Class Availability'!$L:$L,$B$4&amp;"|- Lane 6 - *|"&amp;BD357)&gt;0,1,0)</f>
        <v>0</v>
      </c>
      <c r="BF357" s="0" t="n">
        <f aca="false">BE357+BF356</f>
        <v>12</v>
      </c>
    </row>
    <row r="358" customFormat="false" ht="15" hidden="false" customHeight="false" outlineLevel="0" collapsed="false">
      <c r="BD358" s="0" t="s">
        <v>168</v>
      </c>
      <c r="BE358" s="0" t="n">
        <f aca="false">IF(COUNTIFS('Reguler Class Availability'!$L:$L,$B$4&amp;"|- Lane 6 - *|"&amp;BD358)&gt;0,1,0)</f>
        <v>0</v>
      </c>
      <c r="BF358" s="0" t="n">
        <f aca="false">BE358+BF357</f>
        <v>12</v>
      </c>
    </row>
    <row r="359" customFormat="false" ht="15" hidden="false" customHeight="false" outlineLevel="0" collapsed="false">
      <c r="BD359" s="0" t="s">
        <v>169</v>
      </c>
      <c r="BE359" s="0" t="n">
        <f aca="false">IF(COUNTIFS('Reguler Class Availability'!$L:$L,$B$4&amp;"|- Lane 6 - *|"&amp;BD359)&gt;0,1,0)</f>
        <v>0</v>
      </c>
      <c r="BF359" s="0" t="n">
        <f aca="false">BE359+BF358</f>
        <v>12</v>
      </c>
    </row>
    <row r="360" customFormat="false" ht="15" hidden="false" customHeight="false" outlineLevel="0" collapsed="false">
      <c r="BD360" s="0" t="s">
        <v>170</v>
      </c>
      <c r="BE360" s="0" t="n">
        <f aca="false">IF(COUNTIFS('Reguler Class Availability'!$L:$L,$B$4&amp;"|- Lane 6 - *|"&amp;BD360)&gt;0,1,0)</f>
        <v>0</v>
      </c>
      <c r="BF360" s="0" t="n">
        <f aca="false">BE360+BF359</f>
        <v>12</v>
      </c>
    </row>
    <row r="361" customFormat="false" ht="15" hidden="false" customHeight="false" outlineLevel="0" collapsed="false">
      <c r="BD361" s="0" t="s">
        <v>171</v>
      </c>
      <c r="BE361" s="0" t="n">
        <f aca="false">IF(COUNTIFS('Reguler Class Availability'!$L:$L,$B$4&amp;"|- Lane 6 - *|"&amp;BD361)&gt;0,1,0)</f>
        <v>0</v>
      </c>
      <c r="BF361" s="0" t="n">
        <f aca="false">BE361+BF360</f>
        <v>12</v>
      </c>
    </row>
  </sheetData>
  <autoFilter ref="A126:O244"/>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244">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244">
    <cfRule type="expression" priority="52" aboveAverage="0" equalAverage="0" bottom="0" percent="0" rank="0" text="" dxfId="16">
      <formula>$K127="Jual minggu ini"</formula>
    </cfRule>
  </conditionalFormatting>
  <conditionalFormatting sqref="D250:J260">
    <cfRule type="colorScale" priority="53">
      <colorScale>
        <cfvo type="num" val="0"/>
        <cfvo type="max" val="0"/>
        <color rgb="FFFFFFFF"/>
        <color rgb="FF8EC6D0"/>
      </colorScale>
    </cfRule>
  </conditionalFormatting>
  <dataValidations count="4">
    <dataValidation allowBlank="true" errorStyle="stop" operator="between" showDropDown="false" showErrorMessage="false" showInputMessage="false" sqref="K127:K244" type="list">
      <formula1>"Jual minggu ini,Buka kelas baru,Ganti age group,Tahan,Tutup slot"</formula1>
      <formula2>0</formula2>
    </dataValidation>
    <dataValidation allowBlank="true" errorStyle="stop" operator="between" showDropDown="false" showErrorMessage="false" showInputMessage="false" sqref="L127:L244" type="list">
      <formula1>"Baby,Tiny,Little,Kids,Star"</formula1>
      <formula2>0</formula2>
    </dataValidation>
    <dataValidation allowBlank="true" error="Isi angka 0–20" errorStyle="stop" errorTitle="Target murid" operator="between" showDropDown="false" showErrorMessage="false" showInputMessage="false" sqref="N127:N244" type="whole">
      <formula1>0</formula1>
      <formula2>20</formula2>
    </dataValidation>
    <dataValidation allowBlank="true" errorStyle="stop" operator="between" showDropDown="false" showErrorMessage="false" showInputMessage="false" sqref="M127:M244" type="list">
      <formula1>$B$250:$B$260</formula1>
      <formula2>0</formula2>
    </dataValidation>
  </dataValidations>
  <hyperlinks>
    <hyperlink ref="B11" r:id="rId1" location="'KLM'!A12" display="→ Slot Map"/>
    <hyperlink ref="C11" r:id="rId2" location="'KLM'!A124" display="→ Daftar Diskusi"/>
    <hyperlink ref="D11" r:id="rId3" location="'KLM'!A247"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3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268</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63</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0.371733966745843</v>
      </c>
      <c r="C7" s="42" t="str">
        <f aca="false">SUMIFS('Reguler Class Availability'!$G:$G,'Reguler Class Availability'!$A:$A,$B$4,'Reguler Class Availability'!$F:$F,"&gt;0")&amp;" / "&amp;SUMIFS('Reguler Class Availability'!$F:$F,'Reguler Class Availability'!$A:$A,$B$4,'Reguler Class Availability'!$F:$F,"&gt;0")</f>
        <v>626 / 1684</v>
      </c>
      <c r="D7" s="43" t="n">
        <f aca="false">COUNTIF($AV$1:$BB$1000,"Belum terisi")</f>
        <v>120</v>
      </c>
      <c r="E7" s="44" t="n">
        <f aca="false">COUNTIF($AV$1:$BB$1000,"Kosong")</f>
        <v>35</v>
      </c>
      <c r="F7" s="45" t="n">
        <f aca="false">COUNTIF($AV$1:$BB$1000,"Penuh")</f>
        <v>76</v>
      </c>
      <c r="G7" s="46" t="n">
        <f aca="false">COUNTIF($AV$1:$BB$1000,"Lebih")</f>
        <v>3</v>
      </c>
      <c r="H7" s="47" t="n">
        <f aca="false">COUNTIF($AV$1:$BB$1000,"Tutup")</f>
        <v>59</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1</v>
      </c>
      <c r="BF8" s="0" t="n">
        <f aca="false">BE8+BF7</f>
        <v>1</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1</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1</v>
      </c>
      <c r="BF10" s="30" t="n">
        <f aca="false">BE10+BF9</f>
        <v>2</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0</v>
      </c>
      <c r="BF11" s="30" t="n">
        <f aca="false">BE11+BF10</f>
        <v>2</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17%   ·   Belum terisi: 54   ·   Slot kosong: 0</v>
      </c>
      <c r="D12" s="62"/>
      <c r="E12" s="62"/>
      <c r="F12" s="62"/>
      <c r="G12" s="62"/>
      <c r="H12" s="62"/>
      <c r="BD12" s="30" t="s">
        <v>112</v>
      </c>
      <c r="BE12" s="30" t="n">
        <f aca="false">IF(COUNTIFS('Reguler Class Availability'!$L:$L,$B$4&amp;"|- Lane 1 - *|"&amp;BD12)&gt;0,1,0)</f>
        <v>0</v>
      </c>
      <c r="BF12" s="30" t="n">
        <f aca="false">BE12+BF11</f>
        <v>2</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1</v>
      </c>
      <c r="BF13" s="30" t="n">
        <f aca="false">BE13+BF12</f>
        <v>3</v>
      </c>
    </row>
    <row r="14" customFormat="false" ht="39.75" hidden="false" customHeight="true" outlineLevel="0" collapsed="false">
      <c r="A14" s="66" t="str">
        <f aca="false">IFERROR(INDEX($BD$2:$BD$61,MATCH(1,$BF$2:$BF$61,0)),"")</f>
        <v>07:30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Star  0/8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Star  0/8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Star  0/8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Star  0/8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Star  0/8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Star  1/8  (13%)
Deyon</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Star  0/8  (0%)
coach: –</v>
      </c>
      <c r="AN14" s="30" t="n">
        <f aca="false">IF($A14="","",IFERROR(MATCH($B$4&amp;"|- Lane 1 - "&amp;B$13&amp;"|"&amp;$A14,'Reguler Class Availability'!$L:$L,0),""))</f>
        <v>604</v>
      </c>
      <c r="AO14" s="30" t="n">
        <f aca="false">IF($A14="","",IFERROR(MATCH($B$4&amp;"|- Lane 1 - "&amp;C$13&amp;"|"&amp;$A14,'Reguler Class Availability'!$L:$L,0),""))</f>
        <v>605</v>
      </c>
      <c r="AP14" s="30" t="n">
        <f aca="false">IF($A14="","",IFERROR(MATCH($B$4&amp;"|- Lane 1 - "&amp;D$13&amp;"|"&amp;$A14,'Reguler Class Availability'!$L:$L,0),""))</f>
        <v>606</v>
      </c>
      <c r="AQ14" s="30" t="n">
        <f aca="false">IF($A14="","",IFERROR(MATCH($B$4&amp;"|- Lane 1 - "&amp;E$13&amp;"|"&amp;$A14,'Reguler Class Availability'!$L:$L,0),""))</f>
        <v>607</v>
      </c>
      <c r="AR14" s="30" t="n">
        <f aca="false">IF($A14="","",IFERROR(MATCH($B$4&amp;"|- Lane 1 - "&amp;F$13&amp;"|"&amp;$A14,'Reguler Class Availability'!$L:$L,0),""))</f>
        <v>608</v>
      </c>
      <c r="AS14" s="30" t="n">
        <f aca="false">IF($A14="","",IFERROR(MATCH($B$4&amp;"|- Lane 1 - "&amp;G$13&amp;"|"&amp;$A14,'Reguler Class Availability'!$L:$L,0),""))</f>
        <v>609</v>
      </c>
      <c r="AT14" s="30" t="n">
        <f aca="false">IF($A14="","",IFERROR(MATCH($B$4&amp;"|- Lane 1 - "&amp;H$13&amp;"|"&amp;$A14,'Reguler Class Availability'!$L:$L,0),""))</f>
        <v>610</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Sebagian</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0</v>
      </c>
      <c r="BF14" s="30" t="n">
        <f aca="false">BE14+BF13</f>
        <v>3</v>
      </c>
    </row>
    <row r="15" customFormat="false" ht="39.75" hidden="false" customHeight="true" outlineLevel="0" collapsed="false">
      <c r="A15" s="66" t="str">
        <f aca="false">IFERROR(INDEX($BD$2:$BD$61,MATCH(2,$BF$2:$BF$61,0)),"")</f>
        <v>08:00</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Baby  0/0
coach: –</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Baby  0/0
coach: –</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Baby  0/0
coach: –</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Baby  0/0
coach: –</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Baby  0/0
coach: –</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Baby  0/0
coach: –</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Baby  0/0
coach: –</v>
      </c>
      <c r="AN15" s="30" t="n">
        <f aca="false">IF($A15="","",IFERROR(MATCH($B$4&amp;"|- Lane 1 - "&amp;B$13&amp;"|"&amp;$A15,'Reguler Class Availability'!$L:$L,0),""))</f>
        <v>520</v>
      </c>
      <c r="AO15" s="30" t="n">
        <f aca="false">IF($A15="","",IFERROR(MATCH($B$4&amp;"|- Lane 1 - "&amp;C$13&amp;"|"&amp;$A15,'Reguler Class Availability'!$L:$L,0),""))</f>
        <v>532</v>
      </c>
      <c r="AP15" s="30" t="n">
        <f aca="false">IF($A15="","",IFERROR(MATCH($B$4&amp;"|- Lane 1 - "&amp;D$13&amp;"|"&amp;$A15,'Reguler Class Availability'!$L:$L,0),""))</f>
        <v>544</v>
      </c>
      <c r="AQ15" s="30" t="n">
        <f aca="false">IF($A15="","",IFERROR(MATCH($B$4&amp;"|- Lane 1 - "&amp;E$13&amp;"|"&amp;$A15,'Reguler Class Availability'!$L:$L,0),""))</f>
        <v>556</v>
      </c>
      <c r="AR15" s="30" t="n">
        <f aca="false">IF($A15="","",IFERROR(MATCH($B$4&amp;"|- Lane 1 - "&amp;F$13&amp;"|"&amp;$A15,'Reguler Class Availability'!$L:$L,0),""))</f>
        <v>568</v>
      </c>
      <c r="AS15" s="30" t="n">
        <f aca="false">IF($A15="","",IFERROR(MATCH($B$4&amp;"|- Lane 1 - "&amp;G$13&amp;"|"&amp;$A15,'Reguler Class Availability'!$L:$L,0),""))</f>
        <v>580</v>
      </c>
      <c r="AT15" s="30" t="n">
        <f aca="false">IF($A15="","",IFERROR(MATCH($B$4&amp;"|- Lane 1 - "&amp;H$13&amp;"|"&amp;$A15,'Reguler Class Availability'!$L:$L,0),""))</f>
        <v>592</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Tutup</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Tutup</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Tutup</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Tutup</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Tutup</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Tutup</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Tutup</v>
      </c>
      <c r="BD15" s="30" t="s">
        <v>122</v>
      </c>
      <c r="BE15" s="30" t="n">
        <f aca="false">IF(COUNTIFS('Reguler Class Availability'!$L:$L,$B$4&amp;"|- Lane 1 - *|"&amp;BD15)&gt;0,1,0)</f>
        <v>0</v>
      </c>
      <c r="BF15" s="30" t="n">
        <f aca="false">BE15+BF14</f>
        <v>3</v>
      </c>
    </row>
    <row r="16" customFormat="false" ht="39.75" hidden="false" customHeight="true" outlineLevel="0" collapsed="false">
      <c r="A16" s="66" t="str">
        <f aca="false">IFERROR(INDEX($BD$2:$BD$61,MATCH(3,$BF$2:$BF$61,0)),"")</f>
        <v>08:45</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Baby  3/5  (60%)
Sri</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Baby  0/5  (0%)
coach: –</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Baby  0/5  (0%)
coach: –</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Baby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Baby  4/5  (80%)
Andreas</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Baby  5/5  (100%)
Sri</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Baby  5/5  (100%)
Nabila</v>
      </c>
      <c r="AN16" s="30" t="n">
        <f aca="false">IF($A16="","",IFERROR(MATCH($B$4&amp;"|- Lane 1 - "&amp;B$13&amp;"|"&amp;$A16,'Reguler Class Availability'!$L:$L,0),""))</f>
        <v>521</v>
      </c>
      <c r="AO16" s="30" t="n">
        <f aca="false">IF($A16="","",IFERROR(MATCH($B$4&amp;"|- Lane 1 - "&amp;C$13&amp;"|"&amp;$A16,'Reguler Class Availability'!$L:$L,0),""))</f>
        <v>533</v>
      </c>
      <c r="AP16" s="30" t="n">
        <f aca="false">IF($A16="","",IFERROR(MATCH($B$4&amp;"|- Lane 1 - "&amp;D$13&amp;"|"&amp;$A16,'Reguler Class Availability'!$L:$L,0),""))</f>
        <v>545</v>
      </c>
      <c r="AQ16" s="30" t="n">
        <f aca="false">IF($A16="","",IFERROR(MATCH($B$4&amp;"|- Lane 1 - "&amp;E$13&amp;"|"&amp;$A16,'Reguler Class Availability'!$L:$L,0),""))</f>
        <v>557</v>
      </c>
      <c r="AR16" s="30" t="n">
        <f aca="false">IF($A16="","",IFERROR(MATCH($B$4&amp;"|- Lane 1 - "&amp;F$13&amp;"|"&amp;$A16,'Reguler Class Availability'!$L:$L,0),""))</f>
        <v>569</v>
      </c>
      <c r="AS16" s="30" t="n">
        <f aca="false">IF($A16="","",IFERROR(MATCH($B$4&amp;"|- Lane 1 - "&amp;G$13&amp;"|"&amp;$A16,'Reguler Class Availability'!$L:$L,0),""))</f>
        <v>581</v>
      </c>
      <c r="AT16" s="30" t="n">
        <f aca="false">IF($A16="","",IFERROR(MATCH($B$4&amp;"|- Lane 1 - "&amp;H$13&amp;"|"&amp;$A16,'Reguler Class Availability'!$L:$L,0),""))</f>
        <v>593</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Tinggi</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Belum terisi</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Belum terisi</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Belum terisi</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Tinggi</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Penuh</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Penuh</v>
      </c>
      <c r="BD16" s="30" t="s">
        <v>123</v>
      </c>
      <c r="BE16" s="30" t="n">
        <f aca="false">IF(COUNTIFS('Reguler Class Availability'!$L:$L,$B$4&amp;"|- Lane 1 - *|"&amp;BD16)&gt;0,1,0)</f>
        <v>1</v>
      </c>
      <c r="BF16" s="30" t="n">
        <f aca="false">BE16+BF15</f>
        <v>4</v>
      </c>
    </row>
    <row r="17" customFormat="false" ht="39.75" hidden="false" customHeight="true" outlineLevel="0" collapsed="false">
      <c r="A17" s="66" t="str">
        <f aca="false">IFERROR(INDEX($BD$2:$BD$61,MATCH(4,$BF$2:$BF$61,0)),"")</f>
        <v>09:30</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Baby  0/5  (0%)
coach: –</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Baby  2/5  (40%)
Eve</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Baby  1/5  (20%)
Nabila</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Baby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Baby  0/5  (0%)
coach: –</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5/5  (100%)
Sri</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5/5  (100%)
Andreas</v>
      </c>
      <c r="AN17" s="30" t="n">
        <f aca="false">IF($A17="","",IFERROR(MATCH($B$4&amp;"|- Lane 1 - "&amp;B$13&amp;"|"&amp;$A17,'Reguler Class Availability'!$L:$L,0),""))</f>
        <v>522</v>
      </c>
      <c r="AO17" s="30" t="n">
        <f aca="false">IF($A17="","",IFERROR(MATCH($B$4&amp;"|- Lane 1 - "&amp;C$13&amp;"|"&amp;$A17,'Reguler Class Availability'!$L:$L,0),""))</f>
        <v>534</v>
      </c>
      <c r="AP17" s="30" t="n">
        <f aca="false">IF($A17="","",IFERROR(MATCH($B$4&amp;"|- Lane 1 - "&amp;D$13&amp;"|"&amp;$A17,'Reguler Class Availability'!$L:$L,0),""))</f>
        <v>546</v>
      </c>
      <c r="AQ17" s="30" t="n">
        <f aca="false">IF($A17="","",IFERROR(MATCH($B$4&amp;"|- Lane 1 - "&amp;E$13&amp;"|"&amp;$A17,'Reguler Class Availability'!$L:$L,0),""))</f>
        <v>558</v>
      </c>
      <c r="AR17" s="30" t="n">
        <f aca="false">IF($A17="","",IFERROR(MATCH($B$4&amp;"|- Lane 1 - "&amp;F$13&amp;"|"&amp;$A17,'Reguler Class Availability'!$L:$L,0),""))</f>
        <v>570</v>
      </c>
      <c r="AS17" s="30" t="n">
        <f aca="false">IF($A17="","",IFERROR(MATCH($B$4&amp;"|- Lane 1 - "&amp;G$13&amp;"|"&amp;$A17,'Reguler Class Availability'!$L:$L,0),""))</f>
        <v>582</v>
      </c>
      <c r="AT17" s="30" t="n">
        <f aca="false">IF($A17="","",IFERROR(MATCH($B$4&amp;"|- Lane 1 - "&amp;H$13&amp;"|"&amp;$A17,'Reguler Class Availability'!$L:$L,0),""))</f>
        <v>594</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Belum terisi</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Sebagian</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Sebagian</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Belum terisi</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Belum terisi</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Penuh</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Penuh</v>
      </c>
      <c r="BD17" s="30" t="s">
        <v>124</v>
      </c>
      <c r="BE17" s="30" t="n">
        <f aca="false">IF(COUNTIFS('Reguler Class Availability'!$L:$L,$B$4&amp;"|- Lane 1 - *|"&amp;BD17)&gt;0,1,0)</f>
        <v>0</v>
      </c>
      <c r="BF17" s="30" t="n">
        <f aca="false">BE17+BF16</f>
        <v>4</v>
      </c>
    </row>
    <row r="18" customFormat="false" ht="39.75" hidden="false" customHeight="true" outlineLevel="0" collapsed="false">
      <c r="A18" s="66" t="str">
        <f aca="false">IFERROR(INDEX($BD$2:$BD$61,MATCH(5,$BF$2:$BF$61,0)),"")</f>
        <v>10:15</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Baby  0/5  (0%)
coach: –</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Baby  0/5  (0%)
coach: –</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Baby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Baby  3/5  (60%)
Andreas</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Baby  0/5  (0%)
coach: –</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Baby  5/5  (100%)
Nabila</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Baby  5/5  (100%)
Icis</v>
      </c>
      <c r="AN18" s="30" t="n">
        <f aca="false">IF($A18="","",IFERROR(MATCH($B$4&amp;"|- Lane 1 - "&amp;B$13&amp;"|"&amp;$A18,'Reguler Class Availability'!$L:$L,0),""))</f>
        <v>523</v>
      </c>
      <c r="AO18" s="30" t="n">
        <f aca="false">IF($A18="","",IFERROR(MATCH($B$4&amp;"|- Lane 1 - "&amp;C$13&amp;"|"&amp;$A18,'Reguler Class Availability'!$L:$L,0),""))</f>
        <v>535</v>
      </c>
      <c r="AP18" s="30" t="n">
        <f aca="false">IF($A18="","",IFERROR(MATCH($B$4&amp;"|- Lane 1 - "&amp;D$13&amp;"|"&amp;$A18,'Reguler Class Availability'!$L:$L,0),""))</f>
        <v>547</v>
      </c>
      <c r="AQ18" s="30" t="n">
        <f aca="false">IF($A18="","",IFERROR(MATCH($B$4&amp;"|- Lane 1 - "&amp;E$13&amp;"|"&amp;$A18,'Reguler Class Availability'!$L:$L,0),""))</f>
        <v>559</v>
      </c>
      <c r="AR18" s="30" t="n">
        <f aca="false">IF($A18="","",IFERROR(MATCH($B$4&amp;"|- Lane 1 - "&amp;F$13&amp;"|"&amp;$A18,'Reguler Class Availability'!$L:$L,0),""))</f>
        <v>571</v>
      </c>
      <c r="AS18" s="30" t="n">
        <f aca="false">IF($A18="","",IFERROR(MATCH($B$4&amp;"|- Lane 1 - "&amp;G$13&amp;"|"&amp;$A18,'Reguler Class Availability'!$L:$L,0),""))</f>
        <v>583</v>
      </c>
      <c r="AT18" s="30" t="n">
        <f aca="false">IF($A18="","",IFERROR(MATCH($B$4&amp;"|- Lane 1 - "&amp;H$13&amp;"|"&amp;$A18,'Reguler Class Availability'!$L:$L,0),""))</f>
        <v>595</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Belum terisi</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Belum terisi</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Belum terisi</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Tinggi</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Belum terisi</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Penuh</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Penuh</v>
      </c>
      <c r="BD18" s="30" t="s">
        <v>125</v>
      </c>
      <c r="BE18" s="30" t="n">
        <f aca="false">IF(COUNTIFS('Reguler Class Availability'!$L:$L,$B$4&amp;"|- Lane 1 - *|"&amp;BD18)&gt;0,1,0)</f>
        <v>0</v>
      </c>
      <c r="BF18" s="30" t="n">
        <f aca="false">BE18+BF17</f>
        <v>4</v>
      </c>
    </row>
    <row r="19" customFormat="false" ht="39.75" hidden="false" customHeight="true" outlineLevel="0" collapsed="false">
      <c r="A19" s="66" t="str">
        <f aca="false">IFERROR(INDEX($BD$2:$BD$61,MATCH(6,$BF$2:$BF$61,0)),"")</f>
        <v>11:00</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Baby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0/5  (0%)
coach: –</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2/5  (40%)
Andreas</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Baby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Baby  0/5  (0%)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Baby  2/5  (40%)
Andreas</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Baby  3/5  (60%)
Nabila</v>
      </c>
      <c r="AN19" s="30" t="n">
        <f aca="false">IF($A19="","",IFERROR(MATCH($B$4&amp;"|- Lane 1 - "&amp;B$13&amp;"|"&amp;$A19,'Reguler Class Availability'!$L:$L,0),""))</f>
        <v>524</v>
      </c>
      <c r="AO19" s="30" t="n">
        <f aca="false">IF($A19="","",IFERROR(MATCH($B$4&amp;"|- Lane 1 - "&amp;C$13&amp;"|"&amp;$A19,'Reguler Class Availability'!$L:$L,0),""))</f>
        <v>536</v>
      </c>
      <c r="AP19" s="30" t="n">
        <f aca="false">IF($A19="","",IFERROR(MATCH($B$4&amp;"|- Lane 1 - "&amp;D$13&amp;"|"&amp;$A19,'Reguler Class Availability'!$L:$L,0),""))</f>
        <v>548</v>
      </c>
      <c r="AQ19" s="30" t="n">
        <f aca="false">IF($A19="","",IFERROR(MATCH($B$4&amp;"|- Lane 1 - "&amp;E$13&amp;"|"&amp;$A19,'Reguler Class Availability'!$L:$L,0),""))</f>
        <v>560</v>
      </c>
      <c r="AR19" s="30" t="n">
        <f aca="false">IF($A19="","",IFERROR(MATCH($B$4&amp;"|- Lane 1 - "&amp;F$13&amp;"|"&amp;$A19,'Reguler Class Availability'!$L:$L,0),""))</f>
        <v>572</v>
      </c>
      <c r="AS19" s="30" t="n">
        <f aca="false">IF($A19="","",IFERROR(MATCH($B$4&amp;"|- Lane 1 - "&amp;G$13&amp;"|"&amp;$A19,'Reguler Class Availability'!$L:$L,0),""))</f>
        <v>584</v>
      </c>
      <c r="AT19" s="30" t="n">
        <f aca="false">IF($A19="","",IFERROR(MATCH($B$4&amp;"|- Lane 1 - "&amp;H$13&amp;"|"&amp;$A19,'Reguler Class Availability'!$L:$L,0),""))</f>
        <v>596</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Belum terisi</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Belum terisi</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Sebagian</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Belum terisi</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Belum terisi</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Sebagian</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Tinggi</v>
      </c>
      <c r="BD19" s="30" t="s">
        <v>126</v>
      </c>
      <c r="BE19" s="30" t="n">
        <f aca="false">IF(COUNTIFS('Reguler Class Availability'!$L:$L,$B$4&amp;"|- Lane 1 - *|"&amp;BD19)&gt;0,1,0)</f>
        <v>1</v>
      </c>
      <c r="BF19" s="30" t="n">
        <f aca="false">BE19+BF18</f>
        <v>5</v>
      </c>
    </row>
    <row r="20" customFormat="false" ht="39.75" hidden="false" customHeight="true" outlineLevel="0" collapsed="false">
      <c r="A20" s="66" t="str">
        <f aca="false">IFERROR(INDEX($BD$2:$BD$61,MATCH(7,$BF$2:$BF$61,0)),"")</f>
        <v>11:45</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Baby  0/5  (0%)
coach: –</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Baby  0/0
coach: –</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Baby  0/0
coach: –</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Baby  0/0
coach: –</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Baby  0/0
coach: –</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Baby  0/5  (0%)
coach: –</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Baby  0/5  (0%)
coach: –</v>
      </c>
      <c r="AN20" s="30" t="n">
        <f aca="false">IF($A20="","",IFERROR(MATCH($B$4&amp;"|- Lane 1 - "&amp;B$13&amp;"|"&amp;$A20,'Reguler Class Availability'!$L:$L,0),""))</f>
        <v>525</v>
      </c>
      <c r="AO20" s="30" t="n">
        <f aca="false">IF($A20="","",IFERROR(MATCH($B$4&amp;"|- Lane 1 - "&amp;C$13&amp;"|"&amp;$A20,'Reguler Class Availability'!$L:$L,0),""))</f>
        <v>537</v>
      </c>
      <c r="AP20" s="30" t="n">
        <f aca="false">IF($A20="","",IFERROR(MATCH($B$4&amp;"|- Lane 1 - "&amp;D$13&amp;"|"&amp;$A20,'Reguler Class Availability'!$L:$L,0),""))</f>
        <v>549</v>
      </c>
      <c r="AQ20" s="30" t="n">
        <f aca="false">IF($A20="","",IFERROR(MATCH($B$4&amp;"|- Lane 1 - "&amp;E$13&amp;"|"&amp;$A20,'Reguler Class Availability'!$L:$L,0),""))</f>
        <v>561</v>
      </c>
      <c r="AR20" s="30" t="n">
        <f aca="false">IF($A20="","",IFERROR(MATCH($B$4&amp;"|- Lane 1 - "&amp;F$13&amp;"|"&amp;$A20,'Reguler Class Availability'!$L:$L,0),""))</f>
        <v>573</v>
      </c>
      <c r="AS20" s="30" t="n">
        <f aca="false">IF($A20="","",IFERROR(MATCH($B$4&amp;"|- Lane 1 - "&amp;G$13&amp;"|"&amp;$A20,'Reguler Class Availability'!$L:$L,0),""))</f>
        <v>585</v>
      </c>
      <c r="AT20" s="30" t="n">
        <f aca="false">IF($A20="","",IFERROR(MATCH($B$4&amp;"|- Lane 1 - "&amp;H$13&amp;"|"&amp;$A20,'Reguler Class Availability'!$L:$L,0),""))</f>
        <v>597</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Belum terisi</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Tutup</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Tutup</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Tutup</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Tutup</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Belum terisi</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Belum terisi</v>
      </c>
      <c r="BD20" s="30" t="s">
        <v>127</v>
      </c>
      <c r="BE20" s="30" t="n">
        <f aca="false">IF(COUNTIFS('Reguler Class Availability'!$L:$L,$B$4&amp;"|- Lane 1 - *|"&amp;BD20)&gt;0,1,0)</f>
        <v>0</v>
      </c>
      <c r="BF20" s="30" t="n">
        <f aca="false">BE20+BF19</f>
        <v>5</v>
      </c>
    </row>
    <row r="21" customFormat="false" ht="39.75" hidden="false" customHeight="true" outlineLevel="0" collapsed="false">
      <c r="A21" s="66" t="str">
        <f aca="false">IFERROR(INDEX($BD$2:$BD$61,MATCH(8,$BF$2:$BF$61,0)),"")</f>
        <v>13:15</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Baby  0/5  (0%)
coach: –</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Baby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Baby  0/5  (0%)
coach: –</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Baby  0/5  (0%)
coach: –</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Baby  0/5  (0%)
coach: –</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0/5  (0%)
coach: –</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1/5  (20%)
Andreas</v>
      </c>
      <c r="AN21" s="30" t="n">
        <f aca="false">IF($A21="","",IFERROR(MATCH($B$4&amp;"|- Lane 1 - "&amp;B$13&amp;"|"&amp;$A21,'Reguler Class Availability'!$L:$L,0),""))</f>
        <v>526</v>
      </c>
      <c r="AO21" s="30" t="n">
        <f aca="false">IF($A21="","",IFERROR(MATCH($B$4&amp;"|- Lane 1 - "&amp;C$13&amp;"|"&amp;$A21,'Reguler Class Availability'!$L:$L,0),""))</f>
        <v>538</v>
      </c>
      <c r="AP21" s="30" t="n">
        <f aca="false">IF($A21="","",IFERROR(MATCH($B$4&amp;"|- Lane 1 - "&amp;D$13&amp;"|"&amp;$A21,'Reguler Class Availability'!$L:$L,0),""))</f>
        <v>550</v>
      </c>
      <c r="AQ21" s="30" t="n">
        <f aca="false">IF($A21="","",IFERROR(MATCH($B$4&amp;"|- Lane 1 - "&amp;E$13&amp;"|"&amp;$A21,'Reguler Class Availability'!$L:$L,0),""))</f>
        <v>562</v>
      </c>
      <c r="AR21" s="30" t="n">
        <f aca="false">IF($A21="","",IFERROR(MATCH($B$4&amp;"|- Lane 1 - "&amp;F$13&amp;"|"&amp;$A21,'Reguler Class Availability'!$L:$L,0),""))</f>
        <v>574</v>
      </c>
      <c r="AS21" s="30" t="n">
        <f aca="false">IF($A21="","",IFERROR(MATCH($B$4&amp;"|- Lane 1 - "&amp;G$13&amp;"|"&amp;$A21,'Reguler Class Availability'!$L:$L,0),""))</f>
        <v>586</v>
      </c>
      <c r="AT21" s="30" t="n">
        <f aca="false">IF($A21="","",IFERROR(MATCH($B$4&amp;"|- Lane 1 - "&amp;H$13&amp;"|"&amp;$A21,'Reguler Class Availability'!$L:$L,0),""))</f>
        <v>598</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Belum terisi</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Belum terisi</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Belum terisi</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Belum terisi</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Belum terisi</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Belum terisi</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Sebagian</v>
      </c>
      <c r="BD21" s="30" t="s">
        <v>128</v>
      </c>
      <c r="BE21" s="30" t="n">
        <f aca="false">IF(COUNTIFS('Reguler Class Availability'!$L:$L,$B$4&amp;"|- Lane 1 - *|"&amp;BD21)&gt;0,1,0)</f>
        <v>0</v>
      </c>
      <c r="BF21" s="30" t="n">
        <f aca="false">BE21+BF20</f>
        <v>5</v>
      </c>
    </row>
    <row r="22" customFormat="false" ht="39.75" hidden="false" customHeight="true" outlineLevel="0" collapsed="false">
      <c r="A22" s="66" t="str">
        <f aca="false">IFERROR(INDEX($BD$2:$BD$61,MATCH(9,$BF$2:$BF$61,0)),"")</f>
        <v>14:00</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Baby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Baby  0/5  (0%)
coach: –</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Baby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Baby  0/5  (0%)
coach: –</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Baby  0/5  (0%)
coach: –</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Baby  0/5  (0%)
coach: –</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Baby  0/5  (0%)
coach: –</v>
      </c>
      <c r="AN22" s="30" t="n">
        <f aca="false">IF($A22="","",IFERROR(MATCH($B$4&amp;"|- Lane 1 - "&amp;B$13&amp;"|"&amp;$A22,'Reguler Class Availability'!$L:$L,0),""))</f>
        <v>527</v>
      </c>
      <c r="AO22" s="30" t="n">
        <f aca="false">IF($A22="","",IFERROR(MATCH($B$4&amp;"|- Lane 1 - "&amp;C$13&amp;"|"&amp;$A22,'Reguler Class Availability'!$L:$L,0),""))</f>
        <v>539</v>
      </c>
      <c r="AP22" s="30" t="n">
        <f aca="false">IF($A22="","",IFERROR(MATCH($B$4&amp;"|- Lane 1 - "&amp;D$13&amp;"|"&amp;$A22,'Reguler Class Availability'!$L:$L,0),""))</f>
        <v>551</v>
      </c>
      <c r="AQ22" s="30" t="n">
        <f aca="false">IF($A22="","",IFERROR(MATCH($B$4&amp;"|- Lane 1 - "&amp;E$13&amp;"|"&amp;$A22,'Reguler Class Availability'!$L:$L,0),""))</f>
        <v>563</v>
      </c>
      <c r="AR22" s="30" t="n">
        <f aca="false">IF($A22="","",IFERROR(MATCH($B$4&amp;"|- Lane 1 - "&amp;F$13&amp;"|"&amp;$A22,'Reguler Class Availability'!$L:$L,0),""))</f>
        <v>575</v>
      </c>
      <c r="AS22" s="30" t="n">
        <f aca="false">IF($A22="","",IFERROR(MATCH($B$4&amp;"|- Lane 1 - "&amp;G$13&amp;"|"&amp;$A22,'Reguler Class Availability'!$L:$L,0),""))</f>
        <v>587</v>
      </c>
      <c r="AT22" s="30" t="n">
        <f aca="false">IF($A22="","",IFERROR(MATCH($B$4&amp;"|- Lane 1 - "&amp;H$13&amp;"|"&amp;$A22,'Reguler Class Availability'!$L:$L,0),""))</f>
        <v>599</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Belum terisi</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Belum terisi</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Belum terisi</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Belum terisi</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Belum terisi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Belum terisi</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Belum terisi</v>
      </c>
      <c r="BD22" s="30" t="s">
        <v>129</v>
      </c>
      <c r="BE22" s="30" t="n">
        <f aca="false">IF(COUNTIFS('Reguler Class Availability'!$L:$L,$B$4&amp;"|- Lane 1 - *|"&amp;BD22)&gt;0,1,0)</f>
        <v>1</v>
      </c>
      <c r="BF22" s="30" t="n">
        <f aca="false">BE22+BF21</f>
        <v>6</v>
      </c>
    </row>
    <row r="23" customFormat="false" ht="39.75" hidden="false" customHeight="true" outlineLevel="0" collapsed="false">
      <c r="A23" s="66" t="str">
        <f aca="false">IFERROR(INDEX($BD$2:$BD$61,MATCH(10,$BF$2:$BF$61,0)),"")</f>
        <v>14:45</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Baby  0/0
coach: –</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Baby  1/5  (20%)
Eve</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Baby  0/5  (0%)
coach: –</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0/5  (0%)
coach: –</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Baby  0/0
coach: –</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0/5  (0%)
coach: –</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2/5  (40%)
Andreas</v>
      </c>
      <c r="AN23" s="30" t="n">
        <f aca="false">IF($A23="","",IFERROR(MATCH($B$4&amp;"|- Lane 1 - "&amp;B$13&amp;"|"&amp;$A23,'Reguler Class Availability'!$L:$L,0),""))</f>
        <v>528</v>
      </c>
      <c r="AO23" s="30" t="n">
        <f aca="false">IF($A23="","",IFERROR(MATCH($B$4&amp;"|- Lane 1 - "&amp;C$13&amp;"|"&amp;$A23,'Reguler Class Availability'!$L:$L,0),""))</f>
        <v>540</v>
      </c>
      <c r="AP23" s="30" t="n">
        <f aca="false">IF($A23="","",IFERROR(MATCH($B$4&amp;"|- Lane 1 - "&amp;D$13&amp;"|"&amp;$A23,'Reguler Class Availability'!$L:$L,0),""))</f>
        <v>552</v>
      </c>
      <c r="AQ23" s="30" t="n">
        <f aca="false">IF($A23="","",IFERROR(MATCH($B$4&amp;"|- Lane 1 - "&amp;E$13&amp;"|"&amp;$A23,'Reguler Class Availability'!$L:$L,0),""))</f>
        <v>564</v>
      </c>
      <c r="AR23" s="30" t="n">
        <f aca="false">IF($A23="","",IFERROR(MATCH($B$4&amp;"|- Lane 1 - "&amp;F$13&amp;"|"&amp;$A23,'Reguler Class Availability'!$L:$L,0),""))</f>
        <v>576</v>
      </c>
      <c r="AS23" s="30" t="n">
        <f aca="false">IF($A23="","",IFERROR(MATCH($B$4&amp;"|- Lane 1 - "&amp;G$13&amp;"|"&amp;$A23,'Reguler Class Availability'!$L:$L,0),""))</f>
        <v>588</v>
      </c>
      <c r="AT23" s="30" t="n">
        <f aca="false">IF($A23="","",IFERROR(MATCH($B$4&amp;"|- Lane 1 - "&amp;H$13&amp;"|"&amp;$A23,'Reguler Class Availability'!$L:$L,0),""))</f>
        <v>600</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Tutup</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Sebagian</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Belum terisi</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Belum terisi</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Tutup</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Belum terisi</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Sebagian</v>
      </c>
      <c r="BD23" s="30" t="s">
        <v>130</v>
      </c>
      <c r="BE23" s="30" t="n">
        <f aca="false">IF(COUNTIFS('Reguler Class Availability'!$L:$L,$B$4&amp;"|- Lane 1 - *|"&amp;BD23)&gt;0,1,0)</f>
        <v>0</v>
      </c>
      <c r="BF23" s="30" t="n">
        <f aca="false">BE23+BF22</f>
        <v>6</v>
      </c>
    </row>
    <row r="24" customFormat="false" ht="39.75" hidden="false" customHeight="true" outlineLevel="0" collapsed="false">
      <c r="A24" s="66" t="str">
        <f aca="false">IFERROR(INDEX($BD$2:$BD$61,MATCH(11,$BF$2:$BF$61,0)),"")</f>
        <v>15:30</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Baby  0/0
coach: –</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Baby  0/0
coach: –</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Baby  0/5  (0%)
coach: –</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Baby  0/5  (0%)
coach: –</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Baby  0/0
coach: –</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Baby  4/5  (80%)
Nabila</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Baby  2/5  (40%)
Deyon</v>
      </c>
      <c r="AN24" s="30" t="n">
        <f aca="false">IF($A24="","",IFERROR(MATCH($B$4&amp;"|- Lane 1 - "&amp;B$13&amp;"|"&amp;$A24,'Reguler Class Availability'!$L:$L,0),""))</f>
        <v>529</v>
      </c>
      <c r="AO24" s="30" t="n">
        <f aca="false">IF($A24="","",IFERROR(MATCH($B$4&amp;"|- Lane 1 - "&amp;C$13&amp;"|"&amp;$A24,'Reguler Class Availability'!$L:$L,0),""))</f>
        <v>541</v>
      </c>
      <c r="AP24" s="30" t="n">
        <f aca="false">IF($A24="","",IFERROR(MATCH($B$4&amp;"|- Lane 1 - "&amp;D$13&amp;"|"&amp;$A24,'Reguler Class Availability'!$L:$L,0),""))</f>
        <v>553</v>
      </c>
      <c r="AQ24" s="30" t="n">
        <f aca="false">IF($A24="","",IFERROR(MATCH($B$4&amp;"|- Lane 1 - "&amp;E$13&amp;"|"&amp;$A24,'Reguler Class Availability'!$L:$L,0),""))</f>
        <v>565</v>
      </c>
      <c r="AR24" s="30" t="n">
        <f aca="false">IF($A24="","",IFERROR(MATCH($B$4&amp;"|- Lane 1 - "&amp;F$13&amp;"|"&amp;$A24,'Reguler Class Availability'!$L:$L,0),""))</f>
        <v>577</v>
      </c>
      <c r="AS24" s="30" t="n">
        <f aca="false">IF($A24="","",IFERROR(MATCH($B$4&amp;"|- Lane 1 - "&amp;G$13&amp;"|"&amp;$A24,'Reguler Class Availability'!$L:$L,0),""))</f>
        <v>589</v>
      </c>
      <c r="AT24" s="30" t="n">
        <f aca="false">IF($A24="","",IFERROR(MATCH($B$4&amp;"|- Lane 1 - "&amp;H$13&amp;"|"&amp;$A24,'Reguler Class Availability'!$L:$L,0),""))</f>
        <v>601</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Tutup</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Tutup</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Belum terisi</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Belum terisi</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Tutup</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Tinggi</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Sebagian</v>
      </c>
      <c r="BD24" s="30" t="s">
        <v>131</v>
      </c>
      <c r="BE24" s="30" t="n">
        <f aca="false">IF(COUNTIFS('Reguler Class Availability'!$L:$L,$B$4&amp;"|- Lane 1 - *|"&amp;BD24)&gt;0,1,0)</f>
        <v>0</v>
      </c>
      <c r="BF24" s="30" t="n">
        <f aca="false">BE24+BF23</f>
        <v>6</v>
      </c>
    </row>
    <row r="25" customFormat="false" ht="39.75" hidden="false" customHeight="true" outlineLevel="0" collapsed="false">
      <c r="A25" s="66" t="str">
        <f aca="false">IFERROR(INDEX($BD$2:$BD$61,MATCH(12,$BF$2:$BF$61,0)),"")</f>
        <v>16:15</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Baby  0/5  (0%)
coach: –</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Baby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Baby  2/5  (40%)
Sri</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Baby  1/5  (20%)
Icis</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Baby  2/5  (40%)
Deyon</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4/5  (80%)
Andreas</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Baby  3/5  (60%)
Eve</v>
      </c>
      <c r="AN25" s="30" t="n">
        <f aca="false">IF($A25="","",IFERROR(MATCH($B$4&amp;"|- Lane 1 - "&amp;B$13&amp;"|"&amp;$A25,'Reguler Class Availability'!$L:$L,0),""))</f>
        <v>530</v>
      </c>
      <c r="AO25" s="30" t="n">
        <f aca="false">IF($A25="","",IFERROR(MATCH($B$4&amp;"|- Lane 1 - "&amp;C$13&amp;"|"&amp;$A25,'Reguler Class Availability'!$L:$L,0),""))</f>
        <v>542</v>
      </c>
      <c r="AP25" s="30" t="n">
        <f aca="false">IF($A25="","",IFERROR(MATCH($B$4&amp;"|- Lane 1 - "&amp;D$13&amp;"|"&amp;$A25,'Reguler Class Availability'!$L:$L,0),""))</f>
        <v>554</v>
      </c>
      <c r="AQ25" s="30" t="n">
        <f aca="false">IF($A25="","",IFERROR(MATCH($B$4&amp;"|- Lane 1 - "&amp;E$13&amp;"|"&amp;$A25,'Reguler Class Availability'!$L:$L,0),""))</f>
        <v>566</v>
      </c>
      <c r="AR25" s="30" t="n">
        <f aca="false">IF($A25="","",IFERROR(MATCH($B$4&amp;"|- Lane 1 - "&amp;F$13&amp;"|"&amp;$A25,'Reguler Class Availability'!$L:$L,0),""))</f>
        <v>578</v>
      </c>
      <c r="AS25" s="30" t="n">
        <f aca="false">IF($A25="","",IFERROR(MATCH($B$4&amp;"|- Lane 1 - "&amp;G$13&amp;"|"&amp;$A25,'Reguler Class Availability'!$L:$L,0),""))</f>
        <v>590</v>
      </c>
      <c r="AT25" s="30" t="n">
        <f aca="false">IF($A25="","",IFERROR(MATCH($B$4&amp;"|- Lane 1 - "&amp;H$13&amp;"|"&amp;$A25,'Reguler Class Availability'!$L:$L,0),""))</f>
        <v>602</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Belum terisi</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Belum terisi</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Sebagian</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Sebagian</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Sebagian</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Tinggi</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Tinggi</v>
      </c>
      <c r="BD25" s="30" t="s">
        <v>132</v>
      </c>
      <c r="BE25" s="30" t="n">
        <f aca="false">IF(COUNTIFS('Reguler Class Availability'!$L:$L,$B$4&amp;"|- Lane 1 - *|"&amp;BD25)&gt;0,1,0)</f>
        <v>1</v>
      </c>
      <c r="BF25" s="30" t="n">
        <f aca="false">BE25+BF24</f>
        <v>7</v>
      </c>
    </row>
    <row r="26" customFormat="false" ht="39.75" hidden="false" customHeight="true" outlineLevel="0" collapsed="false">
      <c r="A26" s="66" t="str">
        <f aca="false">IFERROR(INDEX($BD$2:$BD$61,MATCH(13,$BF$2:$BF$61,0)),"")</f>
        <v>17:00</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Baby  0/5  (0%)
coach: –</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Baby  0/5  (0%)
coach: –</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Baby  0/5  (0%)
coach: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Baby  0/5  (0%)
coach: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Baby  0/5  (0%)
coach: –</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Baby  0/5  (0%)
coach: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Baby  0/5  (0%)
coach: –</v>
      </c>
      <c r="AN26" s="30" t="n">
        <f aca="false">IF($A26="","",IFERROR(MATCH($B$4&amp;"|- Lane 1 - "&amp;B$13&amp;"|"&amp;$A26,'Reguler Class Availability'!$L:$L,0),""))</f>
        <v>531</v>
      </c>
      <c r="AO26" s="30" t="n">
        <f aca="false">IF($A26="","",IFERROR(MATCH($B$4&amp;"|- Lane 1 - "&amp;C$13&amp;"|"&amp;$A26,'Reguler Class Availability'!$L:$L,0),""))</f>
        <v>543</v>
      </c>
      <c r="AP26" s="30" t="n">
        <f aca="false">IF($A26="","",IFERROR(MATCH($B$4&amp;"|- Lane 1 - "&amp;D$13&amp;"|"&amp;$A26,'Reguler Class Availability'!$L:$L,0),""))</f>
        <v>555</v>
      </c>
      <c r="AQ26" s="30" t="n">
        <f aca="false">IF($A26="","",IFERROR(MATCH($B$4&amp;"|- Lane 1 - "&amp;E$13&amp;"|"&amp;$A26,'Reguler Class Availability'!$L:$L,0),""))</f>
        <v>567</v>
      </c>
      <c r="AR26" s="30" t="n">
        <f aca="false">IF($A26="","",IFERROR(MATCH($B$4&amp;"|- Lane 1 - "&amp;F$13&amp;"|"&amp;$A26,'Reguler Class Availability'!$L:$L,0),""))</f>
        <v>579</v>
      </c>
      <c r="AS26" s="30" t="n">
        <f aca="false">IF($A26="","",IFERROR(MATCH($B$4&amp;"|- Lane 1 - "&amp;G$13&amp;"|"&amp;$A26,'Reguler Class Availability'!$L:$L,0),""))</f>
        <v>591</v>
      </c>
      <c r="AT26" s="30" t="n">
        <f aca="false">IF($A26="","",IFERROR(MATCH($B$4&amp;"|- Lane 1 - "&amp;H$13&amp;"|"&amp;$A26,'Reguler Class Availability'!$L:$L,0),""))</f>
        <v>603</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Belum terisi</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Belum terisi</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Belum terisi</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Belum terisi</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Belum terisi</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Belum terisi</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Belum terisi</v>
      </c>
      <c r="BD26" s="30" t="s">
        <v>133</v>
      </c>
      <c r="BE26" s="30" t="n">
        <f aca="false">IF(COUNTIFS('Reguler Class Availability'!$L:$L,$B$4&amp;"|- Lane 1 - *|"&amp;BD26)&gt;0,1,0)</f>
        <v>0</v>
      </c>
      <c r="BF26" s="30" t="n">
        <f aca="false">BE26+BF25</f>
        <v>7</v>
      </c>
    </row>
    <row r="27" customFormat="false" ht="39.75" hidden="false" customHeight="true" outlineLevel="0" collapsed="false">
      <c r="A27" s="66" t="str">
        <f aca="false">IFERROR(INDEX($BD$2:$BD$61,MATCH(14,$BF$2:$BF$61,0)),"")</f>
        <v>18:00</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Star  1/8  (13%)
Sri</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Star  0/8  (0%)
coach: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Star  1/8  (13%)
Andreas</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Star  0/8  (0%)
coach: –</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Star  1/8  (13%)
Frido</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Star  0/8  (0%)
coach: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Star  0/8  (0%)
coach: –</v>
      </c>
      <c r="AN27" s="30" t="n">
        <f aca="false">IF($A27="","",IFERROR(MATCH($B$4&amp;"|- Lane 1 - "&amp;B$13&amp;"|"&amp;$A27,'Reguler Class Availability'!$L:$L,0),""))</f>
        <v>611</v>
      </c>
      <c r="AO27" s="30" t="n">
        <f aca="false">IF($A27="","",IFERROR(MATCH($B$4&amp;"|- Lane 1 - "&amp;C$13&amp;"|"&amp;$A27,'Reguler Class Availability'!$L:$L,0),""))</f>
        <v>612</v>
      </c>
      <c r="AP27" s="30" t="n">
        <f aca="false">IF($A27="","",IFERROR(MATCH($B$4&amp;"|- Lane 1 - "&amp;D$13&amp;"|"&amp;$A27,'Reguler Class Availability'!$L:$L,0),""))</f>
        <v>613</v>
      </c>
      <c r="AQ27" s="30" t="n">
        <f aca="false">IF($A27="","",IFERROR(MATCH($B$4&amp;"|- Lane 1 - "&amp;E$13&amp;"|"&amp;$A27,'Reguler Class Availability'!$L:$L,0),""))</f>
        <v>614</v>
      </c>
      <c r="AR27" s="30" t="n">
        <f aca="false">IF($A27="","",IFERROR(MATCH($B$4&amp;"|- Lane 1 - "&amp;F$13&amp;"|"&amp;$A27,'Reguler Class Availability'!$L:$L,0),""))</f>
        <v>615</v>
      </c>
      <c r="AS27" s="30" t="n">
        <f aca="false">IF($A27="","",IFERROR(MATCH($B$4&amp;"|- Lane 1 - "&amp;G$13&amp;"|"&amp;$A27,'Reguler Class Availability'!$L:$L,0),""))</f>
        <v>616</v>
      </c>
      <c r="AT27" s="30" t="n">
        <f aca="false">IF($A27="","",IFERROR(MATCH($B$4&amp;"|- Lane 1 - "&amp;H$13&amp;"|"&amp;$A27,'Reguler Class Availability'!$L:$L,0),""))</f>
        <v>617</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Sebagian</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Belum terisi</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Sebagian</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Belum terisi</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Sebagian</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Belum terisi</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Belum terisi</v>
      </c>
      <c r="BD27" s="30" t="s">
        <v>134</v>
      </c>
      <c r="BE27" s="30" t="n">
        <f aca="false">IF(COUNTIFS('Reguler Class Availability'!$L:$L,$B$4&amp;"|- Lane 1 - *|"&amp;BD27)&gt;0,1,0)</f>
        <v>0</v>
      </c>
      <c r="BF27" s="30" t="n">
        <f aca="false">BE27+BF26</f>
        <v>7</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7</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7</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7%</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5%</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9%</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6%</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13%</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37%</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37%</v>
      </c>
      <c r="BD30" s="30" t="s">
        <v>138</v>
      </c>
      <c r="BE30" s="30" t="n">
        <f aca="false">IF(COUNTIFS('Reguler Class Availability'!$L:$L,$B$4&amp;"|- Lane 1 - *|"&amp;BD30)&gt;0,1,0)</f>
        <v>0</v>
      </c>
      <c r="BF30" s="30" t="n">
        <f aca="false">BE30+BF29</f>
        <v>7</v>
      </c>
    </row>
    <row r="31" customFormat="false" ht="15" hidden="false" customHeight="false" outlineLevel="0" collapsed="false">
      <c r="BD31" s="0" t="s">
        <v>139</v>
      </c>
      <c r="BE31" s="0" t="n">
        <f aca="false">IF(COUNTIFS('Reguler Class Availability'!$L:$L,$B$4&amp;"|- Lane 1 - *|"&amp;BD31)&gt;0,1,0)</f>
        <v>1</v>
      </c>
      <c r="BF31" s="0" t="n">
        <f aca="false">BE31+BF30</f>
        <v>8</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28%   ·   Belum terisi: 32   ·   Slot kosong: 0</v>
      </c>
      <c r="D32" s="62"/>
      <c r="E32" s="62"/>
      <c r="F32" s="62"/>
      <c r="G32" s="62"/>
      <c r="H32" s="62"/>
      <c r="BD32" s="30" t="s">
        <v>141</v>
      </c>
      <c r="BE32" s="30" t="n">
        <f aca="false">IF(COUNTIFS('Reguler Class Availability'!$L:$L,$B$4&amp;"|- Lane 1 - *|"&amp;BD32)&gt;0,1,0)</f>
        <v>0</v>
      </c>
      <c r="BF32" s="30" t="n">
        <f aca="false">BE32+BF31</f>
        <v>8</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8</v>
      </c>
    </row>
    <row r="34" customFormat="false" ht="39.75" hidden="false" customHeight="true" outlineLevel="0" collapsed="false">
      <c r="A34" s="66" t="str">
        <f aca="false">IFERROR(INDEX($BD$62:$BD$121,MATCH(1,$BF$62:$BF$121,0)),"")</f>
        <v>08:00</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Tiny  0/0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Tiny  0/0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Tiny  0/0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Tiny  0/0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Tiny  0/0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Tiny  0/0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Tiny  0/0
coach: –</v>
      </c>
      <c r="AN34" s="30" t="n">
        <f aca="false">IF($A34="","",IFERROR(MATCH($B$4&amp;"|- Lane 2 - "&amp;B$33&amp;"|"&amp;$A34,'Reguler Class Availability'!$L:$L,0),""))</f>
        <v>618</v>
      </c>
      <c r="AO34" s="30" t="n">
        <f aca="false">IF($A34="","",IFERROR(MATCH($B$4&amp;"|- Lane 2 - "&amp;C$33&amp;"|"&amp;$A34,'Reguler Class Availability'!$L:$L,0),""))</f>
        <v>630</v>
      </c>
      <c r="AP34" s="30" t="n">
        <f aca="false">IF($A34="","",IFERROR(MATCH($B$4&amp;"|- Lane 2 - "&amp;D$33&amp;"|"&amp;$A34,'Reguler Class Availability'!$L:$L,0),""))</f>
        <v>642</v>
      </c>
      <c r="AQ34" s="30" t="n">
        <f aca="false">IF($A34="","",IFERROR(MATCH($B$4&amp;"|- Lane 2 - "&amp;E$33&amp;"|"&amp;$A34,'Reguler Class Availability'!$L:$L,0),""))</f>
        <v>654</v>
      </c>
      <c r="AR34" s="30" t="n">
        <f aca="false">IF($A34="","",IFERROR(MATCH($B$4&amp;"|- Lane 2 - "&amp;F$33&amp;"|"&amp;$A34,'Reguler Class Availability'!$L:$L,0),""))</f>
        <v>666</v>
      </c>
      <c r="AS34" s="30" t="n">
        <f aca="false">IF($A34="","",IFERROR(MATCH($B$4&amp;"|- Lane 2 - "&amp;G$33&amp;"|"&amp;$A34,'Reguler Class Availability'!$L:$L,0),""))</f>
        <v>678</v>
      </c>
      <c r="AT34" s="30" t="n">
        <f aca="false">IF($A34="","",IFERROR(MATCH($B$4&amp;"|- Lane 2 - "&amp;H$33&amp;"|"&amp;$A34,'Reguler Class Availability'!$L:$L,0),""))</f>
        <v>690</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Tutup</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Tutup</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Tutup</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Tutup</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Tutup</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Tutup</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Tutup</v>
      </c>
      <c r="BD34" s="30" t="s">
        <v>143</v>
      </c>
      <c r="BE34" s="30" t="n">
        <f aca="false">IF(COUNTIFS('Reguler Class Availability'!$L:$L,$B$4&amp;"|- Lane 1 - *|"&amp;BD34)&gt;0,1,0)</f>
        <v>1</v>
      </c>
      <c r="BF34" s="30" t="n">
        <f aca="false">BE34+BF33</f>
        <v>9</v>
      </c>
    </row>
    <row r="35" customFormat="false" ht="39.75" hidden="false" customHeight="true" outlineLevel="0" collapsed="false">
      <c r="A35" s="66" t="str">
        <f aca="false">IFERROR(INDEX($BD$62:$BD$121,MATCH(2,$BF$62:$BF$121,0)),"")</f>
        <v>08:45</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Tiny  2/5  (40%)
Eve</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Tiny  0/5  (0%)
coach: –</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Tiny  0/5  (0%)
coach: –</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Tiny  0/5  (0%)
coach: –</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Tiny  0/5  (0%)
coach: –</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Tiny  4/5  (80%)
Icis</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Tiny  5/5  (100%)
Icis</v>
      </c>
      <c r="AN35" s="30" t="n">
        <f aca="false">IF($A35="","",IFERROR(MATCH($B$4&amp;"|- Lane 2 - "&amp;B$33&amp;"|"&amp;$A35,'Reguler Class Availability'!$L:$L,0),""))</f>
        <v>619</v>
      </c>
      <c r="AO35" s="30" t="n">
        <f aca="false">IF($A35="","",IFERROR(MATCH($B$4&amp;"|- Lane 2 - "&amp;C$33&amp;"|"&amp;$A35,'Reguler Class Availability'!$L:$L,0),""))</f>
        <v>631</v>
      </c>
      <c r="AP35" s="30" t="n">
        <f aca="false">IF($A35="","",IFERROR(MATCH($B$4&amp;"|- Lane 2 - "&amp;D$33&amp;"|"&amp;$A35,'Reguler Class Availability'!$L:$L,0),""))</f>
        <v>643</v>
      </c>
      <c r="AQ35" s="30" t="n">
        <f aca="false">IF($A35="","",IFERROR(MATCH($B$4&amp;"|- Lane 2 - "&amp;E$33&amp;"|"&amp;$A35,'Reguler Class Availability'!$L:$L,0),""))</f>
        <v>655</v>
      </c>
      <c r="AR35" s="30" t="n">
        <f aca="false">IF($A35="","",IFERROR(MATCH($B$4&amp;"|- Lane 2 - "&amp;F$33&amp;"|"&amp;$A35,'Reguler Class Availability'!$L:$L,0),""))</f>
        <v>667</v>
      </c>
      <c r="AS35" s="30" t="n">
        <f aca="false">IF($A35="","",IFERROR(MATCH($B$4&amp;"|- Lane 2 - "&amp;G$33&amp;"|"&amp;$A35,'Reguler Class Availability'!$L:$L,0),""))</f>
        <v>679</v>
      </c>
      <c r="AT35" s="30" t="n">
        <f aca="false">IF($A35="","",IFERROR(MATCH($B$4&amp;"|- Lane 2 - "&amp;H$33&amp;"|"&amp;$A35,'Reguler Class Availability'!$L:$L,0),""))</f>
        <v>691</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Sebagian</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Belum terisi</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Belum terisi</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Belum terisi</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Belum terisi</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Tinggi</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Penuh</v>
      </c>
      <c r="BD35" s="30" t="s">
        <v>144</v>
      </c>
      <c r="BE35" s="30" t="n">
        <f aca="false">IF(COUNTIFS('Reguler Class Availability'!$L:$L,$B$4&amp;"|- Lane 1 - *|"&amp;BD35)&gt;0,1,0)</f>
        <v>0</v>
      </c>
      <c r="BF35" s="30" t="n">
        <f aca="false">BE35+BF34</f>
        <v>9</v>
      </c>
    </row>
    <row r="36" customFormat="false" ht="39.75" hidden="false" customHeight="true" outlineLevel="0" collapsed="false">
      <c r="A36" s="66" t="str">
        <f aca="false">IFERROR(INDEX($BD$62:$BD$121,MATCH(3,$BF$62:$BF$121,0)),"")</f>
        <v>09:30</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Tiny  0/5  (0%)
coach: –</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Tiny  3/5  (60%)
Deyon</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Tiny  2/5  (40%)
Sri</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Tiny  4/5  (80%)
Andreas</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Tiny  1/5  (20%)
Nabila</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Tiny  3/5  (60%)
Nabila</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Tiny  3/5  (60%)
Icis</v>
      </c>
      <c r="AN36" s="30" t="n">
        <f aca="false">IF($A36="","",IFERROR(MATCH($B$4&amp;"|- Lane 2 - "&amp;B$33&amp;"|"&amp;$A36,'Reguler Class Availability'!$L:$L,0),""))</f>
        <v>620</v>
      </c>
      <c r="AO36" s="30" t="n">
        <f aca="false">IF($A36="","",IFERROR(MATCH($B$4&amp;"|- Lane 2 - "&amp;C$33&amp;"|"&amp;$A36,'Reguler Class Availability'!$L:$L,0),""))</f>
        <v>632</v>
      </c>
      <c r="AP36" s="30" t="n">
        <f aca="false">IF($A36="","",IFERROR(MATCH($B$4&amp;"|- Lane 2 - "&amp;D$33&amp;"|"&amp;$A36,'Reguler Class Availability'!$L:$L,0),""))</f>
        <v>644</v>
      </c>
      <c r="AQ36" s="30" t="n">
        <f aca="false">IF($A36="","",IFERROR(MATCH($B$4&amp;"|- Lane 2 - "&amp;E$33&amp;"|"&amp;$A36,'Reguler Class Availability'!$L:$L,0),""))</f>
        <v>656</v>
      </c>
      <c r="AR36" s="30" t="n">
        <f aca="false">IF($A36="","",IFERROR(MATCH($B$4&amp;"|- Lane 2 - "&amp;F$33&amp;"|"&amp;$A36,'Reguler Class Availability'!$L:$L,0),""))</f>
        <v>668</v>
      </c>
      <c r="AS36" s="30" t="n">
        <f aca="false">IF($A36="","",IFERROR(MATCH($B$4&amp;"|- Lane 2 - "&amp;G$33&amp;"|"&amp;$A36,'Reguler Class Availability'!$L:$L,0),""))</f>
        <v>680</v>
      </c>
      <c r="AT36" s="30" t="n">
        <f aca="false">IF($A36="","",IFERROR(MATCH($B$4&amp;"|- Lane 2 - "&amp;H$33&amp;"|"&amp;$A36,'Reguler Class Availability'!$L:$L,0),""))</f>
        <v>692</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Belum terisi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Tinggi</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Sebagian</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Tinggi</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Sebagian</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Tinggi</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Tinggi</v>
      </c>
      <c r="BD36" s="30" t="s">
        <v>145</v>
      </c>
      <c r="BE36" s="30" t="n">
        <f aca="false">IF(COUNTIFS('Reguler Class Availability'!$L:$L,$B$4&amp;"|- Lane 1 - *|"&amp;BD36)&gt;0,1,0)</f>
        <v>0</v>
      </c>
      <c r="BF36" s="30" t="n">
        <f aca="false">BE36+BF35</f>
        <v>9</v>
      </c>
    </row>
    <row r="37" customFormat="false" ht="39.75" hidden="false" customHeight="true" outlineLevel="0" collapsed="false">
      <c r="A37" s="66" t="str">
        <f aca="false">IFERROR(INDEX($BD$62:$BD$121,MATCH(4,$BF$62:$BF$121,0)),"")</f>
        <v>10:15</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Tiny  0/5  (0%)
coach: –</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Tiny  0/5  (0%)
coach: –</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Tiny  4/5  (80%)
Icis</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Tiny  0/5  (0%)
coach: –</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Tiny  3/5  (60%)
Nabila</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Tiny  3/5  (60%)
Eve</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Tiny  2/5  (40%)
Eve</v>
      </c>
      <c r="AN37" s="30" t="n">
        <f aca="false">IF($A37="","",IFERROR(MATCH($B$4&amp;"|- Lane 2 - "&amp;B$33&amp;"|"&amp;$A37,'Reguler Class Availability'!$L:$L,0),""))</f>
        <v>621</v>
      </c>
      <c r="AO37" s="30" t="n">
        <f aca="false">IF($A37="","",IFERROR(MATCH($B$4&amp;"|- Lane 2 - "&amp;C$33&amp;"|"&amp;$A37,'Reguler Class Availability'!$L:$L,0),""))</f>
        <v>633</v>
      </c>
      <c r="AP37" s="30" t="n">
        <f aca="false">IF($A37="","",IFERROR(MATCH($B$4&amp;"|- Lane 2 - "&amp;D$33&amp;"|"&amp;$A37,'Reguler Class Availability'!$L:$L,0),""))</f>
        <v>645</v>
      </c>
      <c r="AQ37" s="30" t="n">
        <f aca="false">IF($A37="","",IFERROR(MATCH($B$4&amp;"|- Lane 2 - "&amp;E$33&amp;"|"&amp;$A37,'Reguler Class Availability'!$L:$L,0),""))</f>
        <v>657</v>
      </c>
      <c r="AR37" s="30" t="n">
        <f aca="false">IF($A37="","",IFERROR(MATCH($B$4&amp;"|- Lane 2 - "&amp;F$33&amp;"|"&amp;$A37,'Reguler Class Availability'!$L:$L,0),""))</f>
        <v>669</v>
      </c>
      <c r="AS37" s="30" t="n">
        <f aca="false">IF($A37="","",IFERROR(MATCH($B$4&amp;"|- Lane 2 - "&amp;G$33&amp;"|"&amp;$A37,'Reguler Class Availability'!$L:$L,0),""))</f>
        <v>681</v>
      </c>
      <c r="AT37" s="30" t="n">
        <f aca="false">IF($A37="","",IFERROR(MATCH($B$4&amp;"|- Lane 2 - "&amp;H$33&amp;"|"&amp;$A37,'Reguler Class Availability'!$L:$L,0),""))</f>
        <v>693</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Belum terisi</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Belum terisi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Tinggi</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Belum terisi</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Tinggi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Tinggi</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Sebagian</v>
      </c>
      <c r="BD37" s="30" t="s">
        <v>146</v>
      </c>
      <c r="BE37" s="30" t="n">
        <f aca="false">IF(COUNTIFS('Reguler Class Availability'!$L:$L,$B$4&amp;"|- Lane 1 - *|"&amp;BD37)&gt;0,1,0)</f>
        <v>1</v>
      </c>
      <c r="BF37" s="30" t="n">
        <f aca="false">BE37+BF36</f>
        <v>10</v>
      </c>
    </row>
    <row r="38" customFormat="false" ht="39.75" hidden="false" customHeight="true" outlineLevel="0" collapsed="false">
      <c r="A38" s="66" t="str">
        <f aca="false">IFERROR(INDEX($BD$62:$BD$121,MATCH(5,$BF$62:$BF$121,0)),"")</f>
        <v>11:00</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Tiny  1/5  (20%)
Deyon</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Tiny  2/5  (40%)
Eve</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Tiny  0/5  (0%)
coach: –</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Tiny  4/5  (80%)
Nabila</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Tiny  1/5  (20%)
Icis</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Tiny  5/5  (100%)
Nabila</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Tiny  3/5  (60%)
Eve</v>
      </c>
      <c r="AN38" s="30" t="n">
        <f aca="false">IF($A38="","",IFERROR(MATCH($B$4&amp;"|- Lane 2 - "&amp;B$33&amp;"|"&amp;$A38,'Reguler Class Availability'!$L:$L,0),""))</f>
        <v>622</v>
      </c>
      <c r="AO38" s="30" t="n">
        <f aca="false">IF($A38="","",IFERROR(MATCH($B$4&amp;"|- Lane 2 - "&amp;C$33&amp;"|"&amp;$A38,'Reguler Class Availability'!$L:$L,0),""))</f>
        <v>634</v>
      </c>
      <c r="AP38" s="30" t="n">
        <f aca="false">IF($A38="","",IFERROR(MATCH($B$4&amp;"|- Lane 2 - "&amp;D$33&amp;"|"&amp;$A38,'Reguler Class Availability'!$L:$L,0),""))</f>
        <v>646</v>
      </c>
      <c r="AQ38" s="30" t="n">
        <f aca="false">IF($A38="","",IFERROR(MATCH($B$4&amp;"|- Lane 2 - "&amp;E$33&amp;"|"&amp;$A38,'Reguler Class Availability'!$L:$L,0),""))</f>
        <v>658</v>
      </c>
      <c r="AR38" s="30" t="n">
        <f aca="false">IF($A38="","",IFERROR(MATCH($B$4&amp;"|- Lane 2 - "&amp;F$33&amp;"|"&amp;$A38,'Reguler Class Availability'!$L:$L,0),""))</f>
        <v>670</v>
      </c>
      <c r="AS38" s="30" t="n">
        <f aca="false">IF($A38="","",IFERROR(MATCH($B$4&amp;"|- Lane 2 - "&amp;G$33&amp;"|"&amp;$A38,'Reguler Class Availability'!$L:$L,0),""))</f>
        <v>682</v>
      </c>
      <c r="AT38" s="30" t="n">
        <f aca="false">IF($A38="","",IFERROR(MATCH($B$4&amp;"|- Lane 2 - "&amp;H$33&amp;"|"&amp;$A38,'Reguler Class Availability'!$L:$L,0),""))</f>
        <v>694</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Sebagian</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Sebagian</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Belum terisi</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Tinggi</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Sebagian</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Penuh</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Tinggi</v>
      </c>
      <c r="BD38" s="30" t="s">
        <v>147</v>
      </c>
      <c r="BE38" s="30" t="n">
        <f aca="false">IF(COUNTIFS('Reguler Class Availability'!$L:$L,$B$4&amp;"|- Lane 1 - *|"&amp;BD38)&gt;0,1,0)</f>
        <v>0</v>
      </c>
      <c r="BF38" s="30" t="n">
        <f aca="false">BE38+BF37</f>
        <v>10</v>
      </c>
    </row>
    <row r="39" customFormat="false" ht="39.75" hidden="false" customHeight="true" outlineLevel="0" collapsed="false">
      <c r="A39" s="66" t="str">
        <f aca="false">IFERROR(INDEX($BD$62:$BD$121,MATCH(6,$BF$62:$BF$121,0)),"")</f>
        <v>11:45</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Tiny  0/0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Tiny  0/0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Tiny  0/0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Tiny  0/0
coach: –</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Tiny  0/0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Tiny  2/5  (40%)
Sri</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Tiny  0/5  (0%)
coach: –</v>
      </c>
      <c r="AN39" s="30" t="n">
        <f aca="false">IF($A39="","",IFERROR(MATCH($B$4&amp;"|- Lane 2 - "&amp;B$33&amp;"|"&amp;$A39,'Reguler Class Availability'!$L:$L,0),""))</f>
        <v>623</v>
      </c>
      <c r="AO39" s="30" t="n">
        <f aca="false">IF($A39="","",IFERROR(MATCH($B$4&amp;"|- Lane 2 - "&amp;C$33&amp;"|"&amp;$A39,'Reguler Class Availability'!$L:$L,0),""))</f>
        <v>635</v>
      </c>
      <c r="AP39" s="30" t="n">
        <f aca="false">IF($A39="","",IFERROR(MATCH($B$4&amp;"|- Lane 2 - "&amp;D$33&amp;"|"&amp;$A39,'Reguler Class Availability'!$L:$L,0),""))</f>
        <v>647</v>
      </c>
      <c r="AQ39" s="30" t="n">
        <f aca="false">IF($A39="","",IFERROR(MATCH($B$4&amp;"|- Lane 2 - "&amp;E$33&amp;"|"&amp;$A39,'Reguler Class Availability'!$L:$L,0),""))</f>
        <v>659</v>
      </c>
      <c r="AR39" s="30" t="n">
        <f aca="false">IF($A39="","",IFERROR(MATCH($B$4&amp;"|- Lane 2 - "&amp;F$33&amp;"|"&amp;$A39,'Reguler Class Availability'!$L:$L,0),""))</f>
        <v>671</v>
      </c>
      <c r="AS39" s="30" t="n">
        <f aca="false">IF($A39="","",IFERROR(MATCH($B$4&amp;"|- Lane 2 - "&amp;G$33&amp;"|"&amp;$A39,'Reguler Class Availability'!$L:$L,0),""))</f>
        <v>683</v>
      </c>
      <c r="AT39" s="30" t="n">
        <f aca="false">IF($A39="","",IFERROR(MATCH($B$4&amp;"|- Lane 2 - "&amp;H$33&amp;"|"&amp;$A39,'Reguler Class Availability'!$L:$L,0),""))</f>
        <v>695</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Tutup</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Tutup</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Tutup</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Tutup</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Tutup</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Sebagian</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Belum terisi</v>
      </c>
      <c r="BD39" s="30" t="s">
        <v>148</v>
      </c>
      <c r="BE39" s="30" t="n">
        <f aca="false">IF(COUNTIFS('Reguler Class Availability'!$L:$L,$B$4&amp;"|- Lane 1 - *|"&amp;BD39)&gt;0,1,0)</f>
        <v>0</v>
      </c>
      <c r="BF39" s="30" t="n">
        <f aca="false">BE39+BF38</f>
        <v>10</v>
      </c>
    </row>
    <row r="40" customFormat="false" ht="39.75" hidden="false" customHeight="true" outlineLevel="0" collapsed="false">
      <c r="A40" s="66" t="str">
        <f aca="false">IFERROR(INDEX($BD$62:$BD$121,MATCH(7,$BF$62:$BF$121,0)),"")</f>
        <v>13:15</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Tiny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Tiny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Tiny  0/5  (0%)
coach: –</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Tiny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Tiny  2/5  (40%)
Deyon</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Tiny  0/5  (0%)
coach: –</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Tiny  0/5  (0%)
 </v>
      </c>
      <c r="AN40" s="30" t="n">
        <f aca="false">IF($A40="","",IFERROR(MATCH($B$4&amp;"|- Lane 2 - "&amp;B$33&amp;"|"&amp;$A40,'Reguler Class Availability'!$L:$L,0),""))</f>
        <v>624</v>
      </c>
      <c r="AO40" s="30" t="n">
        <f aca="false">IF($A40="","",IFERROR(MATCH($B$4&amp;"|- Lane 2 - "&amp;C$33&amp;"|"&amp;$A40,'Reguler Class Availability'!$L:$L,0),""))</f>
        <v>636</v>
      </c>
      <c r="AP40" s="30" t="n">
        <f aca="false">IF($A40="","",IFERROR(MATCH($B$4&amp;"|- Lane 2 - "&amp;D$33&amp;"|"&amp;$A40,'Reguler Class Availability'!$L:$L,0),""))</f>
        <v>648</v>
      </c>
      <c r="AQ40" s="30" t="n">
        <f aca="false">IF($A40="","",IFERROR(MATCH($B$4&amp;"|- Lane 2 - "&amp;E$33&amp;"|"&amp;$A40,'Reguler Class Availability'!$L:$L,0),""))</f>
        <v>660</v>
      </c>
      <c r="AR40" s="30" t="n">
        <f aca="false">IF($A40="","",IFERROR(MATCH($B$4&amp;"|- Lane 2 - "&amp;F$33&amp;"|"&amp;$A40,'Reguler Class Availability'!$L:$L,0),""))</f>
        <v>672</v>
      </c>
      <c r="AS40" s="30" t="n">
        <f aca="false">IF($A40="","",IFERROR(MATCH($B$4&amp;"|- Lane 2 - "&amp;G$33&amp;"|"&amp;$A40,'Reguler Class Availability'!$L:$L,0),""))</f>
        <v>684</v>
      </c>
      <c r="AT40" s="30" t="n">
        <f aca="false">IF($A40="","",IFERROR(MATCH($B$4&amp;"|- Lane 2 - "&amp;H$33&amp;"|"&amp;$A40,'Reguler Class Availability'!$L:$L,0),""))</f>
        <v>696</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Belum terisi</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Sebagian</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Belum terisi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Belum terisi</v>
      </c>
      <c r="BD40" s="30" t="s">
        <v>149</v>
      </c>
      <c r="BE40" s="30" t="n">
        <f aca="false">IF(COUNTIFS('Reguler Class Availability'!$L:$L,$B$4&amp;"|- Lane 1 - *|"&amp;BD40)&gt;0,1,0)</f>
        <v>1</v>
      </c>
      <c r="BF40" s="30" t="n">
        <f aca="false">BE40+BF39</f>
        <v>11</v>
      </c>
    </row>
    <row r="41" customFormat="false" ht="39.75" hidden="false" customHeight="true" outlineLevel="0" collapsed="false">
      <c r="A41" s="66" t="str">
        <f aca="false">IFERROR(INDEX($BD$62:$BD$121,MATCH(8,$BF$62:$BF$121,0)),"")</f>
        <v>14:00</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Tiny  0/5  (0%)
coach: –</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Tiny  0/5  (0%)
coach: –</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Tiny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Tiny  1/5  (20%)
Andreas</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Tiny  0/5  (0%)
coach: –</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Tiny  0/5  (0%)
Eve</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Tiny  0/5  (0%)
coach: –</v>
      </c>
      <c r="AN41" s="30" t="n">
        <f aca="false">IF($A41="","",IFERROR(MATCH($B$4&amp;"|- Lane 2 - "&amp;B$33&amp;"|"&amp;$A41,'Reguler Class Availability'!$L:$L,0),""))</f>
        <v>625</v>
      </c>
      <c r="AO41" s="30" t="n">
        <f aca="false">IF($A41="","",IFERROR(MATCH($B$4&amp;"|- Lane 2 - "&amp;C$33&amp;"|"&amp;$A41,'Reguler Class Availability'!$L:$L,0),""))</f>
        <v>637</v>
      </c>
      <c r="AP41" s="30" t="n">
        <f aca="false">IF($A41="","",IFERROR(MATCH($B$4&amp;"|- Lane 2 - "&amp;D$33&amp;"|"&amp;$A41,'Reguler Class Availability'!$L:$L,0),""))</f>
        <v>649</v>
      </c>
      <c r="AQ41" s="30" t="n">
        <f aca="false">IF($A41="","",IFERROR(MATCH($B$4&amp;"|- Lane 2 - "&amp;E$33&amp;"|"&amp;$A41,'Reguler Class Availability'!$L:$L,0),""))</f>
        <v>661</v>
      </c>
      <c r="AR41" s="30" t="n">
        <f aca="false">IF($A41="","",IFERROR(MATCH($B$4&amp;"|- Lane 2 - "&amp;F$33&amp;"|"&amp;$A41,'Reguler Class Availability'!$L:$L,0),""))</f>
        <v>673</v>
      </c>
      <c r="AS41" s="30" t="n">
        <f aca="false">IF($A41="","",IFERROR(MATCH($B$4&amp;"|- Lane 2 - "&amp;G$33&amp;"|"&amp;$A41,'Reguler Class Availability'!$L:$L,0),""))</f>
        <v>685</v>
      </c>
      <c r="AT41" s="30" t="n">
        <f aca="false">IF($A41="","",IFERROR(MATCH($B$4&amp;"|- Lane 2 - "&amp;H$33&amp;"|"&amp;$A41,'Reguler Class Availability'!$L:$L,0),""))</f>
        <v>697</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Belum terisi</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Belum terisi</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Sebagian</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Belum terisi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Belum terisi</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Belum terisi</v>
      </c>
      <c r="BD41" s="30" t="s">
        <v>150</v>
      </c>
      <c r="BE41" s="30" t="n">
        <f aca="false">IF(COUNTIFS('Reguler Class Availability'!$L:$L,$B$4&amp;"|- Lane 1 - *|"&amp;BD41)&gt;0,1,0)</f>
        <v>0</v>
      </c>
      <c r="BF41" s="30" t="n">
        <f aca="false">BE41+BF40</f>
        <v>11</v>
      </c>
    </row>
    <row r="42" customFormat="false" ht="39.75" hidden="false" customHeight="true" outlineLevel="0" collapsed="false">
      <c r="A42" s="66" t="str">
        <f aca="false">IFERROR(INDEX($BD$62:$BD$121,MATCH(9,$BF$62:$BF$121,0)),"")</f>
        <v>14:45</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Tiny  1/5  (20%)
Eve</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Tiny  0/0
coach: –</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Tiny  0/0
coach: –</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Tiny  0/5  (0%)
coach: –</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Tiny  0/0
coach: –</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Tiny  3/5  (60%)
Deyon</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Tiny  0/5  (0%)
coach: –</v>
      </c>
      <c r="AN42" s="30" t="n">
        <f aca="false">IF($A42="","",IFERROR(MATCH($B$4&amp;"|- Lane 2 - "&amp;B$33&amp;"|"&amp;$A42,'Reguler Class Availability'!$L:$L,0),""))</f>
        <v>626</v>
      </c>
      <c r="AO42" s="30" t="n">
        <f aca="false">IF($A42="","",IFERROR(MATCH($B$4&amp;"|- Lane 2 - "&amp;C$33&amp;"|"&amp;$A42,'Reguler Class Availability'!$L:$L,0),""))</f>
        <v>638</v>
      </c>
      <c r="AP42" s="30" t="n">
        <f aca="false">IF($A42="","",IFERROR(MATCH($B$4&amp;"|- Lane 2 - "&amp;D$33&amp;"|"&amp;$A42,'Reguler Class Availability'!$L:$L,0),""))</f>
        <v>650</v>
      </c>
      <c r="AQ42" s="30" t="n">
        <f aca="false">IF($A42="","",IFERROR(MATCH($B$4&amp;"|- Lane 2 - "&amp;E$33&amp;"|"&amp;$A42,'Reguler Class Availability'!$L:$L,0),""))</f>
        <v>662</v>
      </c>
      <c r="AR42" s="30" t="n">
        <f aca="false">IF($A42="","",IFERROR(MATCH($B$4&amp;"|- Lane 2 - "&amp;F$33&amp;"|"&amp;$A42,'Reguler Class Availability'!$L:$L,0),""))</f>
        <v>674</v>
      </c>
      <c r="AS42" s="30" t="n">
        <f aca="false">IF($A42="","",IFERROR(MATCH($B$4&amp;"|- Lane 2 - "&amp;G$33&amp;"|"&amp;$A42,'Reguler Class Availability'!$L:$L,0),""))</f>
        <v>686</v>
      </c>
      <c r="AT42" s="30" t="n">
        <f aca="false">IF($A42="","",IFERROR(MATCH($B$4&amp;"|- Lane 2 - "&amp;H$33&amp;"|"&amp;$A42,'Reguler Class Availability'!$L:$L,0),""))</f>
        <v>698</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Sebagian</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Tutup</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Tutup</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Belum terisi</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Tutup</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Tinggi</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Belum terisi</v>
      </c>
      <c r="BD42" s="30" t="s">
        <v>151</v>
      </c>
      <c r="BE42" s="30" t="n">
        <f aca="false">IF(COUNTIFS('Reguler Class Availability'!$L:$L,$B$4&amp;"|- Lane 1 - *|"&amp;BD42)&gt;0,1,0)</f>
        <v>0</v>
      </c>
      <c r="BF42" s="30" t="n">
        <f aca="false">BE42+BF41</f>
        <v>11</v>
      </c>
    </row>
    <row r="43" customFormat="false" ht="39.75" hidden="false" customHeight="true" outlineLevel="0" collapsed="false">
      <c r="A43" s="66" t="str">
        <f aca="false">IFERROR(INDEX($BD$62:$BD$121,MATCH(10,$BF$62:$BF$121,0)),"")</f>
        <v>15:30</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Tiny  0/0
coach: –</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Tiny  0/0
coach: –</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Tiny  4/5  (80%)
Nabila</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Tiny  0/5  (0%)
coach: –</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Tiny  0/0
coach: –</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Tiny  2/5  (40%)
Andreas</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Tiny  4/5  (80%)
Sri</v>
      </c>
      <c r="AN43" s="30" t="n">
        <f aca="false">IF($A43="","",IFERROR(MATCH($B$4&amp;"|- Lane 2 - "&amp;B$33&amp;"|"&amp;$A43,'Reguler Class Availability'!$L:$L,0),""))</f>
        <v>627</v>
      </c>
      <c r="AO43" s="30" t="n">
        <f aca="false">IF($A43="","",IFERROR(MATCH($B$4&amp;"|- Lane 2 - "&amp;C$33&amp;"|"&amp;$A43,'Reguler Class Availability'!$L:$L,0),""))</f>
        <v>639</v>
      </c>
      <c r="AP43" s="30" t="n">
        <f aca="false">IF($A43="","",IFERROR(MATCH($B$4&amp;"|- Lane 2 - "&amp;D$33&amp;"|"&amp;$A43,'Reguler Class Availability'!$L:$L,0),""))</f>
        <v>651</v>
      </c>
      <c r="AQ43" s="30" t="n">
        <f aca="false">IF($A43="","",IFERROR(MATCH($B$4&amp;"|- Lane 2 - "&amp;E$33&amp;"|"&amp;$A43,'Reguler Class Availability'!$L:$L,0),""))</f>
        <v>663</v>
      </c>
      <c r="AR43" s="30" t="n">
        <f aca="false">IF($A43="","",IFERROR(MATCH($B$4&amp;"|- Lane 2 - "&amp;F$33&amp;"|"&amp;$A43,'Reguler Class Availability'!$L:$L,0),""))</f>
        <v>675</v>
      </c>
      <c r="AS43" s="30" t="n">
        <f aca="false">IF($A43="","",IFERROR(MATCH($B$4&amp;"|- Lane 2 - "&amp;G$33&amp;"|"&amp;$A43,'Reguler Class Availability'!$L:$L,0),""))</f>
        <v>687</v>
      </c>
      <c r="AT43" s="30" t="n">
        <f aca="false">IF($A43="","",IFERROR(MATCH($B$4&amp;"|- Lane 2 - "&amp;H$33&amp;"|"&amp;$A43,'Reguler Class Availability'!$L:$L,0),""))</f>
        <v>699</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Tutup</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Tutup</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Tinggi</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Belum terisi</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Tutup</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Sebagian</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Tinggi</v>
      </c>
      <c r="BD43" s="30" t="s">
        <v>152</v>
      </c>
      <c r="BE43" s="30" t="n">
        <f aca="false">IF(COUNTIFS('Reguler Class Availability'!$L:$L,$B$4&amp;"|- Lane 1 - *|"&amp;BD43)&gt;0,1,0)</f>
        <v>1</v>
      </c>
      <c r="BF43" s="30" t="n">
        <f aca="false">BE43+BF42</f>
        <v>12</v>
      </c>
    </row>
    <row r="44" customFormat="false" ht="39.75" hidden="false" customHeight="true" outlineLevel="0" collapsed="false">
      <c r="A44" s="66" t="str">
        <f aca="false">IFERROR(INDEX($BD$62:$BD$121,MATCH(11,$BF$62:$BF$121,0)),"")</f>
        <v>16:15</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Tiny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Tiny  0/5  (0%)
coach: –</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Tiny  0/5  (0%)
coach: –</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Tiny  0/5  (0%)
coach: –</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Tiny  2/5  (40%)
Andreas</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Tiny  3/5  (60%)
Icis</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Tiny  3/5  (60%)
Deyon</v>
      </c>
      <c r="AN44" s="30" t="n">
        <f aca="false">IF($A44="","",IFERROR(MATCH($B$4&amp;"|- Lane 2 - "&amp;B$33&amp;"|"&amp;$A44,'Reguler Class Availability'!$L:$L,0),""))</f>
        <v>628</v>
      </c>
      <c r="AO44" s="30" t="n">
        <f aca="false">IF($A44="","",IFERROR(MATCH($B$4&amp;"|- Lane 2 - "&amp;C$33&amp;"|"&amp;$A44,'Reguler Class Availability'!$L:$L,0),""))</f>
        <v>640</v>
      </c>
      <c r="AP44" s="30" t="n">
        <f aca="false">IF($A44="","",IFERROR(MATCH($B$4&amp;"|- Lane 2 - "&amp;D$33&amp;"|"&amp;$A44,'Reguler Class Availability'!$L:$L,0),""))</f>
        <v>652</v>
      </c>
      <c r="AQ44" s="30" t="n">
        <f aca="false">IF($A44="","",IFERROR(MATCH($B$4&amp;"|- Lane 2 - "&amp;E$33&amp;"|"&amp;$A44,'Reguler Class Availability'!$L:$L,0),""))</f>
        <v>664</v>
      </c>
      <c r="AR44" s="30" t="n">
        <f aca="false">IF($A44="","",IFERROR(MATCH($B$4&amp;"|- Lane 2 - "&amp;F$33&amp;"|"&amp;$A44,'Reguler Class Availability'!$L:$L,0),""))</f>
        <v>676</v>
      </c>
      <c r="AS44" s="30" t="n">
        <f aca="false">IF($A44="","",IFERROR(MATCH($B$4&amp;"|- Lane 2 - "&amp;G$33&amp;"|"&amp;$A44,'Reguler Class Availability'!$L:$L,0),""))</f>
        <v>688</v>
      </c>
      <c r="AT44" s="30" t="n">
        <f aca="false">IF($A44="","",IFERROR(MATCH($B$4&amp;"|- Lane 2 - "&amp;H$33&amp;"|"&amp;$A44,'Reguler Class Availability'!$L:$L,0),""))</f>
        <v>700</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Belum terisi</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Belum terisi</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Belum terisi</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Belum terisi</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Sebagian</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Tinggi</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Tinggi</v>
      </c>
      <c r="BD44" s="30" t="s">
        <v>153</v>
      </c>
      <c r="BE44" s="30" t="n">
        <f aca="false">IF(COUNTIFS('Reguler Class Availability'!$L:$L,$B$4&amp;"|- Lane 1 - *|"&amp;BD44)&gt;0,1,0)</f>
        <v>0</v>
      </c>
      <c r="BF44" s="30" t="n">
        <f aca="false">BE44+BF43</f>
        <v>12</v>
      </c>
    </row>
    <row r="45" customFormat="false" ht="39.75" hidden="false" customHeight="true" outlineLevel="0" collapsed="false">
      <c r="A45" s="66" t="str">
        <f aca="false">IFERROR(INDEX($BD$62:$BD$121,MATCH(12,$BF$62:$BF$121,0)),"")</f>
        <v>17:00</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Tiny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Tiny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Tiny  3/5  (60%)
Sri</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Tiny  2/5  (40%)
Andreas</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Tiny  4/5  (80%)
Andreas</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Tiny  2/5  (40%)
Nabila</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Tiny  0/5  (0%)
 </v>
      </c>
      <c r="AN45" s="30" t="n">
        <f aca="false">IF($A45="","",IFERROR(MATCH($B$4&amp;"|- Lane 2 - "&amp;B$33&amp;"|"&amp;$A45,'Reguler Class Availability'!$L:$L,0),""))</f>
        <v>629</v>
      </c>
      <c r="AO45" s="30" t="n">
        <f aca="false">IF($A45="","",IFERROR(MATCH($B$4&amp;"|- Lane 2 - "&amp;C$33&amp;"|"&amp;$A45,'Reguler Class Availability'!$L:$L,0),""))</f>
        <v>641</v>
      </c>
      <c r="AP45" s="30" t="n">
        <f aca="false">IF($A45="","",IFERROR(MATCH($B$4&amp;"|- Lane 2 - "&amp;D$33&amp;"|"&amp;$A45,'Reguler Class Availability'!$L:$L,0),""))</f>
        <v>653</v>
      </c>
      <c r="AQ45" s="30" t="n">
        <f aca="false">IF($A45="","",IFERROR(MATCH($B$4&amp;"|- Lane 2 - "&amp;E$33&amp;"|"&amp;$A45,'Reguler Class Availability'!$L:$L,0),""))</f>
        <v>665</v>
      </c>
      <c r="AR45" s="30" t="n">
        <f aca="false">IF($A45="","",IFERROR(MATCH($B$4&amp;"|- Lane 2 - "&amp;F$33&amp;"|"&amp;$A45,'Reguler Class Availability'!$L:$L,0),""))</f>
        <v>677</v>
      </c>
      <c r="AS45" s="30" t="n">
        <f aca="false">IF($A45="","",IFERROR(MATCH($B$4&amp;"|- Lane 2 - "&amp;G$33&amp;"|"&amp;$A45,'Reguler Class Availability'!$L:$L,0),""))</f>
        <v>689</v>
      </c>
      <c r="AT45" s="30" t="n">
        <f aca="false">IF($A45="","",IFERROR(MATCH($B$4&amp;"|- Lane 2 - "&amp;H$33&amp;"|"&amp;$A45,'Reguler Class Availability'!$L:$L,0),""))</f>
        <v>701</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Belum terisi</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Belum terisi</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Tinggi</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Sebagian</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Tinggi</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Sebagian</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Belum terisi</v>
      </c>
      <c r="BD45" s="30" t="s">
        <v>154</v>
      </c>
      <c r="BE45" s="30" t="n">
        <f aca="false">IF(COUNTIFS('Reguler Class Availability'!$L:$L,$B$4&amp;"|- Lane 1 - *|"&amp;BD45)&gt;0,1,0)</f>
        <v>0</v>
      </c>
      <c r="BF45" s="30" t="n">
        <f aca="false">BE45+BF44</f>
        <v>12</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1</v>
      </c>
      <c r="BF46" s="30" t="n">
        <f aca="false">BE46+BF45</f>
        <v>13</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0</v>
      </c>
      <c r="BF47" s="30" t="n">
        <f aca="false">BE47+BF46</f>
        <v>13</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9%</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13%</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29%</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22%</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33%</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49%</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36%</v>
      </c>
      <c r="BD48" s="30" t="s">
        <v>157</v>
      </c>
      <c r="BE48" s="30" t="n">
        <f aca="false">IF(COUNTIFS('Reguler Class Availability'!$L:$L,$B$4&amp;"|- Lane 1 - *|"&amp;BD48)&gt;0,1,0)</f>
        <v>0</v>
      </c>
      <c r="BF48" s="30" t="n">
        <f aca="false">BE48+BF47</f>
        <v>13</v>
      </c>
    </row>
    <row r="49" customFormat="false" ht="15" hidden="false" customHeight="false" outlineLevel="0" collapsed="false">
      <c r="BD49" s="0" t="s">
        <v>158</v>
      </c>
      <c r="BE49" s="0" t="n">
        <f aca="false">IF(COUNTIFS('Reguler Class Availability'!$L:$L,$B$4&amp;"|- Lane 1 - *|"&amp;BD49)&gt;0,1,0)</f>
        <v>0</v>
      </c>
      <c r="BF49" s="0" t="n">
        <f aca="false">BE49+BF48</f>
        <v>13</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63%   ·   Belum terisi: 15   ·   Slot kosong: 0</v>
      </c>
      <c r="D50" s="62"/>
      <c r="E50" s="62"/>
      <c r="F50" s="62"/>
      <c r="G50" s="62"/>
      <c r="H50" s="62"/>
      <c r="BD50" s="30" t="s">
        <v>160</v>
      </c>
      <c r="BE50" s="30" t="n">
        <f aca="false">IF(COUNTIFS('Reguler Class Availability'!$L:$L,$B$4&amp;"|- Lane 1 - *|"&amp;BD50)&gt;0,1,0)</f>
        <v>1</v>
      </c>
      <c r="BF50" s="30" t="n">
        <f aca="false">BE50+BF49</f>
        <v>14</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14</v>
      </c>
    </row>
    <row r="52" customFormat="false" ht="39.75" hidden="false" customHeight="true" outlineLevel="0" collapsed="false">
      <c r="A52" s="66" t="str">
        <f aca="false">IFERROR(INDEX($BD$122:$BD$181,MATCH(1,$BF$122:$BF$181,0)),"")</f>
        <v>08:15</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Little  0/0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Little  0/0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Little  0/0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Little  0/0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Little  0/0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Little  0/0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Little  0/0
coach: –</v>
      </c>
      <c r="AN52" s="30" t="n">
        <f aca="false">IF($A52="","",IFERROR(MATCH($B$4&amp;"|- Lane 3 - "&amp;B$51&amp;"|"&amp;$A52,'Reguler Class Availability'!$L:$L,0),""))</f>
        <v>702</v>
      </c>
      <c r="AO52" s="30" t="n">
        <f aca="false">IF($A52="","",IFERROR(MATCH($B$4&amp;"|- Lane 3 - "&amp;C$51&amp;"|"&amp;$A52,'Reguler Class Availability'!$L:$L,0),""))</f>
        <v>714</v>
      </c>
      <c r="AP52" s="30" t="n">
        <f aca="false">IF($A52="","",IFERROR(MATCH($B$4&amp;"|- Lane 3 - "&amp;D$51&amp;"|"&amp;$A52,'Reguler Class Availability'!$L:$L,0),""))</f>
        <v>726</v>
      </c>
      <c r="AQ52" s="30" t="n">
        <f aca="false">IF($A52="","",IFERROR(MATCH($B$4&amp;"|- Lane 3 - "&amp;E$51&amp;"|"&amp;$A52,'Reguler Class Availability'!$L:$L,0),""))</f>
        <v>738</v>
      </c>
      <c r="AR52" s="30" t="n">
        <f aca="false">IF($A52="","",IFERROR(MATCH($B$4&amp;"|- Lane 3 - "&amp;F$51&amp;"|"&amp;$A52,'Reguler Class Availability'!$L:$L,0),""))</f>
        <v>750</v>
      </c>
      <c r="AS52" s="30" t="n">
        <f aca="false">IF($A52="","",IFERROR(MATCH($B$4&amp;"|- Lane 3 - "&amp;G$51&amp;"|"&amp;$A52,'Reguler Class Availability'!$L:$L,0),""))</f>
        <v>762</v>
      </c>
      <c r="AT52" s="30" t="n">
        <f aca="false">IF($A52="","",IFERROR(MATCH($B$4&amp;"|- Lane 3 - "&amp;H$51&amp;"|"&amp;$A52,'Reguler Class Availability'!$L:$L,0),""))</f>
        <v>774</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Tutup</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Tutup</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Tutup</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Tutup</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Tutup</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Tutup</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Tutup</v>
      </c>
      <c r="BD52" s="30" t="s">
        <v>162</v>
      </c>
      <c r="BE52" s="30" t="n">
        <f aca="false">IF(COUNTIFS('Reguler Class Availability'!$L:$L,$B$4&amp;"|- Lane 1 - *|"&amp;BD52)&gt;0,1,0)</f>
        <v>0</v>
      </c>
      <c r="BF52" s="30" t="n">
        <f aca="false">BE52+BF51</f>
        <v>14</v>
      </c>
    </row>
    <row r="53" customFormat="false" ht="39.75" hidden="false" customHeight="true" outlineLevel="0" collapsed="false">
      <c r="A53" s="66" t="str">
        <f aca="false">IFERROR(INDEX($BD$122:$BD$181,MATCH(2,$BF$122:$BF$181,0)),"")</f>
        <v>09:00</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Little  0/4  (0%)
coach: –</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Little  0/4  (0%)
coach: –</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Little  2/4  (50%)
Eriek</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Little  0/4  (0%)
coach: –</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Little  0/4  (0%)
coach: –</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Little  4/4  (100%)
Deyon</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Little  4/4  (100%)
Deyon</v>
      </c>
      <c r="AN53" s="30" t="n">
        <f aca="false">IF($A53="","",IFERROR(MATCH($B$4&amp;"|- Lane 3 - "&amp;B$51&amp;"|"&amp;$A53,'Reguler Class Availability'!$L:$L,0),""))</f>
        <v>703</v>
      </c>
      <c r="AO53" s="30" t="n">
        <f aca="false">IF($A53="","",IFERROR(MATCH($B$4&amp;"|- Lane 3 - "&amp;C$51&amp;"|"&amp;$A53,'Reguler Class Availability'!$L:$L,0),""))</f>
        <v>715</v>
      </c>
      <c r="AP53" s="30" t="n">
        <f aca="false">IF($A53="","",IFERROR(MATCH($B$4&amp;"|- Lane 3 - "&amp;D$51&amp;"|"&amp;$A53,'Reguler Class Availability'!$L:$L,0),""))</f>
        <v>727</v>
      </c>
      <c r="AQ53" s="30" t="n">
        <f aca="false">IF($A53="","",IFERROR(MATCH($B$4&amp;"|- Lane 3 - "&amp;E$51&amp;"|"&amp;$A53,'Reguler Class Availability'!$L:$L,0),""))</f>
        <v>739</v>
      </c>
      <c r="AR53" s="30" t="n">
        <f aca="false">IF($A53="","",IFERROR(MATCH($B$4&amp;"|- Lane 3 - "&amp;F$51&amp;"|"&amp;$A53,'Reguler Class Availability'!$L:$L,0),""))</f>
        <v>751</v>
      </c>
      <c r="AS53" s="30" t="n">
        <f aca="false">IF($A53="","",IFERROR(MATCH($B$4&amp;"|- Lane 3 - "&amp;G$51&amp;"|"&amp;$A53,'Reguler Class Availability'!$L:$L,0),""))</f>
        <v>763</v>
      </c>
      <c r="AT53" s="30" t="n">
        <f aca="false">IF($A53="","",IFERROR(MATCH($B$4&amp;"|- Lane 3 - "&amp;H$51&amp;"|"&amp;$A53,'Reguler Class Availability'!$L:$L,0),""))</f>
        <v>775</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Belum terisi</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Belum terisi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Sebagian</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Belum terisi</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Belum terisi</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Penuh</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Penuh</v>
      </c>
      <c r="BD53" s="30" t="s">
        <v>163</v>
      </c>
      <c r="BE53" s="30" t="n">
        <f aca="false">IF(COUNTIFS('Reguler Class Availability'!$L:$L,$B$4&amp;"|- Lane 1 - *|"&amp;BD53)&gt;0,1,0)</f>
        <v>0</v>
      </c>
      <c r="BF53" s="30" t="n">
        <f aca="false">BE53+BF52</f>
        <v>14</v>
      </c>
    </row>
    <row r="54" customFormat="false" ht="39.75" hidden="false" customHeight="true" outlineLevel="0" collapsed="false">
      <c r="A54" s="66" t="str">
        <f aca="false">IFERROR(INDEX($BD$122:$BD$181,MATCH(3,$BF$122:$BF$181,0)),"")</f>
        <v>09:45</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Little  0/4  (0%)
coach: –</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Little  2/4  (50%)
Sri</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Little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Little  2/4  (50%)
Nabila</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Little  3/4  (75%)
Deyon</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Little  4/4  (100%)
Deyon</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Little  4/4  (100%)
Sri</v>
      </c>
      <c r="AN54" s="30" t="n">
        <f aca="false">IF($A54="","",IFERROR(MATCH($B$4&amp;"|- Lane 3 - "&amp;B$51&amp;"|"&amp;$A54,'Reguler Class Availability'!$L:$L,0),""))</f>
        <v>704</v>
      </c>
      <c r="AO54" s="30" t="n">
        <f aca="false">IF($A54="","",IFERROR(MATCH($B$4&amp;"|- Lane 3 - "&amp;C$51&amp;"|"&amp;$A54,'Reguler Class Availability'!$L:$L,0),""))</f>
        <v>716</v>
      </c>
      <c r="AP54" s="30" t="n">
        <f aca="false">IF($A54="","",IFERROR(MATCH($B$4&amp;"|- Lane 3 - "&amp;D$51&amp;"|"&amp;$A54,'Reguler Class Availability'!$L:$L,0),""))</f>
        <v>728</v>
      </c>
      <c r="AQ54" s="30" t="n">
        <f aca="false">IF($A54="","",IFERROR(MATCH($B$4&amp;"|- Lane 3 - "&amp;E$51&amp;"|"&amp;$A54,'Reguler Class Availability'!$L:$L,0),""))</f>
        <v>740</v>
      </c>
      <c r="AR54" s="30" t="n">
        <f aca="false">IF($A54="","",IFERROR(MATCH($B$4&amp;"|- Lane 3 - "&amp;F$51&amp;"|"&amp;$A54,'Reguler Class Availability'!$L:$L,0),""))</f>
        <v>752</v>
      </c>
      <c r="AS54" s="30" t="n">
        <f aca="false">IF($A54="","",IFERROR(MATCH($B$4&amp;"|- Lane 3 - "&amp;G$51&amp;"|"&amp;$A54,'Reguler Class Availability'!$L:$L,0),""))</f>
        <v>764</v>
      </c>
      <c r="AT54" s="30" t="n">
        <f aca="false">IF($A54="","",IFERROR(MATCH($B$4&amp;"|- Lane 3 - "&amp;H$51&amp;"|"&amp;$A54,'Reguler Class Availability'!$L:$L,0),""))</f>
        <v>776</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Belum terisi</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Sebagian</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Sebagian</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Tinggi</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Penuh</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Penuh</v>
      </c>
      <c r="BD54" s="30" t="s">
        <v>164</v>
      </c>
      <c r="BE54" s="30" t="n">
        <f aca="false">IF(COUNTIFS('Reguler Class Availability'!$L:$L,$B$4&amp;"|- Lane 1 - *|"&amp;BD54)&gt;0,1,0)</f>
        <v>0</v>
      </c>
      <c r="BF54" s="30" t="n">
        <f aca="false">BE54+BF53</f>
        <v>14</v>
      </c>
    </row>
    <row r="55" customFormat="false" ht="39.75" hidden="false" customHeight="true" outlineLevel="0" collapsed="false">
      <c r="A55" s="66" t="str">
        <f aca="false">IFERROR(INDEX($BD$122:$BD$181,MATCH(4,$BF$122:$BF$181,0)),"")</f>
        <v>10:30</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Little  0/4  (0%)
coach: –</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Little  3/4  (75%)
Sri</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Little  0/4  (0%)
coach: –</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Little  0/4  (0%)
coach: –</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Little  0/4  (0%)
coach: –</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Little  4/4  (100%)
Icis</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Little  4/4  (100%)
Sri</v>
      </c>
      <c r="AN55" s="30" t="n">
        <f aca="false">IF($A55="","",IFERROR(MATCH($B$4&amp;"|- Lane 3 - "&amp;B$51&amp;"|"&amp;$A55,'Reguler Class Availability'!$L:$L,0),""))</f>
        <v>705</v>
      </c>
      <c r="AO55" s="30" t="n">
        <f aca="false">IF($A55="","",IFERROR(MATCH($B$4&amp;"|- Lane 3 - "&amp;C$51&amp;"|"&amp;$A55,'Reguler Class Availability'!$L:$L,0),""))</f>
        <v>717</v>
      </c>
      <c r="AP55" s="30" t="n">
        <f aca="false">IF($A55="","",IFERROR(MATCH($B$4&amp;"|- Lane 3 - "&amp;D$51&amp;"|"&amp;$A55,'Reguler Class Availability'!$L:$L,0),""))</f>
        <v>729</v>
      </c>
      <c r="AQ55" s="30" t="n">
        <f aca="false">IF($A55="","",IFERROR(MATCH($B$4&amp;"|- Lane 3 - "&amp;E$51&amp;"|"&amp;$A55,'Reguler Class Availability'!$L:$L,0),""))</f>
        <v>741</v>
      </c>
      <c r="AR55" s="30" t="n">
        <f aca="false">IF($A55="","",IFERROR(MATCH($B$4&amp;"|- Lane 3 - "&amp;F$51&amp;"|"&amp;$A55,'Reguler Class Availability'!$L:$L,0),""))</f>
        <v>753</v>
      </c>
      <c r="AS55" s="30" t="n">
        <f aca="false">IF($A55="","",IFERROR(MATCH($B$4&amp;"|- Lane 3 - "&amp;G$51&amp;"|"&amp;$A55,'Reguler Class Availability'!$L:$L,0),""))</f>
        <v>765</v>
      </c>
      <c r="AT55" s="30" t="n">
        <f aca="false">IF($A55="","",IFERROR(MATCH($B$4&amp;"|- Lane 3 - "&amp;H$51&amp;"|"&amp;$A55,'Reguler Class Availability'!$L:$L,0),""))</f>
        <v>777</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Belum terisi</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Tinggi</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Belum terisi</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Belum terisi</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Belum terisi</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Penuh</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Penuh</v>
      </c>
      <c r="BD55" s="30" t="s">
        <v>165</v>
      </c>
      <c r="BE55" s="30" t="n">
        <f aca="false">IF(COUNTIFS('Reguler Class Availability'!$L:$L,$B$4&amp;"|- Lane 1 - *|"&amp;BD55)&gt;0,1,0)</f>
        <v>0</v>
      </c>
      <c r="BF55" s="30" t="n">
        <f aca="false">BE55+BF54</f>
        <v>14</v>
      </c>
    </row>
    <row r="56" customFormat="false" ht="39.75" hidden="false" customHeight="true" outlineLevel="0" collapsed="false">
      <c r="A56" s="66" t="str">
        <f aca="false">IFERROR(INDEX($BD$122:$BD$181,MATCH(5,$BF$122:$BF$181,0)),"")</f>
        <v>11:15</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Little  4/4  (100%)
Sri</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Little  3/4  (75%)
Frido</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Little  4/4  (100%)
Icis</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Little  2/4  (50%)
Icis</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Little  0/4  (0%)
coach: –</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Little  2/2  (100%)
Faris</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Little  3/4  (75%)
Deyon</v>
      </c>
      <c r="AN56" s="30" t="n">
        <f aca="false">IF($A56="","",IFERROR(MATCH($B$4&amp;"|- Lane 3 - "&amp;B$51&amp;"|"&amp;$A56,'Reguler Class Availability'!$L:$L,0),""))</f>
        <v>706</v>
      </c>
      <c r="AO56" s="30" t="n">
        <f aca="false">IF($A56="","",IFERROR(MATCH($B$4&amp;"|- Lane 3 - "&amp;C$51&amp;"|"&amp;$A56,'Reguler Class Availability'!$L:$L,0),""))</f>
        <v>718</v>
      </c>
      <c r="AP56" s="30" t="n">
        <f aca="false">IF($A56="","",IFERROR(MATCH($B$4&amp;"|- Lane 3 - "&amp;D$51&amp;"|"&amp;$A56,'Reguler Class Availability'!$L:$L,0),""))</f>
        <v>730</v>
      </c>
      <c r="AQ56" s="30" t="n">
        <f aca="false">IF($A56="","",IFERROR(MATCH($B$4&amp;"|- Lane 3 - "&amp;E$51&amp;"|"&amp;$A56,'Reguler Class Availability'!$L:$L,0),""))</f>
        <v>742</v>
      </c>
      <c r="AR56" s="30" t="n">
        <f aca="false">IF($A56="","",IFERROR(MATCH($B$4&amp;"|- Lane 3 - "&amp;F$51&amp;"|"&amp;$A56,'Reguler Class Availability'!$L:$L,0),""))</f>
        <v>754</v>
      </c>
      <c r="AS56" s="30" t="n">
        <f aca="false">IF($A56="","",IFERROR(MATCH($B$4&amp;"|- Lane 3 - "&amp;G$51&amp;"|"&amp;$A56,'Reguler Class Availability'!$L:$L,0),""))</f>
        <v>766</v>
      </c>
      <c r="AT56" s="30" t="n">
        <f aca="false">IF($A56="","",IFERROR(MATCH($B$4&amp;"|- Lane 3 - "&amp;H$51&amp;"|"&amp;$A56,'Reguler Class Availability'!$L:$L,0),""))</f>
        <v>778</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Penuh</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Tinggi</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Penuh</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Sebagian</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Belum terisi</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Penuh</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Tinggi</v>
      </c>
      <c r="BD56" s="30" t="s">
        <v>166</v>
      </c>
      <c r="BE56" s="30" t="n">
        <f aca="false">IF(COUNTIFS('Reguler Class Availability'!$L:$L,$B$4&amp;"|- Lane 1 - *|"&amp;BD56)&gt;0,1,0)</f>
        <v>0</v>
      </c>
      <c r="BF56" s="30" t="n">
        <f aca="false">BE56+BF55</f>
        <v>14</v>
      </c>
    </row>
    <row r="57" customFormat="false" ht="39.75" hidden="false" customHeight="true" outlineLevel="0" collapsed="false">
      <c r="A57" s="66" t="str">
        <f aca="false">IFERROR(INDEX($BD$122:$BD$181,MATCH(6,$BF$122:$BF$181,0)),"")</f>
        <v>12:00</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Little  0/0
coach: –</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Little  0/0
 </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Little  0/0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Little  0/0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Little  0/0
coach: –</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Little  4/4  (100%)
Deyon</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Little  4/4  (100%)
Icis</v>
      </c>
      <c r="AN57" s="30" t="n">
        <f aca="false">IF($A57="","",IFERROR(MATCH($B$4&amp;"|- Lane 3 - "&amp;B$51&amp;"|"&amp;$A57,'Reguler Class Availability'!$L:$L,0),""))</f>
        <v>707</v>
      </c>
      <c r="AO57" s="30" t="n">
        <f aca="false">IF($A57="","",IFERROR(MATCH($B$4&amp;"|- Lane 3 - "&amp;C$51&amp;"|"&amp;$A57,'Reguler Class Availability'!$L:$L,0),""))</f>
        <v>719</v>
      </c>
      <c r="AP57" s="30" t="n">
        <f aca="false">IF($A57="","",IFERROR(MATCH($B$4&amp;"|- Lane 3 - "&amp;D$51&amp;"|"&amp;$A57,'Reguler Class Availability'!$L:$L,0),""))</f>
        <v>731</v>
      </c>
      <c r="AQ57" s="30" t="n">
        <f aca="false">IF($A57="","",IFERROR(MATCH($B$4&amp;"|- Lane 3 - "&amp;E$51&amp;"|"&amp;$A57,'Reguler Class Availability'!$L:$L,0),""))</f>
        <v>743</v>
      </c>
      <c r="AR57" s="30" t="n">
        <f aca="false">IF($A57="","",IFERROR(MATCH($B$4&amp;"|- Lane 3 - "&amp;F$51&amp;"|"&amp;$A57,'Reguler Class Availability'!$L:$L,0),""))</f>
        <v>755</v>
      </c>
      <c r="AS57" s="30" t="n">
        <f aca="false">IF($A57="","",IFERROR(MATCH($B$4&amp;"|- Lane 3 - "&amp;G$51&amp;"|"&amp;$A57,'Reguler Class Availability'!$L:$L,0),""))</f>
        <v>767</v>
      </c>
      <c r="AT57" s="30" t="n">
        <f aca="false">IF($A57="","",IFERROR(MATCH($B$4&amp;"|- Lane 3 - "&amp;H$51&amp;"|"&amp;$A57,'Reguler Class Availability'!$L:$L,0),""))</f>
        <v>779</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Tutup</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Tutup</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Tutup</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Tutup</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Tutup</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Penuh</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Penuh</v>
      </c>
      <c r="BD57" s="30" t="s">
        <v>167</v>
      </c>
      <c r="BE57" s="30" t="n">
        <f aca="false">IF(COUNTIFS('Reguler Class Availability'!$L:$L,$B$4&amp;"|- Lane 1 - *|"&amp;BD57)&gt;0,1,0)</f>
        <v>0</v>
      </c>
      <c r="BF57" s="30" t="n">
        <f aca="false">BE57+BF56</f>
        <v>14</v>
      </c>
    </row>
    <row r="58" customFormat="false" ht="39.75" hidden="false" customHeight="true" outlineLevel="0" collapsed="false">
      <c r="A58" s="66" t="str">
        <f aca="false">IFERROR(INDEX($BD$122:$BD$181,MATCH(7,$BF$122:$BF$181,0)),"")</f>
        <v>13:30</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Little  0/4  (0%)
coach: –</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Little  4/4  (100%)
Sri</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Little  1/4  (25%)
Andreas</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Little  0/4  (0%)
coach: –</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Little  3/4  (75%)
Icis</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Little  1/4  (25%)
Icis</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Little  1/4  (25%)
Ziran</v>
      </c>
      <c r="AN58" s="30" t="n">
        <f aca="false">IF($A58="","",IFERROR(MATCH($B$4&amp;"|- Lane 3 - "&amp;B$51&amp;"|"&amp;$A58,'Reguler Class Availability'!$L:$L,0),""))</f>
        <v>708</v>
      </c>
      <c r="AO58" s="30" t="n">
        <f aca="false">IF($A58="","",IFERROR(MATCH($B$4&amp;"|- Lane 3 - "&amp;C$51&amp;"|"&amp;$A58,'Reguler Class Availability'!$L:$L,0),""))</f>
        <v>720</v>
      </c>
      <c r="AP58" s="30" t="n">
        <f aca="false">IF($A58="","",IFERROR(MATCH($B$4&amp;"|- Lane 3 - "&amp;D$51&amp;"|"&amp;$A58,'Reguler Class Availability'!$L:$L,0),""))</f>
        <v>732</v>
      </c>
      <c r="AQ58" s="30" t="n">
        <f aca="false">IF($A58="","",IFERROR(MATCH($B$4&amp;"|- Lane 3 - "&amp;E$51&amp;"|"&amp;$A58,'Reguler Class Availability'!$L:$L,0),""))</f>
        <v>744</v>
      </c>
      <c r="AR58" s="30" t="n">
        <f aca="false">IF($A58="","",IFERROR(MATCH($B$4&amp;"|- Lane 3 - "&amp;F$51&amp;"|"&amp;$A58,'Reguler Class Availability'!$L:$L,0),""))</f>
        <v>756</v>
      </c>
      <c r="AS58" s="30" t="n">
        <f aca="false">IF($A58="","",IFERROR(MATCH($B$4&amp;"|- Lane 3 - "&amp;G$51&amp;"|"&amp;$A58,'Reguler Class Availability'!$L:$L,0),""))</f>
        <v>768</v>
      </c>
      <c r="AT58" s="30" t="n">
        <f aca="false">IF($A58="","",IFERROR(MATCH($B$4&amp;"|- Lane 3 - "&amp;H$51&amp;"|"&amp;$A58,'Reguler Class Availability'!$L:$L,0),""))</f>
        <v>780</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Belum terisi</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Penuh</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Sebagian</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Belum terisi</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Tinggi</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Sebagian</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Sebagian</v>
      </c>
      <c r="BD58" s="30" t="s">
        <v>168</v>
      </c>
      <c r="BE58" s="30" t="n">
        <f aca="false">IF(COUNTIFS('Reguler Class Availability'!$L:$L,$B$4&amp;"|- Lane 1 - *|"&amp;BD58)&gt;0,1,0)</f>
        <v>0</v>
      </c>
      <c r="BF58" s="30" t="n">
        <f aca="false">BE58+BF57</f>
        <v>14</v>
      </c>
    </row>
    <row r="59" customFormat="false" ht="39.75" hidden="false" customHeight="true" outlineLevel="0" collapsed="false">
      <c r="A59" s="66" t="str">
        <f aca="false">IFERROR(INDEX($BD$122:$BD$181,MATCH(8,$BF$122:$BF$181,0)),"")</f>
        <v>14:15</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Little  4/4  (100%)
Frido</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Little  3/4  (75%)
Eriek</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Little  3/4  (75%)
Andreas</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Little  3/4  (75%)
Icis</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Little  3/4  (75%)
Nabila</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Little  4/4  (100%)
Sri</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Little  3/4  (75%)
Deyon</v>
      </c>
      <c r="AN59" s="30" t="n">
        <f aca="false">IF($A59="","",IFERROR(MATCH($B$4&amp;"|- Lane 3 - "&amp;B$51&amp;"|"&amp;$A59,'Reguler Class Availability'!$L:$L,0),""))</f>
        <v>709</v>
      </c>
      <c r="AO59" s="30" t="n">
        <f aca="false">IF($A59="","",IFERROR(MATCH($B$4&amp;"|- Lane 3 - "&amp;C$51&amp;"|"&amp;$A59,'Reguler Class Availability'!$L:$L,0),""))</f>
        <v>721</v>
      </c>
      <c r="AP59" s="30" t="n">
        <f aca="false">IF($A59="","",IFERROR(MATCH($B$4&amp;"|- Lane 3 - "&amp;D$51&amp;"|"&amp;$A59,'Reguler Class Availability'!$L:$L,0),""))</f>
        <v>733</v>
      </c>
      <c r="AQ59" s="30" t="n">
        <f aca="false">IF($A59="","",IFERROR(MATCH($B$4&amp;"|- Lane 3 - "&amp;E$51&amp;"|"&amp;$A59,'Reguler Class Availability'!$L:$L,0),""))</f>
        <v>745</v>
      </c>
      <c r="AR59" s="30" t="n">
        <f aca="false">IF($A59="","",IFERROR(MATCH($B$4&amp;"|- Lane 3 - "&amp;F$51&amp;"|"&amp;$A59,'Reguler Class Availability'!$L:$L,0),""))</f>
        <v>757</v>
      </c>
      <c r="AS59" s="30" t="n">
        <f aca="false">IF($A59="","",IFERROR(MATCH($B$4&amp;"|- Lane 3 - "&amp;G$51&amp;"|"&amp;$A59,'Reguler Class Availability'!$L:$L,0),""))</f>
        <v>769</v>
      </c>
      <c r="AT59" s="30" t="n">
        <f aca="false">IF($A59="","",IFERROR(MATCH($B$4&amp;"|- Lane 3 - "&amp;H$51&amp;"|"&amp;$A59,'Reguler Class Availability'!$L:$L,0),""))</f>
        <v>781</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Penuh</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Tinggi</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Tinggi</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Tinggi</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Tinggi</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Penuh</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Tinggi</v>
      </c>
      <c r="BD59" s="30" t="s">
        <v>169</v>
      </c>
      <c r="BE59" s="30" t="n">
        <f aca="false">IF(COUNTIFS('Reguler Class Availability'!$L:$L,$B$4&amp;"|- Lane 1 - *|"&amp;BD59)&gt;0,1,0)</f>
        <v>0</v>
      </c>
      <c r="BF59" s="30" t="n">
        <f aca="false">BE59+BF58</f>
        <v>14</v>
      </c>
    </row>
    <row r="60" customFormat="false" ht="39.75" hidden="false" customHeight="true" outlineLevel="0" collapsed="false">
      <c r="A60" s="66" t="str">
        <f aca="false">IFERROR(INDEX($BD$122:$BD$181,MATCH(9,$BF$122:$BF$181,0)),"")</f>
        <v>15:00</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Little  0/0
coach: –</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Little  3/4  (75%)
Deyon</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Little  1/4  (25%)
Eriek</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Little  3/4  (75%)
Ziran</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Little  3/4  (75%)
Frido</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Little  4/4  (100%)
Icis</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Little  3/4  (75%)
Eve</v>
      </c>
      <c r="AN60" s="30" t="n">
        <f aca="false">IF($A60="","",IFERROR(MATCH($B$4&amp;"|- Lane 3 - "&amp;B$51&amp;"|"&amp;$A60,'Reguler Class Availability'!$L:$L,0),""))</f>
        <v>710</v>
      </c>
      <c r="AO60" s="30" t="n">
        <f aca="false">IF($A60="","",IFERROR(MATCH($B$4&amp;"|- Lane 3 - "&amp;C$51&amp;"|"&amp;$A60,'Reguler Class Availability'!$L:$L,0),""))</f>
        <v>722</v>
      </c>
      <c r="AP60" s="30" t="n">
        <f aca="false">IF($A60="","",IFERROR(MATCH($B$4&amp;"|- Lane 3 - "&amp;D$51&amp;"|"&amp;$A60,'Reguler Class Availability'!$L:$L,0),""))</f>
        <v>734</v>
      </c>
      <c r="AQ60" s="30" t="n">
        <f aca="false">IF($A60="","",IFERROR(MATCH($B$4&amp;"|- Lane 3 - "&amp;E$51&amp;"|"&amp;$A60,'Reguler Class Availability'!$L:$L,0),""))</f>
        <v>746</v>
      </c>
      <c r="AR60" s="30" t="n">
        <f aca="false">IF($A60="","",IFERROR(MATCH($B$4&amp;"|- Lane 3 - "&amp;F$51&amp;"|"&amp;$A60,'Reguler Class Availability'!$L:$L,0),""))</f>
        <v>758</v>
      </c>
      <c r="AS60" s="30" t="n">
        <f aca="false">IF($A60="","",IFERROR(MATCH($B$4&amp;"|- Lane 3 - "&amp;G$51&amp;"|"&amp;$A60,'Reguler Class Availability'!$L:$L,0),""))</f>
        <v>770</v>
      </c>
      <c r="AT60" s="30" t="n">
        <f aca="false">IF($A60="","",IFERROR(MATCH($B$4&amp;"|- Lane 3 - "&amp;H$51&amp;"|"&amp;$A60,'Reguler Class Availability'!$L:$L,0),""))</f>
        <v>782</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Tutup</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Tinggi</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Sebagian</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Tinggi</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Tinggi</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Penuh</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Tinggi</v>
      </c>
      <c r="BD60" s="30" t="s">
        <v>170</v>
      </c>
      <c r="BE60" s="30" t="n">
        <f aca="false">IF(COUNTIFS('Reguler Class Availability'!$L:$L,$B$4&amp;"|- Lane 1 - *|"&amp;BD60)&gt;0,1,0)</f>
        <v>0</v>
      </c>
      <c r="BF60" s="30" t="n">
        <f aca="false">BE60+BF59</f>
        <v>14</v>
      </c>
    </row>
    <row r="61" customFormat="false" ht="39.75" hidden="false" customHeight="true" outlineLevel="0" collapsed="false">
      <c r="A61" s="66" t="str">
        <f aca="false">IFERROR(INDEX($BD$122:$BD$181,MATCH(10,$BF$122:$BF$181,0)),"")</f>
        <v>15:45</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Little  4/4  (100%)
Sri</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Little  2/0
Deyon</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Little  4/4  (100%)
Icis</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Little  4/4  (100%)
Nabila</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Little  4/4  (100%)
Icis</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Little  3/4  (75%)
Sri</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Little  4/4  (100%)
Nabila</v>
      </c>
      <c r="AN61" s="30" t="n">
        <f aca="false">IF($A61="","",IFERROR(MATCH($B$4&amp;"|- Lane 3 - "&amp;B$51&amp;"|"&amp;$A61,'Reguler Class Availability'!$L:$L,0),""))</f>
        <v>711</v>
      </c>
      <c r="AO61" s="30" t="n">
        <f aca="false">IF($A61="","",IFERROR(MATCH($B$4&amp;"|- Lane 3 - "&amp;C$51&amp;"|"&amp;$A61,'Reguler Class Availability'!$L:$L,0),""))</f>
        <v>723</v>
      </c>
      <c r="AP61" s="30" t="n">
        <f aca="false">IF($A61="","",IFERROR(MATCH($B$4&amp;"|- Lane 3 - "&amp;D$51&amp;"|"&amp;$A61,'Reguler Class Availability'!$L:$L,0),""))</f>
        <v>735</v>
      </c>
      <c r="AQ61" s="30" t="n">
        <f aca="false">IF($A61="","",IFERROR(MATCH($B$4&amp;"|- Lane 3 - "&amp;E$51&amp;"|"&amp;$A61,'Reguler Class Availability'!$L:$L,0),""))</f>
        <v>747</v>
      </c>
      <c r="AR61" s="30" t="n">
        <f aca="false">IF($A61="","",IFERROR(MATCH($B$4&amp;"|- Lane 3 - "&amp;F$51&amp;"|"&amp;$A61,'Reguler Class Availability'!$L:$L,0),""))</f>
        <v>759</v>
      </c>
      <c r="AS61" s="30" t="n">
        <f aca="false">IF($A61="","",IFERROR(MATCH($B$4&amp;"|- Lane 3 - "&amp;G$51&amp;"|"&amp;$A61,'Reguler Class Availability'!$L:$L,0),""))</f>
        <v>771</v>
      </c>
      <c r="AT61" s="30" t="n">
        <f aca="false">IF($A61="","",IFERROR(MATCH($B$4&amp;"|- Lane 3 - "&amp;H$51&amp;"|"&amp;$A61,'Reguler Class Availability'!$L:$L,0),""))</f>
        <v>783</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Penuh</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Lebih</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Penuh</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Penuh</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Penuh</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Tinggi</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Penuh</v>
      </c>
      <c r="BD61" s="30" t="s">
        <v>171</v>
      </c>
      <c r="BE61" s="30" t="n">
        <f aca="false">IF(COUNTIFS('Reguler Class Availability'!$L:$L,$B$4&amp;"|- Lane 1 - *|"&amp;BD61)&gt;0,1,0)</f>
        <v>0</v>
      </c>
      <c r="BF61" s="30" t="n">
        <f aca="false">BE61+BF60</f>
        <v>14</v>
      </c>
    </row>
    <row r="62" customFormat="false" ht="39.75" hidden="false" customHeight="true" outlineLevel="0" collapsed="false">
      <c r="A62" s="66" t="str">
        <f aca="false">IFERROR(INDEX($BD$122:$BD$181,MATCH(11,$BF$122:$BF$181,0)),"")</f>
        <v>16:30</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Little  4/4  (100%)
Deyon</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Little  4/4  (100%)
Sri</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Little  3/4  (75%)
Eriek</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Little  0/4  (0%)
coach: –</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Little  3/4  (75%)
Nabila</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Little  3/4  (75%)
Deyon</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Little  2/4  (50%)
Nabila</v>
      </c>
      <c r="AN62" s="30" t="n">
        <f aca="false">IF($A62="","",IFERROR(MATCH($B$4&amp;"|- Lane 3 - "&amp;B$51&amp;"|"&amp;$A62,'Reguler Class Availability'!$L:$L,0),""))</f>
        <v>712</v>
      </c>
      <c r="AO62" s="30" t="n">
        <f aca="false">IF($A62="","",IFERROR(MATCH($B$4&amp;"|- Lane 3 - "&amp;C$51&amp;"|"&amp;$A62,'Reguler Class Availability'!$L:$L,0),""))</f>
        <v>724</v>
      </c>
      <c r="AP62" s="30" t="n">
        <f aca="false">IF($A62="","",IFERROR(MATCH($B$4&amp;"|- Lane 3 - "&amp;D$51&amp;"|"&amp;$A62,'Reguler Class Availability'!$L:$L,0),""))</f>
        <v>736</v>
      </c>
      <c r="AQ62" s="30" t="n">
        <f aca="false">IF($A62="","",IFERROR(MATCH($B$4&amp;"|- Lane 3 - "&amp;E$51&amp;"|"&amp;$A62,'Reguler Class Availability'!$L:$L,0),""))</f>
        <v>748</v>
      </c>
      <c r="AR62" s="30" t="n">
        <f aca="false">IF($A62="","",IFERROR(MATCH($B$4&amp;"|- Lane 3 - "&amp;F$51&amp;"|"&amp;$A62,'Reguler Class Availability'!$L:$L,0),""))</f>
        <v>760</v>
      </c>
      <c r="AS62" s="30" t="n">
        <f aca="false">IF($A62="","",IFERROR(MATCH($B$4&amp;"|- Lane 3 - "&amp;G$51&amp;"|"&amp;$A62,'Reguler Class Availability'!$L:$L,0),""))</f>
        <v>772</v>
      </c>
      <c r="AT62" s="30" t="n">
        <f aca="false">IF($A62="","",IFERROR(MATCH($B$4&amp;"|- Lane 3 - "&amp;H$51&amp;"|"&amp;$A62,'Reguler Class Availability'!$L:$L,0),""))</f>
        <v>784</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Penuh</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Penuh</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Tinggi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Belum terisi</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Tinggi</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Tinggi</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Sebagian</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17:15</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Little  3/4  (75%)
Deyon</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Little  0/4  (0%)
coach: –</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Little  4/4  (100%)
Nabila</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Little  2/4  (50%)
Nabila</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Little  4/4  (100%)
Icis</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Little  4/4  (100%)
Frido</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Little  3/4  (75%)
Deyon</v>
      </c>
      <c r="AN63" s="30" t="n">
        <f aca="false">IF($A63="","",IFERROR(MATCH($B$4&amp;"|- Lane 3 - "&amp;B$51&amp;"|"&amp;$A63,'Reguler Class Availability'!$L:$L,0),""))</f>
        <v>713</v>
      </c>
      <c r="AO63" s="30" t="n">
        <f aca="false">IF($A63="","",IFERROR(MATCH($B$4&amp;"|- Lane 3 - "&amp;C$51&amp;"|"&amp;$A63,'Reguler Class Availability'!$L:$L,0),""))</f>
        <v>725</v>
      </c>
      <c r="AP63" s="30" t="n">
        <f aca="false">IF($A63="","",IFERROR(MATCH($B$4&amp;"|- Lane 3 - "&amp;D$51&amp;"|"&amp;$A63,'Reguler Class Availability'!$L:$L,0),""))</f>
        <v>737</v>
      </c>
      <c r="AQ63" s="30" t="n">
        <f aca="false">IF($A63="","",IFERROR(MATCH($B$4&amp;"|- Lane 3 - "&amp;E$51&amp;"|"&amp;$A63,'Reguler Class Availability'!$L:$L,0),""))</f>
        <v>749</v>
      </c>
      <c r="AR63" s="30" t="n">
        <f aca="false">IF($A63="","",IFERROR(MATCH($B$4&amp;"|- Lane 3 - "&amp;F$51&amp;"|"&amp;$A63,'Reguler Class Availability'!$L:$L,0),""))</f>
        <v>761</v>
      </c>
      <c r="AS63" s="30" t="n">
        <f aca="false">IF($A63="","",IFERROR(MATCH($B$4&amp;"|- Lane 3 - "&amp;G$51&amp;"|"&amp;$A63,'Reguler Class Availability'!$L:$L,0),""))</f>
        <v>773</v>
      </c>
      <c r="AT63" s="30" t="n">
        <f aca="false">IF($A63="","",IFERROR(MATCH($B$4&amp;"|- Lane 3 - "&amp;H$51&amp;"|"&amp;$A63,'Reguler Class Availability'!$L:$L,0),""))</f>
        <v>785</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Tinggi</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Belum terisi</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Penuh</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Sebagian</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Penuh</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Penuh</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Tinggi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53%</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61%</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55%</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40%</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57%</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88%</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80%</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63%   ·   Belum terisi: 16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08:15</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0/0
coach: –</v>
      </c>
      <c r="AN70" s="30" t="n">
        <f aca="false">IF($A70="","",IFERROR(MATCH($B$4&amp;"|- Lane 4 - "&amp;B$69&amp;"|"&amp;$A70,'Reguler Class Availability'!$L:$L,0),""))</f>
        <v>786</v>
      </c>
      <c r="AO70" s="30" t="n">
        <f aca="false">IF($A70="","",IFERROR(MATCH($B$4&amp;"|- Lane 4 - "&amp;C$69&amp;"|"&amp;$A70,'Reguler Class Availability'!$L:$L,0),""))</f>
        <v>798</v>
      </c>
      <c r="AP70" s="30" t="n">
        <f aca="false">IF($A70="","",IFERROR(MATCH($B$4&amp;"|- Lane 4 - "&amp;D$69&amp;"|"&amp;$A70,'Reguler Class Availability'!$L:$L,0),""))</f>
        <v>810</v>
      </c>
      <c r="AQ70" s="30" t="n">
        <f aca="false">IF($A70="","",IFERROR(MATCH($B$4&amp;"|- Lane 4 - "&amp;E$69&amp;"|"&amp;$A70,'Reguler Class Availability'!$L:$L,0),""))</f>
        <v>822</v>
      </c>
      <c r="AR70" s="30" t="n">
        <f aca="false">IF($A70="","",IFERROR(MATCH($B$4&amp;"|- Lane 4 - "&amp;F$69&amp;"|"&amp;$A70,'Reguler Class Availability'!$L:$L,0),""))</f>
        <v>834</v>
      </c>
      <c r="AS70" s="30" t="n">
        <f aca="false">IF($A70="","",IFERROR(MATCH($B$4&amp;"|- Lane 4 - "&amp;G$69&amp;"|"&amp;$A70,'Reguler Class Availability'!$L:$L,0),""))</f>
        <v>846</v>
      </c>
      <c r="AT70" s="30" t="n">
        <f aca="false">IF($A70="","",IFERROR(MATCH($B$4&amp;"|- Lane 4 - "&amp;H$69&amp;"|"&amp;$A70,'Reguler Class Availability'!$L:$L,0),""))</f>
        <v>858</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Tutup</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Tutup</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Tutup</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Tutup</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Tutup</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Tutup</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Tutup</v>
      </c>
      <c r="BD70" s="30" t="s">
        <v>105</v>
      </c>
      <c r="BE70" s="30" t="n">
        <f aca="false">IF(COUNTIFS('Reguler Class Availability'!$L:$L,$B$4&amp;"|- Lane 2 - *|"&amp;BD70)&gt;0,1,0)</f>
        <v>1</v>
      </c>
      <c r="BF70" s="30" t="n">
        <f aca="false">BE70+BF69</f>
        <v>1</v>
      </c>
    </row>
    <row r="71" customFormat="false" ht="39.75" hidden="false" customHeight="true" outlineLevel="0" collapsed="false">
      <c r="A71" s="66" t="str">
        <f aca="false">IFERROR(INDEX($BD$182:$BD$241,MATCH(2,$BF$182:$BF$241,0)),"")</f>
        <v>09:00</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0/4  (0%)
coach: –</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4/4  (100%)
Frido</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4/4  (100%)
Sri</v>
      </c>
      <c r="AN71" s="30" t="n">
        <f aca="false">IF($A71="","",IFERROR(MATCH($B$4&amp;"|- Lane 4 - "&amp;B$69&amp;"|"&amp;$A71,'Reguler Class Availability'!$L:$L,0),""))</f>
        <v>787</v>
      </c>
      <c r="AO71" s="30" t="n">
        <f aca="false">IF($A71="","",IFERROR(MATCH($B$4&amp;"|- Lane 4 - "&amp;C$69&amp;"|"&amp;$A71,'Reguler Class Availability'!$L:$L,0),""))</f>
        <v>799</v>
      </c>
      <c r="AP71" s="30" t="n">
        <f aca="false">IF($A71="","",IFERROR(MATCH($B$4&amp;"|- Lane 4 - "&amp;D$69&amp;"|"&amp;$A71,'Reguler Class Availability'!$L:$L,0),""))</f>
        <v>811</v>
      </c>
      <c r="AQ71" s="30" t="n">
        <f aca="false">IF($A71="","",IFERROR(MATCH($B$4&amp;"|- Lane 4 - "&amp;E$69&amp;"|"&amp;$A71,'Reguler Class Availability'!$L:$L,0),""))</f>
        <v>823</v>
      </c>
      <c r="AR71" s="30" t="n">
        <f aca="false">IF($A71="","",IFERROR(MATCH($B$4&amp;"|- Lane 4 - "&amp;F$69&amp;"|"&amp;$A71,'Reguler Class Availability'!$L:$L,0),""))</f>
        <v>835</v>
      </c>
      <c r="AS71" s="30" t="n">
        <f aca="false">IF($A71="","",IFERROR(MATCH($B$4&amp;"|- Lane 4 - "&amp;G$69&amp;"|"&amp;$A71,'Reguler Class Availability'!$L:$L,0),""))</f>
        <v>847</v>
      </c>
      <c r="AT71" s="30" t="n">
        <f aca="false">IF($A71="","",IFERROR(MATCH($B$4&amp;"|- Lane 4 - "&amp;H$69&amp;"|"&amp;$A71,'Reguler Class Availability'!$L:$L,0),""))</f>
        <v>859</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Belum terisi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Penuh</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Penuh</v>
      </c>
      <c r="BD71" s="30" t="s">
        <v>110</v>
      </c>
      <c r="BE71" s="30" t="n">
        <f aca="false">IF(COUNTIFS('Reguler Class Availability'!$L:$L,$B$4&amp;"|- Lane 2 - *|"&amp;BD71)&gt;0,1,0)</f>
        <v>0</v>
      </c>
      <c r="BF71" s="30" t="n">
        <f aca="false">BE71+BF70</f>
        <v>1</v>
      </c>
    </row>
    <row r="72" customFormat="false" ht="39.75" hidden="false" customHeight="true" outlineLevel="0" collapsed="false">
      <c r="A72" s="66" t="str">
        <f aca="false">IFERROR(INDEX($BD$182:$BD$241,MATCH(3,$BF$182:$BF$241,0)),"")</f>
        <v>09:45</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2/4  (50%)
Frido</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0/4  (0%)
coach: –</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1/4  (25%)
Ziran</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4/4  (100%)
Icis</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4/4  (100%)
Nabila</v>
      </c>
      <c r="AN72" s="30" t="n">
        <f aca="false">IF($A72="","",IFERROR(MATCH($B$4&amp;"|- Lane 4 - "&amp;B$69&amp;"|"&amp;$A72,'Reguler Class Availability'!$L:$L,0),""))</f>
        <v>788</v>
      </c>
      <c r="AO72" s="30" t="n">
        <f aca="false">IF($A72="","",IFERROR(MATCH($B$4&amp;"|- Lane 4 - "&amp;C$69&amp;"|"&amp;$A72,'Reguler Class Availability'!$L:$L,0),""))</f>
        <v>800</v>
      </c>
      <c r="AP72" s="30" t="n">
        <f aca="false">IF($A72="","",IFERROR(MATCH($B$4&amp;"|- Lane 4 - "&amp;D$69&amp;"|"&amp;$A72,'Reguler Class Availability'!$L:$L,0),""))</f>
        <v>812</v>
      </c>
      <c r="AQ72" s="30" t="n">
        <f aca="false">IF($A72="","",IFERROR(MATCH($B$4&amp;"|- Lane 4 - "&amp;E$69&amp;"|"&amp;$A72,'Reguler Class Availability'!$L:$L,0),""))</f>
        <v>824</v>
      </c>
      <c r="AR72" s="30" t="n">
        <f aca="false">IF($A72="","",IFERROR(MATCH($B$4&amp;"|- Lane 4 - "&amp;F$69&amp;"|"&amp;$A72,'Reguler Class Availability'!$L:$L,0),""))</f>
        <v>836</v>
      </c>
      <c r="AS72" s="30" t="n">
        <f aca="false">IF($A72="","",IFERROR(MATCH($B$4&amp;"|- Lane 4 - "&amp;G$69&amp;"|"&amp;$A72,'Reguler Class Availability'!$L:$L,0),""))</f>
        <v>848</v>
      </c>
      <c r="AT72" s="30" t="n">
        <f aca="false">IF($A72="","",IFERROR(MATCH($B$4&amp;"|- Lane 4 - "&amp;H$69&amp;"|"&amp;$A72,'Reguler Class Availability'!$L:$L,0),""))</f>
        <v>860</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Sebagian</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Belum terisi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Sebagian</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Penuh</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Penuh</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10:30</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0/4  (0%)
coach: –</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0/4  (0%)
coach: –</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3/4  (75%)
Sri</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4/4  (100%)
Deyon</v>
      </c>
      <c r="AN73" s="30" t="n">
        <f aca="false">IF($A73="","",IFERROR(MATCH($B$4&amp;"|- Lane 4 - "&amp;B$69&amp;"|"&amp;$A73,'Reguler Class Availability'!$L:$L,0),""))</f>
        <v>789</v>
      </c>
      <c r="AO73" s="30" t="n">
        <f aca="false">IF($A73="","",IFERROR(MATCH($B$4&amp;"|- Lane 4 - "&amp;C$69&amp;"|"&amp;$A73,'Reguler Class Availability'!$L:$L,0),""))</f>
        <v>801</v>
      </c>
      <c r="AP73" s="30" t="n">
        <f aca="false">IF($A73="","",IFERROR(MATCH($B$4&amp;"|- Lane 4 - "&amp;D$69&amp;"|"&amp;$A73,'Reguler Class Availability'!$L:$L,0),""))</f>
        <v>813</v>
      </c>
      <c r="AQ73" s="30" t="n">
        <f aca="false">IF($A73="","",IFERROR(MATCH($B$4&amp;"|- Lane 4 - "&amp;E$69&amp;"|"&amp;$A73,'Reguler Class Availability'!$L:$L,0),""))</f>
        <v>825</v>
      </c>
      <c r="AR73" s="30" t="n">
        <f aca="false">IF($A73="","",IFERROR(MATCH($B$4&amp;"|- Lane 4 - "&amp;F$69&amp;"|"&amp;$A73,'Reguler Class Availability'!$L:$L,0),""))</f>
        <v>837</v>
      </c>
      <c r="AS73" s="30" t="n">
        <f aca="false">IF($A73="","",IFERROR(MATCH($B$4&amp;"|- Lane 4 - "&amp;G$69&amp;"|"&amp;$A73,'Reguler Class Availability'!$L:$L,0),""))</f>
        <v>849</v>
      </c>
      <c r="AT73" s="30" t="n">
        <f aca="false">IF($A73="","",IFERROR(MATCH($B$4&amp;"|- Lane 4 - "&amp;H$69&amp;"|"&amp;$A73,'Reguler Class Availability'!$L:$L,0),""))</f>
        <v>861</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Belum terisi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Belum terisi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Tinggi</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Penuh</v>
      </c>
      <c r="BD73" s="30" t="s">
        <v>120</v>
      </c>
      <c r="BE73" s="30" t="n">
        <f aca="false">IF(COUNTIFS('Reguler Class Availability'!$L:$L,$B$4&amp;"|- Lane 2 - *|"&amp;BD73)&gt;0,1,0)</f>
        <v>1</v>
      </c>
      <c r="BF73" s="30" t="n">
        <f aca="false">BE73+BF72</f>
        <v>2</v>
      </c>
    </row>
    <row r="74" customFormat="false" ht="39.75" hidden="false" customHeight="true" outlineLevel="0" collapsed="false">
      <c r="A74" s="66" t="str">
        <f aca="false">IFERROR(INDEX($BD$182:$BD$241,MATCH(5,$BF$182:$BF$241,0)),"")</f>
        <v>11:15</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1/4  (25%)
Deyon</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2/4  (50%)
Nabila</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1/4  (25%)
Andreas</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0/4  (0%)
coach: –</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4/4  (100%)
Deyon</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4/4  (100%)
Frido</v>
      </c>
      <c r="AN74" s="30" t="n">
        <f aca="false">IF($A74="","",IFERROR(MATCH($B$4&amp;"|- Lane 4 - "&amp;B$69&amp;"|"&amp;$A74,'Reguler Class Availability'!$L:$L,0),""))</f>
        <v>790</v>
      </c>
      <c r="AO74" s="30" t="n">
        <f aca="false">IF($A74="","",IFERROR(MATCH($B$4&amp;"|- Lane 4 - "&amp;C$69&amp;"|"&amp;$A74,'Reguler Class Availability'!$L:$L,0),""))</f>
        <v>802</v>
      </c>
      <c r="AP74" s="30" t="n">
        <f aca="false">IF($A74="","",IFERROR(MATCH($B$4&amp;"|- Lane 4 - "&amp;D$69&amp;"|"&amp;$A74,'Reguler Class Availability'!$L:$L,0),""))</f>
        <v>814</v>
      </c>
      <c r="AQ74" s="30" t="n">
        <f aca="false">IF($A74="","",IFERROR(MATCH($B$4&amp;"|- Lane 4 - "&amp;E$69&amp;"|"&amp;$A74,'Reguler Class Availability'!$L:$L,0),""))</f>
        <v>826</v>
      </c>
      <c r="AR74" s="30" t="n">
        <f aca="false">IF($A74="","",IFERROR(MATCH($B$4&amp;"|- Lane 4 - "&amp;F$69&amp;"|"&amp;$A74,'Reguler Class Availability'!$L:$L,0),""))</f>
        <v>838</v>
      </c>
      <c r="AS74" s="30" t="n">
        <f aca="false">IF($A74="","",IFERROR(MATCH($B$4&amp;"|- Lane 4 - "&amp;G$69&amp;"|"&amp;$A74,'Reguler Class Availability'!$L:$L,0),""))</f>
        <v>850</v>
      </c>
      <c r="AT74" s="30" t="n">
        <f aca="false">IF($A74="","",IFERROR(MATCH($B$4&amp;"|- Lane 4 - "&amp;H$69&amp;"|"&amp;$A74,'Reguler Class Availability'!$L:$L,0),""))</f>
        <v>862</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Sebagian</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Sebagian</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Sebagian</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Belum terisi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Penuh</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Penuh</v>
      </c>
      <c r="BD74" s="30" t="s">
        <v>121</v>
      </c>
      <c r="BE74" s="30" t="n">
        <f aca="false">IF(COUNTIFS('Reguler Class Availability'!$L:$L,$B$4&amp;"|- Lane 2 - *|"&amp;BD74)&gt;0,1,0)</f>
        <v>0</v>
      </c>
      <c r="BF74" s="30" t="n">
        <f aca="false">BE74+BF73</f>
        <v>2</v>
      </c>
    </row>
    <row r="75" customFormat="false" ht="39.75" hidden="false" customHeight="true" outlineLevel="0" collapsed="false">
      <c r="A75" s="66" t="str">
        <f aca="false">IFERROR(INDEX($BD$182:$BD$241,MATCH(6,$BF$182:$BF$241,0)),"")</f>
        <v>12:00</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4/4  (100%)
Icis</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4/4  (100%)
Nabila</v>
      </c>
      <c r="AN75" s="30" t="n">
        <f aca="false">IF($A75="","",IFERROR(MATCH($B$4&amp;"|- Lane 4 - "&amp;B$69&amp;"|"&amp;$A75,'Reguler Class Availability'!$L:$L,0),""))</f>
        <v>791</v>
      </c>
      <c r="AO75" s="30" t="n">
        <f aca="false">IF($A75="","",IFERROR(MATCH($B$4&amp;"|- Lane 4 - "&amp;C$69&amp;"|"&amp;$A75,'Reguler Class Availability'!$L:$L,0),""))</f>
        <v>803</v>
      </c>
      <c r="AP75" s="30" t="n">
        <f aca="false">IF($A75="","",IFERROR(MATCH($B$4&amp;"|- Lane 4 - "&amp;D$69&amp;"|"&amp;$A75,'Reguler Class Availability'!$L:$L,0),""))</f>
        <v>815</v>
      </c>
      <c r="AQ75" s="30" t="n">
        <f aca="false">IF($A75="","",IFERROR(MATCH($B$4&amp;"|- Lane 4 - "&amp;E$69&amp;"|"&amp;$A75,'Reguler Class Availability'!$L:$L,0),""))</f>
        <v>827</v>
      </c>
      <c r="AR75" s="30" t="n">
        <f aca="false">IF($A75="","",IFERROR(MATCH($B$4&amp;"|- Lane 4 - "&amp;F$69&amp;"|"&amp;$A75,'Reguler Class Availability'!$L:$L,0),""))</f>
        <v>839</v>
      </c>
      <c r="AS75" s="30" t="n">
        <f aca="false">IF($A75="","",IFERROR(MATCH($B$4&amp;"|- Lane 4 - "&amp;G$69&amp;"|"&amp;$A75,'Reguler Class Availability'!$L:$L,0),""))</f>
        <v>851</v>
      </c>
      <c r="AT75" s="30" t="n">
        <f aca="false">IF($A75="","",IFERROR(MATCH($B$4&amp;"|- Lane 4 - "&amp;H$69&amp;"|"&amp;$A75,'Reguler Class Availability'!$L:$L,0),""))</f>
        <v>863</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Tutup</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Tutup</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Tutup</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Tutup</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Tutup</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Penuh</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Penuh</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13:30</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2/4  (50%)
Sri</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4/4  (100%)
Deyon</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2/4  (50%)
Sri</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4/4  (100%)
Ziran</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4/4  (100%)
Nabila</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4/4  (100%)
Sri</v>
      </c>
      <c r="AN76" s="30" t="n">
        <f aca="false">IF($A76="","",IFERROR(MATCH($B$4&amp;"|- Lane 4 - "&amp;B$69&amp;"|"&amp;$A76,'Reguler Class Availability'!$L:$L,0),""))</f>
        <v>792</v>
      </c>
      <c r="AO76" s="30" t="n">
        <f aca="false">IF($A76="","",IFERROR(MATCH($B$4&amp;"|- Lane 4 - "&amp;C$69&amp;"|"&amp;$A76,'Reguler Class Availability'!$L:$L,0),""))</f>
        <v>804</v>
      </c>
      <c r="AP76" s="30" t="n">
        <f aca="false">IF($A76="","",IFERROR(MATCH($B$4&amp;"|- Lane 4 - "&amp;D$69&amp;"|"&amp;$A76,'Reguler Class Availability'!$L:$L,0),""))</f>
        <v>816</v>
      </c>
      <c r="AQ76" s="30" t="n">
        <f aca="false">IF($A76="","",IFERROR(MATCH($B$4&amp;"|- Lane 4 - "&amp;E$69&amp;"|"&amp;$A76,'Reguler Class Availability'!$L:$L,0),""))</f>
        <v>828</v>
      </c>
      <c r="AR76" s="30" t="n">
        <f aca="false">IF($A76="","",IFERROR(MATCH($B$4&amp;"|- Lane 4 - "&amp;F$69&amp;"|"&amp;$A76,'Reguler Class Availability'!$L:$L,0),""))</f>
        <v>840</v>
      </c>
      <c r="AS76" s="30" t="n">
        <f aca="false">IF($A76="","",IFERROR(MATCH($B$4&amp;"|- Lane 4 - "&amp;G$69&amp;"|"&amp;$A76,'Reguler Class Availability'!$L:$L,0),""))</f>
        <v>852</v>
      </c>
      <c r="AT76" s="30" t="n">
        <f aca="false">IF($A76="","",IFERROR(MATCH($B$4&amp;"|- Lane 4 - "&amp;H$69&amp;"|"&amp;$A76,'Reguler Class Availability'!$L:$L,0),""))</f>
        <v>864</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Sebagian</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Penuh</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Sebagian</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Penuh</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Penuh</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Penuh</v>
      </c>
      <c r="BD76" s="30" t="s">
        <v>123</v>
      </c>
      <c r="BE76" s="30" t="n">
        <f aca="false">IF(COUNTIFS('Reguler Class Availability'!$L:$L,$B$4&amp;"|- Lane 2 - *|"&amp;BD76)&gt;0,1,0)</f>
        <v>1</v>
      </c>
      <c r="BF76" s="30" t="n">
        <f aca="false">BE76+BF75</f>
        <v>3</v>
      </c>
    </row>
    <row r="77" customFormat="false" ht="39.75" hidden="false" customHeight="true" outlineLevel="0" collapsed="false">
      <c r="A77" s="66" t="str">
        <f aca="false">IFERROR(INDEX($BD$182:$BD$241,MATCH(8,$BF$182:$BF$241,0)),"")</f>
        <v>14:15</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3/4  (75%)
Ziran</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2/4  (50%)
Sri</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2/4  (50%)
Nabila</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4/4  (100%)
Nabila</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4/4  (100%)
Icis</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3/4  (75%)
Eriek</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4/4  (100%)
Icis</v>
      </c>
      <c r="AN77" s="30" t="n">
        <f aca="false">IF($A77="","",IFERROR(MATCH($B$4&amp;"|- Lane 4 - "&amp;B$69&amp;"|"&amp;$A77,'Reguler Class Availability'!$L:$L,0),""))</f>
        <v>793</v>
      </c>
      <c r="AO77" s="30" t="n">
        <f aca="false">IF($A77="","",IFERROR(MATCH($B$4&amp;"|- Lane 4 - "&amp;C$69&amp;"|"&amp;$A77,'Reguler Class Availability'!$L:$L,0),""))</f>
        <v>805</v>
      </c>
      <c r="AP77" s="30" t="n">
        <f aca="false">IF($A77="","",IFERROR(MATCH($B$4&amp;"|- Lane 4 - "&amp;D$69&amp;"|"&amp;$A77,'Reguler Class Availability'!$L:$L,0),""))</f>
        <v>817</v>
      </c>
      <c r="AQ77" s="30" t="n">
        <f aca="false">IF($A77="","",IFERROR(MATCH($B$4&amp;"|- Lane 4 - "&amp;E$69&amp;"|"&amp;$A77,'Reguler Class Availability'!$L:$L,0),""))</f>
        <v>829</v>
      </c>
      <c r="AR77" s="30" t="n">
        <f aca="false">IF($A77="","",IFERROR(MATCH($B$4&amp;"|- Lane 4 - "&amp;F$69&amp;"|"&amp;$A77,'Reguler Class Availability'!$L:$L,0),""))</f>
        <v>841</v>
      </c>
      <c r="AS77" s="30" t="n">
        <f aca="false">IF($A77="","",IFERROR(MATCH($B$4&amp;"|- Lane 4 - "&amp;G$69&amp;"|"&amp;$A77,'Reguler Class Availability'!$L:$L,0),""))</f>
        <v>853</v>
      </c>
      <c r="AT77" s="30" t="n">
        <f aca="false">IF($A77="","",IFERROR(MATCH($B$4&amp;"|- Lane 4 - "&amp;H$69&amp;"|"&amp;$A77,'Reguler Class Availability'!$L:$L,0),""))</f>
        <v>865</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Tinggi</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Sebagian</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Sebagian</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Penuh</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Penuh</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Tinggi</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Penuh</v>
      </c>
      <c r="BD77" s="30" t="s">
        <v>124</v>
      </c>
      <c r="BE77" s="30" t="n">
        <f aca="false">IF(COUNTIFS('Reguler Class Availability'!$L:$L,$B$4&amp;"|- Lane 2 - *|"&amp;BD77)&gt;0,1,0)</f>
        <v>0</v>
      </c>
      <c r="BF77" s="30" t="n">
        <f aca="false">BE77+BF76</f>
        <v>3</v>
      </c>
    </row>
    <row r="78" customFormat="false" ht="39.75" hidden="false" customHeight="true" outlineLevel="0" collapsed="false">
      <c r="A78" s="66" t="str">
        <f aca="false">IFERROR(INDEX($BD$182:$BD$241,MATCH(9,$BF$182:$BF$241,0)),"")</f>
        <v>15:00</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3/4  (75%)
Sri</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2/4  (50%)
Sri</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4/4  (100%)
Sri</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1/4  (25%)
Andreas</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3/4  (75%)
Deyon</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4/4  (100%)
Frido</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3/4  (75%)
Nabila</v>
      </c>
      <c r="AN78" s="30" t="n">
        <f aca="false">IF($A78="","",IFERROR(MATCH($B$4&amp;"|- Lane 4 - "&amp;B$69&amp;"|"&amp;$A78,'Reguler Class Availability'!$L:$L,0),""))</f>
        <v>794</v>
      </c>
      <c r="AO78" s="30" t="n">
        <f aca="false">IF($A78="","",IFERROR(MATCH($B$4&amp;"|- Lane 4 - "&amp;C$69&amp;"|"&amp;$A78,'Reguler Class Availability'!$L:$L,0),""))</f>
        <v>806</v>
      </c>
      <c r="AP78" s="30" t="n">
        <f aca="false">IF($A78="","",IFERROR(MATCH($B$4&amp;"|- Lane 4 - "&amp;D$69&amp;"|"&amp;$A78,'Reguler Class Availability'!$L:$L,0),""))</f>
        <v>818</v>
      </c>
      <c r="AQ78" s="30" t="n">
        <f aca="false">IF($A78="","",IFERROR(MATCH($B$4&amp;"|- Lane 4 - "&amp;E$69&amp;"|"&amp;$A78,'Reguler Class Availability'!$L:$L,0),""))</f>
        <v>830</v>
      </c>
      <c r="AR78" s="30" t="n">
        <f aca="false">IF($A78="","",IFERROR(MATCH($B$4&amp;"|- Lane 4 - "&amp;F$69&amp;"|"&amp;$A78,'Reguler Class Availability'!$L:$L,0),""))</f>
        <v>842</v>
      </c>
      <c r="AS78" s="30" t="n">
        <f aca="false">IF($A78="","",IFERROR(MATCH($B$4&amp;"|- Lane 4 - "&amp;G$69&amp;"|"&amp;$A78,'Reguler Class Availability'!$L:$L,0),""))</f>
        <v>854</v>
      </c>
      <c r="AT78" s="30" t="n">
        <f aca="false">IF($A78="","",IFERROR(MATCH($B$4&amp;"|- Lane 4 - "&amp;H$69&amp;"|"&amp;$A78,'Reguler Class Availability'!$L:$L,0),""))</f>
        <v>866</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Tinggi</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Sebagian</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Penuh</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Sebagian</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Tinggi</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Penuh</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Tinggi</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15:45</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5/4  (125%)
Deyon</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4/4  (100%)
Eriek</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4/4  (100%)
Andreas</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1/4  (25%)
Andreas</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4/4  (100%)
Ziran</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4/4  (100%)
Deyon</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4/4  (100%)
Icis</v>
      </c>
      <c r="AN79" s="30" t="n">
        <f aca="false">IF($A79="","",IFERROR(MATCH($B$4&amp;"|- Lane 4 - "&amp;B$69&amp;"|"&amp;$A79,'Reguler Class Availability'!$L:$L,0),""))</f>
        <v>795</v>
      </c>
      <c r="AO79" s="30" t="n">
        <f aca="false">IF($A79="","",IFERROR(MATCH($B$4&amp;"|- Lane 4 - "&amp;C$69&amp;"|"&amp;$A79,'Reguler Class Availability'!$L:$L,0),""))</f>
        <v>807</v>
      </c>
      <c r="AP79" s="30" t="n">
        <f aca="false">IF($A79="","",IFERROR(MATCH($B$4&amp;"|- Lane 4 - "&amp;D$69&amp;"|"&amp;$A79,'Reguler Class Availability'!$L:$L,0),""))</f>
        <v>819</v>
      </c>
      <c r="AQ79" s="30" t="n">
        <f aca="false">IF($A79="","",IFERROR(MATCH($B$4&amp;"|- Lane 4 - "&amp;E$69&amp;"|"&amp;$A79,'Reguler Class Availability'!$L:$L,0),""))</f>
        <v>831</v>
      </c>
      <c r="AR79" s="30" t="n">
        <f aca="false">IF($A79="","",IFERROR(MATCH($B$4&amp;"|- Lane 4 - "&amp;F$69&amp;"|"&amp;$A79,'Reguler Class Availability'!$L:$L,0),""))</f>
        <v>843</v>
      </c>
      <c r="AS79" s="30" t="n">
        <f aca="false">IF($A79="","",IFERROR(MATCH($B$4&amp;"|- Lane 4 - "&amp;G$69&amp;"|"&amp;$A79,'Reguler Class Availability'!$L:$L,0),""))</f>
        <v>855</v>
      </c>
      <c r="AT79" s="30" t="n">
        <f aca="false">IF($A79="","",IFERROR(MATCH($B$4&amp;"|- Lane 4 - "&amp;H$69&amp;"|"&amp;$A79,'Reguler Class Availability'!$L:$L,0),""))</f>
        <v>867</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Lebih</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Penuh</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Penuh</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Sebagian</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Penuh</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Penuh</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Penuh</v>
      </c>
      <c r="BD79" s="30" t="s">
        <v>126</v>
      </c>
      <c r="BE79" s="30" t="n">
        <f aca="false">IF(COUNTIFS('Reguler Class Availability'!$L:$L,$B$4&amp;"|- Lane 2 - *|"&amp;BD79)&gt;0,1,0)</f>
        <v>1</v>
      </c>
      <c r="BF79" s="30" t="n">
        <f aca="false">BE79+BF78</f>
        <v>4</v>
      </c>
    </row>
    <row r="80" customFormat="false" ht="39.75" hidden="false" customHeight="true" outlineLevel="0" collapsed="false">
      <c r="A80" s="66" t="str">
        <f aca="false">IFERROR(INDEX($BD$182:$BD$241,MATCH(11,$BF$182:$BF$241,0)),"")</f>
        <v>16:30</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4/4  (100%)
Eriek</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4/4  (100%)
Deyon</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4/4  (100%)
Icis</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4/4  (100%)
Nabila</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4/4  (100%)
Icis</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1/4  (25%)
Ziran</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4/4  (100%)
Sri</v>
      </c>
      <c r="AN80" s="30" t="n">
        <f aca="false">IF($A80="","",IFERROR(MATCH($B$4&amp;"|- Lane 4 - "&amp;B$69&amp;"|"&amp;$A80,'Reguler Class Availability'!$L:$L,0),""))</f>
        <v>796</v>
      </c>
      <c r="AO80" s="30" t="n">
        <f aca="false">IF($A80="","",IFERROR(MATCH($B$4&amp;"|- Lane 4 - "&amp;C$69&amp;"|"&amp;$A80,'Reguler Class Availability'!$L:$L,0),""))</f>
        <v>808</v>
      </c>
      <c r="AP80" s="30" t="n">
        <f aca="false">IF($A80="","",IFERROR(MATCH($B$4&amp;"|- Lane 4 - "&amp;D$69&amp;"|"&amp;$A80,'Reguler Class Availability'!$L:$L,0),""))</f>
        <v>820</v>
      </c>
      <c r="AQ80" s="30" t="n">
        <f aca="false">IF($A80="","",IFERROR(MATCH($B$4&amp;"|- Lane 4 - "&amp;E$69&amp;"|"&amp;$A80,'Reguler Class Availability'!$L:$L,0),""))</f>
        <v>832</v>
      </c>
      <c r="AR80" s="30" t="n">
        <f aca="false">IF($A80="","",IFERROR(MATCH($B$4&amp;"|- Lane 4 - "&amp;F$69&amp;"|"&amp;$A80,'Reguler Class Availability'!$L:$L,0),""))</f>
        <v>844</v>
      </c>
      <c r="AS80" s="30" t="n">
        <f aca="false">IF($A80="","",IFERROR(MATCH($B$4&amp;"|- Lane 4 - "&amp;G$69&amp;"|"&amp;$A80,'Reguler Class Availability'!$L:$L,0),""))</f>
        <v>856</v>
      </c>
      <c r="AT80" s="30" t="n">
        <f aca="false">IF($A80="","",IFERROR(MATCH($B$4&amp;"|- Lane 4 - "&amp;H$69&amp;"|"&amp;$A80,'Reguler Class Availability'!$L:$L,0),""))</f>
        <v>868</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Penuh</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Penuh</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Penuh</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Penuh</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Penuh</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Sebagian</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Penuh</v>
      </c>
      <c r="BD80" s="30" t="s">
        <v>127</v>
      </c>
      <c r="BE80" s="30" t="n">
        <f aca="false">IF(COUNTIFS('Reguler Class Availability'!$L:$L,$B$4&amp;"|- Lane 2 - *|"&amp;BD80)&gt;0,1,0)</f>
        <v>0</v>
      </c>
      <c r="BF80" s="30" t="n">
        <f aca="false">BE80+BF79</f>
        <v>4</v>
      </c>
    </row>
    <row r="81" customFormat="false" ht="39.75" hidden="false" customHeight="true" outlineLevel="0" collapsed="false">
      <c r="A81" s="66" t="str">
        <f aca="false">IFERROR(INDEX($BD$182:$BD$241,MATCH(12,$BF$182:$BF$241,0)),"")</f>
        <v>17:15</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4/4  (100%)
Eriek</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1/4  (25%)
Deyon</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4/4  (100%)
Eriek</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4/4  (100%)
Icis</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4/4  (100%)
Deyon</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2/4  (50%)
Ziran</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Kids  4/4  (100%)
Eriek</v>
      </c>
      <c r="AN81" s="30" t="n">
        <f aca="false">IF($A81="","",IFERROR(MATCH($B$4&amp;"|- Lane 4 - "&amp;B$69&amp;"|"&amp;$A81,'Reguler Class Availability'!$L:$L,0),""))</f>
        <v>797</v>
      </c>
      <c r="AO81" s="30" t="n">
        <f aca="false">IF($A81="","",IFERROR(MATCH($B$4&amp;"|- Lane 4 - "&amp;C$69&amp;"|"&amp;$A81,'Reguler Class Availability'!$L:$L,0),""))</f>
        <v>809</v>
      </c>
      <c r="AP81" s="30" t="n">
        <f aca="false">IF($A81="","",IFERROR(MATCH($B$4&amp;"|- Lane 4 - "&amp;D$69&amp;"|"&amp;$A81,'Reguler Class Availability'!$L:$L,0),""))</f>
        <v>821</v>
      </c>
      <c r="AQ81" s="30" t="n">
        <f aca="false">IF($A81="","",IFERROR(MATCH($B$4&amp;"|- Lane 4 - "&amp;E$69&amp;"|"&amp;$A81,'Reguler Class Availability'!$L:$L,0),""))</f>
        <v>833</v>
      </c>
      <c r="AR81" s="30" t="n">
        <f aca="false">IF($A81="","",IFERROR(MATCH($B$4&amp;"|- Lane 4 - "&amp;F$69&amp;"|"&amp;$A81,'Reguler Class Availability'!$L:$L,0),""))</f>
        <v>845</v>
      </c>
      <c r="AS81" s="30" t="n">
        <f aca="false">IF($A81="","",IFERROR(MATCH($B$4&amp;"|- Lane 4 - "&amp;G$69&amp;"|"&amp;$A81,'Reguler Class Availability'!$L:$L,0),""))</f>
        <v>857</v>
      </c>
      <c r="AT81" s="30" t="n">
        <f aca="false">IF($A81="","",IFERROR(MATCH($B$4&amp;"|- Lane 4 - "&amp;H$69&amp;"|"&amp;$A81,'Reguler Class Availability'!$L:$L,0),""))</f>
        <v>869</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Penuh</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Sebagian</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Penuh</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Penuh</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Penuh</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Sebagian</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Penuh</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1</v>
      </c>
      <c r="BF82" s="30" t="n">
        <f aca="false">BE82+BF81</f>
        <v>5</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0</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57%</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45%</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55%</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38%</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60%</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84%</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98%</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1</v>
      </c>
      <c r="BF85" s="0" t="n">
        <f aca="false">BE85+BF84</f>
        <v>6</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30%   ·   Belum terisi: 3   ·   Slot kosong: 35</v>
      </c>
      <c r="D86" s="62"/>
      <c r="E86" s="62"/>
      <c r="F86" s="62"/>
      <c r="G86" s="62"/>
      <c r="H86" s="62"/>
      <c r="BD86" s="30" t="s">
        <v>133</v>
      </c>
      <c r="BE86" s="30" t="n">
        <f aca="false">IF(COUNTIFS('Reguler Class Availability'!$L:$L,$B$4&amp;"|- Lane 2 - *|"&amp;BD86)&gt;0,1,0)</f>
        <v>0</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08:00</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v>
      </c>
      <c r="AN88" s="30" t="n">
        <f aca="false">IF($A88="","",IFERROR(MATCH($B$4&amp;"|- Lane 5 - "&amp;B$87&amp;"|"&amp;$A88,'Reguler Class Availability'!$L:$L,0),""))</f>
        <v>870</v>
      </c>
      <c r="AO88" s="30" t="n">
        <f aca="false">IF($A88="","",IFERROR(MATCH($B$4&amp;"|- Lane 5 - "&amp;C$87&amp;"|"&amp;$A88,'Reguler Class Availability'!$L:$L,0),""))</f>
        <v>882</v>
      </c>
      <c r="AP88" s="30" t="n">
        <f aca="false">IF($A88="","",IFERROR(MATCH($B$4&amp;"|- Lane 5 - "&amp;D$87&amp;"|"&amp;$A88,'Reguler Class Availability'!$L:$L,0),""))</f>
        <v>894</v>
      </c>
      <c r="AQ88" s="30" t="n">
        <f aca="false">IF($A88="","",IFERROR(MATCH($B$4&amp;"|- Lane 5 - "&amp;E$87&amp;"|"&amp;$A88,'Reguler Class Availability'!$L:$L,0),""))</f>
        <v>906</v>
      </c>
      <c r="AR88" s="30" t="n">
        <f aca="false">IF($A88="","",IFERROR(MATCH($B$4&amp;"|- Lane 5 - "&amp;F$87&amp;"|"&amp;$A88,'Reguler Class Availability'!$L:$L,0),""))</f>
        <v>918</v>
      </c>
      <c r="AS88" s="30" t="n">
        <f aca="false">IF($A88="","",IFERROR(MATCH($B$4&amp;"|- Lane 5 - "&amp;G$87&amp;"|"&amp;$A88,'Reguler Class Availability'!$L:$L,0),""))</f>
        <v>930</v>
      </c>
      <c r="AT88" s="30" t="n">
        <f aca="false">IF($A88="","",IFERROR(MATCH($B$4&amp;"|- Lane 5 - "&amp;H$87&amp;"|"&amp;$A88,'Reguler Class Availability'!$L:$L,0),""))</f>
        <v>942</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Tidak dibuka</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Tidak dibuka</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Tidak dibuka</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Tidak dibuka</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Tidak dibuka</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Tidak dibuka</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Tidak dibuka</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08:45</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Kosong  0/5  (0%)
coach: –</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Kosong  0/5  (0%)
coach: –</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Kosong  0/5  (0%)
coach: –</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Kosong  0/5  (0%)
coach: –</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Kosong  0/5  (0%)
coach: –</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Kids  4/4  (100%)
Eriek</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Kids  4/3  (133%)
Ziran</v>
      </c>
      <c r="AN89" s="30" t="n">
        <f aca="false">IF($A89="","",IFERROR(MATCH($B$4&amp;"|- Lane 5 - "&amp;B$87&amp;"|"&amp;$A89,'Reguler Class Availability'!$L:$L,0),""))</f>
        <v>871</v>
      </c>
      <c r="AO89" s="30" t="n">
        <f aca="false">IF($A89="","",IFERROR(MATCH($B$4&amp;"|- Lane 5 - "&amp;C$87&amp;"|"&amp;$A89,'Reguler Class Availability'!$L:$L,0),""))</f>
        <v>883</v>
      </c>
      <c r="AP89" s="30" t="n">
        <f aca="false">IF($A89="","",IFERROR(MATCH($B$4&amp;"|- Lane 5 - "&amp;D$87&amp;"|"&amp;$A89,'Reguler Class Availability'!$L:$L,0),""))</f>
        <v>895</v>
      </c>
      <c r="AQ89" s="30" t="n">
        <f aca="false">IF($A89="","",IFERROR(MATCH($B$4&amp;"|- Lane 5 - "&amp;E$87&amp;"|"&amp;$A89,'Reguler Class Availability'!$L:$L,0),""))</f>
        <v>907</v>
      </c>
      <c r="AR89" s="30" t="n">
        <f aca="false">IF($A89="","",IFERROR(MATCH($B$4&amp;"|- Lane 5 - "&amp;F$87&amp;"|"&amp;$A89,'Reguler Class Availability'!$L:$L,0),""))</f>
        <v>919</v>
      </c>
      <c r="AS89" s="30" t="n">
        <f aca="false">IF($A89="","",IFERROR(MATCH($B$4&amp;"|- Lane 5 - "&amp;G$87&amp;"|"&amp;$A89,'Reguler Class Availability'!$L:$L,0),""))</f>
        <v>931</v>
      </c>
      <c r="AT89" s="30" t="n">
        <f aca="false">IF($A89="","",IFERROR(MATCH($B$4&amp;"|- Lane 5 - "&amp;H$87&amp;"|"&amp;$A89,'Reguler Class Availability'!$L:$L,0),""))</f>
        <v>943</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Kosong</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Kosong</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Kosong</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Kosong</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Kosong</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Penuh</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Lebih</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09:30</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Kosong  0/5  (0%)
coach: –</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Kosong  0/5  (0%)
coach: –</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Kosong  0/5  (0%)
coach: –</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Kosong  0/5  (0%)
coach: –</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Kosong  0/5  (0%)
coach: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Little  4/4  (100%)
Ziran
asst: Eriek</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Little  3/4  (75%)
Frido</v>
      </c>
      <c r="AN90" s="30" t="n">
        <f aca="false">IF($A90="","",IFERROR(MATCH($B$4&amp;"|- Lane 5 - "&amp;B$87&amp;"|"&amp;$A90,'Reguler Class Availability'!$L:$L,0),""))</f>
        <v>872</v>
      </c>
      <c r="AO90" s="30" t="n">
        <f aca="false">IF($A90="","",IFERROR(MATCH($B$4&amp;"|- Lane 5 - "&amp;C$87&amp;"|"&amp;$A90,'Reguler Class Availability'!$L:$L,0),""))</f>
        <v>884</v>
      </c>
      <c r="AP90" s="30" t="n">
        <f aca="false">IF($A90="","",IFERROR(MATCH($B$4&amp;"|- Lane 5 - "&amp;D$87&amp;"|"&amp;$A90,'Reguler Class Availability'!$L:$L,0),""))</f>
        <v>896</v>
      </c>
      <c r="AQ90" s="30" t="n">
        <f aca="false">IF($A90="","",IFERROR(MATCH($B$4&amp;"|- Lane 5 - "&amp;E$87&amp;"|"&amp;$A90,'Reguler Class Availability'!$L:$L,0),""))</f>
        <v>908</v>
      </c>
      <c r="AR90" s="30" t="n">
        <f aca="false">IF($A90="","",IFERROR(MATCH($B$4&amp;"|- Lane 5 - "&amp;F$87&amp;"|"&amp;$A90,'Reguler Class Availability'!$L:$L,0),""))</f>
        <v>920</v>
      </c>
      <c r="AS90" s="30" t="n">
        <f aca="false">IF($A90="","",IFERROR(MATCH($B$4&amp;"|- Lane 5 - "&amp;G$87&amp;"|"&amp;$A90,'Reguler Class Availability'!$L:$L,0),""))</f>
        <v>932</v>
      </c>
      <c r="AT90" s="30" t="n">
        <f aca="false">IF($A90="","",IFERROR(MATCH($B$4&amp;"|- Lane 5 - "&amp;H$87&amp;"|"&amp;$A90,'Reguler Class Availability'!$L:$L,0),""))</f>
        <v>944</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Kosong</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Kosong</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Kosong</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Kosong</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Kosong</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Penuh</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Tinggi</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10:15</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Kosong  0/5  (0%)
coach: –</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Kosong  0/5  (0%)
coach: –</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Kosong  0/5  (0%)
coach: –</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Kosong  0/5  (0%)
coach: –</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Kosong  0/5  (0%)
coach: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Tiny  3/5  (60%)
Andreas</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Kids  4/4  (100%)
Andreas</v>
      </c>
      <c r="AN91" s="30" t="n">
        <f aca="false">IF($A91="","",IFERROR(MATCH($B$4&amp;"|- Lane 5 - "&amp;B$87&amp;"|"&amp;$A91,'Reguler Class Availability'!$L:$L,0),""))</f>
        <v>873</v>
      </c>
      <c r="AO91" s="30" t="n">
        <f aca="false">IF($A91="","",IFERROR(MATCH($B$4&amp;"|- Lane 5 - "&amp;C$87&amp;"|"&amp;$A91,'Reguler Class Availability'!$L:$L,0),""))</f>
        <v>885</v>
      </c>
      <c r="AP91" s="30" t="n">
        <f aca="false">IF($A91="","",IFERROR(MATCH($B$4&amp;"|- Lane 5 - "&amp;D$87&amp;"|"&amp;$A91,'Reguler Class Availability'!$L:$L,0),""))</f>
        <v>897</v>
      </c>
      <c r="AQ91" s="30" t="n">
        <f aca="false">IF($A91="","",IFERROR(MATCH($B$4&amp;"|- Lane 5 - "&amp;E$87&amp;"|"&amp;$A91,'Reguler Class Availability'!$L:$L,0),""))</f>
        <v>909</v>
      </c>
      <c r="AR91" s="30" t="n">
        <f aca="false">IF($A91="","",IFERROR(MATCH($B$4&amp;"|- Lane 5 - "&amp;F$87&amp;"|"&amp;$A91,'Reguler Class Availability'!$L:$L,0),""))</f>
        <v>921</v>
      </c>
      <c r="AS91" s="30" t="n">
        <f aca="false">IF($A91="","",IFERROR(MATCH($B$4&amp;"|- Lane 5 - "&amp;G$87&amp;"|"&amp;$A91,'Reguler Class Availability'!$L:$L,0),""))</f>
        <v>933</v>
      </c>
      <c r="AT91" s="30" t="n">
        <f aca="false">IF($A91="","",IFERROR(MATCH($B$4&amp;"|- Lane 5 - "&amp;H$87&amp;"|"&amp;$A91,'Reguler Class Availability'!$L:$L,0),""))</f>
        <v>945</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Kosong</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Kosong</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Kosong</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Kosong</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Kosong</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Tinggi</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Penuh</v>
      </c>
      <c r="BD91" s="30" t="s">
        <v>139</v>
      </c>
      <c r="BE91" s="30" t="n">
        <f aca="false">IF(COUNTIFS('Reguler Class Availability'!$L:$L,$B$4&amp;"|- Lane 2 - *|"&amp;BD91)&gt;0,1,0)</f>
        <v>1</v>
      </c>
      <c r="BF91" s="30" t="n">
        <f aca="false">BE91+BF90</f>
        <v>7</v>
      </c>
    </row>
    <row r="92" customFormat="false" ht="39.75" hidden="false" customHeight="true" outlineLevel="0" collapsed="false">
      <c r="A92" s="66" t="str">
        <f aca="false">IFERROR(INDEX($BD$242:$BD$301,MATCH(5,$BF$242:$BF$301,0)),"")</f>
        <v>11:00</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Kosong  0/5  (0%)
coach: –</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Kosong  0/5  (0%)
coach: –</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Kosong  0/5  (0%)
coach: –</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Kosong  0/5  (0%)
coach: –</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Kosong  0/5  (0%)
coach: –</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Kids  4/4  (100%)
Frido</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Kids  4/5  (80%)
Andreas</v>
      </c>
      <c r="AN92" s="30" t="n">
        <f aca="false">IF($A92="","",IFERROR(MATCH($B$4&amp;"|- Lane 5 - "&amp;B$87&amp;"|"&amp;$A92,'Reguler Class Availability'!$L:$L,0),""))</f>
        <v>874</v>
      </c>
      <c r="AO92" s="30" t="n">
        <f aca="false">IF($A92="","",IFERROR(MATCH($B$4&amp;"|- Lane 5 - "&amp;C$87&amp;"|"&amp;$A92,'Reguler Class Availability'!$L:$L,0),""))</f>
        <v>886</v>
      </c>
      <c r="AP92" s="30" t="n">
        <f aca="false">IF($A92="","",IFERROR(MATCH($B$4&amp;"|- Lane 5 - "&amp;D$87&amp;"|"&amp;$A92,'Reguler Class Availability'!$L:$L,0),""))</f>
        <v>898</v>
      </c>
      <c r="AQ92" s="30" t="n">
        <f aca="false">IF($A92="","",IFERROR(MATCH($B$4&amp;"|- Lane 5 - "&amp;E$87&amp;"|"&amp;$A92,'Reguler Class Availability'!$L:$L,0),""))</f>
        <v>910</v>
      </c>
      <c r="AR92" s="30" t="n">
        <f aca="false">IF($A92="","",IFERROR(MATCH($B$4&amp;"|- Lane 5 - "&amp;F$87&amp;"|"&amp;$A92,'Reguler Class Availability'!$L:$L,0),""))</f>
        <v>922</v>
      </c>
      <c r="AS92" s="30" t="n">
        <f aca="false">IF($A92="","",IFERROR(MATCH($B$4&amp;"|- Lane 5 - "&amp;G$87&amp;"|"&amp;$A92,'Reguler Class Availability'!$L:$L,0),""))</f>
        <v>934</v>
      </c>
      <c r="AT92" s="30" t="n">
        <f aca="false">IF($A92="","",IFERROR(MATCH($B$4&amp;"|- Lane 5 - "&amp;H$87&amp;"|"&amp;$A92,'Reguler Class Availability'!$L:$L,0),""))</f>
        <v>946</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Kosong</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Kosong</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Kosong</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Kosong</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Kosong</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Penuh</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Tinggi</v>
      </c>
      <c r="BD92" s="30" t="s">
        <v>141</v>
      </c>
      <c r="BE92" s="30" t="n">
        <f aca="false">IF(COUNTIFS('Reguler Class Availability'!$L:$L,$B$4&amp;"|- Lane 2 - *|"&amp;BD92)&gt;0,1,0)</f>
        <v>0</v>
      </c>
      <c r="BF92" s="30" t="n">
        <f aca="false">BE92+BF91</f>
        <v>7</v>
      </c>
    </row>
    <row r="93" customFormat="false" ht="39.75" hidden="false" customHeight="true" outlineLevel="0" collapsed="false">
      <c r="A93" s="66" t="str">
        <f aca="false">IFERROR(INDEX($BD$242:$BD$301,MATCH(6,$BF$242:$BF$301,0)),"")</f>
        <v>11:45</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Little  2/4  (50%)
Ziran</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Little  0/5  (0%)
coach: –</v>
      </c>
      <c r="AN93" s="30" t="n">
        <f aca="false">IF($A93="","",IFERROR(MATCH($B$4&amp;"|- Lane 5 - "&amp;B$87&amp;"|"&amp;$A93,'Reguler Class Availability'!$L:$L,0),""))</f>
        <v>875</v>
      </c>
      <c r="AO93" s="30" t="n">
        <f aca="false">IF($A93="","",IFERROR(MATCH($B$4&amp;"|- Lane 5 - "&amp;C$87&amp;"|"&amp;$A93,'Reguler Class Availability'!$L:$L,0),""))</f>
        <v>887</v>
      </c>
      <c r="AP93" s="30" t="n">
        <f aca="false">IF($A93="","",IFERROR(MATCH($B$4&amp;"|- Lane 5 - "&amp;D$87&amp;"|"&amp;$A93,'Reguler Class Availability'!$L:$L,0),""))</f>
        <v>899</v>
      </c>
      <c r="AQ93" s="30" t="n">
        <f aca="false">IF($A93="","",IFERROR(MATCH($B$4&amp;"|- Lane 5 - "&amp;E$87&amp;"|"&amp;$A93,'Reguler Class Availability'!$L:$L,0),""))</f>
        <v>911</v>
      </c>
      <c r="AR93" s="30" t="n">
        <f aca="false">IF($A93="","",IFERROR(MATCH($B$4&amp;"|- Lane 5 - "&amp;F$87&amp;"|"&amp;$A93,'Reguler Class Availability'!$L:$L,0),""))</f>
        <v>923</v>
      </c>
      <c r="AS93" s="30" t="n">
        <f aca="false">IF($A93="","",IFERROR(MATCH($B$4&amp;"|- Lane 5 - "&amp;G$87&amp;"|"&amp;$A93,'Reguler Class Availability'!$L:$L,0),""))</f>
        <v>935</v>
      </c>
      <c r="AT93" s="30" t="n">
        <f aca="false">IF($A93="","",IFERROR(MATCH($B$4&amp;"|- Lane 5 - "&amp;H$87&amp;"|"&amp;$A93,'Reguler Class Availability'!$L:$L,0),""))</f>
        <v>947</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Tidak dibuka</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Tidak dibuka</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Tidak dibuka</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Tidak dibuka</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Tidak dibuka</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Sebagian</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Belum terisi</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13:15</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Kosong  0/5  (0%)
coach: –</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Kosong  0/5  (0%)
coach: –</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Kosong  0/5  (0%)
coach: –</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Little  1/5  (20%)
Andreas</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Little  1/4  (25%)
Nabila</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Kids  4/5  (80%)
Eriek</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Kids  3/4  (75%)
Deyon</v>
      </c>
      <c r="AN94" s="30" t="n">
        <f aca="false">IF($A94="","",IFERROR(MATCH($B$4&amp;"|- Lane 5 - "&amp;B$87&amp;"|"&amp;$A94,'Reguler Class Availability'!$L:$L,0),""))</f>
        <v>876</v>
      </c>
      <c r="AO94" s="30" t="n">
        <f aca="false">IF($A94="","",IFERROR(MATCH($B$4&amp;"|- Lane 5 - "&amp;C$87&amp;"|"&amp;$A94,'Reguler Class Availability'!$L:$L,0),""))</f>
        <v>888</v>
      </c>
      <c r="AP94" s="30" t="n">
        <f aca="false">IF($A94="","",IFERROR(MATCH($B$4&amp;"|- Lane 5 - "&amp;D$87&amp;"|"&amp;$A94,'Reguler Class Availability'!$L:$L,0),""))</f>
        <v>900</v>
      </c>
      <c r="AQ94" s="30" t="n">
        <f aca="false">IF($A94="","",IFERROR(MATCH($B$4&amp;"|- Lane 5 - "&amp;E$87&amp;"|"&amp;$A94,'Reguler Class Availability'!$L:$L,0),""))</f>
        <v>912</v>
      </c>
      <c r="AR94" s="30" t="n">
        <f aca="false">IF($A94="","",IFERROR(MATCH($B$4&amp;"|- Lane 5 - "&amp;F$87&amp;"|"&amp;$A94,'Reguler Class Availability'!$L:$L,0),""))</f>
        <v>924</v>
      </c>
      <c r="AS94" s="30" t="n">
        <f aca="false">IF($A94="","",IFERROR(MATCH($B$4&amp;"|- Lane 5 - "&amp;G$87&amp;"|"&amp;$A94,'Reguler Class Availability'!$L:$L,0),""))</f>
        <v>936</v>
      </c>
      <c r="AT94" s="30" t="n">
        <f aca="false">IF($A94="","",IFERROR(MATCH($B$4&amp;"|- Lane 5 - "&amp;H$87&amp;"|"&amp;$A94,'Reguler Class Availability'!$L:$L,0),""))</f>
        <v>948</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Kosong</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Kosong</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Kosong</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Sebagian</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Sebagian</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Tinggi</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Tinggi</v>
      </c>
      <c r="BD94" s="30" t="s">
        <v>143</v>
      </c>
      <c r="BE94" s="30" t="n">
        <f aca="false">IF(COUNTIFS('Reguler Class Availability'!$L:$L,$B$4&amp;"|- Lane 2 - *|"&amp;BD94)&gt;0,1,0)</f>
        <v>1</v>
      </c>
      <c r="BF94" s="30" t="n">
        <f aca="false">BE94+BF93</f>
        <v>8</v>
      </c>
    </row>
    <row r="95" customFormat="false" ht="39.75" hidden="false" customHeight="true" outlineLevel="0" collapsed="false">
      <c r="A95" s="66" t="str">
        <f aca="false">IFERROR(INDEX($BD$242:$BD$301,MATCH(8,$BF$242:$BF$301,0)),"")</f>
        <v>14:00</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Kosong  0/5  (0%)
coach: –</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Kosong  0/5  (0%)
coach: –</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Kosong  0/5  (0%)
coach: –</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Kosong  0/5  (0%)
coach: –</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Kids  1/1  (100%)
Frido</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Little  3/4  (75%)
Andreas</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Kids  4/5  (80%)
Eriek</v>
      </c>
      <c r="AN95" s="30" t="n">
        <f aca="false">IF($A95="","",IFERROR(MATCH($B$4&amp;"|- Lane 5 - "&amp;B$87&amp;"|"&amp;$A95,'Reguler Class Availability'!$L:$L,0),""))</f>
        <v>877</v>
      </c>
      <c r="AO95" s="30" t="n">
        <f aca="false">IF($A95="","",IFERROR(MATCH($B$4&amp;"|- Lane 5 - "&amp;C$87&amp;"|"&amp;$A95,'Reguler Class Availability'!$L:$L,0),""))</f>
        <v>889</v>
      </c>
      <c r="AP95" s="30" t="n">
        <f aca="false">IF($A95="","",IFERROR(MATCH($B$4&amp;"|- Lane 5 - "&amp;D$87&amp;"|"&amp;$A95,'Reguler Class Availability'!$L:$L,0),""))</f>
        <v>901</v>
      </c>
      <c r="AQ95" s="30" t="n">
        <f aca="false">IF($A95="","",IFERROR(MATCH($B$4&amp;"|- Lane 5 - "&amp;E$87&amp;"|"&amp;$A95,'Reguler Class Availability'!$L:$L,0),""))</f>
        <v>913</v>
      </c>
      <c r="AR95" s="30" t="n">
        <f aca="false">IF($A95="","",IFERROR(MATCH($B$4&amp;"|- Lane 5 - "&amp;F$87&amp;"|"&amp;$A95,'Reguler Class Availability'!$L:$L,0),""))</f>
        <v>925</v>
      </c>
      <c r="AS95" s="30" t="n">
        <f aca="false">IF($A95="","",IFERROR(MATCH($B$4&amp;"|- Lane 5 - "&amp;G$87&amp;"|"&amp;$A95,'Reguler Class Availability'!$L:$L,0),""))</f>
        <v>937</v>
      </c>
      <c r="AT95" s="30" t="n">
        <f aca="false">IF($A95="","",IFERROR(MATCH($B$4&amp;"|- Lane 5 - "&amp;H$87&amp;"|"&amp;$A95,'Reguler Class Availability'!$L:$L,0),""))</f>
        <v>949</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Kosong</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Kosong</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Kosong</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Kosong</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Penuh</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Tinggi</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Tinggi</v>
      </c>
      <c r="BD95" s="30" t="s">
        <v>144</v>
      </c>
      <c r="BE95" s="30" t="n">
        <f aca="false">IF(COUNTIFS('Reguler Class Availability'!$L:$L,$B$4&amp;"|- Lane 2 - *|"&amp;BD95)&gt;0,1,0)</f>
        <v>0</v>
      </c>
      <c r="BF95" s="30" t="n">
        <f aca="false">BE95+BF94</f>
        <v>8</v>
      </c>
    </row>
    <row r="96" customFormat="false" ht="39.75" hidden="false" customHeight="true" outlineLevel="0" collapsed="false">
      <c r="A96" s="66" t="str">
        <f aca="false">IFERROR(INDEX($BD$242:$BD$301,MATCH(9,$BF$242:$BF$301,0)),"")</f>
        <v>14:45</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Kosong  0/5  (0%)
coach: –</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Kids  1/5  (20%)
Eriek</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Little  1/1  (100%)
Andreas</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Kosong  0/5  (0%)
coach: –</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Kids  4/4  (100%)
Andreas</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Tiny  3/5  (60%)
Andreas</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Little  0/4  (0%)
Eriek</v>
      </c>
      <c r="AN96" s="30" t="n">
        <f aca="false">IF($A96="","",IFERROR(MATCH($B$4&amp;"|- Lane 5 - "&amp;B$87&amp;"|"&amp;$A96,'Reguler Class Availability'!$L:$L,0),""))</f>
        <v>878</v>
      </c>
      <c r="AO96" s="30" t="n">
        <f aca="false">IF($A96="","",IFERROR(MATCH($B$4&amp;"|- Lane 5 - "&amp;C$87&amp;"|"&amp;$A96,'Reguler Class Availability'!$L:$L,0),""))</f>
        <v>890</v>
      </c>
      <c r="AP96" s="30" t="n">
        <f aca="false">IF($A96="","",IFERROR(MATCH($B$4&amp;"|- Lane 5 - "&amp;D$87&amp;"|"&amp;$A96,'Reguler Class Availability'!$L:$L,0),""))</f>
        <v>902</v>
      </c>
      <c r="AQ96" s="30" t="n">
        <f aca="false">IF($A96="","",IFERROR(MATCH($B$4&amp;"|- Lane 5 - "&amp;E$87&amp;"|"&amp;$A96,'Reguler Class Availability'!$L:$L,0),""))</f>
        <v>914</v>
      </c>
      <c r="AR96" s="30" t="n">
        <f aca="false">IF($A96="","",IFERROR(MATCH($B$4&amp;"|- Lane 5 - "&amp;F$87&amp;"|"&amp;$A96,'Reguler Class Availability'!$L:$L,0),""))</f>
        <v>926</v>
      </c>
      <c r="AS96" s="30" t="n">
        <f aca="false">IF($A96="","",IFERROR(MATCH($B$4&amp;"|- Lane 5 - "&amp;G$87&amp;"|"&amp;$A96,'Reguler Class Availability'!$L:$L,0),""))</f>
        <v>938</v>
      </c>
      <c r="AT96" s="30" t="n">
        <f aca="false">IF($A96="","",IFERROR(MATCH($B$4&amp;"|- Lane 5 - "&amp;H$87&amp;"|"&amp;$A96,'Reguler Class Availability'!$L:$L,0),""))</f>
        <v>950</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Kosong</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Sebagian</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Penuh</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Kosong</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Penuh</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Tinggi</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Belum terisi</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15:30</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Kids  2/5  (40%)
Frido</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Kosong  0/5  (0%)
coach: –</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Kids  4/5  (80%)
Eve</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Kosong  0/5  (0%)
coach: –</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Kids  4/4  (100%)
Nabila</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Kids  4/5  (80%)
Ziran</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Kids  2/5  (40%)
Andreas</v>
      </c>
      <c r="AN97" s="30" t="n">
        <f aca="false">IF($A97="","",IFERROR(MATCH($B$4&amp;"|- Lane 5 - "&amp;B$87&amp;"|"&amp;$A97,'Reguler Class Availability'!$L:$L,0),""))</f>
        <v>879</v>
      </c>
      <c r="AO97" s="30" t="n">
        <f aca="false">IF($A97="","",IFERROR(MATCH($B$4&amp;"|- Lane 5 - "&amp;C$87&amp;"|"&amp;$A97,'Reguler Class Availability'!$L:$L,0),""))</f>
        <v>891</v>
      </c>
      <c r="AP97" s="30" t="n">
        <f aca="false">IF($A97="","",IFERROR(MATCH($B$4&amp;"|- Lane 5 - "&amp;D$87&amp;"|"&amp;$A97,'Reguler Class Availability'!$L:$L,0),""))</f>
        <v>903</v>
      </c>
      <c r="AQ97" s="30" t="n">
        <f aca="false">IF($A97="","",IFERROR(MATCH($B$4&amp;"|- Lane 5 - "&amp;E$87&amp;"|"&amp;$A97,'Reguler Class Availability'!$L:$L,0),""))</f>
        <v>915</v>
      </c>
      <c r="AR97" s="30" t="n">
        <f aca="false">IF($A97="","",IFERROR(MATCH($B$4&amp;"|- Lane 5 - "&amp;F$87&amp;"|"&amp;$A97,'Reguler Class Availability'!$L:$L,0),""))</f>
        <v>927</v>
      </c>
      <c r="AS97" s="30" t="n">
        <f aca="false">IF($A97="","",IFERROR(MATCH($B$4&amp;"|- Lane 5 - "&amp;G$87&amp;"|"&amp;$A97,'Reguler Class Availability'!$L:$L,0),""))</f>
        <v>939</v>
      </c>
      <c r="AT97" s="30" t="n">
        <f aca="false">IF($A97="","",IFERROR(MATCH($B$4&amp;"|- Lane 5 - "&amp;H$87&amp;"|"&amp;$A97,'Reguler Class Availability'!$L:$L,0),""))</f>
        <v>951</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Sebagian</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Kosong</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Tinggi</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Kosong</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Penuh</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Tinggi</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Sebagian</v>
      </c>
      <c r="BD97" s="30" t="s">
        <v>146</v>
      </c>
      <c r="BE97" s="30" t="n">
        <f aca="false">IF(COUNTIFS('Reguler Class Availability'!$L:$L,$B$4&amp;"|- Lane 2 - *|"&amp;BD97)&gt;0,1,0)</f>
        <v>1</v>
      </c>
      <c r="BF97" s="30" t="n">
        <f aca="false">BE97+BF96</f>
        <v>9</v>
      </c>
    </row>
    <row r="98" customFormat="false" ht="39.75" hidden="false" customHeight="true" outlineLevel="0" collapsed="false">
      <c r="A98" s="66" t="str">
        <f aca="false">IFERROR(INDEX($BD$242:$BD$301,MATCH(11,$BF$242:$BF$301,0)),"")</f>
        <v>16:15</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Little  1/5  (20%)
Eve</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Kids  4/5  (80%)
Frido</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Kosong  0/5  (0%)
coach: –</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Kosong  0/5  (0%)
coach: –</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Little  3/4  (75%)
Frido</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Kids  4/4  (100%)
Eriek</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Kids  2/5  (40%)
Frido</v>
      </c>
      <c r="AN98" s="30" t="n">
        <f aca="false">IF($A98="","",IFERROR(MATCH($B$4&amp;"|- Lane 5 - "&amp;B$87&amp;"|"&amp;$A98,'Reguler Class Availability'!$L:$L,0),""))</f>
        <v>880</v>
      </c>
      <c r="AO98" s="30" t="n">
        <f aca="false">IF($A98="","",IFERROR(MATCH($B$4&amp;"|- Lane 5 - "&amp;C$87&amp;"|"&amp;$A98,'Reguler Class Availability'!$L:$L,0),""))</f>
        <v>892</v>
      </c>
      <c r="AP98" s="30" t="n">
        <f aca="false">IF($A98="","",IFERROR(MATCH($B$4&amp;"|- Lane 5 - "&amp;D$87&amp;"|"&amp;$A98,'Reguler Class Availability'!$L:$L,0),""))</f>
        <v>904</v>
      </c>
      <c r="AQ98" s="30" t="n">
        <f aca="false">IF($A98="","",IFERROR(MATCH($B$4&amp;"|- Lane 5 - "&amp;E$87&amp;"|"&amp;$A98,'Reguler Class Availability'!$L:$L,0),""))</f>
        <v>916</v>
      </c>
      <c r="AR98" s="30" t="n">
        <f aca="false">IF($A98="","",IFERROR(MATCH($B$4&amp;"|- Lane 5 - "&amp;F$87&amp;"|"&amp;$A98,'Reguler Class Availability'!$L:$L,0),""))</f>
        <v>928</v>
      </c>
      <c r="AS98" s="30" t="n">
        <f aca="false">IF($A98="","",IFERROR(MATCH($B$4&amp;"|- Lane 5 - "&amp;G$87&amp;"|"&amp;$A98,'Reguler Class Availability'!$L:$L,0),""))</f>
        <v>940</v>
      </c>
      <c r="AT98" s="30" t="n">
        <f aca="false">IF($A98="","",IFERROR(MATCH($B$4&amp;"|- Lane 5 - "&amp;H$87&amp;"|"&amp;$A98,'Reguler Class Availability'!$L:$L,0),""))</f>
        <v>952</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Sebagian</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Tinggi</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Kosong</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Kosong</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Tinggi</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Penuh</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Sebagian</v>
      </c>
      <c r="BD98" s="30" t="s">
        <v>147</v>
      </c>
      <c r="BE98" s="30" t="n">
        <f aca="false">IF(COUNTIFS('Reguler Class Availability'!$L:$L,$B$4&amp;"|- Lane 2 - *|"&amp;BD98)&gt;0,1,0)</f>
        <v>0</v>
      </c>
      <c r="BF98" s="30" t="n">
        <f aca="false">BE98+BF97</f>
        <v>9</v>
      </c>
    </row>
    <row r="99" customFormat="false" ht="39.75" hidden="false" customHeight="true" outlineLevel="0" collapsed="false">
      <c r="A99" s="66" t="str">
        <f aca="false">IFERROR(INDEX($BD$242:$BD$301,MATCH(12,$BF$242:$BF$301,0)),"")</f>
        <v>17:00</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Kosong  0/5  (0%)
coach: –</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Little  2/5  (40%)
Eriek</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Kids  4/5  (80%)
Andreas</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Kosong  0/5  (0%)
coach: –</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Kids  4/5  (80%)
Ziran</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Kids  3/5  (60%)
Eve</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Little  0/5  (0%)
coach: –</v>
      </c>
      <c r="AN99" s="30" t="n">
        <f aca="false">IF($A99="","",IFERROR(MATCH($B$4&amp;"|- Lane 5 - "&amp;B$87&amp;"|"&amp;$A99,'Reguler Class Availability'!$L:$L,0),""))</f>
        <v>881</v>
      </c>
      <c r="AO99" s="30" t="n">
        <f aca="false">IF($A99="","",IFERROR(MATCH($B$4&amp;"|- Lane 5 - "&amp;C$87&amp;"|"&amp;$A99,'Reguler Class Availability'!$L:$L,0),""))</f>
        <v>893</v>
      </c>
      <c r="AP99" s="30" t="n">
        <f aca="false">IF($A99="","",IFERROR(MATCH($B$4&amp;"|- Lane 5 - "&amp;D$87&amp;"|"&amp;$A99,'Reguler Class Availability'!$L:$L,0),""))</f>
        <v>905</v>
      </c>
      <c r="AQ99" s="30" t="n">
        <f aca="false">IF($A99="","",IFERROR(MATCH($B$4&amp;"|- Lane 5 - "&amp;E$87&amp;"|"&amp;$A99,'Reguler Class Availability'!$L:$L,0),""))</f>
        <v>917</v>
      </c>
      <c r="AR99" s="30" t="n">
        <f aca="false">IF($A99="","",IFERROR(MATCH($B$4&amp;"|- Lane 5 - "&amp;F$87&amp;"|"&amp;$A99,'Reguler Class Availability'!$L:$L,0),""))</f>
        <v>929</v>
      </c>
      <c r="AS99" s="30" t="n">
        <f aca="false">IF($A99="","",IFERROR(MATCH($B$4&amp;"|- Lane 5 - "&amp;G$87&amp;"|"&amp;$A99,'Reguler Class Availability'!$L:$L,0),""))</f>
        <v>941</v>
      </c>
      <c r="AT99" s="30" t="n">
        <f aca="false">IF($A99="","",IFERROR(MATCH($B$4&amp;"|- Lane 5 - "&amp;H$87&amp;"|"&amp;$A99,'Reguler Class Availability'!$L:$L,0),""))</f>
        <v>953</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Kosong</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Sebagian</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Tinggi</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Kosong</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Tinggi</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Tinggi</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Belum terisi</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1</v>
      </c>
      <c r="BF100" s="30" t="n">
        <f aca="false">BE100+BF99</f>
        <v>10</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0</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6%</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14%</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20%</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2%</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40%</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78%</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53%</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1</v>
      </c>
      <c r="BF103" s="0" t="n">
        <f aca="false">BE103+BF102</f>
        <v>11</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0</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08:00</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v>
      </c>
      <c r="AN106" s="30" t="n">
        <f aca="false">IF($A106="","",IFERROR(MATCH($B$4&amp;"|- Lane 6 - "&amp;B$105&amp;"|"&amp;$A106,'Reguler Class Availability'!$L:$L,0),""))</f>
        <v>954</v>
      </c>
      <c r="AO106" s="30" t="n">
        <f aca="false">IF($A106="","",IFERROR(MATCH($B$4&amp;"|- Lane 6 - "&amp;C$105&amp;"|"&amp;$A106,'Reguler Class Availability'!$L:$L,0),""))</f>
        <v>966</v>
      </c>
      <c r="AP106" s="30" t="n">
        <f aca="false">IF($A106="","",IFERROR(MATCH($B$4&amp;"|- Lane 6 - "&amp;D$105&amp;"|"&amp;$A106,'Reguler Class Availability'!$L:$L,0),""))</f>
        <v>978</v>
      </c>
      <c r="AQ106" s="30" t="n">
        <f aca="false">IF($A106="","",IFERROR(MATCH($B$4&amp;"|- Lane 6 - "&amp;E$105&amp;"|"&amp;$A106,'Reguler Class Availability'!$L:$L,0),""))</f>
        <v>990</v>
      </c>
      <c r="AR106" s="30" t="n">
        <f aca="false">IF($A106="","",IFERROR(MATCH($B$4&amp;"|- Lane 6 - "&amp;F$105&amp;"|"&amp;$A106,'Reguler Class Availability'!$L:$L,0),""))</f>
        <v>1002</v>
      </c>
      <c r="AS106" s="30" t="n">
        <f aca="false">IF($A106="","",IFERROR(MATCH($B$4&amp;"|- Lane 6 - "&amp;G$105&amp;"|"&amp;$A106,'Reguler Class Availability'!$L:$L,0),""))</f>
        <v>1014</v>
      </c>
      <c r="AT106" s="30" t="n">
        <f aca="false">IF($A106="","",IFERROR(MATCH($B$4&amp;"|- Lane 6 - "&amp;H$105&amp;"|"&amp;$A106,'Reguler Class Availability'!$L:$L,0),""))</f>
        <v>1026</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Tidak dibuka</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Tidak dibuka</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Tidak dibuka</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Tidak dibuka</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Tidak dibuka</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Tidak dibuka</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Tidak dibuka</v>
      </c>
      <c r="BD106" s="30" t="s">
        <v>155</v>
      </c>
      <c r="BE106" s="30" t="n">
        <f aca="false">IF(COUNTIFS('Reguler Class Availability'!$L:$L,$B$4&amp;"|- Lane 2 - *|"&amp;BD106)&gt;0,1,0)</f>
        <v>1</v>
      </c>
      <c r="BF106" s="30" t="n">
        <f aca="false">BE106+BF105</f>
        <v>12</v>
      </c>
    </row>
    <row r="107" customFormat="false" ht="39.75" hidden="false" customHeight="true" outlineLevel="0" collapsed="false">
      <c r="A107" s="66" t="str">
        <f aca="false">IFERROR(INDEX($BD$302:$BD$361,MATCH(2,$BF$302:$BF$361,0)),"")</f>
        <v>08:45</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v>
      </c>
      <c r="AN107" s="30" t="n">
        <f aca="false">IF($A107="","",IFERROR(MATCH($B$4&amp;"|- Lane 6 - "&amp;B$105&amp;"|"&amp;$A107,'Reguler Class Availability'!$L:$L,0),""))</f>
        <v>955</v>
      </c>
      <c r="AO107" s="30" t="n">
        <f aca="false">IF($A107="","",IFERROR(MATCH($B$4&amp;"|- Lane 6 - "&amp;C$105&amp;"|"&amp;$A107,'Reguler Class Availability'!$L:$L,0),""))</f>
        <v>967</v>
      </c>
      <c r="AP107" s="30" t="n">
        <f aca="false">IF($A107="","",IFERROR(MATCH($B$4&amp;"|- Lane 6 - "&amp;D$105&amp;"|"&amp;$A107,'Reguler Class Availability'!$L:$L,0),""))</f>
        <v>979</v>
      </c>
      <c r="AQ107" s="30" t="n">
        <f aca="false">IF($A107="","",IFERROR(MATCH($B$4&amp;"|- Lane 6 - "&amp;E$105&amp;"|"&amp;$A107,'Reguler Class Availability'!$L:$L,0),""))</f>
        <v>991</v>
      </c>
      <c r="AR107" s="30" t="n">
        <f aca="false">IF($A107="","",IFERROR(MATCH($B$4&amp;"|- Lane 6 - "&amp;F$105&amp;"|"&amp;$A107,'Reguler Class Availability'!$L:$L,0),""))</f>
        <v>1003</v>
      </c>
      <c r="AS107" s="30" t="n">
        <f aca="false">IF($A107="","",IFERROR(MATCH($B$4&amp;"|- Lane 6 - "&amp;G$105&amp;"|"&amp;$A107,'Reguler Class Availability'!$L:$L,0),""))</f>
        <v>1015</v>
      </c>
      <c r="AT107" s="30" t="n">
        <f aca="false">IF($A107="","",IFERROR(MATCH($B$4&amp;"|- Lane 6 - "&amp;H$105&amp;"|"&amp;$A107,'Reguler Class Availability'!$L:$L,0),""))</f>
        <v>1027</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Tidak dibuka</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Tidak dibuka</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Tidak dibuka</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Tidak dibuka</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Tidak dibuka</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Tidak dibuka</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Tidak dibuka</v>
      </c>
      <c r="BD107" s="30" t="s">
        <v>156</v>
      </c>
      <c r="BE107" s="30" t="n">
        <f aca="false">IF(COUNTIFS('Reguler Class Availability'!$L:$L,$B$4&amp;"|- Lane 2 - *|"&amp;BD107)&gt;0,1,0)</f>
        <v>0</v>
      </c>
      <c r="BF107" s="30" t="n">
        <f aca="false">BE107+BF106</f>
        <v>12</v>
      </c>
    </row>
    <row r="108" customFormat="false" ht="39.75" hidden="false" customHeight="true" outlineLevel="0" collapsed="false">
      <c r="A108" s="66" t="str">
        <f aca="false">IFERROR(INDEX($BD$302:$BD$361,MATCH(3,$BF$302:$BF$361,0)),"")</f>
        <v>09:30</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v>
      </c>
      <c r="AN108" s="30" t="n">
        <f aca="false">IF($A108="","",IFERROR(MATCH($B$4&amp;"|- Lane 6 - "&amp;B$105&amp;"|"&amp;$A108,'Reguler Class Availability'!$L:$L,0),""))</f>
        <v>956</v>
      </c>
      <c r="AO108" s="30" t="n">
        <f aca="false">IF($A108="","",IFERROR(MATCH($B$4&amp;"|- Lane 6 - "&amp;C$105&amp;"|"&amp;$A108,'Reguler Class Availability'!$L:$L,0),""))</f>
        <v>968</v>
      </c>
      <c r="AP108" s="30" t="n">
        <f aca="false">IF($A108="","",IFERROR(MATCH($B$4&amp;"|- Lane 6 - "&amp;D$105&amp;"|"&amp;$A108,'Reguler Class Availability'!$L:$L,0),""))</f>
        <v>980</v>
      </c>
      <c r="AQ108" s="30" t="n">
        <f aca="false">IF($A108="","",IFERROR(MATCH($B$4&amp;"|- Lane 6 - "&amp;E$105&amp;"|"&amp;$A108,'Reguler Class Availability'!$L:$L,0),""))</f>
        <v>992</v>
      </c>
      <c r="AR108" s="30" t="n">
        <f aca="false">IF($A108="","",IFERROR(MATCH($B$4&amp;"|- Lane 6 - "&amp;F$105&amp;"|"&amp;$A108,'Reguler Class Availability'!$L:$L,0),""))</f>
        <v>1004</v>
      </c>
      <c r="AS108" s="30" t="n">
        <f aca="false">IF($A108="","",IFERROR(MATCH($B$4&amp;"|- Lane 6 - "&amp;G$105&amp;"|"&amp;$A108,'Reguler Class Availability'!$L:$L,0),""))</f>
        <v>1016</v>
      </c>
      <c r="AT108" s="30" t="n">
        <f aca="false">IF($A108="","",IFERROR(MATCH($B$4&amp;"|- Lane 6 - "&amp;H$105&amp;"|"&amp;$A108,'Reguler Class Availability'!$L:$L,0),""))</f>
        <v>1028</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Tidak dibuka</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Tidak dibuka</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Tidak dibuka</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Tidak dibuka</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Tidak dibuka</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Tidak dibuka</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Tidak dibuka</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10:15</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v>
      </c>
      <c r="AN109" s="30" t="n">
        <f aca="false">IF($A109="","",IFERROR(MATCH($B$4&amp;"|- Lane 6 - "&amp;B$105&amp;"|"&amp;$A109,'Reguler Class Availability'!$L:$L,0),""))</f>
        <v>957</v>
      </c>
      <c r="AO109" s="30" t="n">
        <f aca="false">IF($A109="","",IFERROR(MATCH($B$4&amp;"|- Lane 6 - "&amp;C$105&amp;"|"&amp;$A109,'Reguler Class Availability'!$L:$L,0),""))</f>
        <v>969</v>
      </c>
      <c r="AP109" s="30" t="n">
        <f aca="false">IF($A109="","",IFERROR(MATCH($B$4&amp;"|- Lane 6 - "&amp;D$105&amp;"|"&amp;$A109,'Reguler Class Availability'!$L:$L,0),""))</f>
        <v>981</v>
      </c>
      <c r="AQ109" s="30" t="n">
        <f aca="false">IF($A109="","",IFERROR(MATCH($B$4&amp;"|- Lane 6 - "&amp;E$105&amp;"|"&amp;$A109,'Reguler Class Availability'!$L:$L,0),""))</f>
        <v>993</v>
      </c>
      <c r="AR109" s="30" t="n">
        <f aca="false">IF($A109="","",IFERROR(MATCH($B$4&amp;"|- Lane 6 - "&amp;F$105&amp;"|"&amp;$A109,'Reguler Class Availability'!$L:$L,0),""))</f>
        <v>1005</v>
      </c>
      <c r="AS109" s="30" t="n">
        <f aca="false">IF($A109="","",IFERROR(MATCH($B$4&amp;"|- Lane 6 - "&amp;G$105&amp;"|"&amp;$A109,'Reguler Class Availability'!$L:$L,0),""))</f>
        <v>1017</v>
      </c>
      <c r="AT109" s="30" t="n">
        <f aca="false">IF($A109="","",IFERROR(MATCH($B$4&amp;"|- Lane 6 - "&amp;H$105&amp;"|"&amp;$A109,'Reguler Class Availability'!$L:$L,0),""))</f>
        <v>1029</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Tidak dibuka</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Tidak dibuka</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Tidak dibuka</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Tidak dibuka</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Tidak dibuka</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Tidak dibuka</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Tidak dibuka</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11:00</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v>
      </c>
      <c r="AN110" s="30" t="n">
        <f aca="false">IF($A110="","",IFERROR(MATCH($B$4&amp;"|- Lane 6 - "&amp;B$105&amp;"|"&amp;$A110,'Reguler Class Availability'!$L:$L,0),""))</f>
        <v>958</v>
      </c>
      <c r="AO110" s="30" t="n">
        <f aca="false">IF($A110="","",IFERROR(MATCH($B$4&amp;"|- Lane 6 - "&amp;C$105&amp;"|"&amp;$A110,'Reguler Class Availability'!$L:$L,0),""))</f>
        <v>970</v>
      </c>
      <c r="AP110" s="30" t="n">
        <f aca="false">IF($A110="","",IFERROR(MATCH($B$4&amp;"|- Lane 6 - "&amp;D$105&amp;"|"&amp;$A110,'Reguler Class Availability'!$L:$L,0),""))</f>
        <v>982</v>
      </c>
      <c r="AQ110" s="30" t="n">
        <f aca="false">IF($A110="","",IFERROR(MATCH($B$4&amp;"|- Lane 6 - "&amp;E$105&amp;"|"&amp;$A110,'Reguler Class Availability'!$L:$L,0),""))</f>
        <v>994</v>
      </c>
      <c r="AR110" s="30" t="n">
        <f aca="false">IF($A110="","",IFERROR(MATCH($B$4&amp;"|- Lane 6 - "&amp;F$105&amp;"|"&amp;$A110,'Reguler Class Availability'!$L:$L,0),""))</f>
        <v>1006</v>
      </c>
      <c r="AS110" s="30" t="n">
        <f aca="false">IF($A110="","",IFERROR(MATCH($B$4&amp;"|- Lane 6 - "&amp;G$105&amp;"|"&amp;$A110,'Reguler Class Availability'!$L:$L,0),""))</f>
        <v>1018</v>
      </c>
      <c r="AT110" s="30" t="n">
        <f aca="false">IF($A110="","",IFERROR(MATCH($B$4&amp;"|- Lane 6 - "&amp;H$105&amp;"|"&amp;$A110,'Reguler Class Availability'!$L:$L,0),""))</f>
        <v>1030</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Tidak dibuka</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Tidak dibuka</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Tidak dibuka</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Tidak dibuka</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Tidak dibuka</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Tidak dibuka</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Tidak dibuka</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11:45</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v>
      </c>
      <c r="AN111" s="30" t="n">
        <f aca="false">IF($A111="","",IFERROR(MATCH($B$4&amp;"|- Lane 6 - "&amp;B$105&amp;"|"&amp;$A111,'Reguler Class Availability'!$L:$L,0),""))</f>
        <v>959</v>
      </c>
      <c r="AO111" s="30" t="n">
        <f aca="false">IF($A111="","",IFERROR(MATCH($B$4&amp;"|- Lane 6 - "&amp;C$105&amp;"|"&amp;$A111,'Reguler Class Availability'!$L:$L,0),""))</f>
        <v>971</v>
      </c>
      <c r="AP111" s="30" t="n">
        <f aca="false">IF($A111="","",IFERROR(MATCH($B$4&amp;"|- Lane 6 - "&amp;D$105&amp;"|"&amp;$A111,'Reguler Class Availability'!$L:$L,0),""))</f>
        <v>983</v>
      </c>
      <c r="AQ111" s="30" t="n">
        <f aca="false">IF($A111="","",IFERROR(MATCH($B$4&amp;"|- Lane 6 - "&amp;E$105&amp;"|"&amp;$A111,'Reguler Class Availability'!$L:$L,0),""))</f>
        <v>995</v>
      </c>
      <c r="AR111" s="30" t="n">
        <f aca="false">IF($A111="","",IFERROR(MATCH($B$4&amp;"|- Lane 6 - "&amp;F$105&amp;"|"&amp;$A111,'Reguler Class Availability'!$L:$L,0),""))</f>
        <v>1007</v>
      </c>
      <c r="AS111" s="30" t="n">
        <f aca="false">IF($A111="","",IFERROR(MATCH($B$4&amp;"|- Lane 6 - "&amp;G$105&amp;"|"&amp;$A111,'Reguler Class Availability'!$L:$L,0),""))</f>
        <v>1019</v>
      </c>
      <c r="AT111" s="30" t="n">
        <f aca="false">IF($A111="","",IFERROR(MATCH($B$4&amp;"|- Lane 6 - "&amp;H$105&amp;"|"&amp;$A111,'Reguler Class Availability'!$L:$L,0),""))</f>
        <v>1031</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Tidak dibuka</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Tidak dibuka</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Tidak dibuka</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Tidak dibuka</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Tidak dibuka</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Tidak dibuka</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Tidak dibuka</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13:15</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v>
      </c>
      <c r="AN112" s="30" t="n">
        <f aca="false">IF($A112="","",IFERROR(MATCH($B$4&amp;"|- Lane 6 - "&amp;B$105&amp;"|"&amp;$A112,'Reguler Class Availability'!$L:$L,0),""))</f>
        <v>960</v>
      </c>
      <c r="AO112" s="30" t="n">
        <f aca="false">IF($A112="","",IFERROR(MATCH($B$4&amp;"|- Lane 6 - "&amp;C$105&amp;"|"&amp;$A112,'Reguler Class Availability'!$L:$L,0),""))</f>
        <v>972</v>
      </c>
      <c r="AP112" s="30" t="n">
        <f aca="false">IF($A112="","",IFERROR(MATCH($B$4&amp;"|- Lane 6 - "&amp;D$105&amp;"|"&amp;$A112,'Reguler Class Availability'!$L:$L,0),""))</f>
        <v>984</v>
      </c>
      <c r="AQ112" s="30" t="n">
        <f aca="false">IF($A112="","",IFERROR(MATCH($B$4&amp;"|- Lane 6 - "&amp;E$105&amp;"|"&amp;$A112,'Reguler Class Availability'!$L:$L,0),""))</f>
        <v>996</v>
      </c>
      <c r="AR112" s="30" t="n">
        <f aca="false">IF($A112="","",IFERROR(MATCH($B$4&amp;"|- Lane 6 - "&amp;F$105&amp;"|"&amp;$A112,'Reguler Class Availability'!$L:$L,0),""))</f>
        <v>1008</v>
      </c>
      <c r="AS112" s="30" t="n">
        <f aca="false">IF($A112="","",IFERROR(MATCH($B$4&amp;"|- Lane 6 - "&amp;G$105&amp;"|"&amp;$A112,'Reguler Class Availability'!$L:$L,0),""))</f>
        <v>1020</v>
      </c>
      <c r="AT112" s="30" t="n">
        <f aca="false">IF($A112="","",IFERROR(MATCH($B$4&amp;"|- Lane 6 - "&amp;H$105&amp;"|"&amp;$A112,'Reguler Class Availability'!$L:$L,0),""))</f>
        <v>1032</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Tidak dibuka</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Tidak dibuka</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Tidak dibuka</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Tidak dibuka</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Tidak dibuka</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Tidak dibuka</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Tidak dibuka</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14:00</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v>
      </c>
      <c r="AN113" s="30" t="n">
        <f aca="false">IF($A113="","",IFERROR(MATCH($B$4&amp;"|- Lane 6 - "&amp;B$105&amp;"|"&amp;$A113,'Reguler Class Availability'!$L:$L,0),""))</f>
        <v>961</v>
      </c>
      <c r="AO113" s="30" t="n">
        <f aca="false">IF($A113="","",IFERROR(MATCH($B$4&amp;"|- Lane 6 - "&amp;C$105&amp;"|"&amp;$A113,'Reguler Class Availability'!$L:$L,0),""))</f>
        <v>973</v>
      </c>
      <c r="AP113" s="30" t="n">
        <f aca="false">IF($A113="","",IFERROR(MATCH($B$4&amp;"|- Lane 6 - "&amp;D$105&amp;"|"&amp;$A113,'Reguler Class Availability'!$L:$L,0),""))</f>
        <v>985</v>
      </c>
      <c r="AQ113" s="30" t="n">
        <f aca="false">IF($A113="","",IFERROR(MATCH($B$4&amp;"|- Lane 6 - "&amp;E$105&amp;"|"&amp;$A113,'Reguler Class Availability'!$L:$L,0),""))</f>
        <v>997</v>
      </c>
      <c r="AR113" s="30" t="n">
        <f aca="false">IF($A113="","",IFERROR(MATCH($B$4&amp;"|- Lane 6 - "&amp;F$105&amp;"|"&amp;$A113,'Reguler Class Availability'!$L:$L,0),""))</f>
        <v>1009</v>
      </c>
      <c r="AS113" s="30" t="n">
        <f aca="false">IF($A113="","",IFERROR(MATCH($B$4&amp;"|- Lane 6 - "&amp;G$105&amp;"|"&amp;$A113,'Reguler Class Availability'!$L:$L,0),""))</f>
        <v>1021</v>
      </c>
      <c r="AT113" s="30" t="n">
        <f aca="false">IF($A113="","",IFERROR(MATCH($B$4&amp;"|- Lane 6 - "&amp;H$105&amp;"|"&amp;$A113,'Reguler Class Availability'!$L:$L,0),""))</f>
        <v>1033</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Tidak dibuka</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Tidak dibuka</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Tidak dibuka</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Tidak dibuka</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Tidak dibuka</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Tidak dibuka</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Tidak dibuka</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14:45</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v>
      </c>
      <c r="AN114" s="30" t="n">
        <f aca="false">IF($A114="","",IFERROR(MATCH($B$4&amp;"|- Lane 6 - "&amp;B$105&amp;"|"&amp;$A114,'Reguler Class Availability'!$L:$L,0),""))</f>
        <v>962</v>
      </c>
      <c r="AO114" s="30" t="n">
        <f aca="false">IF($A114="","",IFERROR(MATCH($B$4&amp;"|- Lane 6 - "&amp;C$105&amp;"|"&amp;$A114,'Reguler Class Availability'!$L:$L,0),""))</f>
        <v>974</v>
      </c>
      <c r="AP114" s="30" t="n">
        <f aca="false">IF($A114="","",IFERROR(MATCH($B$4&amp;"|- Lane 6 - "&amp;D$105&amp;"|"&amp;$A114,'Reguler Class Availability'!$L:$L,0),""))</f>
        <v>986</v>
      </c>
      <c r="AQ114" s="30" t="n">
        <f aca="false">IF($A114="","",IFERROR(MATCH($B$4&amp;"|- Lane 6 - "&amp;E$105&amp;"|"&amp;$A114,'Reguler Class Availability'!$L:$L,0),""))</f>
        <v>998</v>
      </c>
      <c r="AR114" s="30" t="n">
        <f aca="false">IF($A114="","",IFERROR(MATCH($B$4&amp;"|- Lane 6 - "&amp;F$105&amp;"|"&amp;$A114,'Reguler Class Availability'!$L:$L,0),""))</f>
        <v>1010</v>
      </c>
      <c r="AS114" s="30" t="n">
        <f aca="false">IF($A114="","",IFERROR(MATCH($B$4&amp;"|- Lane 6 - "&amp;G$105&amp;"|"&amp;$A114,'Reguler Class Availability'!$L:$L,0),""))</f>
        <v>1022</v>
      </c>
      <c r="AT114" s="30" t="n">
        <f aca="false">IF($A114="","",IFERROR(MATCH($B$4&amp;"|- Lane 6 - "&amp;H$105&amp;"|"&amp;$A114,'Reguler Class Availability'!$L:$L,0),""))</f>
        <v>1034</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Tidak dibuka</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Tidak dibuka</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Tidak dibuka</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Tidak dibuka</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Tidak dibuka</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Tidak dibuka</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Tidak dibuka</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15:30</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v>
      </c>
      <c r="AN115" s="30" t="n">
        <f aca="false">IF($A115="","",IFERROR(MATCH($B$4&amp;"|- Lane 6 - "&amp;B$105&amp;"|"&amp;$A115,'Reguler Class Availability'!$L:$L,0),""))</f>
        <v>963</v>
      </c>
      <c r="AO115" s="30" t="n">
        <f aca="false">IF($A115="","",IFERROR(MATCH($B$4&amp;"|- Lane 6 - "&amp;C$105&amp;"|"&amp;$A115,'Reguler Class Availability'!$L:$L,0),""))</f>
        <v>975</v>
      </c>
      <c r="AP115" s="30" t="n">
        <f aca="false">IF($A115="","",IFERROR(MATCH($B$4&amp;"|- Lane 6 - "&amp;D$105&amp;"|"&amp;$A115,'Reguler Class Availability'!$L:$L,0),""))</f>
        <v>987</v>
      </c>
      <c r="AQ115" s="30" t="n">
        <f aca="false">IF($A115="","",IFERROR(MATCH($B$4&amp;"|- Lane 6 - "&amp;E$105&amp;"|"&amp;$A115,'Reguler Class Availability'!$L:$L,0),""))</f>
        <v>999</v>
      </c>
      <c r="AR115" s="30" t="n">
        <f aca="false">IF($A115="","",IFERROR(MATCH($B$4&amp;"|- Lane 6 - "&amp;F$105&amp;"|"&amp;$A115,'Reguler Class Availability'!$L:$L,0),""))</f>
        <v>1011</v>
      </c>
      <c r="AS115" s="30" t="n">
        <f aca="false">IF($A115="","",IFERROR(MATCH($B$4&amp;"|- Lane 6 - "&amp;G$105&amp;"|"&amp;$A115,'Reguler Class Availability'!$L:$L,0),""))</f>
        <v>1023</v>
      </c>
      <c r="AT115" s="30" t="n">
        <f aca="false">IF($A115="","",IFERROR(MATCH($B$4&amp;"|- Lane 6 - "&amp;H$105&amp;"|"&amp;$A115,'Reguler Class Availability'!$L:$L,0),""))</f>
        <v>1035</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Tidak dibuka</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Tidak dibuka</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Tidak dibuka</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Tidak dibuka</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Tidak dibuka</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Tidak dibuka</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Tidak dibuka</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16:15</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v>
      </c>
      <c r="AN116" s="30" t="n">
        <f aca="false">IF($A116="","",IFERROR(MATCH($B$4&amp;"|- Lane 6 - "&amp;B$105&amp;"|"&amp;$A116,'Reguler Class Availability'!$L:$L,0),""))</f>
        <v>964</v>
      </c>
      <c r="AO116" s="30" t="n">
        <f aca="false">IF($A116="","",IFERROR(MATCH($B$4&amp;"|- Lane 6 - "&amp;C$105&amp;"|"&amp;$A116,'Reguler Class Availability'!$L:$L,0),""))</f>
        <v>976</v>
      </c>
      <c r="AP116" s="30" t="n">
        <f aca="false">IF($A116="","",IFERROR(MATCH($B$4&amp;"|- Lane 6 - "&amp;D$105&amp;"|"&amp;$A116,'Reguler Class Availability'!$L:$L,0),""))</f>
        <v>988</v>
      </c>
      <c r="AQ116" s="30" t="n">
        <f aca="false">IF($A116="","",IFERROR(MATCH($B$4&amp;"|- Lane 6 - "&amp;E$105&amp;"|"&amp;$A116,'Reguler Class Availability'!$L:$L,0),""))</f>
        <v>1000</v>
      </c>
      <c r="AR116" s="30" t="n">
        <f aca="false">IF($A116="","",IFERROR(MATCH($B$4&amp;"|- Lane 6 - "&amp;F$105&amp;"|"&amp;$A116,'Reguler Class Availability'!$L:$L,0),""))</f>
        <v>1012</v>
      </c>
      <c r="AS116" s="30" t="n">
        <f aca="false">IF($A116="","",IFERROR(MATCH($B$4&amp;"|- Lane 6 - "&amp;G$105&amp;"|"&amp;$A116,'Reguler Class Availability'!$L:$L,0),""))</f>
        <v>1024</v>
      </c>
      <c r="AT116" s="30" t="n">
        <f aca="false">IF($A116="","",IFERROR(MATCH($B$4&amp;"|- Lane 6 - "&amp;H$105&amp;"|"&amp;$A116,'Reguler Class Availability'!$L:$L,0),""))</f>
        <v>1036</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Tidak dibuka</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Tidak dibuka</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Tidak dibuka</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Tidak dibuka</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Tidak dibuka</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Tidak dibuka</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Tidak dibuka</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17:00</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v>
      </c>
      <c r="AN117" s="30" t="n">
        <f aca="false">IF($A117="","",IFERROR(MATCH($B$4&amp;"|- Lane 6 - "&amp;B$105&amp;"|"&amp;$A117,'Reguler Class Availability'!$L:$L,0),""))</f>
        <v>965</v>
      </c>
      <c r="AO117" s="30" t="n">
        <f aca="false">IF($A117="","",IFERROR(MATCH($B$4&amp;"|- Lane 6 - "&amp;C$105&amp;"|"&amp;$A117,'Reguler Class Availability'!$L:$L,0),""))</f>
        <v>977</v>
      </c>
      <c r="AP117" s="30" t="n">
        <f aca="false">IF($A117="","",IFERROR(MATCH($B$4&amp;"|- Lane 6 - "&amp;D$105&amp;"|"&amp;$A117,'Reguler Class Availability'!$L:$L,0),""))</f>
        <v>989</v>
      </c>
      <c r="AQ117" s="30" t="n">
        <f aca="false">IF($A117="","",IFERROR(MATCH($B$4&amp;"|- Lane 6 - "&amp;E$105&amp;"|"&amp;$A117,'Reguler Class Availability'!$L:$L,0),""))</f>
        <v>1001</v>
      </c>
      <c r="AR117" s="30" t="n">
        <f aca="false">IF($A117="","",IFERROR(MATCH($B$4&amp;"|- Lane 6 - "&amp;F$105&amp;"|"&amp;$A117,'Reguler Class Availability'!$L:$L,0),""))</f>
        <v>1013</v>
      </c>
      <c r="AS117" s="30" t="n">
        <f aca="false">IF($A117="","",IFERROR(MATCH($B$4&amp;"|- Lane 6 - "&amp;G$105&amp;"|"&amp;$A117,'Reguler Class Availability'!$L:$L,0),""))</f>
        <v>1025</v>
      </c>
      <c r="AT117" s="30" t="n">
        <f aca="false">IF($A117="","",IFERROR(MATCH($B$4&amp;"|- Lane 6 - "&amp;H$105&amp;"|"&amp;$A117,'Reguler Class Availability'!$L:$L,0),""))</f>
        <v>1037</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Tidak dibuka</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Tidak dibuka</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Tidak dibuka</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Tidak dibuka</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Tidak dibuka</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Tidak dibuka</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Tidak dibuka</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65.25" hidden="false" customHeight="true" outlineLevel="0" collapsed="false">
      <c r="A127" s="76" t="n">
        <v>1</v>
      </c>
      <c r="B127" s="77" t="s">
        <v>114</v>
      </c>
      <c r="C127" s="76" t="s">
        <v>91</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Star</v>
      </c>
      <c r="G127" s="76" t="n">
        <f aca="false">IF($Q127="","",IFERROR(--(INDEX('Reguler Class Availability'!$F:$F,$Q127)&amp;""),0))</f>
        <v>8</v>
      </c>
      <c r="H127" s="77" t="str">
        <f aca="false">IF($Q127="","",PROPER(INDEX('Reguler Class Availability'!$I:$I,$Q127)&amp;"")&amp;IF(INDEX('Reguler Class Availability'!$J:$J,$Q127)&amp;""="",""," + asst "&amp;PROPER(INDEX('Reguler Class Availability'!$J:$J,$Q127)&amp;"")))</f>
        <v/>
      </c>
      <c r="I127" s="77" t="s">
        <v>269</v>
      </c>
      <c r="J127" s="77" t="s">
        <v>186</v>
      </c>
      <c r="K127" s="78"/>
      <c r="L127" s="78"/>
      <c r="M127" s="78"/>
      <c r="N127" s="79"/>
      <c r="O127" s="78"/>
      <c r="Q127" s="30" t="n">
        <f aca="false">IFERROR(MATCH($B$4&amp;"|- Lane "&amp;D127&amp;" - "&amp;B127&amp;"|"&amp;C127,'Reguler Class Availability'!$L:$L,0),"")</f>
        <v>604</v>
      </c>
      <c r="BD127" s="30" t="s">
        <v>90</v>
      </c>
      <c r="BE127" s="30" t="n">
        <f aca="false">IF(COUNTIFS('Reguler Class Availability'!$L:$L,$B$4&amp;"|- Lane 3 - *|"&amp;BD127)&gt;0,1,0)</f>
        <v>0</v>
      </c>
      <c r="BF127" s="30" t="n">
        <f aca="false">BE127+BF126</f>
        <v>0</v>
      </c>
    </row>
    <row r="128" customFormat="false" ht="40.5" hidden="false" customHeight="true" outlineLevel="0" collapsed="false">
      <c r="A128" s="76" t="n">
        <v>2</v>
      </c>
      <c r="B128" s="77" t="s">
        <v>114</v>
      </c>
      <c r="C128" s="76" t="s">
        <v>120</v>
      </c>
      <c r="D128" s="76" t="n">
        <v>5</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Kosong</v>
      </c>
      <c r="F128" s="77" t="str">
        <f aca="false">IF($Q128="","",PROPER(INDEX('Reguler Class Availability'!$B:$B,$Q128)&amp;""))</f>
        <v/>
      </c>
      <c r="G128" s="76" t="n">
        <f aca="false">IF($Q128="","",IFERROR(--(INDEX('Reguler Class Availability'!$F:$F,$Q128)&amp;""),0))</f>
        <v>5</v>
      </c>
      <c r="H128" s="77" t="str">
        <f aca="false">IF($Q128="","",PROPER(INDEX('Reguler Class Availability'!$I:$I,$Q128)&amp;"")&amp;IF(INDEX('Reguler Class Availability'!$J:$J,$Q128)&amp;""="",""," + asst "&amp;PROPER(INDEX('Reguler Class Availability'!$J:$J,$Q128)&amp;"")))</f>
        <v/>
      </c>
      <c r="I128" s="77" t="s">
        <v>270</v>
      </c>
      <c r="J128" s="77" t="s">
        <v>186</v>
      </c>
      <c r="K128" s="78"/>
      <c r="L128" s="78"/>
      <c r="M128" s="78"/>
      <c r="N128" s="79"/>
      <c r="O128" s="78"/>
      <c r="Q128" s="30" t="n">
        <f aca="false">IFERROR(MATCH($B$4&amp;"|- Lane "&amp;D128&amp;" - "&amp;B128&amp;"|"&amp;C128,'Reguler Class Availability'!$L:$L,0),"")</f>
        <v>871</v>
      </c>
      <c r="BD128" s="30" t="s">
        <v>91</v>
      </c>
      <c r="BE128" s="30" t="n">
        <f aca="false">IF(COUNTIFS('Reguler Class Availability'!$L:$L,$B$4&amp;"|- Lane 3 - *|"&amp;BD128)&gt;0,1,0)</f>
        <v>0</v>
      </c>
      <c r="BF128" s="30" t="n">
        <f aca="false">BE128+BF127</f>
        <v>0</v>
      </c>
    </row>
    <row r="129" customFormat="false" ht="40.5" hidden="false" customHeight="true" outlineLevel="0" collapsed="false">
      <c r="A129" s="76" t="n">
        <v>3</v>
      </c>
      <c r="B129" s="77" t="s">
        <v>114</v>
      </c>
      <c r="C129" s="76" t="s">
        <v>121</v>
      </c>
      <c r="D129" s="76" t="n">
        <v>3</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Belum terisi</v>
      </c>
      <c r="F129" s="77" t="str">
        <f aca="false">IF($Q129="","",PROPER(INDEX('Reguler Class Availability'!$B:$B,$Q129)&amp;""))</f>
        <v>Little</v>
      </c>
      <c r="G129" s="76" t="n">
        <f aca="false">IF($Q129="","",IFERROR(--(INDEX('Reguler Class Availability'!$F:$F,$Q129)&amp;""),0))</f>
        <v>4</v>
      </c>
      <c r="H129" s="77" t="str">
        <f aca="false">IF($Q129="","",PROPER(INDEX('Reguler Class Availability'!$I:$I,$Q129)&amp;"")&amp;IF(INDEX('Reguler Class Availability'!$J:$J,$Q129)&amp;""="",""," + asst "&amp;PROPER(INDEX('Reguler Class Availability'!$J:$J,$Q129)&amp;"")))</f>
        <v/>
      </c>
      <c r="I129" s="77" t="s">
        <v>270</v>
      </c>
      <c r="J129" s="77" t="s">
        <v>186</v>
      </c>
      <c r="K129" s="78"/>
      <c r="L129" s="78"/>
      <c r="M129" s="78"/>
      <c r="N129" s="79"/>
      <c r="O129" s="78"/>
      <c r="Q129" s="30" t="n">
        <f aca="false">IFERROR(MATCH($B$4&amp;"|- Lane "&amp;D129&amp;" - "&amp;B129&amp;"|"&amp;C129,'Reguler Class Availability'!$L:$L,0),"")</f>
        <v>703</v>
      </c>
      <c r="BD129" s="30" t="s">
        <v>98</v>
      </c>
      <c r="BE129" s="30" t="n">
        <f aca="false">IF(COUNTIFS('Reguler Class Availability'!$L:$L,$B$4&amp;"|- Lane 3 - *|"&amp;BD129)&gt;0,1,0)</f>
        <v>0</v>
      </c>
      <c r="BF129" s="30" t="n">
        <f aca="false">BE129+BF128</f>
        <v>0</v>
      </c>
    </row>
    <row r="130" customFormat="false" ht="40.5" hidden="false" customHeight="true" outlineLevel="0" collapsed="false">
      <c r="A130" s="76" t="n">
        <v>4</v>
      </c>
      <c r="B130" s="77" t="s">
        <v>114</v>
      </c>
      <c r="C130" s="76" t="s">
        <v>121</v>
      </c>
      <c r="D130" s="76" t="n">
        <v>4</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Belum terisi</v>
      </c>
      <c r="F130" s="77" t="str">
        <f aca="false">IF($Q130="","",PROPER(INDEX('Reguler Class Availability'!$B:$B,$Q130)&amp;""))</f>
        <v>Kids</v>
      </c>
      <c r="G130" s="76" t="n">
        <f aca="false">IF($Q130="","",IFERROR(--(INDEX('Reguler Class Availability'!$F:$F,$Q130)&amp;""),0))</f>
        <v>4</v>
      </c>
      <c r="H130" s="77" t="str">
        <f aca="false">IF($Q130="","",PROPER(INDEX('Reguler Class Availability'!$I:$I,$Q130)&amp;"")&amp;IF(INDEX('Reguler Class Availability'!$J:$J,$Q130)&amp;""="",""," + asst "&amp;PROPER(INDEX('Reguler Class Availability'!$J:$J,$Q130)&amp;"")))</f>
        <v/>
      </c>
      <c r="I130" s="77" t="s">
        <v>270</v>
      </c>
      <c r="J130" s="77" t="s">
        <v>186</v>
      </c>
      <c r="K130" s="78"/>
      <c r="L130" s="78"/>
      <c r="M130" s="78"/>
      <c r="N130" s="79"/>
      <c r="O130" s="78"/>
      <c r="Q130" s="30" t="n">
        <f aca="false">IFERROR(MATCH($B$4&amp;"|- Lane "&amp;D130&amp;" - "&amp;B130&amp;"|"&amp;C130,'Reguler Class Availability'!$L:$L,0),"")</f>
        <v>787</v>
      </c>
      <c r="BD130" s="30" t="s">
        <v>105</v>
      </c>
      <c r="BE130" s="30" t="n">
        <f aca="false">IF(COUNTIFS('Reguler Class Availability'!$L:$L,$B$4&amp;"|- Lane 3 - *|"&amp;BD130)&gt;0,1,0)</f>
        <v>0</v>
      </c>
      <c r="BF130" s="30" t="n">
        <f aca="false">BE130+BF129</f>
        <v>0</v>
      </c>
    </row>
    <row r="131" customFormat="false" ht="52.5" hidden="false" customHeight="true" outlineLevel="0" collapsed="false">
      <c r="A131" s="76" t="n">
        <v>5</v>
      </c>
      <c r="B131" s="77" t="s">
        <v>114</v>
      </c>
      <c r="C131" s="76" t="s">
        <v>123</v>
      </c>
      <c r="D131" s="76" t="n">
        <v>1</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Baby</v>
      </c>
      <c r="G131" s="76" t="n">
        <f aca="false">IF($Q131="","",IFERROR(--(INDEX('Reguler Class Availability'!$F:$F,$Q131)&amp;""),0))</f>
        <v>5</v>
      </c>
      <c r="H131" s="77" t="str">
        <f aca="false">IF($Q131="","",PROPER(INDEX('Reguler Class Availability'!$I:$I,$Q131)&amp;"")&amp;IF(INDEX('Reguler Class Availability'!$J:$J,$Q131)&amp;""="",""," + asst "&amp;PROPER(INDEX('Reguler Class Availability'!$J:$J,$Q131)&amp;"")))</f>
        <v/>
      </c>
      <c r="I131" s="77" t="s">
        <v>271</v>
      </c>
      <c r="J131" s="77" t="s">
        <v>186</v>
      </c>
      <c r="K131" s="78"/>
      <c r="L131" s="78"/>
      <c r="M131" s="78"/>
      <c r="N131" s="79"/>
      <c r="O131" s="78"/>
      <c r="Q131" s="30" t="n">
        <f aca="false">IFERROR(MATCH($B$4&amp;"|- Lane "&amp;D131&amp;" - "&amp;B131&amp;"|"&amp;C131,'Reguler Class Availability'!$L:$L,0),"")</f>
        <v>522</v>
      </c>
      <c r="BD131" s="30" t="s">
        <v>110</v>
      </c>
      <c r="BE131" s="30" t="n">
        <f aca="false">IF(COUNTIFS('Reguler Class Availability'!$L:$L,$B$4&amp;"|- Lane 3 - *|"&amp;BD131)&gt;0,1,0)</f>
        <v>1</v>
      </c>
      <c r="BF131" s="30" t="n">
        <f aca="false">BE131+BF130</f>
        <v>1</v>
      </c>
    </row>
    <row r="132" customFormat="false" ht="52.5" hidden="false" customHeight="true" outlineLevel="0" collapsed="false">
      <c r="A132" s="76" t="n">
        <v>6</v>
      </c>
      <c r="B132" s="77" t="s">
        <v>114</v>
      </c>
      <c r="C132" s="76" t="s">
        <v>123</v>
      </c>
      <c r="D132" s="76" t="n">
        <v>2</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Tiny</v>
      </c>
      <c r="G132" s="76" t="n">
        <f aca="false">IF($Q132="","",IFERROR(--(INDEX('Reguler Class Availability'!$F:$F,$Q132)&amp;""),0))</f>
        <v>5</v>
      </c>
      <c r="H132" s="77" t="str">
        <f aca="false">IF($Q132="","",PROPER(INDEX('Reguler Class Availability'!$I:$I,$Q132)&amp;"")&amp;IF(INDEX('Reguler Class Availability'!$J:$J,$Q132)&amp;""="",""," + asst "&amp;PROPER(INDEX('Reguler Class Availability'!$J:$J,$Q132)&amp;"")))</f>
        <v/>
      </c>
      <c r="I132" s="77" t="s">
        <v>271</v>
      </c>
      <c r="J132" s="77" t="s">
        <v>186</v>
      </c>
      <c r="K132" s="78"/>
      <c r="L132" s="78"/>
      <c r="M132" s="78"/>
      <c r="N132" s="79"/>
      <c r="O132" s="78"/>
      <c r="Q132" s="30" t="n">
        <f aca="false">IFERROR(MATCH($B$4&amp;"|- Lane "&amp;D132&amp;" - "&amp;B132&amp;"|"&amp;C132,'Reguler Class Availability'!$L:$L,0),"")</f>
        <v>620</v>
      </c>
      <c r="BD132" s="30" t="s">
        <v>112</v>
      </c>
      <c r="BE132" s="30" t="n">
        <f aca="false">IF(COUNTIFS('Reguler Class Availability'!$L:$L,$B$4&amp;"|- Lane 3 - *|"&amp;BD132)&gt;0,1,0)</f>
        <v>0</v>
      </c>
      <c r="BF132" s="30" t="n">
        <f aca="false">BE132+BF131</f>
        <v>1</v>
      </c>
    </row>
    <row r="133" customFormat="false" ht="52.5" hidden="false" customHeight="true" outlineLevel="0" collapsed="false">
      <c r="A133" s="76" t="n">
        <v>7</v>
      </c>
      <c r="B133" s="77" t="s">
        <v>114</v>
      </c>
      <c r="C133" s="76" t="s">
        <v>123</v>
      </c>
      <c r="D133" s="76" t="n">
        <v>5</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Kosong</v>
      </c>
      <c r="F133" s="77" t="str">
        <f aca="false">IF($Q133="","",PROPER(INDEX('Reguler Class Availability'!$B:$B,$Q133)&amp;""))</f>
        <v/>
      </c>
      <c r="G133" s="76" t="n">
        <f aca="false">IF($Q133="","",IFERROR(--(INDEX('Reguler Class Availability'!$F:$F,$Q133)&amp;""),0))</f>
        <v>5</v>
      </c>
      <c r="H133" s="77" t="str">
        <f aca="false">IF($Q133="","",PROPER(INDEX('Reguler Class Availability'!$I:$I,$Q133)&amp;"")&amp;IF(INDEX('Reguler Class Availability'!$J:$J,$Q133)&amp;""="",""," + asst "&amp;PROPER(INDEX('Reguler Class Availability'!$J:$J,$Q133)&amp;"")))</f>
        <v/>
      </c>
      <c r="I133" s="77" t="s">
        <v>271</v>
      </c>
      <c r="J133" s="77" t="s">
        <v>186</v>
      </c>
      <c r="K133" s="78"/>
      <c r="L133" s="78"/>
      <c r="M133" s="78"/>
      <c r="N133" s="79"/>
      <c r="O133" s="78"/>
      <c r="Q133" s="30" t="n">
        <f aca="false">IFERROR(MATCH($B$4&amp;"|- Lane "&amp;D133&amp;" - "&amp;B133&amp;"|"&amp;C133,'Reguler Class Availability'!$L:$L,0),"")</f>
        <v>872</v>
      </c>
      <c r="BD133" s="30" t="s">
        <v>120</v>
      </c>
      <c r="BE133" s="30" t="n">
        <f aca="false">IF(COUNTIFS('Reguler Class Availability'!$L:$L,$B$4&amp;"|- Lane 3 - *|"&amp;BD133)&gt;0,1,0)</f>
        <v>0</v>
      </c>
      <c r="BF133" s="30" t="n">
        <f aca="false">BE133+BF132</f>
        <v>1</v>
      </c>
    </row>
    <row r="134" customFormat="false" ht="52.5" hidden="false" customHeight="true" outlineLevel="0" collapsed="false">
      <c r="A134" s="76" t="n">
        <v>8</v>
      </c>
      <c r="B134" s="77" t="s">
        <v>114</v>
      </c>
      <c r="C134" s="76" t="s">
        <v>124</v>
      </c>
      <c r="D134" s="76" t="n">
        <v>3</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Belum terisi</v>
      </c>
      <c r="F134" s="77" t="str">
        <f aca="false">IF($Q134="","",PROPER(INDEX('Reguler Class Availability'!$B:$B,$Q134)&amp;""))</f>
        <v>Little</v>
      </c>
      <c r="G134" s="76" t="n">
        <f aca="false">IF($Q134="","",IFERROR(--(INDEX('Reguler Class Availability'!$F:$F,$Q134)&amp;""),0))</f>
        <v>4</v>
      </c>
      <c r="H134" s="77" t="str">
        <f aca="false">IF($Q134="","",PROPER(INDEX('Reguler Class Availability'!$I:$I,$Q134)&amp;"")&amp;IF(INDEX('Reguler Class Availability'!$J:$J,$Q134)&amp;""="",""," + asst "&amp;PROPER(INDEX('Reguler Class Availability'!$J:$J,$Q134)&amp;"")))</f>
        <v/>
      </c>
      <c r="I134" s="77" t="s">
        <v>271</v>
      </c>
      <c r="J134" s="77" t="s">
        <v>186</v>
      </c>
      <c r="K134" s="78"/>
      <c r="L134" s="78"/>
      <c r="M134" s="78"/>
      <c r="N134" s="79"/>
      <c r="O134" s="78"/>
      <c r="Q134" s="30" t="n">
        <f aca="false">IFERROR(MATCH($B$4&amp;"|- Lane "&amp;D134&amp;" - "&amp;B134&amp;"|"&amp;C134,'Reguler Class Availability'!$L:$L,0),"")</f>
        <v>704</v>
      </c>
      <c r="BD134" s="30" t="s">
        <v>121</v>
      </c>
      <c r="BE134" s="30" t="n">
        <f aca="false">IF(COUNTIFS('Reguler Class Availability'!$L:$L,$B$4&amp;"|- Lane 3 - *|"&amp;BD134)&gt;0,1,0)</f>
        <v>1</v>
      </c>
      <c r="BF134" s="30" t="n">
        <f aca="false">BE134+BF133</f>
        <v>2</v>
      </c>
    </row>
    <row r="135" customFormat="false" ht="52.5" hidden="false" customHeight="true" outlineLevel="0" collapsed="false">
      <c r="A135" s="76" t="n">
        <v>9</v>
      </c>
      <c r="B135" s="77" t="s">
        <v>114</v>
      </c>
      <c r="C135" s="76" t="s">
        <v>126</v>
      </c>
      <c r="D135" s="76" t="n">
        <v>1</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Belum terisi</v>
      </c>
      <c r="F135" s="77" t="str">
        <f aca="false">IF($Q135="","",PROPER(INDEX('Reguler Class Availability'!$B:$B,$Q135)&amp;""))</f>
        <v>Baby</v>
      </c>
      <c r="G135" s="76" t="n">
        <f aca="false">IF($Q135="","",IFERROR(--(INDEX('Reguler Class Availability'!$F:$F,$Q135)&amp;""),0))</f>
        <v>5</v>
      </c>
      <c r="H135" s="77" t="str">
        <f aca="false">IF($Q135="","",PROPER(INDEX('Reguler Class Availability'!$I:$I,$Q135)&amp;"")&amp;IF(INDEX('Reguler Class Availability'!$J:$J,$Q135)&amp;""="",""," + asst "&amp;PROPER(INDEX('Reguler Class Availability'!$J:$J,$Q135)&amp;"")))</f>
        <v/>
      </c>
      <c r="I135" s="77" t="s">
        <v>271</v>
      </c>
      <c r="J135" s="77" t="s">
        <v>186</v>
      </c>
      <c r="K135" s="78"/>
      <c r="L135" s="78"/>
      <c r="M135" s="78"/>
      <c r="N135" s="79"/>
      <c r="O135" s="78"/>
      <c r="Q135" s="30" t="n">
        <f aca="false">IFERROR(MATCH($B$4&amp;"|- Lane "&amp;D135&amp;" - "&amp;B135&amp;"|"&amp;C135,'Reguler Class Availability'!$L:$L,0),"")</f>
        <v>523</v>
      </c>
      <c r="BD135" s="30" t="s">
        <v>122</v>
      </c>
      <c r="BE135" s="30" t="n">
        <f aca="false">IF(COUNTIFS('Reguler Class Availability'!$L:$L,$B$4&amp;"|- Lane 3 - *|"&amp;BD135)&gt;0,1,0)</f>
        <v>0</v>
      </c>
      <c r="BF135" s="30" t="n">
        <f aca="false">BE135+BF134</f>
        <v>2</v>
      </c>
    </row>
    <row r="136" customFormat="false" ht="52.5" hidden="false" customHeight="true" outlineLevel="0" collapsed="false">
      <c r="A136" s="76" t="n">
        <v>10</v>
      </c>
      <c r="B136" s="77" t="s">
        <v>114</v>
      </c>
      <c r="C136" s="76" t="s">
        <v>126</v>
      </c>
      <c r="D136" s="76" t="n">
        <v>2</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Belum terisi</v>
      </c>
      <c r="F136" s="77" t="str">
        <f aca="false">IF($Q136="","",PROPER(INDEX('Reguler Class Availability'!$B:$B,$Q136)&amp;""))</f>
        <v>Tiny</v>
      </c>
      <c r="G136" s="76" t="n">
        <f aca="false">IF($Q136="","",IFERROR(--(INDEX('Reguler Class Availability'!$F:$F,$Q136)&amp;""),0))</f>
        <v>5</v>
      </c>
      <c r="H136" s="77" t="str">
        <f aca="false">IF($Q136="","",PROPER(INDEX('Reguler Class Availability'!$I:$I,$Q136)&amp;"")&amp;IF(INDEX('Reguler Class Availability'!$J:$J,$Q136)&amp;""="",""," + asst "&amp;PROPER(INDEX('Reguler Class Availability'!$J:$J,$Q136)&amp;"")))</f>
        <v/>
      </c>
      <c r="I136" s="77" t="s">
        <v>271</v>
      </c>
      <c r="J136" s="77" t="s">
        <v>186</v>
      </c>
      <c r="K136" s="78"/>
      <c r="L136" s="78"/>
      <c r="M136" s="78"/>
      <c r="N136" s="79"/>
      <c r="O136" s="78"/>
      <c r="Q136" s="30" t="n">
        <f aca="false">IFERROR(MATCH($B$4&amp;"|- Lane "&amp;D136&amp;" - "&amp;B136&amp;"|"&amp;C136,'Reguler Class Availability'!$L:$L,0),"")</f>
        <v>621</v>
      </c>
      <c r="BD136" s="30" t="s">
        <v>123</v>
      </c>
      <c r="BE136" s="30" t="n">
        <f aca="false">IF(COUNTIFS('Reguler Class Availability'!$L:$L,$B$4&amp;"|- Lane 3 - *|"&amp;BD136)&gt;0,1,0)</f>
        <v>0</v>
      </c>
      <c r="BF136" s="30" t="n">
        <f aca="false">BE136+BF135</f>
        <v>2</v>
      </c>
    </row>
    <row r="137" customFormat="false" ht="52.5" hidden="false" customHeight="true" outlineLevel="0" collapsed="false">
      <c r="A137" s="76" t="n">
        <v>11</v>
      </c>
      <c r="B137" s="77" t="s">
        <v>114</v>
      </c>
      <c r="C137" s="76" t="s">
        <v>126</v>
      </c>
      <c r="D137" s="76" t="n">
        <v>5</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Kosong</v>
      </c>
      <c r="F137" s="77" t="str">
        <f aca="false">IF($Q137="","",PROPER(INDEX('Reguler Class Availability'!$B:$B,$Q137)&amp;""))</f>
        <v/>
      </c>
      <c r="G137" s="76" t="n">
        <f aca="false">IF($Q137="","",IFERROR(--(INDEX('Reguler Class Availability'!$F:$F,$Q137)&amp;""),0))</f>
        <v>5</v>
      </c>
      <c r="H137" s="77" t="str">
        <f aca="false">IF($Q137="","",PROPER(INDEX('Reguler Class Availability'!$I:$I,$Q137)&amp;"")&amp;IF(INDEX('Reguler Class Availability'!$J:$J,$Q137)&amp;""="",""," + asst "&amp;PROPER(INDEX('Reguler Class Availability'!$J:$J,$Q137)&amp;"")))</f>
        <v/>
      </c>
      <c r="I137" s="77" t="s">
        <v>271</v>
      </c>
      <c r="J137" s="77" t="s">
        <v>186</v>
      </c>
      <c r="K137" s="78"/>
      <c r="L137" s="78"/>
      <c r="M137" s="78"/>
      <c r="N137" s="79"/>
      <c r="O137" s="78"/>
      <c r="Q137" s="30" t="n">
        <f aca="false">IFERROR(MATCH($B$4&amp;"|- Lane "&amp;D137&amp;" - "&amp;B137&amp;"|"&amp;C137,'Reguler Class Availability'!$L:$L,0),"")</f>
        <v>873</v>
      </c>
      <c r="BD137" s="30" t="s">
        <v>124</v>
      </c>
      <c r="BE137" s="30" t="n">
        <f aca="false">IF(COUNTIFS('Reguler Class Availability'!$L:$L,$B$4&amp;"|- Lane 3 - *|"&amp;BD137)&gt;0,1,0)</f>
        <v>1</v>
      </c>
      <c r="BF137" s="30" t="n">
        <f aca="false">BE137+BF136</f>
        <v>3</v>
      </c>
    </row>
    <row r="138" customFormat="false" ht="52.5" hidden="false" customHeight="true" outlineLevel="0" collapsed="false">
      <c r="A138" s="76" t="n">
        <v>12</v>
      </c>
      <c r="B138" s="77" t="s">
        <v>114</v>
      </c>
      <c r="C138" s="76" t="s">
        <v>127</v>
      </c>
      <c r="D138" s="76" t="n">
        <v>3</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Little</v>
      </c>
      <c r="G138" s="76" t="n">
        <f aca="false">IF($Q138="","",IFERROR(--(INDEX('Reguler Class Availability'!$F:$F,$Q138)&amp;""),0))</f>
        <v>4</v>
      </c>
      <c r="H138" s="77" t="str">
        <f aca="false">IF($Q138="","",PROPER(INDEX('Reguler Class Availability'!$I:$I,$Q138)&amp;"")&amp;IF(INDEX('Reguler Class Availability'!$J:$J,$Q138)&amp;""="",""," + asst "&amp;PROPER(INDEX('Reguler Class Availability'!$J:$J,$Q138)&amp;"")))</f>
        <v/>
      </c>
      <c r="I138" s="77" t="s">
        <v>272</v>
      </c>
      <c r="J138" s="77" t="s">
        <v>186</v>
      </c>
      <c r="K138" s="78"/>
      <c r="L138" s="78"/>
      <c r="M138" s="78"/>
      <c r="N138" s="79"/>
      <c r="O138" s="78"/>
      <c r="Q138" s="30" t="n">
        <f aca="false">IFERROR(MATCH($B$4&amp;"|- Lane "&amp;D138&amp;" - "&amp;B138&amp;"|"&amp;C138,'Reguler Class Availability'!$L:$L,0),"")</f>
        <v>705</v>
      </c>
      <c r="BD138" s="30" t="s">
        <v>125</v>
      </c>
      <c r="BE138" s="30" t="n">
        <f aca="false">IF(COUNTIFS('Reguler Class Availability'!$L:$L,$B$4&amp;"|- Lane 3 - *|"&amp;BD138)&gt;0,1,0)</f>
        <v>0</v>
      </c>
      <c r="BF138" s="30" t="n">
        <f aca="false">BE138+BF137</f>
        <v>3</v>
      </c>
    </row>
    <row r="139" customFormat="false" ht="52.5" hidden="false" customHeight="true" outlineLevel="0" collapsed="false">
      <c r="A139" s="76" t="n">
        <v>13</v>
      </c>
      <c r="B139" s="77" t="s">
        <v>114</v>
      </c>
      <c r="C139" s="76" t="s">
        <v>127</v>
      </c>
      <c r="D139" s="76" t="n">
        <v>4</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Belum terisi</v>
      </c>
      <c r="F139" s="77" t="str">
        <f aca="false">IF($Q139="","",PROPER(INDEX('Reguler Class Availability'!$B:$B,$Q139)&amp;""))</f>
        <v>Kids</v>
      </c>
      <c r="G139" s="76" t="n">
        <f aca="false">IF($Q139="","",IFERROR(--(INDEX('Reguler Class Availability'!$F:$F,$Q139)&amp;""),0))</f>
        <v>4</v>
      </c>
      <c r="H139" s="77" t="str">
        <f aca="false">IF($Q139="","",PROPER(INDEX('Reguler Class Availability'!$I:$I,$Q139)&amp;"")&amp;IF(INDEX('Reguler Class Availability'!$J:$J,$Q139)&amp;""="",""," + asst "&amp;PROPER(INDEX('Reguler Class Availability'!$J:$J,$Q139)&amp;"")))</f>
        <v/>
      </c>
      <c r="I139" s="77" t="s">
        <v>272</v>
      </c>
      <c r="J139" s="77" t="s">
        <v>186</v>
      </c>
      <c r="K139" s="78"/>
      <c r="L139" s="78"/>
      <c r="M139" s="78"/>
      <c r="N139" s="79"/>
      <c r="O139" s="78"/>
      <c r="Q139" s="30" t="n">
        <f aca="false">IFERROR(MATCH($B$4&amp;"|- Lane "&amp;D139&amp;" - "&amp;B139&amp;"|"&amp;C139,'Reguler Class Availability'!$L:$L,0),"")</f>
        <v>789</v>
      </c>
      <c r="BD139" s="30" t="s">
        <v>126</v>
      </c>
      <c r="BE139" s="30" t="n">
        <f aca="false">IF(COUNTIFS('Reguler Class Availability'!$L:$L,$B$4&amp;"|- Lane 3 - *|"&amp;BD139)&gt;0,1,0)</f>
        <v>0</v>
      </c>
      <c r="BF139" s="30" t="n">
        <f aca="false">BE139+BF138</f>
        <v>3</v>
      </c>
    </row>
    <row r="140" customFormat="false" ht="40.5" hidden="false" customHeight="true" outlineLevel="0" collapsed="false">
      <c r="A140" s="76" t="n">
        <v>14</v>
      </c>
      <c r="B140" s="77" t="s">
        <v>114</v>
      </c>
      <c r="C140" s="76" t="s">
        <v>129</v>
      </c>
      <c r="D140" s="76" t="n">
        <v>1</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Belum terisi</v>
      </c>
      <c r="F140" s="77" t="str">
        <f aca="false">IF($Q140="","",PROPER(INDEX('Reguler Class Availability'!$B:$B,$Q140)&amp;""))</f>
        <v>Baby</v>
      </c>
      <c r="G140" s="76" t="n">
        <f aca="false">IF($Q140="","",IFERROR(--(INDEX('Reguler Class Availability'!$F:$F,$Q140)&amp;""),0))</f>
        <v>5</v>
      </c>
      <c r="H140" s="77" t="str">
        <f aca="false">IF($Q140="","",PROPER(INDEX('Reguler Class Availability'!$I:$I,$Q140)&amp;"")&amp;IF(INDEX('Reguler Class Availability'!$J:$J,$Q140)&amp;""="",""," + asst "&amp;PROPER(INDEX('Reguler Class Availability'!$J:$J,$Q140)&amp;"")))</f>
        <v/>
      </c>
      <c r="I140" s="77" t="s">
        <v>273</v>
      </c>
      <c r="J140" s="77" t="s">
        <v>186</v>
      </c>
      <c r="K140" s="78"/>
      <c r="L140" s="78"/>
      <c r="M140" s="78"/>
      <c r="N140" s="79"/>
      <c r="O140" s="78"/>
      <c r="Q140" s="30" t="n">
        <f aca="false">IFERROR(MATCH($B$4&amp;"|- Lane "&amp;D140&amp;" - "&amp;B140&amp;"|"&amp;C140,'Reguler Class Availability'!$L:$L,0),"")</f>
        <v>524</v>
      </c>
      <c r="BD140" s="30" t="s">
        <v>127</v>
      </c>
      <c r="BE140" s="30" t="n">
        <f aca="false">IF(COUNTIFS('Reguler Class Availability'!$L:$L,$B$4&amp;"|- Lane 3 - *|"&amp;BD140)&gt;0,1,0)</f>
        <v>1</v>
      </c>
      <c r="BF140" s="30" t="n">
        <f aca="false">BE140+BF139</f>
        <v>4</v>
      </c>
    </row>
    <row r="141" customFormat="false" ht="40.5" hidden="false" customHeight="true" outlineLevel="0" collapsed="false">
      <c r="A141" s="76" t="n">
        <v>15</v>
      </c>
      <c r="B141" s="77" t="s">
        <v>114</v>
      </c>
      <c r="C141" s="76" t="s">
        <v>129</v>
      </c>
      <c r="D141" s="76" t="n">
        <v>5</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Kosong</v>
      </c>
      <c r="F141" s="77" t="str">
        <f aca="false">IF($Q141="","",PROPER(INDEX('Reguler Class Availability'!$B:$B,$Q141)&amp;""))</f>
        <v/>
      </c>
      <c r="G141" s="76" t="n">
        <f aca="false">IF($Q141="","",IFERROR(--(INDEX('Reguler Class Availability'!$F:$F,$Q141)&amp;""),0))</f>
        <v>5</v>
      </c>
      <c r="H141" s="77" t="str">
        <f aca="false">IF($Q141="","",PROPER(INDEX('Reguler Class Availability'!$I:$I,$Q141)&amp;"")&amp;IF(INDEX('Reguler Class Availability'!$J:$J,$Q141)&amp;""="",""," + asst "&amp;PROPER(INDEX('Reguler Class Availability'!$J:$J,$Q141)&amp;"")))</f>
        <v/>
      </c>
      <c r="I141" s="77" t="s">
        <v>273</v>
      </c>
      <c r="J141" s="77" t="s">
        <v>186</v>
      </c>
      <c r="K141" s="78"/>
      <c r="L141" s="78"/>
      <c r="M141" s="78"/>
      <c r="N141" s="79"/>
      <c r="O141" s="78"/>
      <c r="Q141" s="30" t="n">
        <f aca="false">IFERROR(MATCH($B$4&amp;"|- Lane "&amp;D141&amp;" - "&amp;B141&amp;"|"&amp;C141,'Reguler Class Availability'!$L:$L,0),"")</f>
        <v>874</v>
      </c>
      <c r="BD141" s="30" t="s">
        <v>128</v>
      </c>
      <c r="BE141" s="30" t="n">
        <f aca="false">IF(COUNTIFS('Reguler Class Availability'!$L:$L,$B$4&amp;"|- Lane 3 - *|"&amp;BD141)&gt;0,1,0)</f>
        <v>0</v>
      </c>
      <c r="BF141" s="30" t="n">
        <f aca="false">BE141+BF140</f>
        <v>4</v>
      </c>
    </row>
    <row r="142" customFormat="false" ht="40.5" hidden="false" customHeight="true" outlineLevel="0" collapsed="false">
      <c r="A142" s="76" t="n">
        <v>16</v>
      </c>
      <c r="B142" s="77" t="s">
        <v>114</v>
      </c>
      <c r="C142" s="76" t="s">
        <v>130</v>
      </c>
      <c r="D142" s="76" t="n">
        <v>4</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Kids</v>
      </c>
      <c r="G142" s="76" t="n">
        <f aca="false">IF($Q142="","",IFERROR(--(INDEX('Reguler Class Availability'!$F:$F,$Q142)&amp;""),0))</f>
        <v>4</v>
      </c>
      <c r="H142" s="77" t="str">
        <f aca="false">IF($Q142="","",PROPER(INDEX('Reguler Class Availability'!$I:$I,$Q142)&amp;"")&amp;IF(INDEX('Reguler Class Availability'!$J:$J,$Q142)&amp;""="",""," + asst "&amp;PROPER(INDEX('Reguler Class Availability'!$J:$J,$Q142)&amp;"")))</f>
        <v/>
      </c>
      <c r="I142" s="77" t="s">
        <v>273</v>
      </c>
      <c r="J142" s="77" t="s">
        <v>186</v>
      </c>
      <c r="K142" s="78"/>
      <c r="L142" s="78"/>
      <c r="M142" s="78"/>
      <c r="N142" s="79"/>
      <c r="O142" s="78"/>
      <c r="Q142" s="30" t="n">
        <f aca="false">IFERROR(MATCH($B$4&amp;"|- Lane "&amp;D142&amp;" - "&amp;B142&amp;"|"&amp;C142,'Reguler Class Availability'!$L:$L,0),"")</f>
        <v>790</v>
      </c>
      <c r="BD142" s="30" t="s">
        <v>129</v>
      </c>
      <c r="BE142" s="30" t="n">
        <f aca="false">IF(COUNTIFS('Reguler Class Availability'!$L:$L,$B$4&amp;"|- Lane 3 - *|"&amp;BD142)&gt;0,1,0)</f>
        <v>0</v>
      </c>
      <c r="BF142" s="30" t="n">
        <f aca="false">BE142+BF141</f>
        <v>4</v>
      </c>
    </row>
    <row r="143" customFormat="false" ht="52.5" hidden="false" customHeight="true" outlineLevel="0" collapsed="false">
      <c r="A143" s="76" t="n">
        <v>17</v>
      </c>
      <c r="B143" s="77" t="s">
        <v>114</v>
      </c>
      <c r="C143" s="76" t="s">
        <v>132</v>
      </c>
      <c r="D143" s="76" t="n">
        <v>1</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Belum terisi</v>
      </c>
      <c r="F143" s="77" t="str">
        <f aca="false">IF($Q143="","",PROPER(INDEX('Reguler Class Availability'!$B:$B,$Q143)&amp;""))</f>
        <v>Baby</v>
      </c>
      <c r="G143" s="76" t="n">
        <f aca="false">IF($Q143="","",IFERROR(--(INDEX('Reguler Class Availability'!$F:$F,$Q143)&amp;""),0))</f>
        <v>5</v>
      </c>
      <c r="H143" s="77" t="str">
        <f aca="false">IF($Q143="","",PROPER(INDEX('Reguler Class Availability'!$I:$I,$Q143)&amp;"")&amp;IF(INDEX('Reguler Class Availability'!$J:$J,$Q143)&amp;""="",""," + asst "&amp;PROPER(INDEX('Reguler Class Availability'!$J:$J,$Q143)&amp;"")))</f>
        <v/>
      </c>
      <c r="I143" s="77" t="s">
        <v>274</v>
      </c>
      <c r="J143" s="77" t="s">
        <v>186</v>
      </c>
      <c r="K143" s="78"/>
      <c r="L143" s="78"/>
      <c r="M143" s="78"/>
      <c r="N143" s="79"/>
      <c r="O143" s="78"/>
      <c r="Q143" s="30" t="n">
        <f aca="false">IFERROR(MATCH($B$4&amp;"|- Lane "&amp;D143&amp;" - "&amp;B143&amp;"|"&amp;C143,'Reguler Class Availability'!$L:$L,0),"")</f>
        <v>525</v>
      </c>
      <c r="BD143" s="30" t="s">
        <v>130</v>
      </c>
      <c r="BE143" s="30" t="n">
        <f aca="false">IF(COUNTIFS('Reguler Class Availability'!$L:$L,$B$4&amp;"|- Lane 3 - *|"&amp;BD143)&gt;0,1,0)</f>
        <v>1</v>
      </c>
      <c r="BF143" s="30" t="n">
        <f aca="false">BE143+BF142</f>
        <v>5</v>
      </c>
    </row>
    <row r="144" customFormat="false" ht="52.5" hidden="false" customHeight="true" outlineLevel="0" collapsed="false">
      <c r="A144" s="76" t="n">
        <v>18</v>
      </c>
      <c r="B144" s="77" t="s">
        <v>114</v>
      </c>
      <c r="C144" s="76" t="s">
        <v>139</v>
      </c>
      <c r="D144" s="76" t="n">
        <v>1</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Belum terisi</v>
      </c>
      <c r="F144" s="77" t="str">
        <f aca="false">IF($Q144="","",PROPER(INDEX('Reguler Class Availability'!$B:$B,$Q144)&amp;""))</f>
        <v>Baby</v>
      </c>
      <c r="G144" s="76" t="n">
        <f aca="false">IF($Q144="","",IFERROR(--(INDEX('Reguler Class Availability'!$F:$F,$Q144)&amp;""),0))</f>
        <v>5</v>
      </c>
      <c r="H144" s="77" t="str">
        <f aca="false">IF($Q144="","",PROPER(INDEX('Reguler Class Availability'!$I:$I,$Q144)&amp;"")&amp;IF(INDEX('Reguler Class Availability'!$J:$J,$Q144)&amp;""="",""," + asst "&amp;PROPER(INDEX('Reguler Class Availability'!$J:$J,$Q144)&amp;"")))</f>
        <v/>
      </c>
      <c r="I144" s="77" t="s">
        <v>274</v>
      </c>
      <c r="J144" s="77" t="s">
        <v>186</v>
      </c>
      <c r="K144" s="78"/>
      <c r="L144" s="78"/>
      <c r="M144" s="78"/>
      <c r="N144" s="79"/>
      <c r="O144" s="78"/>
      <c r="Q144" s="30" t="n">
        <f aca="false">IFERROR(MATCH($B$4&amp;"|- Lane "&amp;D144&amp;" - "&amp;B144&amp;"|"&amp;C144,'Reguler Class Availability'!$L:$L,0),"")</f>
        <v>526</v>
      </c>
      <c r="BD144" s="30" t="s">
        <v>131</v>
      </c>
      <c r="BE144" s="30" t="n">
        <f aca="false">IF(COUNTIFS('Reguler Class Availability'!$L:$L,$B$4&amp;"|- Lane 3 - *|"&amp;BD144)&gt;0,1,0)</f>
        <v>0</v>
      </c>
      <c r="BF144" s="30" t="n">
        <f aca="false">BE144+BF143</f>
        <v>5</v>
      </c>
    </row>
    <row r="145" customFormat="false" ht="52.5" hidden="false" customHeight="true" outlineLevel="0" collapsed="false">
      <c r="A145" s="76" t="n">
        <v>19</v>
      </c>
      <c r="B145" s="77" t="s">
        <v>114</v>
      </c>
      <c r="C145" s="76" t="s">
        <v>139</v>
      </c>
      <c r="D145" s="76" t="n">
        <v>2</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Belum terisi</v>
      </c>
      <c r="F145" s="77" t="str">
        <f aca="false">IF($Q145="","",PROPER(INDEX('Reguler Class Availability'!$B:$B,$Q145)&amp;""))</f>
        <v>Tiny</v>
      </c>
      <c r="G145" s="76" t="n">
        <f aca="false">IF($Q145="","",IFERROR(--(INDEX('Reguler Class Availability'!$F:$F,$Q145)&amp;""),0))</f>
        <v>5</v>
      </c>
      <c r="H145" s="77" t="str">
        <f aca="false">IF($Q145="","",PROPER(INDEX('Reguler Class Availability'!$I:$I,$Q145)&amp;"")&amp;IF(INDEX('Reguler Class Availability'!$J:$J,$Q145)&amp;""="",""," + asst "&amp;PROPER(INDEX('Reguler Class Availability'!$J:$J,$Q145)&amp;"")))</f>
        <v/>
      </c>
      <c r="I145" s="77" t="s">
        <v>274</v>
      </c>
      <c r="J145" s="77" t="s">
        <v>186</v>
      </c>
      <c r="K145" s="78"/>
      <c r="L145" s="78"/>
      <c r="M145" s="78"/>
      <c r="N145" s="79"/>
      <c r="O145" s="78"/>
      <c r="Q145" s="30" t="n">
        <f aca="false">IFERROR(MATCH($B$4&amp;"|- Lane "&amp;D145&amp;" - "&amp;B145&amp;"|"&amp;C145,'Reguler Class Availability'!$L:$L,0),"")</f>
        <v>624</v>
      </c>
      <c r="BD145" s="30" t="s">
        <v>132</v>
      </c>
      <c r="BE145" s="30" t="n">
        <f aca="false">IF(COUNTIFS('Reguler Class Availability'!$L:$L,$B$4&amp;"|- Lane 3 - *|"&amp;BD145)&gt;0,1,0)</f>
        <v>0</v>
      </c>
      <c r="BF145" s="30" t="n">
        <f aca="false">BE145+BF144</f>
        <v>5</v>
      </c>
    </row>
    <row r="146" customFormat="false" ht="52.5" hidden="false" customHeight="true" outlineLevel="0" collapsed="false">
      <c r="A146" s="76" t="n">
        <v>20</v>
      </c>
      <c r="B146" s="77" t="s">
        <v>114</v>
      </c>
      <c r="C146" s="76" t="s">
        <v>139</v>
      </c>
      <c r="D146" s="76" t="n">
        <v>5</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Kosong</v>
      </c>
      <c r="F146" s="77" t="str">
        <f aca="false">IF($Q146="","",PROPER(INDEX('Reguler Class Availability'!$B:$B,$Q146)&amp;""))</f>
        <v/>
      </c>
      <c r="G146" s="76" t="n">
        <f aca="false">IF($Q146="","",IFERROR(--(INDEX('Reguler Class Availability'!$F:$F,$Q146)&amp;""),0))</f>
        <v>5</v>
      </c>
      <c r="H146" s="77" t="str">
        <f aca="false">IF($Q146="","",PROPER(INDEX('Reguler Class Availability'!$I:$I,$Q146)&amp;"")&amp;IF(INDEX('Reguler Class Availability'!$J:$J,$Q146)&amp;""="",""," + asst "&amp;PROPER(INDEX('Reguler Class Availability'!$J:$J,$Q146)&amp;"")))</f>
        <v/>
      </c>
      <c r="I146" s="77" t="s">
        <v>274</v>
      </c>
      <c r="J146" s="77" t="s">
        <v>186</v>
      </c>
      <c r="K146" s="78"/>
      <c r="L146" s="78"/>
      <c r="M146" s="78"/>
      <c r="N146" s="79"/>
      <c r="O146" s="78"/>
      <c r="Q146" s="30" t="n">
        <f aca="false">IFERROR(MATCH($B$4&amp;"|- Lane "&amp;D146&amp;" - "&amp;B146&amp;"|"&amp;C146,'Reguler Class Availability'!$L:$L,0),"")</f>
        <v>876</v>
      </c>
      <c r="BD146" s="30" t="s">
        <v>133</v>
      </c>
      <c r="BE146" s="30" t="n">
        <f aca="false">IF(COUNTIFS('Reguler Class Availability'!$L:$L,$B$4&amp;"|- Lane 3 - *|"&amp;BD146)&gt;0,1,0)</f>
        <v>1</v>
      </c>
      <c r="BF146" s="30" t="n">
        <f aca="false">BE146+BF145</f>
        <v>6</v>
      </c>
    </row>
    <row r="147" customFormat="false" ht="52.5" hidden="false" customHeight="true" outlineLevel="0" collapsed="false">
      <c r="A147" s="76" t="n">
        <v>21</v>
      </c>
      <c r="B147" s="77" t="s">
        <v>114</v>
      </c>
      <c r="C147" s="76" t="s">
        <v>141</v>
      </c>
      <c r="D147" s="76" t="n">
        <v>3</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Belum terisi</v>
      </c>
      <c r="F147" s="77" t="str">
        <f aca="false">IF($Q147="","",PROPER(INDEX('Reguler Class Availability'!$B:$B,$Q147)&amp;""))</f>
        <v>Little</v>
      </c>
      <c r="G147" s="76" t="n">
        <f aca="false">IF($Q147="","",IFERROR(--(INDEX('Reguler Class Availability'!$F:$F,$Q147)&amp;""),0))</f>
        <v>4</v>
      </c>
      <c r="H147" s="77" t="str">
        <f aca="false">IF($Q147="","",PROPER(INDEX('Reguler Class Availability'!$I:$I,$Q147)&amp;"")&amp;IF(INDEX('Reguler Class Availability'!$J:$J,$Q147)&amp;""="",""," + asst "&amp;PROPER(INDEX('Reguler Class Availability'!$J:$J,$Q147)&amp;"")))</f>
        <v/>
      </c>
      <c r="I147" s="77" t="s">
        <v>274</v>
      </c>
      <c r="J147" s="77" t="s">
        <v>186</v>
      </c>
      <c r="K147" s="78"/>
      <c r="L147" s="78"/>
      <c r="M147" s="78"/>
      <c r="N147" s="79"/>
      <c r="O147" s="78"/>
      <c r="Q147" s="30" t="n">
        <f aca="false">IFERROR(MATCH($B$4&amp;"|- Lane "&amp;D147&amp;" - "&amp;B147&amp;"|"&amp;C147,'Reguler Class Availability'!$L:$L,0),"")</f>
        <v>708</v>
      </c>
      <c r="BD147" s="30" t="s">
        <v>134</v>
      </c>
      <c r="BE147" s="30" t="n">
        <f aca="false">IF(COUNTIFS('Reguler Class Availability'!$L:$L,$B$4&amp;"|- Lane 3 - *|"&amp;BD147)&gt;0,1,0)</f>
        <v>0</v>
      </c>
      <c r="BF147" s="30" t="n">
        <f aca="false">BE147+BF146</f>
        <v>6</v>
      </c>
    </row>
    <row r="148" customFormat="false" ht="40.5" hidden="false" customHeight="true" outlineLevel="0" collapsed="false">
      <c r="A148" s="76" t="n">
        <v>22</v>
      </c>
      <c r="B148" s="77" t="s">
        <v>114</v>
      </c>
      <c r="C148" s="76" t="s">
        <v>143</v>
      </c>
      <c r="D148" s="76" t="n">
        <v>1</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Baby</v>
      </c>
      <c r="G148" s="76" t="n">
        <f aca="false">IF($Q148="","",IFERROR(--(INDEX('Reguler Class Availability'!$F:$F,$Q148)&amp;""),0))</f>
        <v>5</v>
      </c>
      <c r="H148" s="77" t="str">
        <f aca="false">IF($Q148="","",PROPER(INDEX('Reguler Class Availability'!$I:$I,$Q148)&amp;"")&amp;IF(INDEX('Reguler Class Availability'!$J:$J,$Q148)&amp;""="",""," + asst "&amp;PROPER(INDEX('Reguler Class Availability'!$J:$J,$Q148)&amp;"")))</f>
        <v/>
      </c>
      <c r="I148" s="77" t="s">
        <v>275</v>
      </c>
      <c r="J148" s="77" t="s">
        <v>186</v>
      </c>
      <c r="K148" s="78"/>
      <c r="L148" s="78"/>
      <c r="M148" s="78"/>
      <c r="N148" s="79"/>
      <c r="O148" s="78"/>
      <c r="Q148" s="30" t="n">
        <f aca="false">IFERROR(MATCH($B$4&amp;"|- Lane "&amp;D148&amp;" - "&amp;B148&amp;"|"&amp;C148,'Reguler Class Availability'!$L:$L,0),"")</f>
        <v>527</v>
      </c>
      <c r="BD148" s="30" t="s">
        <v>135</v>
      </c>
      <c r="BE148" s="30" t="n">
        <f aca="false">IF(COUNTIFS('Reguler Class Availability'!$L:$L,$B$4&amp;"|- Lane 3 - *|"&amp;BD148)&gt;0,1,0)</f>
        <v>0</v>
      </c>
      <c r="BF148" s="30" t="n">
        <f aca="false">BE148+BF147</f>
        <v>6</v>
      </c>
    </row>
    <row r="149" customFormat="false" ht="40.5" hidden="false" customHeight="true" outlineLevel="0" collapsed="false">
      <c r="A149" s="76" t="n">
        <v>23</v>
      </c>
      <c r="B149" s="77" t="s">
        <v>114</v>
      </c>
      <c r="C149" s="76" t="s">
        <v>143</v>
      </c>
      <c r="D149" s="76" t="n">
        <v>2</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Belum terisi</v>
      </c>
      <c r="F149" s="77" t="str">
        <f aca="false">IF($Q149="","",PROPER(INDEX('Reguler Class Availability'!$B:$B,$Q149)&amp;""))</f>
        <v>Tiny</v>
      </c>
      <c r="G149" s="76" t="n">
        <f aca="false">IF($Q149="","",IFERROR(--(INDEX('Reguler Class Availability'!$F:$F,$Q149)&amp;""),0))</f>
        <v>5</v>
      </c>
      <c r="H149" s="77" t="str">
        <f aca="false">IF($Q149="","",PROPER(INDEX('Reguler Class Availability'!$I:$I,$Q149)&amp;"")&amp;IF(INDEX('Reguler Class Availability'!$J:$J,$Q149)&amp;""="",""," + asst "&amp;PROPER(INDEX('Reguler Class Availability'!$J:$J,$Q149)&amp;"")))</f>
        <v/>
      </c>
      <c r="I149" s="77" t="s">
        <v>275</v>
      </c>
      <c r="J149" s="77" t="s">
        <v>186</v>
      </c>
      <c r="K149" s="78"/>
      <c r="L149" s="78"/>
      <c r="M149" s="78"/>
      <c r="N149" s="79"/>
      <c r="O149" s="78"/>
      <c r="Q149" s="30" t="n">
        <f aca="false">IFERROR(MATCH($B$4&amp;"|- Lane "&amp;D149&amp;" - "&amp;B149&amp;"|"&amp;C149,'Reguler Class Availability'!$L:$L,0),"")</f>
        <v>625</v>
      </c>
      <c r="BD149" s="30" t="s">
        <v>136</v>
      </c>
      <c r="BE149" s="30" t="n">
        <f aca="false">IF(COUNTIFS('Reguler Class Availability'!$L:$L,$B$4&amp;"|- Lane 3 - *|"&amp;BD149)&gt;0,1,0)</f>
        <v>0</v>
      </c>
      <c r="BF149" s="30" t="n">
        <f aca="false">BE149+BF148</f>
        <v>6</v>
      </c>
    </row>
    <row r="150" customFormat="false" ht="40.5" hidden="false" customHeight="true" outlineLevel="0" collapsed="false">
      <c r="A150" s="76" t="n">
        <v>24</v>
      </c>
      <c r="B150" s="77" t="s">
        <v>114</v>
      </c>
      <c r="C150" s="76" t="s">
        <v>143</v>
      </c>
      <c r="D150" s="76" t="n">
        <v>5</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Kosong</v>
      </c>
      <c r="F150" s="77" t="str">
        <f aca="false">IF($Q150="","",PROPER(INDEX('Reguler Class Availability'!$B:$B,$Q150)&amp;""))</f>
        <v/>
      </c>
      <c r="G150" s="76" t="n">
        <f aca="false">IF($Q150="","",IFERROR(--(INDEX('Reguler Class Availability'!$F:$F,$Q150)&amp;""),0))</f>
        <v>5</v>
      </c>
      <c r="H150" s="77" t="str">
        <f aca="false">IF($Q150="","",PROPER(INDEX('Reguler Class Availability'!$I:$I,$Q150)&amp;"")&amp;IF(INDEX('Reguler Class Availability'!$J:$J,$Q150)&amp;""="",""," + asst "&amp;PROPER(INDEX('Reguler Class Availability'!$J:$J,$Q150)&amp;"")))</f>
        <v/>
      </c>
      <c r="I150" s="77" t="s">
        <v>275</v>
      </c>
      <c r="J150" s="77" t="s">
        <v>186</v>
      </c>
      <c r="K150" s="78"/>
      <c r="L150" s="78"/>
      <c r="M150" s="78"/>
      <c r="N150" s="79"/>
      <c r="O150" s="78"/>
      <c r="Q150" s="30" t="n">
        <f aca="false">IFERROR(MATCH($B$4&amp;"|- Lane "&amp;D150&amp;" - "&amp;B150&amp;"|"&amp;C150,'Reguler Class Availability'!$L:$L,0),"")</f>
        <v>877</v>
      </c>
      <c r="BD150" s="30" t="s">
        <v>138</v>
      </c>
      <c r="BE150" s="30" t="n">
        <f aca="false">IF(COUNTIFS('Reguler Class Availability'!$L:$L,$B$4&amp;"|- Lane 3 - *|"&amp;BD150)&gt;0,1,0)</f>
        <v>0</v>
      </c>
      <c r="BF150" s="30" t="n">
        <f aca="false">BE150+BF149</f>
        <v>6</v>
      </c>
    </row>
    <row r="151" customFormat="false" ht="27.75" hidden="false" customHeight="true" outlineLevel="0" collapsed="false">
      <c r="A151" s="76" t="n">
        <v>25</v>
      </c>
      <c r="B151" s="77" t="s">
        <v>114</v>
      </c>
      <c r="C151" s="76" t="s">
        <v>146</v>
      </c>
      <c r="D151" s="76" t="n">
        <v>5</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Kosong</v>
      </c>
      <c r="F151" s="77" t="str">
        <f aca="false">IF($Q151="","",PROPER(INDEX('Reguler Class Availability'!$B:$B,$Q151)&amp;""))</f>
        <v/>
      </c>
      <c r="G151" s="76" t="n">
        <f aca="false">IF($Q151="","",IFERROR(--(INDEX('Reguler Class Availability'!$F:$F,$Q151)&amp;""),0))</f>
        <v>5</v>
      </c>
      <c r="H151" s="77" t="str">
        <f aca="false">IF($Q151="","",PROPER(INDEX('Reguler Class Availability'!$I:$I,$Q151)&amp;"")&amp;IF(INDEX('Reguler Class Availability'!$J:$J,$Q151)&amp;""="",""," + asst "&amp;PROPER(INDEX('Reguler Class Availability'!$J:$J,$Q151)&amp;"")))</f>
        <v/>
      </c>
      <c r="I151" s="77" t="s">
        <v>276</v>
      </c>
      <c r="J151" s="77" t="s">
        <v>186</v>
      </c>
      <c r="K151" s="78"/>
      <c r="L151" s="78"/>
      <c r="M151" s="78"/>
      <c r="N151" s="79"/>
      <c r="O151" s="78"/>
      <c r="Q151" s="30" t="n">
        <f aca="false">IFERROR(MATCH($B$4&amp;"|- Lane "&amp;D151&amp;" - "&amp;B151&amp;"|"&amp;C151,'Reguler Class Availability'!$L:$L,0),"")</f>
        <v>878</v>
      </c>
      <c r="BD151" s="30" t="s">
        <v>139</v>
      </c>
      <c r="BE151" s="30" t="n">
        <f aca="false">IF(COUNTIFS('Reguler Class Availability'!$L:$L,$B$4&amp;"|- Lane 3 - *|"&amp;BD151)&gt;0,1,0)</f>
        <v>0</v>
      </c>
      <c r="BF151" s="30" t="n">
        <f aca="false">BE151+BF150</f>
        <v>6</v>
      </c>
    </row>
    <row r="152" customFormat="false" ht="27.75" hidden="false" customHeight="true" outlineLevel="0" collapsed="false">
      <c r="A152" s="76" t="n">
        <v>26</v>
      </c>
      <c r="B152" s="77" t="s">
        <v>114</v>
      </c>
      <c r="C152" s="76" t="s">
        <v>152</v>
      </c>
      <c r="D152" s="76" t="n">
        <v>1</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Belum terisi</v>
      </c>
      <c r="F152" s="77" t="str">
        <f aca="false">IF($Q152="","",PROPER(INDEX('Reguler Class Availability'!$B:$B,$Q152)&amp;""))</f>
        <v>Baby</v>
      </c>
      <c r="G152" s="76" t="n">
        <f aca="false">IF($Q152="","",IFERROR(--(INDEX('Reguler Class Availability'!$F:$F,$Q152)&amp;""),0))</f>
        <v>5</v>
      </c>
      <c r="H152" s="77" t="str">
        <f aca="false">IF($Q152="","",PROPER(INDEX('Reguler Class Availability'!$I:$I,$Q152)&amp;"")&amp;IF(INDEX('Reguler Class Availability'!$J:$J,$Q152)&amp;""="",""," + asst "&amp;PROPER(INDEX('Reguler Class Availability'!$J:$J,$Q152)&amp;"")))</f>
        <v/>
      </c>
      <c r="I152" s="77" t="s">
        <v>277</v>
      </c>
      <c r="J152" s="77" t="s">
        <v>278</v>
      </c>
      <c r="K152" s="78"/>
      <c r="L152" s="78"/>
      <c r="M152" s="78"/>
      <c r="N152" s="79"/>
      <c r="O152" s="78"/>
      <c r="Q152" s="30" t="n">
        <f aca="false">IFERROR(MATCH($B$4&amp;"|- Lane "&amp;D152&amp;" - "&amp;B152&amp;"|"&amp;C152,'Reguler Class Availability'!$L:$L,0),"")</f>
        <v>530</v>
      </c>
      <c r="BD152" s="30" t="s">
        <v>141</v>
      </c>
      <c r="BE152" s="30" t="n">
        <f aca="false">IF(COUNTIFS('Reguler Class Availability'!$L:$L,$B$4&amp;"|- Lane 3 - *|"&amp;BD152)&gt;0,1,0)</f>
        <v>1</v>
      </c>
      <c r="BF152" s="30" t="n">
        <f aca="false">BE152+BF151</f>
        <v>7</v>
      </c>
    </row>
    <row r="153" customFormat="false" ht="27.75" hidden="false" customHeight="true" outlineLevel="0" collapsed="false">
      <c r="A153" s="76" t="n">
        <v>27</v>
      </c>
      <c r="B153" s="77" t="s">
        <v>114</v>
      </c>
      <c r="C153" s="76" t="s">
        <v>152</v>
      </c>
      <c r="D153" s="76" t="n">
        <v>2</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Tiny</v>
      </c>
      <c r="G153" s="76" t="n">
        <f aca="false">IF($Q153="","",IFERROR(--(INDEX('Reguler Class Availability'!$F:$F,$Q153)&amp;""),0))</f>
        <v>5</v>
      </c>
      <c r="H153" s="77" t="str">
        <f aca="false">IF($Q153="","",PROPER(INDEX('Reguler Class Availability'!$I:$I,$Q153)&amp;"")&amp;IF(INDEX('Reguler Class Availability'!$J:$J,$Q153)&amp;""="",""," + asst "&amp;PROPER(INDEX('Reguler Class Availability'!$J:$J,$Q153)&amp;"")))</f>
        <v/>
      </c>
      <c r="I153" s="77" t="s">
        <v>277</v>
      </c>
      <c r="J153" s="77" t="s">
        <v>279</v>
      </c>
      <c r="K153" s="78"/>
      <c r="L153" s="78"/>
      <c r="M153" s="78"/>
      <c r="N153" s="79"/>
      <c r="O153" s="78"/>
      <c r="Q153" s="30" t="n">
        <f aca="false">IFERROR(MATCH($B$4&amp;"|- Lane "&amp;D153&amp;" - "&amp;B153&amp;"|"&amp;C153,'Reguler Class Availability'!$L:$L,0),"")</f>
        <v>628</v>
      </c>
      <c r="BD153" s="30" t="s">
        <v>142</v>
      </c>
      <c r="BE153" s="30" t="n">
        <f aca="false">IF(COUNTIFS('Reguler Class Availability'!$L:$L,$B$4&amp;"|- Lane 3 - *|"&amp;BD153)&gt;0,1,0)</f>
        <v>0</v>
      </c>
      <c r="BF153" s="30" t="n">
        <f aca="false">BE153+BF152</f>
        <v>7</v>
      </c>
    </row>
    <row r="154" customFormat="false" ht="40.5" hidden="false" customHeight="true" outlineLevel="0" collapsed="false">
      <c r="A154" s="76" t="n">
        <v>28</v>
      </c>
      <c r="B154" s="77" t="s">
        <v>114</v>
      </c>
      <c r="C154" s="76" t="s">
        <v>155</v>
      </c>
      <c r="D154" s="76" t="n">
        <v>1</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Belum terisi</v>
      </c>
      <c r="F154" s="77" t="str">
        <f aca="false">IF($Q154="","",PROPER(INDEX('Reguler Class Availability'!$B:$B,$Q154)&amp;""))</f>
        <v>Baby</v>
      </c>
      <c r="G154" s="76" t="n">
        <f aca="false">IF($Q154="","",IFERROR(--(INDEX('Reguler Class Availability'!$F:$F,$Q154)&amp;""),0))</f>
        <v>5</v>
      </c>
      <c r="H154" s="77" t="str">
        <f aca="false">IF($Q154="","",PROPER(INDEX('Reguler Class Availability'!$I:$I,$Q154)&amp;"")&amp;IF(INDEX('Reguler Class Availability'!$J:$J,$Q154)&amp;""="",""," + asst "&amp;PROPER(INDEX('Reguler Class Availability'!$J:$J,$Q154)&amp;"")))</f>
        <v/>
      </c>
      <c r="I154" s="77" t="s">
        <v>280</v>
      </c>
      <c r="J154" s="77" t="s">
        <v>186</v>
      </c>
      <c r="K154" s="78"/>
      <c r="L154" s="78"/>
      <c r="M154" s="78"/>
      <c r="N154" s="79"/>
      <c r="O154" s="78"/>
      <c r="Q154" s="30" t="n">
        <f aca="false">IFERROR(MATCH($B$4&amp;"|- Lane "&amp;D154&amp;" - "&amp;B154&amp;"|"&amp;C154,'Reguler Class Availability'!$L:$L,0),"")</f>
        <v>531</v>
      </c>
      <c r="BD154" s="30" t="s">
        <v>143</v>
      </c>
      <c r="BE154" s="30" t="n">
        <f aca="false">IF(COUNTIFS('Reguler Class Availability'!$L:$L,$B$4&amp;"|- Lane 3 - *|"&amp;BD154)&gt;0,1,0)</f>
        <v>0</v>
      </c>
      <c r="BF154" s="30" t="n">
        <f aca="false">BE154+BF153</f>
        <v>7</v>
      </c>
    </row>
    <row r="155" customFormat="false" ht="40.5" hidden="false" customHeight="true" outlineLevel="0" collapsed="false">
      <c r="A155" s="76" t="n">
        <v>29</v>
      </c>
      <c r="B155" s="77" t="s">
        <v>114</v>
      </c>
      <c r="C155" s="76" t="s">
        <v>155</v>
      </c>
      <c r="D155" s="76" t="n">
        <v>2</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Belum terisi</v>
      </c>
      <c r="F155" s="77" t="str">
        <f aca="false">IF($Q155="","",PROPER(INDEX('Reguler Class Availability'!$B:$B,$Q155)&amp;""))</f>
        <v>Tiny</v>
      </c>
      <c r="G155" s="76" t="n">
        <f aca="false">IF($Q155="","",IFERROR(--(INDEX('Reguler Class Availability'!$F:$F,$Q155)&amp;""),0))</f>
        <v>5</v>
      </c>
      <c r="H155" s="77" t="str">
        <f aca="false">IF($Q155="","",PROPER(INDEX('Reguler Class Availability'!$I:$I,$Q155)&amp;"")&amp;IF(INDEX('Reguler Class Availability'!$J:$J,$Q155)&amp;""="",""," + asst "&amp;PROPER(INDEX('Reguler Class Availability'!$J:$J,$Q155)&amp;"")))</f>
        <v/>
      </c>
      <c r="I155" s="77" t="s">
        <v>280</v>
      </c>
      <c r="J155" s="77" t="s">
        <v>186</v>
      </c>
      <c r="K155" s="78"/>
      <c r="L155" s="78"/>
      <c r="M155" s="78"/>
      <c r="N155" s="79"/>
      <c r="O155" s="78"/>
      <c r="Q155" s="30" t="n">
        <f aca="false">IFERROR(MATCH($B$4&amp;"|- Lane "&amp;D155&amp;" - "&amp;B155&amp;"|"&amp;C155,'Reguler Class Availability'!$L:$L,0),"")</f>
        <v>629</v>
      </c>
      <c r="BD155" s="30" t="s">
        <v>144</v>
      </c>
      <c r="BE155" s="30" t="n">
        <f aca="false">IF(COUNTIFS('Reguler Class Availability'!$L:$L,$B$4&amp;"|- Lane 3 - *|"&amp;BD155)&gt;0,1,0)</f>
        <v>1</v>
      </c>
      <c r="BF155" s="30" t="n">
        <f aca="false">BE155+BF154</f>
        <v>8</v>
      </c>
    </row>
    <row r="156" customFormat="false" ht="40.5" hidden="false" customHeight="true" outlineLevel="0" collapsed="false">
      <c r="A156" s="76" t="n">
        <v>30</v>
      </c>
      <c r="B156" s="77" t="s">
        <v>114</v>
      </c>
      <c r="C156" s="76" t="s">
        <v>155</v>
      </c>
      <c r="D156" s="76" t="n">
        <v>5</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Kosong</v>
      </c>
      <c r="F156" s="77" t="str">
        <f aca="false">IF($Q156="","",PROPER(INDEX('Reguler Class Availability'!$B:$B,$Q156)&amp;""))</f>
        <v/>
      </c>
      <c r="G156" s="76" t="n">
        <f aca="false">IF($Q156="","",IFERROR(--(INDEX('Reguler Class Availability'!$F:$F,$Q156)&amp;""),0))</f>
        <v>5</v>
      </c>
      <c r="H156" s="77" t="str">
        <f aca="false">IF($Q156="","",PROPER(INDEX('Reguler Class Availability'!$I:$I,$Q156)&amp;"")&amp;IF(INDEX('Reguler Class Availability'!$J:$J,$Q156)&amp;""="",""," + asst "&amp;PROPER(INDEX('Reguler Class Availability'!$J:$J,$Q156)&amp;"")))</f>
        <v/>
      </c>
      <c r="I156" s="77" t="s">
        <v>280</v>
      </c>
      <c r="J156" s="77" t="s">
        <v>186</v>
      </c>
      <c r="K156" s="78"/>
      <c r="L156" s="78"/>
      <c r="M156" s="78"/>
      <c r="N156" s="79"/>
      <c r="O156" s="78"/>
      <c r="Q156" s="30" t="n">
        <f aca="false">IFERROR(MATCH($B$4&amp;"|- Lane "&amp;D156&amp;" - "&amp;B156&amp;"|"&amp;C156,'Reguler Class Availability'!$L:$L,0),"")</f>
        <v>881</v>
      </c>
      <c r="BD156" s="30" t="s">
        <v>145</v>
      </c>
      <c r="BE156" s="30" t="n">
        <f aca="false">IF(COUNTIFS('Reguler Class Availability'!$L:$L,$B$4&amp;"|- Lane 3 - *|"&amp;BD156)&gt;0,1,0)</f>
        <v>0</v>
      </c>
      <c r="BF156" s="30" t="n">
        <f aca="false">BE156+BF155</f>
        <v>8</v>
      </c>
    </row>
    <row r="157" customFormat="false" ht="52.5" hidden="false" customHeight="true" outlineLevel="0" collapsed="false">
      <c r="A157" s="76" t="n">
        <v>31</v>
      </c>
      <c r="B157" s="77" t="s">
        <v>115</v>
      </c>
      <c r="C157" s="76" t="s">
        <v>91</v>
      </c>
      <c r="D157" s="76" t="n">
        <v>1</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Belum terisi</v>
      </c>
      <c r="F157" s="77" t="str">
        <f aca="false">IF($Q157="","",PROPER(INDEX('Reguler Class Availability'!$B:$B,$Q157)&amp;""))</f>
        <v>Star</v>
      </c>
      <c r="G157" s="76" t="n">
        <f aca="false">IF($Q157="","",IFERROR(--(INDEX('Reguler Class Availability'!$F:$F,$Q157)&amp;""),0))</f>
        <v>8</v>
      </c>
      <c r="H157" s="77" t="str">
        <f aca="false">IF($Q157="","",PROPER(INDEX('Reguler Class Availability'!$I:$I,$Q157)&amp;"")&amp;IF(INDEX('Reguler Class Availability'!$J:$J,$Q157)&amp;""="",""," + asst "&amp;PROPER(INDEX('Reguler Class Availability'!$J:$J,$Q157)&amp;"")))</f>
        <v/>
      </c>
      <c r="I157" s="77" t="s">
        <v>281</v>
      </c>
      <c r="J157" s="77" t="s">
        <v>186</v>
      </c>
      <c r="K157" s="78"/>
      <c r="L157" s="78"/>
      <c r="M157" s="78"/>
      <c r="N157" s="79"/>
      <c r="O157" s="78"/>
      <c r="Q157" s="30" t="n">
        <f aca="false">IFERROR(MATCH($B$4&amp;"|- Lane "&amp;D157&amp;" - "&amp;B157&amp;"|"&amp;C157,'Reguler Class Availability'!$L:$L,0),"")</f>
        <v>605</v>
      </c>
      <c r="BD157" s="30" t="s">
        <v>146</v>
      </c>
      <c r="BE157" s="30" t="n">
        <f aca="false">IF(COUNTIFS('Reguler Class Availability'!$L:$L,$B$4&amp;"|- Lane 3 - *|"&amp;BD157)&gt;0,1,0)</f>
        <v>0</v>
      </c>
      <c r="BF157" s="30" t="n">
        <f aca="false">BE157+BF156</f>
        <v>8</v>
      </c>
    </row>
    <row r="158" customFormat="false" ht="52.5" hidden="false" customHeight="true" outlineLevel="0" collapsed="false">
      <c r="A158" s="76" t="n">
        <v>32</v>
      </c>
      <c r="B158" s="77" t="s">
        <v>115</v>
      </c>
      <c r="C158" s="76" t="s">
        <v>120</v>
      </c>
      <c r="D158" s="76" t="n">
        <v>1</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Baby</v>
      </c>
      <c r="G158" s="76" t="n">
        <f aca="false">IF($Q158="","",IFERROR(--(INDEX('Reguler Class Availability'!$F:$F,$Q158)&amp;""),0))</f>
        <v>5</v>
      </c>
      <c r="H158" s="77" t="str">
        <f aca="false">IF($Q158="","",PROPER(INDEX('Reguler Class Availability'!$I:$I,$Q158)&amp;"")&amp;IF(INDEX('Reguler Class Availability'!$J:$J,$Q158)&amp;""="",""," + asst "&amp;PROPER(INDEX('Reguler Class Availability'!$J:$J,$Q158)&amp;"")))</f>
        <v/>
      </c>
      <c r="I158" s="77" t="s">
        <v>281</v>
      </c>
      <c r="J158" s="77" t="s">
        <v>186</v>
      </c>
      <c r="K158" s="78"/>
      <c r="L158" s="78"/>
      <c r="M158" s="78"/>
      <c r="N158" s="79"/>
      <c r="O158" s="78"/>
      <c r="Q158" s="30" t="n">
        <f aca="false">IFERROR(MATCH($B$4&amp;"|- Lane "&amp;D158&amp;" - "&amp;B158&amp;"|"&amp;C158,'Reguler Class Availability'!$L:$L,0),"")</f>
        <v>533</v>
      </c>
      <c r="BD158" s="30" t="s">
        <v>147</v>
      </c>
      <c r="BE158" s="30" t="n">
        <f aca="false">IF(COUNTIFS('Reguler Class Availability'!$L:$L,$B$4&amp;"|- Lane 3 - *|"&amp;BD158)&gt;0,1,0)</f>
        <v>1</v>
      </c>
      <c r="BF158" s="30" t="n">
        <f aca="false">BE158+BF157</f>
        <v>9</v>
      </c>
    </row>
    <row r="159" customFormat="false" ht="52.5" hidden="false" customHeight="true" outlineLevel="0" collapsed="false">
      <c r="A159" s="76" t="n">
        <v>33</v>
      </c>
      <c r="B159" s="77" t="s">
        <v>115</v>
      </c>
      <c r="C159" s="76" t="s">
        <v>120</v>
      </c>
      <c r="D159" s="76" t="n">
        <v>2</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Belum terisi</v>
      </c>
      <c r="F159" s="77" t="str">
        <f aca="false">IF($Q159="","",PROPER(INDEX('Reguler Class Availability'!$B:$B,$Q159)&amp;""))</f>
        <v>Tiny</v>
      </c>
      <c r="G159" s="76" t="n">
        <f aca="false">IF($Q159="","",IFERROR(--(INDEX('Reguler Class Availability'!$F:$F,$Q159)&amp;""),0))</f>
        <v>5</v>
      </c>
      <c r="H159" s="77" t="str">
        <f aca="false">IF($Q159="","",PROPER(INDEX('Reguler Class Availability'!$I:$I,$Q159)&amp;"")&amp;IF(INDEX('Reguler Class Availability'!$J:$J,$Q159)&amp;""="",""," + asst "&amp;PROPER(INDEX('Reguler Class Availability'!$J:$J,$Q159)&amp;"")))</f>
        <v/>
      </c>
      <c r="I159" s="77" t="s">
        <v>281</v>
      </c>
      <c r="J159" s="77" t="s">
        <v>186</v>
      </c>
      <c r="K159" s="78"/>
      <c r="L159" s="78"/>
      <c r="M159" s="78"/>
      <c r="N159" s="79"/>
      <c r="O159" s="78"/>
      <c r="Q159" s="30" t="n">
        <f aca="false">IFERROR(MATCH($B$4&amp;"|- Lane "&amp;D159&amp;" - "&amp;B159&amp;"|"&amp;C159,'Reguler Class Availability'!$L:$L,0),"")</f>
        <v>631</v>
      </c>
      <c r="BD159" s="30" t="s">
        <v>148</v>
      </c>
      <c r="BE159" s="30" t="n">
        <f aca="false">IF(COUNTIFS('Reguler Class Availability'!$L:$L,$B$4&amp;"|- Lane 3 - *|"&amp;BD159)&gt;0,1,0)</f>
        <v>0</v>
      </c>
      <c r="BF159" s="30" t="n">
        <f aca="false">BE159+BF158</f>
        <v>9</v>
      </c>
    </row>
    <row r="160" customFormat="false" ht="52.5" hidden="false" customHeight="true" outlineLevel="0" collapsed="false">
      <c r="A160" s="76" t="n">
        <v>34</v>
      </c>
      <c r="B160" s="77" t="s">
        <v>115</v>
      </c>
      <c r="C160" s="76" t="s">
        <v>120</v>
      </c>
      <c r="D160" s="76" t="n">
        <v>5</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Kosong</v>
      </c>
      <c r="F160" s="77" t="str">
        <f aca="false">IF($Q160="","",PROPER(INDEX('Reguler Class Availability'!$B:$B,$Q160)&amp;""))</f>
        <v/>
      </c>
      <c r="G160" s="76" t="n">
        <f aca="false">IF($Q160="","",IFERROR(--(INDEX('Reguler Class Availability'!$F:$F,$Q160)&amp;""),0))</f>
        <v>5</v>
      </c>
      <c r="H160" s="77" t="str">
        <f aca="false">IF($Q160="","",PROPER(INDEX('Reguler Class Availability'!$I:$I,$Q160)&amp;"")&amp;IF(INDEX('Reguler Class Availability'!$J:$J,$Q160)&amp;""="",""," + asst "&amp;PROPER(INDEX('Reguler Class Availability'!$J:$J,$Q160)&amp;"")))</f>
        <v/>
      </c>
      <c r="I160" s="77" t="s">
        <v>281</v>
      </c>
      <c r="J160" s="77" t="s">
        <v>186</v>
      </c>
      <c r="K160" s="78"/>
      <c r="L160" s="78"/>
      <c r="M160" s="78"/>
      <c r="N160" s="79"/>
      <c r="O160" s="78"/>
      <c r="Q160" s="30" t="n">
        <f aca="false">IFERROR(MATCH($B$4&amp;"|- Lane "&amp;D160&amp;" - "&amp;B160&amp;"|"&amp;C160,'Reguler Class Availability'!$L:$L,0),"")</f>
        <v>883</v>
      </c>
      <c r="BD160" s="30" t="s">
        <v>149</v>
      </c>
      <c r="BE160" s="30" t="n">
        <f aca="false">IF(COUNTIFS('Reguler Class Availability'!$L:$L,$B$4&amp;"|- Lane 3 - *|"&amp;BD160)&gt;0,1,0)</f>
        <v>0</v>
      </c>
      <c r="BF160" s="30" t="n">
        <f aca="false">BE160+BF159</f>
        <v>9</v>
      </c>
    </row>
    <row r="161" customFormat="false" ht="27.75" hidden="false" customHeight="true" outlineLevel="0" collapsed="false">
      <c r="A161" s="76" t="n">
        <v>35</v>
      </c>
      <c r="B161" s="77" t="s">
        <v>115</v>
      </c>
      <c r="C161" s="76" t="s">
        <v>121</v>
      </c>
      <c r="D161" s="76" t="n">
        <v>3</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Little</v>
      </c>
      <c r="G161" s="76" t="n">
        <f aca="false">IF($Q161="","",IFERROR(--(INDEX('Reguler Class Availability'!$F:$F,$Q161)&amp;""),0))</f>
        <v>4</v>
      </c>
      <c r="H161" s="77" t="str">
        <f aca="false">IF($Q161="","",PROPER(INDEX('Reguler Class Availability'!$I:$I,$Q161)&amp;"")&amp;IF(INDEX('Reguler Class Availability'!$J:$J,$Q161)&amp;""="",""," + asst "&amp;PROPER(INDEX('Reguler Class Availability'!$J:$J,$Q161)&amp;"")))</f>
        <v/>
      </c>
      <c r="I161" s="77" t="s">
        <v>282</v>
      </c>
      <c r="J161" s="77" t="s">
        <v>186</v>
      </c>
      <c r="K161" s="78"/>
      <c r="L161" s="78"/>
      <c r="M161" s="78"/>
      <c r="N161" s="79"/>
      <c r="O161" s="78"/>
      <c r="Q161" s="30" t="n">
        <f aca="false">IFERROR(MATCH($B$4&amp;"|- Lane "&amp;D161&amp;" - "&amp;B161&amp;"|"&amp;C161,'Reguler Class Availability'!$L:$L,0),"")</f>
        <v>715</v>
      </c>
      <c r="BD161" s="30" t="s">
        <v>150</v>
      </c>
      <c r="BE161" s="30" t="n">
        <f aca="false">IF(COUNTIFS('Reguler Class Availability'!$L:$L,$B$4&amp;"|- Lane 3 - *|"&amp;BD161)&gt;0,1,0)</f>
        <v>1</v>
      </c>
      <c r="BF161" s="30" t="n">
        <f aca="false">BE161+BF160</f>
        <v>10</v>
      </c>
    </row>
    <row r="162" customFormat="false" ht="27.75" hidden="false" customHeight="true" outlineLevel="0" collapsed="false">
      <c r="A162" s="76" t="n">
        <v>36</v>
      </c>
      <c r="B162" s="77" t="s">
        <v>115</v>
      </c>
      <c r="C162" s="76" t="s">
        <v>121</v>
      </c>
      <c r="D162" s="76" t="n">
        <v>4</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Belum terisi</v>
      </c>
      <c r="F162" s="77" t="str">
        <f aca="false">IF($Q162="","",PROPER(INDEX('Reguler Class Availability'!$B:$B,$Q162)&amp;""))</f>
        <v>Kids</v>
      </c>
      <c r="G162" s="76" t="n">
        <f aca="false">IF($Q162="","",IFERROR(--(INDEX('Reguler Class Availability'!$F:$F,$Q162)&amp;""),0))</f>
        <v>4</v>
      </c>
      <c r="H162" s="77" t="str">
        <f aca="false">IF($Q162="","",PROPER(INDEX('Reguler Class Availability'!$I:$I,$Q162)&amp;"")&amp;IF(INDEX('Reguler Class Availability'!$J:$J,$Q162)&amp;""="",""," + asst "&amp;PROPER(INDEX('Reguler Class Availability'!$J:$J,$Q162)&amp;"")))</f>
        <v/>
      </c>
      <c r="I162" s="77" t="s">
        <v>282</v>
      </c>
      <c r="J162" s="77" t="s">
        <v>186</v>
      </c>
      <c r="K162" s="78"/>
      <c r="L162" s="78"/>
      <c r="M162" s="78"/>
      <c r="N162" s="79"/>
      <c r="O162" s="78"/>
      <c r="Q162" s="30" t="n">
        <f aca="false">IFERROR(MATCH($B$4&amp;"|- Lane "&amp;D162&amp;" - "&amp;B162&amp;"|"&amp;C162,'Reguler Class Availability'!$L:$L,0),"")</f>
        <v>799</v>
      </c>
      <c r="BD162" s="30" t="s">
        <v>151</v>
      </c>
      <c r="BE162" s="30" t="n">
        <f aca="false">IF(COUNTIFS('Reguler Class Availability'!$L:$L,$B$4&amp;"|- Lane 3 - *|"&amp;BD162)&gt;0,1,0)</f>
        <v>0</v>
      </c>
      <c r="BF162" s="30" t="n">
        <f aca="false">BE162+BF161</f>
        <v>10</v>
      </c>
    </row>
    <row r="163" customFormat="false" ht="27.75" hidden="false" customHeight="true" outlineLevel="0" collapsed="false">
      <c r="A163" s="76" t="n">
        <v>37</v>
      </c>
      <c r="B163" s="77" t="s">
        <v>115</v>
      </c>
      <c r="C163" s="76" t="s">
        <v>123</v>
      </c>
      <c r="D163" s="76" t="n">
        <v>5</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Kosong</v>
      </c>
      <c r="F163" s="77" t="str">
        <f aca="false">IF($Q163="","",PROPER(INDEX('Reguler Class Availability'!$B:$B,$Q163)&amp;""))</f>
        <v/>
      </c>
      <c r="G163" s="76" t="n">
        <f aca="false">IF($Q163="","",IFERROR(--(INDEX('Reguler Class Availability'!$F:$F,$Q163)&amp;""),0))</f>
        <v>5</v>
      </c>
      <c r="H163" s="77" t="str">
        <f aca="false">IF($Q163="","",PROPER(INDEX('Reguler Class Availability'!$I:$I,$Q163)&amp;"")&amp;IF(INDEX('Reguler Class Availability'!$J:$J,$Q163)&amp;""="",""," + asst "&amp;PROPER(INDEX('Reguler Class Availability'!$J:$J,$Q163)&amp;"")))</f>
        <v/>
      </c>
      <c r="I163" s="77" t="s">
        <v>283</v>
      </c>
      <c r="J163" s="77" t="s">
        <v>284</v>
      </c>
      <c r="K163" s="78"/>
      <c r="L163" s="78"/>
      <c r="M163" s="78"/>
      <c r="N163" s="79"/>
      <c r="O163" s="78"/>
      <c r="Q163" s="30" t="n">
        <f aca="false">IFERROR(MATCH($B$4&amp;"|- Lane "&amp;D163&amp;" - "&amp;B163&amp;"|"&amp;C163,'Reguler Class Availability'!$L:$L,0),"")</f>
        <v>884</v>
      </c>
      <c r="BD163" s="30" t="s">
        <v>152</v>
      </c>
      <c r="BE163" s="30" t="n">
        <f aca="false">IF(COUNTIFS('Reguler Class Availability'!$L:$L,$B$4&amp;"|- Lane 3 - *|"&amp;BD163)&gt;0,1,0)</f>
        <v>0</v>
      </c>
      <c r="BF163" s="30" t="n">
        <f aca="false">BE163+BF162</f>
        <v>10</v>
      </c>
    </row>
    <row r="164" customFormat="false" ht="27.75" hidden="false" customHeight="true" outlineLevel="0" collapsed="false">
      <c r="A164" s="76" t="n">
        <v>38</v>
      </c>
      <c r="B164" s="77" t="s">
        <v>115</v>
      </c>
      <c r="C164" s="76" t="s">
        <v>124</v>
      </c>
      <c r="D164" s="76" t="n">
        <v>4</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Belum terisi</v>
      </c>
      <c r="F164" s="77" t="str">
        <f aca="false">IF($Q164="","",PROPER(INDEX('Reguler Class Availability'!$B:$B,$Q164)&amp;""))</f>
        <v>Kids</v>
      </c>
      <c r="G164" s="76" t="n">
        <f aca="false">IF($Q164="","",IFERROR(--(INDEX('Reguler Class Availability'!$F:$F,$Q164)&amp;""),0))</f>
        <v>4</v>
      </c>
      <c r="H164" s="77" t="str">
        <f aca="false">IF($Q164="","",PROPER(INDEX('Reguler Class Availability'!$I:$I,$Q164)&amp;"")&amp;IF(INDEX('Reguler Class Availability'!$J:$J,$Q164)&amp;""="",""," + asst "&amp;PROPER(INDEX('Reguler Class Availability'!$J:$J,$Q164)&amp;"")))</f>
        <v/>
      </c>
      <c r="I164" s="77" t="s">
        <v>283</v>
      </c>
      <c r="J164" s="77" t="s">
        <v>284</v>
      </c>
      <c r="K164" s="78"/>
      <c r="L164" s="78"/>
      <c r="M164" s="78"/>
      <c r="N164" s="79"/>
      <c r="O164" s="78"/>
      <c r="Q164" s="30" t="n">
        <f aca="false">IFERROR(MATCH($B$4&amp;"|- Lane "&amp;D164&amp;" - "&amp;B164&amp;"|"&amp;C164,'Reguler Class Availability'!$L:$L,0),"")</f>
        <v>800</v>
      </c>
      <c r="BD164" s="30" t="s">
        <v>153</v>
      </c>
      <c r="BE164" s="30" t="n">
        <f aca="false">IF(COUNTIFS('Reguler Class Availability'!$L:$L,$B$4&amp;"|- Lane 3 - *|"&amp;BD164)&gt;0,1,0)</f>
        <v>1</v>
      </c>
      <c r="BF164" s="30" t="n">
        <f aca="false">BE164+BF163</f>
        <v>11</v>
      </c>
    </row>
    <row r="165" customFormat="false" ht="40.5" hidden="false" customHeight="true" outlineLevel="0" collapsed="false">
      <c r="A165" s="76" t="n">
        <v>39</v>
      </c>
      <c r="B165" s="77" t="s">
        <v>115</v>
      </c>
      <c r="C165" s="76" t="s">
        <v>126</v>
      </c>
      <c r="D165" s="76" t="n">
        <v>1</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Belum terisi</v>
      </c>
      <c r="F165" s="77" t="str">
        <f aca="false">IF($Q165="","",PROPER(INDEX('Reguler Class Availability'!$B:$B,$Q165)&amp;""))</f>
        <v>Baby</v>
      </c>
      <c r="G165" s="76" t="n">
        <f aca="false">IF($Q165="","",IFERROR(--(INDEX('Reguler Class Availability'!$F:$F,$Q165)&amp;""),0))</f>
        <v>5</v>
      </c>
      <c r="H165" s="77" t="str">
        <f aca="false">IF($Q165="","",PROPER(INDEX('Reguler Class Availability'!$I:$I,$Q165)&amp;"")&amp;IF(INDEX('Reguler Class Availability'!$J:$J,$Q165)&amp;""="",""," + asst "&amp;PROPER(INDEX('Reguler Class Availability'!$J:$J,$Q165)&amp;"")))</f>
        <v/>
      </c>
      <c r="I165" s="77" t="s">
        <v>285</v>
      </c>
      <c r="J165" s="77" t="s">
        <v>186</v>
      </c>
      <c r="K165" s="78"/>
      <c r="L165" s="78"/>
      <c r="M165" s="78"/>
      <c r="N165" s="79"/>
      <c r="O165" s="78"/>
      <c r="Q165" s="30" t="n">
        <f aca="false">IFERROR(MATCH($B$4&amp;"|- Lane "&amp;D165&amp;" - "&amp;B165&amp;"|"&amp;C165,'Reguler Class Availability'!$L:$L,0),"")</f>
        <v>535</v>
      </c>
      <c r="BD165" s="30" t="s">
        <v>154</v>
      </c>
      <c r="BE165" s="30" t="n">
        <f aca="false">IF(COUNTIFS('Reguler Class Availability'!$L:$L,$B$4&amp;"|- Lane 3 - *|"&amp;BD165)&gt;0,1,0)</f>
        <v>0</v>
      </c>
      <c r="BF165" s="30" t="n">
        <f aca="false">BE165+BF164</f>
        <v>11</v>
      </c>
    </row>
    <row r="166" customFormat="false" ht="40.5" hidden="false" customHeight="true" outlineLevel="0" collapsed="false">
      <c r="A166" s="76" t="n">
        <v>40</v>
      </c>
      <c r="B166" s="77" t="s">
        <v>115</v>
      </c>
      <c r="C166" s="76" t="s">
        <v>126</v>
      </c>
      <c r="D166" s="76" t="n">
        <v>2</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Belum terisi</v>
      </c>
      <c r="F166" s="77" t="str">
        <f aca="false">IF($Q166="","",PROPER(INDEX('Reguler Class Availability'!$B:$B,$Q166)&amp;""))</f>
        <v>Tiny</v>
      </c>
      <c r="G166" s="76" t="n">
        <f aca="false">IF($Q166="","",IFERROR(--(INDEX('Reguler Class Availability'!$F:$F,$Q166)&amp;""),0))</f>
        <v>5</v>
      </c>
      <c r="H166" s="77" t="str">
        <f aca="false">IF($Q166="","",PROPER(INDEX('Reguler Class Availability'!$I:$I,$Q166)&amp;"")&amp;IF(INDEX('Reguler Class Availability'!$J:$J,$Q166)&amp;""="",""," + asst "&amp;PROPER(INDEX('Reguler Class Availability'!$J:$J,$Q166)&amp;"")))</f>
        <v/>
      </c>
      <c r="I166" s="77" t="s">
        <v>285</v>
      </c>
      <c r="J166" s="77" t="s">
        <v>186</v>
      </c>
      <c r="K166" s="78"/>
      <c r="L166" s="78"/>
      <c r="M166" s="78"/>
      <c r="N166" s="79"/>
      <c r="O166" s="78"/>
      <c r="Q166" s="30" t="n">
        <f aca="false">IFERROR(MATCH($B$4&amp;"|- Lane "&amp;D166&amp;" - "&amp;B166&amp;"|"&amp;C166,'Reguler Class Availability'!$L:$L,0),"")</f>
        <v>633</v>
      </c>
      <c r="BD166" s="30" t="s">
        <v>155</v>
      </c>
      <c r="BE166" s="30" t="n">
        <f aca="false">IF(COUNTIFS('Reguler Class Availability'!$L:$L,$B$4&amp;"|- Lane 3 - *|"&amp;BD166)&gt;0,1,0)</f>
        <v>0</v>
      </c>
      <c r="BF166" s="30" t="n">
        <f aca="false">BE166+BF165</f>
        <v>11</v>
      </c>
    </row>
    <row r="167" customFormat="false" ht="40.5" hidden="false" customHeight="true" outlineLevel="0" collapsed="false">
      <c r="A167" s="76" t="n">
        <v>41</v>
      </c>
      <c r="B167" s="77" t="s">
        <v>115</v>
      </c>
      <c r="C167" s="76" t="s">
        <v>126</v>
      </c>
      <c r="D167" s="76" t="n">
        <v>5</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Kosong</v>
      </c>
      <c r="F167" s="77" t="str">
        <f aca="false">IF($Q167="","",PROPER(INDEX('Reguler Class Availability'!$B:$B,$Q167)&amp;""))</f>
        <v/>
      </c>
      <c r="G167" s="76" t="n">
        <f aca="false">IF($Q167="","",IFERROR(--(INDEX('Reguler Class Availability'!$F:$F,$Q167)&amp;""),0))</f>
        <v>5</v>
      </c>
      <c r="H167" s="77" t="str">
        <f aca="false">IF($Q167="","",PROPER(INDEX('Reguler Class Availability'!$I:$I,$Q167)&amp;"")&amp;IF(INDEX('Reguler Class Availability'!$J:$J,$Q167)&amp;""="",""," + asst "&amp;PROPER(INDEX('Reguler Class Availability'!$J:$J,$Q167)&amp;"")))</f>
        <v/>
      </c>
      <c r="I167" s="77" t="s">
        <v>285</v>
      </c>
      <c r="J167" s="77" t="s">
        <v>186</v>
      </c>
      <c r="K167" s="78"/>
      <c r="L167" s="78"/>
      <c r="M167" s="78"/>
      <c r="N167" s="79"/>
      <c r="O167" s="78"/>
      <c r="Q167" s="30" t="n">
        <f aca="false">IFERROR(MATCH($B$4&amp;"|- Lane "&amp;D167&amp;" - "&amp;B167&amp;"|"&amp;C167,'Reguler Class Availability'!$L:$L,0),"")</f>
        <v>885</v>
      </c>
      <c r="BD167" s="30" t="s">
        <v>156</v>
      </c>
      <c r="BE167" s="30" t="n">
        <f aca="false">IF(COUNTIFS('Reguler Class Availability'!$L:$L,$B$4&amp;"|- Lane 3 - *|"&amp;BD167)&gt;0,1,0)</f>
        <v>1</v>
      </c>
      <c r="BF167" s="30" t="n">
        <f aca="false">BE167+BF166</f>
        <v>12</v>
      </c>
    </row>
    <row r="168" customFormat="false" ht="27.75" hidden="false" customHeight="true" outlineLevel="0" collapsed="false">
      <c r="A168" s="76" t="n">
        <v>42</v>
      </c>
      <c r="B168" s="77" t="s">
        <v>115</v>
      </c>
      <c r="C168" s="76" t="s">
        <v>127</v>
      </c>
      <c r="D168" s="76" t="n">
        <v>4</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Belum terisi</v>
      </c>
      <c r="F168" s="77" t="str">
        <f aca="false">IF($Q168="","",PROPER(INDEX('Reguler Class Availability'!$B:$B,$Q168)&amp;""))</f>
        <v>Kids</v>
      </c>
      <c r="G168" s="76" t="n">
        <f aca="false">IF($Q168="","",IFERROR(--(INDEX('Reguler Class Availability'!$F:$F,$Q168)&amp;""),0))</f>
        <v>4</v>
      </c>
      <c r="H168" s="77" t="str">
        <f aca="false">IF($Q168="","",PROPER(INDEX('Reguler Class Availability'!$I:$I,$Q168)&amp;"")&amp;IF(INDEX('Reguler Class Availability'!$J:$J,$Q168)&amp;""="",""," + asst "&amp;PROPER(INDEX('Reguler Class Availability'!$J:$J,$Q168)&amp;"")))</f>
        <v/>
      </c>
      <c r="I168" s="77" t="s">
        <v>286</v>
      </c>
      <c r="J168" s="77" t="s">
        <v>186</v>
      </c>
      <c r="K168" s="78"/>
      <c r="L168" s="78"/>
      <c r="M168" s="78"/>
      <c r="N168" s="79"/>
      <c r="O168" s="78"/>
      <c r="Q168" s="30" t="n">
        <f aca="false">IFERROR(MATCH($B$4&amp;"|- Lane "&amp;D168&amp;" - "&amp;B168&amp;"|"&amp;C168,'Reguler Class Availability'!$L:$L,0),"")</f>
        <v>801</v>
      </c>
      <c r="BD168" s="30" t="s">
        <v>157</v>
      </c>
      <c r="BE168" s="30" t="n">
        <f aca="false">IF(COUNTIFS('Reguler Class Availability'!$L:$L,$B$4&amp;"|- Lane 3 - *|"&amp;BD168)&gt;0,1,0)</f>
        <v>0</v>
      </c>
      <c r="BF168" s="30" t="n">
        <f aca="false">BE168+BF167</f>
        <v>12</v>
      </c>
    </row>
    <row r="169" customFormat="false" ht="15.75" hidden="false" customHeight="true" outlineLevel="0" collapsed="false">
      <c r="A169" s="76" t="n">
        <v>43</v>
      </c>
      <c r="B169" s="77" t="s">
        <v>115</v>
      </c>
      <c r="C169" s="76" t="s">
        <v>129</v>
      </c>
      <c r="D169" s="76" t="n">
        <v>1</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Belum terisi</v>
      </c>
      <c r="F169" s="77" t="str">
        <f aca="false">IF($Q169="","",PROPER(INDEX('Reguler Class Availability'!$B:$B,$Q169)&amp;""))</f>
        <v>Baby</v>
      </c>
      <c r="G169" s="76" t="n">
        <f aca="false">IF($Q169="","",IFERROR(--(INDEX('Reguler Class Availability'!$F:$F,$Q169)&amp;""),0))</f>
        <v>5</v>
      </c>
      <c r="H169" s="77" t="str">
        <f aca="false">IF($Q169="","",PROPER(INDEX('Reguler Class Availability'!$I:$I,$Q169)&amp;"")&amp;IF(INDEX('Reguler Class Availability'!$J:$J,$Q169)&amp;""="",""," + asst "&amp;PROPER(INDEX('Reguler Class Availability'!$J:$J,$Q169)&amp;"")))</f>
        <v/>
      </c>
      <c r="I169" s="77" t="s">
        <v>287</v>
      </c>
      <c r="J169" s="77" t="s">
        <v>288</v>
      </c>
      <c r="K169" s="78"/>
      <c r="L169" s="78"/>
      <c r="M169" s="78"/>
      <c r="N169" s="79"/>
      <c r="O169" s="78"/>
      <c r="Q169" s="30" t="n">
        <f aca="false">IFERROR(MATCH($B$4&amp;"|- Lane "&amp;D169&amp;" - "&amp;B169&amp;"|"&amp;C169,'Reguler Class Availability'!$L:$L,0),"")</f>
        <v>536</v>
      </c>
      <c r="BD169" s="30" t="s">
        <v>158</v>
      </c>
      <c r="BE169" s="30" t="n">
        <f aca="false">IF(COUNTIFS('Reguler Class Availability'!$L:$L,$B$4&amp;"|- Lane 3 - *|"&amp;BD169)&gt;0,1,0)</f>
        <v>0</v>
      </c>
      <c r="BF169" s="30" t="n">
        <f aca="false">BE169+BF168</f>
        <v>12</v>
      </c>
    </row>
    <row r="170" customFormat="false" ht="15.75" hidden="false" customHeight="true" outlineLevel="0" collapsed="false">
      <c r="A170" s="76" t="n">
        <v>44</v>
      </c>
      <c r="B170" s="77" t="s">
        <v>115</v>
      </c>
      <c r="C170" s="76" t="s">
        <v>129</v>
      </c>
      <c r="D170" s="76" t="n">
        <v>5</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Kosong</v>
      </c>
      <c r="F170" s="77" t="str">
        <f aca="false">IF($Q170="","",PROPER(INDEX('Reguler Class Availability'!$B:$B,$Q170)&amp;""))</f>
        <v/>
      </c>
      <c r="G170" s="76" t="n">
        <f aca="false">IF($Q170="","",IFERROR(--(INDEX('Reguler Class Availability'!$F:$F,$Q170)&amp;""),0))</f>
        <v>5</v>
      </c>
      <c r="H170" s="77" t="str">
        <f aca="false">IF($Q170="","",PROPER(INDEX('Reguler Class Availability'!$I:$I,$Q170)&amp;"")&amp;IF(INDEX('Reguler Class Availability'!$J:$J,$Q170)&amp;""="",""," + asst "&amp;PROPER(INDEX('Reguler Class Availability'!$J:$J,$Q170)&amp;"")))</f>
        <v/>
      </c>
      <c r="I170" s="77" t="s">
        <v>287</v>
      </c>
      <c r="J170" s="77" t="s">
        <v>260</v>
      </c>
      <c r="K170" s="78"/>
      <c r="L170" s="78"/>
      <c r="M170" s="78"/>
      <c r="N170" s="79"/>
      <c r="O170" s="78"/>
      <c r="Q170" s="30" t="n">
        <f aca="false">IFERROR(MATCH($B$4&amp;"|- Lane "&amp;D170&amp;" - "&amp;B170&amp;"|"&amp;C170,'Reguler Class Availability'!$L:$L,0),"")</f>
        <v>886</v>
      </c>
      <c r="BD170" s="30" t="s">
        <v>160</v>
      </c>
      <c r="BE170" s="30" t="n">
        <f aca="false">IF(COUNTIFS('Reguler Class Availability'!$L:$L,$B$4&amp;"|- Lane 3 - *|"&amp;BD170)&gt;0,1,0)</f>
        <v>0</v>
      </c>
      <c r="BF170" s="30" t="n">
        <f aca="false">BE170+BF169</f>
        <v>12</v>
      </c>
    </row>
    <row r="171" customFormat="false" ht="27.75" hidden="false" customHeight="true" outlineLevel="0" collapsed="false">
      <c r="A171" s="76" t="n">
        <v>45</v>
      </c>
      <c r="B171" s="77" t="s">
        <v>115</v>
      </c>
      <c r="C171" s="76" t="s">
        <v>139</v>
      </c>
      <c r="D171" s="76" t="n">
        <v>1</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Belum terisi</v>
      </c>
      <c r="F171" s="77" t="str">
        <f aca="false">IF($Q171="","",PROPER(INDEX('Reguler Class Availability'!$B:$B,$Q171)&amp;""))</f>
        <v>Baby</v>
      </c>
      <c r="G171" s="76" t="n">
        <f aca="false">IF($Q171="","",IFERROR(--(INDEX('Reguler Class Availability'!$F:$F,$Q171)&amp;""),0))</f>
        <v>5</v>
      </c>
      <c r="H171" s="77" t="str">
        <f aca="false">IF($Q171="","",PROPER(INDEX('Reguler Class Availability'!$I:$I,$Q171)&amp;"")&amp;IF(INDEX('Reguler Class Availability'!$J:$J,$Q171)&amp;""="",""," + asst "&amp;PROPER(INDEX('Reguler Class Availability'!$J:$J,$Q171)&amp;"")))</f>
        <v/>
      </c>
      <c r="I171" s="77" t="s">
        <v>289</v>
      </c>
      <c r="J171" s="77" t="s">
        <v>186</v>
      </c>
      <c r="K171" s="78"/>
      <c r="L171" s="78"/>
      <c r="M171" s="78"/>
      <c r="N171" s="79"/>
      <c r="O171" s="78"/>
      <c r="Q171" s="30" t="n">
        <f aca="false">IFERROR(MATCH($B$4&amp;"|- Lane "&amp;D171&amp;" - "&amp;B171&amp;"|"&amp;C171,'Reguler Class Availability'!$L:$L,0),"")</f>
        <v>538</v>
      </c>
      <c r="BD171" s="30" t="s">
        <v>161</v>
      </c>
      <c r="BE171" s="30" t="n">
        <f aca="false">IF(COUNTIFS('Reguler Class Availability'!$L:$L,$B$4&amp;"|- Lane 3 - *|"&amp;BD171)&gt;0,1,0)</f>
        <v>0</v>
      </c>
      <c r="BF171" s="30" t="n">
        <f aca="false">BE171+BF170</f>
        <v>12</v>
      </c>
    </row>
    <row r="172" customFormat="false" ht="27.75" hidden="false" customHeight="true" outlineLevel="0" collapsed="false">
      <c r="A172" s="76" t="n">
        <v>46</v>
      </c>
      <c r="B172" s="77" t="s">
        <v>115</v>
      </c>
      <c r="C172" s="76" t="s">
        <v>139</v>
      </c>
      <c r="D172" s="76" t="n">
        <v>2</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Tiny</v>
      </c>
      <c r="G172" s="76" t="n">
        <f aca="false">IF($Q172="","",IFERROR(--(INDEX('Reguler Class Availability'!$F:$F,$Q172)&amp;""),0))</f>
        <v>5</v>
      </c>
      <c r="H172" s="77" t="str">
        <f aca="false">IF($Q172="","",PROPER(INDEX('Reguler Class Availability'!$I:$I,$Q172)&amp;"")&amp;IF(INDEX('Reguler Class Availability'!$J:$J,$Q172)&amp;""="",""," + asst "&amp;PROPER(INDEX('Reguler Class Availability'!$J:$J,$Q172)&amp;"")))</f>
        <v/>
      </c>
      <c r="I172" s="77" t="s">
        <v>289</v>
      </c>
      <c r="J172" s="77" t="s">
        <v>186</v>
      </c>
      <c r="K172" s="78"/>
      <c r="L172" s="78"/>
      <c r="M172" s="78"/>
      <c r="N172" s="79"/>
      <c r="O172" s="78"/>
      <c r="Q172" s="30" t="n">
        <f aca="false">IFERROR(MATCH($B$4&amp;"|- Lane "&amp;D172&amp;" - "&amp;B172&amp;"|"&amp;C172,'Reguler Class Availability'!$L:$L,0),"")</f>
        <v>636</v>
      </c>
      <c r="BD172" s="30" t="s">
        <v>162</v>
      </c>
      <c r="BE172" s="30" t="n">
        <f aca="false">IF(COUNTIFS('Reguler Class Availability'!$L:$L,$B$4&amp;"|- Lane 3 - *|"&amp;BD172)&gt;0,1,0)</f>
        <v>0</v>
      </c>
      <c r="BF172" s="30" t="n">
        <f aca="false">BE172+BF171</f>
        <v>12</v>
      </c>
    </row>
    <row r="173" customFormat="false" ht="27.75" hidden="false" customHeight="true" outlineLevel="0" collapsed="false">
      <c r="A173" s="76" t="n">
        <v>47</v>
      </c>
      <c r="B173" s="77" t="s">
        <v>115</v>
      </c>
      <c r="C173" s="76" t="s">
        <v>139</v>
      </c>
      <c r="D173" s="76" t="n">
        <v>5</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Kosong</v>
      </c>
      <c r="F173" s="77" t="str">
        <f aca="false">IF($Q173="","",PROPER(INDEX('Reguler Class Availability'!$B:$B,$Q173)&amp;""))</f>
        <v/>
      </c>
      <c r="G173" s="76" t="n">
        <f aca="false">IF($Q173="","",IFERROR(--(INDEX('Reguler Class Availability'!$F:$F,$Q173)&amp;""),0))</f>
        <v>5</v>
      </c>
      <c r="H173" s="77" t="str">
        <f aca="false">IF($Q173="","",PROPER(INDEX('Reguler Class Availability'!$I:$I,$Q173)&amp;"")&amp;IF(INDEX('Reguler Class Availability'!$J:$J,$Q173)&amp;""="",""," + asst "&amp;PROPER(INDEX('Reguler Class Availability'!$J:$J,$Q173)&amp;"")))</f>
        <v/>
      </c>
      <c r="I173" s="77" t="s">
        <v>289</v>
      </c>
      <c r="J173" s="77" t="s">
        <v>186</v>
      </c>
      <c r="K173" s="78"/>
      <c r="L173" s="78"/>
      <c r="M173" s="78"/>
      <c r="N173" s="79"/>
      <c r="O173" s="78"/>
      <c r="Q173" s="30" t="n">
        <f aca="false">IFERROR(MATCH($B$4&amp;"|- Lane "&amp;D173&amp;" - "&amp;B173&amp;"|"&amp;C173,'Reguler Class Availability'!$L:$L,0),"")</f>
        <v>888</v>
      </c>
      <c r="BD173" s="30" t="s">
        <v>163</v>
      </c>
      <c r="BE173" s="30" t="n">
        <f aca="false">IF(COUNTIFS('Reguler Class Availability'!$L:$L,$B$4&amp;"|- Lane 3 - *|"&amp;BD173)&gt;0,1,0)</f>
        <v>0</v>
      </c>
      <c r="BF173" s="30" t="n">
        <f aca="false">BE173+BF172</f>
        <v>12</v>
      </c>
    </row>
    <row r="174" customFormat="false" ht="27.75" hidden="false" customHeight="true" outlineLevel="0" collapsed="false">
      <c r="A174" s="76" t="n">
        <v>48</v>
      </c>
      <c r="B174" s="77" t="s">
        <v>115</v>
      </c>
      <c r="C174" s="76" t="s">
        <v>143</v>
      </c>
      <c r="D174" s="76" t="n">
        <v>1</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Belum terisi</v>
      </c>
      <c r="F174" s="77" t="str">
        <f aca="false">IF($Q174="","",PROPER(INDEX('Reguler Class Availability'!$B:$B,$Q174)&amp;""))</f>
        <v>Baby</v>
      </c>
      <c r="G174" s="76" t="n">
        <f aca="false">IF($Q174="","",IFERROR(--(INDEX('Reguler Class Availability'!$F:$F,$Q174)&amp;""),0))</f>
        <v>5</v>
      </c>
      <c r="H174" s="77" t="str">
        <f aca="false">IF($Q174="","",PROPER(INDEX('Reguler Class Availability'!$I:$I,$Q174)&amp;"")&amp;IF(INDEX('Reguler Class Availability'!$J:$J,$Q174)&amp;""="",""," + asst "&amp;PROPER(INDEX('Reguler Class Availability'!$J:$J,$Q174)&amp;"")))</f>
        <v/>
      </c>
      <c r="I174" s="77" t="s">
        <v>290</v>
      </c>
      <c r="J174" s="77" t="s">
        <v>186</v>
      </c>
      <c r="K174" s="78"/>
      <c r="L174" s="78"/>
      <c r="M174" s="78"/>
      <c r="N174" s="79"/>
      <c r="O174" s="78"/>
      <c r="Q174" s="30" t="n">
        <f aca="false">IFERROR(MATCH($B$4&amp;"|- Lane "&amp;D174&amp;" - "&amp;B174&amp;"|"&amp;C174,'Reguler Class Availability'!$L:$L,0),"")</f>
        <v>539</v>
      </c>
      <c r="BD174" s="30" t="s">
        <v>164</v>
      </c>
      <c r="BE174" s="30" t="n">
        <f aca="false">IF(COUNTIFS('Reguler Class Availability'!$L:$L,$B$4&amp;"|- Lane 3 - *|"&amp;BD174)&gt;0,1,0)</f>
        <v>0</v>
      </c>
      <c r="BF174" s="30" t="n">
        <f aca="false">BE174+BF173</f>
        <v>12</v>
      </c>
    </row>
    <row r="175" customFormat="false" ht="27.75" hidden="false" customHeight="true" outlineLevel="0" collapsed="false">
      <c r="A175" s="76" t="n">
        <v>49</v>
      </c>
      <c r="B175" s="77" t="s">
        <v>115</v>
      </c>
      <c r="C175" s="76" t="s">
        <v>143</v>
      </c>
      <c r="D175" s="76" t="n">
        <v>2</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Belum terisi</v>
      </c>
      <c r="F175" s="77" t="str">
        <f aca="false">IF($Q175="","",PROPER(INDEX('Reguler Class Availability'!$B:$B,$Q175)&amp;""))</f>
        <v>Tiny</v>
      </c>
      <c r="G175" s="76" t="n">
        <f aca="false">IF($Q175="","",IFERROR(--(INDEX('Reguler Class Availability'!$F:$F,$Q175)&amp;""),0))</f>
        <v>5</v>
      </c>
      <c r="H175" s="77" t="str">
        <f aca="false">IF($Q175="","",PROPER(INDEX('Reguler Class Availability'!$I:$I,$Q175)&amp;"")&amp;IF(INDEX('Reguler Class Availability'!$J:$J,$Q175)&amp;""="",""," + asst "&amp;PROPER(INDEX('Reguler Class Availability'!$J:$J,$Q175)&amp;"")))</f>
        <v/>
      </c>
      <c r="I175" s="77" t="s">
        <v>290</v>
      </c>
      <c r="J175" s="77" t="s">
        <v>186</v>
      </c>
      <c r="K175" s="78"/>
      <c r="L175" s="78"/>
      <c r="M175" s="78"/>
      <c r="N175" s="79"/>
      <c r="O175" s="78"/>
      <c r="Q175" s="30" t="n">
        <f aca="false">IFERROR(MATCH($B$4&amp;"|- Lane "&amp;D175&amp;" - "&amp;B175&amp;"|"&amp;C175,'Reguler Class Availability'!$L:$L,0),"")</f>
        <v>637</v>
      </c>
      <c r="BD175" s="30" t="s">
        <v>165</v>
      </c>
      <c r="BE175" s="30" t="n">
        <f aca="false">IF(COUNTIFS('Reguler Class Availability'!$L:$L,$B$4&amp;"|- Lane 3 - *|"&amp;BD175)&gt;0,1,0)</f>
        <v>0</v>
      </c>
      <c r="BF175" s="30" t="n">
        <f aca="false">BE175+BF174</f>
        <v>12</v>
      </c>
    </row>
    <row r="176" customFormat="false" ht="27.75" hidden="false" customHeight="true" outlineLevel="0" collapsed="false">
      <c r="A176" s="76" t="n">
        <v>50</v>
      </c>
      <c r="B176" s="77" t="s">
        <v>115</v>
      </c>
      <c r="C176" s="76" t="s">
        <v>143</v>
      </c>
      <c r="D176" s="76" t="n">
        <v>5</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Kosong</v>
      </c>
      <c r="F176" s="77" t="str">
        <f aca="false">IF($Q176="","",PROPER(INDEX('Reguler Class Availability'!$B:$B,$Q176)&amp;""))</f>
        <v/>
      </c>
      <c r="G176" s="76" t="n">
        <f aca="false">IF($Q176="","",IFERROR(--(INDEX('Reguler Class Availability'!$F:$F,$Q176)&amp;""),0))</f>
        <v>5</v>
      </c>
      <c r="H176" s="77" t="str">
        <f aca="false">IF($Q176="","",PROPER(INDEX('Reguler Class Availability'!$I:$I,$Q176)&amp;"")&amp;IF(INDEX('Reguler Class Availability'!$J:$J,$Q176)&amp;""="",""," + asst "&amp;PROPER(INDEX('Reguler Class Availability'!$J:$J,$Q176)&amp;"")))</f>
        <v/>
      </c>
      <c r="I176" s="77" t="s">
        <v>290</v>
      </c>
      <c r="J176" s="77" t="s">
        <v>186</v>
      </c>
      <c r="K176" s="78"/>
      <c r="L176" s="78"/>
      <c r="M176" s="78"/>
      <c r="N176" s="79"/>
      <c r="O176" s="78"/>
      <c r="Q176" s="30" t="n">
        <f aca="false">IFERROR(MATCH($B$4&amp;"|- Lane "&amp;D176&amp;" - "&amp;B176&amp;"|"&amp;C176,'Reguler Class Availability'!$L:$L,0),"")</f>
        <v>889</v>
      </c>
      <c r="BD176" s="30" t="s">
        <v>166</v>
      </c>
      <c r="BE176" s="30" t="n">
        <f aca="false">IF(COUNTIFS('Reguler Class Availability'!$L:$L,$B$4&amp;"|- Lane 3 - *|"&amp;BD176)&gt;0,1,0)</f>
        <v>0</v>
      </c>
      <c r="BF176" s="30" t="n">
        <f aca="false">BE176+BF175</f>
        <v>12</v>
      </c>
    </row>
    <row r="177" customFormat="false" ht="27.75" hidden="false" customHeight="true" outlineLevel="0" collapsed="false">
      <c r="A177" s="76" t="n">
        <v>51</v>
      </c>
      <c r="B177" s="77" t="s">
        <v>115</v>
      </c>
      <c r="C177" s="76" t="s">
        <v>149</v>
      </c>
      <c r="D177" s="76" t="n">
        <v>5</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Kosong</v>
      </c>
      <c r="F177" s="77" t="str">
        <f aca="false">IF($Q177="","",PROPER(INDEX('Reguler Class Availability'!$B:$B,$Q177)&amp;""))</f>
        <v/>
      </c>
      <c r="G177" s="76" t="n">
        <f aca="false">IF($Q177="","",IFERROR(--(INDEX('Reguler Class Availability'!$F:$F,$Q177)&amp;""),0))</f>
        <v>5</v>
      </c>
      <c r="H177" s="77" t="str">
        <f aca="false">IF($Q177="","",PROPER(INDEX('Reguler Class Availability'!$I:$I,$Q177)&amp;"")&amp;IF(INDEX('Reguler Class Availability'!$J:$J,$Q177)&amp;""="",""," + asst "&amp;PROPER(INDEX('Reguler Class Availability'!$J:$J,$Q177)&amp;"")))</f>
        <v/>
      </c>
      <c r="I177" s="77" t="s">
        <v>290</v>
      </c>
      <c r="J177" s="77" t="s">
        <v>186</v>
      </c>
      <c r="K177" s="78"/>
      <c r="L177" s="78"/>
      <c r="M177" s="78"/>
      <c r="N177" s="79"/>
      <c r="O177" s="78"/>
      <c r="Q177" s="30" t="n">
        <f aca="false">IFERROR(MATCH($B$4&amp;"|- Lane "&amp;D177&amp;" - "&amp;B177&amp;"|"&amp;C177,'Reguler Class Availability'!$L:$L,0),"")</f>
        <v>891</v>
      </c>
      <c r="BD177" s="30" t="s">
        <v>167</v>
      </c>
      <c r="BE177" s="30" t="n">
        <f aca="false">IF(COUNTIFS('Reguler Class Availability'!$L:$L,$B$4&amp;"|- Lane 3 - *|"&amp;BD177)&gt;0,1,0)</f>
        <v>0</v>
      </c>
      <c r="BF177" s="30" t="n">
        <f aca="false">BE177+BF176</f>
        <v>12</v>
      </c>
    </row>
    <row r="178" customFormat="false" ht="15.75" hidden="false" customHeight="true" outlineLevel="0" collapsed="false">
      <c r="A178" s="76" t="n">
        <v>52</v>
      </c>
      <c r="B178" s="77" t="s">
        <v>115</v>
      </c>
      <c r="C178" s="76" t="s">
        <v>152</v>
      </c>
      <c r="D178" s="76" t="n">
        <v>1</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Belum terisi</v>
      </c>
      <c r="F178" s="77" t="str">
        <f aca="false">IF($Q178="","",PROPER(INDEX('Reguler Class Availability'!$B:$B,$Q178)&amp;""))</f>
        <v>Baby</v>
      </c>
      <c r="G178" s="76" t="n">
        <f aca="false">IF($Q178="","",IFERROR(--(INDEX('Reguler Class Availability'!$F:$F,$Q178)&amp;""),0))</f>
        <v>5</v>
      </c>
      <c r="H178" s="77" t="str">
        <f aca="false">IF($Q178="","",PROPER(INDEX('Reguler Class Availability'!$I:$I,$Q178)&amp;"")&amp;IF(INDEX('Reguler Class Availability'!$J:$J,$Q178)&amp;""="",""," + asst "&amp;PROPER(INDEX('Reguler Class Availability'!$J:$J,$Q178)&amp;"")))</f>
        <v/>
      </c>
      <c r="I178" s="77" t="s">
        <v>291</v>
      </c>
      <c r="J178" s="77" t="s">
        <v>188</v>
      </c>
      <c r="K178" s="78"/>
      <c r="L178" s="78"/>
      <c r="M178" s="78"/>
      <c r="N178" s="79"/>
      <c r="O178" s="78"/>
      <c r="Q178" s="30" t="n">
        <f aca="false">IFERROR(MATCH($B$4&amp;"|- Lane "&amp;D178&amp;" - "&amp;B178&amp;"|"&amp;C178,'Reguler Class Availability'!$L:$L,0),"")</f>
        <v>542</v>
      </c>
      <c r="BD178" s="30" t="s">
        <v>168</v>
      </c>
      <c r="BE178" s="30" t="n">
        <f aca="false">IF(COUNTIFS('Reguler Class Availability'!$L:$L,$B$4&amp;"|- Lane 3 - *|"&amp;BD178)&gt;0,1,0)</f>
        <v>0</v>
      </c>
      <c r="BF178" s="30" t="n">
        <f aca="false">BE178+BF177</f>
        <v>12</v>
      </c>
    </row>
    <row r="179" customFormat="false" ht="15.75" hidden="false" customHeight="true" outlineLevel="0" collapsed="false">
      <c r="A179" s="76" t="n">
        <v>53</v>
      </c>
      <c r="B179" s="77" t="s">
        <v>115</v>
      </c>
      <c r="C179" s="76" t="s">
        <v>152</v>
      </c>
      <c r="D179" s="76" t="n">
        <v>2</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Tiny</v>
      </c>
      <c r="G179" s="76" t="n">
        <f aca="false">IF($Q179="","",IFERROR(--(INDEX('Reguler Class Availability'!$F:$F,$Q179)&amp;""),0))</f>
        <v>5</v>
      </c>
      <c r="H179" s="77" t="str">
        <f aca="false">IF($Q179="","",PROPER(INDEX('Reguler Class Availability'!$I:$I,$Q179)&amp;"")&amp;IF(INDEX('Reguler Class Availability'!$J:$J,$Q179)&amp;""="",""," + asst "&amp;PROPER(INDEX('Reguler Class Availability'!$J:$J,$Q179)&amp;"")))</f>
        <v/>
      </c>
      <c r="I179" s="77" t="s">
        <v>291</v>
      </c>
      <c r="J179" s="77" t="s">
        <v>188</v>
      </c>
      <c r="K179" s="78"/>
      <c r="L179" s="78"/>
      <c r="M179" s="78"/>
      <c r="N179" s="79"/>
      <c r="O179" s="78"/>
      <c r="Q179" s="30" t="n">
        <f aca="false">IFERROR(MATCH($B$4&amp;"|- Lane "&amp;D179&amp;" - "&amp;B179&amp;"|"&amp;C179,'Reguler Class Availability'!$L:$L,0),"")</f>
        <v>640</v>
      </c>
      <c r="BD179" s="30" t="s">
        <v>169</v>
      </c>
      <c r="BE179" s="30" t="n">
        <f aca="false">IF(COUNTIFS('Reguler Class Availability'!$L:$L,$B$4&amp;"|- Lane 3 - *|"&amp;BD179)&gt;0,1,0)</f>
        <v>0</v>
      </c>
      <c r="BF179" s="30" t="n">
        <f aca="false">BE179+BF178</f>
        <v>12</v>
      </c>
    </row>
    <row r="180" customFormat="false" ht="27.75" hidden="false" customHeight="true" outlineLevel="0" collapsed="false">
      <c r="A180" s="76" t="n">
        <v>54</v>
      </c>
      <c r="B180" s="77" t="s">
        <v>115</v>
      </c>
      <c r="C180" s="76" t="s">
        <v>155</v>
      </c>
      <c r="D180" s="76" t="n">
        <v>1</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Belum terisi</v>
      </c>
      <c r="F180" s="77" t="str">
        <f aca="false">IF($Q180="","",PROPER(INDEX('Reguler Class Availability'!$B:$B,$Q180)&amp;""))</f>
        <v>Baby</v>
      </c>
      <c r="G180" s="76" t="n">
        <f aca="false">IF($Q180="","",IFERROR(--(INDEX('Reguler Class Availability'!$F:$F,$Q180)&amp;""),0))</f>
        <v>5</v>
      </c>
      <c r="H180" s="77" t="str">
        <f aca="false">IF($Q180="","",PROPER(INDEX('Reguler Class Availability'!$I:$I,$Q180)&amp;"")&amp;IF(INDEX('Reguler Class Availability'!$J:$J,$Q180)&amp;""="",""," + asst "&amp;PROPER(INDEX('Reguler Class Availability'!$J:$J,$Q180)&amp;"")))</f>
        <v/>
      </c>
      <c r="I180" s="77" t="s">
        <v>290</v>
      </c>
      <c r="J180" s="77" t="s">
        <v>186</v>
      </c>
      <c r="K180" s="78"/>
      <c r="L180" s="78"/>
      <c r="M180" s="78"/>
      <c r="N180" s="79"/>
      <c r="O180" s="78"/>
      <c r="Q180" s="30" t="n">
        <f aca="false">IFERROR(MATCH($B$4&amp;"|- Lane "&amp;D180&amp;" - "&amp;B180&amp;"|"&amp;C180,'Reguler Class Availability'!$L:$L,0),"")</f>
        <v>543</v>
      </c>
      <c r="BD180" s="30" t="s">
        <v>170</v>
      </c>
      <c r="BE180" s="30" t="n">
        <f aca="false">IF(COUNTIFS('Reguler Class Availability'!$L:$L,$B$4&amp;"|- Lane 3 - *|"&amp;BD180)&gt;0,1,0)</f>
        <v>0</v>
      </c>
      <c r="BF180" s="30" t="n">
        <f aca="false">BE180+BF179</f>
        <v>12</v>
      </c>
    </row>
    <row r="181" customFormat="false" ht="27.75" hidden="false" customHeight="true" outlineLevel="0" collapsed="false">
      <c r="A181" s="76" t="n">
        <v>55</v>
      </c>
      <c r="B181" s="77" t="s">
        <v>115</v>
      </c>
      <c r="C181" s="76" t="s">
        <v>155</v>
      </c>
      <c r="D181" s="76" t="n">
        <v>2</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Tiny</v>
      </c>
      <c r="G181" s="76" t="n">
        <f aca="false">IF($Q181="","",IFERROR(--(INDEX('Reguler Class Availability'!$F:$F,$Q181)&amp;""),0))</f>
        <v>5</v>
      </c>
      <c r="H181" s="77" t="str">
        <f aca="false">IF($Q181="","",PROPER(INDEX('Reguler Class Availability'!$I:$I,$Q181)&amp;"")&amp;IF(INDEX('Reguler Class Availability'!$J:$J,$Q181)&amp;""="",""," + asst "&amp;PROPER(INDEX('Reguler Class Availability'!$J:$J,$Q181)&amp;"")))</f>
        <v/>
      </c>
      <c r="I181" s="77" t="s">
        <v>290</v>
      </c>
      <c r="J181" s="77" t="s">
        <v>186</v>
      </c>
      <c r="K181" s="78"/>
      <c r="L181" s="78"/>
      <c r="M181" s="78"/>
      <c r="N181" s="79"/>
      <c r="O181" s="78"/>
      <c r="Q181" s="30" t="n">
        <f aca="false">IFERROR(MATCH($B$4&amp;"|- Lane "&amp;D181&amp;" - "&amp;B181&amp;"|"&amp;C181,'Reguler Class Availability'!$L:$L,0),"")</f>
        <v>641</v>
      </c>
      <c r="BD181" s="30" t="s">
        <v>171</v>
      </c>
      <c r="BE181" s="30" t="n">
        <f aca="false">IF(COUNTIFS('Reguler Class Availability'!$L:$L,$B$4&amp;"|- Lane 3 - *|"&amp;BD181)&gt;0,1,0)</f>
        <v>0</v>
      </c>
      <c r="BF181" s="30" t="n">
        <f aca="false">BE181+BF180</f>
        <v>12</v>
      </c>
    </row>
    <row r="182" customFormat="false" ht="40.5" hidden="false" customHeight="true" outlineLevel="0" collapsed="false">
      <c r="A182" s="76" t="n">
        <v>56</v>
      </c>
      <c r="B182" s="77" t="s">
        <v>115</v>
      </c>
      <c r="C182" s="76" t="s">
        <v>156</v>
      </c>
      <c r="D182" s="76" t="n">
        <v>3</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Belum terisi</v>
      </c>
      <c r="F182" s="77" t="str">
        <f aca="false">IF($Q182="","",PROPER(INDEX('Reguler Class Availability'!$B:$B,$Q182)&amp;""))</f>
        <v>Little</v>
      </c>
      <c r="G182" s="76" t="n">
        <f aca="false">IF($Q182="","",IFERROR(--(INDEX('Reguler Class Availability'!$F:$F,$Q182)&amp;""),0))</f>
        <v>4</v>
      </c>
      <c r="H182" s="77" t="str">
        <f aca="false">IF($Q182="","",PROPER(INDEX('Reguler Class Availability'!$I:$I,$Q182)&amp;"")&amp;IF(INDEX('Reguler Class Availability'!$J:$J,$Q182)&amp;""="",""," + asst "&amp;PROPER(INDEX('Reguler Class Availability'!$J:$J,$Q182)&amp;"")))</f>
        <v/>
      </c>
      <c r="I182" s="77" t="s">
        <v>292</v>
      </c>
      <c r="J182" s="77" t="s">
        <v>186</v>
      </c>
      <c r="K182" s="78"/>
      <c r="L182" s="78"/>
      <c r="M182" s="78"/>
      <c r="N182" s="79"/>
      <c r="O182" s="78"/>
      <c r="Q182" s="30" t="n">
        <f aca="false">IFERROR(MATCH($B$4&amp;"|- Lane "&amp;D182&amp;" - "&amp;B182&amp;"|"&amp;C182,'Reguler Class Availability'!$L:$L,0),"")</f>
        <v>725</v>
      </c>
      <c r="BD182" s="30" t="s">
        <v>78</v>
      </c>
      <c r="BE182" s="30" t="n">
        <f aca="false">IF(COUNTIFS('Reguler Class Availability'!$L:$L,$B$4&amp;"|- Lane 4 - *|"&amp;BD182)&gt;0,1,0)</f>
        <v>0</v>
      </c>
      <c r="BF182" s="30" t="n">
        <f aca="false">BE182</f>
        <v>0</v>
      </c>
    </row>
    <row r="183" customFormat="false" ht="52.5" hidden="false" customHeight="true" outlineLevel="0" collapsed="false">
      <c r="A183" s="76" t="n">
        <v>57</v>
      </c>
      <c r="B183" s="77" t="s">
        <v>115</v>
      </c>
      <c r="C183" s="76" t="s">
        <v>160</v>
      </c>
      <c r="D183" s="76" t="n">
        <v>1</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Star</v>
      </c>
      <c r="G183" s="76" t="n">
        <f aca="false">IF($Q183="","",IFERROR(--(INDEX('Reguler Class Availability'!$F:$F,$Q183)&amp;""),0))</f>
        <v>8</v>
      </c>
      <c r="H183" s="77" t="str">
        <f aca="false">IF($Q183="","",PROPER(INDEX('Reguler Class Availability'!$I:$I,$Q183)&amp;"")&amp;IF(INDEX('Reguler Class Availability'!$J:$J,$Q183)&amp;""="",""," + asst "&amp;PROPER(INDEX('Reguler Class Availability'!$J:$J,$Q183)&amp;"")))</f>
        <v/>
      </c>
      <c r="I183" s="77" t="s">
        <v>281</v>
      </c>
      <c r="J183" s="77" t="s">
        <v>186</v>
      </c>
      <c r="K183" s="78"/>
      <c r="L183" s="78"/>
      <c r="M183" s="78"/>
      <c r="N183" s="79"/>
      <c r="O183" s="78"/>
      <c r="Q183" s="30" t="n">
        <f aca="false">IFERROR(MATCH($B$4&amp;"|- Lane "&amp;D183&amp;" - "&amp;B183&amp;"|"&amp;C183,'Reguler Class Availability'!$L:$L,0),"")</f>
        <v>612</v>
      </c>
      <c r="BD183" s="30" t="s">
        <v>79</v>
      </c>
      <c r="BE183" s="30" t="n">
        <f aca="false">IF(COUNTIFS('Reguler Class Availability'!$L:$L,$B$4&amp;"|- Lane 4 - *|"&amp;BD183)&gt;0,1,0)</f>
        <v>0</v>
      </c>
      <c r="BF183" s="30" t="n">
        <f aca="false">BE183+BF182</f>
        <v>0</v>
      </c>
    </row>
    <row r="184" customFormat="false" ht="65.25" hidden="false" customHeight="true" outlineLevel="0" collapsed="false">
      <c r="A184" s="76" t="n">
        <v>58</v>
      </c>
      <c r="B184" s="77" t="s">
        <v>116</v>
      </c>
      <c r="C184" s="76" t="s">
        <v>91</v>
      </c>
      <c r="D184" s="76" t="n">
        <v>1</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Belum terisi</v>
      </c>
      <c r="F184" s="77" t="str">
        <f aca="false">IF($Q184="","",PROPER(INDEX('Reguler Class Availability'!$B:$B,$Q184)&amp;""))</f>
        <v>Star</v>
      </c>
      <c r="G184" s="76" t="n">
        <f aca="false">IF($Q184="","",IFERROR(--(INDEX('Reguler Class Availability'!$F:$F,$Q184)&amp;""),0))</f>
        <v>8</v>
      </c>
      <c r="H184" s="77" t="str">
        <f aca="false">IF($Q184="","",PROPER(INDEX('Reguler Class Availability'!$I:$I,$Q184)&amp;"")&amp;IF(INDEX('Reguler Class Availability'!$J:$J,$Q184)&amp;""="",""," + asst "&amp;PROPER(INDEX('Reguler Class Availability'!$J:$J,$Q184)&amp;"")))</f>
        <v/>
      </c>
      <c r="I184" s="77" t="s">
        <v>293</v>
      </c>
      <c r="J184" s="77" t="s">
        <v>186</v>
      </c>
      <c r="K184" s="78"/>
      <c r="L184" s="78"/>
      <c r="M184" s="78"/>
      <c r="N184" s="79"/>
      <c r="O184" s="78"/>
      <c r="Q184" s="30" t="n">
        <f aca="false">IFERROR(MATCH($B$4&amp;"|- Lane "&amp;D184&amp;" - "&amp;B184&amp;"|"&amp;C184,'Reguler Class Availability'!$L:$L,0),"")</f>
        <v>606</v>
      </c>
      <c r="BD184" s="30" t="s">
        <v>84</v>
      </c>
      <c r="BE184" s="30" t="n">
        <f aca="false">IF(COUNTIFS('Reguler Class Availability'!$L:$L,$B$4&amp;"|- Lane 4 - *|"&amp;BD184)&gt;0,1,0)</f>
        <v>0</v>
      </c>
      <c r="BF184" s="30" t="n">
        <f aca="false">BE184+BF183</f>
        <v>0</v>
      </c>
    </row>
    <row r="185" customFormat="false" ht="65.25" hidden="false" customHeight="true" outlineLevel="0" collapsed="false">
      <c r="A185" s="76" t="n">
        <v>59</v>
      </c>
      <c r="B185" s="77" t="s">
        <v>116</v>
      </c>
      <c r="C185" s="76" t="s">
        <v>120</v>
      </c>
      <c r="D185" s="76" t="n">
        <v>1</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Belum terisi</v>
      </c>
      <c r="F185" s="77" t="str">
        <f aca="false">IF($Q185="","",PROPER(INDEX('Reguler Class Availability'!$B:$B,$Q185)&amp;""))</f>
        <v>Baby</v>
      </c>
      <c r="G185" s="76" t="n">
        <f aca="false">IF($Q185="","",IFERROR(--(INDEX('Reguler Class Availability'!$F:$F,$Q185)&amp;""),0))</f>
        <v>5</v>
      </c>
      <c r="H185" s="77" t="str">
        <f aca="false">IF($Q185="","",PROPER(INDEX('Reguler Class Availability'!$I:$I,$Q185)&amp;"")&amp;IF(INDEX('Reguler Class Availability'!$J:$J,$Q185)&amp;""="",""," + asst "&amp;PROPER(INDEX('Reguler Class Availability'!$J:$J,$Q185)&amp;"")))</f>
        <v/>
      </c>
      <c r="I185" s="77" t="s">
        <v>294</v>
      </c>
      <c r="J185" s="77" t="s">
        <v>186</v>
      </c>
      <c r="K185" s="78"/>
      <c r="L185" s="78"/>
      <c r="M185" s="78"/>
      <c r="N185" s="79"/>
      <c r="O185" s="78"/>
      <c r="Q185" s="30" t="n">
        <f aca="false">IFERROR(MATCH($B$4&amp;"|- Lane "&amp;D185&amp;" - "&amp;B185&amp;"|"&amp;C185,'Reguler Class Availability'!$L:$L,0),"")</f>
        <v>545</v>
      </c>
      <c r="BD185" s="30" t="s">
        <v>85</v>
      </c>
      <c r="BE185" s="30" t="n">
        <f aca="false">IF(COUNTIFS('Reguler Class Availability'!$L:$L,$B$4&amp;"|- Lane 4 - *|"&amp;BD185)&gt;0,1,0)</f>
        <v>0</v>
      </c>
      <c r="BF185" s="30" t="n">
        <f aca="false">BE185+BF184</f>
        <v>0</v>
      </c>
    </row>
    <row r="186" customFormat="false" ht="65.25" hidden="false" customHeight="true" outlineLevel="0" collapsed="false">
      <c r="A186" s="76" t="n">
        <v>60</v>
      </c>
      <c r="B186" s="77" t="s">
        <v>116</v>
      </c>
      <c r="C186" s="76" t="s">
        <v>120</v>
      </c>
      <c r="D186" s="76" t="n">
        <v>2</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Belum terisi</v>
      </c>
      <c r="F186" s="77" t="str">
        <f aca="false">IF($Q186="","",PROPER(INDEX('Reguler Class Availability'!$B:$B,$Q186)&amp;""))</f>
        <v>Tiny</v>
      </c>
      <c r="G186" s="76" t="n">
        <f aca="false">IF($Q186="","",IFERROR(--(INDEX('Reguler Class Availability'!$F:$F,$Q186)&amp;""),0))</f>
        <v>5</v>
      </c>
      <c r="H186" s="77" t="str">
        <f aca="false">IF($Q186="","",PROPER(INDEX('Reguler Class Availability'!$I:$I,$Q186)&amp;"")&amp;IF(INDEX('Reguler Class Availability'!$J:$J,$Q186)&amp;""="",""," + asst "&amp;PROPER(INDEX('Reguler Class Availability'!$J:$J,$Q186)&amp;"")))</f>
        <v/>
      </c>
      <c r="I186" s="77" t="s">
        <v>294</v>
      </c>
      <c r="J186" s="77" t="s">
        <v>186</v>
      </c>
      <c r="K186" s="78"/>
      <c r="L186" s="78"/>
      <c r="M186" s="78"/>
      <c r="N186" s="79"/>
      <c r="O186" s="78"/>
      <c r="Q186" s="30" t="n">
        <f aca="false">IFERROR(MATCH($B$4&amp;"|- Lane "&amp;D186&amp;" - "&amp;B186&amp;"|"&amp;C186,'Reguler Class Availability'!$L:$L,0),"")</f>
        <v>643</v>
      </c>
      <c r="BD186" s="30" t="s">
        <v>89</v>
      </c>
      <c r="BE186" s="30" t="n">
        <f aca="false">IF(COUNTIFS('Reguler Class Availability'!$L:$L,$B$4&amp;"|- Lane 4 - *|"&amp;BD186)&gt;0,1,0)</f>
        <v>0</v>
      </c>
      <c r="BF186" s="30" t="n">
        <f aca="false">BE186+BF185</f>
        <v>0</v>
      </c>
    </row>
    <row r="187" customFormat="false" ht="65.25" hidden="false" customHeight="true" outlineLevel="0" collapsed="false">
      <c r="A187" s="76" t="n">
        <v>61</v>
      </c>
      <c r="B187" s="77" t="s">
        <v>116</v>
      </c>
      <c r="C187" s="76" t="s">
        <v>120</v>
      </c>
      <c r="D187" s="76" t="n">
        <v>5</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Kosong</v>
      </c>
      <c r="F187" s="77" t="str">
        <f aca="false">IF($Q187="","",PROPER(INDEX('Reguler Class Availability'!$B:$B,$Q187)&amp;""))</f>
        <v/>
      </c>
      <c r="G187" s="76" t="n">
        <f aca="false">IF($Q187="","",IFERROR(--(INDEX('Reguler Class Availability'!$F:$F,$Q187)&amp;""),0))</f>
        <v>5</v>
      </c>
      <c r="H187" s="77" t="str">
        <f aca="false">IF($Q187="","",PROPER(INDEX('Reguler Class Availability'!$I:$I,$Q187)&amp;"")&amp;IF(INDEX('Reguler Class Availability'!$J:$J,$Q187)&amp;""="",""," + asst "&amp;PROPER(INDEX('Reguler Class Availability'!$J:$J,$Q187)&amp;"")))</f>
        <v/>
      </c>
      <c r="I187" s="77" t="s">
        <v>294</v>
      </c>
      <c r="J187" s="77" t="s">
        <v>186</v>
      </c>
      <c r="K187" s="78"/>
      <c r="L187" s="78"/>
      <c r="M187" s="78"/>
      <c r="N187" s="79"/>
      <c r="O187" s="78"/>
      <c r="Q187" s="30" t="n">
        <f aca="false">IFERROR(MATCH($B$4&amp;"|- Lane "&amp;D187&amp;" - "&amp;B187&amp;"|"&amp;C187,'Reguler Class Availability'!$L:$L,0),"")</f>
        <v>895</v>
      </c>
      <c r="BD187" s="30" t="s">
        <v>90</v>
      </c>
      <c r="BE187" s="30" t="n">
        <f aca="false">IF(COUNTIFS('Reguler Class Availability'!$L:$L,$B$4&amp;"|- Lane 4 - *|"&amp;BD187)&gt;0,1,0)</f>
        <v>0</v>
      </c>
      <c r="BF187" s="30" t="n">
        <f aca="false">BE187+BF186</f>
        <v>0</v>
      </c>
    </row>
    <row r="188" customFormat="false" ht="40.5" hidden="false" customHeight="true" outlineLevel="0" collapsed="false">
      <c r="A188" s="76" t="n">
        <v>62</v>
      </c>
      <c r="B188" s="77" t="s">
        <v>116</v>
      </c>
      <c r="C188" s="76" t="s">
        <v>121</v>
      </c>
      <c r="D188" s="76" t="n">
        <v>4</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Belum terisi</v>
      </c>
      <c r="F188" s="77" t="str">
        <f aca="false">IF($Q188="","",PROPER(INDEX('Reguler Class Availability'!$B:$B,$Q188)&amp;""))</f>
        <v>Kids</v>
      </c>
      <c r="G188" s="76" t="n">
        <f aca="false">IF($Q188="","",IFERROR(--(INDEX('Reguler Class Availability'!$F:$F,$Q188)&amp;""),0))</f>
        <v>4</v>
      </c>
      <c r="H188" s="77" t="str">
        <f aca="false">IF($Q188="","",PROPER(INDEX('Reguler Class Availability'!$I:$I,$Q188)&amp;"")&amp;IF(INDEX('Reguler Class Availability'!$J:$J,$Q188)&amp;""="",""," + asst "&amp;PROPER(INDEX('Reguler Class Availability'!$J:$J,$Q188)&amp;"")))</f>
        <v/>
      </c>
      <c r="I188" s="77" t="s">
        <v>295</v>
      </c>
      <c r="J188" s="77" t="s">
        <v>186</v>
      </c>
      <c r="K188" s="78"/>
      <c r="L188" s="78"/>
      <c r="M188" s="78"/>
      <c r="N188" s="79"/>
      <c r="O188" s="78"/>
      <c r="Q188" s="30" t="n">
        <f aca="false">IFERROR(MATCH($B$4&amp;"|- Lane "&amp;D188&amp;" - "&amp;B188&amp;"|"&amp;C188,'Reguler Class Availability'!$L:$L,0),"")</f>
        <v>811</v>
      </c>
      <c r="BD188" s="30" t="s">
        <v>91</v>
      </c>
      <c r="BE188" s="30" t="n">
        <f aca="false">IF(COUNTIFS('Reguler Class Availability'!$L:$L,$B$4&amp;"|- Lane 4 - *|"&amp;BD188)&gt;0,1,0)</f>
        <v>0</v>
      </c>
      <c r="BF188" s="30" t="n">
        <f aca="false">BE188+BF187</f>
        <v>0</v>
      </c>
    </row>
    <row r="189" customFormat="false" ht="40.5" hidden="false" customHeight="true" outlineLevel="0" collapsed="false">
      <c r="A189" s="76" t="n">
        <v>63</v>
      </c>
      <c r="B189" s="77" t="s">
        <v>116</v>
      </c>
      <c r="C189" s="76" t="s">
        <v>123</v>
      </c>
      <c r="D189" s="76" t="n">
        <v>5</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Kosong</v>
      </c>
      <c r="F189" s="77" t="str">
        <f aca="false">IF($Q189="","",PROPER(INDEX('Reguler Class Availability'!$B:$B,$Q189)&amp;""))</f>
        <v/>
      </c>
      <c r="G189" s="76" t="n">
        <f aca="false">IF($Q189="","",IFERROR(--(INDEX('Reguler Class Availability'!$F:$F,$Q189)&amp;""),0))</f>
        <v>5</v>
      </c>
      <c r="H189" s="77" t="str">
        <f aca="false">IF($Q189="","",PROPER(INDEX('Reguler Class Availability'!$I:$I,$Q189)&amp;"")&amp;IF(INDEX('Reguler Class Availability'!$J:$J,$Q189)&amp;""="",""," + asst "&amp;PROPER(INDEX('Reguler Class Availability'!$J:$J,$Q189)&amp;"")))</f>
        <v/>
      </c>
      <c r="I189" s="77" t="s">
        <v>295</v>
      </c>
      <c r="J189" s="77" t="s">
        <v>186</v>
      </c>
      <c r="K189" s="78"/>
      <c r="L189" s="78"/>
      <c r="M189" s="78"/>
      <c r="N189" s="79"/>
      <c r="O189" s="78"/>
      <c r="Q189" s="30" t="n">
        <f aca="false">IFERROR(MATCH($B$4&amp;"|- Lane "&amp;D189&amp;" - "&amp;B189&amp;"|"&amp;C189,'Reguler Class Availability'!$L:$L,0),"")</f>
        <v>896</v>
      </c>
      <c r="BD189" s="30" t="s">
        <v>98</v>
      </c>
      <c r="BE189" s="30" t="n">
        <f aca="false">IF(COUNTIFS('Reguler Class Availability'!$L:$L,$B$4&amp;"|- Lane 4 - *|"&amp;BD189)&gt;0,1,0)</f>
        <v>0</v>
      </c>
      <c r="BF189" s="30" t="n">
        <f aca="false">BE189+BF188</f>
        <v>0</v>
      </c>
    </row>
    <row r="190" customFormat="false" ht="40.5" hidden="false" customHeight="true" outlineLevel="0" collapsed="false">
      <c r="A190" s="76" t="n">
        <v>64</v>
      </c>
      <c r="B190" s="77" t="s">
        <v>116</v>
      </c>
      <c r="C190" s="76" t="s">
        <v>124</v>
      </c>
      <c r="D190" s="76" t="n">
        <v>3</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Belum terisi</v>
      </c>
      <c r="F190" s="77" t="str">
        <f aca="false">IF($Q190="","",PROPER(INDEX('Reguler Class Availability'!$B:$B,$Q190)&amp;""))</f>
        <v>Little</v>
      </c>
      <c r="G190" s="76" t="n">
        <f aca="false">IF($Q190="","",IFERROR(--(INDEX('Reguler Class Availability'!$F:$F,$Q190)&amp;""),0))</f>
        <v>4</v>
      </c>
      <c r="H190" s="77" t="str">
        <f aca="false">IF($Q190="","",PROPER(INDEX('Reguler Class Availability'!$I:$I,$Q190)&amp;"")&amp;IF(INDEX('Reguler Class Availability'!$J:$J,$Q190)&amp;""="",""," + asst "&amp;PROPER(INDEX('Reguler Class Availability'!$J:$J,$Q190)&amp;"")))</f>
        <v/>
      </c>
      <c r="I190" s="77" t="s">
        <v>296</v>
      </c>
      <c r="J190" s="77" t="s">
        <v>186</v>
      </c>
      <c r="K190" s="78"/>
      <c r="L190" s="78"/>
      <c r="M190" s="78"/>
      <c r="N190" s="79"/>
      <c r="O190" s="78"/>
      <c r="Q190" s="30" t="n">
        <f aca="false">IFERROR(MATCH($B$4&amp;"|- Lane "&amp;D190&amp;" - "&amp;B190&amp;"|"&amp;C190,'Reguler Class Availability'!$L:$L,0),"")</f>
        <v>728</v>
      </c>
      <c r="BD190" s="30" t="s">
        <v>105</v>
      </c>
      <c r="BE190" s="30" t="n">
        <f aca="false">IF(COUNTIFS('Reguler Class Availability'!$L:$L,$B$4&amp;"|- Lane 4 - *|"&amp;BD190)&gt;0,1,0)</f>
        <v>0</v>
      </c>
      <c r="BF190" s="30" t="n">
        <f aca="false">BE190+BF189</f>
        <v>0</v>
      </c>
    </row>
    <row r="191" customFormat="false" ht="40.5" hidden="false" customHeight="true" outlineLevel="0" collapsed="false">
      <c r="A191" s="76" t="n">
        <v>65</v>
      </c>
      <c r="B191" s="77" t="s">
        <v>116</v>
      </c>
      <c r="C191" s="76" t="s">
        <v>124</v>
      </c>
      <c r="D191" s="76" t="n">
        <v>4</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Belum terisi</v>
      </c>
      <c r="F191" s="77" t="str">
        <f aca="false">IF($Q191="","",PROPER(INDEX('Reguler Class Availability'!$B:$B,$Q191)&amp;""))</f>
        <v>Kids</v>
      </c>
      <c r="G191" s="76" t="n">
        <f aca="false">IF($Q191="","",IFERROR(--(INDEX('Reguler Class Availability'!$F:$F,$Q191)&amp;""),0))</f>
        <v>4</v>
      </c>
      <c r="H191" s="77" t="str">
        <f aca="false">IF($Q191="","",PROPER(INDEX('Reguler Class Availability'!$I:$I,$Q191)&amp;"")&amp;IF(INDEX('Reguler Class Availability'!$J:$J,$Q191)&amp;""="",""," + asst "&amp;PROPER(INDEX('Reguler Class Availability'!$J:$J,$Q191)&amp;"")))</f>
        <v/>
      </c>
      <c r="I191" s="77" t="s">
        <v>296</v>
      </c>
      <c r="J191" s="77" t="s">
        <v>186</v>
      </c>
      <c r="K191" s="78"/>
      <c r="L191" s="78"/>
      <c r="M191" s="78"/>
      <c r="N191" s="79"/>
      <c r="O191" s="78"/>
      <c r="Q191" s="30" t="n">
        <f aca="false">IFERROR(MATCH($B$4&amp;"|- Lane "&amp;D191&amp;" - "&amp;B191&amp;"|"&amp;C191,'Reguler Class Availability'!$L:$L,0),"")</f>
        <v>812</v>
      </c>
      <c r="BD191" s="30" t="s">
        <v>110</v>
      </c>
      <c r="BE191" s="30" t="n">
        <f aca="false">IF(COUNTIFS('Reguler Class Availability'!$L:$L,$B$4&amp;"|- Lane 4 - *|"&amp;BD191)&gt;0,1,0)</f>
        <v>1</v>
      </c>
      <c r="BF191" s="30" t="n">
        <f aca="false">BE191+BF190</f>
        <v>1</v>
      </c>
    </row>
    <row r="192" customFormat="false" ht="52.5" hidden="false" customHeight="true" outlineLevel="0" collapsed="false">
      <c r="A192" s="76" t="n">
        <v>66</v>
      </c>
      <c r="B192" s="77" t="s">
        <v>116</v>
      </c>
      <c r="C192" s="76" t="s">
        <v>126</v>
      </c>
      <c r="D192" s="76" t="n">
        <v>1</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Belum terisi</v>
      </c>
      <c r="F192" s="77" t="str">
        <f aca="false">IF($Q192="","",PROPER(INDEX('Reguler Class Availability'!$B:$B,$Q192)&amp;""))</f>
        <v>Baby</v>
      </c>
      <c r="G192" s="76" t="n">
        <f aca="false">IF($Q192="","",IFERROR(--(INDEX('Reguler Class Availability'!$F:$F,$Q192)&amp;""),0))</f>
        <v>5</v>
      </c>
      <c r="H192" s="77" t="str">
        <f aca="false">IF($Q192="","",PROPER(INDEX('Reguler Class Availability'!$I:$I,$Q192)&amp;"")&amp;IF(INDEX('Reguler Class Availability'!$J:$J,$Q192)&amp;""="",""," + asst "&amp;PROPER(INDEX('Reguler Class Availability'!$J:$J,$Q192)&amp;"")))</f>
        <v/>
      </c>
      <c r="I192" s="77" t="s">
        <v>297</v>
      </c>
      <c r="J192" s="77" t="s">
        <v>186</v>
      </c>
      <c r="K192" s="78"/>
      <c r="L192" s="78"/>
      <c r="M192" s="78"/>
      <c r="N192" s="79"/>
      <c r="O192" s="78"/>
      <c r="Q192" s="30" t="n">
        <f aca="false">IFERROR(MATCH($B$4&amp;"|- Lane "&amp;D192&amp;" - "&amp;B192&amp;"|"&amp;C192,'Reguler Class Availability'!$L:$L,0),"")</f>
        <v>547</v>
      </c>
      <c r="BD192" s="30" t="s">
        <v>112</v>
      </c>
      <c r="BE192" s="30" t="n">
        <f aca="false">IF(COUNTIFS('Reguler Class Availability'!$L:$L,$B$4&amp;"|- Lane 4 - *|"&amp;BD192)&gt;0,1,0)</f>
        <v>0</v>
      </c>
      <c r="BF192" s="30" t="n">
        <f aca="false">BE192+BF191</f>
        <v>1</v>
      </c>
    </row>
    <row r="193" customFormat="false" ht="52.5" hidden="false" customHeight="true" outlineLevel="0" collapsed="false">
      <c r="A193" s="76" t="n">
        <v>67</v>
      </c>
      <c r="B193" s="77" t="s">
        <v>116</v>
      </c>
      <c r="C193" s="76" t="s">
        <v>126</v>
      </c>
      <c r="D193" s="76" t="n">
        <v>5</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Kosong</v>
      </c>
      <c r="F193" s="77" t="str">
        <f aca="false">IF($Q193="","",PROPER(INDEX('Reguler Class Availability'!$B:$B,$Q193)&amp;""))</f>
        <v/>
      </c>
      <c r="G193" s="76" t="n">
        <f aca="false">IF($Q193="","",IFERROR(--(INDEX('Reguler Class Availability'!$F:$F,$Q193)&amp;""),0))</f>
        <v>5</v>
      </c>
      <c r="H193" s="77" t="str">
        <f aca="false">IF($Q193="","",PROPER(INDEX('Reguler Class Availability'!$I:$I,$Q193)&amp;"")&amp;IF(INDEX('Reguler Class Availability'!$J:$J,$Q193)&amp;""="",""," + asst "&amp;PROPER(INDEX('Reguler Class Availability'!$J:$J,$Q193)&amp;"")))</f>
        <v/>
      </c>
      <c r="I193" s="77" t="s">
        <v>297</v>
      </c>
      <c r="J193" s="77" t="s">
        <v>186</v>
      </c>
      <c r="K193" s="78"/>
      <c r="L193" s="78"/>
      <c r="M193" s="78"/>
      <c r="N193" s="79"/>
      <c r="O193" s="78"/>
      <c r="Q193" s="30" t="n">
        <f aca="false">IFERROR(MATCH($B$4&amp;"|- Lane "&amp;D193&amp;" - "&amp;B193&amp;"|"&amp;C193,'Reguler Class Availability'!$L:$L,0),"")</f>
        <v>897</v>
      </c>
      <c r="BD193" s="30" t="s">
        <v>120</v>
      </c>
      <c r="BE193" s="30" t="n">
        <f aca="false">IF(COUNTIFS('Reguler Class Availability'!$L:$L,$B$4&amp;"|- Lane 4 - *|"&amp;BD193)&gt;0,1,0)</f>
        <v>0</v>
      </c>
      <c r="BF193" s="30" t="n">
        <f aca="false">BE193+BF192</f>
        <v>1</v>
      </c>
    </row>
    <row r="194" customFormat="false" ht="40.5" hidden="false" customHeight="true" outlineLevel="0" collapsed="false">
      <c r="A194" s="76" t="n">
        <v>68</v>
      </c>
      <c r="B194" s="77" t="s">
        <v>116</v>
      </c>
      <c r="C194" s="76" t="s">
        <v>127</v>
      </c>
      <c r="D194" s="76" t="n">
        <v>3</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Belum terisi</v>
      </c>
      <c r="F194" s="77" t="str">
        <f aca="false">IF($Q194="","",PROPER(INDEX('Reguler Class Availability'!$B:$B,$Q194)&amp;""))</f>
        <v>Little</v>
      </c>
      <c r="G194" s="76" t="n">
        <f aca="false">IF($Q194="","",IFERROR(--(INDEX('Reguler Class Availability'!$F:$F,$Q194)&amp;""),0))</f>
        <v>4</v>
      </c>
      <c r="H194" s="77" t="str">
        <f aca="false">IF($Q194="","",PROPER(INDEX('Reguler Class Availability'!$I:$I,$Q194)&amp;"")&amp;IF(INDEX('Reguler Class Availability'!$J:$J,$Q194)&amp;""="",""," + asst "&amp;PROPER(INDEX('Reguler Class Availability'!$J:$J,$Q194)&amp;"")))</f>
        <v/>
      </c>
      <c r="I194" s="77" t="s">
        <v>298</v>
      </c>
      <c r="J194" s="77" t="s">
        <v>186</v>
      </c>
      <c r="K194" s="78"/>
      <c r="L194" s="78"/>
      <c r="M194" s="78"/>
      <c r="N194" s="79"/>
      <c r="O194" s="78"/>
      <c r="Q194" s="30" t="n">
        <f aca="false">IFERROR(MATCH($B$4&amp;"|- Lane "&amp;D194&amp;" - "&amp;B194&amp;"|"&amp;C194,'Reguler Class Availability'!$L:$L,0),"")</f>
        <v>729</v>
      </c>
      <c r="BD194" s="30" t="s">
        <v>121</v>
      </c>
      <c r="BE194" s="30" t="n">
        <f aca="false">IF(COUNTIFS('Reguler Class Availability'!$L:$L,$B$4&amp;"|- Lane 4 - *|"&amp;BD194)&gt;0,1,0)</f>
        <v>1</v>
      </c>
      <c r="BF194" s="30" t="n">
        <f aca="false">BE194+BF193</f>
        <v>2</v>
      </c>
    </row>
    <row r="195" customFormat="false" ht="40.5" hidden="false" customHeight="true" outlineLevel="0" collapsed="false">
      <c r="A195" s="76" t="n">
        <v>69</v>
      </c>
      <c r="B195" s="77" t="s">
        <v>116</v>
      </c>
      <c r="C195" s="76" t="s">
        <v>127</v>
      </c>
      <c r="D195" s="76" t="n">
        <v>4</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Belum terisi</v>
      </c>
      <c r="F195" s="77" t="str">
        <f aca="false">IF($Q195="","",PROPER(INDEX('Reguler Class Availability'!$B:$B,$Q195)&amp;""))</f>
        <v>Kids</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298</v>
      </c>
      <c r="J195" s="77" t="s">
        <v>186</v>
      </c>
      <c r="K195" s="78"/>
      <c r="L195" s="78"/>
      <c r="M195" s="78"/>
      <c r="N195" s="79"/>
      <c r="O195" s="78"/>
      <c r="Q195" s="30" t="n">
        <f aca="false">IFERROR(MATCH($B$4&amp;"|- Lane "&amp;D195&amp;" - "&amp;B195&amp;"|"&amp;C195,'Reguler Class Availability'!$L:$L,0),"")</f>
        <v>813</v>
      </c>
      <c r="BD195" s="30" t="s">
        <v>122</v>
      </c>
      <c r="BE195" s="30" t="n">
        <f aca="false">IF(COUNTIFS('Reguler Class Availability'!$L:$L,$B$4&amp;"|- Lane 4 - *|"&amp;BD195)&gt;0,1,0)</f>
        <v>0</v>
      </c>
      <c r="BF195" s="30" t="n">
        <f aca="false">BE195+BF194</f>
        <v>2</v>
      </c>
    </row>
    <row r="196" customFormat="false" ht="40.5" hidden="false" customHeight="true" outlineLevel="0" collapsed="false">
      <c r="A196" s="76" t="n">
        <v>70</v>
      </c>
      <c r="B196" s="77" t="s">
        <v>116</v>
      </c>
      <c r="C196" s="76" t="s">
        <v>129</v>
      </c>
      <c r="D196" s="76" t="n">
        <v>2</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Belum terisi</v>
      </c>
      <c r="F196" s="77" t="str">
        <f aca="false">IF($Q196="","",PROPER(INDEX('Reguler Class Availability'!$B:$B,$Q196)&amp;""))</f>
        <v>Tiny</v>
      </c>
      <c r="G196" s="76" t="n">
        <f aca="false">IF($Q196="","",IFERROR(--(INDEX('Reguler Class Availability'!$F:$F,$Q196)&amp;""),0))</f>
        <v>5</v>
      </c>
      <c r="H196" s="77" t="str">
        <f aca="false">IF($Q196="","",PROPER(INDEX('Reguler Class Availability'!$I:$I,$Q196)&amp;"")&amp;IF(INDEX('Reguler Class Availability'!$J:$J,$Q196)&amp;""="",""," + asst "&amp;PROPER(INDEX('Reguler Class Availability'!$J:$J,$Q196)&amp;"")))</f>
        <v/>
      </c>
      <c r="I196" s="77" t="s">
        <v>299</v>
      </c>
      <c r="J196" s="77" t="s">
        <v>186</v>
      </c>
      <c r="K196" s="78"/>
      <c r="L196" s="78"/>
      <c r="M196" s="78"/>
      <c r="N196" s="79"/>
      <c r="O196" s="78"/>
      <c r="Q196" s="30" t="n">
        <f aca="false">IFERROR(MATCH($B$4&amp;"|- Lane "&amp;D196&amp;" - "&amp;B196&amp;"|"&amp;C196,'Reguler Class Availability'!$L:$L,0),"")</f>
        <v>646</v>
      </c>
      <c r="BD196" s="30" t="s">
        <v>123</v>
      </c>
      <c r="BE196" s="30" t="n">
        <f aca="false">IF(COUNTIFS('Reguler Class Availability'!$L:$L,$B$4&amp;"|- Lane 4 - *|"&amp;BD196)&gt;0,1,0)</f>
        <v>0</v>
      </c>
      <c r="BF196" s="30" t="n">
        <f aca="false">BE196+BF195</f>
        <v>2</v>
      </c>
    </row>
    <row r="197" customFormat="false" ht="40.5" hidden="false" customHeight="true" outlineLevel="0" collapsed="false">
      <c r="A197" s="76" t="n">
        <v>71</v>
      </c>
      <c r="B197" s="77" t="s">
        <v>116</v>
      </c>
      <c r="C197" s="76" t="s">
        <v>129</v>
      </c>
      <c r="D197" s="76" t="n">
        <v>5</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Kosong</v>
      </c>
      <c r="F197" s="77" t="str">
        <f aca="false">IF($Q197="","",PROPER(INDEX('Reguler Class Availability'!$B:$B,$Q197)&amp;""))</f>
        <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299</v>
      </c>
      <c r="J197" s="77" t="s">
        <v>186</v>
      </c>
      <c r="K197" s="78"/>
      <c r="L197" s="78"/>
      <c r="M197" s="78"/>
      <c r="N197" s="79"/>
      <c r="O197" s="78"/>
      <c r="Q197" s="30" t="n">
        <f aca="false">IFERROR(MATCH($B$4&amp;"|- Lane "&amp;D197&amp;" - "&amp;B197&amp;"|"&amp;C197,'Reguler Class Availability'!$L:$L,0),"")</f>
        <v>898</v>
      </c>
      <c r="BD197" s="30" t="s">
        <v>124</v>
      </c>
      <c r="BE197" s="30" t="n">
        <f aca="false">IF(COUNTIFS('Reguler Class Availability'!$L:$L,$B$4&amp;"|- Lane 4 - *|"&amp;BD197)&gt;0,1,0)</f>
        <v>1</v>
      </c>
      <c r="BF197" s="30" t="n">
        <f aca="false">BE197+BF196</f>
        <v>3</v>
      </c>
    </row>
    <row r="198" customFormat="false" ht="40.5" hidden="false" customHeight="true" outlineLevel="0" collapsed="false">
      <c r="A198" s="76" t="n">
        <v>72</v>
      </c>
      <c r="B198" s="77" t="s">
        <v>116</v>
      </c>
      <c r="C198" s="76" t="s">
        <v>139</v>
      </c>
      <c r="D198" s="76" t="n">
        <v>1</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Belum terisi</v>
      </c>
      <c r="F198" s="77" t="str">
        <f aca="false">IF($Q198="","",PROPER(INDEX('Reguler Class Availability'!$B:$B,$Q198)&amp;""))</f>
        <v>Baby</v>
      </c>
      <c r="G198" s="76" t="n">
        <f aca="false">IF($Q198="","",IFERROR(--(INDEX('Reguler Class Availability'!$F:$F,$Q198)&amp;""),0))</f>
        <v>5</v>
      </c>
      <c r="H198" s="77" t="str">
        <f aca="false">IF($Q198="","",PROPER(INDEX('Reguler Class Availability'!$I:$I,$Q198)&amp;"")&amp;IF(INDEX('Reguler Class Availability'!$J:$J,$Q198)&amp;""="",""," + asst "&amp;PROPER(INDEX('Reguler Class Availability'!$J:$J,$Q198)&amp;"")))</f>
        <v/>
      </c>
      <c r="I198" s="77" t="s">
        <v>300</v>
      </c>
      <c r="J198" s="77" t="s">
        <v>188</v>
      </c>
      <c r="K198" s="78"/>
      <c r="L198" s="78"/>
      <c r="M198" s="78"/>
      <c r="N198" s="79"/>
      <c r="O198" s="78"/>
      <c r="Q198" s="30" t="n">
        <f aca="false">IFERROR(MATCH($B$4&amp;"|- Lane "&amp;D198&amp;" - "&amp;B198&amp;"|"&amp;C198,'Reguler Class Availability'!$L:$L,0),"")</f>
        <v>550</v>
      </c>
      <c r="BD198" s="30" t="s">
        <v>125</v>
      </c>
      <c r="BE198" s="30" t="n">
        <f aca="false">IF(COUNTIFS('Reguler Class Availability'!$L:$L,$B$4&amp;"|- Lane 4 - *|"&amp;BD198)&gt;0,1,0)</f>
        <v>0</v>
      </c>
      <c r="BF198" s="30" t="n">
        <f aca="false">BE198+BF197</f>
        <v>3</v>
      </c>
    </row>
    <row r="199" customFormat="false" ht="40.5" hidden="false" customHeight="true" outlineLevel="0" collapsed="false">
      <c r="A199" s="76" t="n">
        <v>73</v>
      </c>
      <c r="B199" s="77" t="s">
        <v>116</v>
      </c>
      <c r="C199" s="76" t="s">
        <v>139</v>
      </c>
      <c r="D199" s="76" t="n">
        <v>2</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Belum terisi</v>
      </c>
      <c r="F199" s="77" t="str">
        <f aca="false">IF($Q199="","",PROPER(INDEX('Reguler Class Availability'!$B:$B,$Q199)&amp;""))</f>
        <v>Tiny</v>
      </c>
      <c r="G199" s="76" t="n">
        <f aca="false">IF($Q199="","",IFERROR(--(INDEX('Reguler Class Availability'!$F:$F,$Q199)&amp;""),0))</f>
        <v>5</v>
      </c>
      <c r="H199" s="77" t="str">
        <f aca="false">IF($Q199="","",PROPER(INDEX('Reguler Class Availability'!$I:$I,$Q199)&amp;"")&amp;IF(INDEX('Reguler Class Availability'!$J:$J,$Q199)&amp;""="",""," + asst "&amp;PROPER(INDEX('Reguler Class Availability'!$J:$J,$Q199)&amp;"")))</f>
        <v/>
      </c>
      <c r="I199" s="77" t="s">
        <v>300</v>
      </c>
      <c r="J199" s="77" t="s">
        <v>188</v>
      </c>
      <c r="K199" s="78"/>
      <c r="L199" s="78"/>
      <c r="M199" s="78"/>
      <c r="N199" s="79"/>
      <c r="O199" s="78"/>
      <c r="Q199" s="30" t="n">
        <f aca="false">IFERROR(MATCH($B$4&amp;"|- Lane "&amp;D199&amp;" - "&amp;B199&amp;"|"&amp;C199,'Reguler Class Availability'!$L:$L,0),"")</f>
        <v>648</v>
      </c>
      <c r="BD199" s="30" t="s">
        <v>126</v>
      </c>
      <c r="BE199" s="30" t="n">
        <f aca="false">IF(COUNTIFS('Reguler Class Availability'!$L:$L,$B$4&amp;"|- Lane 4 - *|"&amp;BD199)&gt;0,1,0)</f>
        <v>0</v>
      </c>
      <c r="BF199" s="30" t="n">
        <f aca="false">BE199+BF198</f>
        <v>3</v>
      </c>
    </row>
    <row r="200" customFormat="false" ht="40.5" hidden="false" customHeight="true" outlineLevel="0" collapsed="false">
      <c r="A200" s="76" t="n">
        <v>74</v>
      </c>
      <c r="B200" s="77" t="s">
        <v>116</v>
      </c>
      <c r="C200" s="76" t="s">
        <v>139</v>
      </c>
      <c r="D200" s="76" t="n">
        <v>5</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Kosong</v>
      </c>
      <c r="F200" s="77" t="str">
        <f aca="false">IF($Q200="","",PROPER(INDEX('Reguler Class Availability'!$B:$B,$Q200)&amp;""))</f>
        <v/>
      </c>
      <c r="G200" s="76" t="n">
        <f aca="false">IF($Q200="","",IFERROR(--(INDEX('Reguler Class Availability'!$F:$F,$Q200)&amp;""),0))</f>
        <v>5</v>
      </c>
      <c r="H200" s="77" t="str">
        <f aca="false">IF($Q200="","",PROPER(INDEX('Reguler Class Availability'!$I:$I,$Q200)&amp;"")&amp;IF(INDEX('Reguler Class Availability'!$J:$J,$Q200)&amp;""="",""," + asst "&amp;PROPER(INDEX('Reguler Class Availability'!$J:$J,$Q200)&amp;"")))</f>
        <v/>
      </c>
      <c r="I200" s="77" t="s">
        <v>300</v>
      </c>
      <c r="J200" s="77" t="s">
        <v>188</v>
      </c>
      <c r="K200" s="78"/>
      <c r="L200" s="78"/>
      <c r="M200" s="78"/>
      <c r="N200" s="79"/>
      <c r="O200" s="78"/>
      <c r="Q200" s="30" t="n">
        <f aca="false">IFERROR(MATCH($B$4&amp;"|- Lane "&amp;D200&amp;" - "&amp;B200&amp;"|"&amp;C200,'Reguler Class Availability'!$L:$L,0),"")</f>
        <v>900</v>
      </c>
      <c r="BD200" s="30" t="s">
        <v>127</v>
      </c>
      <c r="BE200" s="30" t="n">
        <f aca="false">IF(COUNTIFS('Reguler Class Availability'!$L:$L,$B$4&amp;"|- Lane 4 - *|"&amp;BD200)&gt;0,1,0)</f>
        <v>1</v>
      </c>
      <c r="BF200" s="30" t="n">
        <f aca="false">BE200+BF199</f>
        <v>4</v>
      </c>
    </row>
    <row r="201" customFormat="false" ht="27.75" hidden="false" customHeight="true" outlineLevel="0" collapsed="false">
      <c r="A201" s="76" t="n">
        <v>75</v>
      </c>
      <c r="B201" s="77" t="s">
        <v>116</v>
      </c>
      <c r="C201" s="76" t="s">
        <v>143</v>
      </c>
      <c r="D201" s="76" t="n">
        <v>1</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Belum terisi</v>
      </c>
      <c r="F201" s="77" t="str">
        <f aca="false">IF($Q201="","",PROPER(INDEX('Reguler Class Availability'!$B:$B,$Q201)&amp;""))</f>
        <v>Baby</v>
      </c>
      <c r="G201" s="76" t="n">
        <f aca="false">IF($Q201="","",IFERROR(--(INDEX('Reguler Class Availability'!$F:$F,$Q201)&amp;""),0))</f>
        <v>5</v>
      </c>
      <c r="H201" s="77" t="str">
        <f aca="false">IF($Q201="","",PROPER(INDEX('Reguler Class Availability'!$I:$I,$Q201)&amp;"")&amp;IF(INDEX('Reguler Class Availability'!$J:$J,$Q201)&amp;""="",""," + asst "&amp;PROPER(INDEX('Reguler Class Availability'!$J:$J,$Q201)&amp;"")))</f>
        <v/>
      </c>
      <c r="I201" s="77" t="s">
        <v>301</v>
      </c>
      <c r="J201" s="77" t="s">
        <v>188</v>
      </c>
      <c r="K201" s="78"/>
      <c r="L201" s="78"/>
      <c r="M201" s="78"/>
      <c r="N201" s="79"/>
      <c r="O201" s="78"/>
      <c r="Q201" s="30" t="n">
        <f aca="false">IFERROR(MATCH($B$4&amp;"|- Lane "&amp;D201&amp;" - "&amp;B201&amp;"|"&amp;C201,'Reguler Class Availability'!$L:$L,0),"")</f>
        <v>551</v>
      </c>
      <c r="BD201" s="30" t="s">
        <v>128</v>
      </c>
      <c r="BE201" s="30" t="n">
        <f aca="false">IF(COUNTIFS('Reguler Class Availability'!$L:$L,$B$4&amp;"|- Lane 4 - *|"&amp;BD201)&gt;0,1,0)</f>
        <v>0</v>
      </c>
      <c r="BF201" s="30" t="n">
        <f aca="false">BE201+BF200</f>
        <v>4</v>
      </c>
    </row>
    <row r="202" customFormat="false" ht="27.75" hidden="false" customHeight="true" outlineLevel="0" collapsed="false">
      <c r="A202" s="76" t="n">
        <v>76</v>
      </c>
      <c r="B202" s="77" t="s">
        <v>116</v>
      </c>
      <c r="C202" s="76" t="s">
        <v>143</v>
      </c>
      <c r="D202" s="76" t="n">
        <v>2</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Belum terisi</v>
      </c>
      <c r="F202" s="77" t="str">
        <f aca="false">IF($Q202="","",PROPER(INDEX('Reguler Class Availability'!$B:$B,$Q202)&amp;""))</f>
        <v>Tiny</v>
      </c>
      <c r="G202" s="76" t="n">
        <f aca="false">IF($Q202="","",IFERROR(--(INDEX('Reguler Class Availability'!$F:$F,$Q202)&amp;""),0))</f>
        <v>5</v>
      </c>
      <c r="H202" s="77" t="str">
        <f aca="false">IF($Q202="","",PROPER(INDEX('Reguler Class Availability'!$I:$I,$Q202)&amp;"")&amp;IF(INDEX('Reguler Class Availability'!$J:$J,$Q202)&amp;""="",""," + asst "&amp;PROPER(INDEX('Reguler Class Availability'!$J:$J,$Q202)&amp;"")))</f>
        <v/>
      </c>
      <c r="I202" s="77" t="s">
        <v>301</v>
      </c>
      <c r="J202" s="77" t="s">
        <v>188</v>
      </c>
      <c r="K202" s="78"/>
      <c r="L202" s="78"/>
      <c r="M202" s="78"/>
      <c r="N202" s="79"/>
      <c r="O202" s="78"/>
      <c r="Q202" s="30" t="n">
        <f aca="false">IFERROR(MATCH($B$4&amp;"|- Lane "&amp;D202&amp;" - "&amp;B202&amp;"|"&amp;C202,'Reguler Class Availability'!$L:$L,0),"")</f>
        <v>649</v>
      </c>
      <c r="BD202" s="30" t="s">
        <v>129</v>
      </c>
      <c r="BE202" s="30" t="n">
        <f aca="false">IF(COUNTIFS('Reguler Class Availability'!$L:$L,$B$4&amp;"|- Lane 4 - *|"&amp;BD202)&gt;0,1,0)</f>
        <v>0</v>
      </c>
      <c r="BF202" s="30" t="n">
        <f aca="false">BE202+BF201</f>
        <v>4</v>
      </c>
    </row>
    <row r="203" customFormat="false" ht="27.75" hidden="false" customHeight="true" outlineLevel="0" collapsed="false">
      <c r="A203" s="76" t="n">
        <v>77</v>
      </c>
      <c r="B203" s="77" t="s">
        <v>116</v>
      </c>
      <c r="C203" s="76" t="s">
        <v>143</v>
      </c>
      <c r="D203" s="76" t="n">
        <v>5</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Kosong</v>
      </c>
      <c r="F203" s="77" t="str">
        <f aca="false">IF($Q203="","",PROPER(INDEX('Reguler Class Availability'!$B:$B,$Q203)&amp;""))</f>
        <v/>
      </c>
      <c r="G203" s="76" t="n">
        <f aca="false">IF($Q203="","",IFERROR(--(INDEX('Reguler Class Availability'!$F:$F,$Q203)&amp;""),0))</f>
        <v>5</v>
      </c>
      <c r="H203" s="77" t="str">
        <f aca="false">IF($Q203="","",PROPER(INDEX('Reguler Class Availability'!$I:$I,$Q203)&amp;"")&amp;IF(INDEX('Reguler Class Availability'!$J:$J,$Q203)&amp;""="",""," + asst "&amp;PROPER(INDEX('Reguler Class Availability'!$J:$J,$Q203)&amp;"")))</f>
        <v/>
      </c>
      <c r="I203" s="77" t="s">
        <v>301</v>
      </c>
      <c r="J203" s="77" t="s">
        <v>188</v>
      </c>
      <c r="K203" s="78"/>
      <c r="L203" s="78"/>
      <c r="M203" s="78"/>
      <c r="N203" s="79"/>
      <c r="O203" s="78"/>
      <c r="Q203" s="30" t="n">
        <f aca="false">IFERROR(MATCH($B$4&amp;"|- Lane "&amp;D203&amp;" - "&amp;B203&amp;"|"&amp;C203,'Reguler Class Availability'!$L:$L,0),"")</f>
        <v>901</v>
      </c>
      <c r="BD203" s="30" t="s">
        <v>130</v>
      </c>
      <c r="BE203" s="30" t="n">
        <f aca="false">IF(COUNTIFS('Reguler Class Availability'!$L:$L,$B$4&amp;"|- Lane 4 - *|"&amp;BD203)&gt;0,1,0)</f>
        <v>1</v>
      </c>
      <c r="BF203" s="30" t="n">
        <f aca="false">BE203+BF202</f>
        <v>5</v>
      </c>
    </row>
    <row r="204" customFormat="false" ht="27.75" hidden="false" customHeight="true" outlineLevel="0" collapsed="false">
      <c r="A204" s="76" t="n">
        <v>78</v>
      </c>
      <c r="B204" s="77" t="s">
        <v>116</v>
      </c>
      <c r="C204" s="76" t="s">
        <v>146</v>
      </c>
      <c r="D204" s="76" t="n">
        <v>1</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Baby</v>
      </c>
      <c r="G204" s="76" t="n">
        <f aca="false">IF($Q204="","",IFERROR(--(INDEX('Reguler Class Availability'!$F:$F,$Q204)&amp;""),0))</f>
        <v>5</v>
      </c>
      <c r="H204" s="77" t="str">
        <f aca="false">IF($Q204="","",PROPER(INDEX('Reguler Class Availability'!$I:$I,$Q204)&amp;"")&amp;IF(INDEX('Reguler Class Availability'!$J:$J,$Q204)&amp;""="",""," + asst "&amp;PROPER(INDEX('Reguler Class Availability'!$J:$J,$Q204)&amp;"")))</f>
        <v/>
      </c>
      <c r="I204" s="77" t="s">
        <v>302</v>
      </c>
      <c r="J204" s="77" t="s">
        <v>188</v>
      </c>
      <c r="K204" s="78"/>
      <c r="L204" s="78"/>
      <c r="M204" s="78"/>
      <c r="N204" s="79"/>
      <c r="O204" s="78"/>
      <c r="Q204" s="30" t="n">
        <f aca="false">IFERROR(MATCH($B$4&amp;"|- Lane "&amp;D204&amp;" - "&amp;B204&amp;"|"&amp;C204,'Reguler Class Availability'!$L:$L,0),"")</f>
        <v>552</v>
      </c>
      <c r="BD204" s="30" t="s">
        <v>131</v>
      </c>
      <c r="BE204" s="30" t="n">
        <f aca="false">IF(COUNTIFS('Reguler Class Availability'!$L:$L,$B$4&amp;"|- Lane 4 - *|"&amp;BD204)&gt;0,1,0)</f>
        <v>0</v>
      </c>
      <c r="BF204" s="30" t="n">
        <f aca="false">BE204+BF203</f>
        <v>5</v>
      </c>
    </row>
    <row r="205" customFormat="false" ht="15.75" hidden="false" customHeight="true" outlineLevel="0" collapsed="false">
      <c r="A205" s="76" t="n">
        <v>79</v>
      </c>
      <c r="B205" s="77" t="s">
        <v>116</v>
      </c>
      <c r="C205" s="76" t="s">
        <v>149</v>
      </c>
      <c r="D205" s="76" t="n">
        <v>1</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Belum terisi</v>
      </c>
      <c r="F205" s="77" t="str">
        <f aca="false">IF($Q205="","",PROPER(INDEX('Reguler Class Availability'!$B:$B,$Q205)&amp;""))</f>
        <v>Baby</v>
      </c>
      <c r="G205" s="76" t="n">
        <f aca="false">IF($Q205="","",IFERROR(--(INDEX('Reguler Class Availability'!$F:$F,$Q205)&amp;""),0))</f>
        <v>5</v>
      </c>
      <c r="H205" s="77" t="str">
        <f aca="false">IF($Q205="","",PROPER(INDEX('Reguler Class Availability'!$I:$I,$Q205)&amp;"")&amp;IF(INDEX('Reguler Class Availability'!$J:$J,$Q205)&amp;""="",""," + asst "&amp;PROPER(INDEX('Reguler Class Availability'!$J:$J,$Q205)&amp;"")))</f>
        <v/>
      </c>
      <c r="I205" s="80" t="s">
        <v>199</v>
      </c>
      <c r="J205" s="77" t="s">
        <v>303</v>
      </c>
      <c r="K205" s="78"/>
      <c r="L205" s="78"/>
      <c r="M205" s="78"/>
      <c r="N205" s="79"/>
      <c r="O205" s="78"/>
      <c r="Q205" s="30" t="n">
        <f aca="false">IFERROR(MATCH($B$4&amp;"|- Lane "&amp;D205&amp;" - "&amp;B205&amp;"|"&amp;C205,'Reguler Class Availability'!$L:$L,0),"")</f>
        <v>553</v>
      </c>
      <c r="BD205" s="30" t="s">
        <v>132</v>
      </c>
      <c r="BE205" s="30" t="n">
        <f aca="false">IF(COUNTIFS('Reguler Class Availability'!$L:$L,$B$4&amp;"|- Lane 4 - *|"&amp;BD205)&gt;0,1,0)</f>
        <v>0</v>
      </c>
      <c r="BF205" s="30" t="n">
        <f aca="false">BE205+BF204</f>
        <v>5</v>
      </c>
    </row>
    <row r="206" customFormat="false" ht="27.75" hidden="false" customHeight="true" outlineLevel="0" collapsed="false">
      <c r="A206" s="76" t="n">
        <v>80</v>
      </c>
      <c r="B206" s="77" t="s">
        <v>116</v>
      </c>
      <c r="C206" s="76" t="s">
        <v>152</v>
      </c>
      <c r="D206" s="76" t="n">
        <v>2</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Belum terisi</v>
      </c>
      <c r="F206" s="77" t="str">
        <f aca="false">IF($Q206="","",PROPER(INDEX('Reguler Class Availability'!$B:$B,$Q206)&amp;""))</f>
        <v>Tiny</v>
      </c>
      <c r="G206" s="76" t="n">
        <f aca="false">IF($Q206="","",IFERROR(--(INDEX('Reguler Class Availability'!$F:$F,$Q206)&amp;""),0))</f>
        <v>5</v>
      </c>
      <c r="H206" s="77" t="str">
        <f aca="false">IF($Q206="","",PROPER(INDEX('Reguler Class Availability'!$I:$I,$Q206)&amp;"")&amp;IF(INDEX('Reguler Class Availability'!$J:$J,$Q206)&amp;""="",""," + asst "&amp;PROPER(INDEX('Reguler Class Availability'!$J:$J,$Q206)&amp;"")))</f>
        <v/>
      </c>
      <c r="I206" s="77" t="s">
        <v>304</v>
      </c>
      <c r="J206" s="77" t="s">
        <v>188</v>
      </c>
      <c r="K206" s="78"/>
      <c r="L206" s="78"/>
      <c r="M206" s="78"/>
      <c r="N206" s="79"/>
      <c r="O206" s="78"/>
      <c r="Q206" s="30" t="n">
        <f aca="false">IFERROR(MATCH($B$4&amp;"|- Lane "&amp;D206&amp;" - "&amp;B206&amp;"|"&amp;C206,'Reguler Class Availability'!$L:$L,0),"")</f>
        <v>652</v>
      </c>
      <c r="BD206" s="30" t="s">
        <v>133</v>
      </c>
      <c r="BE206" s="30" t="n">
        <f aca="false">IF(COUNTIFS('Reguler Class Availability'!$L:$L,$B$4&amp;"|- Lane 4 - *|"&amp;BD206)&gt;0,1,0)</f>
        <v>1</v>
      </c>
      <c r="BF206" s="30" t="n">
        <f aca="false">BE206+BF205</f>
        <v>6</v>
      </c>
    </row>
    <row r="207" customFormat="false" ht="27.75" hidden="false" customHeight="true" outlineLevel="0" collapsed="false">
      <c r="A207" s="76" t="n">
        <v>81</v>
      </c>
      <c r="B207" s="77" t="s">
        <v>116</v>
      </c>
      <c r="C207" s="76" t="s">
        <v>152</v>
      </c>
      <c r="D207" s="76" t="n">
        <v>5</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Kosong</v>
      </c>
      <c r="F207" s="77" t="str">
        <f aca="false">IF($Q207="","",PROPER(INDEX('Reguler Class Availability'!$B:$B,$Q207)&amp;""))</f>
        <v/>
      </c>
      <c r="G207" s="76" t="n">
        <f aca="false">IF($Q207="","",IFERROR(--(INDEX('Reguler Class Availability'!$F:$F,$Q207)&amp;""),0))</f>
        <v>5</v>
      </c>
      <c r="H207" s="77" t="str">
        <f aca="false">IF($Q207="","",PROPER(INDEX('Reguler Class Availability'!$I:$I,$Q207)&amp;"")&amp;IF(INDEX('Reguler Class Availability'!$J:$J,$Q207)&amp;""="",""," + asst "&amp;PROPER(INDEX('Reguler Class Availability'!$J:$J,$Q207)&amp;"")))</f>
        <v/>
      </c>
      <c r="I207" s="77" t="s">
        <v>304</v>
      </c>
      <c r="J207" s="77" t="s">
        <v>188</v>
      </c>
      <c r="K207" s="78"/>
      <c r="L207" s="78"/>
      <c r="M207" s="78"/>
      <c r="N207" s="79"/>
      <c r="O207" s="78"/>
      <c r="Q207" s="30" t="n">
        <f aca="false">IFERROR(MATCH($B$4&amp;"|- Lane "&amp;D207&amp;" - "&amp;B207&amp;"|"&amp;C207,'Reguler Class Availability'!$L:$L,0),"")</f>
        <v>904</v>
      </c>
      <c r="BD207" s="30" t="s">
        <v>134</v>
      </c>
      <c r="BE207" s="30" t="n">
        <f aca="false">IF(COUNTIFS('Reguler Class Availability'!$L:$L,$B$4&amp;"|- Lane 4 - *|"&amp;BD207)&gt;0,1,0)</f>
        <v>0</v>
      </c>
      <c r="BF207" s="30" t="n">
        <f aca="false">BE207+BF206</f>
        <v>6</v>
      </c>
    </row>
    <row r="208" customFormat="false" ht="15.75" hidden="false" customHeight="true" outlineLevel="0" collapsed="false">
      <c r="A208" s="76" t="n">
        <v>82</v>
      </c>
      <c r="B208" s="77" t="s">
        <v>116</v>
      </c>
      <c r="C208" s="76" t="s">
        <v>155</v>
      </c>
      <c r="D208" s="76" t="n">
        <v>1</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Belum terisi</v>
      </c>
      <c r="F208" s="77" t="str">
        <f aca="false">IF($Q208="","",PROPER(INDEX('Reguler Class Availability'!$B:$B,$Q208)&amp;""))</f>
        <v>Baby</v>
      </c>
      <c r="G208" s="76" t="n">
        <f aca="false">IF($Q208="","",IFERROR(--(INDEX('Reguler Class Availability'!$F:$F,$Q208)&amp;""),0))</f>
        <v>5</v>
      </c>
      <c r="H208" s="77" t="str">
        <f aca="false">IF($Q208="","",PROPER(INDEX('Reguler Class Availability'!$I:$I,$Q208)&amp;"")&amp;IF(INDEX('Reguler Class Availability'!$J:$J,$Q208)&amp;""="",""," + asst "&amp;PROPER(INDEX('Reguler Class Availability'!$J:$J,$Q208)&amp;"")))</f>
        <v/>
      </c>
      <c r="I208" s="77" t="s">
        <v>291</v>
      </c>
      <c r="J208" s="77" t="s">
        <v>188</v>
      </c>
      <c r="K208" s="78"/>
      <c r="L208" s="78"/>
      <c r="M208" s="78"/>
      <c r="N208" s="79"/>
      <c r="O208" s="78"/>
      <c r="Q208" s="30" t="n">
        <f aca="false">IFERROR(MATCH($B$4&amp;"|- Lane "&amp;D208&amp;" - "&amp;B208&amp;"|"&amp;C208,'Reguler Class Availability'!$L:$L,0),"")</f>
        <v>555</v>
      </c>
      <c r="BD208" s="30" t="s">
        <v>135</v>
      </c>
      <c r="BE208" s="30" t="n">
        <f aca="false">IF(COUNTIFS('Reguler Class Availability'!$L:$L,$B$4&amp;"|- Lane 4 - *|"&amp;BD208)&gt;0,1,0)</f>
        <v>0</v>
      </c>
      <c r="BF208" s="30" t="n">
        <f aca="false">BE208+BF207</f>
        <v>6</v>
      </c>
    </row>
    <row r="209" customFormat="false" ht="40.5" hidden="false" customHeight="true" outlineLevel="0" collapsed="false">
      <c r="A209" s="76" t="n">
        <v>83</v>
      </c>
      <c r="B209" s="77" t="s">
        <v>117</v>
      </c>
      <c r="C209" s="76" t="s">
        <v>91</v>
      </c>
      <c r="D209" s="76" t="n">
        <v>1</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Star</v>
      </c>
      <c r="G209" s="76" t="n">
        <f aca="false">IF($Q209="","",IFERROR(--(INDEX('Reguler Class Availability'!$F:$F,$Q209)&amp;""),0))</f>
        <v>8</v>
      </c>
      <c r="H209" s="77" t="str">
        <f aca="false">IF($Q209="","",PROPER(INDEX('Reguler Class Availability'!$I:$I,$Q209)&amp;"")&amp;IF(INDEX('Reguler Class Availability'!$J:$J,$Q209)&amp;""="",""," + asst "&amp;PROPER(INDEX('Reguler Class Availability'!$J:$J,$Q209)&amp;"")))</f>
        <v/>
      </c>
      <c r="I209" s="77" t="s">
        <v>305</v>
      </c>
      <c r="J209" s="77" t="s">
        <v>186</v>
      </c>
      <c r="K209" s="78"/>
      <c r="L209" s="78"/>
      <c r="M209" s="78"/>
      <c r="N209" s="79"/>
      <c r="O209" s="78"/>
      <c r="Q209" s="30" t="n">
        <f aca="false">IFERROR(MATCH($B$4&amp;"|- Lane "&amp;D209&amp;" - "&amp;B209&amp;"|"&amp;C209,'Reguler Class Availability'!$L:$L,0),"")</f>
        <v>607</v>
      </c>
      <c r="BD209" s="30" t="s">
        <v>136</v>
      </c>
      <c r="BE209" s="30" t="n">
        <f aca="false">IF(COUNTIFS('Reguler Class Availability'!$L:$L,$B$4&amp;"|- Lane 4 - *|"&amp;BD209)&gt;0,1,0)</f>
        <v>0</v>
      </c>
      <c r="BF209" s="30" t="n">
        <f aca="false">BE209+BF208</f>
        <v>6</v>
      </c>
    </row>
    <row r="210" customFormat="false" ht="40.5" hidden="false" customHeight="true" outlineLevel="0" collapsed="false">
      <c r="A210" s="76" t="n">
        <v>84</v>
      </c>
      <c r="B210" s="77" t="s">
        <v>117</v>
      </c>
      <c r="C210" s="76" t="s">
        <v>120</v>
      </c>
      <c r="D210" s="76" t="n">
        <v>1</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Belum terisi</v>
      </c>
      <c r="F210" s="77" t="str">
        <f aca="false">IF($Q210="","",PROPER(INDEX('Reguler Class Availability'!$B:$B,$Q210)&amp;""))</f>
        <v>Baby</v>
      </c>
      <c r="G210" s="76" t="n">
        <f aca="false">IF($Q210="","",IFERROR(--(INDEX('Reguler Class Availability'!$F:$F,$Q210)&amp;""),0))</f>
        <v>5</v>
      </c>
      <c r="H210" s="77" t="str">
        <f aca="false">IF($Q210="","",PROPER(INDEX('Reguler Class Availability'!$I:$I,$Q210)&amp;"")&amp;IF(INDEX('Reguler Class Availability'!$J:$J,$Q210)&amp;""="",""," + asst "&amp;PROPER(INDEX('Reguler Class Availability'!$J:$J,$Q210)&amp;"")))</f>
        <v/>
      </c>
      <c r="I210" s="77" t="s">
        <v>305</v>
      </c>
      <c r="J210" s="77" t="s">
        <v>186</v>
      </c>
      <c r="K210" s="78"/>
      <c r="L210" s="78"/>
      <c r="M210" s="78"/>
      <c r="N210" s="79"/>
      <c r="O210" s="78"/>
      <c r="Q210" s="30" t="n">
        <f aca="false">IFERROR(MATCH($B$4&amp;"|- Lane "&amp;D210&amp;" - "&amp;B210&amp;"|"&amp;C210,'Reguler Class Availability'!$L:$L,0),"")</f>
        <v>557</v>
      </c>
      <c r="BD210" s="30" t="s">
        <v>138</v>
      </c>
      <c r="BE210" s="30" t="n">
        <f aca="false">IF(COUNTIFS('Reguler Class Availability'!$L:$L,$B$4&amp;"|- Lane 4 - *|"&amp;BD210)&gt;0,1,0)</f>
        <v>0</v>
      </c>
      <c r="BF210" s="30" t="n">
        <f aca="false">BE210+BF209</f>
        <v>6</v>
      </c>
    </row>
    <row r="211" customFormat="false" ht="40.5" hidden="false" customHeight="true" outlineLevel="0" collapsed="false">
      <c r="A211" s="76" t="n">
        <v>85</v>
      </c>
      <c r="B211" s="77" t="s">
        <v>117</v>
      </c>
      <c r="C211" s="76" t="s">
        <v>120</v>
      </c>
      <c r="D211" s="76" t="n">
        <v>2</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Belum terisi</v>
      </c>
      <c r="F211" s="77" t="str">
        <f aca="false">IF($Q211="","",PROPER(INDEX('Reguler Class Availability'!$B:$B,$Q211)&amp;""))</f>
        <v>Tiny</v>
      </c>
      <c r="G211" s="76" t="n">
        <f aca="false">IF($Q211="","",IFERROR(--(INDEX('Reguler Class Availability'!$F:$F,$Q211)&amp;""),0))</f>
        <v>5</v>
      </c>
      <c r="H211" s="77" t="str">
        <f aca="false">IF($Q211="","",PROPER(INDEX('Reguler Class Availability'!$I:$I,$Q211)&amp;"")&amp;IF(INDEX('Reguler Class Availability'!$J:$J,$Q211)&amp;""="",""," + asst "&amp;PROPER(INDEX('Reguler Class Availability'!$J:$J,$Q211)&amp;"")))</f>
        <v/>
      </c>
      <c r="I211" s="77" t="s">
        <v>305</v>
      </c>
      <c r="J211" s="77" t="s">
        <v>186</v>
      </c>
      <c r="K211" s="78"/>
      <c r="L211" s="78"/>
      <c r="M211" s="78"/>
      <c r="N211" s="79"/>
      <c r="O211" s="78"/>
      <c r="Q211" s="30" t="n">
        <f aca="false">IFERROR(MATCH($B$4&amp;"|- Lane "&amp;D211&amp;" - "&amp;B211&amp;"|"&amp;C211,'Reguler Class Availability'!$L:$L,0),"")</f>
        <v>655</v>
      </c>
      <c r="BD211" s="30" t="s">
        <v>139</v>
      </c>
      <c r="BE211" s="30" t="n">
        <f aca="false">IF(COUNTIFS('Reguler Class Availability'!$L:$L,$B$4&amp;"|- Lane 4 - *|"&amp;BD211)&gt;0,1,0)</f>
        <v>0</v>
      </c>
      <c r="BF211" s="30" t="n">
        <f aca="false">BE211+BF210</f>
        <v>6</v>
      </c>
    </row>
    <row r="212" customFormat="false" ht="40.5" hidden="false" customHeight="true" outlineLevel="0" collapsed="false">
      <c r="A212" s="76" t="n">
        <v>86</v>
      </c>
      <c r="B212" s="77" t="s">
        <v>117</v>
      </c>
      <c r="C212" s="76" t="s">
        <v>120</v>
      </c>
      <c r="D212" s="76" t="n">
        <v>5</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Kosong</v>
      </c>
      <c r="F212" s="77" t="str">
        <f aca="false">IF($Q212="","",PROPER(INDEX('Reguler Class Availability'!$B:$B,$Q212)&amp;""))</f>
        <v/>
      </c>
      <c r="G212" s="76" t="n">
        <f aca="false">IF($Q212="","",IFERROR(--(INDEX('Reguler Class Availability'!$F:$F,$Q212)&amp;""),0))</f>
        <v>5</v>
      </c>
      <c r="H212" s="77" t="str">
        <f aca="false">IF($Q212="","",PROPER(INDEX('Reguler Class Availability'!$I:$I,$Q212)&amp;"")&amp;IF(INDEX('Reguler Class Availability'!$J:$J,$Q212)&amp;""="",""," + asst "&amp;PROPER(INDEX('Reguler Class Availability'!$J:$J,$Q212)&amp;"")))</f>
        <v/>
      </c>
      <c r="I212" s="77" t="s">
        <v>305</v>
      </c>
      <c r="J212" s="77" t="s">
        <v>186</v>
      </c>
      <c r="K212" s="78"/>
      <c r="L212" s="78"/>
      <c r="M212" s="78"/>
      <c r="N212" s="79"/>
      <c r="O212" s="78"/>
      <c r="Q212" s="30" t="n">
        <f aca="false">IFERROR(MATCH($B$4&amp;"|- Lane "&amp;D212&amp;" - "&amp;B212&amp;"|"&amp;C212,'Reguler Class Availability'!$L:$L,0),"")</f>
        <v>907</v>
      </c>
      <c r="BD212" s="30" t="s">
        <v>141</v>
      </c>
      <c r="BE212" s="30" t="n">
        <f aca="false">IF(COUNTIFS('Reguler Class Availability'!$L:$L,$B$4&amp;"|- Lane 4 - *|"&amp;BD212)&gt;0,1,0)</f>
        <v>1</v>
      </c>
      <c r="BF212" s="30" t="n">
        <f aca="false">BE212+BF211</f>
        <v>7</v>
      </c>
    </row>
    <row r="213" customFormat="false" ht="27.75" hidden="false" customHeight="true" outlineLevel="0" collapsed="false">
      <c r="A213" s="76" t="n">
        <v>87</v>
      </c>
      <c r="B213" s="77" t="s">
        <v>117</v>
      </c>
      <c r="C213" s="76" t="s">
        <v>121</v>
      </c>
      <c r="D213" s="76" t="n">
        <v>3</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Belum terisi</v>
      </c>
      <c r="F213" s="77" t="str">
        <f aca="false">IF($Q213="","",PROPER(INDEX('Reguler Class Availability'!$B:$B,$Q213)&amp;""))</f>
        <v>Little</v>
      </c>
      <c r="G213" s="76" t="n">
        <f aca="false">IF($Q213="","",IFERROR(--(INDEX('Reguler Class Availability'!$F:$F,$Q213)&amp;""),0))</f>
        <v>4</v>
      </c>
      <c r="H213" s="77" t="str">
        <f aca="false">IF($Q213="","",PROPER(INDEX('Reguler Class Availability'!$I:$I,$Q213)&amp;"")&amp;IF(INDEX('Reguler Class Availability'!$J:$J,$Q213)&amp;""="",""," + asst "&amp;PROPER(INDEX('Reguler Class Availability'!$J:$J,$Q213)&amp;"")))</f>
        <v/>
      </c>
      <c r="I213" s="77" t="s">
        <v>306</v>
      </c>
      <c r="J213" s="77" t="s">
        <v>188</v>
      </c>
      <c r="K213" s="78"/>
      <c r="L213" s="78"/>
      <c r="M213" s="78"/>
      <c r="N213" s="79"/>
      <c r="O213" s="78"/>
      <c r="Q213" s="30" t="n">
        <f aca="false">IFERROR(MATCH($B$4&amp;"|- Lane "&amp;D213&amp;" - "&amp;B213&amp;"|"&amp;C213,'Reguler Class Availability'!$L:$L,0),"")</f>
        <v>739</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117</v>
      </c>
      <c r="C214" s="76" t="s">
        <v>121</v>
      </c>
      <c r="D214" s="76" t="n">
        <v>4</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Belum terisi</v>
      </c>
      <c r="F214" s="77" t="str">
        <f aca="false">IF($Q214="","",PROPER(INDEX('Reguler Class Availability'!$B:$B,$Q214)&amp;""))</f>
        <v>Kids</v>
      </c>
      <c r="G214" s="76" t="n">
        <f aca="false">IF($Q214="","",IFERROR(--(INDEX('Reguler Class Availability'!$F:$F,$Q214)&amp;""),0))</f>
        <v>4</v>
      </c>
      <c r="H214" s="77" t="str">
        <f aca="false">IF($Q214="","",PROPER(INDEX('Reguler Class Availability'!$I:$I,$Q214)&amp;"")&amp;IF(INDEX('Reguler Class Availability'!$J:$J,$Q214)&amp;""="",""," + asst "&amp;PROPER(INDEX('Reguler Class Availability'!$J:$J,$Q214)&amp;"")))</f>
        <v/>
      </c>
      <c r="I214" s="77" t="s">
        <v>306</v>
      </c>
      <c r="J214" s="77" t="s">
        <v>188</v>
      </c>
      <c r="K214" s="78"/>
      <c r="L214" s="78"/>
      <c r="M214" s="78"/>
      <c r="N214" s="79"/>
      <c r="O214" s="78"/>
      <c r="Q214" s="30" t="n">
        <f aca="false">IFERROR(MATCH($B$4&amp;"|- Lane "&amp;D214&amp;" - "&amp;B214&amp;"|"&amp;C214,'Reguler Class Availability'!$L:$L,0),"")</f>
        <v>823</v>
      </c>
      <c r="BD214" s="30" t="s">
        <v>143</v>
      </c>
      <c r="BE214" s="30" t="n">
        <f aca="false">IF(COUNTIFS('Reguler Class Availability'!$L:$L,$B$4&amp;"|- Lane 4 - *|"&amp;BD214)&gt;0,1,0)</f>
        <v>0</v>
      </c>
      <c r="BF214" s="30" t="n">
        <f aca="false">BE214+BF213</f>
        <v>7</v>
      </c>
    </row>
    <row r="215" customFormat="false" ht="27.75" hidden="false" customHeight="true" outlineLevel="0" collapsed="false">
      <c r="A215" s="76" t="n">
        <v>89</v>
      </c>
      <c r="B215" s="77" t="s">
        <v>117</v>
      </c>
      <c r="C215" s="76" t="s">
        <v>123</v>
      </c>
      <c r="D215" s="76" t="n">
        <v>1</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Belum terisi</v>
      </c>
      <c r="F215" s="77" t="str">
        <f aca="false">IF($Q215="","",PROPER(INDEX('Reguler Class Availability'!$B:$B,$Q215)&amp;""))</f>
        <v>Baby</v>
      </c>
      <c r="G215" s="76" t="n">
        <f aca="false">IF($Q215="","",IFERROR(--(INDEX('Reguler Class Availability'!$F:$F,$Q215)&amp;""),0))</f>
        <v>5</v>
      </c>
      <c r="H215" s="77" t="str">
        <f aca="false">IF($Q215="","",PROPER(INDEX('Reguler Class Availability'!$I:$I,$Q215)&amp;"")&amp;IF(INDEX('Reguler Class Availability'!$J:$J,$Q215)&amp;""="",""," + asst "&amp;PROPER(INDEX('Reguler Class Availability'!$J:$J,$Q215)&amp;"")))</f>
        <v/>
      </c>
      <c r="I215" s="77" t="s">
        <v>307</v>
      </c>
      <c r="J215" s="77" t="s">
        <v>188</v>
      </c>
      <c r="K215" s="78"/>
      <c r="L215" s="78"/>
      <c r="M215" s="78"/>
      <c r="N215" s="79"/>
      <c r="O215" s="78"/>
      <c r="Q215" s="30" t="n">
        <f aca="false">IFERROR(MATCH($B$4&amp;"|- Lane "&amp;D215&amp;" - "&amp;B215&amp;"|"&amp;C215,'Reguler Class Availability'!$L:$L,0),"")</f>
        <v>558</v>
      </c>
      <c r="BD215" s="30" t="s">
        <v>144</v>
      </c>
      <c r="BE215" s="30" t="n">
        <f aca="false">IF(COUNTIFS('Reguler Class Availability'!$L:$L,$B$4&amp;"|- Lane 4 - *|"&amp;BD215)&gt;0,1,0)</f>
        <v>1</v>
      </c>
      <c r="BF215" s="30" t="n">
        <f aca="false">BE215+BF214</f>
        <v>8</v>
      </c>
    </row>
    <row r="216" customFormat="false" ht="27.75" hidden="false" customHeight="true" outlineLevel="0" collapsed="false">
      <c r="A216" s="76" t="n">
        <v>90</v>
      </c>
      <c r="B216" s="77" t="s">
        <v>117</v>
      </c>
      <c r="C216" s="76" t="s">
        <v>123</v>
      </c>
      <c r="D216" s="76" t="n">
        <v>5</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Kosong</v>
      </c>
      <c r="F216" s="77" t="str">
        <f aca="false">IF($Q216="","",PROPER(INDEX('Reguler Class Availability'!$B:$B,$Q216)&amp;""))</f>
        <v/>
      </c>
      <c r="G216" s="76" t="n">
        <f aca="false">IF($Q216="","",IFERROR(--(INDEX('Reguler Class Availability'!$F:$F,$Q216)&amp;""),0))</f>
        <v>5</v>
      </c>
      <c r="H216" s="77" t="str">
        <f aca="false">IF($Q216="","",PROPER(INDEX('Reguler Class Availability'!$I:$I,$Q216)&amp;"")&amp;IF(INDEX('Reguler Class Availability'!$J:$J,$Q216)&amp;""="",""," + asst "&amp;PROPER(INDEX('Reguler Class Availability'!$J:$J,$Q216)&amp;"")))</f>
        <v/>
      </c>
      <c r="I216" s="77" t="s">
        <v>307</v>
      </c>
      <c r="J216" s="77" t="s">
        <v>188</v>
      </c>
      <c r="K216" s="78"/>
      <c r="L216" s="78"/>
      <c r="M216" s="78"/>
      <c r="N216" s="79"/>
      <c r="O216" s="78"/>
      <c r="Q216" s="30" t="n">
        <f aca="false">IFERROR(MATCH($B$4&amp;"|- Lane "&amp;D216&amp;" - "&amp;B216&amp;"|"&amp;C216,'Reguler Class Availability'!$L:$L,0),"")</f>
        <v>908</v>
      </c>
      <c r="BD216" s="30" t="s">
        <v>145</v>
      </c>
      <c r="BE216" s="30" t="n">
        <f aca="false">IF(COUNTIFS('Reguler Class Availability'!$L:$L,$B$4&amp;"|- Lane 4 - *|"&amp;BD216)&gt;0,1,0)</f>
        <v>0</v>
      </c>
      <c r="BF216" s="30" t="n">
        <f aca="false">BE216+BF215</f>
        <v>8</v>
      </c>
    </row>
    <row r="217" customFormat="false" ht="27.75" hidden="false" customHeight="true" outlineLevel="0" collapsed="false">
      <c r="A217" s="76" t="n">
        <v>91</v>
      </c>
      <c r="B217" s="77" t="s">
        <v>117</v>
      </c>
      <c r="C217" s="76" t="s">
        <v>124</v>
      </c>
      <c r="D217" s="76" t="n">
        <v>4</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Belum terisi</v>
      </c>
      <c r="F217" s="77" t="str">
        <f aca="false">IF($Q217="","",PROPER(INDEX('Reguler Class Availability'!$B:$B,$Q217)&amp;""))</f>
        <v>Kids</v>
      </c>
      <c r="G217" s="76" t="n">
        <f aca="false">IF($Q217="","",IFERROR(--(INDEX('Reguler Class Availability'!$F:$F,$Q217)&amp;""),0))</f>
        <v>4</v>
      </c>
      <c r="H217" s="77" t="str">
        <f aca="false">IF($Q217="","",PROPER(INDEX('Reguler Class Availability'!$I:$I,$Q217)&amp;"")&amp;IF(INDEX('Reguler Class Availability'!$J:$J,$Q217)&amp;""="",""," + asst "&amp;PROPER(INDEX('Reguler Class Availability'!$J:$J,$Q217)&amp;"")))</f>
        <v/>
      </c>
      <c r="I217" s="77" t="s">
        <v>307</v>
      </c>
      <c r="J217" s="77" t="s">
        <v>188</v>
      </c>
      <c r="K217" s="78"/>
      <c r="L217" s="78"/>
      <c r="M217" s="78"/>
      <c r="N217" s="79"/>
      <c r="O217" s="78"/>
      <c r="Q217" s="30" t="n">
        <f aca="false">IFERROR(MATCH($B$4&amp;"|- Lane "&amp;D217&amp;" - "&amp;B217&amp;"|"&amp;C217,'Reguler Class Availability'!$L:$L,0),"")</f>
        <v>824</v>
      </c>
      <c r="BD217" s="30" t="s">
        <v>146</v>
      </c>
      <c r="BE217" s="30" t="n">
        <f aca="false">IF(COUNTIFS('Reguler Class Availability'!$L:$L,$B$4&amp;"|- Lane 4 - *|"&amp;BD217)&gt;0,1,0)</f>
        <v>0</v>
      </c>
      <c r="BF217" s="30" t="n">
        <f aca="false">BE217+BF216</f>
        <v>8</v>
      </c>
    </row>
    <row r="218" customFormat="false" ht="27.75" hidden="false" customHeight="true" outlineLevel="0" collapsed="false">
      <c r="A218" s="76" t="n">
        <v>92</v>
      </c>
      <c r="B218" s="77" t="s">
        <v>117</v>
      </c>
      <c r="C218" s="76" t="s">
        <v>126</v>
      </c>
      <c r="D218" s="76" t="n">
        <v>2</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Belum terisi</v>
      </c>
      <c r="F218" s="77" t="str">
        <f aca="false">IF($Q218="","",PROPER(INDEX('Reguler Class Availability'!$B:$B,$Q218)&amp;""))</f>
        <v>Tiny</v>
      </c>
      <c r="G218" s="76" t="n">
        <f aca="false">IF($Q218="","",IFERROR(--(INDEX('Reguler Class Availability'!$F:$F,$Q218)&amp;""),0))</f>
        <v>5</v>
      </c>
      <c r="H218" s="77" t="str">
        <f aca="false">IF($Q218="","",PROPER(INDEX('Reguler Class Availability'!$I:$I,$Q218)&amp;"")&amp;IF(INDEX('Reguler Class Availability'!$J:$J,$Q218)&amp;""="",""," + asst "&amp;PROPER(INDEX('Reguler Class Availability'!$J:$J,$Q218)&amp;"")))</f>
        <v/>
      </c>
      <c r="I218" s="77" t="s">
        <v>307</v>
      </c>
      <c r="J218" s="77" t="s">
        <v>188</v>
      </c>
      <c r="K218" s="78"/>
      <c r="L218" s="78"/>
      <c r="M218" s="78"/>
      <c r="N218" s="79"/>
      <c r="O218" s="78"/>
      <c r="Q218" s="30" t="n">
        <f aca="false">IFERROR(MATCH($B$4&amp;"|- Lane "&amp;D218&amp;" - "&amp;B218&amp;"|"&amp;C218,'Reguler Class Availability'!$L:$L,0),"")</f>
        <v>657</v>
      </c>
      <c r="BD218" s="30" t="s">
        <v>147</v>
      </c>
      <c r="BE218" s="30" t="n">
        <f aca="false">IF(COUNTIFS('Reguler Class Availability'!$L:$L,$B$4&amp;"|- Lane 4 - *|"&amp;BD218)&gt;0,1,0)</f>
        <v>1</v>
      </c>
      <c r="BF218" s="30" t="n">
        <f aca="false">BE218+BF217</f>
        <v>9</v>
      </c>
    </row>
    <row r="219" customFormat="false" ht="27.75" hidden="false" customHeight="true" outlineLevel="0" collapsed="false">
      <c r="A219" s="76" t="n">
        <v>93</v>
      </c>
      <c r="B219" s="77" t="s">
        <v>117</v>
      </c>
      <c r="C219" s="76" t="s">
        <v>126</v>
      </c>
      <c r="D219" s="76" t="n">
        <v>5</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Kosong</v>
      </c>
      <c r="F219" s="77" t="str">
        <f aca="false">IF($Q219="","",PROPER(INDEX('Reguler Class Availability'!$B:$B,$Q219)&amp;""))</f>
        <v/>
      </c>
      <c r="G219" s="76" t="n">
        <f aca="false">IF($Q219="","",IFERROR(--(INDEX('Reguler Class Availability'!$F:$F,$Q219)&amp;""),0))</f>
        <v>5</v>
      </c>
      <c r="H219" s="77" t="str">
        <f aca="false">IF($Q219="","",PROPER(INDEX('Reguler Class Availability'!$I:$I,$Q219)&amp;"")&amp;IF(INDEX('Reguler Class Availability'!$J:$J,$Q219)&amp;""="",""," + asst "&amp;PROPER(INDEX('Reguler Class Availability'!$J:$J,$Q219)&amp;"")))</f>
        <v/>
      </c>
      <c r="I219" s="77" t="s">
        <v>307</v>
      </c>
      <c r="J219" s="77" t="s">
        <v>188</v>
      </c>
      <c r="K219" s="78"/>
      <c r="L219" s="78"/>
      <c r="M219" s="78"/>
      <c r="N219" s="79"/>
      <c r="O219" s="78"/>
      <c r="Q219" s="30" t="n">
        <f aca="false">IFERROR(MATCH($B$4&amp;"|- Lane "&amp;D219&amp;" - "&amp;B219&amp;"|"&amp;C219,'Reguler Class Availability'!$L:$L,0),"")</f>
        <v>909</v>
      </c>
      <c r="BD219" s="30" t="s">
        <v>148</v>
      </c>
      <c r="BE219" s="30" t="n">
        <f aca="false">IF(COUNTIFS('Reguler Class Availability'!$L:$L,$B$4&amp;"|- Lane 4 - *|"&amp;BD219)&gt;0,1,0)</f>
        <v>0</v>
      </c>
      <c r="BF219" s="30" t="n">
        <f aca="false">BE219+BF218</f>
        <v>9</v>
      </c>
    </row>
    <row r="220" customFormat="false" ht="27.75" hidden="false" customHeight="true" outlineLevel="0" collapsed="false">
      <c r="A220" s="76" t="n">
        <v>94</v>
      </c>
      <c r="B220" s="77" t="s">
        <v>117</v>
      </c>
      <c r="C220" s="76" t="s">
        <v>127</v>
      </c>
      <c r="D220" s="76" t="n">
        <v>3</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Belum terisi</v>
      </c>
      <c r="F220" s="77" t="str">
        <f aca="false">IF($Q220="","",PROPER(INDEX('Reguler Class Availability'!$B:$B,$Q220)&amp;""))</f>
        <v>Little</v>
      </c>
      <c r="G220" s="76" t="n">
        <f aca="false">IF($Q220="","",IFERROR(--(INDEX('Reguler Class Availability'!$F:$F,$Q220)&amp;""),0))</f>
        <v>4</v>
      </c>
      <c r="H220" s="77" t="str">
        <f aca="false">IF($Q220="","",PROPER(INDEX('Reguler Class Availability'!$I:$I,$Q220)&amp;"")&amp;IF(INDEX('Reguler Class Availability'!$J:$J,$Q220)&amp;""="",""," + asst "&amp;PROPER(INDEX('Reguler Class Availability'!$J:$J,$Q220)&amp;"")))</f>
        <v/>
      </c>
      <c r="I220" s="77" t="s">
        <v>307</v>
      </c>
      <c r="J220" s="77" t="s">
        <v>188</v>
      </c>
      <c r="K220" s="78"/>
      <c r="L220" s="78"/>
      <c r="M220" s="78"/>
      <c r="N220" s="79"/>
      <c r="O220" s="78"/>
      <c r="Q220" s="30" t="n">
        <f aca="false">IFERROR(MATCH($B$4&amp;"|- Lane "&amp;D220&amp;" - "&amp;B220&amp;"|"&amp;C220,'Reguler Class Availability'!$L:$L,0),"")</f>
        <v>741</v>
      </c>
      <c r="BD220" s="30" t="s">
        <v>149</v>
      </c>
      <c r="BE220" s="30" t="n">
        <f aca="false">IF(COUNTIFS('Reguler Class Availability'!$L:$L,$B$4&amp;"|- Lane 4 - *|"&amp;BD220)&gt;0,1,0)</f>
        <v>0</v>
      </c>
      <c r="BF220" s="30" t="n">
        <f aca="false">BE220+BF219</f>
        <v>9</v>
      </c>
    </row>
    <row r="221" customFormat="false" ht="27.75" hidden="false" customHeight="true" outlineLevel="0" collapsed="false">
      <c r="A221" s="76" t="n">
        <v>95</v>
      </c>
      <c r="B221" s="77" t="s">
        <v>117</v>
      </c>
      <c r="C221" s="76" t="s">
        <v>127</v>
      </c>
      <c r="D221" s="76" t="n">
        <v>4</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Belum terisi</v>
      </c>
      <c r="F221" s="77" t="str">
        <f aca="false">IF($Q221="","",PROPER(INDEX('Reguler Class Availability'!$B:$B,$Q221)&amp;""))</f>
        <v>Kids</v>
      </c>
      <c r="G221" s="76" t="n">
        <f aca="false">IF($Q221="","",IFERROR(--(INDEX('Reguler Class Availability'!$F:$F,$Q221)&amp;""),0))</f>
        <v>4</v>
      </c>
      <c r="H221" s="77" t="str">
        <f aca="false">IF($Q221="","",PROPER(INDEX('Reguler Class Availability'!$I:$I,$Q221)&amp;"")&amp;IF(INDEX('Reguler Class Availability'!$J:$J,$Q221)&amp;""="",""," + asst "&amp;PROPER(INDEX('Reguler Class Availability'!$J:$J,$Q221)&amp;"")))</f>
        <v/>
      </c>
      <c r="I221" s="77" t="s">
        <v>307</v>
      </c>
      <c r="J221" s="77" t="s">
        <v>188</v>
      </c>
      <c r="K221" s="78"/>
      <c r="L221" s="78"/>
      <c r="M221" s="78"/>
      <c r="N221" s="79"/>
      <c r="O221" s="78"/>
      <c r="Q221" s="30" t="n">
        <f aca="false">IFERROR(MATCH($B$4&amp;"|- Lane "&amp;D221&amp;" - "&amp;B221&amp;"|"&amp;C221,'Reguler Class Availability'!$L:$L,0),"")</f>
        <v>825</v>
      </c>
      <c r="BD221" s="30" t="s">
        <v>150</v>
      </c>
      <c r="BE221" s="30" t="n">
        <f aca="false">IF(COUNTIFS('Reguler Class Availability'!$L:$L,$B$4&amp;"|- Lane 4 - *|"&amp;BD221)&gt;0,1,0)</f>
        <v>1</v>
      </c>
      <c r="BF221" s="30" t="n">
        <f aca="false">BE221+BF220</f>
        <v>10</v>
      </c>
    </row>
    <row r="222" customFormat="false" ht="15.75" hidden="false" customHeight="true" outlineLevel="0" collapsed="false">
      <c r="A222" s="76" t="n">
        <v>96</v>
      </c>
      <c r="B222" s="77" t="s">
        <v>117</v>
      </c>
      <c r="C222" s="76" t="s">
        <v>129</v>
      </c>
      <c r="D222" s="76" t="n">
        <v>1</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Belum terisi</v>
      </c>
      <c r="F222" s="77" t="str">
        <f aca="false">IF($Q222="","",PROPER(INDEX('Reguler Class Availability'!$B:$B,$Q222)&amp;""))</f>
        <v>Baby</v>
      </c>
      <c r="G222" s="76" t="n">
        <f aca="false">IF($Q222="","",IFERROR(--(INDEX('Reguler Class Availability'!$F:$F,$Q222)&amp;""),0))</f>
        <v>5</v>
      </c>
      <c r="H222" s="77" t="str">
        <f aca="false">IF($Q222="","",PROPER(INDEX('Reguler Class Availability'!$I:$I,$Q222)&amp;"")&amp;IF(INDEX('Reguler Class Availability'!$J:$J,$Q222)&amp;""="",""," + asst "&amp;PROPER(INDEX('Reguler Class Availability'!$J:$J,$Q222)&amp;"")))</f>
        <v/>
      </c>
      <c r="I222" s="77" t="s">
        <v>308</v>
      </c>
      <c r="J222" s="77" t="s">
        <v>288</v>
      </c>
      <c r="K222" s="78"/>
      <c r="L222" s="78"/>
      <c r="M222" s="78"/>
      <c r="N222" s="79"/>
      <c r="O222" s="78"/>
      <c r="Q222" s="30" t="n">
        <f aca="false">IFERROR(MATCH($B$4&amp;"|- Lane "&amp;D222&amp;" - "&amp;B222&amp;"|"&amp;C222,'Reguler Class Availability'!$L:$L,0),"")</f>
        <v>560</v>
      </c>
      <c r="BD222" s="30" t="s">
        <v>151</v>
      </c>
      <c r="BE222" s="30" t="n">
        <f aca="false">IF(COUNTIFS('Reguler Class Availability'!$L:$L,$B$4&amp;"|- Lane 4 - *|"&amp;BD222)&gt;0,1,0)</f>
        <v>0</v>
      </c>
      <c r="BF222" s="30" t="n">
        <f aca="false">BE222+BF221</f>
        <v>10</v>
      </c>
    </row>
    <row r="223" customFormat="false" ht="15.75" hidden="false" customHeight="true" outlineLevel="0" collapsed="false">
      <c r="A223" s="76" t="n">
        <v>97</v>
      </c>
      <c r="B223" s="77" t="s">
        <v>117</v>
      </c>
      <c r="C223" s="76" t="s">
        <v>129</v>
      </c>
      <c r="D223" s="76" t="n">
        <v>5</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Kosong</v>
      </c>
      <c r="F223" s="77" t="str">
        <f aca="false">IF($Q223="","",PROPER(INDEX('Reguler Class Availability'!$B:$B,$Q223)&amp;""))</f>
        <v/>
      </c>
      <c r="G223" s="76" t="n">
        <f aca="false">IF($Q223="","",IFERROR(--(INDEX('Reguler Class Availability'!$F:$F,$Q223)&amp;""),0))</f>
        <v>5</v>
      </c>
      <c r="H223" s="77" t="str">
        <f aca="false">IF($Q223="","",PROPER(INDEX('Reguler Class Availability'!$I:$I,$Q223)&amp;"")&amp;IF(INDEX('Reguler Class Availability'!$J:$J,$Q223)&amp;""="",""," + asst "&amp;PROPER(INDEX('Reguler Class Availability'!$J:$J,$Q223)&amp;"")))</f>
        <v/>
      </c>
      <c r="I223" s="77" t="s">
        <v>308</v>
      </c>
      <c r="J223" s="77" t="s">
        <v>260</v>
      </c>
      <c r="K223" s="78"/>
      <c r="L223" s="78"/>
      <c r="M223" s="78"/>
      <c r="N223" s="79"/>
      <c r="O223" s="78"/>
      <c r="Q223" s="30" t="n">
        <f aca="false">IFERROR(MATCH($B$4&amp;"|- Lane "&amp;D223&amp;" - "&amp;B223&amp;"|"&amp;C223,'Reguler Class Availability'!$L:$L,0),"")</f>
        <v>910</v>
      </c>
      <c r="BD223" s="30" t="s">
        <v>152</v>
      </c>
      <c r="BE223" s="30" t="n">
        <f aca="false">IF(COUNTIFS('Reguler Class Availability'!$L:$L,$B$4&amp;"|- Lane 4 - *|"&amp;BD223)&gt;0,1,0)</f>
        <v>0</v>
      </c>
      <c r="BF223" s="30" t="n">
        <f aca="false">BE223+BF222</f>
        <v>10</v>
      </c>
    </row>
    <row r="224" customFormat="false" ht="27.75" hidden="false" customHeight="true" outlineLevel="0" collapsed="false">
      <c r="A224" s="76" t="n">
        <v>98</v>
      </c>
      <c r="B224" s="77" t="s">
        <v>117</v>
      </c>
      <c r="C224" s="76" t="s">
        <v>139</v>
      </c>
      <c r="D224" s="76" t="n">
        <v>1</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Belum terisi</v>
      </c>
      <c r="F224" s="77" t="str">
        <f aca="false">IF($Q224="","",PROPER(INDEX('Reguler Class Availability'!$B:$B,$Q224)&amp;""))</f>
        <v>Baby</v>
      </c>
      <c r="G224" s="76" t="n">
        <f aca="false">IF($Q224="","",IFERROR(--(INDEX('Reguler Class Availability'!$F:$F,$Q224)&amp;""),0))</f>
        <v>5</v>
      </c>
      <c r="H224" s="77" t="str">
        <f aca="false">IF($Q224="","",PROPER(INDEX('Reguler Class Availability'!$I:$I,$Q224)&amp;"")&amp;IF(INDEX('Reguler Class Availability'!$J:$J,$Q224)&amp;""="",""," + asst "&amp;PROPER(INDEX('Reguler Class Availability'!$J:$J,$Q224)&amp;"")))</f>
        <v/>
      </c>
      <c r="I224" s="77" t="s">
        <v>306</v>
      </c>
      <c r="J224" s="77" t="s">
        <v>188</v>
      </c>
      <c r="K224" s="78"/>
      <c r="L224" s="78"/>
      <c r="M224" s="78"/>
      <c r="N224" s="79"/>
      <c r="O224" s="78"/>
      <c r="Q224" s="30" t="n">
        <f aca="false">IFERROR(MATCH($B$4&amp;"|- Lane "&amp;D224&amp;" - "&amp;B224&amp;"|"&amp;C224,'Reguler Class Availability'!$L:$L,0),"")</f>
        <v>562</v>
      </c>
      <c r="BD224" s="30" t="s">
        <v>153</v>
      </c>
      <c r="BE224" s="30" t="n">
        <f aca="false">IF(COUNTIFS('Reguler Class Availability'!$L:$L,$B$4&amp;"|- Lane 4 - *|"&amp;BD224)&gt;0,1,0)</f>
        <v>1</v>
      </c>
      <c r="BF224" s="30" t="n">
        <f aca="false">BE224+BF223</f>
        <v>11</v>
      </c>
    </row>
    <row r="225" customFormat="false" ht="27.75" hidden="false" customHeight="true" outlineLevel="0" collapsed="false">
      <c r="A225" s="76" t="n">
        <v>99</v>
      </c>
      <c r="B225" s="77" t="s">
        <v>117</v>
      </c>
      <c r="C225" s="76" t="s">
        <v>139</v>
      </c>
      <c r="D225" s="76" t="n">
        <v>2</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Belum terisi</v>
      </c>
      <c r="F225" s="77" t="str">
        <f aca="false">IF($Q225="","",PROPER(INDEX('Reguler Class Availability'!$B:$B,$Q225)&amp;""))</f>
        <v>Tiny</v>
      </c>
      <c r="G225" s="76" t="n">
        <f aca="false">IF($Q225="","",IFERROR(--(INDEX('Reguler Class Availability'!$F:$F,$Q225)&amp;""),0))</f>
        <v>5</v>
      </c>
      <c r="H225" s="77" t="str">
        <f aca="false">IF($Q225="","",PROPER(INDEX('Reguler Class Availability'!$I:$I,$Q225)&amp;"")&amp;IF(INDEX('Reguler Class Availability'!$J:$J,$Q225)&amp;""="",""," + asst "&amp;PROPER(INDEX('Reguler Class Availability'!$J:$J,$Q225)&amp;"")))</f>
        <v/>
      </c>
      <c r="I225" s="77" t="s">
        <v>306</v>
      </c>
      <c r="J225" s="77" t="s">
        <v>188</v>
      </c>
      <c r="K225" s="78"/>
      <c r="L225" s="78"/>
      <c r="M225" s="78"/>
      <c r="N225" s="79"/>
      <c r="O225" s="78"/>
      <c r="Q225" s="30" t="n">
        <f aca="false">IFERROR(MATCH($B$4&amp;"|- Lane "&amp;D225&amp;" - "&amp;B225&amp;"|"&amp;C225,'Reguler Class Availability'!$L:$L,0),"")</f>
        <v>660</v>
      </c>
      <c r="BD225" s="30" t="s">
        <v>154</v>
      </c>
      <c r="BE225" s="30" t="n">
        <f aca="false">IF(COUNTIFS('Reguler Class Availability'!$L:$L,$B$4&amp;"|- Lane 4 - *|"&amp;BD225)&gt;0,1,0)</f>
        <v>0</v>
      </c>
      <c r="BF225" s="30" t="n">
        <f aca="false">BE225+BF224</f>
        <v>11</v>
      </c>
    </row>
    <row r="226" customFormat="false" ht="27.75" hidden="false" customHeight="true" outlineLevel="0" collapsed="false">
      <c r="A226" s="76" t="n">
        <v>100</v>
      </c>
      <c r="B226" s="77" t="s">
        <v>117</v>
      </c>
      <c r="C226" s="76" t="s">
        <v>141</v>
      </c>
      <c r="D226" s="76" t="n">
        <v>3</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Belum terisi</v>
      </c>
      <c r="F226" s="77" t="str">
        <f aca="false">IF($Q226="","",PROPER(INDEX('Reguler Class Availability'!$B:$B,$Q226)&amp;""))</f>
        <v>Little</v>
      </c>
      <c r="G226" s="76" t="n">
        <f aca="false">IF($Q226="","",IFERROR(--(INDEX('Reguler Class Availability'!$F:$F,$Q226)&amp;""),0))</f>
        <v>4</v>
      </c>
      <c r="H226" s="77" t="str">
        <f aca="false">IF($Q226="","",PROPER(INDEX('Reguler Class Availability'!$I:$I,$Q226)&amp;"")&amp;IF(INDEX('Reguler Class Availability'!$J:$J,$Q226)&amp;""="",""," + asst "&amp;PROPER(INDEX('Reguler Class Availability'!$J:$J,$Q226)&amp;"")))</f>
        <v/>
      </c>
      <c r="I226" s="77" t="s">
        <v>306</v>
      </c>
      <c r="J226" s="77" t="s">
        <v>188</v>
      </c>
      <c r="K226" s="78"/>
      <c r="L226" s="78"/>
      <c r="M226" s="78"/>
      <c r="N226" s="79"/>
      <c r="O226" s="78"/>
      <c r="Q226" s="30" t="n">
        <f aca="false">IFERROR(MATCH($B$4&amp;"|- Lane "&amp;D226&amp;" - "&amp;B226&amp;"|"&amp;C226,'Reguler Class Availability'!$L:$L,0),"")</f>
        <v>744</v>
      </c>
      <c r="BD226" s="30" t="s">
        <v>155</v>
      </c>
      <c r="BE226" s="30" t="n">
        <f aca="false">IF(COUNTIFS('Reguler Class Availability'!$L:$L,$B$4&amp;"|- Lane 4 - *|"&amp;BD226)&gt;0,1,0)</f>
        <v>0</v>
      </c>
      <c r="BF226" s="30" t="n">
        <f aca="false">BE226+BF225</f>
        <v>11</v>
      </c>
    </row>
    <row r="227" customFormat="false" ht="27.75" hidden="false" customHeight="true" outlineLevel="0" collapsed="false">
      <c r="A227" s="76" t="n">
        <v>101</v>
      </c>
      <c r="B227" s="77" t="s">
        <v>117</v>
      </c>
      <c r="C227" s="76" t="s">
        <v>141</v>
      </c>
      <c r="D227" s="76" t="n">
        <v>4</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Kids</v>
      </c>
      <c r="G227" s="76" t="n">
        <f aca="false">IF($Q227="","",IFERROR(--(INDEX('Reguler Class Availability'!$F:$F,$Q227)&amp;""),0))</f>
        <v>4</v>
      </c>
      <c r="H227" s="77" t="str">
        <f aca="false">IF($Q227="","",PROPER(INDEX('Reguler Class Availability'!$I:$I,$Q227)&amp;"")&amp;IF(INDEX('Reguler Class Availability'!$J:$J,$Q227)&amp;""="",""," + asst "&amp;PROPER(INDEX('Reguler Class Availability'!$J:$J,$Q227)&amp;"")))</f>
        <v/>
      </c>
      <c r="I227" s="77" t="s">
        <v>306</v>
      </c>
      <c r="J227" s="77" t="s">
        <v>188</v>
      </c>
      <c r="K227" s="78"/>
      <c r="L227" s="78"/>
      <c r="M227" s="78"/>
      <c r="N227" s="79"/>
      <c r="O227" s="78"/>
      <c r="Q227" s="30" t="n">
        <f aca="false">IFERROR(MATCH($B$4&amp;"|- Lane "&amp;D227&amp;" - "&amp;B227&amp;"|"&amp;C227,'Reguler Class Availability'!$L:$L,0),"")</f>
        <v>828</v>
      </c>
      <c r="BD227" s="30" t="s">
        <v>156</v>
      </c>
      <c r="BE227" s="30" t="n">
        <f aca="false">IF(COUNTIFS('Reguler Class Availability'!$L:$L,$B$4&amp;"|- Lane 4 - *|"&amp;BD227)&gt;0,1,0)</f>
        <v>1</v>
      </c>
      <c r="BF227" s="30" t="n">
        <f aca="false">BE227+BF226</f>
        <v>12</v>
      </c>
    </row>
    <row r="228" customFormat="false" ht="15.75" hidden="false" customHeight="true" outlineLevel="0" collapsed="false">
      <c r="A228" s="76" t="n">
        <v>102</v>
      </c>
      <c r="B228" s="77" t="s">
        <v>117</v>
      </c>
      <c r="C228" s="76" t="s">
        <v>143</v>
      </c>
      <c r="D228" s="76" t="n">
        <v>1</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Belum terisi</v>
      </c>
      <c r="F228" s="77" t="str">
        <f aca="false">IF($Q228="","",PROPER(INDEX('Reguler Class Availability'!$B:$B,$Q228)&amp;""))</f>
        <v>Baby</v>
      </c>
      <c r="G228" s="76" t="n">
        <f aca="false">IF($Q228="","",IFERROR(--(INDEX('Reguler Class Availability'!$F:$F,$Q228)&amp;""),0))</f>
        <v>5</v>
      </c>
      <c r="H228" s="77" t="str">
        <f aca="false">IF($Q228="","",PROPER(INDEX('Reguler Class Availability'!$I:$I,$Q228)&amp;"")&amp;IF(INDEX('Reguler Class Availability'!$J:$J,$Q228)&amp;""="",""," + asst "&amp;PROPER(INDEX('Reguler Class Availability'!$J:$J,$Q228)&amp;"")))</f>
        <v/>
      </c>
      <c r="I228" s="77" t="s">
        <v>308</v>
      </c>
      <c r="J228" s="77" t="s">
        <v>288</v>
      </c>
      <c r="K228" s="78"/>
      <c r="L228" s="78"/>
      <c r="M228" s="78"/>
      <c r="N228" s="79"/>
      <c r="O228" s="78"/>
      <c r="Q228" s="30" t="n">
        <f aca="false">IFERROR(MATCH($B$4&amp;"|- Lane "&amp;D228&amp;" - "&amp;B228&amp;"|"&amp;C228,'Reguler Class Availability'!$L:$L,0),"")</f>
        <v>563</v>
      </c>
      <c r="BD228" s="30" t="s">
        <v>157</v>
      </c>
      <c r="BE228" s="30" t="n">
        <f aca="false">IF(COUNTIFS('Reguler Class Availability'!$L:$L,$B$4&amp;"|- Lane 4 - *|"&amp;BD228)&gt;0,1,0)</f>
        <v>0</v>
      </c>
      <c r="BF228" s="30" t="n">
        <f aca="false">BE228+BF227</f>
        <v>12</v>
      </c>
    </row>
    <row r="229" customFormat="false" ht="15.75" hidden="false" customHeight="true" outlineLevel="0" collapsed="false">
      <c r="A229" s="76" t="n">
        <v>103</v>
      </c>
      <c r="B229" s="77" t="s">
        <v>117</v>
      </c>
      <c r="C229" s="76" t="s">
        <v>143</v>
      </c>
      <c r="D229" s="76" t="n">
        <v>5</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Kosong</v>
      </c>
      <c r="F229" s="77" t="str">
        <f aca="false">IF($Q229="","",PROPER(INDEX('Reguler Class Availability'!$B:$B,$Q229)&amp;""))</f>
        <v/>
      </c>
      <c r="G229" s="76" t="n">
        <f aca="false">IF($Q229="","",IFERROR(--(INDEX('Reguler Class Availability'!$F:$F,$Q229)&amp;""),0))</f>
        <v>5</v>
      </c>
      <c r="H229" s="77" t="str">
        <f aca="false">IF($Q229="","",PROPER(INDEX('Reguler Class Availability'!$I:$I,$Q229)&amp;"")&amp;IF(INDEX('Reguler Class Availability'!$J:$J,$Q229)&amp;""="",""," + asst "&amp;PROPER(INDEX('Reguler Class Availability'!$J:$J,$Q229)&amp;"")))</f>
        <v/>
      </c>
      <c r="I229" s="77" t="s">
        <v>308</v>
      </c>
      <c r="J229" s="77" t="s">
        <v>260</v>
      </c>
      <c r="K229" s="78"/>
      <c r="L229" s="78"/>
      <c r="M229" s="78"/>
      <c r="N229" s="79"/>
      <c r="O229" s="78"/>
      <c r="Q229" s="30" t="n">
        <f aca="false">IFERROR(MATCH($B$4&amp;"|- Lane "&amp;D229&amp;" - "&amp;B229&amp;"|"&amp;C229,'Reguler Class Availability'!$L:$L,0),"")</f>
        <v>913</v>
      </c>
      <c r="BD229" s="30" t="s">
        <v>158</v>
      </c>
      <c r="BE229" s="30" t="n">
        <f aca="false">IF(COUNTIFS('Reguler Class Availability'!$L:$L,$B$4&amp;"|- Lane 4 - *|"&amp;BD229)&gt;0,1,0)</f>
        <v>0</v>
      </c>
      <c r="BF229" s="30" t="n">
        <f aca="false">BE229+BF228</f>
        <v>12</v>
      </c>
    </row>
    <row r="230" customFormat="false" ht="15.75" hidden="false" customHeight="true" outlineLevel="0" collapsed="false">
      <c r="A230" s="76" t="n">
        <v>104</v>
      </c>
      <c r="B230" s="77" t="s">
        <v>117</v>
      </c>
      <c r="C230" s="76" t="s">
        <v>146</v>
      </c>
      <c r="D230" s="76" t="n">
        <v>1</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Belum terisi</v>
      </c>
      <c r="F230" s="77" t="str">
        <f aca="false">IF($Q230="","",PROPER(INDEX('Reguler Class Availability'!$B:$B,$Q230)&amp;""))</f>
        <v>Baby</v>
      </c>
      <c r="G230" s="76" t="n">
        <f aca="false">IF($Q230="","",IFERROR(--(INDEX('Reguler Class Availability'!$F:$F,$Q230)&amp;""),0))</f>
        <v>5</v>
      </c>
      <c r="H230" s="77" t="str">
        <f aca="false">IF($Q230="","",PROPER(INDEX('Reguler Class Availability'!$I:$I,$Q230)&amp;"")&amp;IF(INDEX('Reguler Class Availability'!$J:$J,$Q230)&amp;""="",""," + asst "&amp;PROPER(INDEX('Reguler Class Availability'!$J:$J,$Q230)&amp;"")))</f>
        <v/>
      </c>
      <c r="I230" s="80" t="s">
        <v>199</v>
      </c>
      <c r="J230" s="77" t="s">
        <v>303</v>
      </c>
      <c r="K230" s="78"/>
      <c r="L230" s="78"/>
      <c r="M230" s="78"/>
      <c r="N230" s="79"/>
      <c r="O230" s="78"/>
      <c r="Q230" s="30" t="n">
        <f aca="false">IFERROR(MATCH($B$4&amp;"|- Lane "&amp;D230&amp;" - "&amp;B230&amp;"|"&amp;C230,'Reguler Class Availability'!$L:$L,0),"")</f>
        <v>564</v>
      </c>
      <c r="BD230" s="30" t="s">
        <v>160</v>
      </c>
      <c r="BE230" s="30" t="n">
        <f aca="false">IF(COUNTIFS('Reguler Class Availability'!$L:$L,$B$4&amp;"|- Lane 4 - *|"&amp;BD230)&gt;0,1,0)</f>
        <v>0</v>
      </c>
      <c r="BF230" s="30" t="n">
        <f aca="false">BE230+BF229</f>
        <v>12</v>
      </c>
    </row>
    <row r="231" customFormat="false" ht="15.75" hidden="false" customHeight="true" outlineLevel="0" collapsed="false">
      <c r="A231" s="76" t="n">
        <v>105</v>
      </c>
      <c r="B231" s="77" t="s">
        <v>117</v>
      </c>
      <c r="C231" s="76" t="s">
        <v>146</v>
      </c>
      <c r="D231" s="76" t="n">
        <v>2</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Belum terisi</v>
      </c>
      <c r="F231" s="77" t="str">
        <f aca="false">IF($Q231="","",PROPER(INDEX('Reguler Class Availability'!$B:$B,$Q231)&amp;""))</f>
        <v>Tiny</v>
      </c>
      <c r="G231" s="76" t="n">
        <f aca="false">IF($Q231="","",IFERROR(--(INDEX('Reguler Class Availability'!$F:$F,$Q231)&amp;""),0))</f>
        <v>5</v>
      </c>
      <c r="H231" s="77" t="str">
        <f aca="false">IF($Q231="","",PROPER(INDEX('Reguler Class Availability'!$I:$I,$Q231)&amp;"")&amp;IF(INDEX('Reguler Class Availability'!$J:$J,$Q231)&amp;""="",""," + asst "&amp;PROPER(INDEX('Reguler Class Availability'!$J:$J,$Q231)&amp;"")))</f>
        <v/>
      </c>
      <c r="I231" s="80" t="s">
        <v>199</v>
      </c>
      <c r="J231" s="77" t="s">
        <v>42</v>
      </c>
      <c r="K231" s="78"/>
      <c r="L231" s="78"/>
      <c r="M231" s="78"/>
      <c r="N231" s="79"/>
      <c r="O231" s="78"/>
      <c r="Q231" s="30" t="n">
        <f aca="false">IFERROR(MATCH($B$4&amp;"|- Lane "&amp;D231&amp;" - "&amp;B231&amp;"|"&amp;C231,'Reguler Class Availability'!$L:$L,0),"")</f>
        <v>662</v>
      </c>
      <c r="BD231" s="30" t="s">
        <v>161</v>
      </c>
      <c r="BE231" s="30" t="n">
        <f aca="false">IF(COUNTIFS('Reguler Class Availability'!$L:$L,$B$4&amp;"|- Lane 4 - *|"&amp;BD231)&gt;0,1,0)</f>
        <v>0</v>
      </c>
      <c r="BF231" s="30" t="n">
        <f aca="false">BE231+BF230</f>
        <v>12</v>
      </c>
    </row>
    <row r="232" customFormat="false" ht="15.75" hidden="false" customHeight="true" outlineLevel="0" collapsed="false">
      <c r="A232" s="76" t="n">
        <v>106</v>
      </c>
      <c r="B232" s="77" t="s">
        <v>117</v>
      </c>
      <c r="C232" s="76" t="s">
        <v>146</v>
      </c>
      <c r="D232" s="76" t="n">
        <v>5</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Kosong</v>
      </c>
      <c r="F232" s="77" t="str">
        <f aca="false">IF($Q232="","",PROPER(INDEX('Reguler Class Availability'!$B:$B,$Q232)&amp;""))</f>
        <v/>
      </c>
      <c r="G232" s="76" t="n">
        <f aca="false">IF($Q232="","",IFERROR(--(INDEX('Reguler Class Availability'!$F:$F,$Q232)&amp;""),0))</f>
        <v>5</v>
      </c>
      <c r="H232" s="77" t="str">
        <f aca="false">IF($Q232="","",PROPER(INDEX('Reguler Class Availability'!$I:$I,$Q232)&amp;"")&amp;IF(INDEX('Reguler Class Availability'!$J:$J,$Q232)&amp;""="",""," + asst "&amp;PROPER(INDEX('Reguler Class Availability'!$J:$J,$Q232)&amp;"")))</f>
        <v/>
      </c>
      <c r="I232" s="80" t="s">
        <v>199</v>
      </c>
      <c r="J232" s="77" t="s">
        <v>309</v>
      </c>
      <c r="K232" s="78"/>
      <c r="L232" s="78"/>
      <c r="M232" s="78"/>
      <c r="N232" s="79"/>
      <c r="O232" s="78"/>
      <c r="Q232" s="30" t="n">
        <f aca="false">IFERROR(MATCH($B$4&amp;"|- Lane "&amp;D232&amp;" - "&amp;B232&amp;"|"&amp;C232,'Reguler Class Availability'!$L:$L,0),"")</f>
        <v>914</v>
      </c>
      <c r="BD232" s="30" t="s">
        <v>162</v>
      </c>
      <c r="BE232" s="30" t="n">
        <f aca="false">IF(COUNTIFS('Reguler Class Availability'!$L:$L,$B$4&amp;"|- Lane 4 - *|"&amp;BD232)&gt;0,1,0)</f>
        <v>0</v>
      </c>
      <c r="BF232" s="30" t="n">
        <f aca="false">BE232+BF231</f>
        <v>12</v>
      </c>
    </row>
    <row r="233" customFormat="false" ht="15.75" hidden="false" customHeight="true" outlineLevel="0" collapsed="false">
      <c r="A233" s="76" t="n">
        <v>107</v>
      </c>
      <c r="B233" s="77" t="s">
        <v>117</v>
      </c>
      <c r="C233" s="76" t="s">
        <v>149</v>
      </c>
      <c r="D233" s="76" t="n">
        <v>1</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Belum terisi</v>
      </c>
      <c r="F233" s="77" t="str">
        <f aca="false">IF($Q233="","",PROPER(INDEX('Reguler Class Availability'!$B:$B,$Q233)&amp;""))</f>
        <v>Baby</v>
      </c>
      <c r="G233" s="76" t="n">
        <f aca="false">IF($Q233="","",IFERROR(--(INDEX('Reguler Class Availability'!$F:$F,$Q233)&amp;""),0))</f>
        <v>5</v>
      </c>
      <c r="H233" s="77" t="str">
        <f aca="false">IF($Q233="","",PROPER(INDEX('Reguler Class Availability'!$I:$I,$Q233)&amp;"")&amp;IF(INDEX('Reguler Class Availability'!$J:$J,$Q233)&amp;""="",""," + asst "&amp;PROPER(INDEX('Reguler Class Availability'!$J:$J,$Q233)&amp;"")))</f>
        <v/>
      </c>
      <c r="I233" s="77" t="s">
        <v>310</v>
      </c>
      <c r="J233" s="77" t="s">
        <v>188</v>
      </c>
      <c r="K233" s="78"/>
      <c r="L233" s="78"/>
      <c r="M233" s="78"/>
      <c r="N233" s="79"/>
      <c r="O233" s="78"/>
      <c r="Q233" s="30" t="n">
        <f aca="false">IFERROR(MATCH($B$4&amp;"|- Lane "&amp;D233&amp;" - "&amp;B233&amp;"|"&amp;C233,'Reguler Class Availability'!$L:$L,0),"")</f>
        <v>565</v>
      </c>
      <c r="BD233" s="30" t="s">
        <v>163</v>
      </c>
      <c r="BE233" s="30" t="n">
        <f aca="false">IF(COUNTIFS('Reguler Class Availability'!$L:$L,$B$4&amp;"|- Lane 4 - *|"&amp;BD233)&gt;0,1,0)</f>
        <v>0</v>
      </c>
      <c r="BF233" s="30" t="n">
        <f aca="false">BE233+BF232</f>
        <v>12</v>
      </c>
    </row>
    <row r="234" customFormat="false" ht="15.75" hidden="false" customHeight="true" outlineLevel="0" collapsed="false">
      <c r="A234" s="76" t="n">
        <v>108</v>
      </c>
      <c r="B234" s="77" t="s">
        <v>117</v>
      </c>
      <c r="C234" s="76" t="s">
        <v>149</v>
      </c>
      <c r="D234" s="76" t="n">
        <v>2</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Belum terisi</v>
      </c>
      <c r="F234" s="77" t="str">
        <f aca="false">IF($Q234="","",PROPER(INDEX('Reguler Class Availability'!$B:$B,$Q234)&amp;""))</f>
        <v>Tiny</v>
      </c>
      <c r="G234" s="76" t="n">
        <f aca="false">IF($Q234="","",IFERROR(--(INDEX('Reguler Class Availability'!$F:$F,$Q234)&amp;""),0))</f>
        <v>5</v>
      </c>
      <c r="H234" s="77" t="str">
        <f aca="false">IF($Q234="","",PROPER(INDEX('Reguler Class Availability'!$I:$I,$Q234)&amp;"")&amp;IF(INDEX('Reguler Class Availability'!$J:$J,$Q234)&amp;""="",""," + asst "&amp;PROPER(INDEX('Reguler Class Availability'!$J:$J,$Q234)&amp;"")))</f>
        <v/>
      </c>
      <c r="I234" s="77" t="s">
        <v>310</v>
      </c>
      <c r="J234" s="77" t="s">
        <v>188</v>
      </c>
      <c r="K234" s="78"/>
      <c r="L234" s="78"/>
      <c r="M234" s="78"/>
      <c r="N234" s="79"/>
      <c r="O234" s="78"/>
      <c r="Q234" s="30" t="n">
        <f aca="false">IFERROR(MATCH($B$4&amp;"|- Lane "&amp;D234&amp;" - "&amp;B234&amp;"|"&amp;C234,'Reguler Class Availability'!$L:$L,0),"")</f>
        <v>663</v>
      </c>
      <c r="BD234" s="30" t="s">
        <v>164</v>
      </c>
      <c r="BE234" s="30" t="n">
        <f aca="false">IF(COUNTIFS('Reguler Class Availability'!$L:$L,$B$4&amp;"|- Lane 4 - *|"&amp;BD234)&gt;0,1,0)</f>
        <v>0</v>
      </c>
      <c r="BF234" s="30" t="n">
        <f aca="false">BE234+BF233</f>
        <v>12</v>
      </c>
    </row>
    <row r="235" customFormat="false" ht="15.75" hidden="false" customHeight="true" outlineLevel="0" collapsed="false">
      <c r="A235" s="76" t="n">
        <v>109</v>
      </c>
      <c r="B235" s="77" t="s">
        <v>117</v>
      </c>
      <c r="C235" s="76" t="s">
        <v>149</v>
      </c>
      <c r="D235" s="76" t="n">
        <v>5</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Kosong</v>
      </c>
      <c r="F235" s="77" t="str">
        <f aca="false">IF($Q235="","",PROPER(INDEX('Reguler Class Availability'!$B:$B,$Q235)&amp;""))</f>
        <v/>
      </c>
      <c r="G235" s="76" t="n">
        <f aca="false">IF($Q235="","",IFERROR(--(INDEX('Reguler Class Availability'!$F:$F,$Q235)&amp;""),0))</f>
        <v>5</v>
      </c>
      <c r="H235" s="77" t="str">
        <f aca="false">IF($Q235="","",PROPER(INDEX('Reguler Class Availability'!$I:$I,$Q235)&amp;"")&amp;IF(INDEX('Reguler Class Availability'!$J:$J,$Q235)&amp;""="",""," + asst "&amp;PROPER(INDEX('Reguler Class Availability'!$J:$J,$Q235)&amp;"")))</f>
        <v/>
      </c>
      <c r="I235" s="77" t="s">
        <v>310</v>
      </c>
      <c r="J235" s="77" t="s">
        <v>188</v>
      </c>
      <c r="K235" s="78"/>
      <c r="L235" s="78"/>
      <c r="M235" s="78"/>
      <c r="N235" s="79"/>
      <c r="O235" s="78"/>
      <c r="Q235" s="30" t="n">
        <f aca="false">IFERROR(MATCH($B$4&amp;"|- Lane "&amp;D235&amp;" - "&amp;B235&amp;"|"&amp;C235,'Reguler Class Availability'!$L:$L,0),"")</f>
        <v>915</v>
      </c>
      <c r="BD235" s="30" t="s">
        <v>165</v>
      </c>
      <c r="BE235" s="30" t="n">
        <f aca="false">IF(COUNTIFS('Reguler Class Availability'!$L:$L,$B$4&amp;"|- Lane 4 - *|"&amp;BD235)&gt;0,1,0)</f>
        <v>0</v>
      </c>
      <c r="BF235" s="30" t="n">
        <f aca="false">BE235+BF234</f>
        <v>12</v>
      </c>
    </row>
    <row r="236" customFormat="false" ht="15.75" hidden="false" customHeight="true" outlineLevel="0" collapsed="false">
      <c r="A236" s="76" t="n">
        <v>110</v>
      </c>
      <c r="B236" s="77" t="s">
        <v>117</v>
      </c>
      <c r="C236" s="76" t="s">
        <v>152</v>
      </c>
      <c r="D236" s="76" t="n">
        <v>2</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Tiny</v>
      </c>
      <c r="G236" s="76" t="n">
        <f aca="false">IF($Q236="","",IFERROR(--(INDEX('Reguler Class Availability'!$F:$F,$Q236)&amp;""),0))</f>
        <v>5</v>
      </c>
      <c r="H236" s="77" t="str">
        <f aca="false">IF($Q236="","",PROPER(INDEX('Reguler Class Availability'!$I:$I,$Q236)&amp;"")&amp;IF(INDEX('Reguler Class Availability'!$J:$J,$Q236)&amp;""="",""," + asst "&amp;PROPER(INDEX('Reguler Class Availability'!$J:$J,$Q236)&amp;"")))</f>
        <v/>
      </c>
      <c r="I236" s="77" t="s">
        <v>308</v>
      </c>
      <c r="J236" s="77" t="s">
        <v>198</v>
      </c>
      <c r="K236" s="78"/>
      <c r="L236" s="78"/>
      <c r="M236" s="78"/>
      <c r="N236" s="79"/>
      <c r="O236" s="78"/>
      <c r="Q236" s="30" t="n">
        <f aca="false">IFERROR(MATCH($B$4&amp;"|- Lane "&amp;D236&amp;" - "&amp;B236&amp;"|"&amp;C236,'Reguler Class Availability'!$L:$L,0),"")</f>
        <v>664</v>
      </c>
      <c r="BD236" s="30" t="s">
        <v>166</v>
      </c>
      <c r="BE236" s="30" t="n">
        <f aca="false">IF(COUNTIFS('Reguler Class Availability'!$L:$L,$B$4&amp;"|- Lane 4 - *|"&amp;BD236)&gt;0,1,0)</f>
        <v>0</v>
      </c>
      <c r="BF236" s="30" t="n">
        <f aca="false">BE236+BF235</f>
        <v>12</v>
      </c>
    </row>
    <row r="237" customFormat="false" ht="15.75" hidden="false" customHeight="true" outlineLevel="0" collapsed="false">
      <c r="A237" s="76" t="n">
        <v>111</v>
      </c>
      <c r="B237" s="77" t="s">
        <v>117</v>
      </c>
      <c r="C237" s="76" t="s">
        <v>152</v>
      </c>
      <c r="D237" s="76" t="n">
        <v>5</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Kosong</v>
      </c>
      <c r="F237" s="77" t="str">
        <f aca="false">IF($Q237="","",PROPER(INDEX('Reguler Class Availability'!$B:$B,$Q237)&amp;""))</f>
        <v/>
      </c>
      <c r="G237" s="76" t="n">
        <f aca="false">IF($Q237="","",IFERROR(--(INDEX('Reguler Class Availability'!$F:$F,$Q237)&amp;""),0))</f>
        <v>5</v>
      </c>
      <c r="H237" s="77" t="str">
        <f aca="false">IF($Q237="","",PROPER(INDEX('Reguler Class Availability'!$I:$I,$Q237)&amp;"")&amp;IF(INDEX('Reguler Class Availability'!$J:$J,$Q237)&amp;""="",""," + asst "&amp;PROPER(INDEX('Reguler Class Availability'!$J:$J,$Q237)&amp;"")))</f>
        <v/>
      </c>
      <c r="I237" s="77" t="s">
        <v>308</v>
      </c>
      <c r="J237" s="77" t="s">
        <v>260</v>
      </c>
      <c r="K237" s="78"/>
      <c r="L237" s="78"/>
      <c r="M237" s="78"/>
      <c r="N237" s="79"/>
      <c r="O237" s="78"/>
      <c r="Q237" s="30" t="n">
        <f aca="false">IFERROR(MATCH($B$4&amp;"|- Lane "&amp;D237&amp;" - "&amp;B237&amp;"|"&amp;C237,'Reguler Class Availability'!$L:$L,0),"")</f>
        <v>916</v>
      </c>
      <c r="BD237" s="30" t="s">
        <v>167</v>
      </c>
      <c r="BE237" s="30" t="n">
        <f aca="false">IF(COUNTIFS('Reguler Class Availability'!$L:$L,$B$4&amp;"|- Lane 4 - *|"&amp;BD237)&gt;0,1,0)</f>
        <v>0</v>
      </c>
      <c r="BF237" s="30" t="n">
        <f aca="false">BE237+BF236</f>
        <v>12</v>
      </c>
    </row>
    <row r="238" customFormat="false" ht="15.75" hidden="false" customHeight="true" outlineLevel="0" collapsed="false">
      <c r="A238" s="76" t="n">
        <v>112</v>
      </c>
      <c r="B238" s="77" t="s">
        <v>117</v>
      </c>
      <c r="C238" s="76" t="s">
        <v>153</v>
      </c>
      <c r="D238" s="76" t="n">
        <v>3</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Little</v>
      </c>
      <c r="G238" s="76" t="n">
        <f aca="false">IF($Q238="","",IFERROR(--(INDEX('Reguler Class Availability'!$F:$F,$Q238)&amp;""),0))</f>
        <v>4</v>
      </c>
      <c r="H238" s="77" t="str">
        <f aca="false">IF($Q238="","",PROPER(INDEX('Reguler Class Availability'!$I:$I,$Q238)&amp;"")&amp;IF(INDEX('Reguler Class Availability'!$J:$J,$Q238)&amp;""="",""," + asst "&amp;PROPER(INDEX('Reguler Class Availability'!$J:$J,$Q238)&amp;"")))</f>
        <v/>
      </c>
      <c r="I238" s="77" t="s">
        <v>308</v>
      </c>
      <c r="J238" s="77" t="s">
        <v>260</v>
      </c>
      <c r="K238" s="78"/>
      <c r="L238" s="78"/>
      <c r="M238" s="78"/>
      <c r="N238" s="79"/>
      <c r="O238" s="78"/>
      <c r="Q238" s="30" t="n">
        <f aca="false">IFERROR(MATCH($B$4&amp;"|- Lane "&amp;D238&amp;" - "&amp;B238&amp;"|"&amp;C238,'Reguler Class Availability'!$L:$L,0),"")</f>
        <v>748</v>
      </c>
      <c r="BD238" s="30" t="s">
        <v>168</v>
      </c>
      <c r="BE238" s="30" t="n">
        <f aca="false">IF(COUNTIFS('Reguler Class Availability'!$L:$L,$B$4&amp;"|- Lane 4 - *|"&amp;BD238)&gt;0,1,0)</f>
        <v>0</v>
      </c>
      <c r="BF238" s="30" t="n">
        <f aca="false">BE238+BF237</f>
        <v>12</v>
      </c>
    </row>
    <row r="239" customFormat="false" ht="15.75" hidden="false" customHeight="true" outlineLevel="0" collapsed="false">
      <c r="A239" s="76" t="n">
        <v>113</v>
      </c>
      <c r="B239" s="77" t="s">
        <v>117</v>
      </c>
      <c r="C239" s="76" t="s">
        <v>155</v>
      </c>
      <c r="D239" s="76" t="n">
        <v>1</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Belum terisi</v>
      </c>
      <c r="F239" s="77" t="str">
        <f aca="false">IF($Q239="","",PROPER(INDEX('Reguler Class Availability'!$B:$B,$Q239)&amp;""))</f>
        <v>Baby</v>
      </c>
      <c r="G239" s="76" t="n">
        <f aca="false">IF($Q239="","",IFERROR(--(INDEX('Reguler Class Availability'!$F:$F,$Q239)&amp;""),0))</f>
        <v>5</v>
      </c>
      <c r="H239" s="77" t="str">
        <f aca="false">IF($Q239="","",PROPER(INDEX('Reguler Class Availability'!$I:$I,$Q239)&amp;"")&amp;IF(INDEX('Reguler Class Availability'!$J:$J,$Q239)&amp;""="",""," + asst "&amp;PROPER(INDEX('Reguler Class Availability'!$J:$J,$Q239)&amp;"")))</f>
        <v/>
      </c>
      <c r="I239" s="77" t="s">
        <v>308</v>
      </c>
      <c r="J239" s="77" t="s">
        <v>288</v>
      </c>
      <c r="K239" s="78"/>
      <c r="L239" s="78"/>
      <c r="M239" s="78"/>
      <c r="N239" s="79"/>
      <c r="O239" s="78"/>
      <c r="Q239" s="30" t="n">
        <f aca="false">IFERROR(MATCH($B$4&amp;"|- Lane "&amp;D239&amp;" - "&amp;B239&amp;"|"&amp;C239,'Reguler Class Availability'!$L:$L,0),"")</f>
        <v>567</v>
      </c>
      <c r="BD239" s="30" t="s">
        <v>169</v>
      </c>
      <c r="BE239" s="30" t="n">
        <f aca="false">IF(COUNTIFS('Reguler Class Availability'!$L:$L,$B$4&amp;"|- Lane 4 - *|"&amp;BD239)&gt;0,1,0)</f>
        <v>0</v>
      </c>
      <c r="BF239" s="30" t="n">
        <f aca="false">BE239+BF238</f>
        <v>12</v>
      </c>
    </row>
    <row r="240" customFormat="false" ht="15.75" hidden="false" customHeight="true" outlineLevel="0" collapsed="false">
      <c r="A240" s="76" t="n">
        <v>114</v>
      </c>
      <c r="B240" s="77" t="s">
        <v>117</v>
      </c>
      <c r="C240" s="76" t="s">
        <v>155</v>
      </c>
      <c r="D240" s="76" t="n">
        <v>5</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Kosong</v>
      </c>
      <c r="F240" s="77" t="str">
        <f aca="false">IF($Q240="","",PROPER(INDEX('Reguler Class Availability'!$B:$B,$Q240)&amp;""))</f>
        <v/>
      </c>
      <c r="G240" s="76" t="n">
        <f aca="false">IF($Q240="","",IFERROR(--(INDEX('Reguler Class Availability'!$F:$F,$Q240)&amp;""),0))</f>
        <v>5</v>
      </c>
      <c r="H240" s="77" t="str">
        <f aca="false">IF($Q240="","",PROPER(INDEX('Reguler Class Availability'!$I:$I,$Q240)&amp;"")&amp;IF(INDEX('Reguler Class Availability'!$J:$J,$Q240)&amp;""="",""," + asst "&amp;PROPER(INDEX('Reguler Class Availability'!$J:$J,$Q240)&amp;"")))</f>
        <v/>
      </c>
      <c r="I240" s="77" t="s">
        <v>308</v>
      </c>
      <c r="J240" s="77" t="s">
        <v>260</v>
      </c>
      <c r="K240" s="78"/>
      <c r="L240" s="78"/>
      <c r="M240" s="78"/>
      <c r="N240" s="79"/>
      <c r="O240" s="78"/>
      <c r="Q240" s="30" t="n">
        <f aca="false">IFERROR(MATCH($B$4&amp;"|- Lane "&amp;D240&amp;" - "&amp;B240&amp;"|"&amp;C240,'Reguler Class Availability'!$L:$L,0),"")</f>
        <v>917</v>
      </c>
      <c r="BD240" s="30" t="s">
        <v>170</v>
      </c>
      <c r="BE240" s="30" t="n">
        <f aca="false">IF(COUNTIFS('Reguler Class Availability'!$L:$L,$B$4&amp;"|- Lane 4 - *|"&amp;BD240)&gt;0,1,0)</f>
        <v>0</v>
      </c>
      <c r="BF240" s="30" t="n">
        <f aca="false">BE240+BF239</f>
        <v>12</v>
      </c>
    </row>
    <row r="241" customFormat="false" ht="40.5" hidden="false" customHeight="true" outlineLevel="0" collapsed="false">
      <c r="A241" s="76" t="n">
        <v>115</v>
      </c>
      <c r="B241" s="77" t="s">
        <v>117</v>
      </c>
      <c r="C241" s="76" t="s">
        <v>160</v>
      </c>
      <c r="D241" s="76" t="n">
        <v>1</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Belum terisi</v>
      </c>
      <c r="F241" s="77" t="str">
        <f aca="false">IF($Q241="","",PROPER(INDEX('Reguler Class Availability'!$B:$B,$Q241)&amp;""))</f>
        <v>Star</v>
      </c>
      <c r="G241" s="76" t="n">
        <f aca="false">IF($Q241="","",IFERROR(--(INDEX('Reguler Class Availability'!$F:$F,$Q241)&amp;""),0))</f>
        <v>8</v>
      </c>
      <c r="H241" s="77" t="str">
        <f aca="false">IF($Q241="","",PROPER(INDEX('Reguler Class Availability'!$I:$I,$Q241)&amp;"")&amp;IF(INDEX('Reguler Class Availability'!$J:$J,$Q241)&amp;""="",""," + asst "&amp;PROPER(INDEX('Reguler Class Availability'!$J:$J,$Q241)&amp;"")))</f>
        <v/>
      </c>
      <c r="I241" s="77" t="s">
        <v>305</v>
      </c>
      <c r="J241" s="77" t="s">
        <v>186</v>
      </c>
      <c r="K241" s="78"/>
      <c r="L241" s="78"/>
      <c r="M241" s="78"/>
      <c r="N241" s="79"/>
      <c r="O241" s="78"/>
      <c r="Q241" s="30" t="n">
        <f aca="false">IFERROR(MATCH($B$4&amp;"|- Lane "&amp;D241&amp;" - "&amp;B241&amp;"|"&amp;C241,'Reguler Class Availability'!$L:$L,0),"")</f>
        <v>614</v>
      </c>
      <c r="BD241" s="30" t="s">
        <v>171</v>
      </c>
      <c r="BE241" s="30" t="n">
        <f aca="false">IF(COUNTIFS('Reguler Class Availability'!$L:$L,$B$4&amp;"|- Lane 4 - *|"&amp;BD241)&gt;0,1,0)</f>
        <v>0</v>
      </c>
      <c r="BF241" s="30" t="n">
        <f aca="false">BE241+BF240</f>
        <v>12</v>
      </c>
    </row>
    <row r="242" customFormat="false" ht="65.25" hidden="false" customHeight="true" outlineLevel="0" collapsed="false">
      <c r="A242" s="76" t="n">
        <v>116</v>
      </c>
      <c r="B242" s="77" t="s">
        <v>118</v>
      </c>
      <c r="C242" s="76" t="s">
        <v>91</v>
      </c>
      <c r="D242" s="76" t="n">
        <v>1</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Belum terisi</v>
      </c>
      <c r="F242" s="77" t="str">
        <f aca="false">IF($Q242="","",PROPER(INDEX('Reguler Class Availability'!$B:$B,$Q242)&amp;""))</f>
        <v>Star</v>
      </c>
      <c r="G242" s="76" t="n">
        <f aca="false">IF($Q242="","",IFERROR(--(INDEX('Reguler Class Availability'!$F:$F,$Q242)&amp;""),0))</f>
        <v>8</v>
      </c>
      <c r="H242" s="77" t="str">
        <f aca="false">IF($Q242="","",PROPER(INDEX('Reguler Class Availability'!$I:$I,$Q242)&amp;"")&amp;IF(INDEX('Reguler Class Availability'!$J:$J,$Q242)&amp;""="",""," + asst "&amp;PROPER(INDEX('Reguler Class Availability'!$J:$J,$Q242)&amp;"")))</f>
        <v/>
      </c>
      <c r="I242" s="77" t="s">
        <v>311</v>
      </c>
      <c r="J242" s="77" t="s">
        <v>186</v>
      </c>
      <c r="K242" s="78"/>
      <c r="L242" s="78"/>
      <c r="M242" s="78"/>
      <c r="N242" s="79"/>
      <c r="O242" s="78"/>
      <c r="Q242" s="30" t="n">
        <f aca="false">IFERROR(MATCH($B$4&amp;"|- Lane "&amp;D242&amp;" - "&amp;B242&amp;"|"&amp;C242,'Reguler Class Availability'!$L:$L,0),"")</f>
        <v>608</v>
      </c>
      <c r="BD242" s="30" t="s">
        <v>78</v>
      </c>
      <c r="BE242" s="30" t="n">
        <f aca="false">IF(COUNTIFS('Reguler Class Availability'!$L:$L,$B$4&amp;"|- Lane 5 - *|"&amp;BD242)&gt;0,1,0)</f>
        <v>0</v>
      </c>
      <c r="BF242" s="30" t="n">
        <f aca="false">BE242</f>
        <v>0</v>
      </c>
    </row>
    <row r="243" customFormat="false" ht="52.5" hidden="false" customHeight="true" outlineLevel="0" collapsed="false">
      <c r="A243" s="76" t="n">
        <v>117</v>
      </c>
      <c r="B243" s="77" t="s">
        <v>118</v>
      </c>
      <c r="C243" s="76" t="s">
        <v>120</v>
      </c>
      <c r="D243" s="76" t="n">
        <v>2</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Tiny</v>
      </c>
      <c r="G243" s="76" t="n">
        <f aca="false">IF($Q243="","",IFERROR(--(INDEX('Reguler Class Availability'!$F:$F,$Q243)&amp;""),0))</f>
        <v>5</v>
      </c>
      <c r="H243" s="77" t="str">
        <f aca="false">IF($Q243="","",PROPER(INDEX('Reguler Class Availability'!$I:$I,$Q243)&amp;"")&amp;IF(INDEX('Reguler Class Availability'!$J:$J,$Q243)&amp;""="",""," + asst "&amp;PROPER(INDEX('Reguler Class Availability'!$J:$J,$Q243)&amp;"")))</f>
        <v/>
      </c>
      <c r="I243" s="77" t="s">
        <v>312</v>
      </c>
      <c r="J243" s="77" t="s">
        <v>186</v>
      </c>
      <c r="K243" s="78"/>
      <c r="L243" s="78"/>
      <c r="M243" s="78"/>
      <c r="N243" s="79"/>
      <c r="O243" s="78"/>
      <c r="Q243" s="30" t="n">
        <f aca="false">IFERROR(MATCH($B$4&amp;"|- Lane "&amp;D243&amp;" - "&amp;B243&amp;"|"&amp;C243,'Reguler Class Availability'!$L:$L,0),"")</f>
        <v>667</v>
      </c>
      <c r="BD243" s="30" t="s">
        <v>79</v>
      </c>
      <c r="BE243" s="30" t="n">
        <f aca="false">IF(COUNTIFS('Reguler Class Availability'!$L:$L,$B$4&amp;"|- Lane 5 - *|"&amp;BD243)&gt;0,1,0)</f>
        <v>0</v>
      </c>
      <c r="BF243" s="30" t="n">
        <f aca="false">BE243+BF242</f>
        <v>0</v>
      </c>
    </row>
    <row r="244" customFormat="false" ht="52.5" hidden="false" customHeight="true" outlineLevel="0" collapsed="false">
      <c r="A244" s="76" t="n">
        <v>118</v>
      </c>
      <c r="B244" s="77" t="s">
        <v>118</v>
      </c>
      <c r="C244" s="76" t="s">
        <v>120</v>
      </c>
      <c r="D244" s="76" t="n">
        <v>5</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Kosong</v>
      </c>
      <c r="F244" s="77" t="str">
        <f aca="false">IF($Q244="","",PROPER(INDEX('Reguler Class Availability'!$B:$B,$Q244)&amp;""))</f>
        <v/>
      </c>
      <c r="G244" s="76" t="n">
        <f aca="false">IF($Q244="","",IFERROR(--(INDEX('Reguler Class Availability'!$F:$F,$Q244)&amp;""),0))</f>
        <v>5</v>
      </c>
      <c r="H244" s="77" t="str">
        <f aca="false">IF($Q244="","",PROPER(INDEX('Reguler Class Availability'!$I:$I,$Q244)&amp;"")&amp;IF(INDEX('Reguler Class Availability'!$J:$J,$Q244)&amp;""="",""," + asst "&amp;PROPER(INDEX('Reguler Class Availability'!$J:$J,$Q244)&amp;"")))</f>
        <v/>
      </c>
      <c r="I244" s="77" t="s">
        <v>312</v>
      </c>
      <c r="J244" s="77" t="s">
        <v>186</v>
      </c>
      <c r="K244" s="78"/>
      <c r="L244" s="78"/>
      <c r="M244" s="78"/>
      <c r="N244" s="79"/>
      <c r="O244" s="78"/>
      <c r="Q244" s="30" t="n">
        <f aca="false">IFERROR(MATCH($B$4&amp;"|- Lane "&amp;D244&amp;" - "&amp;B244&amp;"|"&amp;C244,'Reguler Class Availability'!$L:$L,0),"")</f>
        <v>919</v>
      </c>
      <c r="BD244" s="30" t="s">
        <v>84</v>
      </c>
      <c r="BE244" s="30" t="n">
        <f aca="false">IF(COUNTIFS('Reguler Class Availability'!$L:$L,$B$4&amp;"|- Lane 5 - *|"&amp;BD244)&gt;0,1,0)</f>
        <v>0</v>
      </c>
      <c r="BF244" s="30" t="n">
        <f aca="false">BE244+BF243</f>
        <v>0</v>
      </c>
    </row>
    <row r="245" customFormat="false" ht="40.5" hidden="false" customHeight="true" outlineLevel="0" collapsed="false">
      <c r="A245" s="76" t="n">
        <v>119</v>
      </c>
      <c r="B245" s="77" t="s">
        <v>118</v>
      </c>
      <c r="C245" s="76" t="s">
        <v>121</v>
      </c>
      <c r="D245" s="76" t="n">
        <v>3</v>
      </c>
      <c r="E245" s="77" t="str">
        <f aca="false">IF($Q245="","Tidak ada di data",IF(AND(IFERROR(--(INDEX('Reguler Class Availability'!$F:$F,$Q245)&amp;""),0)=0,IFERROR(--(INDEX('Reguler Class Availability'!$G:$G,$Q245)&amp;""),0)=0),"Tutup",IF(IFERROR(--(INDEX('Reguler Class Availability'!$G:$G,$Q245)&amp;""),0)&gt;IFERROR(--(INDEX('Reguler Class Availability'!$F:$F,$Q245)&amp;""),0),"Lebih",IF(IFERROR(--(INDEX('Reguler Class Availability'!$G:$G,$Q245)&amp;""),0)=IFERROR(--(INDEX('Reguler Class Availability'!$F:$F,$Q245)&amp;""),0),"Penuh",IF(IFERROR(--(INDEX('Reguler Class Availability'!$G:$G,$Q245)&amp;""),0)=0,IF(INDEX('Reguler Class Availability'!$B:$B,$Q245)&amp;""="","Kosong","Belum terisi"),IF(IFERROR(--(INDEX('Reguler Class Availability'!$G:$G,$Q245)&amp;""),0)/IFERROR(--(INDEX('Reguler Class Availability'!$F:$F,$Q245)&amp;""),0)&gt;=0.6,"Tinggi","Sebagian"))))))</f>
        <v>Belum terisi</v>
      </c>
      <c r="F245" s="77" t="str">
        <f aca="false">IF($Q245="","",PROPER(INDEX('Reguler Class Availability'!$B:$B,$Q245)&amp;""))</f>
        <v>Little</v>
      </c>
      <c r="G245" s="76" t="n">
        <f aca="false">IF($Q245="","",IFERROR(--(INDEX('Reguler Class Availability'!$F:$F,$Q245)&amp;""),0))</f>
        <v>4</v>
      </c>
      <c r="H245" s="77" t="str">
        <f aca="false">IF($Q245="","",PROPER(INDEX('Reguler Class Availability'!$I:$I,$Q245)&amp;"")&amp;IF(INDEX('Reguler Class Availability'!$J:$J,$Q245)&amp;""="",""," + asst "&amp;PROPER(INDEX('Reguler Class Availability'!$J:$J,$Q245)&amp;"")))</f>
        <v/>
      </c>
      <c r="I245" s="77" t="s">
        <v>313</v>
      </c>
      <c r="J245" s="77" t="s">
        <v>186</v>
      </c>
      <c r="K245" s="78"/>
      <c r="L245" s="78"/>
      <c r="M245" s="78"/>
      <c r="N245" s="79"/>
      <c r="O245" s="78"/>
      <c r="Q245" s="30" t="n">
        <f aca="false">IFERROR(MATCH($B$4&amp;"|- Lane "&amp;D245&amp;" - "&amp;B245&amp;"|"&amp;C245,'Reguler Class Availability'!$L:$L,0),"")</f>
        <v>751</v>
      </c>
      <c r="BD245" s="30" t="s">
        <v>85</v>
      </c>
      <c r="BE245" s="30" t="n">
        <f aca="false">IF(COUNTIFS('Reguler Class Availability'!$L:$L,$B$4&amp;"|- Lane 5 - *|"&amp;BD245)&gt;0,1,0)</f>
        <v>0</v>
      </c>
      <c r="BF245" s="30" t="n">
        <f aca="false">BE245+BF244</f>
        <v>0</v>
      </c>
    </row>
    <row r="246" customFormat="false" ht="40.5" hidden="false" customHeight="true" outlineLevel="0" collapsed="false">
      <c r="A246" s="76" t="n">
        <v>120</v>
      </c>
      <c r="B246" s="77" t="s">
        <v>118</v>
      </c>
      <c r="C246" s="76" t="s">
        <v>121</v>
      </c>
      <c r="D246" s="76" t="n">
        <v>4</v>
      </c>
      <c r="E246" s="77" t="str">
        <f aca="false">IF($Q246="","Tidak ada di data",IF(AND(IFERROR(--(INDEX('Reguler Class Availability'!$F:$F,$Q246)&amp;""),0)=0,IFERROR(--(INDEX('Reguler Class Availability'!$G:$G,$Q246)&amp;""),0)=0),"Tutup",IF(IFERROR(--(INDEX('Reguler Class Availability'!$G:$G,$Q246)&amp;""),0)&gt;IFERROR(--(INDEX('Reguler Class Availability'!$F:$F,$Q246)&amp;""),0),"Lebih",IF(IFERROR(--(INDEX('Reguler Class Availability'!$G:$G,$Q246)&amp;""),0)=IFERROR(--(INDEX('Reguler Class Availability'!$F:$F,$Q246)&amp;""),0),"Penuh",IF(IFERROR(--(INDEX('Reguler Class Availability'!$G:$G,$Q246)&amp;""),0)=0,IF(INDEX('Reguler Class Availability'!$B:$B,$Q246)&amp;""="","Kosong","Belum terisi"),IF(IFERROR(--(INDEX('Reguler Class Availability'!$G:$G,$Q246)&amp;""),0)/IFERROR(--(INDEX('Reguler Class Availability'!$F:$F,$Q246)&amp;""),0)&gt;=0.6,"Tinggi","Sebagian"))))))</f>
        <v>Belum terisi</v>
      </c>
      <c r="F246" s="77" t="str">
        <f aca="false">IF($Q246="","",PROPER(INDEX('Reguler Class Availability'!$B:$B,$Q246)&amp;""))</f>
        <v>Kids</v>
      </c>
      <c r="G246" s="76" t="n">
        <f aca="false">IF($Q246="","",IFERROR(--(INDEX('Reguler Class Availability'!$F:$F,$Q246)&amp;""),0))</f>
        <v>4</v>
      </c>
      <c r="H246" s="77" t="str">
        <f aca="false">IF($Q246="","",PROPER(INDEX('Reguler Class Availability'!$I:$I,$Q246)&amp;"")&amp;IF(INDEX('Reguler Class Availability'!$J:$J,$Q246)&amp;""="",""," + asst "&amp;PROPER(INDEX('Reguler Class Availability'!$J:$J,$Q246)&amp;"")))</f>
        <v/>
      </c>
      <c r="I246" s="77" t="s">
        <v>313</v>
      </c>
      <c r="J246" s="77" t="s">
        <v>186</v>
      </c>
      <c r="K246" s="78"/>
      <c r="L246" s="78"/>
      <c r="M246" s="78"/>
      <c r="N246" s="79"/>
      <c r="O246" s="78"/>
      <c r="Q246" s="30" t="n">
        <f aca="false">IFERROR(MATCH($B$4&amp;"|- Lane "&amp;D246&amp;" - "&amp;B246&amp;"|"&amp;C246,'Reguler Class Availability'!$L:$L,0),"")</f>
        <v>835</v>
      </c>
      <c r="BD246" s="30" t="s">
        <v>89</v>
      </c>
      <c r="BE246" s="30" t="n">
        <f aca="false">IF(COUNTIFS('Reguler Class Availability'!$L:$L,$B$4&amp;"|- Lane 5 - *|"&amp;BD246)&gt;0,1,0)</f>
        <v>0</v>
      </c>
      <c r="BF246" s="30" t="n">
        <f aca="false">BE246+BF245</f>
        <v>0</v>
      </c>
    </row>
    <row r="247" customFormat="false" ht="40.5" hidden="false" customHeight="true" outlineLevel="0" collapsed="false">
      <c r="A247" s="76" t="n">
        <v>121</v>
      </c>
      <c r="B247" s="77" t="s">
        <v>118</v>
      </c>
      <c r="C247" s="76" t="s">
        <v>123</v>
      </c>
      <c r="D247" s="76" t="n">
        <v>1</v>
      </c>
      <c r="E247" s="77" t="str">
        <f aca="false">IF($Q247="","Tidak ada di data",IF(AND(IFERROR(--(INDEX('Reguler Class Availability'!$F:$F,$Q247)&amp;""),0)=0,IFERROR(--(INDEX('Reguler Class Availability'!$G:$G,$Q247)&amp;""),0)=0),"Tutup",IF(IFERROR(--(INDEX('Reguler Class Availability'!$G:$G,$Q247)&amp;""),0)&gt;IFERROR(--(INDEX('Reguler Class Availability'!$F:$F,$Q247)&amp;""),0),"Lebih",IF(IFERROR(--(INDEX('Reguler Class Availability'!$G:$G,$Q247)&amp;""),0)=IFERROR(--(INDEX('Reguler Class Availability'!$F:$F,$Q247)&amp;""),0),"Penuh",IF(IFERROR(--(INDEX('Reguler Class Availability'!$G:$G,$Q247)&amp;""),0)=0,IF(INDEX('Reguler Class Availability'!$B:$B,$Q247)&amp;""="","Kosong","Belum terisi"),IF(IFERROR(--(INDEX('Reguler Class Availability'!$G:$G,$Q247)&amp;""),0)/IFERROR(--(INDEX('Reguler Class Availability'!$F:$F,$Q247)&amp;""),0)&gt;=0.6,"Tinggi","Sebagian"))))))</f>
        <v>Belum terisi</v>
      </c>
      <c r="F247" s="77" t="str">
        <f aca="false">IF($Q247="","",PROPER(INDEX('Reguler Class Availability'!$B:$B,$Q247)&amp;""))</f>
        <v>Baby</v>
      </c>
      <c r="G247" s="76" t="n">
        <f aca="false">IF($Q247="","",IFERROR(--(INDEX('Reguler Class Availability'!$F:$F,$Q247)&amp;""),0))</f>
        <v>5</v>
      </c>
      <c r="H247" s="77" t="str">
        <f aca="false">IF($Q247="","",PROPER(INDEX('Reguler Class Availability'!$I:$I,$Q247)&amp;"")&amp;IF(INDEX('Reguler Class Availability'!$J:$J,$Q247)&amp;""="",""," + asst "&amp;PROPER(INDEX('Reguler Class Availability'!$J:$J,$Q247)&amp;"")))</f>
        <v/>
      </c>
      <c r="I247" s="77" t="s">
        <v>314</v>
      </c>
      <c r="J247" s="77" t="s">
        <v>186</v>
      </c>
      <c r="K247" s="78"/>
      <c r="L247" s="78"/>
      <c r="M247" s="78"/>
      <c r="N247" s="79"/>
      <c r="O247" s="78"/>
      <c r="Q247" s="30" t="n">
        <f aca="false">IFERROR(MATCH($B$4&amp;"|- Lane "&amp;D247&amp;" - "&amp;B247&amp;"|"&amp;C247,'Reguler Class Availability'!$L:$L,0),"")</f>
        <v>570</v>
      </c>
      <c r="BD247" s="30" t="s">
        <v>90</v>
      </c>
      <c r="BE247" s="30" t="n">
        <f aca="false">IF(COUNTIFS('Reguler Class Availability'!$L:$L,$B$4&amp;"|- Lane 5 - *|"&amp;BD247)&gt;0,1,0)</f>
        <v>0</v>
      </c>
      <c r="BF247" s="30" t="n">
        <f aca="false">BE247+BF246</f>
        <v>0</v>
      </c>
    </row>
    <row r="248" customFormat="false" ht="40.5" hidden="false" customHeight="true" outlineLevel="0" collapsed="false">
      <c r="A248" s="76" t="n">
        <v>122</v>
      </c>
      <c r="B248" s="77" t="s">
        <v>118</v>
      </c>
      <c r="C248" s="76" t="s">
        <v>123</v>
      </c>
      <c r="D248" s="76" t="n">
        <v>5</v>
      </c>
      <c r="E248" s="77" t="str">
        <f aca="false">IF($Q248="","Tidak ada di data",IF(AND(IFERROR(--(INDEX('Reguler Class Availability'!$F:$F,$Q248)&amp;""),0)=0,IFERROR(--(INDEX('Reguler Class Availability'!$G:$G,$Q248)&amp;""),0)=0),"Tutup",IF(IFERROR(--(INDEX('Reguler Class Availability'!$G:$G,$Q248)&amp;""),0)&gt;IFERROR(--(INDEX('Reguler Class Availability'!$F:$F,$Q248)&amp;""),0),"Lebih",IF(IFERROR(--(INDEX('Reguler Class Availability'!$G:$G,$Q248)&amp;""),0)=IFERROR(--(INDEX('Reguler Class Availability'!$F:$F,$Q248)&amp;""),0),"Penuh",IF(IFERROR(--(INDEX('Reguler Class Availability'!$G:$G,$Q248)&amp;""),0)=0,IF(INDEX('Reguler Class Availability'!$B:$B,$Q248)&amp;""="","Kosong","Belum terisi"),IF(IFERROR(--(INDEX('Reguler Class Availability'!$G:$G,$Q248)&amp;""),0)/IFERROR(--(INDEX('Reguler Class Availability'!$F:$F,$Q248)&amp;""),0)&gt;=0.6,"Tinggi","Sebagian"))))))</f>
        <v>Kosong</v>
      </c>
      <c r="F248" s="77" t="str">
        <f aca="false">IF($Q248="","",PROPER(INDEX('Reguler Class Availability'!$B:$B,$Q248)&amp;""))</f>
        <v/>
      </c>
      <c r="G248" s="76" t="n">
        <f aca="false">IF($Q248="","",IFERROR(--(INDEX('Reguler Class Availability'!$F:$F,$Q248)&amp;""),0))</f>
        <v>5</v>
      </c>
      <c r="H248" s="77" t="str">
        <f aca="false">IF($Q248="","",PROPER(INDEX('Reguler Class Availability'!$I:$I,$Q248)&amp;"")&amp;IF(INDEX('Reguler Class Availability'!$J:$J,$Q248)&amp;""="",""," + asst "&amp;PROPER(INDEX('Reguler Class Availability'!$J:$J,$Q248)&amp;"")))</f>
        <v/>
      </c>
      <c r="I248" s="77" t="s">
        <v>314</v>
      </c>
      <c r="J248" s="77" t="s">
        <v>186</v>
      </c>
      <c r="K248" s="78"/>
      <c r="L248" s="78"/>
      <c r="M248" s="78"/>
      <c r="N248" s="79"/>
      <c r="O248" s="78"/>
      <c r="Q248" s="30" t="n">
        <f aca="false">IFERROR(MATCH($B$4&amp;"|- Lane "&amp;D248&amp;" - "&amp;B248&amp;"|"&amp;C248,'Reguler Class Availability'!$L:$L,0),"")</f>
        <v>920</v>
      </c>
      <c r="BD248" s="30" t="s">
        <v>91</v>
      </c>
      <c r="BE248" s="30" t="n">
        <f aca="false">IF(COUNTIFS('Reguler Class Availability'!$L:$L,$B$4&amp;"|- Lane 5 - *|"&amp;BD248)&gt;0,1,0)</f>
        <v>0</v>
      </c>
      <c r="BF248" s="30" t="n">
        <f aca="false">BE248+BF247</f>
        <v>0</v>
      </c>
    </row>
    <row r="249" customFormat="false" ht="40.5" hidden="false" customHeight="true" outlineLevel="0" collapsed="false">
      <c r="A249" s="76" t="n">
        <v>123</v>
      </c>
      <c r="B249" s="77" t="s">
        <v>118</v>
      </c>
      <c r="C249" s="76" t="s">
        <v>126</v>
      </c>
      <c r="D249" s="76" t="n">
        <v>1</v>
      </c>
      <c r="E249" s="77" t="str">
        <f aca="false">IF($Q249="","Tidak ada di data",IF(AND(IFERROR(--(INDEX('Reguler Class Availability'!$F:$F,$Q249)&amp;""),0)=0,IFERROR(--(INDEX('Reguler Class Availability'!$G:$G,$Q249)&amp;""),0)=0),"Tutup",IF(IFERROR(--(INDEX('Reguler Class Availability'!$G:$G,$Q249)&amp;""),0)&gt;IFERROR(--(INDEX('Reguler Class Availability'!$F:$F,$Q249)&amp;""),0),"Lebih",IF(IFERROR(--(INDEX('Reguler Class Availability'!$G:$G,$Q249)&amp;""),0)=IFERROR(--(INDEX('Reguler Class Availability'!$F:$F,$Q249)&amp;""),0),"Penuh",IF(IFERROR(--(INDEX('Reguler Class Availability'!$G:$G,$Q249)&amp;""),0)=0,IF(INDEX('Reguler Class Availability'!$B:$B,$Q249)&amp;""="","Kosong","Belum terisi"),IF(IFERROR(--(INDEX('Reguler Class Availability'!$G:$G,$Q249)&amp;""),0)/IFERROR(--(INDEX('Reguler Class Availability'!$F:$F,$Q249)&amp;""),0)&gt;=0.6,"Tinggi","Sebagian"))))))</f>
        <v>Belum terisi</v>
      </c>
      <c r="F249" s="77" t="str">
        <f aca="false">IF($Q249="","",PROPER(INDEX('Reguler Class Availability'!$B:$B,$Q249)&amp;""))</f>
        <v>Baby</v>
      </c>
      <c r="G249" s="76" t="n">
        <f aca="false">IF($Q249="","",IFERROR(--(INDEX('Reguler Class Availability'!$F:$F,$Q249)&amp;""),0))</f>
        <v>5</v>
      </c>
      <c r="H249" s="77" t="str">
        <f aca="false">IF($Q249="","",PROPER(INDEX('Reguler Class Availability'!$I:$I,$Q249)&amp;"")&amp;IF(INDEX('Reguler Class Availability'!$J:$J,$Q249)&amp;""="",""," + asst "&amp;PROPER(INDEX('Reguler Class Availability'!$J:$J,$Q249)&amp;"")))</f>
        <v/>
      </c>
      <c r="I249" s="77" t="s">
        <v>314</v>
      </c>
      <c r="J249" s="77" t="s">
        <v>186</v>
      </c>
      <c r="K249" s="78"/>
      <c r="L249" s="78"/>
      <c r="M249" s="78"/>
      <c r="N249" s="79"/>
      <c r="O249" s="78"/>
      <c r="Q249" s="30" t="n">
        <f aca="false">IFERROR(MATCH($B$4&amp;"|- Lane "&amp;D249&amp;" - "&amp;B249&amp;"|"&amp;C249,'Reguler Class Availability'!$L:$L,0),"")</f>
        <v>571</v>
      </c>
      <c r="BD249" s="30" t="s">
        <v>98</v>
      </c>
      <c r="BE249" s="30" t="n">
        <f aca="false">IF(COUNTIFS('Reguler Class Availability'!$L:$L,$B$4&amp;"|- Lane 5 - *|"&amp;BD249)&gt;0,1,0)</f>
        <v>0</v>
      </c>
      <c r="BF249" s="30" t="n">
        <f aca="false">BE249+BF248</f>
        <v>0</v>
      </c>
    </row>
    <row r="250" customFormat="false" ht="40.5" hidden="false" customHeight="true" outlineLevel="0" collapsed="false">
      <c r="A250" s="76" t="n">
        <v>124</v>
      </c>
      <c r="B250" s="77" t="s">
        <v>118</v>
      </c>
      <c r="C250" s="76" t="s">
        <v>126</v>
      </c>
      <c r="D250" s="76" t="n">
        <v>5</v>
      </c>
      <c r="E250" s="77" t="str">
        <f aca="false">IF($Q250="","Tidak ada di data",IF(AND(IFERROR(--(INDEX('Reguler Class Availability'!$F:$F,$Q250)&amp;""),0)=0,IFERROR(--(INDEX('Reguler Class Availability'!$G:$G,$Q250)&amp;""),0)=0),"Tutup",IF(IFERROR(--(INDEX('Reguler Class Availability'!$G:$G,$Q250)&amp;""),0)&gt;IFERROR(--(INDEX('Reguler Class Availability'!$F:$F,$Q250)&amp;""),0),"Lebih",IF(IFERROR(--(INDEX('Reguler Class Availability'!$G:$G,$Q250)&amp;""),0)=IFERROR(--(INDEX('Reguler Class Availability'!$F:$F,$Q250)&amp;""),0),"Penuh",IF(IFERROR(--(INDEX('Reguler Class Availability'!$G:$G,$Q250)&amp;""),0)=0,IF(INDEX('Reguler Class Availability'!$B:$B,$Q250)&amp;""="","Kosong","Belum terisi"),IF(IFERROR(--(INDEX('Reguler Class Availability'!$G:$G,$Q250)&amp;""),0)/IFERROR(--(INDEX('Reguler Class Availability'!$F:$F,$Q250)&amp;""),0)&gt;=0.6,"Tinggi","Sebagian"))))))</f>
        <v>Kosong</v>
      </c>
      <c r="F250" s="77" t="str">
        <f aca="false">IF($Q250="","",PROPER(INDEX('Reguler Class Availability'!$B:$B,$Q250)&amp;""))</f>
        <v/>
      </c>
      <c r="G250" s="76" t="n">
        <f aca="false">IF($Q250="","",IFERROR(--(INDEX('Reguler Class Availability'!$F:$F,$Q250)&amp;""),0))</f>
        <v>5</v>
      </c>
      <c r="H250" s="77" t="str">
        <f aca="false">IF($Q250="","",PROPER(INDEX('Reguler Class Availability'!$I:$I,$Q250)&amp;"")&amp;IF(INDEX('Reguler Class Availability'!$J:$J,$Q250)&amp;""="",""," + asst "&amp;PROPER(INDEX('Reguler Class Availability'!$J:$J,$Q250)&amp;"")))</f>
        <v/>
      </c>
      <c r="I250" s="77" t="s">
        <v>314</v>
      </c>
      <c r="J250" s="77" t="s">
        <v>186</v>
      </c>
      <c r="K250" s="78"/>
      <c r="L250" s="78"/>
      <c r="M250" s="78"/>
      <c r="N250" s="79"/>
      <c r="O250" s="78"/>
      <c r="Q250" s="30" t="n">
        <f aca="false">IFERROR(MATCH($B$4&amp;"|- Lane "&amp;D250&amp;" - "&amp;B250&amp;"|"&amp;C250,'Reguler Class Availability'!$L:$L,0),"")</f>
        <v>921</v>
      </c>
      <c r="BD250" s="30" t="s">
        <v>105</v>
      </c>
      <c r="BE250" s="30" t="n">
        <f aca="false">IF(COUNTIFS('Reguler Class Availability'!$L:$L,$B$4&amp;"|- Lane 5 - *|"&amp;BD250)&gt;0,1,0)</f>
        <v>1</v>
      </c>
      <c r="BF250" s="30" t="n">
        <f aca="false">BE250+BF249</f>
        <v>1</v>
      </c>
    </row>
    <row r="251" customFormat="false" ht="40.5" hidden="false" customHeight="true" outlineLevel="0" collapsed="false">
      <c r="A251" s="76" t="n">
        <v>125</v>
      </c>
      <c r="B251" s="77" t="s">
        <v>118</v>
      </c>
      <c r="C251" s="76" t="s">
        <v>127</v>
      </c>
      <c r="D251" s="76" t="n">
        <v>3</v>
      </c>
      <c r="E251" s="77" t="str">
        <f aca="false">IF($Q251="","Tidak ada di data",IF(AND(IFERROR(--(INDEX('Reguler Class Availability'!$F:$F,$Q251)&amp;""),0)=0,IFERROR(--(INDEX('Reguler Class Availability'!$G:$G,$Q251)&amp;""),0)=0),"Tutup",IF(IFERROR(--(INDEX('Reguler Class Availability'!$G:$G,$Q251)&amp;""),0)&gt;IFERROR(--(INDEX('Reguler Class Availability'!$F:$F,$Q251)&amp;""),0),"Lebih",IF(IFERROR(--(INDEX('Reguler Class Availability'!$G:$G,$Q251)&amp;""),0)=IFERROR(--(INDEX('Reguler Class Availability'!$F:$F,$Q251)&amp;""),0),"Penuh",IF(IFERROR(--(INDEX('Reguler Class Availability'!$G:$G,$Q251)&amp;""),0)=0,IF(INDEX('Reguler Class Availability'!$B:$B,$Q251)&amp;""="","Kosong","Belum terisi"),IF(IFERROR(--(INDEX('Reguler Class Availability'!$G:$G,$Q251)&amp;""),0)/IFERROR(--(INDEX('Reguler Class Availability'!$F:$F,$Q251)&amp;""),0)&gt;=0.6,"Tinggi","Sebagian"))))))</f>
        <v>Belum terisi</v>
      </c>
      <c r="F251" s="77" t="str">
        <f aca="false">IF($Q251="","",PROPER(INDEX('Reguler Class Availability'!$B:$B,$Q251)&amp;""))</f>
        <v>Little</v>
      </c>
      <c r="G251" s="76" t="n">
        <f aca="false">IF($Q251="","",IFERROR(--(INDEX('Reguler Class Availability'!$F:$F,$Q251)&amp;""),0))</f>
        <v>4</v>
      </c>
      <c r="H251" s="77" t="str">
        <f aca="false">IF($Q251="","",PROPER(INDEX('Reguler Class Availability'!$I:$I,$Q251)&amp;"")&amp;IF(INDEX('Reguler Class Availability'!$J:$J,$Q251)&amp;""="",""," + asst "&amp;PROPER(INDEX('Reguler Class Availability'!$J:$J,$Q251)&amp;"")))</f>
        <v/>
      </c>
      <c r="I251" s="77" t="s">
        <v>315</v>
      </c>
      <c r="J251" s="77" t="s">
        <v>186</v>
      </c>
      <c r="K251" s="78"/>
      <c r="L251" s="78"/>
      <c r="M251" s="78"/>
      <c r="N251" s="79"/>
      <c r="O251" s="78"/>
      <c r="Q251" s="30" t="n">
        <f aca="false">IFERROR(MATCH($B$4&amp;"|- Lane "&amp;D251&amp;" - "&amp;B251&amp;"|"&amp;C251,'Reguler Class Availability'!$L:$L,0),"")</f>
        <v>753</v>
      </c>
      <c r="BD251" s="30" t="s">
        <v>110</v>
      </c>
      <c r="BE251" s="30" t="n">
        <f aca="false">IF(COUNTIFS('Reguler Class Availability'!$L:$L,$B$4&amp;"|- Lane 5 - *|"&amp;BD251)&gt;0,1,0)</f>
        <v>0</v>
      </c>
      <c r="BF251" s="30" t="n">
        <f aca="false">BE251+BF250</f>
        <v>1</v>
      </c>
    </row>
    <row r="252" customFormat="false" ht="40.5" hidden="false" customHeight="true" outlineLevel="0" collapsed="false">
      <c r="A252" s="76" t="n">
        <v>126</v>
      </c>
      <c r="B252" s="77" t="s">
        <v>118</v>
      </c>
      <c r="C252" s="76" t="s">
        <v>127</v>
      </c>
      <c r="D252" s="76" t="n">
        <v>4</v>
      </c>
      <c r="E252" s="77" t="str">
        <f aca="false">IF($Q252="","Tidak ada di data",IF(AND(IFERROR(--(INDEX('Reguler Class Availability'!$F:$F,$Q252)&amp;""),0)=0,IFERROR(--(INDEX('Reguler Class Availability'!$G:$G,$Q252)&amp;""),0)=0),"Tutup",IF(IFERROR(--(INDEX('Reguler Class Availability'!$G:$G,$Q252)&amp;""),0)&gt;IFERROR(--(INDEX('Reguler Class Availability'!$F:$F,$Q252)&amp;""),0),"Lebih",IF(IFERROR(--(INDEX('Reguler Class Availability'!$G:$G,$Q252)&amp;""),0)=IFERROR(--(INDEX('Reguler Class Availability'!$F:$F,$Q252)&amp;""),0),"Penuh",IF(IFERROR(--(INDEX('Reguler Class Availability'!$G:$G,$Q252)&amp;""),0)=0,IF(INDEX('Reguler Class Availability'!$B:$B,$Q252)&amp;""="","Kosong","Belum terisi"),IF(IFERROR(--(INDEX('Reguler Class Availability'!$G:$G,$Q252)&amp;""),0)/IFERROR(--(INDEX('Reguler Class Availability'!$F:$F,$Q252)&amp;""),0)&gt;=0.6,"Tinggi","Sebagian"))))))</f>
        <v>Belum terisi</v>
      </c>
      <c r="F252" s="77" t="str">
        <f aca="false">IF($Q252="","",PROPER(INDEX('Reguler Class Availability'!$B:$B,$Q252)&amp;""))</f>
        <v>Kids</v>
      </c>
      <c r="G252" s="76" t="n">
        <f aca="false">IF($Q252="","",IFERROR(--(INDEX('Reguler Class Availability'!$F:$F,$Q252)&amp;""),0))</f>
        <v>4</v>
      </c>
      <c r="H252" s="77" t="str">
        <f aca="false">IF($Q252="","",PROPER(INDEX('Reguler Class Availability'!$I:$I,$Q252)&amp;"")&amp;IF(INDEX('Reguler Class Availability'!$J:$J,$Q252)&amp;""="",""," + asst "&amp;PROPER(INDEX('Reguler Class Availability'!$J:$J,$Q252)&amp;"")))</f>
        <v/>
      </c>
      <c r="I252" s="77" t="s">
        <v>315</v>
      </c>
      <c r="J252" s="77" t="s">
        <v>186</v>
      </c>
      <c r="K252" s="78"/>
      <c r="L252" s="78"/>
      <c r="M252" s="78"/>
      <c r="N252" s="79"/>
      <c r="O252" s="78"/>
      <c r="Q252" s="30" t="n">
        <f aca="false">IFERROR(MATCH($B$4&amp;"|- Lane "&amp;D252&amp;" - "&amp;B252&amp;"|"&amp;C252,'Reguler Class Availability'!$L:$L,0),"")</f>
        <v>837</v>
      </c>
      <c r="BD252" s="30" t="s">
        <v>112</v>
      </c>
      <c r="BE252" s="30" t="n">
        <f aca="false">IF(COUNTIFS('Reguler Class Availability'!$L:$L,$B$4&amp;"|- Lane 5 - *|"&amp;BD252)&gt;0,1,0)</f>
        <v>0</v>
      </c>
      <c r="BF252" s="30" t="n">
        <f aca="false">BE252+BF251</f>
        <v>1</v>
      </c>
    </row>
    <row r="253" customFormat="false" ht="52.5" hidden="false" customHeight="true" outlineLevel="0" collapsed="false">
      <c r="A253" s="76" t="n">
        <v>127</v>
      </c>
      <c r="B253" s="77" t="s">
        <v>118</v>
      </c>
      <c r="C253" s="76" t="s">
        <v>129</v>
      </c>
      <c r="D253" s="76" t="n">
        <v>1</v>
      </c>
      <c r="E253" s="77" t="str">
        <f aca="false">IF($Q253="","Tidak ada di data",IF(AND(IFERROR(--(INDEX('Reguler Class Availability'!$F:$F,$Q253)&amp;""),0)=0,IFERROR(--(INDEX('Reguler Class Availability'!$G:$G,$Q253)&amp;""),0)=0),"Tutup",IF(IFERROR(--(INDEX('Reguler Class Availability'!$G:$G,$Q253)&amp;""),0)&gt;IFERROR(--(INDEX('Reguler Class Availability'!$F:$F,$Q253)&amp;""),0),"Lebih",IF(IFERROR(--(INDEX('Reguler Class Availability'!$G:$G,$Q253)&amp;""),0)=IFERROR(--(INDEX('Reguler Class Availability'!$F:$F,$Q253)&amp;""),0),"Penuh",IF(IFERROR(--(INDEX('Reguler Class Availability'!$G:$G,$Q253)&amp;""),0)=0,IF(INDEX('Reguler Class Availability'!$B:$B,$Q253)&amp;""="","Kosong","Belum terisi"),IF(IFERROR(--(INDEX('Reguler Class Availability'!$G:$G,$Q253)&amp;""),0)/IFERROR(--(INDEX('Reguler Class Availability'!$F:$F,$Q253)&amp;""),0)&gt;=0.6,"Tinggi","Sebagian"))))))</f>
        <v>Belum terisi</v>
      </c>
      <c r="F253" s="77" t="str">
        <f aca="false">IF($Q253="","",PROPER(INDEX('Reguler Class Availability'!$B:$B,$Q253)&amp;""))</f>
        <v>Baby</v>
      </c>
      <c r="G253" s="76" t="n">
        <f aca="false">IF($Q253="","",IFERROR(--(INDEX('Reguler Class Availability'!$F:$F,$Q253)&amp;""),0))</f>
        <v>5</v>
      </c>
      <c r="H253" s="77" t="str">
        <f aca="false">IF($Q253="","",PROPER(INDEX('Reguler Class Availability'!$I:$I,$Q253)&amp;"")&amp;IF(INDEX('Reguler Class Availability'!$J:$J,$Q253)&amp;""="",""," + asst "&amp;PROPER(INDEX('Reguler Class Availability'!$J:$J,$Q253)&amp;"")))</f>
        <v/>
      </c>
      <c r="I253" s="77" t="s">
        <v>316</v>
      </c>
      <c r="J253" s="77" t="s">
        <v>186</v>
      </c>
      <c r="K253" s="78"/>
      <c r="L253" s="78"/>
      <c r="M253" s="78"/>
      <c r="N253" s="79"/>
      <c r="O253" s="78"/>
      <c r="Q253" s="30" t="n">
        <f aca="false">IFERROR(MATCH($B$4&amp;"|- Lane "&amp;D253&amp;" - "&amp;B253&amp;"|"&amp;C253,'Reguler Class Availability'!$L:$L,0),"")</f>
        <v>572</v>
      </c>
      <c r="BD253" s="30" t="s">
        <v>120</v>
      </c>
      <c r="BE253" s="30" t="n">
        <f aca="false">IF(COUNTIFS('Reguler Class Availability'!$L:$L,$B$4&amp;"|- Lane 5 - *|"&amp;BD253)&gt;0,1,0)</f>
        <v>1</v>
      </c>
      <c r="BF253" s="30" t="n">
        <f aca="false">BE253+BF252</f>
        <v>2</v>
      </c>
    </row>
    <row r="254" customFormat="false" ht="52.5" hidden="false" customHeight="true" outlineLevel="0" collapsed="false">
      <c r="A254" s="76" t="n">
        <v>128</v>
      </c>
      <c r="B254" s="77" t="s">
        <v>118</v>
      </c>
      <c r="C254" s="76" t="s">
        <v>129</v>
      </c>
      <c r="D254" s="76" t="n">
        <v>5</v>
      </c>
      <c r="E254" s="77" t="str">
        <f aca="false">IF($Q254="","Tidak ada di data",IF(AND(IFERROR(--(INDEX('Reguler Class Availability'!$F:$F,$Q254)&amp;""),0)=0,IFERROR(--(INDEX('Reguler Class Availability'!$G:$G,$Q254)&amp;""),0)=0),"Tutup",IF(IFERROR(--(INDEX('Reguler Class Availability'!$G:$G,$Q254)&amp;""),0)&gt;IFERROR(--(INDEX('Reguler Class Availability'!$F:$F,$Q254)&amp;""),0),"Lebih",IF(IFERROR(--(INDEX('Reguler Class Availability'!$G:$G,$Q254)&amp;""),0)=IFERROR(--(INDEX('Reguler Class Availability'!$F:$F,$Q254)&amp;""),0),"Penuh",IF(IFERROR(--(INDEX('Reguler Class Availability'!$G:$G,$Q254)&amp;""),0)=0,IF(INDEX('Reguler Class Availability'!$B:$B,$Q254)&amp;""="","Kosong","Belum terisi"),IF(IFERROR(--(INDEX('Reguler Class Availability'!$G:$G,$Q254)&amp;""),0)/IFERROR(--(INDEX('Reguler Class Availability'!$F:$F,$Q254)&amp;""),0)&gt;=0.6,"Tinggi","Sebagian"))))))</f>
        <v>Kosong</v>
      </c>
      <c r="F254" s="77" t="str">
        <f aca="false">IF($Q254="","",PROPER(INDEX('Reguler Class Availability'!$B:$B,$Q254)&amp;""))</f>
        <v/>
      </c>
      <c r="G254" s="76" t="n">
        <f aca="false">IF($Q254="","",IFERROR(--(INDEX('Reguler Class Availability'!$F:$F,$Q254)&amp;""),0))</f>
        <v>5</v>
      </c>
      <c r="H254" s="77" t="str">
        <f aca="false">IF($Q254="","",PROPER(INDEX('Reguler Class Availability'!$I:$I,$Q254)&amp;"")&amp;IF(INDEX('Reguler Class Availability'!$J:$J,$Q254)&amp;""="",""," + asst "&amp;PROPER(INDEX('Reguler Class Availability'!$J:$J,$Q254)&amp;"")))</f>
        <v/>
      </c>
      <c r="I254" s="77" t="s">
        <v>316</v>
      </c>
      <c r="J254" s="77" t="s">
        <v>186</v>
      </c>
      <c r="K254" s="78"/>
      <c r="L254" s="78"/>
      <c r="M254" s="78"/>
      <c r="N254" s="79"/>
      <c r="O254" s="78"/>
      <c r="Q254" s="30" t="n">
        <f aca="false">IFERROR(MATCH($B$4&amp;"|- Lane "&amp;D254&amp;" - "&amp;B254&amp;"|"&amp;C254,'Reguler Class Availability'!$L:$L,0),"")</f>
        <v>922</v>
      </c>
      <c r="BD254" s="30" t="s">
        <v>121</v>
      </c>
      <c r="BE254" s="30" t="n">
        <f aca="false">IF(COUNTIFS('Reguler Class Availability'!$L:$L,$B$4&amp;"|- Lane 5 - *|"&amp;BD254)&gt;0,1,0)</f>
        <v>0</v>
      </c>
      <c r="BF254" s="30" t="n">
        <f aca="false">BE254+BF253</f>
        <v>2</v>
      </c>
    </row>
    <row r="255" customFormat="false" ht="52.5" hidden="false" customHeight="true" outlineLevel="0" collapsed="false">
      <c r="A255" s="76" t="n">
        <v>129</v>
      </c>
      <c r="B255" s="77" t="s">
        <v>118</v>
      </c>
      <c r="C255" s="76" t="s">
        <v>130</v>
      </c>
      <c r="D255" s="76" t="n">
        <v>3</v>
      </c>
      <c r="E255" s="77" t="str">
        <f aca="false">IF($Q255="","Tidak ada di data",IF(AND(IFERROR(--(INDEX('Reguler Class Availability'!$F:$F,$Q255)&amp;""),0)=0,IFERROR(--(INDEX('Reguler Class Availability'!$G:$G,$Q255)&amp;""),0)=0),"Tutup",IF(IFERROR(--(INDEX('Reguler Class Availability'!$G:$G,$Q255)&amp;""),0)&gt;IFERROR(--(INDEX('Reguler Class Availability'!$F:$F,$Q255)&amp;""),0),"Lebih",IF(IFERROR(--(INDEX('Reguler Class Availability'!$G:$G,$Q255)&amp;""),0)=IFERROR(--(INDEX('Reguler Class Availability'!$F:$F,$Q255)&amp;""),0),"Penuh",IF(IFERROR(--(INDEX('Reguler Class Availability'!$G:$G,$Q255)&amp;""),0)=0,IF(INDEX('Reguler Class Availability'!$B:$B,$Q255)&amp;""="","Kosong","Belum terisi"),IF(IFERROR(--(INDEX('Reguler Class Availability'!$G:$G,$Q255)&amp;""),0)/IFERROR(--(INDEX('Reguler Class Availability'!$F:$F,$Q255)&amp;""),0)&gt;=0.6,"Tinggi","Sebagian"))))))</f>
        <v>Belum terisi</v>
      </c>
      <c r="F255" s="77" t="str">
        <f aca="false">IF($Q255="","",PROPER(INDEX('Reguler Class Availability'!$B:$B,$Q255)&amp;""))</f>
        <v>Little</v>
      </c>
      <c r="G255" s="76" t="n">
        <f aca="false">IF($Q255="","",IFERROR(--(INDEX('Reguler Class Availability'!$F:$F,$Q255)&amp;""),0))</f>
        <v>4</v>
      </c>
      <c r="H255" s="77" t="str">
        <f aca="false">IF($Q255="","",PROPER(INDEX('Reguler Class Availability'!$I:$I,$Q255)&amp;"")&amp;IF(INDEX('Reguler Class Availability'!$J:$J,$Q255)&amp;""="",""," + asst "&amp;PROPER(INDEX('Reguler Class Availability'!$J:$J,$Q255)&amp;"")))</f>
        <v/>
      </c>
      <c r="I255" s="77" t="s">
        <v>316</v>
      </c>
      <c r="J255" s="77" t="s">
        <v>186</v>
      </c>
      <c r="K255" s="78"/>
      <c r="L255" s="78"/>
      <c r="M255" s="78"/>
      <c r="N255" s="79"/>
      <c r="O255" s="78"/>
      <c r="Q255" s="30" t="n">
        <f aca="false">IFERROR(MATCH($B$4&amp;"|- Lane "&amp;D255&amp;" - "&amp;B255&amp;"|"&amp;C255,'Reguler Class Availability'!$L:$L,0),"")</f>
        <v>754</v>
      </c>
      <c r="BD255" s="30" t="s">
        <v>122</v>
      </c>
      <c r="BE255" s="30" t="n">
        <f aca="false">IF(COUNTIFS('Reguler Class Availability'!$L:$L,$B$4&amp;"|- Lane 5 - *|"&amp;BD255)&gt;0,1,0)</f>
        <v>0</v>
      </c>
      <c r="BF255" s="30" t="n">
        <f aca="false">BE255+BF254</f>
        <v>2</v>
      </c>
    </row>
    <row r="256" customFormat="false" ht="52.5" hidden="false" customHeight="true" outlineLevel="0" collapsed="false">
      <c r="A256" s="76" t="n">
        <v>130</v>
      </c>
      <c r="B256" s="77" t="s">
        <v>118</v>
      </c>
      <c r="C256" s="76" t="s">
        <v>130</v>
      </c>
      <c r="D256" s="76" t="n">
        <v>4</v>
      </c>
      <c r="E256" s="77" t="str">
        <f aca="false">IF($Q256="","Tidak ada di data",IF(AND(IFERROR(--(INDEX('Reguler Class Availability'!$F:$F,$Q256)&amp;""),0)=0,IFERROR(--(INDEX('Reguler Class Availability'!$G:$G,$Q256)&amp;""),0)=0),"Tutup",IF(IFERROR(--(INDEX('Reguler Class Availability'!$G:$G,$Q256)&amp;""),0)&gt;IFERROR(--(INDEX('Reguler Class Availability'!$F:$F,$Q256)&amp;""),0),"Lebih",IF(IFERROR(--(INDEX('Reguler Class Availability'!$G:$G,$Q256)&amp;""),0)=IFERROR(--(INDEX('Reguler Class Availability'!$F:$F,$Q256)&amp;""),0),"Penuh",IF(IFERROR(--(INDEX('Reguler Class Availability'!$G:$G,$Q256)&amp;""),0)=0,IF(INDEX('Reguler Class Availability'!$B:$B,$Q256)&amp;""="","Kosong","Belum terisi"),IF(IFERROR(--(INDEX('Reguler Class Availability'!$G:$G,$Q256)&amp;""),0)/IFERROR(--(INDEX('Reguler Class Availability'!$F:$F,$Q256)&amp;""),0)&gt;=0.6,"Tinggi","Sebagian"))))))</f>
        <v>Belum terisi</v>
      </c>
      <c r="F256" s="77" t="str">
        <f aca="false">IF($Q256="","",PROPER(INDEX('Reguler Class Availability'!$B:$B,$Q256)&amp;""))</f>
        <v>Kids</v>
      </c>
      <c r="G256" s="76" t="n">
        <f aca="false">IF($Q256="","",IFERROR(--(INDEX('Reguler Class Availability'!$F:$F,$Q256)&amp;""),0))</f>
        <v>4</v>
      </c>
      <c r="H256" s="77" t="str">
        <f aca="false">IF($Q256="","",PROPER(INDEX('Reguler Class Availability'!$I:$I,$Q256)&amp;"")&amp;IF(INDEX('Reguler Class Availability'!$J:$J,$Q256)&amp;""="",""," + asst "&amp;PROPER(INDEX('Reguler Class Availability'!$J:$J,$Q256)&amp;"")))</f>
        <v/>
      </c>
      <c r="I256" s="77" t="s">
        <v>316</v>
      </c>
      <c r="J256" s="77" t="s">
        <v>186</v>
      </c>
      <c r="K256" s="78"/>
      <c r="L256" s="78"/>
      <c r="M256" s="78"/>
      <c r="N256" s="79"/>
      <c r="O256" s="78"/>
      <c r="Q256" s="30" t="n">
        <f aca="false">IFERROR(MATCH($B$4&amp;"|- Lane "&amp;D256&amp;" - "&amp;B256&amp;"|"&amp;C256,'Reguler Class Availability'!$L:$L,0),"")</f>
        <v>838</v>
      </c>
      <c r="BD256" s="30" t="s">
        <v>123</v>
      </c>
      <c r="BE256" s="30" t="n">
        <f aca="false">IF(COUNTIFS('Reguler Class Availability'!$L:$L,$B$4&amp;"|- Lane 5 - *|"&amp;BD256)&gt;0,1,0)</f>
        <v>1</v>
      </c>
      <c r="BF256" s="30" t="n">
        <f aca="false">BE256+BF255</f>
        <v>3</v>
      </c>
    </row>
    <row r="257" customFormat="false" ht="27.75" hidden="false" customHeight="true" outlineLevel="0" collapsed="false">
      <c r="A257" s="76" t="n">
        <v>131</v>
      </c>
      <c r="B257" s="77" t="s">
        <v>118</v>
      </c>
      <c r="C257" s="76" t="s">
        <v>139</v>
      </c>
      <c r="D257" s="76" t="n">
        <v>1</v>
      </c>
      <c r="E257" s="77" t="str">
        <f aca="false">IF($Q257="","Tidak ada di data",IF(AND(IFERROR(--(INDEX('Reguler Class Availability'!$F:$F,$Q257)&amp;""),0)=0,IFERROR(--(INDEX('Reguler Class Availability'!$G:$G,$Q257)&amp;""),0)=0),"Tutup",IF(IFERROR(--(INDEX('Reguler Class Availability'!$G:$G,$Q257)&amp;""),0)&gt;IFERROR(--(INDEX('Reguler Class Availability'!$F:$F,$Q257)&amp;""),0),"Lebih",IF(IFERROR(--(INDEX('Reguler Class Availability'!$G:$G,$Q257)&amp;""),0)=IFERROR(--(INDEX('Reguler Class Availability'!$F:$F,$Q257)&amp;""),0),"Penuh",IF(IFERROR(--(INDEX('Reguler Class Availability'!$G:$G,$Q257)&amp;""),0)=0,IF(INDEX('Reguler Class Availability'!$B:$B,$Q257)&amp;""="","Kosong","Belum terisi"),IF(IFERROR(--(INDEX('Reguler Class Availability'!$G:$G,$Q257)&amp;""),0)/IFERROR(--(INDEX('Reguler Class Availability'!$F:$F,$Q257)&amp;""),0)&gt;=0.6,"Tinggi","Sebagian"))))))</f>
        <v>Belum terisi</v>
      </c>
      <c r="F257" s="77" t="str">
        <f aca="false">IF($Q257="","",PROPER(INDEX('Reguler Class Availability'!$B:$B,$Q257)&amp;""))</f>
        <v>Baby</v>
      </c>
      <c r="G257" s="76" t="n">
        <f aca="false">IF($Q257="","",IFERROR(--(INDEX('Reguler Class Availability'!$F:$F,$Q257)&amp;""),0))</f>
        <v>5</v>
      </c>
      <c r="H257" s="77" t="str">
        <f aca="false">IF($Q257="","",PROPER(INDEX('Reguler Class Availability'!$I:$I,$Q257)&amp;"")&amp;IF(INDEX('Reguler Class Availability'!$J:$J,$Q257)&amp;""="",""," + asst "&amp;PROPER(INDEX('Reguler Class Availability'!$J:$J,$Q257)&amp;"")))</f>
        <v/>
      </c>
      <c r="I257" s="77" t="s">
        <v>317</v>
      </c>
      <c r="J257" s="77" t="s">
        <v>186</v>
      </c>
      <c r="K257" s="78"/>
      <c r="L257" s="78"/>
      <c r="M257" s="78"/>
      <c r="N257" s="79"/>
      <c r="O257" s="78"/>
      <c r="Q257" s="30" t="n">
        <f aca="false">IFERROR(MATCH($B$4&amp;"|- Lane "&amp;D257&amp;" - "&amp;B257&amp;"|"&amp;C257,'Reguler Class Availability'!$L:$L,0),"")</f>
        <v>574</v>
      </c>
      <c r="BD257" s="30" t="s">
        <v>124</v>
      </c>
      <c r="BE257" s="30" t="n">
        <f aca="false">IF(COUNTIFS('Reguler Class Availability'!$L:$L,$B$4&amp;"|- Lane 5 - *|"&amp;BD257)&gt;0,1,0)</f>
        <v>0</v>
      </c>
      <c r="BF257" s="30" t="n">
        <f aca="false">BE257+BF256</f>
        <v>3</v>
      </c>
    </row>
    <row r="258" customFormat="false" ht="27.75" hidden="false" customHeight="true" outlineLevel="0" collapsed="false">
      <c r="A258" s="76" t="n">
        <v>132</v>
      </c>
      <c r="B258" s="77" t="s">
        <v>118</v>
      </c>
      <c r="C258" s="76" t="s">
        <v>143</v>
      </c>
      <c r="D258" s="76" t="n">
        <v>1</v>
      </c>
      <c r="E258" s="77" t="str">
        <f aca="false">IF($Q258="","Tidak ada di data",IF(AND(IFERROR(--(INDEX('Reguler Class Availability'!$F:$F,$Q258)&amp;""),0)=0,IFERROR(--(INDEX('Reguler Class Availability'!$G:$G,$Q258)&amp;""),0)=0),"Tutup",IF(IFERROR(--(INDEX('Reguler Class Availability'!$G:$G,$Q258)&amp;""),0)&gt;IFERROR(--(INDEX('Reguler Class Availability'!$F:$F,$Q258)&amp;""),0),"Lebih",IF(IFERROR(--(INDEX('Reguler Class Availability'!$G:$G,$Q258)&amp;""),0)=IFERROR(--(INDEX('Reguler Class Availability'!$F:$F,$Q258)&amp;""),0),"Penuh",IF(IFERROR(--(INDEX('Reguler Class Availability'!$G:$G,$Q258)&amp;""),0)=0,IF(INDEX('Reguler Class Availability'!$B:$B,$Q258)&amp;""="","Kosong","Belum terisi"),IF(IFERROR(--(INDEX('Reguler Class Availability'!$G:$G,$Q258)&amp;""),0)/IFERROR(--(INDEX('Reguler Class Availability'!$F:$F,$Q258)&amp;""),0)&gt;=0.6,"Tinggi","Sebagian"))))))</f>
        <v>Belum terisi</v>
      </c>
      <c r="F258" s="77" t="str">
        <f aca="false">IF($Q258="","",PROPER(INDEX('Reguler Class Availability'!$B:$B,$Q258)&amp;""))</f>
        <v>Baby</v>
      </c>
      <c r="G258" s="76" t="n">
        <f aca="false">IF($Q258="","",IFERROR(--(INDEX('Reguler Class Availability'!$F:$F,$Q258)&amp;""),0))</f>
        <v>5</v>
      </c>
      <c r="H258" s="77" t="str">
        <f aca="false">IF($Q258="","",PROPER(INDEX('Reguler Class Availability'!$I:$I,$Q258)&amp;"")&amp;IF(INDEX('Reguler Class Availability'!$J:$J,$Q258)&amp;""="",""," + asst "&amp;PROPER(INDEX('Reguler Class Availability'!$J:$J,$Q258)&amp;"")))</f>
        <v/>
      </c>
      <c r="I258" s="77" t="s">
        <v>318</v>
      </c>
      <c r="J258" s="77" t="s">
        <v>186</v>
      </c>
      <c r="K258" s="78"/>
      <c r="L258" s="78"/>
      <c r="M258" s="78"/>
      <c r="N258" s="79"/>
      <c r="O258" s="78"/>
      <c r="Q258" s="30" t="n">
        <f aca="false">IFERROR(MATCH($B$4&amp;"|- Lane "&amp;D258&amp;" - "&amp;B258&amp;"|"&amp;C258,'Reguler Class Availability'!$L:$L,0),"")</f>
        <v>575</v>
      </c>
      <c r="BD258" s="30" t="s">
        <v>125</v>
      </c>
      <c r="BE258" s="30" t="n">
        <f aca="false">IF(COUNTIFS('Reguler Class Availability'!$L:$L,$B$4&amp;"|- Lane 5 - *|"&amp;BD258)&gt;0,1,0)</f>
        <v>0</v>
      </c>
      <c r="BF258" s="30" t="n">
        <f aca="false">BE258+BF257</f>
        <v>3</v>
      </c>
    </row>
    <row r="259" customFormat="false" ht="27.75" hidden="false" customHeight="true" outlineLevel="0" collapsed="false">
      <c r="A259" s="76" t="n">
        <v>133</v>
      </c>
      <c r="B259" s="77" t="s">
        <v>118</v>
      </c>
      <c r="C259" s="76" t="s">
        <v>143</v>
      </c>
      <c r="D259" s="76" t="n">
        <v>2</v>
      </c>
      <c r="E259" s="77" t="str">
        <f aca="false">IF($Q259="","Tidak ada di data",IF(AND(IFERROR(--(INDEX('Reguler Class Availability'!$F:$F,$Q259)&amp;""),0)=0,IFERROR(--(INDEX('Reguler Class Availability'!$G:$G,$Q259)&amp;""),0)=0),"Tutup",IF(IFERROR(--(INDEX('Reguler Class Availability'!$G:$G,$Q259)&amp;""),0)&gt;IFERROR(--(INDEX('Reguler Class Availability'!$F:$F,$Q259)&amp;""),0),"Lebih",IF(IFERROR(--(INDEX('Reguler Class Availability'!$G:$G,$Q259)&amp;""),0)=IFERROR(--(INDEX('Reguler Class Availability'!$F:$F,$Q259)&amp;""),0),"Penuh",IF(IFERROR(--(INDEX('Reguler Class Availability'!$G:$G,$Q259)&amp;""),0)=0,IF(INDEX('Reguler Class Availability'!$B:$B,$Q259)&amp;""="","Kosong","Belum terisi"),IF(IFERROR(--(INDEX('Reguler Class Availability'!$G:$G,$Q259)&amp;""),0)/IFERROR(--(INDEX('Reguler Class Availability'!$F:$F,$Q259)&amp;""),0)&gt;=0.6,"Tinggi","Sebagian"))))))</f>
        <v>Belum terisi</v>
      </c>
      <c r="F259" s="77" t="str">
        <f aca="false">IF($Q259="","",PROPER(INDEX('Reguler Class Availability'!$B:$B,$Q259)&amp;""))</f>
        <v>Tiny</v>
      </c>
      <c r="G259" s="76" t="n">
        <f aca="false">IF($Q259="","",IFERROR(--(INDEX('Reguler Class Availability'!$F:$F,$Q259)&amp;""),0))</f>
        <v>5</v>
      </c>
      <c r="H259" s="77" t="str">
        <f aca="false">IF($Q259="","",PROPER(INDEX('Reguler Class Availability'!$I:$I,$Q259)&amp;"")&amp;IF(INDEX('Reguler Class Availability'!$J:$J,$Q259)&amp;""="",""," + asst "&amp;PROPER(INDEX('Reguler Class Availability'!$J:$J,$Q259)&amp;"")))</f>
        <v/>
      </c>
      <c r="I259" s="77" t="s">
        <v>318</v>
      </c>
      <c r="J259" s="77" t="s">
        <v>186</v>
      </c>
      <c r="K259" s="78"/>
      <c r="L259" s="78"/>
      <c r="M259" s="78"/>
      <c r="N259" s="79"/>
      <c r="O259" s="78"/>
      <c r="Q259" s="30" t="n">
        <f aca="false">IFERROR(MATCH($B$4&amp;"|- Lane "&amp;D259&amp;" - "&amp;B259&amp;"|"&amp;C259,'Reguler Class Availability'!$L:$L,0),"")</f>
        <v>673</v>
      </c>
      <c r="BD259" s="30" t="s">
        <v>126</v>
      </c>
      <c r="BE259" s="30" t="n">
        <f aca="false">IF(COUNTIFS('Reguler Class Availability'!$L:$L,$B$4&amp;"|- Lane 5 - *|"&amp;BD259)&gt;0,1,0)</f>
        <v>1</v>
      </c>
      <c r="BF259" s="30" t="n">
        <f aca="false">BE259+BF258</f>
        <v>4</v>
      </c>
    </row>
    <row r="260" customFormat="false" ht="15.75" hidden="false" customHeight="true" outlineLevel="0" collapsed="false">
      <c r="A260" s="76" t="n">
        <v>134</v>
      </c>
      <c r="B260" s="77" t="s">
        <v>118</v>
      </c>
      <c r="C260" s="76" t="s">
        <v>155</v>
      </c>
      <c r="D260" s="76" t="n">
        <v>1</v>
      </c>
      <c r="E260" s="77" t="str">
        <f aca="false">IF($Q260="","Tidak ada di data",IF(AND(IFERROR(--(INDEX('Reguler Class Availability'!$F:$F,$Q260)&amp;""),0)=0,IFERROR(--(INDEX('Reguler Class Availability'!$G:$G,$Q260)&amp;""),0)=0),"Tutup",IF(IFERROR(--(INDEX('Reguler Class Availability'!$G:$G,$Q260)&amp;""),0)&gt;IFERROR(--(INDEX('Reguler Class Availability'!$F:$F,$Q260)&amp;""),0),"Lebih",IF(IFERROR(--(INDEX('Reguler Class Availability'!$G:$G,$Q260)&amp;""),0)=IFERROR(--(INDEX('Reguler Class Availability'!$F:$F,$Q260)&amp;""),0),"Penuh",IF(IFERROR(--(INDEX('Reguler Class Availability'!$G:$G,$Q260)&amp;""),0)=0,IF(INDEX('Reguler Class Availability'!$B:$B,$Q260)&amp;""="","Kosong","Belum terisi"),IF(IFERROR(--(INDEX('Reguler Class Availability'!$G:$G,$Q260)&amp;""),0)/IFERROR(--(INDEX('Reguler Class Availability'!$F:$F,$Q260)&amp;""),0)&gt;=0.6,"Tinggi","Sebagian"))))))</f>
        <v>Belum terisi</v>
      </c>
      <c r="F260" s="77" t="str">
        <f aca="false">IF($Q260="","",PROPER(INDEX('Reguler Class Availability'!$B:$B,$Q260)&amp;""))</f>
        <v>Baby</v>
      </c>
      <c r="G260" s="76" t="n">
        <f aca="false">IF($Q260="","",IFERROR(--(INDEX('Reguler Class Availability'!$F:$F,$Q260)&amp;""),0))</f>
        <v>5</v>
      </c>
      <c r="H260" s="77" t="str">
        <f aca="false">IF($Q260="","",PROPER(INDEX('Reguler Class Availability'!$I:$I,$Q260)&amp;"")&amp;IF(INDEX('Reguler Class Availability'!$J:$J,$Q260)&amp;""="",""," + asst "&amp;PROPER(INDEX('Reguler Class Availability'!$J:$J,$Q260)&amp;"")))</f>
        <v/>
      </c>
      <c r="I260" s="77" t="s">
        <v>319</v>
      </c>
      <c r="J260" s="77" t="s">
        <v>278</v>
      </c>
      <c r="K260" s="78"/>
      <c r="L260" s="78"/>
      <c r="M260" s="78"/>
      <c r="N260" s="79"/>
      <c r="O260" s="78"/>
      <c r="Q260" s="30" t="n">
        <f aca="false">IFERROR(MATCH($B$4&amp;"|- Lane "&amp;D260&amp;" - "&amp;B260&amp;"|"&amp;C260,'Reguler Class Availability'!$L:$L,0),"")</f>
        <v>579</v>
      </c>
      <c r="BD260" s="30" t="s">
        <v>127</v>
      </c>
      <c r="BE260" s="30" t="n">
        <f aca="false">IF(COUNTIFS('Reguler Class Availability'!$L:$L,$B$4&amp;"|- Lane 5 - *|"&amp;BD260)&gt;0,1,0)</f>
        <v>0</v>
      </c>
      <c r="BF260" s="30" t="n">
        <f aca="false">BE260+BF259</f>
        <v>4</v>
      </c>
    </row>
    <row r="261" customFormat="false" ht="52.5" hidden="false" customHeight="true" outlineLevel="0" collapsed="false">
      <c r="A261" s="76" t="n">
        <v>135</v>
      </c>
      <c r="B261" s="77" t="s">
        <v>119</v>
      </c>
      <c r="C261" s="76" t="s">
        <v>132</v>
      </c>
      <c r="D261" s="76" t="n">
        <v>1</v>
      </c>
      <c r="E261" s="77" t="str">
        <f aca="false">IF($Q261="","Tidak ada di data",IF(AND(IFERROR(--(INDEX('Reguler Class Availability'!$F:$F,$Q261)&amp;""),0)=0,IFERROR(--(INDEX('Reguler Class Availability'!$G:$G,$Q261)&amp;""),0)=0),"Tutup",IF(IFERROR(--(INDEX('Reguler Class Availability'!$G:$G,$Q261)&amp;""),0)&gt;IFERROR(--(INDEX('Reguler Class Availability'!$F:$F,$Q261)&amp;""),0),"Lebih",IF(IFERROR(--(INDEX('Reguler Class Availability'!$G:$G,$Q261)&amp;""),0)=IFERROR(--(INDEX('Reguler Class Availability'!$F:$F,$Q261)&amp;""),0),"Penuh",IF(IFERROR(--(INDEX('Reguler Class Availability'!$G:$G,$Q261)&amp;""),0)=0,IF(INDEX('Reguler Class Availability'!$B:$B,$Q261)&amp;""="","Kosong","Belum terisi"),IF(IFERROR(--(INDEX('Reguler Class Availability'!$G:$G,$Q261)&amp;""),0)/IFERROR(--(INDEX('Reguler Class Availability'!$F:$F,$Q261)&amp;""),0)&gt;=0.6,"Tinggi","Sebagian"))))))</f>
        <v>Belum terisi</v>
      </c>
      <c r="F261" s="77" t="str">
        <f aca="false">IF($Q261="","",PROPER(INDEX('Reguler Class Availability'!$B:$B,$Q261)&amp;""))</f>
        <v>Baby</v>
      </c>
      <c r="G261" s="76" t="n">
        <f aca="false">IF($Q261="","",IFERROR(--(INDEX('Reguler Class Availability'!$F:$F,$Q261)&amp;""),0))</f>
        <v>5</v>
      </c>
      <c r="H261" s="77" t="str">
        <f aca="false">IF($Q261="","",PROPER(INDEX('Reguler Class Availability'!$I:$I,$Q261)&amp;"")&amp;IF(INDEX('Reguler Class Availability'!$J:$J,$Q261)&amp;""="",""," + asst "&amp;PROPER(INDEX('Reguler Class Availability'!$J:$J,$Q261)&amp;"")))</f>
        <v/>
      </c>
      <c r="I261" s="77" t="s">
        <v>320</v>
      </c>
      <c r="J261" s="77" t="s">
        <v>186</v>
      </c>
      <c r="K261" s="78"/>
      <c r="L261" s="78"/>
      <c r="M261" s="78"/>
      <c r="N261" s="79"/>
      <c r="O261" s="78"/>
      <c r="Q261" s="30" t="n">
        <f aca="false">IFERROR(MATCH($B$4&amp;"|- Lane "&amp;D261&amp;" - "&amp;B261&amp;"|"&amp;C261,'Reguler Class Availability'!$L:$L,0),"")</f>
        <v>585</v>
      </c>
      <c r="BD261" s="30" t="s">
        <v>128</v>
      </c>
      <c r="BE261" s="30" t="n">
        <f aca="false">IF(COUNTIFS('Reguler Class Availability'!$L:$L,$B$4&amp;"|- Lane 5 - *|"&amp;BD261)&gt;0,1,0)</f>
        <v>0</v>
      </c>
      <c r="BF261" s="30" t="n">
        <f aca="false">BE261+BF260</f>
        <v>4</v>
      </c>
    </row>
    <row r="262" customFormat="false" ht="65.25" hidden="false" customHeight="true" outlineLevel="0" collapsed="false">
      <c r="A262" s="76" t="n">
        <v>136</v>
      </c>
      <c r="B262" s="77" t="s">
        <v>119</v>
      </c>
      <c r="C262" s="76" t="s">
        <v>139</v>
      </c>
      <c r="D262" s="76" t="n">
        <v>1</v>
      </c>
      <c r="E262" s="77" t="str">
        <f aca="false">IF($Q262="","Tidak ada di data",IF(AND(IFERROR(--(INDEX('Reguler Class Availability'!$F:$F,$Q262)&amp;""),0)=0,IFERROR(--(INDEX('Reguler Class Availability'!$G:$G,$Q262)&amp;""),0)=0),"Tutup",IF(IFERROR(--(INDEX('Reguler Class Availability'!$G:$G,$Q262)&amp;""),0)&gt;IFERROR(--(INDEX('Reguler Class Availability'!$F:$F,$Q262)&amp;""),0),"Lebih",IF(IFERROR(--(INDEX('Reguler Class Availability'!$G:$G,$Q262)&amp;""),0)=IFERROR(--(INDEX('Reguler Class Availability'!$F:$F,$Q262)&amp;""),0),"Penuh",IF(IFERROR(--(INDEX('Reguler Class Availability'!$G:$G,$Q262)&amp;""),0)=0,IF(INDEX('Reguler Class Availability'!$B:$B,$Q262)&amp;""="","Kosong","Belum terisi"),IF(IFERROR(--(INDEX('Reguler Class Availability'!$G:$G,$Q262)&amp;""),0)/IFERROR(--(INDEX('Reguler Class Availability'!$F:$F,$Q262)&amp;""),0)&gt;=0.6,"Tinggi","Sebagian"))))))</f>
        <v>Belum terisi</v>
      </c>
      <c r="F262" s="77" t="str">
        <f aca="false">IF($Q262="","",PROPER(INDEX('Reguler Class Availability'!$B:$B,$Q262)&amp;""))</f>
        <v>Baby</v>
      </c>
      <c r="G262" s="76" t="n">
        <f aca="false">IF($Q262="","",IFERROR(--(INDEX('Reguler Class Availability'!$F:$F,$Q262)&amp;""),0))</f>
        <v>5</v>
      </c>
      <c r="H262" s="77" t="str">
        <f aca="false">IF($Q262="","",PROPER(INDEX('Reguler Class Availability'!$I:$I,$Q262)&amp;"")&amp;IF(INDEX('Reguler Class Availability'!$J:$J,$Q262)&amp;""="",""," + asst "&amp;PROPER(INDEX('Reguler Class Availability'!$J:$J,$Q262)&amp;"")))</f>
        <v/>
      </c>
      <c r="I262" s="77" t="s">
        <v>321</v>
      </c>
      <c r="J262" s="77" t="s">
        <v>186</v>
      </c>
      <c r="K262" s="78"/>
      <c r="L262" s="78"/>
      <c r="M262" s="78"/>
      <c r="N262" s="79"/>
      <c r="O262" s="78"/>
      <c r="Q262" s="30" t="n">
        <f aca="false">IFERROR(MATCH($B$4&amp;"|- Lane "&amp;D262&amp;" - "&amp;B262&amp;"|"&amp;C262,'Reguler Class Availability'!$L:$L,0),"")</f>
        <v>586</v>
      </c>
      <c r="BD262" s="30" t="s">
        <v>129</v>
      </c>
      <c r="BE262" s="30" t="n">
        <f aca="false">IF(COUNTIFS('Reguler Class Availability'!$L:$L,$B$4&amp;"|- Lane 5 - *|"&amp;BD262)&gt;0,1,0)</f>
        <v>1</v>
      </c>
      <c r="BF262" s="30" t="n">
        <f aca="false">BE262+BF261</f>
        <v>5</v>
      </c>
    </row>
    <row r="263" customFormat="false" ht="65.25" hidden="false" customHeight="true" outlineLevel="0" collapsed="false">
      <c r="A263" s="76" t="n">
        <v>137</v>
      </c>
      <c r="B263" s="77" t="s">
        <v>119</v>
      </c>
      <c r="C263" s="76" t="s">
        <v>139</v>
      </c>
      <c r="D263" s="76" t="n">
        <v>2</v>
      </c>
      <c r="E263" s="77" t="str">
        <f aca="false">IF($Q263="","Tidak ada di data",IF(AND(IFERROR(--(INDEX('Reguler Class Availability'!$F:$F,$Q263)&amp;""),0)=0,IFERROR(--(INDEX('Reguler Class Availability'!$G:$G,$Q263)&amp;""),0)=0),"Tutup",IF(IFERROR(--(INDEX('Reguler Class Availability'!$G:$G,$Q263)&amp;""),0)&gt;IFERROR(--(INDEX('Reguler Class Availability'!$F:$F,$Q263)&amp;""),0),"Lebih",IF(IFERROR(--(INDEX('Reguler Class Availability'!$G:$G,$Q263)&amp;""),0)=IFERROR(--(INDEX('Reguler Class Availability'!$F:$F,$Q263)&amp;""),0),"Penuh",IF(IFERROR(--(INDEX('Reguler Class Availability'!$G:$G,$Q263)&amp;""),0)=0,IF(INDEX('Reguler Class Availability'!$B:$B,$Q263)&amp;""="","Kosong","Belum terisi"),IF(IFERROR(--(INDEX('Reguler Class Availability'!$G:$G,$Q263)&amp;""),0)/IFERROR(--(INDEX('Reguler Class Availability'!$F:$F,$Q263)&amp;""),0)&gt;=0.6,"Tinggi","Sebagian"))))))</f>
        <v>Belum terisi</v>
      </c>
      <c r="F263" s="77" t="str">
        <f aca="false">IF($Q263="","",PROPER(INDEX('Reguler Class Availability'!$B:$B,$Q263)&amp;""))</f>
        <v>Tiny</v>
      </c>
      <c r="G263" s="76" t="n">
        <f aca="false">IF($Q263="","",IFERROR(--(INDEX('Reguler Class Availability'!$F:$F,$Q263)&amp;""),0))</f>
        <v>5</v>
      </c>
      <c r="H263" s="77" t="str">
        <f aca="false">IF($Q263="","",PROPER(INDEX('Reguler Class Availability'!$I:$I,$Q263)&amp;"")&amp;IF(INDEX('Reguler Class Availability'!$J:$J,$Q263)&amp;""="",""," + asst "&amp;PROPER(INDEX('Reguler Class Availability'!$J:$J,$Q263)&amp;"")))</f>
        <v/>
      </c>
      <c r="I263" s="77" t="s">
        <v>321</v>
      </c>
      <c r="J263" s="77" t="s">
        <v>186</v>
      </c>
      <c r="K263" s="78"/>
      <c r="L263" s="78"/>
      <c r="M263" s="78"/>
      <c r="N263" s="79"/>
      <c r="O263" s="78"/>
      <c r="Q263" s="30" t="n">
        <f aca="false">IFERROR(MATCH($B$4&amp;"|- Lane "&amp;D263&amp;" - "&amp;B263&amp;"|"&amp;C263,'Reguler Class Availability'!$L:$L,0),"")</f>
        <v>684</v>
      </c>
      <c r="BD263" s="30" t="s">
        <v>130</v>
      </c>
      <c r="BE263" s="30" t="n">
        <f aca="false">IF(COUNTIFS('Reguler Class Availability'!$L:$L,$B$4&amp;"|- Lane 5 - *|"&amp;BD263)&gt;0,1,0)</f>
        <v>0</v>
      </c>
      <c r="BF263" s="30" t="n">
        <f aca="false">BE263+BF262</f>
        <v>5</v>
      </c>
    </row>
    <row r="264" customFormat="false" ht="40.5" hidden="false" customHeight="true" outlineLevel="0" collapsed="false">
      <c r="A264" s="76" t="n">
        <v>138</v>
      </c>
      <c r="B264" s="77" t="s">
        <v>119</v>
      </c>
      <c r="C264" s="76" t="s">
        <v>143</v>
      </c>
      <c r="D264" s="76" t="n">
        <v>1</v>
      </c>
      <c r="E264" s="77" t="str">
        <f aca="false">IF($Q264="","Tidak ada di data",IF(AND(IFERROR(--(INDEX('Reguler Class Availability'!$F:$F,$Q264)&amp;""),0)=0,IFERROR(--(INDEX('Reguler Class Availability'!$G:$G,$Q264)&amp;""),0)=0),"Tutup",IF(IFERROR(--(INDEX('Reguler Class Availability'!$G:$G,$Q264)&amp;""),0)&gt;IFERROR(--(INDEX('Reguler Class Availability'!$F:$F,$Q264)&amp;""),0),"Lebih",IF(IFERROR(--(INDEX('Reguler Class Availability'!$G:$G,$Q264)&amp;""),0)=IFERROR(--(INDEX('Reguler Class Availability'!$F:$F,$Q264)&amp;""),0),"Penuh",IF(IFERROR(--(INDEX('Reguler Class Availability'!$G:$G,$Q264)&amp;""),0)=0,IF(INDEX('Reguler Class Availability'!$B:$B,$Q264)&amp;""="","Kosong","Belum terisi"),IF(IFERROR(--(INDEX('Reguler Class Availability'!$G:$G,$Q264)&amp;""),0)/IFERROR(--(INDEX('Reguler Class Availability'!$F:$F,$Q264)&amp;""),0)&gt;=0.6,"Tinggi","Sebagian"))))))</f>
        <v>Belum terisi</v>
      </c>
      <c r="F264" s="77" t="str">
        <f aca="false">IF($Q264="","",PROPER(INDEX('Reguler Class Availability'!$B:$B,$Q264)&amp;""))</f>
        <v>Baby</v>
      </c>
      <c r="G264" s="76" t="n">
        <f aca="false">IF($Q264="","",IFERROR(--(INDEX('Reguler Class Availability'!$F:$F,$Q264)&amp;""),0))</f>
        <v>5</v>
      </c>
      <c r="H264" s="77" t="str">
        <f aca="false">IF($Q264="","",PROPER(INDEX('Reguler Class Availability'!$I:$I,$Q264)&amp;"")&amp;IF(INDEX('Reguler Class Availability'!$J:$J,$Q264)&amp;""="",""," + asst "&amp;PROPER(INDEX('Reguler Class Availability'!$J:$J,$Q264)&amp;"")))</f>
        <v/>
      </c>
      <c r="I264" s="77" t="s">
        <v>322</v>
      </c>
      <c r="J264" s="77" t="s">
        <v>186</v>
      </c>
      <c r="K264" s="78"/>
      <c r="L264" s="78"/>
      <c r="M264" s="78"/>
      <c r="N264" s="79"/>
      <c r="O264" s="78"/>
      <c r="Q264" s="30" t="n">
        <f aca="false">IFERROR(MATCH($B$4&amp;"|- Lane "&amp;D264&amp;" - "&amp;B264&amp;"|"&amp;C264,'Reguler Class Availability'!$L:$L,0),"")</f>
        <v>587</v>
      </c>
      <c r="BD264" s="30" t="s">
        <v>131</v>
      </c>
      <c r="BE264" s="30" t="n">
        <f aca="false">IF(COUNTIFS('Reguler Class Availability'!$L:$L,$B$4&amp;"|- Lane 5 - *|"&amp;BD264)&gt;0,1,0)</f>
        <v>0</v>
      </c>
      <c r="BF264" s="30" t="n">
        <f aca="false">BE264+BF263</f>
        <v>5</v>
      </c>
    </row>
    <row r="265" customFormat="false" ht="40.5" hidden="false" customHeight="true" outlineLevel="0" collapsed="false">
      <c r="A265" s="76" t="n">
        <v>139</v>
      </c>
      <c r="B265" s="77" t="s">
        <v>119</v>
      </c>
      <c r="C265" s="76" t="s">
        <v>143</v>
      </c>
      <c r="D265" s="76" t="n">
        <v>2</v>
      </c>
      <c r="E265" s="77" t="str">
        <f aca="false">IF($Q265="","Tidak ada di data",IF(AND(IFERROR(--(INDEX('Reguler Class Availability'!$F:$F,$Q265)&amp;""),0)=0,IFERROR(--(INDEX('Reguler Class Availability'!$G:$G,$Q265)&amp;""),0)=0),"Tutup",IF(IFERROR(--(INDEX('Reguler Class Availability'!$G:$G,$Q265)&amp;""),0)&gt;IFERROR(--(INDEX('Reguler Class Availability'!$F:$F,$Q265)&amp;""),0),"Lebih",IF(IFERROR(--(INDEX('Reguler Class Availability'!$G:$G,$Q265)&amp;""),0)=IFERROR(--(INDEX('Reguler Class Availability'!$F:$F,$Q265)&amp;""),0),"Penuh",IF(IFERROR(--(INDEX('Reguler Class Availability'!$G:$G,$Q265)&amp;""),0)=0,IF(INDEX('Reguler Class Availability'!$B:$B,$Q265)&amp;""="","Kosong","Belum terisi"),IF(IFERROR(--(INDEX('Reguler Class Availability'!$G:$G,$Q265)&amp;""),0)/IFERROR(--(INDEX('Reguler Class Availability'!$F:$F,$Q265)&amp;""),0)&gt;=0.6,"Tinggi","Sebagian"))))))</f>
        <v>Belum terisi</v>
      </c>
      <c r="F265" s="77" t="str">
        <f aca="false">IF($Q265="","",PROPER(INDEX('Reguler Class Availability'!$B:$B,$Q265)&amp;""))</f>
        <v>Tiny</v>
      </c>
      <c r="G265" s="76" t="n">
        <f aca="false">IF($Q265="","",IFERROR(--(INDEX('Reguler Class Availability'!$F:$F,$Q265)&amp;""),0))</f>
        <v>5</v>
      </c>
      <c r="H265" s="77" t="str">
        <f aca="false">IF($Q265="","",PROPER(INDEX('Reguler Class Availability'!$I:$I,$Q265)&amp;"")&amp;IF(INDEX('Reguler Class Availability'!$J:$J,$Q265)&amp;""="",""," + asst "&amp;PROPER(INDEX('Reguler Class Availability'!$J:$J,$Q265)&amp;"")))</f>
        <v>Eve</v>
      </c>
      <c r="I265" s="77" t="s">
        <v>322</v>
      </c>
      <c r="J265" s="77" t="s">
        <v>186</v>
      </c>
      <c r="K265" s="78"/>
      <c r="L265" s="78"/>
      <c r="M265" s="78"/>
      <c r="N265" s="79"/>
      <c r="O265" s="78"/>
      <c r="Q265" s="30" t="n">
        <f aca="false">IFERROR(MATCH($B$4&amp;"|- Lane "&amp;D265&amp;" - "&amp;B265&amp;"|"&amp;C265,'Reguler Class Availability'!$L:$L,0),"")</f>
        <v>685</v>
      </c>
      <c r="BD265" s="30" t="s">
        <v>132</v>
      </c>
      <c r="BE265" s="30" t="n">
        <f aca="false">IF(COUNTIFS('Reguler Class Availability'!$L:$L,$B$4&amp;"|- Lane 5 - *|"&amp;BD265)&gt;0,1,0)</f>
        <v>1</v>
      </c>
      <c r="BF265" s="30" t="n">
        <f aca="false">BE265+BF264</f>
        <v>6</v>
      </c>
    </row>
    <row r="266" customFormat="false" ht="40.5" hidden="false" customHeight="true" outlineLevel="0" collapsed="false">
      <c r="A266" s="76" t="n">
        <v>140</v>
      </c>
      <c r="B266" s="77" t="s">
        <v>119</v>
      </c>
      <c r="C266" s="76" t="s">
        <v>146</v>
      </c>
      <c r="D266" s="76" t="n">
        <v>1</v>
      </c>
      <c r="E266" s="77" t="str">
        <f aca="false">IF($Q266="","Tidak ada di data",IF(AND(IFERROR(--(INDEX('Reguler Class Availability'!$F:$F,$Q266)&amp;""),0)=0,IFERROR(--(INDEX('Reguler Class Availability'!$G:$G,$Q266)&amp;""),0)=0),"Tutup",IF(IFERROR(--(INDEX('Reguler Class Availability'!$G:$G,$Q266)&amp;""),0)&gt;IFERROR(--(INDEX('Reguler Class Availability'!$F:$F,$Q266)&amp;""),0),"Lebih",IF(IFERROR(--(INDEX('Reguler Class Availability'!$G:$G,$Q266)&amp;""),0)=IFERROR(--(INDEX('Reguler Class Availability'!$F:$F,$Q266)&amp;""),0),"Penuh",IF(IFERROR(--(INDEX('Reguler Class Availability'!$G:$G,$Q266)&amp;""),0)=0,IF(INDEX('Reguler Class Availability'!$B:$B,$Q266)&amp;""="","Kosong","Belum terisi"),IF(IFERROR(--(INDEX('Reguler Class Availability'!$G:$G,$Q266)&amp;""),0)/IFERROR(--(INDEX('Reguler Class Availability'!$F:$F,$Q266)&amp;""),0)&gt;=0.6,"Tinggi","Sebagian"))))))</f>
        <v>Belum terisi</v>
      </c>
      <c r="F266" s="77" t="str">
        <f aca="false">IF($Q266="","",PROPER(INDEX('Reguler Class Availability'!$B:$B,$Q266)&amp;""))</f>
        <v>Baby</v>
      </c>
      <c r="G266" s="76" t="n">
        <f aca="false">IF($Q266="","",IFERROR(--(INDEX('Reguler Class Availability'!$F:$F,$Q266)&amp;""),0))</f>
        <v>5</v>
      </c>
      <c r="H266" s="77" t="str">
        <f aca="false">IF($Q266="","",PROPER(INDEX('Reguler Class Availability'!$I:$I,$Q266)&amp;"")&amp;IF(INDEX('Reguler Class Availability'!$J:$J,$Q266)&amp;""="",""," + asst "&amp;PROPER(INDEX('Reguler Class Availability'!$J:$J,$Q266)&amp;"")))</f>
        <v/>
      </c>
      <c r="I266" s="77" t="s">
        <v>323</v>
      </c>
      <c r="J266" s="77" t="s">
        <v>188</v>
      </c>
      <c r="K266" s="78"/>
      <c r="L266" s="78"/>
      <c r="M266" s="78"/>
      <c r="N266" s="79"/>
      <c r="O266" s="78"/>
      <c r="Q266" s="30" t="n">
        <f aca="false">IFERROR(MATCH($B$4&amp;"|- Lane "&amp;D266&amp;" - "&amp;B266&amp;"|"&amp;C266,'Reguler Class Availability'!$L:$L,0),"")</f>
        <v>588</v>
      </c>
      <c r="BD266" s="30" t="s">
        <v>133</v>
      </c>
      <c r="BE266" s="30" t="n">
        <f aca="false">IF(COUNTIFS('Reguler Class Availability'!$L:$L,$B$4&amp;"|- Lane 5 - *|"&amp;BD266)&gt;0,1,0)</f>
        <v>0</v>
      </c>
      <c r="BF266" s="30" t="n">
        <f aca="false">BE266+BF265</f>
        <v>6</v>
      </c>
    </row>
    <row r="267" customFormat="false" ht="52.5" hidden="false" customHeight="true" outlineLevel="0" collapsed="false">
      <c r="A267" s="76" t="n">
        <v>141</v>
      </c>
      <c r="B267" s="77" t="s">
        <v>119</v>
      </c>
      <c r="C267" s="76" t="s">
        <v>155</v>
      </c>
      <c r="D267" s="76" t="n">
        <v>1</v>
      </c>
      <c r="E267" s="77" t="str">
        <f aca="false">IF($Q267="","Tidak ada di data",IF(AND(IFERROR(--(INDEX('Reguler Class Availability'!$F:$F,$Q267)&amp;""),0)=0,IFERROR(--(INDEX('Reguler Class Availability'!$G:$G,$Q267)&amp;""),0)=0),"Tutup",IF(IFERROR(--(INDEX('Reguler Class Availability'!$G:$G,$Q267)&amp;""),0)&gt;IFERROR(--(INDEX('Reguler Class Availability'!$F:$F,$Q267)&amp;""),0),"Lebih",IF(IFERROR(--(INDEX('Reguler Class Availability'!$G:$G,$Q267)&amp;""),0)=IFERROR(--(INDEX('Reguler Class Availability'!$F:$F,$Q267)&amp;""),0),"Penuh",IF(IFERROR(--(INDEX('Reguler Class Availability'!$G:$G,$Q267)&amp;""),0)=0,IF(INDEX('Reguler Class Availability'!$B:$B,$Q267)&amp;""="","Kosong","Belum terisi"),IF(IFERROR(--(INDEX('Reguler Class Availability'!$G:$G,$Q267)&amp;""),0)/IFERROR(--(INDEX('Reguler Class Availability'!$F:$F,$Q267)&amp;""),0)&gt;=0.6,"Tinggi","Sebagian"))))))</f>
        <v>Belum terisi</v>
      </c>
      <c r="F267" s="77" t="str">
        <f aca="false">IF($Q267="","",PROPER(INDEX('Reguler Class Availability'!$B:$B,$Q267)&amp;""))</f>
        <v>Baby</v>
      </c>
      <c r="G267" s="76" t="n">
        <f aca="false">IF($Q267="","",IFERROR(--(INDEX('Reguler Class Availability'!$F:$F,$Q267)&amp;""),0))</f>
        <v>5</v>
      </c>
      <c r="H267" s="77" t="str">
        <f aca="false">IF($Q267="","",PROPER(INDEX('Reguler Class Availability'!$I:$I,$Q267)&amp;"")&amp;IF(INDEX('Reguler Class Availability'!$J:$J,$Q267)&amp;""="",""," + asst "&amp;PROPER(INDEX('Reguler Class Availability'!$J:$J,$Q267)&amp;"")))</f>
        <v/>
      </c>
      <c r="I267" s="77" t="s">
        <v>324</v>
      </c>
      <c r="J267" s="77" t="s">
        <v>186</v>
      </c>
      <c r="K267" s="78"/>
      <c r="L267" s="78"/>
      <c r="M267" s="78"/>
      <c r="N267" s="79"/>
      <c r="O267" s="78"/>
      <c r="Q267" s="30" t="n">
        <f aca="false">IFERROR(MATCH($B$4&amp;"|- Lane "&amp;D267&amp;" - "&amp;B267&amp;"|"&amp;C267,'Reguler Class Availability'!$L:$L,0),"")</f>
        <v>591</v>
      </c>
      <c r="BD267" s="30" t="s">
        <v>134</v>
      </c>
      <c r="BE267" s="30" t="n">
        <f aca="false">IF(COUNTIFS('Reguler Class Availability'!$L:$L,$B$4&amp;"|- Lane 5 - *|"&amp;BD267)&gt;0,1,0)</f>
        <v>0</v>
      </c>
      <c r="BF267" s="30" t="n">
        <f aca="false">BE267+BF266</f>
        <v>6</v>
      </c>
    </row>
    <row r="268" customFormat="false" ht="65.25" hidden="false" customHeight="true" outlineLevel="0" collapsed="false">
      <c r="A268" s="76" t="n">
        <v>142</v>
      </c>
      <c r="B268" s="77" t="s">
        <v>119</v>
      </c>
      <c r="C268" s="76" t="s">
        <v>160</v>
      </c>
      <c r="D268" s="76" t="n">
        <v>1</v>
      </c>
      <c r="E268" s="77" t="str">
        <f aca="false">IF($Q268="","Tidak ada di data",IF(AND(IFERROR(--(INDEX('Reguler Class Availability'!$F:$F,$Q268)&amp;""),0)=0,IFERROR(--(INDEX('Reguler Class Availability'!$G:$G,$Q268)&amp;""),0)=0),"Tutup",IF(IFERROR(--(INDEX('Reguler Class Availability'!$G:$G,$Q268)&amp;""),0)&gt;IFERROR(--(INDEX('Reguler Class Availability'!$F:$F,$Q268)&amp;""),0),"Lebih",IF(IFERROR(--(INDEX('Reguler Class Availability'!$G:$G,$Q268)&amp;""),0)=IFERROR(--(INDEX('Reguler Class Availability'!$F:$F,$Q268)&amp;""),0),"Penuh",IF(IFERROR(--(INDEX('Reguler Class Availability'!$G:$G,$Q268)&amp;""),0)=0,IF(INDEX('Reguler Class Availability'!$B:$B,$Q268)&amp;""="","Kosong","Belum terisi"),IF(IFERROR(--(INDEX('Reguler Class Availability'!$G:$G,$Q268)&amp;""),0)/IFERROR(--(INDEX('Reguler Class Availability'!$F:$F,$Q268)&amp;""),0)&gt;=0.6,"Tinggi","Sebagian"))))))</f>
        <v>Belum terisi</v>
      </c>
      <c r="F268" s="77" t="str">
        <f aca="false">IF($Q268="","",PROPER(INDEX('Reguler Class Availability'!$B:$B,$Q268)&amp;""))</f>
        <v>Star</v>
      </c>
      <c r="G268" s="76" t="n">
        <f aca="false">IF($Q268="","",IFERROR(--(INDEX('Reguler Class Availability'!$F:$F,$Q268)&amp;""),0))</f>
        <v>8</v>
      </c>
      <c r="H268" s="77" t="str">
        <f aca="false">IF($Q268="","",PROPER(INDEX('Reguler Class Availability'!$I:$I,$Q268)&amp;"")&amp;IF(INDEX('Reguler Class Availability'!$J:$J,$Q268)&amp;""="",""," + asst "&amp;PROPER(INDEX('Reguler Class Availability'!$J:$J,$Q268)&amp;"")))</f>
        <v/>
      </c>
      <c r="I268" s="77" t="s">
        <v>325</v>
      </c>
      <c r="J268" s="77" t="s">
        <v>186</v>
      </c>
      <c r="K268" s="78"/>
      <c r="L268" s="78"/>
      <c r="M268" s="78"/>
      <c r="N268" s="79"/>
      <c r="O268" s="78"/>
      <c r="Q268" s="30" t="n">
        <f aca="false">IFERROR(MATCH($B$4&amp;"|- Lane "&amp;D268&amp;" - "&amp;B268&amp;"|"&amp;C268,'Reguler Class Availability'!$L:$L,0),"")</f>
        <v>616</v>
      </c>
      <c r="BD268" s="30" t="s">
        <v>135</v>
      </c>
      <c r="BE268" s="30" t="n">
        <f aca="false">IF(COUNTIFS('Reguler Class Availability'!$L:$L,$B$4&amp;"|- Lane 5 - *|"&amp;BD268)&gt;0,1,0)</f>
        <v>0</v>
      </c>
      <c r="BF268" s="30" t="n">
        <f aca="false">BE268+BF267</f>
        <v>6</v>
      </c>
    </row>
    <row r="269" customFormat="false" ht="65.25" hidden="false" customHeight="true" outlineLevel="0" collapsed="false">
      <c r="A269" s="76" t="n">
        <v>143</v>
      </c>
      <c r="B269" s="77" t="s">
        <v>80</v>
      </c>
      <c r="C269" s="76" t="s">
        <v>91</v>
      </c>
      <c r="D269" s="76" t="n">
        <v>1</v>
      </c>
      <c r="E269" s="77" t="str">
        <f aca="false">IF($Q269="","Tidak ada di data",IF(AND(IFERROR(--(INDEX('Reguler Class Availability'!$F:$F,$Q269)&amp;""),0)=0,IFERROR(--(INDEX('Reguler Class Availability'!$G:$G,$Q269)&amp;""),0)=0),"Tutup",IF(IFERROR(--(INDEX('Reguler Class Availability'!$G:$G,$Q269)&amp;""),0)&gt;IFERROR(--(INDEX('Reguler Class Availability'!$F:$F,$Q269)&amp;""),0),"Lebih",IF(IFERROR(--(INDEX('Reguler Class Availability'!$G:$G,$Q269)&amp;""),0)=IFERROR(--(INDEX('Reguler Class Availability'!$F:$F,$Q269)&amp;""),0),"Penuh",IF(IFERROR(--(INDEX('Reguler Class Availability'!$G:$G,$Q269)&amp;""),0)=0,IF(INDEX('Reguler Class Availability'!$B:$B,$Q269)&amp;""="","Kosong","Belum terisi"),IF(IFERROR(--(INDEX('Reguler Class Availability'!$G:$G,$Q269)&amp;""),0)/IFERROR(--(INDEX('Reguler Class Availability'!$F:$F,$Q269)&amp;""),0)&gt;=0.6,"Tinggi","Sebagian"))))))</f>
        <v>Belum terisi</v>
      </c>
      <c r="F269" s="77" t="str">
        <f aca="false">IF($Q269="","",PROPER(INDEX('Reguler Class Availability'!$B:$B,$Q269)&amp;""))</f>
        <v>Star</v>
      </c>
      <c r="G269" s="76" t="n">
        <f aca="false">IF($Q269="","",IFERROR(--(INDEX('Reguler Class Availability'!$F:$F,$Q269)&amp;""),0))</f>
        <v>8</v>
      </c>
      <c r="H269" s="77" t="str">
        <f aca="false">IF($Q269="","",PROPER(INDEX('Reguler Class Availability'!$I:$I,$Q269)&amp;"")&amp;IF(INDEX('Reguler Class Availability'!$J:$J,$Q269)&amp;""="",""," + asst "&amp;PROPER(INDEX('Reguler Class Availability'!$J:$J,$Q269)&amp;"")))</f>
        <v/>
      </c>
      <c r="I269" s="77" t="s">
        <v>326</v>
      </c>
      <c r="J269" s="77" t="s">
        <v>186</v>
      </c>
      <c r="K269" s="78"/>
      <c r="L269" s="78"/>
      <c r="M269" s="78"/>
      <c r="N269" s="79"/>
      <c r="O269" s="78"/>
      <c r="Q269" s="30" t="n">
        <f aca="false">IFERROR(MATCH($B$4&amp;"|- Lane "&amp;D269&amp;" - "&amp;B269&amp;"|"&amp;C269,'Reguler Class Availability'!$L:$L,0),"")</f>
        <v>610</v>
      </c>
      <c r="BD269" s="30" t="s">
        <v>136</v>
      </c>
      <c r="BE269" s="30" t="n">
        <f aca="false">IF(COUNTIFS('Reguler Class Availability'!$L:$L,$B$4&amp;"|- Lane 5 - *|"&amp;BD269)&gt;0,1,0)</f>
        <v>0</v>
      </c>
      <c r="BF269" s="30" t="n">
        <f aca="false">BE269+BF268</f>
        <v>6</v>
      </c>
    </row>
    <row r="270" customFormat="false" ht="52.5" hidden="false" customHeight="true" outlineLevel="0" collapsed="false">
      <c r="A270" s="76" t="n">
        <v>144</v>
      </c>
      <c r="B270" s="77" t="s">
        <v>80</v>
      </c>
      <c r="C270" s="76" t="s">
        <v>132</v>
      </c>
      <c r="D270" s="76" t="n">
        <v>1</v>
      </c>
      <c r="E270" s="77" t="str">
        <f aca="false">IF($Q270="","Tidak ada di data",IF(AND(IFERROR(--(INDEX('Reguler Class Availability'!$F:$F,$Q270)&amp;""),0)=0,IFERROR(--(INDEX('Reguler Class Availability'!$G:$G,$Q270)&amp;""),0)=0),"Tutup",IF(IFERROR(--(INDEX('Reguler Class Availability'!$G:$G,$Q270)&amp;""),0)&gt;IFERROR(--(INDEX('Reguler Class Availability'!$F:$F,$Q270)&amp;""),0),"Lebih",IF(IFERROR(--(INDEX('Reguler Class Availability'!$G:$G,$Q270)&amp;""),0)=IFERROR(--(INDEX('Reguler Class Availability'!$F:$F,$Q270)&amp;""),0),"Penuh",IF(IFERROR(--(INDEX('Reguler Class Availability'!$G:$G,$Q270)&amp;""),0)=0,IF(INDEX('Reguler Class Availability'!$B:$B,$Q270)&amp;""="","Kosong","Belum terisi"),IF(IFERROR(--(INDEX('Reguler Class Availability'!$G:$G,$Q270)&amp;""),0)/IFERROR(--(INDEX('Reguler Class Availability'!$F:$F,$Q270)&amp;""),0)&gt;=0.6,"Tinggi","Sebagian"))))))</f>
        <v>Belum terisi</v>
      </c>
      <c r="F270" s="77" t="str">
        <f aca="false">IF($Q270="","",PROPER(INDEX('Reguler Class Availability'!$B:$B,$Q270)&amp;""))</f>
        <v>Baby</v>
      </c>
      <c r="G270" s="76" t="n">
        <f aca="false">IF($Q270="","",IFERROR(--(INDEX('Reguler Class Availability'!$F:$F,$Q270)&amp;""),0))</f>
        <v>5</v>
      </c>
      <c r="H270" s="77" t="str">
        <f aca="false">IF($Q270="","",PROPER(INDEX('Reguler Class Availability'!$I:$I,$Q270)&amp;"")&amp;IF(INDEX('Reguler Class Availability'!$J:$J,$Q270)&amp;""="",""," + asst "&amp;PROPER(INDEX('Reguler Class Availability'!$J:$J,$Q270)&amp;"")))</f>
        <v/>
      </c>
      <c r="I270" s="77" t="s">
        <v>327</v>
      </c>
      <c r="J270" s="77" t="s">
        <v>186</v>
      </c>
      <c r="K270" s="78"/>
      <c r="L270" s="78"/>
      <c r="M270" s="78"/>
      <c r="N270" s="79"/>
      <c r="O270" s="78"/>
      <c r="Q270" s="30" t="n">
        <f aca="false">IFERROR(MATCH($B$4&amp;"|- Lane "&amp;D270&amp;" - "&amp;B270&amp;"|"&amp;C270,'Reguler Class Availability'!$L:$L,0),"")</f>
        <v>597</v>
      </c>
      <c r="BD270" s="30" t="s">
        <v>138</v>
      </c>
      <c r="BE270" s="30" t="n">
        <f aca="false">IF(COUNTIFS('Reguler Class Availability'!$L:$L,$B$4&amp;"|- Lane 5 - *|"&amp;BD270)&gt;0,1,0)</f>
        <v>0</v>
      </c>
      <c r="BF270" s="30" t="n">
        <f aca="false">BE270+BF269</f>
        <v>6</v>
      </c>
    </row>
    <row r="271" customFormat="false" ht="52.5" hidden="false" customHeight="true" outlineLevel="0" collapsed="false">
      <c r="A271" s="76" t="n">
        <v>145</v>
      </c>
      <c r="B271" s="77" t="s">
        <v>80</v>
      </c>
      <c r="C271" s="76" t="s">
        <v>132</v>
      </c>
      <c r="D271" s="76" t="n">
        <v>2</v>
      </c>
      <c r="E271" s="77" t="str">
        <f aca="false">IF($Q271="","Tidak ada di data",IF(AND(IFERROR(--(INDEX('Reguler Class Availability'!$F:$F,$Q271)&amp;""),0)=0,IFERROR(--(INDEX('Reguler Class Availability'!$G:$G,$Q271)&amp;""),0)=0),"Tutup",IF(IFERROR(--(INDEX('Reguler Class Availability'!$G:$G,$Q271)&amp;""),0)&gt;IFERROR(--(INDEX('Reguler Class Availability'!$F:$F,$Q271)&amp;""),0),"Lebih",IF(IFERROR(--(INDEX('Reguler Class Availability'!$G:$G,$Q271)&amp;""),0)=IFERROR(--(INDEX('Reguler Class Availability'!$F:$F,$Q271)&amp;""),0),"Penuh",IF(IFERROR(--(INDEX('Reguler Class Availability'!$G:$G,$Q271)&amp;""),0)=0,IF(INDEX('Reguler Class Availability'!$B:$B,$Q271)&amp;""="","Kosong","Belum terisi"),IF(IFERROR(--(INDEX('Reguler Class Availability'!$G:$G,$Q271)&amp;""),0)/IFERROR(--(INDEX('Reguler Class Availability'!$F:$F,$Q271)&amp;""),0)&gt;=0.6,"Tinggi","Sebagian"))))))</f>
        <v>Belum terisi</v>
      </c>
      <c r="F271" s="77" t="str">
        <f aca="false">IF($Q271="","",PROPER(INDEX('Reguler Class Availability'!$B:$B,$Q271)&amp;""))</f>
        <v>Tiny</v>
      </c>
      <c r="G271" s="76" t="n">
        <f aca="false">IF($Q271="","",IFERROR(--(INDEX('Reguler Class Availability'!$F:$F,$Q271)&amp;""),0))</f>
        <v>5</v>
      </c>
      <c r="H271" s="77" t="str">
        <f aca="false">IF($Q271="","",PROPER(INDEX('Reguler Class Availability'!$I:$I,$Q271)&amp;"")&amp;IF(INDEX('Reguler Class Availability'!$J:$J,$Q271)&amp;""="",""," + asst "&amp;PROPER(INDEX('Reguler Class Availability'!$J:$J,$Q271)&amp;"")))</f>
        <v/>
      </c>
      <c r="I271" s="77" t="s">
        <v>327</v>
      </c>
      <c r="J271" s="77" t="s">
        <v>186</v>
      </c>
      <c r="K271" s="78"/>
      <c r="L271" s="78"/>
      <c r="M271" s="78"/>
      <c r="N271" s="79"/>
      <c r="O271" s="78"/>
      <c r="Q271" s="30" t="n">
        <f aca="false">IFERROR(MATCH($B$4&amp;"|- Lane "&amp;D271&amp;" - "&amp;B271&amp;"|"&amp;C271,'Reguler Class Availability'!$L:$L,0),"")</f>
        <v>695</v>
      </c>
      <c r="BD271" s="30" t="s">
        <v>139</v>
      </c>
      <c r="BE271" s="30" t="n">
        <f aca="false">IF(COUNTIFS('Reguler Class Availability'!$L:$L,$B$4&amp;"|- Lane 5 - *|"&amp;BD271)&gt;0,1,0)</f>
        <v>1</v>
      </c>
      <c r="BF271" s="30" t="n">
        <f aca="false">BE271+BF270</f>
        <v>7</v>
      </c>
    </row>
    <row r="272" customFormat="false" ht="52.5" hidden="false" customHeight="true" outlineLevel="0" collapsed="false">
      <c r="A272" s="76" t="n">
        <v>146</v>
      </c>
      <c r="B272" s="77" t="s">
        <v>80</v>
      </c>
      <c r="C272" s="76" t="s">
        <v>132</v>
      </c>
      <c r="D272" s="76" t="n">
        <v>5</v>
      </c>
      <c r="E272" s="77" t="str">
        <f aca="false">IF($Q272="","Tidak ada di data",IF(AND(IFERROR(--(INDEX('Reguler Class Availability'!$F:$F,$Q272)&amp;""),0)=0,IFERROR(--(INDEX('Reguler Class Availability'!$G:$G,$Q272)&amp;""),0)=0),"Tutup",IF(IFERROR(--(INDEX('Reguler Class Availability'!$G:$G,$Q272)&amp;""),0)&gt;IFERROR(--(INDEX('Reguler Class Availability'!$F:$F,$Q272)&amp;""),0),"Lebih",IF(IFERROR(--(INDEX('Reguler Class Availability'!$G:$G,$Q272)&amp;""),0)=IFERROR(--(INDEX('Reguler Class Availability'!$F:$F,$Q272)&amp;""),0),"Penuh",IF(IFERROR(--(INDEX('Reguler Class Availability'!$G:$G,$Q272)&amp;""),0)=0,IF(INDEX('Reguler Class Availability'!$B:$B,$Q272)&amp;""="","Kosong","Belum terisi"),IF(IFERROR(--(INDEX('Reguler Class Availability'!$G:$G,$Q272)&amp;""),0)/IFERROR(--(INDEX('Reguler Class Availability'!$F:$F,$Q272)&amp;""),0)&gt;=0.6,"Tinggi","Sebagian"))))))</f>
        <v>Belum terisi</v>
      </c>
      <c r="F272" s="77" t="str">
        <f aca="false">IF($Q272="","",PROPER(INDEX('Reguler Class Availability'!$B:$B,$Q272)&amp;""))</f>
        <v>Little</v>
      </c>
      <c r="G272" s="76" t="n">
        <f aca="false">IF($Q272="","",IFERROR(--(INDEX('Reguler Class Availability'!$F:$F,$Q272)&amp;""),0))</f>
        <v>5</v>
      </c>
      <c r="H272" s="77" t="str">
        <f aca="false">IF($Q272="","",PROPER(INDEX('Reguler Class Availability'!$I:$I,$Q272)&amp;"")&amp;IF(INDEX('Reguler Class Availability'!$J:$J,$Q272)&amp;""="",""," + asst "&amp;PROPER(INDEX('Reguler Class Availability'!$J:$J,$Q272)&amp;"")))</f>
        <v/>
      </c>
      <c r="I272" s="77" t="s">
        <v>327</v>
      </c>
      <c r="J272" s="77" t="s">
        <v>186</v>
      </c>
      <c r="K272" s="78"/>
      <c r="L272" s="78"/>
      <c r="M272" s="78"/>
      <c r="N272" s="79"/>
      <c r="O272" s="78"/>
      <c r="Q272" s="30" t="n">
        <f aca="false">IFERROR(MATCH($B$4&amp;"|- Lane "&amp;D272&amp;" - "&amp;B272&amp;"|"&amp;C272,'Reguler Class Availability'!$L:$L,0),"")</f>
        <v>947</v>
      </c>
      <c r="BD272" s="30" t="s">
        <v>141</v>
      </c>
      <c r="BE272" s="30" t="n">
        <f aca="false">IF(COUNTIFS('Reguler Class Availability'!$L:$L,$B$4&amp;"|- Lane 5 - *|"&amp;BD272)&gt;0,1,0)</f>
        <v>0</v>
      </c>
      <c r="BF272" s="30" t="n">
        <f aca="false">BE272+BF271</f>
        <v>7</v>
      </c>
    </row>
    <row r="273" customFormat="false" ht="52.5" hidden="false" customHeight="true" outlineLevel="0" collapsed="false">
      <c r="A273" s="76" t="n">
        <v>147</v>
      </c>
      <c r="B273" s="77" t="s">
        <v>80</v>
      </c>
      <c r="C273" s="76" t="s">
        <v>139</v>
      </c>
      <c r="D273" s="76" t="n">
        <v>2</v>
      </c>
      <c r="E273" s="77" t="str">
        <f aca="false">IF($Q273="","Tidak ada di data",IF(AND(IFERROR(--(INDEX('Reguler Class Availability'!$F:$F,$Q273)&amp;""),0)=0,IFERROR(--(INDEX('Reguler Class Availability'!$G:$G,$Q273)&amp;""),0)=0),"Tutup",IF(IFERROR(--(INDEX('Reguler Class Availability'!$G:$G,$Q273)&amp;""),0)&gt;IFERROR(--(INDEX('Reguler Class Availability'!$F:$F,$Q273)&amp;""),0),"Lebih",IF(IFERROR(--(INDEX('Reguler Class Availability'!$G:$G,$Q273)&amp;""),0)=IFERROR(--(INDEX('Reguler Class Availability'!$F:$F,$Q273)&amp;""),0),"Penuh",IF(IFERROR(--(INDEX('Reguler Class Availability'!$G:$G,$Q273)&amp;""),0)=0,IF(INDEX('Reguler Class Availability'!$B:$B,$Q273)&amp;""="","Kosong","Belum terisi"),IF(IFERROR(--(INDEX('Reguler Class Availability'!$G:$G,$Q273)&amp;""),0)/IFERROR(--(INDEX('Reguler Class Availability'!$F:$F,$Q273)&amp;""),0)&gt;=0.6,"Tinggi","Sebagian"))))))</f>
        <v>Belum terisi</v>
      </c>
      <c r="F273" s="77" t="str">
        <f aca="false">IF($Q273="","",PROPER(INDEX('Reguler Class Availability'!$B:$B,$Q273)&amp;""))</f>
        <v>Tiny</v>
      </c>
      <c r="G273" s="76" t="n">
        <f aca="false">IF($Q273="","",IFERROR(--(INDEX('Reguler Class Availability'!$F:$F,$Q273)&amp;""),0))</f>
        <v>5</v>
      </c>
      <c r="H273" s="77" t="str">
        <f aca="false">IF($Q273="","",PROPER(INDEX('Reguler Class Availability'!$I:$I,$Q273)&amp;"")&amp;IF(INDEX('Reguler Class Availability'!$J:$J,$Q273)&amp;""="",""," + asst "&amp;PROPER(INDEX('Reguler Class Availability'!$J:$J,$Q273)&amp;"")))</f>
        <v> </v>
      </c>
      <c r="I273" s="77" t="s">
        <v>328</v>
      </c>
      <c r="J273" s="77" t="s">
        <v>186</v>
      </c>
      <c r="K273" s="78"/>
      <c r="L273" s="78"/>
      <c r="M273" s="78"/>
      <c r="N273" s="79"/>
      <c r="O273" s="78"/>
      <c r="Q273" s="30" t="n">
        <f aca="false">IFERROR(MATCH($B$4&amp;"|- Lane "&amp;D273&amp;" - "&amp;B273&amp;"|"&amp;C273,'Reguler Class Availability'!$L:$L,0),"")</f>
        <v>696</v>
      </c>
      <c r="BD273" s="30" t="s">
        <v>142</v>
      </c>
      <c r="BE273" s="30" t="n">
        <f aca="false">IF(COUNTIFS('Reguler Class Availability'!$L:$L,$B$4&amp;"|- Lane 5 - *|"&amp;BD273)&gt;0,1,0)</f>
        <v>0</v>
      </c>
      <c r="BF273" s="30" t="n">
        <f aca="false">BE273+BF272</f>
        <v>7</v>
      </c>
    </row>
    <row r="274" customFormat="false" ht="52.5" hidden="false" customHeight="true" outlineLevel="0" collapsed="false">
      <c r="A274" s="76" t="n">
        <v>148</v>
      </c>
      <c r="B274" s="77" t="s">
        <v>80</v>
      </c>
      <c r="C274" s="76" t="s">
        <v>143</v>
      </c>
      <c r="D274" s="76" t="n">
        <v>1</v>
      </c>
      <c r="E274" s="77" t="str">
        <f aca="false">IF($Q274="","Tidak ada di data",IF(AND(IFERROR(--(INDEX('Reguler Class Availability'!$F:$F,$Q274)&amp;""),0)=0,IFERROR(--(INDEX('Reguler Class Availability'!$G:$G,$Q274)&amp;""),0)=0),"Tutup",IF(IFERROR(--(INDEX('Reguler Class Availability'!$G:$G,$Q274)&amp;""),0)&gt;IFERROR(--(INDEX('Reguler Class Availability'!$F:$F,$Q274)&amp;""),0),"Lebih",IF(IFERROR(--(INDEX('Reguler Class Availability'!$G:$G,$Q274)&amp;""),0)=IFERROR(--(INDEX('Reguler Class Availability'!$F:$F,$Q274)&amp;""),0),"Penuh",IF(IFERROR(--(INDEX('Reguler Class Availability'!$G:$G,$Q274)&amp;""),0)=0,IF(INDEX('Reguler Class Availability'!$B:$B,$Q274)&amp;""="","Kosong","Belum terisi"),IF(IFERROR(--(INDEX('Reguler Class Availability'!$G:$G,$Q274)&amp;""),0)/IFERROR(--(INDEX('Reguler Class Availability'!$F:$F,$Q274)&amp;""),0)&gt;=0.6,"Tinggi","Sebagian"))))))</f>
        <v>Belum terisi</v>
      </c>
      <c r="F274" s="77" t="str">
        <f aca="false">IF($Q274="","",PROPER(INDEX('Reguler Class Availability'!$B:$B,$Q274)&amp;""))</f>
        <v>Baby</v>
      </c>
      <c r="G274" s="76" t="n">
        <f aca="false">IF($Q274="","",IFERROR(--(INDEX('Reguler Class Availability'!$F:$F,$Q274)&amp;""),0))</f>
        <v>5</v>
      </c>
      <c r="H274" s="77" t="str">
        <f aca="false">IF($Q274="","",PROPER(INDEX('Reguler Class Availability'!$I:$I,$Q274)&amp;"")&amp;IF(INDEX('Reguler Class Availability'!$J:$J,$Q274)&amp;""="",""," + asst "&amp;PROPER(INDEX('Reguler Class Availability'!$J:$J,$Q274)&amp;"")))</f>
        <v/>
      </c>
      <c r="I274" s="77" t="s">
        <v>329</v>
      </c>
      <c r="J274" s="77" t="s">
        <v>186</v>
      </c>
      <c r="K274" s="78"/>
      <c r="L274" s="78"/>
      <c r="M274" s="78"/>
      <c r="N274" s="79"/>
      <c r="O274" s="78"/>
      <c r="Q274" s="30" t="n">
        <f aca="false">IFERROR(MATCH($B$4&amp;"|- Lane "&amp;D274&amp;" - "&amp;B274&amp;"|"&amp;C274,'Reguler Class Availability'!$L:$L,0),"")</f>
        <v>599</v>
      </c>
      <c r="BD274" s="30" t="s">
        <v>143</v>
      </c>
      <c r="BE274" s="30" t="n">
        <f aca="false">IF(COUNTIFS('Reguler Class Availability'!$L:$L,$B$4&amp;"|- Lane 5 - *|"&amp;BD274)&gt;0,1,0)</f>
        <v>1</v>
      </c>
      <c r="BF274" s="30" t="n">
        <f aca="false">BE274+BF273</f>
        <v>8</v>
      </c>
    </row>
    <row r="275" customFormat="false" ht="52.5" hidden="false" customHeight="true" outlineLevel="0" collapsed="false">
      <c r="A275" s="76" t="n">
        <v>149</v>
      </c>
      <c r="B275" s="77" t="s">
        <v>80</v>
      </c>
      <c r="C275" s="76" t="s">
        <v>143</v>
      </c>
      <c r="D275" s="76" t="n">
        <v>2</v>
      </c>
      <c r="E275" s="77" t="str">
        <f aca="false">IF($Q275="","Tidak ada di data",IF(AND(IFERROR(--(INDEX('Reguler Class Availability'!$F:$F,$Q275)&amp;""),0)=0,IFERROR(--(INDEX('Reguler Class Availability'!$G:$G,$Q275)&amp;""),0)=0),"Tutup",IF(IFERROR(--(INDEX('Reguler Class Availability'!$G:$G,$Q275)&amp;""),0)&gt;IFERROR(--(INDEX('Reguler Class Availability'!$F:$F,$Q275)&amp;""),0),"Lebih",IF(IFERROR(--(INDEX('Reguler Class Availability'!$G:$G,$Q275)&amp;""),0)=IFERROR(--(INDEX('Reguler Class Availability'!$F:$F,$Q275)&amp;""),0),"Penuh",IF(IFERROR(--(INDEX('Reguler Class Availability'!$G:$G,$Q275)&amp;""),0)=0,IF(INDEX('Reguler Class Availability'!$B:$B,$Q275)&amp;""="","Kosong","Belum terisi"),IF(IFERROR(--(INDEX('Reguler Class Availability'!$G:$G,$Q275)&amp;""),0)/IFERROR(--(INDEX('Reguler Class Availability'!$F:$F,$Q275)&amp;""),0)&gt;=0.6,"Tinggi","Sebagian"))))))</f>
        <v>Belum terisi</v>
      </c>
      <c r="F275" s="77" t="str">
        <f aca="false">IF($Q275="","",PROPER(INDEX('Reguler Class Availability'!$B:$B,$Q275)&amp;""))</f>
        <v>Tiny</v>
      </c>
      <c r="G275" s="76" t="n">
        <f aca="false">IF($Q275="","",IFERROR(--(INDEX('Reguler Class Availability'!$F:$F,$Q275)&amp;""),0))</f>
        <v>5</v>
      </c>
      <c r="H275" s="77" t="str">
        <f aca="false">IF($Q275="","",PROPER(INDEX('Reguler Class Availability'!$I:$I,$Q275)&amp;"")&amp;IF(INDEX('Reguler Class Availability'!$J:$J,$Q275)&amp;""="",""," + asst "&amp;PROPER(INDEX('Reguler Class Availability'!$J:$J,$Q275)&amp;"")))</f>
        <v/>
      </c>
      <c r="I275" s="77" t="s">
        <v>329</v>
      </c>
      <c r="J275" s="77" t="s">
        <v>186</v>
      </c>
      <c r="K275" s="78"/>
      <c r="L275" s="78"/>
      <c r="M275" s="78"/>
      <c r="N275" s="79"/>
      <c r="O275" s="78"/>
      <c r="Q275" s="30" t="n">
        <f aca="false">IFERROR(MATCH($B$4&amp;"|- Lane "&amp;D275&amp;" - "&amp;B275&amp;"|"&amp;C275,'Reguler Class Availability'!$L:$L,0),"")</f>
        <v>697</v>
      </c>
      <c r="BD275" s="30" t="s">
        <v>144</v>
      </c>
      <c r="BE275" s="30" t="n">
        <f aca="false">IF(COUNTIFS('Reguler Class Availability'!$L:$L,$B$4&amp;"|- Lane 5 - *|"&amp;BD275)&gt;0,1,0)</f>
        <v>0</v>
      </c>
      <c r="BF275" s="30" t="n">
        <f aca="false">BE275+BF274</f>
        <v>8</v>
      </c>
    </row>
    <row r="276" customFormat="false" ht="27.75" hidden="false" customHeight="true" outlineLevel="0" collapsed="false">
      <c r="A276" s="76" t="n">
        <v>150</v>
      </c>
      <c r="B276" s="77" t="s">
        <v>80</v>
      </c>
      <c r="C276" s="76" t="s">
        <v>146</v>
      </c>
      <c r="D276" s="76" t="n">
        <v>2</v>
      </c>
      <c r="E276" s="77" t="str">
        <f aca="false">IF($Q276="","Tidak ada di data",IF(AND(IFERROR(--(INDEX('Reguler Class Availability'!$F:$F,$Q276)&amp;""),0)=0,IFERROR(--(INDEX('Reguler Class Availability'!$G:$G,$Q276)&amp;""),0)=0),"Tutup",IF(IFERROR(--(INDEX('Reguler Class Availability'!$G:$G,$Q276)&amp;""),0)&gt;IFERROR(--(INDEX('Reguler Class Availability'!$F:$F,$Q276)&amp;""),0),"Lebih",IF(IFERROR(--(INDEX('Reguler Class Availability'!$G:$G,$Q276)&amp;""),0)=IFERROR(--(INDEX('Reguler Class Availability'!$F:$F,$Q276)&amp;""),0),"Penuh",IF(IFERROR(--(INDEX('Reguler Class Availability'!$G:$G,$Q276)&amp;""),0)=0,IF(INDEX('Reguler Class Availability'!$B:$B,$Q276)&amp;""="","Kosong","Belum terisi"),IF(IFERROR(--(INDEX('Reguler Class Availability'!$G:$G,$Q276)&amp;""),0)/IFERROR(--(INDEX('Reguler Class Availability'!$F:$F,$Q276)&amp;""),0)&gt;=0.6,"Tinggi","Sebagian"))))))</f>
        <v>Belum terisi</v>
      </c>
      <c r="F276" s="77" t="str">
        <f aca="false">IF($Q276="","",PROPER(INDEX('Reguler Class Availability'!$B:$B,$Q276)&amp;""))</f>
        <v>Tiny</v>
      </c>
      <c r="G276" s="76" t="n">
        <f aca="false">IF($Q276="","",IFERROR(--(INDEX('Reguler Class Availability'!$F:$F,$Q276)&amp;""),0))</f>
        <v>5</v>
      </c>
      <c r="H276" s="77" t="str">
        <f aca="false">IF($Q276="","",PROPER(INDEX('Reguler Class Availability'!$I:$I,$Q276)&amp;"")&amp;IF(INDEX('Reguler Class Availability'!$J:$J,$Q276)&amp;""="",""," + asst "&amp;PROPER(INDEX('Reguler Class Availability'!$J:$J,$Q276)&amp;"")))</f>
        <v/>
      </c>
      <c r="I276" s="77" t="s">
        <v>330</v>
      </c>
      <c r="J276" s="77" t="s">
        <v>186</v>
      </c>
      <c r="K276" s="78"/>
      <c r="L276" s="78"/>
      <c r="M276" s="78"/>
      <c r="N276" s="79"/>
      <c r="O276" s="78"/>
      <c r="Q276" s="30" t="n">
        <f aca="false">IFERROR(MATCH($B$4&amp;"|- Lane "&amp;D276&amp;" - "&amp;B276&amp;"|"&amp;C276,'Reguler Class Availability'!$L:$L,0),"")</f>
        <v>698</v>
      </c>
      <c r="BD276" s="30" t="s">
        <v>145</v>
      </c>
      <c r="BE276" s="30" t="n">
        <f aca="false">IF(COUNTIFS('Reguler Class Availability'!$L:$L,$B$4&amp;"|- Lane 5 - *|"&amp;BD276)&gt;0,1,0)</f>
        <v>0</v>
      </c>
      <c r="BF276" s="30" t="n">
        <f aca="false">BE276+BF275</f>
        <v>8</v>
      </c>
    </row>
    <row r="277" customFormat="false" ht="27.75" hidden="false" customHeight="true" outlineLevel="0" collapsed="false">
      <c r="A277" s="76" t="n">
        <v>151</v>
      </c>
      <c r="B277" s="77" t="s">
        <v>80</v>
      </c>
      <c r="C277" s="76" t="s">
        <v>146</v>
      </c>
      <c r="D277" s="76" t="n">
        <v>5</v>
      </c>
      <c r="E277" s="77" t="str">
        <f aca="false">IF($Q277="","Tidak ada di data",IF(AND(IFERROR(--(INDEX('Reguler Class Availability'!$F:$F,$Q277)&amp;""),0)=0,IFERROR(--(INDEX('Reguler Class Availability'!$G:$G,$Q277)&amp;""),0)=0),"Tutup",IF(IFERROR(--(INDEX('Reguler Class Availability'!$G:$G,$Q277)&amp;""),0)&gt;IFERROR(--(INDEX('Reguler Class Availability'!$F:$F,$Q277)&amp;""),0),"Lebih",IF(IFERROR(--(INDEX('Reguler Class Availability'!$G:$G,$Q277)&amp;""),0)=IFERROR(--(INDEX('Reguler Class Availability'!$F:$F,$Q277)&amp;""),0),"Penuh",IF(IFERROR(--(INDEX('Reguler Class Availability'!$G:$G,$Q277)&amp;""),0)=0,IF(INDEX('Reguler Class Availability'!$B:$B,$Q277)&amp;""="","Kosong","Belum terisi"),IF(IFERROR(--(INDEX('Reguler Class Availability'!$G:$G,$Q277)&amp;""),0)/IFERROR(--(INDEX('Reguler Class Availability'!$F:$F,$Q277)&amp;""),0)&gt;=0.6,"Tinggi","Sebagian"))))))</f>
        <v>Belum terisi</v>
      </c>
      <c r="F277" s="77" t="str">
        <f aca="false">IF($Q277="","",PROPER(INDEX('Reguler Class Availability'!$B:$B,$Q277)&amp;""))</f>
        <v>Little</v>
      </c>
      <c r="G277" s="76" t="n">
        <f aca="false">IF($Q277="","",IFERROR(--(INDEX('Reguler Class Availability'!$F:$F,$Q277)&amp;""),0))</f>
        <v>4</v>
      </c>
      <c r="H277" s="77" t="str">
        <f aca="false">IF($Q277="","",PROPER(INDEX('Reguler Class Availability'!$I:$I,$Q277)&amp;"")&amp;IF(INDEX('Reguler Class Availability'!$J:$J,$Q277)&amp;""="",""," + asst "&amp;PROPER(INDEX('Reguler Class Availability'!$J:$J,$Q277)&amp;"")))</f>
        <v>Eriek</v>
      </c>
      <c r="I277" s="77" t="s">
        <v>330</v>
      </c>
      <c r="J277" s="77" t="s">
        <v>186</v>
      </c>
      <c r="K277" s="78"/>
      <c r="L277" s="78"/>
      <c r="M277" s="78"/>
      <c r="N277" s="79"/>
      <c r="O277" s="78"/>
      <c r="Q277" s="30" t="n">
        <f aca="false">IFERROR(MATCH($B$4&amp;"|- Lane "&amp;D277&amp;" - "&amp;B277&amp;"|"&amp;C277,'Reguler Class Availability'!$L:$L,0),"")</f>
        <v>950</v>
      </c>
      <c r="BD277" s="30" t="s">
        <v>146</v>
      </c>
      <c r="BE277" s="30" t="n">
        <f aca="false">IF(COUNTIFS('Reguler Class Availability'!$L:$L,$B$4&amp;"|- Lane 5 - *|"&amp;BD277)&gt;0,1,0)</f>
        <v>1</v>
      </c>
      <c r="BF277" s="30" t="n">
        <f aca="false">BE277+BF276</f>
        <v>9</v>
      </c>
    </row>
    <row r="278" customFormat="false" ht="52.5" hidden="false" customHeight="true" outlineLevel="0" collapsed="false">
      <c r="A278" s="76" t="n">
        <v>152</v>
      </c>
      <c r="B278" s="77" t="s">
        <v>80</v>
      </c>
      <c r="C278" s="76" t="s">
        <v>155</v>
      </c>
      <c r="D278" s="76" t="n">
        <v>1</v>
      </c>
      <c r="E278" s="77" t="str">
        <f aca="false">IF($Q278="","Tidak ada di data",IF(AND(IFERROR(--(INDEX('Reguler Class Availability'!$F:$F,$Q278)&amp;""),0)=0,IFERROR(--(INDEX('Reguler Class Availability'!$G:$G,$Q278)&amp;""),0)=0),"Tutup",IF(IFERROR(--(INDEX('Reguler Class Availability'!$G:$G,$Q278)&amp;""),0)&gt;IFERROR(--(INDEX('Reguler Class Availability'!$F:$F,$Q278)&amp;""),0),"Lebih",IF(IFERROR(--(INDEX('Reguler Class Availability'!$G:$G,$Q278)&amp;""),0)=IFERROR(--(INDEX('Reguler Class Availability'!$F:$F,$Q278)&amp;""),0),"Penuh",IF(IFERROR(--(INDEX('Reguler Class Availability'!$G:$G,$Q278)&amp;""),0)=0,IF(INDEX('Reguler Class Availability'!$B:$B,$Q278)&amp;""="","Kosong","Belum terisi"),IF(IFERROR(--(INDEX('Reguler Class Availability'!$G:$G,$Q278)&amp;""),0)/IFERROR(--(INDEX('Reguler Class Availability'!$F:$F,$Q278)&amp;""),0)&gt;=0.6,"Tinggi","Sebagian"))))))</f>
        <v>Belum terisi</v>
      </c>
      <c r="F278" s="77" t="str">
        <f aca="false">IF($Q278="","",PROPER(INDEX('Reguler Class Availability'!$B:$B,$Q278)&amp;""))</f>
        <v>Baby</v>
      </c>
      <c r="G278" s="76" t="n">
        <f aca="false">IF($Q278="","",IFERROR(--(INDEX('Reguler Class Availability'!$F:$F,$Q278)&amp;""),0))</f>
        <v>5</v>
      </c>
      <c r="H278" s="77" t="str">
        <f aca="false">IF($Q278="","",PROPER(INDEX('Reguler Class Availability'!$I:$I,$Q278)&amp;"")&amp;IF(INDEX('Reguler Class Availability'!$J:$J,$Q278)&amp;""="",""," + asst "&amp;PROPER(INDEX('Reguler Class Availability'!$J:$J,$Q278)&amp;"")))</f>
        <v/>
      </c>
      <c r="I278" s="77" t="s">
        <v>331</v>
      </c>
      <c r="J278" s="77" t="s">
        <v>186</v>
      </c>
      <c r="K278" s="78"/>
      <c r="L278" s="78"/>
      <c r="M278" s="78"/>
      <c r="N278" s="79"/>
      <c r="O278" s="78"/>
      <c r="Q278" s="30" t="n">
        <f aca="false">IFERROR(MATCH($B$4&amp;"|- Lane "&amp;D278&amp;" - "&amp;B278&amp;"|"&amp;C278,'Reguler Class Availability'!$L:$L,0),"")</f>
        <v>603</v>
      </c>
      <c r="BD278" s="30" t="s">
        <v>147</v>
      </c>
      <c r="BE278" s="30" t="n">
        <f aca="false">IF(COUNTIFS('Reguler Class Availability'!$L:$L,$B$4&amp;"|- Lane 5 - *|"&amp;BD278)&gt;0,1,0)</f>
        <v>0</v>
      </c>
      <c r="BF278" s="30" t="n">
        <f aca="false">BE278+BF277</f>
        <v>9</v>
      </c>
    </row>
    <row r="279" customFormat="false" ht="52.5" hidden="false" customHeight="true" outlineLevel="0" collapsed="false">
      <c r="A279" s="76" t="n">
        <v>153</v>
      </c>
      <c r="B279" s="77" t="s">
        <v>80</v>
      </c>
      <c r="C279" s="76" t="s">
        <v>155</v>
      </c>
      <c r="D279" s="76" t="n">
        <v>2</v>
      </c>
      <c r="E279" s="77" t="str">
        <f aca="false">IF($Q279="","Tidak ada di data",IF(AND(IFERROR(--(INDEX('Reguler Class Availability'!$F:$F,$Q279)&amp;""),0)=0,IFERROR(--(INDEX('Reguler Class Availability'!$G:$G,$Q279)&amp;""),0)=0),"Tutup",IF(IFERROR(--(INDEX('Reguler Class Availability'!$G:$G,$Q279)&amp;""),0)&gt;IFERROR(--(INDEX('Reguler Class Availability'!$F:$F,$Q279)&amp;""),0),"Lebih",IF(IFERROR(--(INDEX('Reguler Class Availability'!$G:$G,$Q279)&amp;""),0)=IFERROR(--(INDEX('Reguler Class Availability'!$F:$F,$Q279)&amp;""),0),"Penuh",IF(IFERROR(--(INDEX('Reguler Class Availability'!$G:$G,$Q279)&amp;""),0)=0,IF(INDEX('Reguler Class Availability'!$B:$B,$Q279)&amp;""="","Kosong","Belum terisi"),IF(IFERROR(--(INDEX('Reguler Class Availability'!$G:$G,$Q279)&amp;""),0)/IFERROR(--(INDEX('Reguler Class Availability'!$F:$F,$Q279)&amp;""),0)&gt;=0.6,"Tinggi","Sebagian"))))))</f>
        <v>Belum terisi</v>
      </c>
      <c r="F279" s="77" t="str">
        <f aca="false">IF($Q279="","",PROPER(INDEX('Reguler Class Availability'!$B:$B,$Q279)&amp;""))</f>
        <v>Tiny</v>
      </c>
      <c r="G279" s="76" t="n">
        <f aca="false">IF($Q279="","",IFERROR(--(INDEX('Reguler Class Availability'!$F:$F,$Q279)&amp;""),0))</f>
        <v>5</v>
      </c>
      <c r="H279" s="77" t="str">
        <f aca="false">IF($Q279="","",PROPER(INDEX('Reguler Class Availability'!$I:$I,$Q279)&amp;"")&amp;IF(INDEX('Reguler Class Availability'!$J:$J,$Q279)&amp;""="",""," + asst "&amp;PROPER(INDEX('Reguler Class Availability'!$J:$J,$Q279)&amp;"")))</f>
        <v> </v>
      </c>
      <c r="I279" s="77" t="s">
        <v>331</v>
      </c>
      <c r="J279" s="77" t="s">
        <v>186</v>
      </c>
      <c r="K279" s="78"/>
      <c r="L279" s="78"/>
      <c r="M279" s="78"/>
      <c r="N279" s="79"/>
      <c r="O279" s="78"/>
      <c r="Q279" s="30" t="n">
        <f aca="false">IFERROR(MATCH($B$4&amp;"|- Lane "&amp;D279&amp;" - "&amp;B279&amp;"|"&amp;C279,'Reguler Class Availability'!$L:$L,0),"")</f>
        <v>701</v>
      </c>
      <c r="BD279" s="30" t="s">
        <v>148</v>
      </c>
      <c r="BE279" s="30" t="n">
        <f aca="false">IF(COUNTIFS('Reguler Class Availability'!$L:$L,$B$4&amp;"|- Lane 5 - *|"&amp;BD279)&gt;0,1,0)</f>
        <v>0</v>
      </c>
      <c r="BF279" s="30" t="n">
        <f aca="false">BE279+BF278</f>
        <v>9</v>
      </c>
    </row>
    <row r="280" customFormat="false" ht="52.5" hidden="false" customHeight="true" outlineLevel="0" collapsed="false">
      <c r="A280" s="76" t="n">
        <v>154</v>
      </c>
      <c r="B280" s="77" t="s">
        <v>80</v>
      </c>
      <c r="C280" s="76" t="s">
        <v>155</v>
      </c>
      <c r="D280" s="76" t="n">
        <v>5</v>
      </c>
      <c r="E280" s="77" t="str">
        <f aca="false">IF($Q280="","Tidak ada di data",IF(AND(IFERROR(--(INDEX('Reguler Class Availability'!$F:$F,$Q280)&amp;""),0)=0,IFERROR(--(INDEX('Reguler Class Availability'!$G:$G,$Q280)&amp;""),0)=0),"Tutup",IF(IFERROR(--(INDEX('Reguler Class Availability'!$G:$G,$Q280)&amp;""),0)&gt;IFERROR(--(INDEX('Reguler Class Availability'!$F:$F,$Q280)&amp;""),0),"Lebih",IF(IFERROR(--(INDEX('Reguler Class Availability'!$G:$G,$Q280)&amp;""),0)=IFERROR(--(INDEX('Reguler Class Availability'!$F:$F,$Q280)&amp;""),0),"Penuh",IF(IFERROR(--(INDEX('Reguler Class Availability'!$G:$G,$Q280)&amp;""),0)=0,IF(INDEX('Reguler Class Availability'!$B:$B,$Q280)&amp;""="","Kosong","Belum terisi"),IF(IFERROR(--(INDEX('Reguler Class Availability'!$G:$G,$Q280)&amp;""),0)/IFERROR(--(INDEX('Reguler Class Availability'!$F:$F,$Q280)&amp;""),0)&gt;=0.6,"Tinggi","Sebagian"))))))</f>
        <v>Belum terisi</v>
      </c>
      <c r="F280" s="77" t="str">
        <f aca="false">IF($Q280="","",PROPER(INDEX('Reguler Class Availability'!$B:$B,$Q280)&amp;""))</f>
        <v>Little</v>
      </c>
      <c r="G280" s="76" t="n">
        <f aca="false">IF($Q280="","",IFERROR(--(INDEX('Reguler Class Availability'!$F:$F,$Q280)&amp;""),0))</f>
        <v>5</v>
      </c>
      <c r="H280" s="77" t="str">
        <f aca="false">IF($Q280="","",PROPER(INDEX('Reguler Class Availability'!$I:$I,$Q280)&amp;"")&amp;IF(INDEX('Reguler Class Availability'!$J:$J,$Q280)&amp;""="",""," + asst "&amp;PROPER(INDEX('Reguler Class Availability'!$J:$J,$Q280)&amp;"")))</f>
        <v/>
      </c>
      <c r="I280" s="77" t="s">
        <v>331</v>
      </c>
      <c r="J280" s="77" t="s">
        <v>186</v>
      </c>
      <c r="K280" s="78"/>
      <c r="L280" s="78"/>
      <c r="M280" s="78"/>
      <c r="N280" s="79"/>
      <c r="O280" s="78"/>
      <c r="Q280" s="30" t="n">
        <f aca="false">IFERROR(MATCH($B$4&amp;"|- Lane "&amp;D280&amp;" - "&amp;B280&amp;"|"&amp;C280,'Reguler Class Availability'!$L:$L,0),"")</f>
        <v>953</v>
      </c>
      <c r="BD280" s="30" t="s">
        <v>149</v>
      </c>
      <c r="BE280" s="30" t="n">
        <f aca="false">IF(COUNTIFS('Reguler Class Availability'!$L:$L,$B$4&amp;"|- Lane 5 - *|"&amp;BD280)&gt;0,1,0)</f>
        <v>1</v>
      </c>
      <c r="BF280" s="30" t="n">
        <f aca="false">BE280+BF279</f>
        <v>10</v>
      </c>
    </row>
    <row r="281" customFormat="false" ht="65.25" hidden="false" customHeight="true" outlineLevel="0" collapsed="false">
      <c r="A281" s="76" t="n">
        <v>155</v>
      </c>
      <c r="B281" s="77" t="s">
        <v>80</v>
      </c>
      <c r="C281" s="76" t="s">
        <v>160</v>
      </c>
      <c r="D281" s="76" t="n">
        <v>1</v>
      </c>
      <c r="E281" s="77" t="str">
        <f aca="false">IF($Q281="","Tidak ada di data",IF(AND(IFERROR(--(INDEX('Reguler Class Availability'!$F:$F,$Q281)&amp;""),0)=0,IFERROR(--(INDEX('Reguler Class Availability'!$G:$G,$Q281)&amp;""),0)=0),"Tutup",IF(IFERROR(--(INDEX('Reguler Class Availability'!$G:$G,$Q281)&amp;""),0)&gt;IFERROR(--(INDEX('Reguler Class Availability'!$F:$F,$Q281)&amp;""),0),"Lebih",IF(IFERROR(--(INDEX('Reguler Class Availability'!$G:$G,$Q281)&amp;""),0)=IFERROR(--(INDEX('Reguler Class Availability'!$F:$F,$Q281)&amp;""),0),"Penuh",IF(IFERROR(--(INDEX('Reguler Class Availability'!$G:$G,$Q281)&amp;""),0)=0,IF(INDEX('Reguler Class Availability'!$B:$B,$Q281)&amp;""="","Kosong","Belum terisi"),IF(IFERROR(--(INDEX('Reguler Class Availability'!$G:$G,$Q281)&amp;""),0)/IFERROR(--(INDEX('Reguler Class Availability'!$F:$F,$Q281)&amp;""),0)&gt;=0.6,"Tinggi","Sebagian"))))))</f>
        <v>Belum terisi</v>
      </c>
      <c r="F281" s="77" t="str">
        <f aca="false">IF($Q281="","",PROPER(INDEX('Reguler Class Availability'!$B:$B,$Q281)&amp;""))</f>
        <v>Star</v>
      </c>
      <c r="G281" s="76" t="n">
        <f aca="false">IF($Q281="","",IFERROR(--(INDEX('Reguler Class Availability'!$F:$F,$Q281)&amp;""),0))</f>
        <v>8</v>
      </c>
      <c r="H281" s="77" t="str">
        <f aca="false">IF($Q281="","",PROPER(INDEX('Reguler Class Availability'!$I:$I,$Q281)&amp;"")&amp;IF(INDEX('Reguler Class Availability'!$J:$J,$Q281)&amp;""="",""," + asst "&amp;PROPER(INDEX('Reguler Class Availability'!$J:$J,$Q281)&amp;"")))</f>
        <v/>
      </c>
      <c r="I281" s="77" t="s">
        <v>326</v>
      </c>
      <c r="J281" s="77" t="s">
        <v>186</v>
      </c>
      <c r="K281" s="78"/>
      <c r="L281" s="78"/>
      <c r="M281" s="78"/>
      <c r="N281" s="79"/>
      <c r="O281" s="78"/>
      <c r="Q281" s="30" t="n">
        <f aca="false">IFERROR(MATCH($B$4&amp;"|- Lane "&amp;D281&amp;" - "&amp;B281&amp;"|"&amp;C281,'Reguler Class Availability'!$L:$L,0),"")</f>
        <v>617</v>
      </c>
      <c r="BD281" s="30" t="s">
        <v>150</v>
      </c>
      <c r="BE281" s="30" t="n">
        <f aca="false">IF(COUNTIFS('Reguler Class Availability'!$L:$L,$B$4&amp;"|- Lane 5 - *|"&amp;BD281)&gt;0,1,0)</f>
        <v>0</v>
      </c>
      <c r="BF281" s="30" t="n">
        <f aca="false">BE281+BF280</f>
        <v>10</v>
      </c>
    </row>
    <row r="282" customFormat="false" ht="15" hidden="false" customHeight="false" outlineLevel="0" collapsed="false">
      <c r="BD282" s="0" t="s">
        <v>151</v>
      </c>
      <c r="BE282" s="0" t="n">
        <f aca="false">IF(COUNTIFS('Reguler Class Availability'!$L:$L,$B$4&amp;"|- Lane 5 - *|"&amp;BD282)&gt;0,1,0)</f>
        <v>0</v>
      </c>
      <c r="BF282" s="0" t="n">
        <f aca="false">BE282+BF281</f>
        <v>10</v>
      </c>
    </row>
    <row r="283" customFormat="false" ht="15" hidden="false" customHeight="false" outlineLevel="0" collapsed="false">
      <c r="BD283" s="0" t="s">
        <v>152</v>
      </c>
      <c r="BE283" s="0" t="n">
        <f aca="false">IF(COUNTIFS('Reguler Class Availability'!$L:$L,$B$4&amp;"|- Lane 5 - *|"&amp;BD283)&gt;0,1,0)</f>
        <v>1</v>
      </c>
      <c r="BF283" s="0" t="n">
        <f aca="false">BE283+BF282</f>
        <v>11</v>
      </c>
    </row>
    <row r="284" customFormat="false" ht="16.15" hidden="false" customHeight="false" outlineLevel="0" collapsed="false">
      <c r="A284" s="81" t="s">
        <v>244</v>
      </c>
      <c r="B284" s="62"/>
      <c r="C284" s="62"/>
      <c r="D284" s="62"/>
      <c r="E284" s="62"/>
      <c r="F284" s="62"/>
      <c r="G284" s="62"/>
      <c r="H284" s="62"/>
      <c r="I284" s="62"/>
      <c r="J284" s="62"/>
      <c r="K284" s="62"/>
      <c r="L284" s="62"/>
      <c r="M284" s="62"/>
      <c r="N284" s="62"/>
      <c r="BD284" s="30" t="s">
        <v>153</v>
      </c>
      <c r="BE284" s="30" t="n">
        <f aca="false">IF(COUNTIFS('Reguler Class Availability'!$L:$L,$B$4&amp;"|- Lane 5 - *|"&amp;BD284)&gt;0,1,0)</f>
        <v>0</v>
      </c>
      <c r="BF284" s="30" t="n">
        <f aca="false">BE284+BF283</f>
        <v>11</v>
      </c>
    </row>
    <row r="285" customFormat="false" ht="15" hidden="false" customHeight="false" outlineLevel="0" collapsed="false">
      <c r="A285" s="73" t="s">
        <v>245</v>
      </c>
      <c r="BD285" s="30" t="s">
        <v>154</v>
      </c>
      <c r="BE285" s="30" t="n">
        <f aca="false">IF(COUNTIFS('Reguler Class Availability'!$L:$L,$B$4&amp;"|- Lane 5 - *|"&amp;BD285)&gt;0,1,0)</f>
        <v>0</v>
      </c>
      <c r="BF285" s="30" t="n">
        <f aca="false">BE285+BF284</f>
        <v>11</v>
      </c>
    </row>
    <row r="286" customFormat="false" ht="22.35" hidden="false" customHeight="false" outlineLevel="0" collapsed="false">
      <c r="A286" s="74" t="s">
        <v>178</v>
      </c>
      <c r="B286" s="74" t="s">
        <v>246</v>
      </c>
      <c r="C286" s="74" t="s">
        <v>247</v>
      </c>
      <c r="D286" s="74" t="s">
        <v>114</v>
      </c>
      <c r="E286" s="74" t="s">
        <v>115</v>
      </c>
      <c r="F286" s="74" t="s">
        <v>116</v>
      </c>
      <c r="G286" s="74" t="s">
        <v>117</v>
      </c>
      <c r="H286" s="74" t="s">
        <v>118</v>
      </c>
      <c r="I286" s="74" t="s">
        <v>119</v>
      </c>
      <c r="J286" s="74" t="s">
        <v>80</v>
      </c>
      <c r="K286" s="74" t="s">
        <v>248</v>
      </c>
      <c r="L286" s="74" t="s">
        <v>249</v>
      </c>
      <c r="M286" s="74" t="s">
        <v>250</v>
      </c>
      <c r="BD286" s="30" t="s">
        <v>155</v>
      </c>
      <c r="BE286" s="30" t="n">
        <f aca="false">IF(COUNTIFS('Reguler Class Availability'!$L:$L,$B$4&amp;"|- Lane 5 - *|"&amp;BD286)&gt;0,1,0)</f>
        <v>1</v>
      </c>
      <c r="BF286" s="30" t="n">
        <f aca="false">BE286+BF285</f>
        <v>12</v>
      </c>
    </row>
    <row r="287" customFormat="false" ht="15" hidden="false" customHeight="false" outlineLevel="0" collapsed="false">
      <c r="A287" s="82" t="n">
        <v>1</v>
      </c>
      <c r="B287" s="83" t="s">
        <v>332</v>
      </c>
      <c r="C287" s="84" t="s">
        <v>186</v>
      </c>
      <c r="D287" s="85" t="n">
        <f aca="false">COUNTIFS('Reguler Class Availability'!$A:$A,$B$4,'Reguler Class Availability'!$I:$I,$B287,'Reguler Class Availability'!$C:$C,"* - "&amp;D$286)+COUNTIFS('Reguler Class Availability'!$A:$A,$B$4,'Reguler Class Availability'!$J:$J,$B287,'Reguler Class Availability'!$C:$C,"* - "&amp;D$286)</f>
        <v>4</v>
      </c>
      <c r="E287" s="85" t="n">
        <f aca="false">COUNTIFS('Reguler Class Availability'!$A:$A,$B$4,'Reguler Class Availability'!$I:$I,$B287,'Reguler Class Availability'!$C:$C,"* - "&amp;E$286)+COUNTIFS('Reguler Class Availability'!$A:$A,$B$4,'Reguler Class Availability'!$J:$J,$B287,'Reguler Class Availability'!$C:$C,"* - "&amp;E$286)</f>
        <v>7</v>
      </c>
      <c r="F287" s="85" t="n">
        <f aca="false">COUNTIFS('Reguler Class Availability'!$A:$A,$B$4,'Reguler Class Availability'!$I:$I,$B287,'Reguler Class Availability'!$C:$C,"* - "&amp;F$286)+COUNTIFS('Reguler Class Availability'!$A:$A,$B$4,'Reguler Class Availability'!$J:$J,$B287,'Reguler Class Availability'!$C:$C,"* - "&amp;F$286)</f>
        <v>0</v>
      </c>
      <c r="G287" s="85" t="n">
        <f aca="false">COUNTIFS('Reguler Class Availability'!$A:$A,$B$4,'Reguler Class Availability'!$I:$I,$B287,'Reguler Class Availability'!$C:$C,"* - "&amp;G$286)+COUNTIFS('Reguler Class Availability'!$A:$A,$B$4,'Reguler Class Availability'!$J:$J,$B287,'Reguler Class Availability'!$C:$C,"* - "&amp;G$286)</f>
        <v>0</v>
      </c>
      <c r="H287" s="85" t="n">
        <f aca="false">COUNTIFS('Reguler Class Availability'!$A:$A,$B$4,'Reguler Class Availability'!$I:$I,$B287,'Reguler Class Availability'!$C:$C,"* - "&amp;H$286)+COUNTIFS('Reguler Class Availability'!$A:$A,$B$4,'Reguler Class Availability'!$J:$J,$B287,'Reguler Class Availability'!$C:$C,"* - "&amp;H$286)</f>
        <v>5</v>
      </c>
      <c r="I287" s="85" t="n">
        <f aca="false">COUNTIFS('Reguler Class Availability'!$A:$A,$B$4,'Reguler Class Availability'!$I:$I,$B287,'Reguler Class Availability'!$C:$C,"* - "&amp;I$286)+COUNTIFS('Reguler Class Availability'!$A:$A,$B$4,'Reguler Class Availability'!$J:$J,$B287,'Reguler Class Availability'!$C:$C,"* - "&amp;I$286)</f>
        <v>8</v>
      </c>
      <c r="J287" s="85" t="n">
        <f aca="false">COUNTIFS('Reguler Class Availability'!$A:$A,$B$4,'Reguler Class Availability'!$I:$I,$B287,'Reguler Class Availability'!$C:$C,"* - "&amp;J$286)+COUNTIFS('Reguler Class Availability'!$A:$A,$B$4,'Reguler Class Availability'!$J:$J,$B287,'Reguler Class Availability'!$C:$C,"* - "&amp;J$286)</f>
        <v>8</v>
      </c>
      <c r="K287" s="82" t="n">
        <f aca="false">COUNTIFS('Reguler Class Availability'!$A:$A,$B$4,'Reguler Class Availability'!$I:$I,$B287)</f>
        <v>32</v>
      </c>
      <c r="L287" s="82" t="n">
        <f aca="false">COUNTIFS('Reguler Class Availability'!$A:$A,$B$4,'Reguler Class Availability'!$J:$J,$B287)</f>
        <v>0</v>
      </c>
      <c r="M287" s="82" t="s">
        <v>333</v>
      </c>
      <c r="BD287" s="30" t="s">
        <v>156</v>
      </c>
      <c r="BE287" s="30" t="n">
        <f aca="false">IF(COUNTIFS('Reguler Class Availability'!$L:$L,$B$4&amp;"|- Lane 5 - *|"&amp;BD287)&gt;0,1,0)</f>
        <v>0</v>
      </c>
      <c r="BF287" s="30" t="n">
        <f aca="false">BE287+BF286</f>
        <v>12</v>
      </c>
    </row>
    <row r="288" customFormat="false" ht="15" hidden="false" customHeight="false" outlineLevel="0" collapsed="false">
      <c r="A288" s="82" t="n">
        <v>2</v>
      </c>
      <c r="B288" s="83" t="s">
        <v>334</v>
      </c>
      <c r="C288" s="84" t="s">
        <v>186</v>
      </c>
      <c r="D288" s="85" t="n">
        <f aca="false">COUNTIFS('Reguler Class Availability'!$A:$A,$B$4,'Reguler Class Availability'!$I:$I,$B288,'Reguler Class Availability'!$C:$C,"* - "&amp;D$286)+COUNTIFS('Reguler Class Availability'!$A:$A,$B$4,'Reguler Class Availability'!$J:$J,$B288,'Reguler Class Availability'!$C:$C,"* - "&amp;D$286)</f>
        <v>0</v>
      </c>
      <c r="E288" s="85" t="n">
        <f aca="false">COUNTIFS('Reguler Class Availability'!$A:$A,$B$4,'Reguler Class Availability'!$I:$I,$B288,'Reguler Class Availability'!$C:$C,"* - "&amp;E$286)+COUNTIFS('Reguler Class Availability'!$A:$A,$B$4,'Reguler Class Availability'!$J:$J,$B288,'Reguler Class Availability'!$C:$C,"* - "&amp;E$286)</f>
        <v>0</v>
      </c>
      <c r="F288" s="85" t="n">
        <f aca="false">COUNTIFS('Reguler Class Availability'!$A:$A,$B$4,'Reguler Class Availability'!$I:$I,$B288,'Reguler Class Availability'!$C:$C,"* - "&amp;F$286)+COUNTIFS('Reguler Class Availability'!$A:$A,$B$4,'Reguler Class Availability'!$J:$J,$B288,'Reguler Class Availability'!$C:$C,"* - "&amp;F$286)</f>
        <v>7</v>
      </c>
      <c r="G288" s="85" t="n">
        <f aca="false">COUNTIFS('Reguler Class Availability'!$A:$A,$B$4,'Reguler Class Availability'!$I:$I,$B288,'Reguler Class Availability'!$C:$C,"* - "&amp;G$286)+COUNTIFS('Reguler Class Availability'!$A:$A,$B$4,'Reguler Class Availability'!$J:$J,$B288,'Reguler Class Availability'!$C:$C,"* - "&amp;G$286)</f>
        <v>8</v>
      </c>
      <c r="H288" s="85" t="n">
        <f aca="false">COUNTIFS('Reguler Class Availability'!$A:$A,$B$4,'Reguler Class Availability'!$I:$I,$B288,'Reguler Class Availability'!$C:$C,"* - "&amp;H$286)+COUNTIFS('Reguler Class Availability'!$A:$A,$B$4,'Reguler Class Availability'!$J:$J,$B288,'Reguler Class Availability'!$C:$C,"* - "&amp;H$286)</f>
        <v>4</v>
      </c>
      <c r="I288" s="85" t="n">
        <f aca="false">COUNTIFS('Reguler Class Availability'!$A:$A,$B$4,'Reguler Class Availability'!$I:$I,$B288,'Reguler Class Availability'!$C:$C,"* - "&amp;I$286)+COUNTIFS('Reguler Class Availability'!$A:$A,$B$4,'Reguler Class Availability'!$J:$J,$B288,'Reguler Class Availability'!$C:$C,"* - "&amp;I$286)</f>
        <v>6</v>
      </c>
      <c r="J288" s="85" t="n">
        <f aca="false">COUNTIFS('Reguler Class Availability'!$A:$A,$B$4,'Reguler Class Availability'!$I:$I,$B288,'Reguler Class Availability'!$C:$C,"* - "&amp;J$286)+COUNTIFS('Reguler Class Availability'!$A:$A,$B$4,'Reguler Class Availability'!$J:$J,$B288,'Reguler Class Availability'!$C:$C,"* - "&amp;J$286)</f>
        <v>6</v>
      </c>
      <c r="K288" s="82" t="n">
        <f aca="false">COUNTIFS('Reguler Class Availability'!$A:$A,$B$4,'Reguler Class Availability'!$I:$I,$B288)</f>
        <v>31</v>
      </c>
      <c r="L288" s="82" t="n">
        <f aca="false">COUNTIFS('Reguler Class Availability'!$A:$A,$B$4,'Reguler Class Availability'!$J:$J,$B288)</f>
        <v>0</v>
      </c>
      <c r="M288" s="82" t="s">
        <v>335</v>
      </c>
      <c r="BD288" s="30" t="s">
        <v>157</v>
      </c>
      <c r="BE288" s="30" t="n">
        <f aca="false">IF(COUNTIFS('Reguler Class Availability'!$L:$L,$B$4&amp;"|- Lane 5 - *|"&amp;BD288)&gt;0,1,0)</f>
        <v>0</v>
      </c>
      <c r="BF288" s="30" t="n">
        <f aca="false">BE288+BF287</f>
        <v>12</v>
      </c>
    </row>
    <row r="289" customFormat="false" ht="15" hidden="false" customHeight="false" outlineLevel="0" collapsed="false">
      <c r="A289" s="82" t="n">
        <v>3</v>
      </c>
      <c r="B289" s="83" t="s">
        <v>336</v>
      </c>
      <c r="C289" s="84" t="s">
        <v>188</v>
      </c>
      <c r="D289" s="85" t="n">
        <f aca="false">COUNTIFS('Reguler Class Availability'!$A:$A,$B$4,'Reguler Class Availability'!$I:$I,$B289,'Reguler Class Availability'!$C:$C,"* - "&amp;D$286)+COUNTIFS('Reguler Class Availability'!$A:$A,$B$4,'Reguler Class Availability'!$J:$J,$B289,'Reguler Class Availability'!$C:$C,"* - "&amp;D$286)</f>
        <v>0</v>
      </c>
      <c r="E289" s="85" t="n">
        <f aca="false">COUNTIFS('Reguler Class Availability'!$A:$A,$B$4,'Reguler Class Availability'!$I:$I,$B289,'Reguler Class Availability'!$C:$C,"* - "&amp;E$286)+COUNTIFS('Reguler Class Availability'!$A:$A,$B$4,'Reguler Class Availability'!$J:$J,$B289,'Reguler Class Availability'!$C:$C,"* - "&amp;E$286)</f>
        <v>0</v>
      </c>
      <c r="F289" s="85" t="n">
        <f aca="false">COUNTIFS('Reguler Class Availability'!$A:$A,$B$4,'Reguler Class Availability'!$I:$I,$B289,'Reguler Class Availability'!$C:$C,"* - "&amp;F$286)+COUNTIFS('Reguler Class Availability'!$A:$A,$B$4,'Reguler Class Availability'!$J:$J,$B289,'Reguler Class Availability'!$C:$C,"* - "&amp;F$286)</f>
        <v>5</v>
      </c>
      <c r="G289" s="85" t="n">
        <f aca="false">COUNTIFS('Reguler Class Availability'!$A:$A,$B$4,'Reguler Class Availability'!$I:$I,$B289,'Reguler Class Availability'!$C:$C,"* - "&amp;G$286)+COUNTIFS('Reguler Class Availability'!$A:$A,$B$4,'Reguler Class Availability'!$J:$J,$B289,'Reguler Class Availability'!$C:$C,"* - "&amp;G$286)</f>
        <v>6</v>
      </c>
      <c r="H289" s="85" t="n">
        <f aca="false">COUNTIFS('Reguler Class Availability'!$A:$A,$B$4,'Reguler Class Availability'!$I:$I,$B289,'Reguler Class Availability'!$C:$C,"* - "&amp;H$286)+COUNTIFS('Reguler Class Availability'!$A:$A,$B$4,'Reguler Class Availability'!$J:$J,$B289,'Reguler Class Availability'!$C:$C,"* - "&amp;H$286)</f>
        <v>6</v>
      </c>
      <c r="I289" s="85" t="n">
        <f aca="false">COUNTIFS('Reguler Class Availability'!$A:$A,$B$4,'Reguler Class Availability'!$I:$I,$B289,'Reguler Class Availability'!$C:$C,"* - "&amp;I$286)+COUNTIFS('Reguler Class Availability'!$A:$A,$B$4,'Reguler Class Availability'!$J:$J,$B289,'Reguler Class Availability'!$C:$C,"* - "&amp;I$286)</f>
        <v>6</v>
      </c>
      <c r="J289" s="85" t="n">
        <f aca="false">COUNTIFS('Reguler Class Availability'!$A:$A,$B$4,'Reguler Class Availability'!$I:$I,$B289,'Reguler Class Availability'!$C:$C,"* - "&amp;J$286)+COUNTIFS('Reguler Class Availability'!$A:$A,$B$4,'Reguler Class Availability'!$J:$J,$B289,'Reguler Class Availability'!$C:$C,"* - "&amp;J$286)</f>
        <v>7</v>
      </c>
      <c r="K289" s="82" t="n">
        <f aca="false">COUNTIFS('Reguler Class Availability'!$A:$A,$B$4,'Reguler Class Availability'!$I:$I,$B289)</f>
        <v>30</v>
      </c>
      <c r="L289" s="82" t="n">
        <f aca="false">COUNTIFS('Reguler Class Availability'!$A:$A,$B$4,'Reguler Class Availability'!$J:$J,$B289)</f>
        <v>0</v>
      </c>
      <c r="M289" s="82" t="s">
        <v>253</v>
      </c>
      <c r="BD289" s="30" t="s">
        <v>158</v>
      </c>
      <c r="BE289" s="30" t="n">
        <f aca="false">IF(COUNTIFS('Reguler Class Availability'!$L:$L,$B$4&amp;"|- Lane 5 - *|"&amp;BD289)&gt;0,1,0)</f>
        <v>0</v>
      </c>
      <c r="BF289" s="30" t="n">
        <f aca="false">BE289+BF288</f>
        <v>12</v>
      </c>
    </row>
    <row r="290" customFormat="false" ht="15" hidden="false" customHeight="false" outlineLevel="0" collapsed="false">
      <c r="A290" s="82" t="n">
        <v>4</v>
      </c>
      <c r="B290" s="83" t="s">
        <v>337</v>
      </c>
      <c r="C290" s="84" t="s">
        <v>186</v>
      </c>
      <c r="D290" s="85" t="n">
        <f aca="false">COUNTIFS('Reguler Class Availability'!$A:$A,$B$4,'Reguler Class Availability'!$I:$I,$B290,'Reguler Class Availability'!$C:$C,"* - "&amp;D$286)+COUNTIFS('Reguler Class Availability'!$A:$A,$B$4,'Reguler Class Availability'!$J:$J,$B290,'Reguler Class Availability'!$C:$C,"* - "&amp;D$286)</f>
        <v>6</v>
      </c>
      <c r="E290" s="85" t="n">
        <f aca="false">COUNTIFS('Reguler Class Availability'!$A:$A,$B$4,'Reguler Class Availability'!$I:$I,$B290,'Reguler Class Availability'!$C:$C,"* - "&amp;E$286)+COUNTIFS('Reguler Class Availability'!$A:$A,$B$4,'Reguler Class Availability'!$J:$J,$B290,'Reguler Class Availability'!$C:$C,"* - "&amp;E$286)</f>
        <v>6</v>
      </c>
      <c r="F290" s="85" t="n">
        <f aca="false">COUNTIFS('Reguler Class Availability'!$A:$A,$B$4,'Reguler Class Availability'!$I:$I,$B290,'Reguler Class Availability'!$C:$C,"* - "&amp;F$286)+COUNTIFS('Reguler Class Availability'!$A:$A,$B$4,'Reguler Class Availability'!$J:$J,$B290,'Reguler Class Availability'!$C:$C,"* - "&amp;F$286)</f>
        <v>5</v>
      </c>
      <c r="G290" s="85" t="n">
        <f aca="false">COUNTIFS('Reguler Class Availability'!$A:$A,$B$4,'Reguler Class Availability'!$I:$I,$B290,'Reguler Class Availability'!$C:$C,"* - "&amp;G$286)+COUNTIFS('Reguler Class Availability'!$A:$A,$B$4,'Reguler Class Availability'!$J:$J,$B290,'Reguler Class Availability'!$C:$C,"* - "&amp;G$286)</f>
        <v>0</v>
      </c>
      <c r="H290" s="85" t="n">
        <f aca="false">COUNTIFS('Reguler Class Availability'!$A:$A,$B$4,'Reguler Class Availability'!$I:$I,$B290,'Reguler Class Availability'!$C:$C,"* - "&amp;H$286)+COUNTIFS('Reguler Class Availability'!$A:$A,$B$4,'Reguler Class Availability'!$J:$J,$B290,'Reguler Class Availability'!$C:$C,"* - "&amp;H$286)</f>
        <v>0</v>
      </c>
      <c r="I290" s="85" t="n">
        <f aca="false">COUNTIFS('Reguler Class Availability'!$A:$A,$B$4,'Reguler Class Availability'!$I:$I,$B290,'Reguler Class Availability'!$C:$C,"* - "&amp;I$286)+COUNTIFS('Reguler Class Availability'!$A:$A,$B$4,'Reguler Class Availability'!$J:$J,$B290,'Reguler Class Availability'!$C:$C,"* - "&amp;I$286)</f>
        <v>6</v>
      </c>
      <c r="J290" s="85" t="n">
        <f aca="false">COUNTIFS('Reguler Class Availability'!$A:$A,$B$4,'Reguler Class Availability'!$I:$I,$B290,'Reguler Class Availability'!$C:$C,"* - "&amp;J$286)+COUNTIFS('Reguler Class Availability'!$A:$A,$B$4,'Reguler Class Availability'!$J:$J,$B290,'Reguler Class Availability'!$C:$C,"* - "&amp;J$286)</f>
        <v>6</v>
      </c>
      <c r="K290" s="82" t="n">
        <f aca="false">COUNTIFS('Reguler Class Availability'!$A:$A,$B$4,'Reguler Class Availability'!$I:$I,$B290)</f>
        <v>29</v>
      </c>
      <c r="L290" s="82" t="n">
        <f aca="false">COUNTIFS('Reguler Class Availability'!$A:$A,$B$4,'Reguler Class Availability'!$J:$J,$B290)</f>
        <v>0</v>
      </c>
      <c r="M290" s="82" t="s">
        <v>335</v>
      </c>
      <c r="BD290" s="30" t="s">
        <v>160</v>
      </c>
      <c r="BE290" s="30" t="n">
        <f aca="false">IF(COUNTIFS('Reguler Class Availability'!$L:$L,$B$4&amp;"|- Lane 5 - *|"&amp;BD290)&gt;0,1,0)</f>
        <v>0</v>
      </c>
      <c r="BF290" s="30" t="n">
        <f aca="false">BE290+BF289</f>
        <v>12</v>
      </c>
    </row>
    <row r="291" customFormat="false" ht="15" hidden="false" customHeight="false" outlineLevel="0" collapsed="false">
      <c r="A291" s="82" t="n">
        <v>5</v>
      </c>
      <c r="B291" s="83" t="s">
        <v>338</v>
      </c>
      <c r="C291" s="84" t="s">
        <v>188</v>
      </c>
      <c r="D291" s="85" t="n">
        <f aca="false">COUNTIFS('Reguler Class Availability'!$A:$A,$B$4,'Reguler Class Availability'!$I:$I,$B291,'Reguler Class Availability'!$C:$C,"* - "&amp;D$286)+COUNTIFS('Reguler Class Availability'!$A:$A,$B$4,'Reguler Class Availability'!$J:$J,$B291,'Reguler Class Availability'!$C:$C,"* - "&amp;D$286)</f>
        <v>0</v>
      </c>
      <c r="E291" s="85" t="n">
        <f aca="false">COUNTIFS('Reguler Class Availability'!$A:$A,$B$4,'Reguler Class Availability'!$I:$I,$B291,'Reguler Class Availability'!$C:$C,"* - "&amp;E$286)+COUNTIFS('Reguler Class Availability'!$A:$A,$B$4,'Reguler Class Availability'!$J:$J,$B291,'Reguler Class Availability'!$C:$C,"* - "&amp;E$286)</f>
        <v>0</v>
      </c>
      <c r="F291" s="85" t="n">
        <f aca="false">COUNTIFS('Reguler Class Availability'!$A:$A,$B$4,'Reguler Class Availability'!$I:$I,$B291,'Reguler Class Availability'!$C:$C,"* - "&amp;F$286)+COUNTIFS('Reguler Class Availability'!$A:$A,$B$4,'Reguler Class Availability'!$J:$J,$B291,'Reguler Class Availability'!$C:$C,"* - "&amp;F$286)</f>
        <v>4</v>
      </c>
      <c r="G291" s="85" t="n">
        <f aca="false">COUNTIFS('Reguler Class Availability'!$A:$A,$B$4,'Reguler Class Availability'!$I:$I,$B291,'Reguler Class Availability'!$C:$C,"* - "&amp;G$286)+COUNTIFS('Reguler Class Availability'!$A:$A,$B$4,'Reguler Class Availability'!$J:$J,$B291,'Reguler Class Availability'!$C:$C,"* - "&amp;G$286)</f>
        <v>4</v>
      </c>
      <c r="H291" s="85" t="n">
        <f aca="false">COUNTIFS('Reguler Class Availability'!$A:$A,$B$4,'Reguler Class Availability'!$I:$I,$B291,'Reguler Class Availability'!$C:$C,"* - "&amp;H$286)+COUNTIFS('Reguler Class Availability'!$A:$A,$B$4,'Reguler Class Availability'!$J:$J,$B291,'Reguler Class Availability'!$C:$C,"* - "&amp;H$286)</f>
        <v>6</v>
      </c>
      <c r="I291" s="85" t="n">
        <f aca="false">COUNTIFS('Reguler Class Availability'!$A:$A,$B$4,'Reguler Class Availability'!$I:$I,$B291,'Reguler Class Availability'!$C:$C,"* - "&amp;I$286)+COUNTIFS('Reguler Class Availability'!$A:$A,$B$4,'Reguler Class Availability'!$J:$J,$B291,'Reguler Class Availability'!$C:$C,"* - "&amp;I$286)</f>
        <v>7</v>
      </c>
      <c r="J291" s="85" t="n">
        <f aca="false">COUNTIFS('Reguler Class Availability'!$A:$A,$B$4,'Reguler Class Availability'!$I:$I,$B291,'Reguler Class Availability'!$C:$C,"* - "&amp;J$286)+COUNTIFS('Reguler Class Availability'!$A:$A,$B$4,'Reguler Class Availability'!$J:$J,$B291,'Reguler Class Availability'!$C:$C,"* - "&amp;J$286)</f>
        <v>6</v>
      </c>
      <c r="K291" s="82" t="n">
        <f aca="false">COUNTIFS('Reguler Class Availability'!$A:$A,$B$4,'Reguler Class Availability'!$I:$I,$B291)</f>
        <v>27</v>
      </c>
      <c r="L291" s="82" t="n">
        <f aca="false">COUNTIFS('Reguler Class Availability'!$A:$A,$B$4,'Reguler Class Availability'!$J:$J,$B291)</f>
        <v>0</v>
      </c>
      <c r="M291" s="82" t="s">
        <v>253</v>
      </c>
      <c r="BD291" s="30" t="s">
        <v>161</v>
      </c>
      <c r="BE291" s="30" t="n">
        <f aca="false">IF(COUNTIFS('Reguler Class Availability'!$L:$L,$B$4&amp;"|- Lane 5 - *|"&amp;BD291)&gt;0,1,0)</f>
        <v>0</v>
      </c>
      <c r="BF291" s="30" t="n">
        <f aca="false">BE291+BF290</f>
        <v>12</v>
      </c>
    </row>
    <row r="292" customFormat="false" ht="15" hidden="false" customHeight="false" outlineLevel="0" collapsed="false">
      <c r="A292" s="82" t="n">
        <v>6</v>
      </c>
      <c r="B292" s="83" t="s">
        <v>339</v>
      </c>
      <c r="C292" s="84" t="s">
        <v>260</v>
      </c>
      <c r="D292" s="85" t="n">
        <f aca="false">COUNTIFS('Reguler Class Availability'!$A:$A,$B$4,'Reguler Class Availability'!$I:$I,$B292,'Reguler Class Availability'!$C:$C,"* - "&amp;D$286)+COUNTIFS('Reguler Class Availability'!$A:$A,$B$4,'Reguler Class Availability'!$J:$J,$B292,'Reguler Class Availability'!$C:$C,"* - "&amp;D$286)</f>
        <v>2</v>
      </c>
      <c r="E292" s="85" t="n">
        <f aca="false">COUNTIFS('Reguler Class Availability'!$A:$A,$B$4,'Reguler Class Availability'!$I:$I,$B292,'Reguler Class Availability'!$C:$C,"* - "&amp;E$286)+COUNTIFS('Reguler Class Availability'!$A:$A,$B$4,'Reguler Class Availability'!$J:$J,$B292,'Reguler Class Availability'!$C:$C,"* - "&amp;E$286)</f>
        <v>4</v>
      </c>
      <c r="F292" s="85" t="n">
        <f aca="false">COUNTIFS('Reguler Class Availability'!$A:$A,$B$4,'Reguler Class Availability'!$I:$I,$B292,'Reguler Class Availability'!$C:$C,"* - "&amp;F$286)+COUNTIFS('Reguler Class Availability'!$A:$A,$B$4,'Reguler Class Availability'!$J:$J,$B292,'Reguler Class Availability'!$C:$C,"* - "&amp;F$286)</f>
        <v>4</v>
      </c>
      <c r="G292" s="85" t="n">
        <f aca="false">COUNTIFS('Reguler Class Availability'!$A:$A,$B$4,'Reguler Class Availability'!$I:$I,$B292,'Reguler Class Availability'!$C:$C,"* - "&amp;G$286)+COUNTIFS('Reguler Class Availability'!$A:$A,$B$4,'Reguler Class Availability'!$J:$J,$B292,'Reguler Class Availability'!$C:$C,"* - "&amp;G$286)</f>
        <v>0</v>
      </c>
      <c r="H292" s="85" t="n">
        <f aca="false">COUNTIFS('Reguler Class Availability'!$A:$A,$B$4,'Reguler Class Availability'!$I:$I,$B292,'Reguler Class Availability'!$C:$C,"* - "&amp;H$286)+COUNTIFS('Reguler Class Availability'!$A:$A,$B$4,'Reguler Class Availability'!$J:$J,$B292,'Reguler Class Availability'!$C:$C,"* - "&amp;H$286)</f>
        <v>0</v>
      </c>
      <c r="I292" s="85" t="n">
        <f aca="false">COUNTIFS('Reguler Class Availability'!$A:$A,$B$4,'Reguler Class Availability'!$I:$I,$B292,'Reguler Class Availability'!$C:$C,"* - "&amp;I$286)+COUNTIFS('Reguler Class Availability'!$A:$A,$B$4,'Reguler Class Availability'!$J:$J,$B292,'Reguler Class Availability'!$C:$C,"* - "&amp;I$286)</f>
        <v>5</v>
      </c>
      <c r="J292" s="85" t="n">
        <f aca="false">COUNTIFS('Reguler Class Availability'!$A:$A,$B$4,'Reguler Class Availability'!$I:$I,$B292,'Reguler Class Availability'!$C:$C,"* - "&amp;J$286)+COUNTIFS('Reguler Class Availability'!$A:$A,$B$4,'Reguler Class Availability'!$J:$J,$B292,'Reguler Class Availability'!$C:$C,"* - "&amp;J$286)</f>
        <v>3</v>
      </c>
      <c r="K292" s="82" t="n">
        <f aca="false">COUNTIFS('Reguler Class Availability'!$A:$A,$B$4,'Reguler Class Availability'!$I:$I,$B292)</f>
        <v>17</v>
      </c>
      <c r="L292" s="82" t="n">
        <f aca="false">COUNTIFS('Reguler Class Availability'!$A:$A,$B$4,'Reguler Class Availability'!$J:$J,$B292)</f>
        <v>1</v>
      </c>
      <c r="M292" s="82" t="s">
        <v>253</v>
      </c>
      <c r="BD292" s="30" t="s">
        <v>162</v>
      </c>
      <c r="BE292" s="30" t="n">
        <f aca="false">IF(COUNTIFS('Reguler Class Availability'!$L:$L,$B$4&amp;"|- Lane 5 - *|"&amp;BD292)&gt;0,1,0)</f>
        <v>0</v>
      </c>
      <c r="BF292" s="30" t="n">
        <f aca="false">BE292+BF291</f>
        <v>12</v>
      </c>
    </row>
    <row r="293" customFormat="false" ht="15" hidden="false" customHeight="false" outlineLevel="0" collapsed="false">
      <c r="A293" s="82" t="n">
        <v>7</v>
      </c>
      <c r="B293" s="83" t="s">
        <v>340</v>
      </c>
      <c r="C293" s="84" t="s">
        <v>284</v>
      </c>
      <c r="D293" s="85" t="n">
        <f aca="false">COUNTIFS('Reguler Class Availability'!$A:$A,$B$4,'Reguler Class Availability'!$I:$I,$B293,'Reguler Class Availability'!$C:$C,"* - "&amp;D$286)+COUNTIFS('Reguler Class Availability'!$A:$A,$B$4,'Reguler Class Availability'!$J:$J,$B293,'Reguler Class Availability'!$C:$C,"* - "&amp;D$286)</f>
        <v>3</v>
      </c>
      <c r="E293" s="85" t="n">
        <f aca="false">COUNTIFS('Reguler Class Availability'!$A:$A,$B$4,'Reguler Class Availability'!$I:$I,$B293,'Reguler Class Availability'!$C:$C,"* - "&amp;E$286)+COUNTIFS('Reguler Class Availability'!$A:$A,$B$4,'Reguler Class Availability'!$J:$J,$B293,'Reguler Class Availability'!$C:$C,"* - "&amp;E$286)</f>
        <v>2</v>
      </c>
      <c r="F293" s="85" t="n">
        <f aca="false">COUNTIFS('Reguler Class Availability'!$A:$A,$B$4,'Reguler Class Availability'!$I:$I,$B293,'Reguler Class Availability'!$C:$C,"* - "&amp;F$286)+COUNTIFS('Reguler Class Availability'!$A:$A,$B$4,'Reguler Class Availability'!$J:$J,$B293,'Reguler Class Availability'!$C:$C,"* - "&amp;F$286)</f>
        <v>0</v>
      </c>
      <c r="G293" s="85" t="n">
        <f aca="false">COUNTIFS('Reguler Class Availability'!$A:$A,$B$4,'Reguler Class Availability'!$I:$I,$B293,'Reguler Class Availability'!$C:$C,"* - "&amp;G$286)+COUNTIFS('Reguler Class Availability'!$A:$A,$B$4,'Reguler Class Availability'!$J:$J,$B293,'Reguler Class Availability'!$C:$C,"* - "&amp;G$286)</f>
        <v>0</v>
      </c>
      <c r="H293" s="85" t="n">
        <f aca="false">COUNTIFS('Reguler Class Availability'!$A:$A,$B$4,'Reguler Class Availability'!$I:$I,$B293,'Reguler Class Availability'!$C:$C,"* - "&amp;H$286)+COUNTIFS('Reguler Class Availability'!$A:$A,$B$4,'Reguler Class Availability'!$J:$J,$B293,'Reguler Class Availability'!$C:$C,"* - "&amp;H$286)</f>
        <v>4</v>
      </c>
      <c r="I293" s="85" t="n">
        <f aca="false">COUNTIFS('Reguler Class Availability'!$A:$A,$B$4,'Reguler Class Availability'!$I:$I,$B293,'Reguler Class Availability'!$C:$C,"* - "&amp;I$286)+COUNTIFS('Reguler Class Availability'!$A:$A,$B$4,'Reguler Class Availability'!$J:$J,$B293,'Reguler Class Availability'!$C:$C,"* - "&amp;I$286)</f>
        <v>4</v>
      </c>
      <c r="J293" s="85" t="n">
        <f aca="false">COUNTIFS('Reguler Class Availability'!$A:$A,$B$4,'Reguler Class Availability'!$I:$I,$B293,'Reguler Class Availability'!$C:$C,"* - "&amp;J$286)+COUNTIFS('Reguler Class Availability'!$A:$A,$B$4,'Reguler Class Availability'!$J:$J,$B293,'Reguler Class Availability'!$C:$C,"* - "&amp;J$286)</f>
        <v>3</v>
      </c>
      <c r="K293" s="82" t="n">
        <f aca="false">COUNTIFS('Reguler Class Availability'!$A:$A,$B$4,'Reguler Class Availability'!$I:$I,$B293)</f>
        <v>16</v>
      </c>
      <c r="L293" s="82" t="n">
        <f aca="false">COUNTIFS('Reguler Class Availability'!$A:$A,$B$4,'Reguler Class Availability'!$J:$J,$B293)</f>
        <v>0</v>
      </c>
      <c r="M293" s="82" t="s">
        <v>341</v>
      </c>
      <c r="BD293" s="30" t="s">
        <v>163</v>
      </c>
      <c r="BE293" s="30" t="n">
        <f aca="false">IF(COUNTIFS('Reguler Class Availability'!$L:$L,$B$4&amp;"|- Lane 5 - *|"&amp;BD293)&gt;0,1,0)</f>
        <v>0</v>
      </c>
      <c r="BF293" s="30" t="n">
        <f aca="false">BE293+BF292</f>
        <v>12</v>
      </c>
    </row>
    <row r="294" customFormat="false" ht="15" hidden="false" customHeight="false" outlineLevel="0" collapsed="false">
      <c r="A294" s="82" t="n">
        <v>8</v>
      </c>
      <c r="B294" s="83" t="s">
        <v>342</v>
      </c>
      <c r="C294" s="84" t="s">
        <v>188</v>
      </c>
      <c r="D294" s="85" t="n">
        <f aca="false">COUNTIFS('Reguler Class Availability'!$A:$A,$B$4,'Reguler Class Availability'!$I:$I,$B294,'Reguler Class Availability'!$C:$C,"* - "&amp;D$286)+COUNTIFS('Reguler Class Availability'!$A:$A,$B$4,'Reguler Class Availability'!$J:$J,$B294,'Reguler Class Availability'!$C:$C,"* - "&amp;D$286)</f>
        <v>3</v>
      </c>
      <c r="E294" s="85" t="n">
        <f aca="false">COUNTIFS('Reguler Class Availability'!$A:$A,$B$4,'Reguler Class Availability'!$I:$I,$B294,'Reguler Class Availability'!$C:$C,"* - "&amp;E$286)+COUNTIFS('Reguler Class Availability'!$A:$A,$B$4,'Reguler Class Availability'!$J:$J,$B294,'Reguler Class Availability'!$C:$C,"* - "&amp;E$286)</f>
        <v>3</v>
      </c>
      <c r="F294" s="85" t="n">
        <f aca="false">COUNTIFS('Reguler Class Availability'!$A:$A,$B$4,'Reguler Class Availability'!$I:$I,$B294,'Reguler Class Availability'!$C:$C,"* - "&amp;F$286)+COUNTIFS('Reguler Class Availability'!$A:$A,$B$4,'Reguler Class Availability'!$J:$J,$B294,'Reguler Class Availability'!$C:$C,"* - "&amp;F$286)</f>
        <v>1</v>
      </c>
      <c r="G294" s="85" t="n">
        <f aca="false">COUNTIFS('Reguler Class Availability'!$A:$A,$B$4,'Reguler Class Availability'!$I:$I,$B294,'Reguler Class Availability'!$C:$C,"* - "&amp;G$286)+COUNTIFS('Reguler Class Availability'!$A:$A,$B$4,'Reguler Class Availability'!$J:$J,$B294,'Reguler Class Availability'!$C:$C,"* - "&amp;G$286)</f>
        <v>0</v>
      </c>
      <c r="H294" s="85" t="n">
        <f aca="false">COUNTIFS('Reguler Class Availability'!$A:$A,$B$4,'Reguler Class Availability'!$I:$I,$B294,'Reguler Class Availability'!$C:$C,"* - "&amp;H$286)+COUNTIFS('Reguler Class Availability'!$A:$A,$B$4,'Reguler Class Availability'!$J:$J,$B294,'Reguler Class Availability'!$C:$C,"* - "&amp;H$286)</f>
        <v>0</v>
      </c>
      <c r="I294" s="85" t="n">
        <f aca="false">COUNTIFS('Reguler Class Availability'!$A:$A,$B$4,'Reguler Class Availability'!$I:$I,$B294,'Reguler Class Availability'!$C:$C,"* - "&amp;I$286)+COUNTIFS('Reguler Class Availability'!$A:$A,$B$4,'Reguler Class Availability'!$J:$J,$B294,'Reguler Class Availability'!$C:$C,"* - "&amp;I$286)</f>
        <v>3</v>
      </c>
      <c r="J294" s="85" t="n">
        <f aca="false">COUNTIFS('Reguler Class Availability'!$A:$A,$B$4,'Reguler Class Availability'!$I:$I,$B294,'Reguler Class Availability'!$C:$C,"* - "&amp;J$286)+COUNTIFS('Reguler Class Availability'!$A:$A,$B$4,'Reguler Class Availability'!$J:$J,$B294,'Reguler Class Availability'!$C:$C,"* - "&amp;J$286)</f>
        <v>4</v>
      </c>
      <c r="K294" s="82" t="n">
        <f aca="false">COUNTIFS('Reguler Class Availability'!$A:$A,$B$4,'Reguler Class Availability'!$I:$I,$B294)</f>
        <v>14</v>
      </c>
      <c r="L294" s="82" t="n">
        <f aca="false">COUNTIFS('Reguler Class Availability'!$A:$A,$B$4,'Reguler Class Availability'!$J:$J,$B294)</f>
        <v>0</v>
      </c>
      <c r="M294" s="82" t="s">
        <v>252</v>
      </c>
      <c r="BD294" s="30" t="s">
        <v>164</v>
      </c>
      <c r="BE294" s="30" t="n">
        <f aca="false">IF(COUNTIFS('Reguler Class Availability'!$L:$L,$B$4&amp;"|- Lane 5 - *|"&amp;BD294)&gt;0,1,0)</f>
        <v>0</v>
      </c>
      <c r="BF294" s="30" t="n">
        <f aca="false">BE294+BF293</f>
        <v>12</v>
      </c>
    </row>
    <row r="295" customFormat="false" ht="15" hidden="false" customHeight="false" outlineLevel="0" collapsed="false">
      <c r="A295" s="82" t="n">
        <v>9</v>
      </c>
      <c r="B295" s="83" t="s">
        <v>343</v>
      </c>
      <c r="C295" s="84" t="s">
        <v>260</v>
      </c>
      <c r="D295" s="85" t="n">
        <f aca="false">COUNTIFS('Reguler Class Availability'!$A:$A,$B$4,'Reguler Class Availability'!$I:$I,$B295,'Reguler Class Availability'!$C:$C,"* - "&amp;D$286)+COUNTIFS('Reguler Class Availability'!$A:$A,$B$4,'Reguler Class Availability'!$J:$J,$B295,'Reguler Class Availability'!$C:$C,"* - "&amp;D$286)</f>
        <v>1</v>
      </c>
      <c r="E295" s="85" t="n">
        <f aca="false">COUNTIFS('Reguler Class Availability'!$A:$A,$B$4,'Reguler Class Availability'!$I:$I,$B295,'Reguler Class Availability'!$C:$C,"* - "&amp;E$286)+COUNTIFS('Reguler Class Availability'!$A:$A,$B$4,'Reguler Class Availability'!$J:$J,$B295,'Reguler Class Availability'!$C:$C,"* - "&amp;E$286)</f>
        <v>0</v>
      </c>
      <c r="F295" s="85" t="n">
        <f aca="false">COUNTIFS('Reguler Class Availability'!$A:$A,$B$4,'Reguler Class Availability'!$I:$I,$B295,'Reguler Class Availability'!$C:$C,"* - "&amp;F$286)+COUNTIFS('Reguler Class Availability'!$A:$A,$B$4,'Reguler Class Availability'!$J:$J,$B295,'Reguler Class Availability'!$C:$C,"* - "&amp;F$286)</f>
        <v>0</v>
      </c>
      <c r="G295" s="85" t="n">
        <f aca="false">COUNTIFS('Reguler Class Availability'!$A:$A,$B$4,'Reguler Class Availability'!$I:$I,$B295,'Reguler Class Availability'!$C:$C,"* - "&amp;G$286)+COUNTIFS('Reguler Class Availability'!$A:$A,$B$4,'Reguler Class Availability'!$J:$J,$B295,'Reguler Class Availability'!$C:$C,"* - "&amp;G$286)</f>
        <v>1</v>
      </c>
      <c r="H295" s="85" t="n">
        <f aca="false">COUNTIFS('Reguler Class Availability'!$A:$A,$B$4,'Reguler Class Availability'!$I:$I,$B295,'Reguler Class Availability'!$C:$C,"* - "&amp;H$286)+COUNTIFS('Reguler Class Availability'!$A:$A,$B$4,'Reguler Class Availability'!$J:$J,$B295,'Reguler Class Availability'!$C:$C,"* - "&amp;H$286)</f>
        <v>4</v>
      </c>
      <c r="I295" s="85" t="n">
        <f aca="false">COUNTIFS('Reguler Class Availability'!$A:$A,$B$4,'Reguler Class Availability'!$I:$I,$B295,'Reguler Class Availability'!$C:$C,"* - "&amp;I$286)+COUNTIFS('Reguler Class Availability'!$A:$A,$B$4,'Reguler Class Availability'!$J:$J,$B295,'Reguler Class Availability'!$C:$C,"* - "&amp;I$286)</f>
        <v>5</v>
      </c>
      <c r="J295" s="85" t="n">
        <f aca="false">COUNTIFS('Reguler Class Availability'!$A:$A,$B$4,'Reguler Class Availability'!$I:$I,$B295,'Reguler Class Availability'!$C:$C,"* - "&amp;J$286)+COUNTIFS('Reguler Class Availability'!$A:$A,$B$4,'Reguler Class Availability'!$J:$J,$B295,'Reguler Class Availability'!$C:$C,"* - "&amp;J$286)</f>
        <v>2</v>
      </c>
      <c r="K295" s="82" t="n">
        <f aca="false">COUNTIFS('Reguler Class Availability'!$A:$A,$B$4,'Reguler Class Availability'!$I:$I,$B295)</f>
        <v>13</v>
      </c>
      <c r="L295" s="82" t="n">
        <f aca="false">COUNTIFS('Reguler Class Availability'!$A:$A,$B$4,'Reguler Class Availability'!$J:$J,$B295)</f>
        <v>0</v>
      </c>
      <c r="M295" s="82" t="s">
        <v>253</v>
      </c>
      <c r="BD295" s="30" t="s">
        <v>165</v>
      </c>
      <c r="BE295" s="30" t="n">
        <f aca="false">IF(COUNTIFS('Reguler Class Availability'!$L:$L,$B$4&amp;"|- Lane 5 - *|"&amp;BD295)&gt;0,1,0)</f>
        <v>0</v>
      </c>
      <c r="BF295" s="30" t="n">
        <f aca="false">BE295+BF294</f>
        <v>12</v>
      </c>
    </row>
    <row r="296" customFormat="false" ht="15" hidden="false" customHeight="false" outlineLevel="0" collapsed="false">
      <c r="A296" s="82" t="n">
        <v>10</v>
      </c>
      <c r="B296" s="83" t="s">
        <v>344</v>
      </c>
      <c r="C296" s="84" t="s">
        <v>345</v>
      </c>
      <c r="D296" s="85" t="n">
        <f aca="false">COUNTIFS('Reguler Class Availability'!$A:$A,$B$4,'Reguler Class Availability'!$I:$I,$B296,'Reguler Class Availability'!$C:$C,"* - "&amp;D$286)+COUNTIFS('Reguler Class Availability'!$A:$A,$B$4,'Reguler Class Availability'!$J:$J,$B296,'Reguler Class Availability'!$C:$C,"* - "&amp;D$286)</f>
        <v>0</v>
      </c>
      <c r="E296" s="85" t="n">
        <f aca="false">COUNTIFS('Reguler Class Availability'!$A:$A,$B$4,'Reguler Class Availability'!$I:$I,$B296,'Reguler Class Availability'!$C:$C,"* - "&amp;E$286)+COUNTIFS('Reguler Class Availability'!$A:$A,$B$4,'Reguler Class Availability'!$J:$J,$B296,'Reguler Class Availability'!$C:$C,"* - "&amp;E$286)</f>
        <v>0</v>
      </c>
      <c r="F296" s="85" t="n">
        <f aca="false">COUNTIFS('Reguler Class Availability'!$A:$A,$B$4,'Reguler Class Availability'!$I:$I,$B296,'Reguler Class Availability'!$C:$C,"* - "&amp;F$286)+COUNTIFS('Reguler Class Availability'!$A:$A,$B$4,'Reguler Class Availability'!$J:$J,$B296,'Reguler Class Availability'!$C:$C,"* - "&amp;F$286)</f>
        <v>0</v>
      </c>
      <c r="G296" s="85" t="n">
        <f aca="false">COUNTIFS('Reguler Class Availability'!$A:$A,$B$4,'Reguler Class Availability'!$I:$I,$B296,'Reguler Class Availability'!$C:$C,"* - "&amp;G$286)+COUNTIFS('Reguler Class Availability'!$A:$A,$B$4,'Reguler Class Availability'!$J:$J,$B296,'Reguler Class Availability'!$C:$C,"* - "&amp;G$286)</f>
        <v>0</v>
      </c>
      <c r="H296" s="85" t="n">
        <f aca="false">COUNTIFS('Reguler Class Availability'!$A:$A,$B$4,'Reguler Class Availability'!$I:$I,$B296,'Reguler Class Availability'!$C:$C,"* - "&amp;H$286)+COUNTIFS('Reguler Class Availability'!$A:$A,$B$4,'Reguler Class Availability'!$J:$J,$B296,'Reguler Class Availability'!$C:$C,"* - "&amp;H$286)</f>
        <v>0</v>
      </c>
      <c r="I296" s="85" t="n">
        <f aca="false">COUNTIFS('Reguler Class Availability'!$A:$A,$B$4,'Reguler Class Availability'!$I:$I,$B296,'Reguler Class Availability'!$C:$C,"* - "&amp;I$286)+COUNTIFS('Reguler Class Availability'!$A:$A,$B$4,'Reguler Class Availability'!$J:$J,$B296,'Reguler Class Availability'!$C:$C,"* - "&amp;I$286)</f>
        <v>1</v>
      </c>
      <c r="J296" s="85" t="n">
        <f aca="false">COUNTIFS('Reguler Class Availability'!$A:$A,$B$4,'Reguler Class Availability'!$I:$I,$B296,'Reguler Class Availability'!$C:$C,"* - "&amp;J$286)+COUNTIFS('Reguler Class Availability'!$A:$A,$B$4,'Reguler Class Availability'!$J:$J,$B296,'Reguler Class Availability'!$C:$C,"* - "&amp;J$286)</f>
        <v>0</v>
      </c>
      <c r="K296" s="82" t="n">
        <f aca="false">COUNTIFS('Reguler Class Availability'!$A:$A,$B$4,'Reguler Class Availability'!$I:$I,$B296)</f>
        <v>1</v>
      </c>
      <c r="L296" s="82" t="n">
        <f aca="false">COUNTIFS('Reguler Class Availability'!$A:$A,$B$4,'Reguler Class Availability'!$J:$J,$B296)</f>
        <v>0</v>
      </c>
      <c r="M296" s="82" t="s">
        <v>346</v>
      </c>
      <c r="BD296" s="30" t="s">
        <v>166</v>
      </c>
      <c r="BE296" s="30" t="n">
        <f aca="false">IF(COUNTIFS('Reguler Class Availability'!$L:$L,$B$4&amp;"|- Lane 5 - *|"&amp;BD296)&gt;0,1,0)</f>
        <v>0</v>
      </c>
      <c r="BF296" s="30" t="n">
        <f aca="false">BE296+BF295</f>
        <v>12</v>
      </c>
    </row>
    <row r="297" customFormat="false" ht="15" hidden="false" customHeight="false" outlineLevel="0" collapsed="false">
      <c r="BD297" s="0" t="s">
        <v>167</v>
      </c>
      <c r="BE297" s="0" t="n">
        <f aca="false">IF(COUNTIFS('Reguler Class Availability'!$L:$L,$B$4&amp;"|- Lane 5 - *|"&amp;BD297)&gt;0,1,0)</f>
        <v>0</v>
      </c>
      <c r="BF297" s="0" t="n">
        <f aca="false">BE297+BF296</f>
        <v>12</v>
      </c>
    </row>
    <row r="298" customFormat="false" ht="15" hidden="false" customHeight="false" outlineLevel="0" collapsed="false">
      <c r="BD298" s="0" t="s">
        <v>168</v>
      </c>
      <c r="BE298" s="0" t="n">
        <f aca="false">IF(COUNTIFS('Reguler Class Availability'!$L:$L,$B$4&amp;"|- Lane 5 - *|"&amp;BD298)&gt;0,1,0)</f>
        <v>0</v>
      </c>
      <c r="BF298" s="0" t="n">
        <f aca="false">BE298+BF297</f>
        <v>12</v>
      </c>
    </row>
    <row r="299" customFormat="false" ht="15" hidden="false" customHeight="false" outlineLevel="0" collapsed="false">
      <c r="BD299" s="0" t="s">
        <v>169</v>
      </c>
      <c r="BE299" s="0" t="n">
        <f aca="false">IF(COUNTIFS('Reguler Class Availability'!$L:$L,$B$4&amp;"|- Lane 5 - *|"&amp;BD299)&gt;0,1,0)</f>
        <v>0</v>
      </c>
      <c r="BF299" s="0" t="n">
        <f aca="false">BE299+BF298</f>
        <v>12</v>
      </c>
    </row>
    <row r="300" customFormat="false" ht="15" hidden="false" customHeight="false" outlineLevel="0" collapsed="false">
      <c r="BD300" s="0" t="s">
        <v>170</v>
      </c>
      <c r="BE300" s="0" t="n">
        <f aca="false">IF(COUNTIFS('Reguler Class Availability'!$L:$L,$B$4&amp;"|- Lane 5 - *|"&amp;BD300)&gt;0,1,0)</f>
        <v>0</v>
      </c>
      <c r="BF300" s="0" t="n">
        <f aca="false">BE300+BF299</f>
        <v>12</v>
      </c>
    </row>
    <row r="301" customFormat="false" ht="15" hidden="false" customHeight="false" outlineLevel="0" collapsed="false">
      <c r="BD301" s="0" t="s">
        <v>171</v>
      </c>
      <c r="BE301" s="0" t="n">
        <f aca="false">IF(COUNTIFS('Reguler Class Availability'!$L:$L,$B$4&amp;"|- Lane 5 - *|"&amp;BD301)&gt;0,1,0)</f>
        <v>0</v>
      </c>
      <c r="BF301" s="0" t="n">
        <f aca="false">BE301+BF300</f>
        <v>12</v>
      </c>
    </row>
    <row r="302" customFormat="false" ht="15" hidden="false" customHeight="false" outlineLevel="0" collapsed="false">
      <c r="BD302" s="0" t="s">
        <v>78</v>
      </c>
      <c r="BE302" s="0" t="n">
        <f aca="false">IF(COUNTIFS('Reguler Class Availability'!$L:$L,$B$4&amp;"|- Lane 6 - *|"&amp;BD302)&gt;0,1,0)</f>
        <v>0</v>
      </c>
      <c r="BF302" s="0" t="n">
        <f aca="false">BE302</f>
        <v>0</v>
      </c>
    </row>
    <row r="303" customFormat="false" ht="15" hidden="false" customHeight="false" outlineLevel="0" collapsed="false">
      <c r="BD303" s="0" t="s">
        <v>79</v>
      </c>
      <c r="BE303" s="0" t="n">
        <f aca="false">IF(COUNTIFS('Reguler Class Availability'!$L:$L,$B$4&amp;"|- Lane 6 - *|"&amp;BD303)&gt;0,1,0)</f>
        <v>0</v>
      </c>
      <c r="BF303" s="0" t="n">
        <f aca="false">BE303+BF302</f>
        <v>0</v>
      </c>
    </row>
    <row r="304" customFormat="false" ht="15" hidden="false" customHeight="false" outlineLevel="0" collapsed="false">
      <c r="BD304" s="0" t="s">
        <v>84</v>
      </c>
      <c r="BE304" s="0" t="n">
        <f aca="false">IF(COUNTIFS('Reguler Class Availability'!$L:$L,$B$4&amp;"|- Lane 6 - *|"&amp;BD304)&gt;0,1,0)</f>
        <v>0</v>
      </c>
      <c r="BF304" s="0" t="n">
        <f aca="false">BE304+BF303</f>
        <v>0</v>
      </c>
    </row>
    <row r="305" customFormat="false" ht="15" hidden="false" customHeight="false" outlineLevel="0" collapsed="false">
      <c r="BD305" s="0" t="s">
        <v>85</v>
      </c>
      <c r="BE305" s="0" t="n">
        <f aca="false">IF(COUNTIFS('Reguler Class Availability'!$L:$L,$B$4&amp;"|- Lane 6 - *|"&amp;BD305)&gt;0,1,0)</f>
        <v>0</v>
      </c>
      <c r="BF305" s="0" t="n">
        <f aca="false">BE305+BF304</f>
        <v>0</v>
      </c>
    </row>
    <row r="306" customFormat="false" ht="15" hidden="false" customHeight="false" outlineLevel="0" collapsed="false">
      <c r="BD306" s="0" t="s">
        <v>89</v>
      </c>
      <c r="BE306" s="0" t="n">
        <f aca="false">IF(COUNTIFS('Reguler Class Availability'!$L:$L,$B$4&amp;"|- Lane 6 - *|"&amp;BD306)&gt;0,1,0)</f>
        <v>0</v>
      </c>
      <c r="BF306" s="0" t="n">
        <f aca="false">BE306+BF305</f>
        <v>0</v>
      </c>
    </row>
    <row r="307" customFormat="false" ht="15" hidden="false" customHeight="false" outlineLevel="0" collapsed="false">
      <c r="BD307" s="0" t="s">
        <v>90</v>
      </c>
      <c r="BE307" s="0" t="n">
        <f aca="false">IF(COUNTIFS('Reguler Class Availability'!$L:$L,$B$4&amp;"|- Lane 6 - *|"&amp;BD307)&gt;0,1,0)</f>
        <v>0</v>
      </c>
      <c r="BF307" s="0" t="n">
        <f aca="false">BE307+BF306</f>
        <v>0</v>
      </c>
    </row>
    <row r="308" customFormat="false" ht="15" hidden="false" customHeight="false" outlineLevel="0" collapsed="false">
      <c r="BD308" s="0" t="s">
        <v>91</v>
      </c>
      <c r="BE308" s="0" t="n">
        <f aca="false">IF(COUNTIFS('Reguler Class Availability'!$L:$L,$B$4&amp;"|- Lane 6 - *|"&amp;BD308)&gt;0,1,0)</f>
        <v>0</v>
      </c>
      <c r="BF308" s="0" t="n">
        <f aca="false">BE308+BF307</f>
        <v>0</v>
      </c>
    </row>
    <row r="309" customFormat="false" ht="15" hidden="false" customHeight="false" outlineLevel="0" collapsed="false">
      <c r="BD309" s="0" t="s">
        <v>98</v>
      </c>
      <c r="BE309" s="0" t="n">
        <f aca="false">IF(COUNTIFS('Reguler Class Availability'!$L:$L,$B$4&amp;"|- Lane 6 - *|"&amp;BD309)&gt;0,1,0)</f>
        <v>0</v>
      </c>
      <c r="BF309" s="0" t="n">
        <f aca="false">BE309+BF308</f>
        <v>0</v>
      </c>
    </row>
    <row r="310" customFormat="false" ht="15" hidden="false" customHeight="false" outlineLevel="0" collapsed="false">
      <c r="BD310" s="0" t="s">
        <v>105</v>
      </c>
      <c r="BE310" s="0" t="n">
        <f aca="false">IF(COUNTIFS('Reguler Class Availability'!$L:$L,$B$4&amp;"|- Lane 6 - *|"&amp;BD310)&gt;0,1,0)</f>
        <v>1</v>
      </c>
      <c r="BF310" s="0" t="n">
        <f aca="false">BE310+BF309</f>
        <v>1</v>
      </c>
    </row>
    <row r="311" customFormat="false" ht="15" hidden="false" customHeight="false" outlineLevel="0" collapsed="false">
      <c r="BD311" s="0" t="s">
        <v>110</v>
      </c>
      <c r="BE311" s="0" t="n">
        <f aca="false">IF(COUNTIFS('Reguler Class Availability'!$L:$L,$B$4&amp;"|- Lane 6 - *|"&amp;BD311)&gt;0,1,0)</f>
        <v>0</v>
      </c>
      <c r="BF311" s="0" t="n">
        <f aca="false">BE311+BF310</f>
        <v>1</v>
      </c>
    </row>
    <row r="312" customFormat="false" ht="15" hidden="false" customHeight="false" outlineLevel="0" collapsed="false">
      <c r="BD312" s="0" t="s">
        <v>112</v>
      </c>
      <c r="BE312" s="0" t="n">
        <f aca="false">IF(COUNTIFS('Reguler Class Availability'!$L:$L,$B$4&amp;"|- Lane 6 - *|"&amp;BD312)&gt;0,1,0)</f>
        <v>0</v>
      </c>
      <c r="BF312" s="0" t="n">
        <f aca="false">BE312+BF311</f>
        <v>1</v>
      </c>
    </row>
    <row r="313" customFormat="false" ht="15" hidden="false" customHeight="false" outlineLevel="0" collapsed="false">
      <c r="BD313" s="0" t="s">
        <v>120</v>
      </c>
      <c r="BE313" s="0" t="n">
        <f aca="false">IF(COUNTIFS('Reguler Class Availability'!$L:$L,$B$4&amp;"|- Lane 6 - *|"&amp;BD313)&gt;0,1,0)</f>
        <v>1</v>
      </c>
      <c r="BF313" s="0" t="n">
        <f aca="false">BE313+BF312</f>
        <v>2</v>
      </c>
    </row>
    <row r="314" customFormat="false" ht="15" hidden="false" customHeight="false" outlineLevel="0" collapsed="false">
      <c r="BD314" s="0" t="s">
        <v>121</v>
      </c>
      <c r="BE314" s="0" t="n">
        <f aca="false">IF(COUNTIFS('Reguler Class Availability'!$L:$L,$B$4&amp;"|- Lane 6 - *|"&amp;BD314)&gt;0,1,0)</f>
        <v>0</v>
      </c>
      <c r="BF314" s="0" t="n">
        <f aca="false">BE314+BF313</f>
        <v>2</v>
      </c>
    </row>
    <row r="315" customFormat="false" ht="15" hidden="false" customHeight="false" outlineLevel="0" collapsed="false">
      <c r="BD315" s="0" t="s">
        <v>122</v>
      </c>
      <c r="BE315" s="0" t="n">
        <f aca="false">IF(COUNTIFS('Reguler Class Availability'!$L:$L,$B$4&amp;"|- Lane 6 - *|"&amp;BD315)&gt;0,1,0)</f>
        <v>0</v>
      </c>
      <c r="BF315" s="0" t="n">
        <f aca="false">BE315+BF314</f>
        <v>2</v>
      </c>
    </row>
    <row r="316" customFormat="false" ht="15" hidden="false" customHeight="false" outlineLevel="0" collapsed="false">
      <c r="BD316" s="0" t="s">
        <v>123</v>
      </c>
      <c r="BE316" s="0" t="n">
        <f aca="false">IF(COUNTIFS('Reguler Class Availability'!$L:$L,$B$4&amp;"|- Lane 6 - *|"&amp;BD316)&gt;0,1,0)</f>
        <v>1</v>
      </c>
      <c r="BF316" s="0" t="n">
        <f aca="false">BE316+BF315</f>
        <v>3</v>
      </c>
    </row>
    <row r="317" customFormat="false" ht="15" hidden="false" customHeight="false" outlineLevel="0" collapsed="false">
      <c r="BD317" s="0" t="s">
        <v>124</v>
      </c>
      <c r="BE317" s="0" t="n">
        <f aca="false">IF(COUNTIFS('Reguler Class Availability'!$L:$L,$B$4&amp;"|- Lane 6 - *|"&amp;BD317)&gt;0,1,0)</f>
        <v>0</v>
      </c>
      <c r="BF317" s="0" t="n">
        <f aca="false">BE317+BF316</f>
        <v>3</v>
      </c>
    </row>
    <row r="318" customFormat="false" ht="15" hidden="false" customHeight="false" outlineLevel="0" collapsed="false">
      <c r="BD318" s="0" t="s">
        <v>125</v>
      </c>
      <c r="BE318" s="0" t="n">
        <f aca="false">IF(COUNTIFS('Reguler Class Availability'!$L:$L,$B$4&amp;"|- Lane 6 - *|"&amp;BD318)&gt;0,1,0)</f>
        <v>0</v>
      </c>
      <c r="BF318" s="0" t="n">
        <f aca="false">BE318+BF317</f>
        <v>3</v>
      </c>
    </row>
    <row r="319" customFormat="false" ht="15" hidden="false" customHeight="false" outlineLevel="0" collapsed="false">
      <c r="BD319" s="0" t="s">
        <v>126</v>
      </c>
      <c r="BE319" s="0" t="n">
        <f aca="false">IF(COUNTIFS('Reguler Class Availability'!$L:$L,$B$4&amp;"|- Lane 6 - *|"&amp;BD319)&gt;0,1,0)</f>
        <v>1</v>
      </c>
      <c r="BF319" s="0" t="n">
        <f aca="false">BE319+BF318</f>
        <v>4</v>
      </c>
    </row>
    <row r="320" customFormat="false" ht="15" hidden="false" customHeight="false" outlineLevel="0" collapsed="false">
      <c r="BD320" s="0" t="s">
        <v>127</v>
      </c>
      <c r="BE320" s="0" t="n">
        <f aca="false">IF(COUNTIFS('Reguler Class Availability'!$L:$L,$B$4&amp;"|- Lane 6 - *|"&amp;BD320)&gt;0,1,0)</f>
        <v>0</v>
      </c>
      <c r="BF320" s="0" t="n">
        <f aca="false">BE320+BF319</f>
        <v>4</v>
      </c>
    </row>
    <row r="321" customFormat="false" ht="15" hidden="false" customHeight="false" outlineLevel="0" collapsed="false">
      <c r="BD321" s="0" t="s">
        <v>128</v>
      </c>
      <c r="BE321" s="0" t="n">
        <f aca="false">IF(COUNTIFS('Reguler Class Availability'!$L:$L,$B$4&amp;"|- Lane 6 - *|"&amp;BD321)&gt;0,1,0)</f>
        <v>0</v>
      </c>
      <c r="BF321" s="0" t="n">
        <f aca="false">BE321+BF320</f>
        <v>4</v>
      </c>
    </row>
    <row r="322" customFormat="false" ht="15" hidden="false" customHeight="false" outlineLevel="0" collapsed="false">
      <c r="BD322" s="0" t="s">
        <v>129</v>
      </c>
      <c r="BE322" s="0" t="n">
        <f aca="false">IF(COUNTIFS('Reguler Class Availability'!$L:$L,$B$4&amp;"|- Lane 6 - *|"&amp;BD322)&gt;0,1,0)</f>
        <v>1</v>
      </c>
      <c r="BF322" s="0" t="n">
        <f aca="false">BE322+BF321</f>
        <v>5</v>
      </c>
    </row>
    <row r="323" customFormat="false" ht="15" hidden="false" customHeight="false" outlineLevel="0" collapsed="false">
      <c r="BD323" s="0" t="s">
        <v>130</v>
      </c>
      <c r="BE323" s="0" t="n">
        <f aca="false">IF(COUNTIFS('Reguler Class Availability'!$L:$L,$B$4&amp;"|- Lane 6 - *|"&amp;BD323)&gt;0,1,0)</f>
        <v>0</v>
      </c>
      <c r="BF323" s="0" t="n">
        <f aca="false">BE323+BF322</f>
        <v>5</v>
      </c>
    </row>
    <row r="324" customFormat="false" ht="15" hidden="false" customHeight="false" outlineLevel="0" collapsed="false">
      <c r="BD324" s="0" t="s">
        <v>131</v>
      </c>
      <c r="BE324" s="0" t="n">
        <f aca="false">IF(COUNTIFS('Reguler Class Availability'!$L:$L,$B$4&amp;"|- Lane 6 - *|"&amp;BD324)&gt;0,1,0)</f>
        <v>0</v>
      </c>
      <c r="BF324" s="0" t="n">
        <f aca="false">BE324+BF323</f>
        <v>5</v>
      </c>
    </row>
    <row r="325" customFormat="false" ht="15" hidden="false" customHeight="false" outlineLevel="0" collapsed="false">
      <c r="BD325" s="0" t="s">
        <v>132</v>
      </c>
      <c r="BE325" s="0" t="n">
        <f aca="false">IF(COUNTIFS('Reguler Class Availability'!$L:$L,$B$4&amp;"|- Lane 6 - *|"&amp;BD325)&gt;0,1,0)</f>
        <v>1</v>
      </c>
      <c r="BF325" s="0" t="n">
        <f aca="false">BE325+BF324</f>
        <v>6</v>
      </c>
    </row>
    <row r="326" customFormat="false" ht="15" hidden="false" customHeight="false" outlineLevel="0" collapsed="false">
      <c r="BD326" s="0" t="s">
        <v>133</v>
      </c>
      <c r="BE326" s="0" t="n">
        <f aca="false">IF(COUNTIFS('Reguler Class Availability'!$L:$L,$B$4&amp;"|- Lane 6 - *|"&amp;BD326)&gt;0,1,0)</f>
        <v>0</v>
      </c>
      <c r="BF326" s="0" t="n">
        <f aca="false">BE326+BF325</f>
        <v>6</v>
      </c>
    </row>
    <row r="327" customFormat="false" ht="15" hidden="false" customHeight="false" outlineLevel="0" collapsed="false">
      <c r="BD327" s="0" t="s">
        <v>134</v>
      </c>
      <c r="BE327" s="0" t="n">
        <f aca="false">IF(COUNTIFS('Reguler Class Availability'!$L:$L,$B$4&amp;"|- Lane 6 - *|"&amp;BD327)&gt;0,1,0)</f>
        <v>0</v>
      </c>
      <c r="BF327" s="0" t="n">
        <f aca="false">BE327+BF326</f>
        <v>6</v>
      </c>
    </row>
    <row r="328" customFormat="false" ht="15" hidden="false" customHeight="false" outlineLevel="0" collapsed="false">
      <c r="BD328" s="0" t="s">
        <v>135</v>
      </c>
      <c r="BE328" s="0" t="n">
        <f aca="false">IF(COUNTIFS('Reguler Class Availability'!$L:$L,$B$4&amp;"|- Lane 6 - *|"&amp;BD328)&gt;0,1,0)</f>
        <v>0</v>
      </c>
      <c r="BF328" s="0" t="n">
        <f aca="false">BE328+BF327</f>
        <v>6</v>
      </c>
    </row>
    <row r="329" customFormat="false" ht="15" hidden="false" customHeight="false" outlineLevel="0" collapsed="false">
      <c r="BD329" s="0" t="s">
        <v>136</v>
      </c>
      <c r="BE329" s="0" t="n">
        <f aca="false">IF(COUNTIFS('Reguler Class Availability'!$L:$L,$B$4&amp;"|- Lane 6 - *|"&amp;BD329)&gt;0,1,0)</f>
        <v>0</v>
      </c>
      <c r="BF329" s="0" t="n">
        <f aca="false">BE329+BF328</f>
        <v>6</v>
      </c>
    </row>
    <row r="330" customFormat="false" ht="15" hidden="false" customHeight="false" outlineLevel="0" collapsed="false">
      <c r="BD330" s="0" t="s">
        <v>138</v>
      </c>
      <c r="BE330" s="0" t="n">
        <f aca="false">IF(COUNTIFS('Reguler Class Availability'!$L:$L,$B$4&amp;"|- Lane 6 - *|"&amp;BD330)&gt;0,1,0)</f>
        <v>0</v>
      </c>
      <c r="BF330" s="0" t="n">
        <f aca="false">BE330+BF329</f>
        <v>6</v>
      </c>
    </row>
    <row r="331" customFormat="false" ht="15" hidden="false" customHeight="false" outlineLevel="0" collapsed="false">
      <c r="BD331" s="0" t="s">
        <v>139</v>
      </c>
      <c r="BE331" s="0" t="n">
        <f aca="false">IF(COUNTIFS('Reguler Class Availability'!$L:$L,$B$4&amp;"|- Lane 6 - *|"&amp;BD331)&gt;0,1,0)</f>
        <v>1</v>
      </c>
      <c r="BF331" s="0" t="n">
        <f aca="false">BE331+BF330</f>
        <v>7</v>
      </c>
    </row>
    <row r="332" customFormat="false" ht="15" hidden="false" customHeight="false" outlineLevel="0" collapsed="false">
      <c r="BD332" s="0" t="s">
        <v>141</v>
      </c>
      <c r="BE332" s="0" t="n">
        <f aca="false">IF(COUNTIFS('Reguler Class Availability'!$L:$L,$B$4&amp;"|- Lane 6 - *|"&amp;BD332)&gt;0,1,0)</f>
        <v>0</v>
      </c>
      <c r="BF332" s="0" t="n">
        <f aca="false">BE332+BF331</f>
        <v>7</v>
      </c>
    </row>
    <row r="333" customFormat="false" ht="15" hidden="false" customHeight="false" outlineLevel="0" collapsed="false">
      <c r="BD333" s="0" t="s">
        <v>142</v>
      </c>
      <c r="BE333" s="0" t="n">
        <f aca="false">IF(COUNTIFS('Reguler Class Availability'!$L:$L,$B$4&amp;"|- Lane 6 - *|"&amp;BD333)&gt;0,1,0)</f>
        <v>0</v>
      </c>
      <c r="BF333" s="0" t="n">
        <f aca="false">BE333+BF332</f>
        <v>7</v>
      </c>
    </row>
    <row r="334" customFormat="false" ht="15" hidden="false" customHeight="false" outlineLevel="0" collapsed="false">
      <c r="BD334" s="0" t="s">
        <v>143</v>
      </c>
      <c r="BE334" s="0" t="n">
        <f aca="false">IF(COUNTIFS('Reguler Class Availability'!$L:$L,$B$4&amp;"|- Lane 6 - *|"&amp;BD334)&gt;0,1,0)</f>
        <v>1</v>
      </c>
      <c r="BF334" s="0" t="n">
        <f aca="false">BE334+BF333</f>
        <v>8</v>
      </c>
    </row>
    <row r="335" customFormat="false" ht="15" hidden="false" customHeight="false" outlineLevel="0" collapsed="false">
      <c r="BD335" s="0" t="s">
        <v>144</v>
      </c>
      <c r="BE335" s="0" t="n">
        <f aca="false">IF(COUNTIFS('Reguler Class Availability'!$L:$L,$B$4&amp;"|- Lane 6 - *|"&amp;BD335)&gt;0,1,0)</f>
        <v>0</v>
      </c>
      <c r="BF335" s="0" t="n">
        <f aca="false">BE335+BF334</f>
        <v>8</v>
      </c>
    </row>
    <row r="336" customFormat="false" ht="15" hidden="false" customHeight="false" outlineLevel="0" collapsed="false">
      <c r="BD336" s="0" t="s">
        <v>145</v>
      </c>
      <c r="BE336" s="0" t="n">
        <f aca="false">IF(COUNTIFS('Reguler Class Availability'!$L:$L,$B$4&amp;"|- Lane 6 - *|"&amp;BD336)&gt;0,1,0)</f>
        <v>0</v>
      </c>
      <c r="BF336" s="0" t="n">
        <f aca="false">BE336+BF335</f>
        <v>8</v>
      </c>
    </row>
    <row r="337" customFormat="false" ht="15" hidden="false" customHeight="false" outlineLevel="0" collapsed="false">
      <c r="BD337" s="0" t="s">
        <v>146</v>
      </c>
      <c r="BE337" s="0" t="n">
        <f aca="false">IF(COUNTIFS('Reguler Class Availability'!$L:$L,$B$4&amp;"|- Lane 6 - *|"&amp;BD337)&gt;0,1,0)</f>
        <v>1</v>
      </c>
      <c r="BF337" s="0" t="n">
        <f aca="false">BE337+BF336</f>
        <v>9</v>
      </c>
    </row>
    <row r="338" customFormat="false" ht="15" hidden="false" customHeight="false" outlineLevel="0" collapsed="false">
      <c r="BD338" s="0" t="s">
        <v>147</v>
      </c>
      <c r="BE338" s="0" t="n">
        <f aca="false">IF(COUNTIFS('Reguler Class Availability'!$L:$L,$B$4&amp;"|- Lane 6 - *|"&amp;BD338)&gt;0,1,0)</f>
        <v>0</v>
      </c>
      <c r="BF338" s="0" t="n">
        <f aca="false">BE338+BF337</f>
        <v>9</v>
      </c>
    </row>
    <row r="339" customFormat="false" ht="15" hidden="false" customHeight="false" outlineLevel="0" collapsed="false">
      <c r="BD339" s="0" t="s">
        <v>148</v>
      </c>
      <c r="BE339" s="0" t="n">
        <f aca="false">IF(COUNTIFS('Reguler Class Availability'!$L:$L,$B$4&amp;"|- Lane 6 - *|"&amp;BD339)&gt;0,1,0)</f>
        <v>0</v>
      </c>
      <c r="BF339" s="0" t="n">
        <f aca="false">BE339+BF338</f>
        <v>9</v>
      </c>
    </row>
    <row r="340" customFormat="false" ht="15" hidden="false" customHeight="false" outlineLevel="0" collapsed="false">
      <c r="BD340" s="0" t="s">
        <v>149</v>
      </c>
      <c r="BE340" s="0" t="n">
        <f aca="false">IF(COUNTIFS('Reguler Class Availability'!$L:$L,$B$4&amp;"|- Lane 6 - *|"&amp;BD340)&gt;0,1,0)</f>
        <v>1</v>
      </c>
      <c r="BF340" s="0" t="n">
        <f aca="false">BE340+BF339</f>
        <v>10</v>
      </c>
    </row>
    <row r="341" customFormat="false" ht="15" hidden="false" customHeight="false" outlineLevel="0" collapsed="false">
      <c r="BD341" s="0" t="s">
        <v>150</v>
      </c>
      <c r="BE341" s="0" t="n">
        <f aca="false">IF(COUNTIFS('Reguler Class Availability'!$L:$L,$B$4&amp;"|- Lane 6 - *|"&amp;BD341)&gt;0,1,0)</f>
        <v>0</v>
      </c>
      <c r="BF341" s="0" t="n">
        <f aca="false">BE341+BF340</f>
        <v>10</v>
      </c>
    </row>
    <row r="342" customFormat="false" ht="15" hidden="false" customHeight="false" outlineLevel="0" collapsed="false">
      <c r="BD342" s="0" t="s">
        <v>151</v>
      </c>
      <c r="BE342" s="0" t="n">
        <f aca="false">IF(COUNTIFS('Reguler Class Availability'!$L:$L,$B$4&amp;"|- Lane 6 - *|"&amp;BD342)&gt;0,1,0)</f>
        <v>0</v>
      </c>
      <c r="BF342" s="0" t="n">
        <f aca="false">BE342+BF341</f>
        <v>10</v>
      </c>
    </row>
    <row r="343" customFormat="false" ht="15" hidden="false" customHeight="false" outlineLevel="0" collapsed="false">
      <c r="BD343" s="0" t="s">
        <v>152</v>
      </c>
      <c r="BE343" s="0" t="n">
        <f aca="false">IF(COUNTIFS('Reguler Class Availability'!$L:$L,$B$4&amp;"|- Lane 6 - *|"&amp;BD343)&gt;0,1,0)</f>
        <v>1</v>
      </c>
      <c r="BF343" s="0" t="n">
        <f aca="false">BE343+BF342</f>
        <v>11</v>
      </c>
    </row>
    <row r="344" customFormat="false" ht="15" hidden="false" customHeight="false" outlineLevel="0" collapsed="false">
      <c r="BD344" s="0" t="s">
        <v>153</v>
      </c>
      <c r="BE344" s="0" t="n">
        <f aca="false">IF(COUNTIFS('Reguler Class Availability'!$L:$L,$B$4&amp;"|- Lane 6 - *|"&amp;BD344)&gt;0,1,0)</f>
        <v>0</v>
      </c>
      <c r="BF344" s="0" t="n">
        <f aca="false">BE344+BF343</f>
        <v>11</v>
      </c>
    </row>
    <row r="345" customFormat="false" ht="15" hidden="false" customHeight="false" outlineLevel="0" collapsed="false">
      <c r="BD345" s="0" t="s">
        <v>154</v>
      </c>
      <c r="BE345" s="0" t="n">
        <f aca="false">IF(COUNTIFS('Reguler Class Availability'!$L:$L,$B$4&amp;"|- Lane 6 - *|"&amp;BD345)&gt;0,1,0)</f>
        <v>0</v>
      </c>
      <c r="BF345" s="0" t="n">
        <f aca="false">BE345+BF344</f>
        <v>11</v>
      </c>
    </row>
    <row r="346" customFormat="false" ht="15" hidden="false" customHeight="false" outlineLevel="0" collapsed="false">
      <c r="BD346" s="0" t="s">
        <v>155</v>
      </c>
      <c r="BE346" s="0" t="n">
        <f aca="false">IF(COUNTIFS('Reguler Class Availability'!$L:$L,$B$4&amp;"|- Lane 6 - *|"&amp;BD346)&gt;0,1,0)</f>
        <v>1</v>
      </c>
      <c r="BF346" s="0" t="n">
        <f aca="false">BE346+BF345</f>
        <v>12</v>
      </c>
    </row>
    <row r="347" customFormat="false" ht="15" hidden="false" customHeight="false" outlineLevel="0" collapsed="false">
      <c r="BD347" s="0" t="s">
        <v>156</v>
      </c>
      <c r="BE347" s="0" t="n">
        <f aca="false">IF(COUNTIFS('Reguler Class Availability'!$L:$L,$B$4&amp;"|- Lane 6 - *|"&amp;BD347)&gt;0,1,0)</f>
        <v>0</v>
      </c>
      <c r="BF347" s="0" t="n">
        <f aca="false">BE347+BF346</f>
        <v>12</v>
      </c>
    </row>
    <row r="348" customFormat="false" ht="15" hidden="false" customHeight="false" outlineLevel="0" collapsed="false">
      <c r="BD348" s="0" t="s">
        <v>157</v>
      </c>
      <c r="BE348" s="0" t="n">
        <f aca="false">IF(COUNTIFS('Reguler Class Availability'!$L:$L,$B$4&amp;"|- Lane 6 - *|"&amp;BD348)&gt;0,1,0)</f>
        <v>0</v>
      </c>
      <c r="BF348" s="0" t="n">
        <f aca="false">BE348+BF347</f>
        <v>12</v>
      </c>
    </row>
    <row r="349" customFormat="false" ht="15" hidden="false" customHeight="false" outlineLevel="0" collapsed="false">
      <c r="BD349" s="0" t="s">
        <v>158</v>
      </c>
      <c r="BE349" s="0" t="n">
        <f aca="false">IF(COUNTIFS('Reguler Class Availability'!$L:$L,$B$4&amp;"|- Lane 6 - *|"&amp;BD349)&gt;0,1,0)</f>
        <v>0</v>
      </c>
      <c r="BF349" s="0" t="n">
        <f aca="false">BE349+BF348</f>
        <v>12</v>
      </c>
    </row>
    <row r="350" customFormat="false" ht="15" hidden="false" customHeight="false" outlineLevel="0" collapsed="false">
      <c r="BD350" s="0" t="s">
        <v>160</v>
      </c>
      <c r="BE350" s="0" t="n">
        <f aca="false">IF(COUNTIFS('Reguler Class Availability'!$L:$L,$B$4&amp;"|- Lane 6 - *|"&amp;BD350)&gt;0,1,0)</f>
        <v>0</v>
      </c>
      <c r="BF350" s="0" t="n">
        <f aca="false">BE350+BF349</f>
        <v>12</v>
      </c>
    </row>
    <row r="351" customFormat="false" ht="15" hidden="false" customHeight="false" outlineLevel="0" collapsed="false">
      <c r="BD351" s="0" t="s">
        <v>161</v>
      </c>
      <c r="BE351" s="0" t="n">
        <f aca="false">IF(COUNTIFS('Reguler Class Availability'!$L:$L,$B$4&amp;"|- Lane 6 - *|"&amp;BD351)&gt;0,1,0)</f>
        <v>0</v>
      </c>
      <c r="BF351" s="0" t="n">
        <f aca="false">BE351+BF350</f>
        <v>12</v>
      </c>
    </row>
    <row r="352" customFormat="false" ht="15" hidden="false" customHeight="false" outlineLevel="0" collapsed="false">
      <c r="BD352" s="0" t="s">
        <v>162</v>
      </c>
      <c r="BE352" s="0" t="n">
        <f aca="false">IF(COUNTIFS('Reguler Class Availability'!$L:$L,$B$4&amp;"|- Lane 6 - *|"&amp;BD352)&gt;0,1,0)</f>
        <v>0</v>
      </c>
      <c r="BF352" s="0" t="n">
        <f aca="false">BE352+BF351</f>
        <v>12</v>
      </c>
    </row>
    <row r="353" customFormat="false" ht="15" hidden="false" customHeight="false" outlineLevel="0" collapsed="false">
      <c r="BD353" s="0" t="s">
        <v>163</v>
      </c>
      <c r="BE353" s="0" t="n">
        <f aca="false">IF(COUNTIFS('Reguler Class Availability'!$L:$L,$B$4&amp;"|- Lane 6 - *|"&amp;BD353)&gt;0,1,0)</f>
        <v>0</v>
      </c>
      <c r="BF353" s="0" t="n">
        <f aca="false">BE353+BF352</f>
        <v>12</v>
      </c>
    </row>
    <row r="354" customFormat="false" ht="15" hidden="false" customHeight="false" outlineLevel="0" collapsed="false">
      <c r="BD354" s="0" t="s">
        <v>164</v>
      </c>
      <c r="BE354" s="0" t="n">
        <f aca="false">IF(COUNTIFS('Reguler Class Availability'!$L:$L,$B$4&amp;"|- Lane 6 - *|"&amp;BD354)&gt;0,1,0)</f>
        <v>0</v>
      </c>
      <c r="BF354" s="0" t="n">
        <f aca="false">BE354+BF353</f>
        <v>12</v>
      </c>
    </row>
    <row r="355" customFormat="false" ht="15" hidden="false" customHeight="false" outlineLevel="0" collapsed="false">
      <c r="BD355" s="0" t="s">
        <v>165</v>
      </c>
      <c r="BE355" s="0" t="n">
        <f aca="false">IF(COUNTIFS('Reguler Class Availability'!$L:$L,$B$4&amp;"|- Lane 6 - *|"&amp;BD355)&gt;0,1,0)</f>
        <v>0</v>
      </c>
      <c r="BF355" s="0" t="n">
        <f aca="false">BE355+BF354</f>
        <v>12</v>
      </c>
    </row>
    <row r="356" customFormat="false" ht="15" hidden="false" customHeight="false" outlineLevel="0" collapsed="false">
      <c r="BD356" s="0" t="s">
        <v>166</v>
      </c>
      <c r="BE356" s="0" t="n">
        <f aca="false">IF(COUNTIFS('Reguler Class Availability'!$L:$L,$B$4&amp;"|- Lane 6 - *|"&amp;BD356)&gt;0,1,0)</f>
        <v>0</v>
      </c>
      <c r="BF356" s="0" t="n">
        <f aca="false">BE356+BF355</f>
        <v>12</v>
      </c>
    </row>
    <row r="357" customFormat="false" ht="15" hidden="false" customHeight="false" outlineLevel="0" collapsed="false">
      <c r="BD357" s="0" t="s">
        <v>167</v>
      </c>
      <c r="BE357" s="0" t="n">
        <f aca="false">IF(COUNTIFS('Reguler Class Availability'!$L:$L,$B$4&amp;"|- Lane 6 - *|"&amp;BD357)&gt;0,1,0)</f>
        <v>0</v>
      </c>
      <c r="BF357" s="0" t="n">
        <f aca="false">BE357+BF356</f>
        <v>12</v>
      </c>
    </row>
    <row r="358" customFormat="false" ht="15" hidden="false" customHeight="false" outlineLevel="0" collapsed="false">
      <c r="BD358" s="0" t="s">
        <v>168</v>
      </c>
      <c r="BE358" s="0" t="n">
        <f aca="false">IF(COUNTIFS('Reguler Class Availability'!$L:$L,$B$4&amp;"|- Lane 6 - *|"&amp;BD358)&gt;0,1,0)</f>
        <v>0</v>
      </c>
      <c r="BF358" s="0" t="n">
        <f aca="false">BE358+BF357</f>
        <v>12</v>
      </c>
    </row>
    <row r="359" customFormat="false" ht="15" hidden="false" customHeight="false" outlineLevel="0" collapsed="false">
      <c r="BD359" s="0" t="s">
        <v>169</v>
      </c>
      <c r="BE359" s="0" t="n">
        <f aca="false">IF(COUNTIFS('Reguler Class Availability'!$L:$L,$B$4&amp;"|- Lane 6 - *|"&amp;BD359)&gt;0,1,0)</f>
        <v>0</v>
      </c>
      <c r="BF359" s="0" t="n">
        <f aca="false">BE359+BF358</f>
        <v>12</v>
      </c>
    </row>
    <row r="360" customFormat="false" ht="15" hidden="false" customHeight="false" outlineLevel="0" collapsed="false">
      <c r="BD360" s="0" t="s">
        <v>170</v>
      </c>
      <c r="BE360" s="0" t="n">
        <f aca="false">IF(COUNTIFS('Reguler Class Availability'!$L:$L,$B$4&amp;"|- Lane 6 - *|"&amp;BD360)&gt;0,1,0)</f>
        <v>0</v>
      </c>
      <c r="BF360" s="0" t="n">
        <f aca="false">BE360+BF359</f>
        <v>12</v>
      </c>
    </row>
    <row r="361" customFormat="false" ht="15" hidden="false" customHeight="false" outlineLevel="0" collapsed="false">
      <c r="BD361" s="0" t="s">
        <v>171</v>
      </c>
      <c r="BE361" s="0" t="n">
        <f aca="false">IF(COUNTIFS('Reguler Class Availability'!$L:$L,$B$4&amp;"|- Lane 6 - *|"&amp;BD361)&gt;0,1,0)</f>
        <v>0</v>
      </c>
      <c r="BF361" s="0" t="n">
        <f aca="false">BE361+BF360</f>
        <v>12</v>
      </c>
    </row>
  </sheetData>
  <autoFilter ref="A126:O281"/>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281">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281">
    <cfRule type="expression" priority="52" aboveAverage="0" equalAverage="0" bottom="0" percent="0" rank="0" text="" dxfId="16">
      <formula>$K127="Jual minggu ini"</formula>
    </cfRule>
  </conditionalFormatting>
  <conditionalFormatting sqref="D287:J296">
    <cfRule type="colorScale" priority="5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27:N281" type="whole">
      <formula1>0</formula1>
      <formula2>20</formula2>
    </dataValidation>
    <dataValidation allowBlank="true" errorStyle="stop" operator="between" showDropDown="false" showErrorMessage="false" showInputMessage="false" sqref="K127:K281" type="list">
      <formula1>"Jual minggu ini,Buka kelas baru,Ganti age group,Tahan,Tutup slot"</formula1>
      <formula2>0</formula2>
    </dataValidation>
    <dataValidation allowBlank="true" errorStyle="stop" operator="between" showDropDown="false" showErrorMessage="false" showInputMessage="false" sqref="L127:L281" type="list">
      <formula1>"Baby,Tiny,Little,Kids,Star"</formula1>
      <formula2>0</formula2>
    </dataValidation>
    <dataValidation allowBlank="true" errorStyle="stop" operator="between" showDropDown="false" showErrorMessage="false" showInputMessage="false" sqref="M127:M281" type="list">
      <formula1>$B$287:$B$296</formula1>
      <formula2>0</formula2>
    </dataValidation>
  </dataValidations>
  <hyperlinks>
    <hyperlink ref="B11" r:id="rId1" location="'KWC'!A12" display="→ Slot Map"/>
    <hyperlink ref="C11" r:id="rId2" location="'KWC'!A124" display="→ Daftar Diskusi"/>
    <hyperlink ref="D11" r:id="rId3" location="'KWC'!A284"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361"/>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347</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65</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0.364983164983165</v>
      </c>
      <c r="C7" s="42" t="str">
        <f aca="false">SUMIFS('Reguler Class Availability'!$G:$G,'Reguler Class Availability'!$A:$A,$B$4,'Reguler Class Availability'!$F:$F,"&gt;0")&amp;" / "&amp;SUMIFS('Reguler Class Availability'!$F:$F,'Reguler Class Availability'!$A:$A,$B$4,'Reguler Class Availability'!$F:$F,"&gt;0")</f>
        <v>542 / 1485</v>
      </c>
      <c r="D7" s="43" t="n">
        <f aca="false">COUNTIF($AV$1:$BB$1000,"Belum terisi")</f>
        <v>120</v>
      </c>
      <c r="E7" s="44" t="n">
        <f aca="false">COUNTIF($AV$1:$BB$1000,"Kosong")</f>
        <v>33</v>
      </c>
      <c r="F7" s="45" t="n">
        <f aca="false">COUNTIF($AV$1:$BB$1000,"Penuh")</f>
        <v>71</v>
      </c>
      <c r="G7" s="46" t="n">
        <f aca="false">COUNTIF($AV$1:$BB$1000,"Lebih")</f>
        <v>10</v>
      </c>
      <c r="H7" s="47" t="n">
        <f aca="false">COUNTIF($AV$1:$BB$1000,"Tutup")</f>
        <v>50</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1</v>
      </c>
      <c r="BF8" s="0" t="n">
        <f aca="false">BE8+BF7</f>
        <v>1</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1</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0</v>
      </c>
      <c r="BF10" s="30" t="n">
        <f aca="false">BE10+BF9</f>
        <v>1</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1</v>
      </c>
      <c r="BF11" s="30" t="n">
        <f aca="false">BE11+BF10</f>
        <v>2</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15%   ·   Belum terisi: 51   ·   Slot kosong: 11</v>
      </c>
      <c r="D12" s="62"/>
      <c r="E12" s="62"/>
      <c r="F12" s="62"/>
      <c r="G12" s="62"/>
      <c r="H12" s="62"/>
      <c r="BD12" s="30" t="s">
        <v>112</v>
      </c>
      <c r="BE12" s="30" t="n">
        <f aca="false">IF(COUNTIFS('Reguler Class Availability'!$L:$L,$B$4&amp;"|- Lane 1 - *|"&amp;BD12)&gt;0,1,0)</f>
        <v>0</v>
      </c>
      <c r="BF12" s="30" t="n">
        <f aca="false">BE12+BF11</f>
        <v>2</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0</v>
      </c>
      <c r="BF13" s="30" t="n">
        <f aca="false">BE13+BF12</f>
        <v>2</v>
      </c>
    </row>
    <row r="14" customFormat="false" ht="39.75" hidden="false" customHeight="true" outlineLevel="0" collapsed="false">
      <c r="A14" s="66" t="str">
        <f aca="false">IFERROR(INDEX($BD$2:$BD$61,MATCH(1,$BF$2:$BF$61,0)),"")</f>
        <v>07:30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Star  0/8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Star  0/8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Star  0/8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Star  0/8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Star  0/8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Star  0/8  (0%)
coach: –</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Star  0/8  (0%)
coach: –</v>
      </c>
      <c r="AN14" s="30" t="n">
        <f aca="false">IF($A14="","",IFERROR(MATCH($B$4&amp;"|- Lane 1 - "&amp;B$13&amp;"|"&amp;$A14,'Reguler Class Availability'!$L:$L,0),""))</f>
        <v>1122</v>
      </c>
      <c r="AO14" s="30" t="n">
        <f aca="false">IF($A14="","",IFERROR(MATCH($B$4&amp;"|- Lane 1 - "&amp;C$13&amp;"|"&amp;$A14,'Reguler Class Availability'!$L:$L,0),""))</f>
        <v>1123</v>
      </c>
      <c r="AP14" s="30" t="n">
        <f aca="false">IF($A14="","",IFERROR(MATCH($B$4&amp;"|- Lane 1 - "&amp;D$13&amp;"|"&amp;$A14,'Reguler Class Availability'!$L:$L,0),""))</f>
        <v>1124</v>
      </c>
      <c r="AQ14" s="30" t="n">
        <f aca="false">IF($A14="","",IFERROR(MATCH($B$4&amp;"|- Lane 1 - "&amp;E$13&amp;"|"&amp;$A14,'Reguler Class Availability'!$L:$L,0),""))</f>
        <v>1125</v>
      </c>
      <c r="AR14" s="30" t="n">
        <f aca="false">IF($A14="","",IFERROR(MATCH($B$4&amp;"|- Lane 1 - "&amp;F$13&amp;"|"&amp;$A14,'Reguler Class Availability'!$L:$L,0),""))</f>
        <v>1126</v>
      </c>
      <c r="AS14" s="30" t="n">
        <f aca="false">IF($A14="","",IFERROR(MATCH($B$4&amp;"|- Lane 1 - "&amp;G$13&amp;"|"&amp;$A14,'Reguler Class Availability'!$L:$L,0),""))</f>
        <v>1127</v>
      </c>
      <c r="AT14" s="30" t="n">
        <f aca="false">IF($A14="","",IFERROR(MATCH($B$4&amp;"|- Lane 1 - "&amp;H$13&amp;"|"&amp;$A14,'Reguler Class Availability'!$L:$L,0),""))</f>
        <v>1128</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Belum terisi</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1</v>
      </c>
      <c r="BF14" s="30" t="n">
        <f aca="false">BE14+BF13</f>
        <v>3</v>
      </c>
    </row>
    <row r="15" customFormat="false" ht="39.75" hidden="false" customHeight="true" outlineLevel="0" collapsed="false">
      <c r="A15" s="66" t="str">
        <f aca="false">IFERROR(INDEX($BD$2:$BD$61,MATCH(2,$BF$2:$BF$61,0)),"")</f>
        <v>08:15</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Baby  0/0
coach: –</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Baby  0/0
coach: –</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Baby  0/0
coach: –</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Baby  0/0
coach: –</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Baby  0/0
coach: –</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  0/0
coach: –</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Baby  0/0
coach: –</v>
      </c>
      <c r="AN15" s="30" t="n">
        <f aca="false">IF($A15="","",IFERROR(MATCH($B$4&amp;"|- Lane 1 - "&amp;B$13&amp;"|"&amp;$A15,'Reguler Class Availability'!$L:$L,0),""))</f>
        <v>1038</v>
      </c>
      <c r="AO15" s="30" t="n">
        <f aca="false">IF($A15="","",IFERROR(MATCH($B$4&amp;"|- Lane 1 - "&amp;C$13&amp;"|"&amp;$A15,'Reguler Class Availability'!$L:$L,0),""))</f>
        <v>1050</v>
      </c>
      <c r="AP15" s="30" t="n">
        <f aca="false">IF($A15="","",IFERROR(MATCH($B$4&amp;"|- Lane 1 - "&amp;D$13&amp;"|"&amp;$A15,'Reguler Class Availability'!$L:$L,0),""))</f>
        <v>1062</v>
      </c>
      <c r="AQ15" s="30" t="n">
        <f aca="false">IF($A15="","",IFERROR(MATCH($B$4&amp;"|- Lane 1 - "&amp;E$13&amp;"|"&amp;$A15,'Reguler Class Availability'!$L:$L,0),""))</f>
        <v>1074</v>
      </c>
      <c r="AR15" s="30" t="n">
        <f aca="false">IF($A15="","",IFERROR(MATCH($B$4&amp;"|- Lane 1 - "&amp;F$13&amp;"|"&amp;$A15,'Reguler Class Availability'!$L:$L,0),""))</f>
        <v>1086</v>
      </c>
      <c r="AS15" s="30" t="n">
        <f aca="false">IF($A15="","",IFERROR(MATCH($B$4&amp;"|- Lane 1 - "&amp;G$13&amp;"|"&amp;$A15,'Reguler Class Availability'!$L:$L,0),""))</f>
        <v>1098</v>
      </c>
      <c r="AT15" s="30" t="n">
        <f aca="false">IF($A15="","",IFERROR(MATCH($B$4&amp;"|- Lane 1 - "&amp;H$13&amp;"|"&amp;$A15,'Reguler Class Availability'!$L:$L,0),""))</f>
        <v>1110</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Tutup</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Tutup</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Tutup</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Tutup</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Tutup</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Tutup</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Tutup</v>
      </c>
      <c r="BD15" s="30" t="s">
        <v>122</v>
      </c>
      <c r="BE15" s="30" t="n">
        <f aca="false">IF(COUNTIFS('Reguler Class Availability'!$L:$L,$B$4&amp;"|- Lane 1 - *|"&amp;BD15)&gt;0,1,0)</f>
        <v>0</v>
      </c>
      <c r="BF15" s="30" t="n">
        <f aca="false">BE15+BF14</f>
        <v>3</v>
      </c>
    </row>
    <row r="16" customFormat="false" ht="39.75" hidden="false" customHeight="true" outlineLevel="0" collapsed="false">
      <c r="A16" s="66" t="str">
        <f aca="false">IFERROR(INDEX($BD$2:$BD$61,MATCH(3,$BF$2:$BF$61,0)),"")</f>
        <v>09:00</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Baby  2/5  (40%)
Kamal</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Baby  0/5  (0%)
coach: –</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Baby  0/5  (0%)
coach: –</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Baby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Baby  5/5  (100%)
Damai</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Baby  4/5  (80%)
Shofwan</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Baby  3/5  (60%)
Laksamana</v>
      </c>
      <c r="AN16" s="30" t="n">
        <f aca="false">IF($A16="","",IFERROR(MATCH($B$4&amp;"|- Lane 1 - "&amp;B$13&amp;"|"&amp;$A16,'Reguler Class Availability'!$L:$L,0),""))</f>
        <v>1039</v>
      </c>
      <c r="AO16" s="30" t="n">
        <f aca="false">IF($A16="","",IFERROR(MATCH($B$4&amp;"|- Lane 1 - "&amp;C$13&amp;"|"&amp;$A16,'Reguler Class Availability'!$L:$L,0),""))</f>
        <v>1051</v>
      </c>
      <c r="AP16" s="30" t="n">
        <f aca="false">IF($A16="","",IFERROR(MATCH($B$4&amp;"|- Lane 1 - "&amp;D$13&amp;"|"&amp;$A16,'Reguler Class Availability'!$L:$L,0),""))</f>
        <v>1063</v>
      </c>
      <c r="AQ16" s="30" t="n">
        <f aca="false">IF($A16="","",IFERROR(MATCH($B$4&amp;"|- Lane 1 - "&amp;E$13&amp;"|"&amp;$A16,'Reguler Class Availability'!$L:$L,0),""))</f>
        <v>1075</v>
      </c>
      <c r="AR16" s="30" t="n">
        <f aca="false">IF($A16="","",IFERROR(MATCH($B$4&amp;"|- Lane 1 - "&amp;F$13&amp;"|"&amp;$A16,'Reguler Class Availability'!$L:$L,0),""))</f>
        <v>1087</v>
      </c>
      <c r="AS16" s="30" t="n">
        <f aca="false">IF($A16="","",IFERROR(MATCH($B$4&amp;"|- Lane 1 - "&amp;G$13&amp;"|"&amp;$A16,'Reguler Class Availability'!$L:$L,0),""))</f>
        <v>1099</v>
      </c>
      <c r="AT16" s="30" t="n">
        <f aca="false">IF($A16="","",IFERROR(MATCH($B$4&amp;"|- Lane 1 - "&amp;H$13&amp;"|"&amp;$A16,'Reguler Class Availability'!$L:$L,0),""))</f>
        <v>1111</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Sebagian</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Belum terisi</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Belum terisi</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Belum terisi</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Penuh</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Tinggi</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Tinggi</v>
      </c>
      <c r="BD16" s="30" t="s">
        <v>123</v>
      </c>
      <c r="BE16" s="30" t="n">
        <f aca="false">IF(COUNTIFS('Reguler Class Availability'!$L:$L,$B$4&amp;"|- Lane 1 - *|"&amp;BD16)&gt;0,1,0)</f>
        <v>0</v>
      </c>
      <c r="BF16" s="30" t="n">
        <f aca="false">BE16+BF15</f>
        <v>3</v>
      </c>
    </row>
    <row r="17" customFormat="false" ht="39.75" hidden="false" customHeight="true" outlineLevel="0" collapsed="false">
      <c r="A17" s="66" t="str">
        <f aca="false">IFERROR(INDEX($BD$2:$BD$61,MATCH(4,$BF$2:$BF$61,0)),"")</f>
        <v>09:45</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Baby  3/5  (60%)
Kamal</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Baby  0/5  (0%)
coach: –</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Baby  2/5  (40%)
Laksamana</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Baby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Baby  0/5  (0%)
coach: –</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5/5  (100%)
Kamal</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2/5  (40%)
Shofwan</v>
      </c>
      <c r="AN17" s="30" t="n">
        <f aca="false">IF($A17="","",IFERROR(MATCH($B$4&amp;"|- Lane 1 - "&amp;B$13&amp;"|"&amp;$A17,'Reguler Class Availability'!$L:$L,0),""))</f>
        <v>1040</v>
      </c>
      <c r="AO17" s="30" t="n">
        <f aca="false">IF($A17="","",IFERROR(MATCH($B$4&amp;"|- Lane 1 - "&amp;C$13&amp;"|"&amp;$A17,'Reguler Class Availability'!$L:$L,0),""))</f>
        <v>1052</v>
      </c>
      <c r="AP17" s="30" t="n">
        <f aca="false">IF($A17="","",IFERROR(MATCH($B$4&amp;"|- Lane 1 - "&amp;D$13&amp;"|"&amp;$A17,'Reguler Class Availability'!$L:$L,0),""))</f>
        <v>1064</v>
      </c>
      <c r="AQ17" s="30" t="n">
        <f aca="false">IF($A17="","",IFERROR(MATCH($B$4&amp;"|- Lane 1 - "&amp;E$13&amp;"|"&amp;$A17,'Reguler Class Availability'!$L:$L,0),""))</f>
        <v>1076</v>
      </c>
      <c r="AR17" s="30" t="n">
        <f aca="false">IF($A17="","",IFERROR(MATCH($B$4&amp;"|- Lane 1 - "&amp;F$13&amp;"|"&amp;$A17,'Reguler Class Availability'!$L:$L,0),""))</f>
        <v>1088</v>
      </c>
      <c r="AS17" s="30" t="n">
        <f aca="false">IF($A17="","",IFERROR(MATCH($B$4&amp;"|- Lane 1 - "&amp;G$13&amp;"|"&amp;$A17,'Reguler Class Availability'!$L:$L,0),""))</f>
        <v>1100</v>
      </c>
      <c r="AT17" s="30" t="n">
        <f aca="false">IF($A17="","",IFERROR(MATCH($B$4&amp;"|- Lane 1 - "&amp;H$13&amp;"|"&amp;$A17,'Reguler Class Availability'!$L:$L,0),""))</f>
        <v>1112</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Tinggi</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Belum terisi</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Sebagian</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Belum terisi</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Belum terisi</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Penuh</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Sebagian</v>
      </c>
      <c r="BD17" s="30" t="s">
        <v>124</v>
      </c>
      <c r="BE17" s="30" t="n">
        <f aca="false">IF(COUNTIFS('Reguler Class Availability'!$L:$L,$B$4&amp;"|- Lane 1 - *|"&amp;BD17)&gt;0,1,0)</f>
        <v>1</v>
      </c>
      <c r="BF17" s="30" t="n">
        <f aca="false">BE17+BF16</f>
        <v>4</v>
      </c>
    </row>
    <row r="18" customFormat="false" ht="39.75" hidden="false" customHeight="true" outlineLevel="0" collapsed="false">
      <c r="A18" s="66" t="str">
        <f aca="false">IFERROR(INDEX($BD$2:$BD$61,MATCH(5,$BF$2:$BF$61,0)),"")</f>
        <v>10:30</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Baby  2/5  (40%)
Kamal</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Baby  0/5  (0%)
coach: –</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Baby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Baby  0/5  (0%)
coach: –</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Baby  4/5  (80%)
Laksamana</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Baby  0/5  (0%)
coach: –</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Baby  5/5  (100%)
Kamal</v>
      </c>
      <c r="AN18" s="30" t="n">
        <f aca="false">IF($A18="","",IFERROR(MATCH($B$4&amp;"|- Lane 1 - "&amp;B$13&amp;"|"&amp;$A18,'Reguler Class Availability'!$L:$L,0),""))</f>
        <v>1041</v>
      </c>
      <c r="AO18" s="30" t="n">
        <f aca="false">IF($A18="","",IFERROR(MATCH($B$4&amp;"|- Lane 1 - "&amp;C$13&amp;"|"&amp;$A18,'Reguler Class Availability'!$L:$L,0),""))</f>
        <v>1053</v>
      </c>
      <c r="AP18" s="30" t="n">
        <f aca="false">IF($A18="","",IFERROR(MATCH($B$4&amp;"|- Lane 1 - "&amp;D$13&amp;"|"&amp;$A18,'Reguler Class Availability'!$L:$L,0),""))</f>
        <v>1065</v>
      </c>
      <c r="AQ18" s="30" t="n">
        <f aca="false">IF($A18="","",IFERROR(MATCH($B$4&amp;"|- Lane 1 - "&amp;E$13&amp;"|"&amp;$A18,'Reguler Class Availability'!$L:$L,0),""))</f>
        <v>1077</v>
      </c>
      <c r="AR18" s="30" t="n">
        <f aca="false">IF($A18="","",IFERROR(MATCH($B$4&amp;"|- Lane 1 - "&amp;F$13&amp;"|"&amp;$A18,'Reguler Class Availability'!$L:$L,0),""))</f>
        <v>1089</v>
      </c>
      <c r="AS18" s="30" t="n">
        <f aca="false">IF($A18="","",IFERROR(MATCH($B$4&amp;"|- Lane 1 - "&amp;G$13&amp;"|"&amp;$A18,'Reguler Class Availability'!$L:$L,0),""))</f>
        <v>1101</v>
      </c>
      <c r="AT18" s="30" t="n">
        <f aca="false">IF($A18="","",IFERROR(MATCH($B$4&amp;"|- Lane 1 - "&amp;H$13&amp;"|"&amp;$A18,'Reguler Class Availability'!$L:$L,0),""))</f>
        <v>1113</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Sebagian</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Belum terisi</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Belum terisi</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Belum terisi</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Tinggi</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Belum terisi</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Penuh</v>
      </c>
      <c r="BD18" s="30" t="s">
        <v>125</v>
      </c>
      <c r="BE18" s="30" t="n">
        <f aca="false">IF(COUNTIFS('Reguler Class Availability'!$L:$L,$B$4&amp;"|- Lane 1 - *|"&amp;BD18)&gt;0,1,0)</f>
        <v>0</v>
      </c>
      <c r="BF18" s="30" t="n">
        <f aca="false">BE18+BF17</f>
        <v>4</v>
      </c>
    </row>
    <row r="19" customFormat="false" ht="39.75" hidden="false" customHeight="true" outlineLevel="0" collapsed="false">
      <c r="A19" s="66" t="str">
        <f aca="false">IFERROR(INDEX($BD$2:$BD$61,MATCH(6,$BF$2:$BF$61,0)),"")</f>
        <v>11:15</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Baby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0/5  (0%)
coach: –</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0/5  (0%)
coach: –</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Baby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Baby  0/0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Baby  5/5  (100%)
Damai</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Baby  0/5  (0%)
coach: –</v>
      </c>
      <c r="AN19" s="30" t="n">
        <f aca="false">IF($A19="","",IFERROR(MATCH($B$4&amp;"|- Lane 1 - "&amp;B$13&amp;"|"&amp;$A19,'Reguler Class Availability'!$L:$L,0),""))</f>
        <v>1042</v>
      </c>
      <c r="AO19" s="30" t="n">
        <f aca="false">IF($A19="","",IFERROR(MATCH($B$4&amp;"|- Lane 1 - "&amp;C$13&amp;"|"&amp;$A19,'Reguler Class Availability'!$L:$L,0),""))</f>
        <v>1054</v>
      </c>
      <c r="AP19" s="30" t="n">
        <f aca="false">IF($A19="","",IFERROR(MATCH($B$4&amp;"|- Lane 1 - "&amp;D$13&amp;"|"&amp;$A19,'Reguler Class Availability'!$L:$L,0),""))</f>
        <v>1066</v>
      </c>
      <c r="AQ19" s="30" t="n">
        <f aca="false">IF($A19="","",IFERROR(MATCH($B$4&amp;"|- Lane 1 - "&amp;E$13&amp;"|"&amp;$A19,'Reguler Class Availability'!$L:$L,0),""))</f>
        <v>1078</v>
      </c>
      <c r="AR19" s="30" t="n">
        <f aca="false">IF($A19="","",IFERROR(MATCH($B$4&amp;"|- Lane 1 - "&amp;F$13&amp;"|"&amp;$A19,'Reguler Class Availability'!$L:$L,0),""))</f>
        <v>1090</v>
      </c>
      <c r="AS19" s="30" t="n">
        <f aca="false">IF($A19="","",IFERROR(MATCH($B$4&amp;"|- Lane 1 - "&amp;G$13&amp;"|"&amp;$A19,'Reguler Class Availability'!$L:$L,0),""))</f>
        <v>1102</v>
      </c>
      <c r="AT19" s="30" t="n">
        <f aca="false">IF($A19="","",IFERROR(MATCH($B$4&amp;"|- Lane 1 - "&amp;H$13&amp;"|"&amp;$A19,'Reguler Class Availability'!$L:$L,0),""))</f>
        <v>1114</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Belum terisi</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Belum terisi</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Belum terisi</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Belum terisi</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Tutup</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Penuh</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Belum terisi</v>
      </c>
      <c r="BD19" s="30" t="s">
        <v>126</v>
      </c>
      <c r="BE19" s="30" t="n">
        <f aca="false">IF(COUNTIFS('Reguler Class Availability'!$L:$L,$B$4&amp;"|- Lane 1 - *|"&amp;BD19)&gt;0,1,0)</f>
        <v>0</v>
      </c>
      <c r="BF19" s="30" t="n">
        <f aca="false">BE19+BF18</f>
        <v>4</v>
      </c>
    </row>
    <row r="20" customFormat="false" ht="39.75" hidden="false" customHeight="true" outlineLevel="0" collapsed="false">
      <c r="A20" s="66" t="str">
        <f aca="false">IFERROR(INDEX($BD$2:$BD$61,MATCH(7,$BF$2:$BF$61,0)),"")</f>
        <v>12:00</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Baby  0/0
coach: –</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Baby  0/0
coach: –</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Baby  0/0
coach: –</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Baby  0/0
coach: –</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Baby  0/0
coach: –</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Baby  0/5  (0%)
coach: –</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Baby  0/5  (0%)
coach: –</v>
      </c>
      <c r="AN20" s="30" t="n">
        <f aca="false">IF($A20="","",IFERROR(MATCH($B$4&amp;"|- Lane 1 - "&amp;B$13&amp;"|"&amp;$A20,'Reguler Class Availability'!$L:$L,0),""))</f>
        <v>1043</v>
      </c>
      <c r="AO20" s="30" t="n">
        <f aca="false">IF($A20="","",IFERROR(MATCH($B$4&amp;"|- Lane 1 - "&amp;C$13&amp;"|"&amp;$A20,'Reguler Class Availability'!$L:$L,0),""))</f>
        <v>1055</v>
      </c>
      <c r="AP20" s="30" t="n">
        <f aca="false">IF($A20="","",IFERROR(MATCH($B$4&amp;"|- Lane 1 - "&amp;D$13&amp;"|"&amp;$A20,'Reguler Class Availability'!$L:$L,0),""))</f>
        <v>1067</v>
      </c>
      <c r="AQ20" s="30" t="n">
        <f aca="false">IF($A20="","",IFERROR(MATCH($B$4&amp;"|- Lane 1 - "&amp;E$13&amp;"|"&amp;$A20,'Reguler Class Availability'!$L:$L,0),""))</f>
        <v>1079</v>
      </c>
      <c r="AR20" s="30" t="n">
        <f aca="false">IF($A20="","",IFERROR(MATCH($B$4&amp;"|- Lane 1 - "&amp;F$13&amp;"|"&amp;$A20,'Reguler Class Availability'!$L:$L,0),""))</f>
        <v>1091</v>
      </c>
      <c r="AS20" s="30" t="n">
        <f aca="false">IF($A20="","",IFERROR(MATCH($B$4&amp;"|- Lane 1 - "&amp;G$13&amp;"|"&amp;$A20,'Reguler Class Availability'!$L:$L,0),""))</f>
        <v>1103</v>
      </c>
      <c r="AT20" s="30" t="n">
        <f aca="false">IF($A20="","",IFERROR(MATCH($B$4&amp;"|- Lane 1 - "&amp;H$13&amp;"|"&amp;$A20,'Reguler Class Availability'!$L:$L,0),""))</f>
        <v>1115</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Tutup</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Tutup</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Tutup</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Tutup</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Tutup</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Belum terisi</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Belum terisi</v>
      </c>
      <c r="BD20" s="30" t="s">
        <v>127</v>
      </c>
      <c r="BE20" s="30" t="n">
        <f aca="false">IF(COUNTIFS('Reguler Class Availability'!$L:$L,$B$4&amp;"|- Lane 1 - *|"&amp;BD20)&gt;0,1,0)</f>
        <v>1</v>
      </c>
      <c r="BF20" s="30" t="n">
        <f aca="false">BE20+BF19</f>
        <v>5</v>
      </c>
    </row>
    <row r="21" customFormat="false" ht="39.75" hidden="false" customHeight="true" outlineLevel="0" collapsed="false">
      <c r="A21" s="66" t="str">
        <f aca="false">IFERROR(INDEX($BD$2:$BD$61,MATCH(8,$BF$2:$BF$61,0)),"")</f>
        <v>13:30</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Baby  0/5  (0%)
coach: –</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Baby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Little  2/4  (50%)
Laksamana</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Baby  0/5  (0%)
coach: –</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Kids  4/5  (80%)
Damai</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0/5  (0%)
coach: –</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1/5  (20%)
Damai</v>
      </c>
      <c r="AN21" s="30" t="n">
        <f aca="false">IF($A21="","",IFERROR(MATCH($B$4&amp;"|- Lane 1 - "&amp;B$13&amp;"|"&amp;$A21,'Reguler Class Availability'!$L:$L,0),""))</f>
        <v>1044</v>
      </c>
      <c r="AO21" s="30" t="n">
        <f aca="false">IF($A21="","",IFERROR(MATCH($B$4&amp;"|- Lane 1 - "&amp;C$13&amp;"|"&amp;$A21,'Reguler Class Availability'!$L:$L,0),""))</f>
        <v>1056</v>
      </c>
      <c r="AP21" s="30" t="n">
        <f aca="false">IF($A21="","",IFERROR(MATCH($B$4&amp;"|- Lane 1 - "&amp;D$13&amp;"|"&amp;$A21,'Reguler Class Availability'!$L:$L,0),""))</f>
        <v>1068</v>
      </c>
      <c r="AQ21" s="30" t="n">
        <f aca="false">IF($A21="","",IFERROR(MATCH($B$4&amp;"|- Lane 1 - "&amp;E$13&amp;"|"&amp;$A21,'Reguler Class Availability'!$L:$L,0),""))</f>
        <v>1080</v>
      </c>
      <c r="AR21" s="30" t="n">
        <f aca="false">IF($A21="","",IFERROR(MATCH($B$4&amp;"|- Lane 1 - "&amp;F$13&amp;"|"&amp;$A21,'Reguler Class Availability'!$L:$L,0),""))</f>
        <v>1092</v>
      </c>
      <c r="AS21" s="30" t="n">
        <f aca="false">IF($A21="","",IFERROR(MATCH($B$4&amp;"|- Lane 1 - "&amp;G$13&amp;"|"&amp;$A21,'Reguler Class Availability'!$L:$L,0),""))</f>
        <v>1104</v>
      </c>
      <c r="AT21" s="30" t="n">
        <f aca="false">IF($A21="","",IFERROR(MATCH($B$4&amp;"|- Lane 1 - "&amp;H$13&amp;"|"&amp;$A21,'Reguler Class Availability'!$L:$L,0),""))</f>
        <v>1116</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Belum terisi</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Belum terisi</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Sebagian</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Belum terisi</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Tinggi</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Belum terisi</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Sebagian</v>
      </c>
      <c r="BD21" s="30" t="s">
        <v>128</v>
      </c>
      <c r="BE21" s="30" t="n">
        <f aca="false">IF(COUNTIFS('Reguler Class Availability'!$L:$L,$B$4&amp;"|- Lane 1 - *|"&amp;BD21)&gt;0,1,0)</f>
        <v>0</v>
      </c>
      <c r="BF21" s="30" t="n">
        <f aca="false">BE21+BF20</f>
        <v>5</v>
      </c>
    </row>
    <row r="22" customFormat="false" ht="39.75" hidden="false" customHeight="true" outlineLevel="0" collapsed="false">
      <c r="A22" s="66" t="str">
        <f aca="false">IFERROR(INDEX($BD$2:$BD$61,MATCH(9,$BF$2:$BF$61,0)),"")</f>
        <v>14:15</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Baby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Baby  0/5  (0%)
coach: –</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Baby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Baby  0/5  (0%)
coach: –</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Baby  0/5  (0%)
coach: –</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Baby  0/5  (0%)
coach: –</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Baby  0/5  (0%)
coach: –</v>
      </c>
      <c r="AN22" s="30" t="n">
        <f aca="false">IF($A22="","",IFERROR(MATCH($B$4&amp;"|- Lane 1 - "&amp;B$13&amp;"|"&amp;$A22,'Reguler Class Availability'!$L:$L,0),""))</f>
        <v>1045</v>
      </c>
      <c r="AO22" s="30" t="n">
        <f aca="false">IF($A22="","",IFERROR(MATCH($B$4&amp;"|- Lane 1 - "&amp;C$13&amp;"|"&amp;$A22,'Reguler Class Availability'!$L:$L,0),""))</f>
        <v>1057</v>
      </c>
      <c r="AP22" s="30" t="n">
        <f aca="false">IF($A22="","",IFERROR(MATCH($B$4&amp;"|- Lane 1 - "&amp;D$13&amp;"|"&amp;$A22,'Reguler Class Availability'!$L:$L,0),""))</f>
        <v>1069</v>
      </c>
      <c r="AQ22" s="30" t="n">
        <f aca="false">IF($A22="","",IFERROR(MATCH($B$4&amp;"|- Lane 1 - "&amp;E$13&amp;"|"&amp;$A22,'Reguler Class Availability'!$L:$L,0),""))</f>
        <v>1081</v>
      </c>
      <c r="AR22" s="30" t="n">
        <f aca="false">IF($A22="","",IFERROR(MATCH($B$4&amp;"|- Lane 1 - "&amp;F$13&amp;"|"&amp;$A22,'Reguler Class Availability'!$L:$L,0),""))</f>
        <v>1093</v>
      </c>
      <c r="AS22" s="30" t="n">
        <f aca="false">IF($A22="","",IFERROR(MATCH($B$4&amp;"|- Lane 1 - "&amp;G$13&amp;"|"&amp;$A22,'Reguler Class Availability'!$L:$L,0),""))</f>
        <v>1105</v>
      </c>
      <c r="AT22" s="30" t="n">
        <f aca="false">IF($A22="","",IFERROR(MATCH($B$4&amp;"|- Lane 1 - "&amp;H$13&amp;"|"&amp;$A22,'Reguler Class Availability'!$L:$L,0),""))</f>
        <v>1117</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Belum terisi</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Belum terisi</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Belum terisi</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Belum terisi</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Belum terisi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Belum terisi</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Belum terisi</v>
      </c>
      <c r="BD22" s="30" t="s">
        <v>129</v>
      </c>
      <c r="BE22" s="30" t="n">
        <f aca="false">IF(COUNTIFS('Reguler Class Availability'!$L:$L,$B$4&amp;"|- Lane 1 - *|"&amp;BD22)&gt;0,1,0)</f>
        <v>0</v>
      </c>
      <c r="BF22" s="30" t="n">
        <f aca="false">BE22+BF21</f>
        <v>5</v>
      </c>
    </row>
    <row r="23" customFormat="false" ht="39.75" hidden="false" customHeight="true" outlineLevel="0" collapsed="false">
      <c r="A23" s="66" t="str">
        <f aca="false">IFERROR(INDEX($BD$2:$BD$61,MATCH(10,$BF$2:$BF$61,0)),"")</f>
        <v>15:00</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Kosong  0/5  (0%)
coach: –</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Kosong  0/5  (0%)
coach: –</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0/5  (0%)
Laksamana</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Kosong  0/5  (0%)
coach: –</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0/5  (0%)
coach: –</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0/5  (0%)
coach: –</v>
      </c>
      <c r="AN23" s="30" t="n">
        <f aca="false">IF($A23="","",IFERROR(MATCH($B$4&amp;"|- Lane 1 - "&amp;B$13&amp;"|"&amp;$A23,'Reguler Class Availability'!$L:$L,0),""))</f>
        <v>1046</v>
      </c>
      <c r="AO23" s="30" t="n">
        <f aca="false">IF($A23="","",IFERROR(MATCH($B$4&amp;"|- Lane 1 - "&amp;C$13&amp;"|"&amp;$A23,'Reguler Class Availability'!$L:$L,0),""))</f>
        <v>1058</v>
      </c>
      <c r="AP23" s="30" t="n">
        <f aca="false">IF($A23="","",IFERROR(MATCH($B$4&amp;"|- Lane 1 - "&amp;D$13&amp;"|"&amp;$A23,'Reguler Class Availability'!$L:$L,0),""))</f>
        <v>1070</v>
      </c>
      <c r="AQ23" s="30" t="n">
        <f aca="false">IF($A23="","",IFERROR(MATCH($B$4&amp;"|- Lane 1 - "&amp;E$13&amp;"|"&amp;$A23,'Reguler Class Availability'!$L:$L,0),""))</f>
        <v>1082</v>
      </c>
      <c r="AR23" s="30" t="n">
        <f aca="false">IF($A23="","",IFERROR(MATCH($B$4&amp;"|- Lane 1 - "&amp;F$13&amp;"|"&amp;$A23,'Reguler Class Availability'!$L:$L,0),""))</f>
        <v>1094</v>
      </c>
      <c r="AS23" s="30" t="n">
        <f aca="false">IF($A23="","",IFERROR(MATCH($B$4&amp;"|- Lane 1 - "&amp;G$13&amp;"|"&amp;$A23,'Reguler Class Availability'!$L:$L,0),""))</f>
        <v>1106</v>
      </c>
      <c r="AT23" s="30" t="n">
        <f aca="false">IF($A23="","",IFERROR(MATCH($B$4&amp;"|- Lane 1 - "&amp;H$13&amp;"|"&amp;$A23,'Reguler Class Availability'!$L:$L,0),""))</f>
        <v>1118</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Kosong</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Tidak dibuka</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Kosong</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Belum terisi</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Kosong</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Belum terisi</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Belum terisi</v>
      </c>
      <c r="BD23" s="30" t="s">
        <v>130</v>
      </c>
      <c r="BE23" s="30" t="n">
        <f aca="false">IF(COUNTIFS('Reguler Class Availability'!$L:$L,$B$4&amp;"|- Lane 1 - *|"&amp;BD23)&gt;0,1,0)</f>
        <v>1</v>
      </c>
      <c r="BF23" s="30" t="n">
        <f aca="false">BE23+BF22</f>
        <v>6</v>
      </c>
    </row>
    <row r="24" customFormat="false" ht="39.75" hidden="false" customHeight="true" outlineLevel="0" collapsed="false">
      <c r="A24" s="66" t="str">
        <f aca="false">IFERROR(INDEX($BD$2:$BD$61,MATCH(11,$BF$2:$BF$61,0)),"")</f>
        <v>15:45</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Kosong  0/5  (0%)
coach: –</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Kosong  0/5  (0%)
coach: –</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Kosong  0/5  (0%)
coach: –</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Kids  3/5  (60%)
Shofwan</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Baby  0/5  (0%)
coach: –</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Kids  4/5  (80%)
Damai</v>
      </c>
      <c r="AN24" s="30" t="n">
        <f aca="false">IF($A24="","",IFERROR(MATCH($B$4&amp;"|- Lane 1 - "&amp;B$13&amp;"|"&amp;$A24,'Reguler Class Availability'!$L:$L,0),""))</f>
        <v>1047</v>
      </c>
      <c r="AO24" s="30" t="n">
        <f aca="false">IF($A24="","",IFERROR(MATCH($B$4&amp;"|- Lane 1 - "&amp;C$13&amp;"|"&amp;$A24,'Reguler Class Availability'!$L:$L,0),""))</f>
        <v>1059</v>
      </c>
      <c r="AP24" s="30" t="n">
        <f aca="false">IF($A24="","",IFERROR(MATCH($B$4&amp;"|- Lane 1 - "&amp;D$13&amp;"|"&amp;$A24,'Reguler Class Availability'!$L:$L,0),""))</f>
        <v>1071</v>
      </c>
      <c r="AQ24" s="30" t="n">
        <f aca="false">IF($A24="","",IFERROR(MATCH($B$4&amp;"|- Lane 1 - "&amp;E$13&amp;"|"&amp;$A24,'Reguler Class Availability'!$L:$L,0),""))</f>
        <v>1083</v>
      </c>
      <c r="AR24" s="30" t="n">
        <f aca="false">IF($A24="","",IFERROR(MATCH($B$4&amp;"|- Lane 1 - "&amp;F$13&amp;"|"&amp;$A24,'Reguler Class Availability'!$L:$L,0),""))</f>
        <v>1095</v>
      </c>
      <c r="AS24" s="30" t="n">
        <f aca="false">IF($A24="","",IFERROR(MATCH($B$4&amp;"|- Lane 1 - "&amp;G$13&amp;"|"&amp;$A24,'Reguler Class Availability'!$L:$L,0),""))</f>
        <v>1107</v>
      </c>
      <c r="AT24" s="30" t="n">
        <f aca="false">IF($A24="","",IFERROR(MATCH($B$4&amp;"|- Lane 1 - "&amp;H$13&amp;"|"&amp;$A24,'Reguler Class Availability'!$L:$L,0),""))</f>
        <v>1119</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Kosong</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Tidak dibuka</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Kosong</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Kosong</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Tinggi</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Belum terisi</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Tinggi</v>
      </c>
      <c r="BD24" s="30" t="s">
        <v>131</v>
      </c>
      <c r="BE24" s="30" t="n">
        <f aca="false">IF(COUNTIFS('Reguler Class Availability'!$L:$L,$B$4&amp;"|- Lane 1 - *|"&amp;BD24)&gt;0,1,0)</f>
        <v>0</v>
      </c>
      <c r="BF24" s="30" t="n">
        <f aca="false">BE24+BF23</f>
        <v>6</v>
      </c>
    </row>
    <row r="25" customFormat="false" ht="39.75" hidden="false" customHeight="true" outlineLevel="0" collapsed="false">
      <c r="A25" s="66" t="str">
        <f aca="false">IFERROR(INDEX($BD$2:$BD$61,MATCH(12,$BF$2:$BF$61,0)),"")</f>
        <v>16:30</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Kosong  0/5  (0%)
coach: –</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Kosong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Baby  0/5  (0%)
coach: –</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Kids  3/5  (60%)
Shofwan</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Baby  2/5  (40%)
Damai</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4/5  (80%)
Indah</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Baby  0/5  (0%)
coach: –</v>
      </c>
      <c r="AN25" s="30" t="n">
        <f aca="false">IF($A25="","",IFERROR(MATCH($B$4&amp;"|- Lane 1 - "&amp;B$13&amp;"|"&amp;$A25,'Reguler Class Availability'!$L:$L,0),""))</f>
        <v>1048</v>
      </c>
      <c r="AO25" s="30" t="n">
        <f aca="false">IF($A25="","",IFERROR(MATCH($B$4&amp;"|- Lane 1 - "&amp;C$13&amp;"|"&amp;$A25,'Reguler Class Availability'!$L:$L,0),""))</f>
        <v>1060</v>
      </c>
      <c r="AP25" s="30" t="n">
        <f aca="false">IF($A25="","",IFERROR(MATCH($B$4&amp;"|- Lane 1 - "&amp;D$13&amp;"|"&amp;$A25,'Reguler Class Availability'!$L:$L,0),""))</f>
        <v>1072</v>
      </c>
      <c r="AQ25" s="30" t="n">
        <f aca="false">IF($A25="","",IFERROR(MATCH($B$4&amp;"|- Lane 1 - "&amp;E$13&amp;"|"&amp;$A25,'Reguler Class Availability'!$L:$L,0),""))</f>
        <v>1084</v>
      </c>
      <c r="AR25" s="30" t="n">
        <f aca="false">IF($A25="","",IFERROR(MATCH($B$4&amp;"|- Lane 1 - "&amp;F$13&amp;"|"&amp;$A25,'Reguler Class Availability'!$L:$L,0),""))</f>
        <v>1096</v>
      </c>
      <c r="AS25" s="30" t="n">
        <f aca="false">IF($A25="","",IFERROR(MATCH($B$4&amp;"|- Lane 1 - "&amp;G$13&amp;"|"&amp;$A25,'Reguler Class Availability'!$L:$L,0),""))</f>
        <v>1108</v>
      </c>
      <c r="AT25" s="30" t="n">
        <f aca="false">IF($A25="","",IFERROR(MATCH($B$4&amp;"|- Lane 1 - "&amp;H$13&amp;"|"&amp;$A25,'Reguler Class Availability'!$L:$L,0),""))</f>
        <v>1120</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Kosong</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Kosong</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Belum terisi</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Tinggi</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Sebagian</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Tinggi</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Belum terisi</v>
      </c>
      <c r="BD25" s="30" t="s">
        <v>132</v>
      </c>
      <c r="BE25" s="30" t="n">
        <f aca="false">IF(COUNTIFS('Reguler Class Availability'!$L:$L,$B$4&amp;"|- Lane 1 - *|"&amp;BD25)&gt;0,1,0)</f>
        <v>0</v>
      </c>
      <c r="BF25" s="30" t="n">
        <f aca="false">BE25+BF24</f>
        <v>6</v>
      </c>
    </row>
    <row r="26" customFormat="false" ht="39.75" hidden="false" customHeight="true" outlineLevel="0" collapsed="false">
      <c r="A26" s="66" t="str">
        <f aca="false">IFERROR(INDEX($BD$2:$BD$61,MATCH(13,$BF$2:$BF$61,0)),"")</f>
        <v>17:15</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Baby  0/5  (0%)
coach: –</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Kosong  0/5  (0%)
coach: –</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Kosong  0/5  (0%)
coach: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Kosong  0/5  (0%)
coach: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Baby  0/5  (0%)
coach: –</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Baby  0/5  (0%)
coach: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Baby  0/5  (0%)
coach: –</v>
      </c>
      <c r="AN26" s="30" t="n">
        <f aca="false">IF($A26="","",IFERROR(MATCH($B$4&amp;"|- Lane 1 - "&amp;B$13&amp;"|"&amp;$A26,'Reguler Class Availability'!$L:$L,0),""))</f>
        <v>1049</v>
      </c>
      <c r="AO26" s="30" t="n">
        <f aca="false">IF($A26="","",IFERROR(MATCH($B$4&amp;"|- Lane 1 - "&amp;C$13&amp;"|"&amp;$A26,'Reguler Class Availability'!$L:$L,0),""))</f>
        <v>1061</v>
      </c>
      <c r="AP26" s="30" t="n">
        <f aca="false">IF($A26="","",IFERROR(MATCH($B$4&amp;"|- Lane 1 - "&amp;D$13&amp;"|"&amp;$A26,'Reguler Class Availability'!$L:$L,0),""))</f>
        <v>1073</v>
      </c>
      <c r="AQ26" s="30" t="n">
        <f aca="false">IF($A26="","",IFERROR(MATCH($B$4&amp;"|- Lane 1 - "&amp;E$13&amp;"|"&amp;$A26,'Reguler Class Availability'!$L:$L,0),""))</f>
        <v>1085</v>
      </c>
      <c r="AR26" s="30" t="n">
        <f aca="false">IF($A26="","",IFERROR(MATCH($B$4&amp;"|- Lane 1 - "&amp;F$13&amp;"|"&amp;$A26,'Reguler Class Availability'!$L:$L,0),""))</f>
        <v>1097</v>
      </c>
      <c r="AS26" s="30" t="n">
        <f aca="false">IF($A26="","",IFERROR(MATCH($B$4&amp;"|- Lane 1 - "&amp;G$13&amp;"|"&amp;$A26,'Reguler Class Availability'!$L:$L,0),""))</f>
        <v>1109</v>
      </c>
      <c r="AT26" s="30" t="n">
        <f aca="false">IF($A26="","",IFERROR(MATCH($B$4&amp;"|- Lane 1 - "&amp;H$13&amp;"|"&amp;$A26,'Reguler Class Availability'!$L:$L,0),""))</f>
        <v>1121</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Belum terisi</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Kosong</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Kosong</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Kosong</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Belum terisi</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Belum terisi</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Belum terisi</v>
      </c>
      <c r="BD26" s="30" t="s">
        <v>133</v>
      </c>
      <c r="BE26" s="30" t="n">
        <f aca="false">IF(COUNTIFS('Reguler Class Availability'!$L:$L,$B$4&amp;"|- Lane 1 - *|"&amp;BD26)&gt;0,1,0)</f>
        <v>1</v>
      </c>
      <c r="BF26" s="30" t="n">
        <f aca="false">BE26+BF25</f>
        <v>7</v>
      </c>
    </row>
    <row r="27" customFormat="false" ht="39.75" hidden="false" customHeight="true" outlineLevel="0" collapsed="false">
      <c r="A27" s="66" t="str">
        <f aca="false">IFERROR(INDEX($BD$2:$BD$61,MATCH(14,$BF$2:$BF$61,0)),"")</f>
        <v>18:00</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Star  0/8  (0%)
coach: –</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Star  0/8  (0%)
coach: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Star  0/8  (0%)
coach: –</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Star  3/8  (38%)
Kamal</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Star  0/8  (0%)
coach: –</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Star  0/8  (0%)
coach: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Star  0/8  (0%)
coach: –</v>
      </c>
      <c r="AN27" s="30" t="n">
        <f aca="false">IF($A27="","",IFERROR(MATCH($B$4&amp;"|- Lane 1 - "&amp;B$13&amp;"|"&amp;$A27,'Reguler Class Availability'!$L:$L,0),""))</f>
        <v>1129</v>
      </c>
      <c r="AO27" s="30" t="n">
        <f aca="false">IF($A27="","",IFERROR(MATCH($B$4&amp;"|- Lane 1 - "&amp;C$13&amp;"|"&amp;$A27,'Reguler Class Availability'!$L:$L,0),""))</f>
        <v>1130</v>
      </c>
      <c r="AP27" s="30" t="n">
        <f aca="false">IF($A27="","",IFERROR(MATCH($B$4&amp;"|- Lane 1 - "&amp;D$13&amp;"|"&amp;$A27,'Reguler Class Availability'!$L:$L,0),""))</f>
        <v>1131</v>
      </c>
      <c r="AQ27" s="30" t="n">
        <f aca="false">IF($A27="","",IFERROR(MATCH($B$4&amp;"|- Lane 1 - "&amp;E$13&amp;"|"&amp;$A27,'Reguler Class Availability'!$L:$L,0),""))</f>
        <v>1132</v>
      </c>
      <c r="AR27" s="30" t="n">
        <f aca="false">IF($A27="","",IFERROR(MATCH($B$4&amp;"|- Lane 1 - "&amp;F$13&amp;"|"&amp;$A27,'Reguler Class Availability'!$L:$L,0),""))</f>
        <v>1133</v>
      </c>
      <c r="AS27" s="30" t="n">
        <f aca="false">IF($A27="","",IFERROR(MATCH($B$4&amp;"|- Lane 1 - "&amp;G$13&amp;"|"&amp;$A27,'Reguler Class Availability'!$L:$L,0),""))</f>
        <v>1134</v>
      </c>
      <c r="AT27" s="30" t="n">
        <f aca="false">IF($A27="","",IFERROR(MATCH($B$4&amp;"|- Lane 1 - "&amp;H$13&amp;"|"&amp;$A27,'Reguler Class Availability'!$L:$L,0),""))</f>
        <v>1135</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Belum terisi</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Belum terisi</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Belum terisi</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Sebagian</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Belum terisi</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Belum terisi</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Belum terisi</v>
      </c>
      <c r="BD27" s="30" t="s">
        <v>134</v>
      </c>
      <c r="BE27" s="30" t="n">
        <f aca="false">IF(COUNTIFS('Reguler Class Availability'!$L:$L,$B$4&amp;"|- Lane 1 - *|"&amp;BD27)&gt;0,1,0)</f>
        <v>0</v>
      </c>
      <c r="BF27" s="30" t="n">
        <f aca="false">BE27+BF26</f>
        <v>7</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7</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7</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11%</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0%</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6%</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9%</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30%</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25%</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21%</v>
      </c>
      <c r="BD30" s="30" t="s">
        <v>138</v>
      </c>
      <c r="BE30" s="30" t="n">
        <f aca="false">IF(COUNTIFS('Reguler Class Availability'!$L:$L,$B$4&amp;"|- Lane 1 - *|"&amp;BD30)&gt;0,1,0)</f>
        <v>0</v>
      </c>
      <c r="BF30" s="30" t="n">
        <f aca="false">BE30+BF29</f>
        <v>7</v>
      </c>
    </row>
    <row r="31" customFormat="false" ht="15" hidden="false" customHeight="false" outlineLevel="0" collapsed="false">
      <c r="BD31" s="0" t="s">
        <v>139</v>
      </c>
      <c r="BE31" s="0" t="n">
        <f aca="false">IF(COUNTIFS('Reguler Class Availability'!$L:$L,$B$4&amp;"|- Lane 1 - *|"&amp;BD31)&gt;0,1,0)</f>
        <v>0</v>
      </c>
      <c r="BF31" s="0" t="n">
        <f aca="false">BE31+BF30</f>
        <v>7</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23%   ·   Belum terisi: 32   ·   Slot kosong: 6</v>
      </c>
      <c r="D32" s="62"/>
      <c r="E32" s="62"/>
      <c r="F32" s="62"/>
      <c r="G32" s="62"/>
      <c r="H32" s="62"/>
      <c r="BD32" s="30" t="s">
        <v>141</v>
      </c>
      <c r="BE32" s="30" t="n">
        <f aca="false">IF(COUNTIFS('Reguler Class Availability'!$L:$L,$B$4&amp;"|- Lane 1 - *|"&amp;BD32)&gt;0,1,0)</f>
        <v>1</v>
      </c>
      <c r="BF32" s="30" t="n">
        <f aca="false">BE32+BF31</f>
        <v>8</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8</v>
      </c>
    </row>
    <row r="34" customFormat="false" ht="39.75" hidden="false" customHeight="true" outlineLevel="0" collapsed="false">
      <c r="A34" s="66" t="str">
        <f aca="false">IFERROR(INDEX($BD$62:$BD$121,MATCH(1,$BF$62:$BF$121,0)),"")</f>
        <v>08:15</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Tiny  0/0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Tiny  0/0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Tiny  0/0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Tiny  0/0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Tiny  0/0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Tiny  0/0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Tiny  0/0
coach: –</v>
      </c>
      <c r="AN34" s="30" t="n">
        <f aca="false">IF($A34="","",IFERROR(MATCH($B$4&amp;"|- Lane 2 - "&amp;B$33&amp;"|"&amp;$A34,'Reguler Class Availability'!$L:$L,0),""))</f>
        <v>1136</v>
      </c>
      <c r="AO34" s="30" t="n">
        <f aca="false">IF($A34="","",IFERROR(MATCH($B$4&amp;"|- Lane 2 - "&amp;C$33&amp;"|"&amp;$A34,'Reguler Class Availability'!$L:$L,0),""))</f>
        <v>1148</v>
      </c>
      <c r="AP34" s="30" t="n">
        <f aca="false">IF($A34="","",IFERROR(MATCH($B$4&amp;"|- Lane 2 - "&amp;D$33&amp;"|"&amp;$A34,'Reguler Class Availability'!$L:$L,0),""))</f>
        <v>1160</v>
      </c>
      <c r="AQ34" s="30" t="n">
        <f aca="false">IF($A34="","",IFERROR(MATCH($B$4&amp;"|- Lane 2 - "&amp;E$33&amp;"|"&amp;$A34,'Reguler Class Availability'!$L:$L,0),""))</f>
        <v>1172</v>
      </c>
      <c r="AR34" s="30" t="n">
        <f aca="false">IF($A34="","",IFERROR(MATCH($B$4&amp;"|- Lane 2 - "&amp;F$33&amp;"|"&amp;$A34,'Reguler Class Availability'!$L:$L,0),""))</f>
        <v>1184</v>
      </c>
      <c r="AS34" s="30" t="n">
        <f aca="false">IF($A34="","",IFERROR(MATCH($B$4&amp;"|- Lane 2 - "&amp;G$33&amp;"|"&amp;$A34,'Reguler Class Availability'!$L:$L,0),""))</f>
        <v>1196</v>
      </c>
      <c r="AT34" s="30" t="n">
        <f aca="false">IF($A34="","",IFERROR(MATCH($B$4&amp;"|- Lane 2 - "&amp;H$33&amp;"|"&amp;$A34,'Reguler Class Availability'!$L:$L,0),""))</f>
        <v>1208</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Tutup</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Tutup</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Tutup</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Tutup</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Tutup</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Tutup</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Tutup</v>
      </c>
      <c r="BD34" s="30" t="s">
        <v>143</v>
      </c>
      <c r="BE34" s="30" t="n">
        <f aca="false">IF(COUNTIFS('Reguler Class Availability'!$L:$L,$B$4&amp;"|- Lane 1 - *|"&amp;BD34)&gt;0,1,0)</f>
        <v>0</v>
      </c>
      <c r="BF34" s="30" t="n">
        <f aca="false">BE34+BF33</f>
        <v>8</v>
      </c>
    </row>
    <row r="35" customFormat="false" ht="39.75" hidden="false" customHeight="true" outlineLevel="0" collapsed="false">
      <c r="A35" s="66" t="str">
        <f aca="false">IFERROR(INDEX($BD$62:$BD$121,MATCH(2,$BF$62:$BF$121,0)),"")</f>
        <v>09:00</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Tiny  0/5  (0%)
coach: –</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Tiny  3/5  (60%)
Shofwan</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Tiny  0/5  (0%)
coach: –</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Tiny  0/5  (0%)
coach: –</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Tiny  2/5  (40%)
Indah</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Tiny  4/5  (80%)
Damai</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Tiny  0/5  (0%)
coach: –</v>
      </c>
      <c r="AN35" s="30" t="n">
        <f aca="false">IF($A35="","",IFERROR(MATCH($B$4&amp;"|- Lane 2 - "&amp;B$33&amp;"|"&amp;$A35,'Reguler Class Availability'!$L:$L,0),""))</f>
        <v>1137</v>
      </c>
      <c r="AO35" s="30" t="n">
        <f aca="false">IF($A35="","",IFERROR(MATCH($B$4&amp;"|- Lane 2 - "&amp;C$33&amp;"|"&amp;$A35,'Reguler Class Availability'!$L:$L,0),""))</f>
        <v>1149</v>
      </c>
      <c r="AP35" s="30" t="n">
        <f aca="false">IF($A35="","",IFERROR(MATCH($B$4&amp;"|- Lane 2 - "&amp;D$33&amp;"|"&amp;$A35,'Reguler Class Availability'!$L:$L,0),""))</f>
        <v>1161</v>
      </c>
      <c r="AQ35" s="30" t="n">
        <f aca="false">IF($A35="","",IFERROR(MATCH($B$4&amp;"|- Lane 2 - "&amp;E$33&amp;"|"&amp;$A35,'Reguler Class Availability'!$L:$L,0),""))</f>
        <v>1173</v>
      </c>
      <c r="AR35" s="30" t="n">
        <f aca="false">IF($A35="","",IFERROR(MATCH($B$4&amp;"|- Lane 2 - "&amp;F$33&amp;"|"&amp;$A35,'Reguler Class Availability'!$L:$L,0),""))</f>
        <v>1185</v>
      </c>
      <c r="AS35" s="30" t="n">
        <f aca="false">IF($A35="","",IFERROR(MATCH($B$4&amp;"|- Lane 2 - "&amp;G$33&amp;"|"&amp;$A35,'Reguler Class Availability'!$L:$L,0),""))</f>
        <v>1197</v>
      </c>
      <c r="AT35" s="30" t="n">
        <f aca="false">IF($A35="","",IFERROR(MATCH($B$4&amp;"|- Lane 2 - "&amp;H$33&amp;"|"&amp;$A35,'Reguler Class Availability'!$L:$L,0),""))</f>
        <v>1209</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Belum terisi</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Tinggi</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Belum terisi</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Belum terisi</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Sebagian</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Tinggi</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Belum terisi</v>
      </c>
      <c r="BD35" s="30" t="s">
        <v>144</v>
      </c>
      <c r="BE35" s="30" t="n">
        <f aca="false">IF(COUNTIFS('Reguler Class Availability'!$L:$L,$B$4&amp;"|- Lane 1 - *|"&amp;BD35)&gt;0,1,0)</f>
        <v>1</v>
      </c>
      <c r="BF35" s="30" t="n">
        <f aca="false">BE35+BF34</f>
        <v>9</v>
      </c>
    </row>
    <row r="36" customFormat="false" ht="39.75" hidden="false" customHeight="true" outlineLevel="0" collapsed="false">
      <c r="A36" s="66" t="str">
        <f aca="false">IFERROR(INDEX($BD$62:$BD$121,MATCH(3,$BF$62:$BF$121,0)),"")</f>
        <v>09:45</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Tiny  3/5  (60%)
Damai</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Tiny  1/5  (20%)
Shofwan</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Tiny  3/5  (60%)
Indah</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Tiny  3/5  (60%)
Kamal</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Tiny  2/5  (40%)
Kamal</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Tiny  4/5  (80%)
Laksamana</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Tiny  5/5  (100%)
Damai</v>
      </c>
      <c r="AN36" s="30" t="n">
        <f aca="false">IF($A36="","",IFERROR(MATCH($B$4&amp;"|- Lane 2 - "&amp;B$33&amp;"|"&amp;$A36,'Reguler Class Availability'!$L:$L,0),""))</f>
        <v>1138</v>
      </c>
      <c r="AO36" s="30" t="n">
        <f aca="false">IF($A36="","",IFERROR(MATCH($B$4&amp;"|- Lane 2 - "&amp;C$33&amp;"|"&amp;$A36,'Reguler Class Availability'!$L:$L,0),""))</f>
        <v>1150</v>
      </c>
      <c r="AP36" s="30" t="n">
        <f aca="false">IF($A36="","",IFERROR(MATCH($B$4&amp;"|- Lane 2 - "&amp;D$33&amp;"|"&amp;$A36,'Reguler Class Availability'!$L:$L,0),""))</f>
        <v>1162</v>
      </c>
      <c r="AQ36" s="30" t="n">
        <f aca="false">IF($A36="","",IFERROR(MATCH($B$4&amp;"|- Lane 2 - "&amp;E$33&amp;"|"&amp;$A36,'Reguler Class Availability'!$L:$L,0),""))</f>
        <v>1174</v>
      </c>
      <c r="AR36" s="30" t="n">
        <f aca="false">IF($A36="","",IFERROR(MATCH($B$4&amp;"|- Lane 2 - "&amp;F$33&amp;"|"&amp;$A36,'Reguler Class Availability'!$L:$L,0),""))</f>
        <v>1186</v>
      </c>
      <c r="AS36" s="30" t="n">
        <f aca="false">IF($A36="","",IFERROR(MATCH($B$4&amp;"|- Lane 2 - "&amp;G$33&amp;"|"&amp;$A36,'Reguler Class Availability'!$L:$L,0),""))</f>
        <v>1198</v>
      </c>
      <c r="AT36" s="30" t="n">
        <f aca="false">IF($A36="","",IFERROR(MATCH($B$4&amp;"|- Lane 2 - "&amp;H$33&amp;"|"&amp;$A36,'Reguler Class Availability'!$L:$L,0),""))</f>
        <v>1210</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Tinggi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Sebagian</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Tinggi</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Tinggi</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Sebagian</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Tinggi</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Penuh</v>
      </c>
      <c r="BD36" s="30" t="s">
        <v>145</v>
      </c>
      <c r="BE36" s="30" t="n">
        <f aca="false">IF(COUNTIFS('Reguler Class Availability'!$L:$L,$B$4&amp;"|- Lane 1 - *|"&amp;BD36)&gt;0,1,0)</f>
        <v>0</v>
      </c>
      <c r="BF36" s="30" t="n">
        <f aca="false">BE36+BF35</f>
        <v>9</v>
      </c>
    </row>
    <row r="37" customFormat="false" ht="39.75" hidden="false" customHeight="true" outlineLevel="0" collapsed="false">
      <c r="A37" s="66" t="str">
        <f aca="false">IFERROR(INDEX($BD$62:$BD$121,MATCH(4,$BF$62:$BF$121,0)),"")</f>
        <v>10:30</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Tiny  0/5  (0%)
coach: –</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Tiny  0/5  (0%)
coach: –</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Tiny  2/5  (40%)
Indah</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Tiny  0/5  (0%)
coach: –</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Tiny  0/5  (0%)
coach: –</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Tiny  3/5  (60%)
Indah</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Tiny  0/5  (0%)
coach: –</v>
      </c>
      <c r="AN37" s="30" t="n">
        <f aca="false">IF($A37="","",IFERROR(MATCH($B$4&amp;"|- Lane 2 - "&amp;B$33&amp;"|"&amp;$A37,'Reguler Class Availability'!$L:$L,0),""))</f>
        <v>1139</v>
      </c>
      <c r="AO37" s="30" t="n">
        <f aca="false">IF($A37="","",IFERROR(MATCH($B$4&amp;"|- Lane 2 - "&amp;C$33&amp;"|"&amp;$A37,'Reguler Class Availability'!$L:$L,0),""))</f>
        <v>1151</v>
      </c>
      <c r="AP37" s="30" t="n">
        <f aca="false">IF($A37="","",IFERROR(MATCH($B$4&amp;"|- Lane 2 - "&amp;D$33&amp;"|"&amp;$A37,'Reguler Class Availability'!$L:$L,0),""))</f>
        <v>1163</v>
      </c>
      <c r="AQ37" s="30" t="n">
        <f aca="false">IF($A37="","",IFERROR(MATCH($B$4&amp;"|- Lane 2 - "&amp;E$33&amp;"|"&amp;$A37,'Reguler Class Availability'!$L:$L,0),""))</f>
        <v>1175</v>
      </c>
      <c r="AR37" s="30" t="n">
        <f aca="false">IF($A37="","",IFERROR(MATCH($B$4&amp;"|- Lane 2 - "&amp;F$33&amp;"|"&amp;$A37,'Reguler Class Availability'!$L:$L,0),""))</f>
        <v>1187</v>
      </c>
      <c r="AS37" s="30" t="n">
        <f aca="false">IF($A37="","",IFERROR(MATCH($B$4&amp;"|- Lane 2 - "&amp;G$33&amp;"|"&amp;$A37,'Reguler Class Availability'!$L:$L,0),""))</f>
        <v>1199</v>
      </c>
      <c r="AT37" s="30" t="n">
        <f aca="false">IF($A37="","",IFERROR(MATCH($B$4&amp;"|- Lane 2 - "&amp;H$33&amp;"|"&amp;$A37,'Reguler Class Availability'!$L:$L,0),""))</f>
        <v>1211</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Belum terisi</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Belum terisi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Sebagian</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Belum terisi</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Belum terisi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Tinggi</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Belum terisi</v>
      </c>
      <c r="BD37" s="30" t="s">
        <v>146</v>
      </c>
      <c r="BE37" s="30" t="n">
        <f aca="false">IF(COUNTIFS('Reguler Class Availability'!$L:$L,$B$4&amp;"|- Lane 1 - *|"&amp;BD37)&gt;0,1,0)</f>
        <v>0</v>
      </c>
      <c r="BF37" s="30" t="n">
        <f aca="false">BE37+BF36</f>
        <v>9</v>
      </c>
    </row>
    <row r="38" customFormat="false" ht="39.75" hidden="false" customHeight="true" outlineLevel="0" collapsed="false">
      <c r="A38" s="66" t="str">
        <f aca="false">IFERROR(INDEX($BD$62:$BD$121,MATCH(5,$BF$62:$BF$121,0)),"")</f>
        <v>11:15</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Tiny  0/5  (0%)
coach: –</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Tiny  3/5  (60%)
Shofwan</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Tiny  0/5  (0%)
coach: –</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Tiny  1/5  (20%)
Laksamana</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Tiny  0/5  (0%)
coach: –</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Tiny  4/5  (80%)
Laksamana</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Tiny  4/5  (80%)
Damai</v>
      </c>
      <c r="AN38" s="30" t="n">
        <f aca="false">IF($A38="","",IFERROR(MATCH($B$4&amp;"|- Lane 2 - "&amp;B$33&amp;"|"&amp;$A38,'Reguler Class Availability'!$L:$L,0),""))</f>
        <v>1140</v>
      </c>
      <c r="AO38" s="30" t="n">
        <f aca="false">IF($A38="","",IFERROR(MATCH($B$4&amp;"|- Lane 2 - "&amp;C$33&amp;"|"&amp;$A38,'Reguler Class Availability'!$L:$L,0),""))</f>
        <v>1152</v>
      </c>
      <c r="AP38" s="30" t="n">
        <f aca="false">IF($A38="","",IFERROR(MATCH($B$4&amp;"|- Lane 2 - "&amp;D$33&amp;"|"&amp;$A38,'Reguler Class Availability'!$L:$L,0),""))</f>
        <v>1164</v>
      </c>
      <c r="AQ38" s="30" t="n">
        <f aca="false">IF($A38="","",IFERROR(MATCH($B$4&amp;"|- Lane 2 - "&amp;E$33&amp;"|"&amp;$A38,'Reguler Class Availability'!$L:$L,0),""))</f>
        <v>1176</v>
      </c>
      <c r="AR38" s="30" t="n">
        <f aca="false">IF($A38="","",IFERROR(MATCH($B$4&amp;"|- Lane 2 - "&amp;F$33&amp;"|"&amp;$A38,'Reguler Class Availability'!$L:$L,0),""))</f>
        <v>1188</v>
      </c>
      <c r="AS38" s="30" t="n">
        <f aca="false">IF($A38="","",IFERROR(MATCH($B$4&amp;"|- Lane 2 - "&amp;G$33&amp;"|"&amp;$A38,'Reguler Class Availability'!$L:$L,0),""))</f>
        <v>1200</v>
      </c>
      <c r="AT38" s="30" t="n">
        <f aca="false">IF($A38="","",IFERROR(MATCH($B$4&amp;"|- Lane 2 - "&amp;H$33&amp;"|"&amp;$A38,'Reguler Class Availability'!$L:$L,0),""))</f>
        <v>1212</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Belum terisi</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Tinggi</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Belum terisi</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Sebagian</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Belum terisi</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Tinggi</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Tinggi</v>
      </c>
      <c r="BD38" s="30" t="s">
        <v>147</v>
      </c>
      <c r="BE38" s="30" t="n">
        <f aca="false">IF(COUNTIFS('Reguler Class Availability'!$L:$L,$B$4&amp;"|- Lane 1 - *|"&amp;BD38)&gt;0,1,0)</f>
        <v>1</v>
      </c>
      <c r="BF38" s="30" t="n">
        <f aca="false">BE38+BF37</f>
        <v>10</v>
      </c>
    </row>
    <row r="39" customFormat="false" ht="39.75" hidden="false" customHeight="true" outlineLevel="0" collapsed="false">
      <c r="A39" s="66" t="str">
        <f aca="false">IFERROR(INDEX($BD$62:$BD$121,MATCH(6,$BF$62:$BF$121,0)),"")</f>
        <v>12:00</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Tiny  0/0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Tiny  0/0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Tiny  0/0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Tiny  0/0
coach: –</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Tiny  0/0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Tiny  0/5  (0%)
coach: –</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Tiny  0/5  (0%)
coach: –</v>
      </c>
      <c r="AN39" s="30" t="n">
        <f aca="false">IF($A39="","",IFERROR(MATCH($B$4&amp;"|- Lane 2 - "&amp;B$33&amp;"|"&amp;$A39,'Reguler Class Availability'!$L:$L,0),""))</f>
        <v>1141</v>
      </c>
      <c r="AO39" s="30" t="n">
        <f aca="false">IF($A39="","",IFERROR(MATCH($B$4&amp;"|- Lane 2 - "&amp;C$33&amp;"|"&amp;$A39,'Reguler Class Availability'!$L:$L,0),""))</f>
        <v>1153</v>
      </c>
      <c r="AP39" s="30" t="n">
        <f aca="false">IF($A39="","",IFERROR(MATCH($B$4&amp;"|- Lane 2 - "&amp;D$33&amp;"|"&amp;$A39,'Reguler Class Availability'!$L:$L,0),""))</f>
        <v>1165</v>
      </c>
      <c r="AQ39" s="30" t="n">
        <f aca="false">IF($A39="","",IFERROR(MATCH($B$4&amp;"|- Lane 2 - "&amp;E$33&amp;"|"&amp;$A39,'Reguler Class Availability'!$L:$L,0),""))</f>
        <v>1177</v>
      </c>
      <c r="AR39" s="30" t="n">
        <f aca="false">IF($A39="","",IFERROR(MATCH($B$4&amp;"|- Lane 2 - "&amp;F$33&amp;"|"&amp;$A39,'Reguler Class Availability'!$L:$L,0),""))</f>
        <v>1189</v>
      </c>
      <c r="AS39" s="30" t="n">
        <f aca="false">IF($A39="","",IFERROR(MATCH($B$4&amp;"|- Lane 2 - "&amp;G$33&amp;"|"&amp;$A39,'Reguler Class Availability'!$L:$L,0),""))</f>
        <v>1201</v>
      </c>
      <c r="AT39" s="30" t="n">
        <f aca="false">IF($A39="","",IFERROR(MATCH($B$4&amp;"|- Lane 2 - "&amp;H$33&amp;"|"&amp;$A39,'Reguler Class Availability'!$L:$L,0),""))</f>
        <v>1213</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Tutup</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Tutup</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Tutup</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Tutup</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Tutup</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Belum terisi</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Belum terisi</v>
      </c>
      <c r="BD39" s="30" t="s">
        <v>148</v>
      </c>
      <c r="BE39" s="30" t="n">
        <f aca="false">IF(COUNTIFS('Reguler Class Availability'!$L:$L,$B$4&amp;"|- Lane 1 - *|"&amp;BD39)&gt;0,1,0)</f>
        <v>0</v>
      </c>
      <c r="BF39" s="30" t="n">
        <f aca="false">BE39+BF38</f>
        <v>10</v>
      </c>
    </row>
    <row r="40" customFormat="false" ht="39.75" hidden="false" customHeight="true" outlineLevel="0" collapsed="false">
      <c r="A40" s="66" t="str">
        <f aca="false">IFERROR(INDEX($BD$62:$BD$121,MATCH(7,$BF$62:$BF$121,0)),"")</f>
        <v>13:30</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Tiny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Tiny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Tiny  0/5  (0%)
coach: –</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Tiny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Tiny  0/5  (0%)
coach: –</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Tiny  0/5  (0%)
coach: –</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Tiny  0/5  (0%)
coach: –</v>
      </c>
      <c r="AN40" s="30" t="n">
        <f aca="false">IF($A40="","",IFERROR(MATCH($B$4&amp;"|- Lane 2 - "&amp;B$33&amp;"|"&amp;$A40,'Reguler Class Availability'!$L:$L,0),""))</f>
        <v>1142</v>
      </c>
      <c r="AO40" s="30" t="n">
        <f aca="false">IF($A40="","",IFERROR(MATCH($B$4&amp;"|- Lane 2 - "&amp;C$33&amp;"|"&amp;$A40,'Reguler Class Availability'!$L:$L,0),""))</f>
        <v>1154</v>
      </c>
      <c r="AP40" s="30" t="n">
        <f aca="false">IF($A40="","",IFERROR(MATCH($B$4&amp;"|- Lane 2 - "&amp;D$33&amp;"|"&amp;$A40,'Reguler Class Availability'!$L:$L,0),""))</f>
        <v>1166</v>
      </c>
      <c r="AQ40" s="30" t="n">
        <f aca="false">IF($A40="","",IFERROR(MATCH($B$4&amp;"|- Lane 2 - "&amp;E$33&amp;"|"&amp;$A40,'Reguler Class Availability'!$L:$L,0),""))</f>
        <v>1178</v>
      </c>
      <c r="AR40" s="30" t="n">
        <f aca="false">IF($A40="","",IFERROR(MATCH($B$4&amp;"|- Lane 2 - "&amp;F$33&amp;"|"&amp;$A40,'Reguler Class Availability'!$L:$L,0),""))</f>
        <v>1190</v>
      </c>
      <c r="AS40" s="30" t="n">
        <f aca="false">IF($A40="","",IFERROR(MATCH($B$4&amp;"|- Lane 2 - "&amp;G$33&amp;"|"&amp;$A40,'Reguler Class Availability'!$L:$L,0),""))</f>
        <v>1202</v>
      </c>
      <c r="AT40" s="30" t="n">
        <f aca="false">IF($A40="","",IFERROR(MATCH($B$4&amp;"|- Lane 2 - "&amp;H$33&amp;"|"&amp;$A40,'Reguler Class Availability'!$L:$L,0),""))</f>
        <v>1214</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Belum terisi</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Belum terisi</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Belum terisi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Belum terisi</v>
      </c>
      <c r="BD40" s="30" t="s">
        <v>149</v>
      </c>
      <c r="BE40" s="30" t="n">
        <f aca="false">IF(COUNTIFS('Reguler Class Availability'!$L:$L,$B$4&amp;"|- Lane 1 - *|"&amp;BD40)&gt;0,1,0)</f>
        <v>0</v>
      </c>
      <c r="BF40" s="30" t="n">
        <f aca="false">BE40+BF39</f>
        <v>10</v>
      </c>
    </row>
    <row r="41" customFormat="false" ht="39.75" hidden="false" customHeight="true" outlineLevel="0" collapsed="false">
      <c r="A41" s="66" t="str">
        <f aca="false">IFERROR(INDEX($BD$62:$BD$121,MATCH(8,$BF$62:$BF$121,0)),"")</f>
        <v>14:15</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Tiny  0/5  (0%)
coach: –</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Tiny  0/5  (0%)
coach: –</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Tiny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Tiny  0/5  (0%)
coach: –</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Tiny  0/5  (0%)
coach: –</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Tiny  0/5  (0%)
coach: –</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Tiny  0/5  (0%)
coach: –</v>
      </c>
      <c r="AN41" s="30" t="n">
        <f aca="false">IF($A41="","",IFERROR(MATCH($B$4&amp;"|- Lane 2 - "&amp;B$33&amp;"|"&amp;$A41,'Reguler Class Availability'!$L:$L,0),""))</f>
        <v>1143</v>
      </c>
      <c r="AO41" s="30" t="n">
        <f aca="false">IF($A41="","",IFERROR(MATCH($B$4&amp;"|- Lane 2 - "&amp;C$33&amp;"|"&amp;$A41,'Reguler Class Availability'!$L:$L,0),""))</f>
        <v>1155</v>
      </c>
      <c r="AP41" s="30" t="n">
        <f aca="false">IF($A41="","",IFERROR(MATCH($B$4&amp;"|- Lane 2 - "&amp;D$33&amp;"|"&amp;$A41,'Reguler Class Availability'!$L:$L,0),""))</f>
        <v>1167</v>
      </c>
      <c r="AQ41" s="30" t="n">
        <f aca="false">IF($A41="","",IFERROR(MATCH($B$4&amp;"|- Lane 2 - "&amp;E$33&amp;"|"&amp;$A41,'Reguler Class Availability'!$L:$L,0),""))</f>
        <v>1179</v>
      </c>
      <c r="AR41" s="30" t="n">
        <f aca="false">IF($A41="","",IFERROR(MATCH($B$4&amp;"|- Lane 2 - "&amp;F$33&amp;"|"&amp;$A41,'Reguler Class Availability'!$L:$L,0),""))</f>
        <v>1191</v>
      </c>
      <c r="AS41" s="30" t="n">
        <f aca="false">IF($A41="","",IFERROR(MATCH($B$4&amp;"|- Lane 2 - "&amp;G$33&amp;"|"&amp;$A41,'Reguler Class Availability'!$L:$L,0),""))</f>
        <v>1203</v>
      </c>
      <c r="AT41" s="30" t="n">
        <f aca="false">IF($A41="","",IFERROR(MATCH($B$4&amp;"|- Lane 2 - "&amp;H$33&amp;"|"&amp;$A41,'Reguler Class Availability'!$L:$L,0),""))</f>
        <v>1215</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Belum terisi</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Belum terisi</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Belum terisi</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Belum terisi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Belum terisi</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Belum terisi</v>
      </c>
      <c r="BD41" s="30" t="s">
        <v>150</v>
      </c>
      <c r="BE41" s="30" t="n">
        <f aca="false">IF(COUNTIFS('Reguler Class Availability'!$L:$L,$B$4&amp;"|- Lane 1 - *|"&amp;BD41)&gt;0,1,0)</f>
        <v>1</v>
      </c>
      <c r="BF41" s="30" t="n">
        <f aca="false">BE41+BF40</f>
        <v>11</v>
      </c>
    </row>
    <row r="42" customFormat="false" ht="39.75" hidden="false" customHeight="true" outlineLevel="0" collapsed="false">
      <c r="A42" s="66" t="str">
        <f aca="false">IFERROR(INDEX($BD$62:$BD$121,MATCH(9,$BF$62:$BF$121,0)),"")</f>
        <v>15:00</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Tiny  0/5  (0%)
coach: –</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Tiny  2/5  (40%)
Shofwan</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Tiny  3/5  (60%)
Indah</v>
      </c>
      <c r="AN42" s="30" t="n">
        <f aca="false">IF($A42="","",IFERROR(MATCH($B$4&amp;"|- Lane 2 - "&amp;B$33&amp;"|"&amp;$A42,'Reguler Class Availability'!$L:$L,0),""))</f>
        <v>1144</v>
      </c>
      <c r="AO42" s="30" t="n">
        <f aca="false">IF($A42="","",IFERROR(MATCH($B$4&amp;"|- Lane 2 - "&amp;C$33&amp;"|"&amp;$A42,'Reguler Class Availability'!$L:$L,0),""))</f>
        <v>1156</v>
      </c>
      <c r="AP42" s="30" t="n">
        <f aca="false">IF($A42="","",IFERROR(MATCH($B$4&amp;"|- Lane 2 - "&amp;D$33&amp;"|"&amp;$A42,'Reguler Class Availability'!$L:$L,0),""))</f>
        <v>1168</v>
      </c>
      <c r="AQ42" s="30" t="n">
        <f aca="false">IF($A42="","",IFERROR(MATCH($B$4&amp;"|- Lane 2 - "&amp;E$33&amp;"|"&amp;$A42,'Reguler Class Availability'!$L:$L,0),""))</f>
        <v>1180</v>
      </c>
      <c r="AR42" s="30" t="n">
        <f aca="false">IF($A42="","",IFERROR(MATCH($B$4&amp;"|- Lane 2 - "&amp;F$33&amp;"|"&amp;$A42,'Reguler Class Availability'!$L:$L,0),""))</f>
        <v>1192</v>
      </c>
      <c r="AS42" s="30" t="n">
        <f aca="false">IF($A42="","",IFERROR(MATCH($B$4&amp;"|- Lane 2 - "&amp;G$33&amp;"|"&amp;$A42,'Reguler Class Availability'!$L:$L,0),""))</f>
        <v>1204</v>
      </c>
      <c r="AT42" s="30" t="n">
        <f aca="false">IF($A42="","",IFERROR(MATCH($B$4&amp;"|- Lane 2 - "&amp;H$33&amp;"|"&amp;$A42,'Reguler Class Availability'!$L:$L,0),""))</f>
        <v>1216</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Tidak dibuka</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Tidak dibuka</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Tidak dibuka</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Tidak dibuka</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Belum terisi</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Sebagian</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Tinggi</v>
      </c>
      <c r="BD42" s="30" t="s">
        <v>151</v>
      </c>
      <c r="BE42" s="30" t="n">
        <f aca="false">IF(COUNTIFS('Reguler Class Availability'!$L:$L,$B$4&amp;"|- Lane 1 - *|"&amp;BD42)&gt;0,1,0)</f>
        <v>0</v>
      </c>
      <c r="BF42" s="30" t="n">
        <f aca="false">BE42+BF41</f>
        <v>11</v>
      </c>
    </row>
    <row r="43" customFormat="false" ht="39.75" hidden="false" customHeight="true" outlineLevel="0" collapsed="false">
      <c r="A43" s="66" t="str">
        <f aca="false">IFERROR(INDEX($BD$62:$BD$121,MATCH(10,$BF$62:$BF$121,0)),"")</f>
        <v>15:45</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Kosong  0/5  (0%)
coach: –</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Tiny  2/5  (40%)
Kamal</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Tiny  3/5  (60%)
Indah</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Tiny  0/5  (0%)
coach: –</v>
      </c>
      <c r="AN43" s="30" t="n">
        <f aca="false">IF($A43="","",IFERROR(MATCH($B$4&amp;"|- Lane 2 - "&amp;B$33&amp;"|"&amp;$A43,'Reguler Class Availability'!$L:$L,0),""))</f>
        <v>1145</v>
      </c>
      <c r="AO43" s="30" t="n">
        <f aca="false">IF($A43="","",IFERROR(MATCH($B$4&amp;"|- Lane 2 - "&amp;C$33&amp;"|"&amp;$A43,'Reguler Class Availability'!$L:$L,0),""))</f>
        <v>1157</v>
      </c>
      <c r="AP43" s="30" t="n">
        <f aca="false">IF($A43="","",IFERROR(MATCH($B$4&amp;"|- Lane 2 - "&amp;D$33&amp;"|"&amp;$A43,'Reguler Class Availability'!$L:$L,0),""))</f>
        <v>1169</v>
      </c>
      <c r="AQ43" s="30" t="n">
        <f aca="false">IF($A43="","",IFERROR(MATCH($B$4&amp;"|- Lane 2 - "&amp;E$33&amp;"|"&amp;$A43,'Reguler Class Availability'!$L:$L,0),""))</f>
        <v>1181</v>
      </c>
      <c r="AR43" s="30" t="n">
        <f aca="false">IF($A43="","",IFERROR(MATCH($B$4&amp;"|- Lane 2 - "&amp;F$33&amp;"|"&amp;$A43,'Reguler Class Availability'!$L:$L,0),""))</f>
        <v>1193</v>
      </c>
      <c r="AS43" s="30" t="n">
        <f aca="false">IF($A43="","",IFERROR(MATCH($B$4&amp;"|- Lane 2 - "&amp;G$33&amp;"|"&amp;$A43,'Reguler Class Availability'!$L:$L,0),""))</f>
        <v>1205</v>
      </c>
      <c r="AT43" s="30" t="n">
        <f aca="false">IF($A43="","",IFERROR(MATCH($B$4&amp;"|- Lane 2 - "&amp;H$33&amp;"|"&amp;$A43,'Reguler Class Availability'!$L:$L,0),""))</f>
        <v>1217</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Tidak dibuka</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Tidak dibuka</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Kosong</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Tidak dibuka</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Sebagian</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Tinggi</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Belum terisi</v>
      </c>
      <c r="BD43" s="30" t="s">
        <v>152</v>
      </c>
      <c r="BE43" s="30" t="n">
        <f aca="false">IF(COUNTIFS('Reguler Class Availability'!$L:$L,$B$4&amp;"|- Lane 1 - *|"&amp;BD43)&gt;0,1,0)</f>
        <v>0</v>
      </c>
      <c r="BF43" s="30" t="n">
        <f aca="false">BE43+BF42</f>
        <v>11</v>
      </c>
    </row>
    <row r="44" customFormat="false" ht="39.75" hidden="false" customHeight="true" outlineLevel="0" collapsed="false">
      <c r="A44" s="66" t="str">
        <f aca="false">IFERROR(INDEX($BD$62:$BD$121,MATCH(11,$BF$62:$BF$121,0)),"")</f>
        <v>16:30</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Kosong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Tiny  2/5  (40%)
Damai</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Tiny  1/5  (20%)
Laksamana</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Tiny  1/5  (20%)
Laksamana</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Tiny  4/5  (80%)
Shofwan</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Tiny  2/5  (40%)
Shofwan</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Tiny  2/5  (40%)
Laksamana</v>
      </c>
      <c r="AN44" s="30" t="n">
        <f aca="false">IF($A44="","",IFERROR(MATCH($B$4&amp;"|- Lane 2 - "&amp;B$33&amp;"|"&amp;$A44,'Reguler Class Availability'!$L:$L,0),""))</f>
        <v>1146</v>
      </c>
      <c r="AO44" s="30" t="n">
        <f aca="false">IF($A44="","",IFERROR(MATCH($B$4&amp;"|- Lane 2 - "&amp;C$33&amp;"|"&amp;$A44,'Reguler Class Availability'!$L:$L,0),""))</f>
        <v>1158</v>
      </c>
      <c r="AP44" s="30" t="n">
        <f aca="false">IF($A44="","",IFERROR(MATCH($B$4&amp;"|- Lane 2 - "&amp;D$33&amp;"|"&amp;$A44,'Reguler Class Availability'!$L:$L,0),""))</f>
        <v>1170</v>
      </c>
      <c r="AQ44" s="30" t="n">
        <f aca="false">IF($A44="","",IFERROR(MATCH($B$4&amp;"|- Lane 2 - "&amp;E$33&amp;"|"&amp;$A44,'Reguler Class Availability'!$L:$L,0),""))</f>
        <v>1182</v>
      </c>
      <c r="AR44" s="30" t="n">
        <f aca="false">IF($A44="","",IFERROR(MATCH($B$4&amp;"|- Lane 2 - "&amp;F$33&amp;"|"&amp;$A44,'Reguler Class Availability'!$L:$L,0),""))</f>
        <v>1194</v>
      </c>
      <c r="AS44" s="30" t="n">
        <f aca="false">IF($A44="","",IFERROR(MATCH($B$4&amp;"|- Lane 2 - "&amp;G$33&amp;"|"&amp;$A44,'Reguler Class Availability'!$L:$L,0),""))</f>
        <v>1206</v>
      </c>
      <c r="AT44" s="30" t="n">
        <f aca="false">IF($A44="","",IFERROR(MATCH($B$4&amp;"|- Lane 2 - "&amp;H$33&amp;"|"&amp;$A44,'Reguler Class Availability'!$L:$L,0),""))</f>
        <v>1218</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Kosong</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Sebagian</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Sebagian</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Sebagian</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Tinggi</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Sebagian</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Sebagian</v>
      </c>
      <c r="BD44" s="30" t="s">
        <v>153</v>
      </c>
      <c r="BE44" s="30" t="n">
        <f aca="false">IF(COUNTIFS('Reguler Class Availability'!$L:$L,$B$4&amp;"|- Lane 1 - *|"&amp;BD44)&gt;0,1,0)</f>
        <v>1</v>
      </c>
      <c r="BF44" s="30" t="n">
        <f aca="false">BE44+BF43</f>
        <v>12</v>
      </c>
    </row>
    <row r="45" customFormat="false" ht="39.75" hidden="false" customHeight="true" outlineLevel="0" collapsed="false">
      <c r="A45" s="66" t="str">
        <f aca="false">IFERROR(INDEX($BD$62:$BD$121,MATCH(12,$BF$62:$BF$121,0)),"")</f>
        <v>17:15</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Kosong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Kosong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Kosong  0/5  (0%)
coach: –</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Kosong  0/5  (0%)
coach: –</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Tiny  5/5  (100%)
Indah</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Tiny  0/5  (0%)
coach: –</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Tiny  0/5  (0%)
coach: –</v>
      </c>
      <c r="AN45" s="30" t="n">
        <f aca="false">IF($A45="","",IFERROR(MATCH($B$4&amp;"|- Lane 2 - "&amp;B$33&amp;"|"&amp;$A45,'Reguler Class Availability'!$L:$L,0),""))</f>
        <v>1147</v>
      </c>
      <c r="AO45" s="30" t="n">
        <f aca="false">IF($A45="","",IFERROR(MATCH($B$4&amp;"|- Lane 2 - "&amp;C$33&amp;"|"&amp;$A45,'Reguler Class Availability'!$L:$L,0),""))</f>
        <v>1159</v>
      </c>
      <c r="AP45" s="30" t="n">
        <f aca="false">IF($A45="","",IFERROR(MATCH($B$4&amp;"|- Lane 2 - "&amp;D$33&amp;"|"&amp;$A45,'Reguler Class Availability'!$L:$L,0),""))</f>
        <v>1171</v>
      </c>
      <c r="AQ45" s="30" t="n">
        <f aca="false">IF($A45="","",IFERROR(MATCH($B$4&amp;"|- Lane 2 - "&amp;E$33&amp;"|"&amp;$A45,'Reguler Class Availability'!$L:$L,0),""))</f>
        <v>1183</v>
      </c>
      <c r="AR45" s="30" t="n">
        <f aca="false">IF($A45="","",IFERROR(MATCH($B$4&amp;"|- Lane 2 - "&amp;F$33&amp;"|"&amp;$A45,'Reguler Class Availability'!$L:$L,0),""))</f>
        <v>1195</v>
      </c>
      <c r="AS45" s="30" t="n">
        <f aca="false">IF($A45="","",IFERROR(MATCH($B$4&amp;"|- Lane 2 - "&amp;G$33&amp;"|"&amp;$A45,'Reguler Class Availability'!$L:$L,0),""))</f>
        <v>1207</v>
      </c>
      <c r="AT45" s="30" t="n">
        <f aca="false">IF($A45="","",IFERROR(MATCH($B$4&amp;"|- Lane 2 - "&amp;H$33&amp;"|"&amp;$A45,'Reguler Class Availability'!$L:$L,0),""))</f>
        <v>1219</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Kosong</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Kosong</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Kosong</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Kosong</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Penuh</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Belum terisi</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Belum terisi</v>
      </c>
      <c r="BD45" s="30" t="s">
        <v>154</v>
      </c>
      <c r="BE45" s="30" t="n">
        <f aca="false">IF(COUNTIFS('Reguler Class Availability'!$L:$L,$B$4&amp;"|- Lane 1 - *|"&amp;BD45)&gt;0,1,0)</f>
        <v>0</v>
      </c>
      <c r="BF45" s="30" t="n">
        <f aca="false">BE45+BF44</f>
        <v>12</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0</v>
      </c>
      <c r="BF46" s="30" t="n">
        <f aca="false">BE46+BF45</f>
        <v>12</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1</v>
      </c>
      <c r="BF47" s="30" t="n">
        <f aca="false">BE47+BF46</f>
        <v>13</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8%</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23%</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13%</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13%</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30%</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40%</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25%</v>
      </c>
      <c r="BD48" s="30" t="s">
        <v>157</v>
      </c>
      <c r="BE48" s="30" t="n">
        <f aca="false">IF(COUNTIFS('Reguler Class Availability'!$L:$L,$B$4&amp;"|- Lane 1 - *|"&amp;BD48)&gt;0,1,0)</f>
        <v>0</v>
      </c>
      <c r="BF48" s="30" t="n">
        <f aca="false">BE48+BF47</f>
        <v>13</v>
      </c>
    </row>
    <row r="49" customFormat="false" ht="15" hidden="false" customHeight="false" outlineLevel="0" collapsed="false">
      <c r="BD49" s="0" t="s">
        <v>158</v>
      </c>
      <c r="BE49" s="0" t="n">
        <f aca="false">IF(COUNTIFS('Reguler Class Availability'!$L:$L,$B$4&amp;"|- Lane 1 - *|"&amp;BD49)&gt;0,1,0)</f>
        <v>0</v>
      </c>
      <c r="BF49" s="0" t="n">
        <f aca="false">BE49+BF48</f>
        <v>13</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55%   ·   Belum terisi: 18   ·   Slot kosong: 0</v>
      </c>
      <c r="D50" s="62"/>
      <c r="E50" s="62"/>
      <c r="F50" s="62"/>
      <c r="G50" s="62"/>
      <c r="H50" s="62"/>
      <c r="BD50" s="30" t="s">
        <v>160</v>
      </c>
      <c r="BE50" s="30" t="n">
        <f aca="false">IF(COUNTIFS('Reguler Class Availability'!$L:$L,$B$4&amp;"|- Lane 1 - *|"&amp;BD50)&gt;0,1,0)</f>
        <v>1</v>
      </c>
      <c r="BF50" s="30" t="n">
        <f aca="false">BE50+BF49</f>
        <v>14</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14</v>
      </c>
    </row>
    <row r="52" customFormat="false" ht="39.75" hidden="false" customHeight="true" outlineLevel="0" collapsed="false">
      <c r="A52" s="66" t="str">
        <f aca="false">IFERROR(INDEX($BD$122:$BD$181,MATCH(1,$BF$122:$BF$181,0)),"")</f>
        <v>08:00</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Little  0/0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Little  0/0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Little  0/0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Little  0/0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Little  0/0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Little  0/0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Little  0/0
coach: –</v>
      </c>
      <c r="AN52" s="30" t="n">
        <f aca="false">IF($A52="","",IFERROR(MATCH($B$4&amp;"|- Lane 3 - "&amp;B$51&amp;"|"&amp;$A52,'Reguler Class Availability'!$L:$L,0),""))</f>
        <v>1220</v>
      </c>
      <c r="AO52" s="30" t="n">
        <f aca="false">IF($A52="","",IFERROR(MATCH($B$4&amp;"|- Lane 3 - "&amp;C$51&amp;"|"&amp;$A52,'Reguler Class Availability'!$L:$L,0),""))</f>
        <v>1232</v>
      </c>
      <c r="AP52" s="30" t="n">
        <f aca="false">IF($A52="","",IFERROR(MATCH($B$4&amp;"|- Lane 3 - "&amp;D$51&amp;"|"&amp;$A52,'Reguler Class Availability'!$L:$L,0),""))</f>
        <v>1244</v>
      </c>
      <c r="AQ52" s="30" t="n">
        <f aca="false">IF($A52="","",IFERROR(MATCH($B$4&amp;"|- Lane 3 - "&amp;E$51&amp;"|"&amp;$A52,'Reguler Class Availability'!$L:$L,0),""))</f>
        <v>1256</v>
      </c>
      <c r="AR52" s="30" t="n">
        <f aca="false">IF($A52="","",IFERROR(MATCH($B$4&amp;"|- Lane 3 - "&amp;F$51&amp;"|"&amp;$A52,'Reguler Class Availability'!$L:$L,0),""))</f>
        <v>1268</v>
      </c>
      <c r="AS52" s="30" t="n">
        <f aca="false">IF($A52="","",IFERROR(MATCH($B$4&amp;"|- Lane 3 - "&amp;G$51&amp;"|"&amp;$A52,'Reguler Class Availability'!$L:$L,0),""))</f>
        <v>1280</v>
      </c>
      <c r="AT52" s="30" t="n">
        <f aca="false">IF($A52="","",IFERROR(MATCH($B$4&amp;"|- Lane 3 - "&amp;H$51&amp;"|"&amp;$A52,'Reguler Class Availability'!$L:$L,0),""))</f>
        <v>1292</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Tutup</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Tutup</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Tutup</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Tutup</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Tutup</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Tutup</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Tutup</v>
      </c>
      <c r="BD52" s="30" t="s">
        <v>162</v>
      </c>
      <c r="BE52" s="30" t="n">
        <f aca="false">IF(COUNTIFS('Reguler Class Availability'!$L:$L,$B$4&amp;"|- Lane 1 - *|"&amp;BD52)&gt;0,1,0)</f>
        <v>0</v>
      </c>
      <c r="BF52" s="30" t="n">
        <f aca="false">BE52+BF51</f>
        <v>14</v>
      </c>
    </row>
    <row r="53" customFormat="false" ht="39.75" hidden="false" customHeight="true" outlineLevel="0" collapsed="false">
      <c r="A53" s="66" t="str">
        <f aca="false">IFERROR(INDEX($BD$122:$BD$181,MATCH(2,$BF$122:$BF$181,0)),"")</f>
        <v>08:45</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Little  0/4  (0%)
coach: –</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Little  0/4  (0%)
coach: –</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Little  0/4  (0%)
coach: –</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Little  0/4  (0%)
coach: –</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Little  2/4  (50%)
Laksamana</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Little  3/4  (75%)
Laksamana</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Little  4/4  (100%)
Shofwan</v>
      </c>
      <c r="AN53" s="30" t="n">
        <f aca="false">IF($A53="","",IFERROR(MATCH($B$4&amp;"|- Lane 3 - "&amp;B$51&amp;"|"&amp;$A53,'Reguler Class Availability'!$L:$L,0),""))</f>
        <v>1221</v>
      </c>
      <c r="AO53" s="30" t="n">
        <f aca="false">IF($A53="","",IFERROR(MATCH($B$4&amp;"|- Lane 3 - "&amp;C$51&amp;"|"&amp;$A53,'Reguler Class Availability'!$L:$L,0),""))</f>
        <v>1233</v>
      </c>
      <c r="AP53" s="30" t="n">
        <f aca="false">IF($A53="","",IFERROR(MATCH($B$4&amp;"|- Lane 3 - "&amp;D$51&amp;"|"&amp;$A53,'Reguler Class Availability'!$L:$L,0),""))</f>
        <v>1245</v>
      </c>
      <c r="AQ53" s="30" t="n">
        <f aca="false">IF($A53="","",IFERROR(MATCH($B$4&amp;"|- Lane 3 - "&amp;E$51&amp;"|"&amp;$A53,'Reguler Class Availability'!$L:$L,0),""))</f>
        <v>1257</v>
      </c>
      <c r="AR53" s="30" t="n">
        <f aca="false">IF($A53="","",IFERROR(MATCH($B$4&amp;"|- Lane 3 - "&amp;F$51&amp;"|"&amp;$A53,'Reguler Class Availability'!$L:$L,0),""))</f>
        <v>1269</v>
      </c>
      <c r="AS53" s="30" t="n">
        <f aca="false">IF($A53="","",IFERROR(MATCH($B$4&amp;"|- Lane 3 - "&amp;G$51&amp;"|"&amp;$A53,'Reguler Class Availability'!$L:$L,0),""))</f>
        <v>1281</v>
      </c>
      <c r="AT53" s="30" t="n">
        <f aca="false">IF($A53="","",IFERROR(MATCH($B$4&amp;"|- Lane 3 - "&amp;H$51&amp;"|"&amp;$A53,'Reguler Class Availability'!$L:$L,0),""))</f>
        <v>1293</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Belum terisi</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Belum terisi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Belum terisi</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Belum terisi</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Sebagian</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Tinggi</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Penuh</v>
      </c>
      <c r="BD53" s="30" t="s">
        <v>163</v>
      </c>
      <c r="BE53" s="30" t="n">
        <f aca="false">IF(COUNTIFS('Reguler Class Availability'!$L:$L,$B$4&amp;"|- Lane 1 - *|"&amp;BD53)&gt;0,1,0)</f>
        <v>0</v>
      </c>
      <c r="BF53" s="30" t="n">
        <f aca="false">BE53+BF52</f>
        <v>14</v>
      </c>
    </row>
    <row r="54" customFormat="false" ht="39.75" hidden="false" customHeight="true" outlineLevel="0" collapsed="false">
      <c r="A54" s="66" t="str">
        <f aca="false">IFERROR(INDEX($BD$122:$BD$181,MATCH(3,$BF$122:$BF$181,0)),"")</f>
        <v>09:30</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Little  2/4  (50%)
Dadi</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Little  2/4  (50%)
Damai</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Little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Little  3/4  (75%)
Zidan</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Little  4/4  (100%)
Indah</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Little  4/4  (100%)
Indah</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Little  4/4  (100%)
Indah</v>
      </c>
      <c r="AN54" s="30" t="n">
        <f aca="false">IF($A54="","",IFERROR(MATCH($B$4&amp;"|- Lane 3 - "&amp;B$51&amp;"|"&amp;$A54,'Reguler Class Availability'!$L:$L,0),""))</f>
        <v>1222</v>
      </c>
      <c r="AO54" s="30" t="n">
        <f aca="false">IF($A54="","",IFERROR(MATCH($B$4&amp;"|- Lane 3 - "&amp;C$51&amp;"|"&amp;$A54,'Reguler Class Availability'!$L:$L,0),""))</f>
        <v>1234</v>
      </c>
      <c r="AP54" s="30" t="n">
        <f aca="false">IF($A54="","",IFERROR(MATCH($B$4&amp;"|- Lane 3 - "&amp;D$51&amp;"|"&amp;$A54,'Reguler Class Availability'!$L:$L,0),""))</f>
        <v>1246</v>
      </c>
      <c r="AQ54" s="30" t="n">
        <f aca="false">IF($A54="","",IFERROR(MATCH($B$4&amp;"|- Lane 3 - "&amp;E$51&amp;"|"&amp;$A54,'Reguler Class Availability'!$L:$L,0),""))</f>
        <v>1258</v>
      </c>
      <c r="AR54" s="30" t="n">
        <f aca="false">IF($A54="","",IFERROR(MATCH($B$4&amp;"|- Lane 3 - "&amp;F$51&amp;"|"&amp;$A54,'Reguler Class Availability'!$L:$L,0),""))</f>
        <v>1270</v>
      </c>
      <c r="AS54" s="30" t="n">
        <f aca="false">IF($A54="","",IFERROR(MATCH($B$4&amp;"|- Lane 3 - "&amp;G$51&amp;"|"&amp;$A54,'Reguler Class Availability'!$L:$L,0),""))</f>
        <v>1282</v>
      </c>
      <c r="AT54" s="30" t="n">
        <f aca="false">IF($A54="","",IFERROR(MATCH($B$4&amp;"|- Lane 3 - "&amp;H$51&amp;"|"&amp;$A54,'Reguler Class Availability'!$L:$L,0),""))</f>
        <v>1294</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Sebagian</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Sebagian</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Tinggi</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Penuh</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Penuh</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Penuh</v>
      </c>
      <c r="BD54" s="30" t="s">
        <v>164</v>
      </c>
      <c r="BE54" s="30" t="n">
        <f aca="false">IF(COUNTIFS('Reguler Class Availability'!$L:$L,$B$4&amp;"|- Lane 1 - *|"&amp;BD54)&gt;0,1,0)</f>
        <v>0</v>
      </c>
      <c r="BF54" s="30" t="n">
        <f aca="false">BE54+BF53</f>
        <v>14</v>
      </c>
    </row>
    <row r="55" customFormat="false" ht="39.75" hidden="false" customHeight="true" outlineLevel="0" collapsed="false">
      <c r="A55" s="66" t="str">
        <f aca="false">IFERROR(INDEX($BD$122:$BD$181,MATCH(4,$BF$122:$BF$181,0)),"")</f>
        <v>10:15</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Little  2/4  (50%)
Damai</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Little  2/4  (50%)
Damai</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Little  0/4  (0%)
coach: –</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Little  2/4  (50%)
Indah</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Little  3/4  (75%)
Damai</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Little  4/4  (100%)
Shofwan</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Little  4/4  (100%)
Zidan</v>
      </c>
      <c r="AN55" s="30" t="n">
        <f aca="false">IF($A55="","",IFERROR(MATCH($B$4&amp;"|- Lane 3 - "&amp;B$51&amp;"|"&amp;$A55,'Reguler Class Availability'!$L:$L,0),""))</f>
        <v>1223</v>
      </c>
      <c r="AO55" s="30" t="n">
        <f aca="false">IF($A55="","",IFERROR(MATCH($B$4&amp;"|- Lane 3 - "&amp;C$51&amp;"|"&amp;$A55,'Reguler Class Availability'!$L:$L,0),""))</f>
        <v>1235</v>
      </c>
      <c r="AP55" s="30" t="n">
        <f aca="false">IF($A55="","",IFERROR(MATCH($B$4&amp;"|- Lane 3 - "&amp;D$51&amp;"|"&amp;$A55,'Reguler Class Availability'!$L:$L,0),""))</f>
        <v>1247</v>
      </c>
      <c r="AQ55" s="30" t="n">
        <f aca="false">IF($A55="","",IFERROR(MATCH($B$4&amp;"|- Lane 3 - "&amp;E$51&amp;"|"&amp;$A55,'Reguler Class Availability'!$L:$L,0),""))</f>
        <v>1259</v>
      </c>
      <c r="AR55" s="30" t="n">
        <f aca="false">IF($A55="","",IFERROR(MATCH($B$4&amp;"|- Lane 3 - "&amp;F$51&amp;"|"&amp;$A55,'Reguler Class Availability'!$L:$L,0),""))</f>
        <v>1271</v>
      </c>
      <c r="AS55" s="30" t="n">
        <f aca="false">IF($A55="","",IFERROR(MATCH($B$4&amp;"|- Lane 3 - "&amp;G$51&amp;"|"&amp;$A55,'Reguler Class Availability'!$L:$L,0),""))</f>
        <v>1283</v>
      </c>
      <c r="AT55" s="30" t="n">
        <f aca="false">IF($A55="","",IFERROR(MATCH($B$4&amp;"|- Lane 3 - "&amp;H$51&amp;"|"&amp;$A55,'Reguler Class Availability'!$L:$L,0),""))</f>
        <v>1295</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Sebagian</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Sebagian</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Belum terisi</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Sebagian</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Tinggi</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Penuh</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Penuh</v>
      </c>
      <c r="BD55" s="30" t="s">
        <v>165</v>
      </c>
      <c r="BE55" s="30" t="n">
        <f aca="false">IF(COUNTIFS('Reguler Class Availability'!$L:$L,$B$4&amp;"|- Lane 1 - *|"&amp;BD55)&gt;0,1,0)</f>
        <v>0</v>
      </c>
      <c r="BF55" s="30" t="n">
        <f aca="false">BE55+BF54</f>
        <v>14</v>
      </c>
    </row>
    <row r="56" customFormat="false" ht="39.75" hidden="false" customHeight="true" outlineLevel="0" collapsed="false">
      <c r="A56" s="66" t="str">
        <f aca="false">IFERROR(INDEX($BD$122:$BD$181,MATCH(5,$BF$122:$BF$181,0)),"")</f>
        <v>11:00</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Little  1/4  (25%)
Kamal</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Little  0/4  (0%)
coach: –</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Little  2/4  (50%)
Zidan</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Little  2/4  (50%)
Indah</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Little  0/4  (0%)
coach: –</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Little  4/4  (100%)
Indah</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Little  4/4  (100%)
Zidan</v>
      </c>
      <c r="AN56" s="30" t="n">
        <f aca="false">IF($A56="","",IFERROR(MATCH($B$4&amp;"|- Lane 3 - "&amp;B$51&amp;"|"&amp;$A56,'Reguler Class Availability'!$L:$L,0),""))</f>
        <v>1224</v>
      </c>
      <c r="AO56" s="30" t="n">
        <f aca="false">IF($A56="","",IFERROR(MATCH($B$4&amp;"|- Lane 3 - "&amp;C$51&amp;"|"&amp;$A56,'Reguler Class Availability'!$L:$L,0),""))</f>
        <v>1236</v>
      </c>
      <c r="AP56" s="30" t="n">
        <f aca="false">IF($A56="","",IFERROR(MATCH($B$4&amp;"|- Lane 3 - "&amp;D$51&amp;"|"&amp;$A56,'Reguler Class Availability'!$L:$L,0),""))</f>
        <v>1248</v>
      </c>
      <c r="AQ56" s="30" t="n">
        <f aca="false">IF($A56="","",IFERROR(MATCH($B$4&amp;"|- Lane 3 - "&amp;E$51&amp;"|"&amp;$A56,'Reguler Class Availability'!$L:$L,0),""))</f>
        <v>1260</v>
      </c>
      <c r="AR56" s="30" t="n">
        <f aca="false">IF($A56="","",IFERROR(MATCH($B$4&amp;"|- Lane 3 - "&amp;F$51&amp;"|"&amp;$A56,'Reguler Class Availability'!$L:$L,0),""))</f>
        <v>1272</v>
      </c>
      <c r="AS56" s="30" t="n">
        <f aca="false">IF($A56="","",IFERROR(MATCH($B$4&amp;"|- Lane 3 - "&amp;G$51&amp;"|"&amp;$A56,'Reguler Class Availability'!$L:$L,0),""))</f>
        <v>1284</v>
      </c>
      <c r="AT56" s="30" t="n">
        <f aca="false">IF($A56="","",IFERROR(MATCH($B$4&amp;"|- Lane 3 - "&amp;H$51&amp;"|"&amp;$A56,'Reguler Class Availability'!$L:$L,0),""))</f>
        <v>1296</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Sebagian</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Belum terisi</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Sebagian</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Sebagian</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Belum terisi</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Penuh</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Penuh</v>
      </c>
      <c r="BD56" s="30" t="s">
        <v>166</v>
      </c>
      <c r="BE56" s="30" t="n">
        <f aca="false">IF(COUNTIFS('Reguler Class Availability'!$L:$L,$B$4&amp;"|- Lane 1 - *|"&amp;BD56)&gt;0,1,0)</f>
        <v>0</v>
      </c>
      <c r="BF56" s="30" t="n">
        <f aca="false">BE56+BF55</f>
        <v>14</v>
      </c>
    </row>
    <row r="57" customFormat="false" ht="39.75" hidden="false" customHeight="true" outlineLevel="0" collapsed="false">
      <c r="A57" s="66" t="str">
        <f aca="false">IFERROR(INDEX($BD$122:$BD$181,MATCH(6,$BF$122:$BF$181,0)),"")</f>
        <v>11:45</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Little  0/0
coach: –</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Little  0/0
coach: –</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Little  0/0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Little  0/0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Little  0/0
coach: –</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Little  4/4  (100%)
Zidan</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Little  3/4  (75%)
Shofwan</v>
      </c>
      <c r="AN57" s="30" t="n">
        <f aca="false">IF($A57="","",IFERROR(MATCH($B$4&amp;"|- Lane 3 - "&amp;B$51&amp;"|"&amp;$A57,'Reguler Class Availability'!$L:$L,0),""))</f>
        <v>1225</v>
      </c>
      <c r="AO57" s="30" t="n">
        <f aca="false">IF($A57="","",IFERROR(MATCH($B$4&amp;"|- Lane 3 - "&amp;C$51&amp;"|"&amp;$A57,'Reguler Class Availability'!$L:$L,0),""))</f>
        <v>1237</v>
      </c>
      <c r="AP57" s="30" t="n">
        <f aca="false">IF($A57="","",IFERROR(MATCH($B$4&amp;"|- Lane 3 - "&amp;D$51&amp;"|"&amp;$A57,'Reguler Class Availability'!$L:$L,0),""))</f>
        <v>1249</v>
      </c>
      <c r="AQ57" s="30" t="n">
        <f aca="false">IF($A57="","",IFERROR(MATCH($B$4&amp;"|- Lane 3 - "&amp;E$51&amp;"|"&amp;$A57,'Reguler Class Availability'!$L:$L,0),""))</f>
        <v>1261</v>
      </c>
      <c r="AR57" s="30" t="n">
        <f aca="false">IF($A57="","",IFERROR(MATCH($B$4&amp;"|- Lane 3 - "&amp;F$51&amp;"|"&amp;$A57,'Reguler Class Availability'!$L:$L,0),""))</f>
        <v>1273</v>
      </c>
      <c r="AS57" s="30" t="n">
        <f aca="false">IF($A57="","",IFERROR(MATCH($B$4&amp;"|- Lane 3 - "&amp;G$51&amp;"|"&amp;$A57,'Reguler Class Availability'!$L:$L,0),""))</f>
        <v>1285</v>
      </c>
      <c r="AT57" s="30" t="n">
        <f aca="false">IF($A57="","",IFERROR(MATCH($B$4&amp;"|- Lane 3 - "&amp;H$51&amp;"|"&amp;$A57,'Reguler Class Availability'!$L:$L,0),""))</f>
        <v>1297</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Tutup</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Tutup</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Tutup</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Tutup</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Tutup</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Penuh</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Tinggi</v>
      </c>
      <c r="BD57" s="30" t="s">
        <v>167</v>
      </c>
      <c r="BE57" s="30" t="n">
        <f aca="false">IF(COUNTIFS('Reguler Class Availability'!$L:$L,$B$4&amp;"|- Lane 1 - *|"&amp;BD57)&gt;0,1,0)</f>
        <v>0</v>
      </c>
      <c r="BF57" s="30" t="n">
        <f aca="false">BE57+BF56</f>
        <v>14</v>
      </c>
    </row>
    <row r="58" customFormat="false" ht="39.75" hidden="false" customHeight="true" outlineLevel="0" collapsed="false">
      <c r="A58" s="66" t="str">
        <f aca="false">IFERROR(INDEX($BD$122:$BD$181,MATCH(7,$BF$122:$BF$181,0)),"")</f>
        <v>13:15</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Little  0/4  (0%)
coach: –</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Little  0/4  (0%)
coach: –</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Little  0/4  (0%)
coach: –</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Little  0/4  (0%)
coach: –</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Little  0/0
coach: –</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Little  0/4  (0%)
coach: –</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Little  3/4  (75%)
Laksamana</v>
      </c>
      <c r="AN58" s="30" t="n">
        <f aca="false">IF($A58="","",IFERROR(MATCH($B$4&amp;"|- Lane 3 - "&amp;B$51&amp;"|"&amp;$A58,'Reguler Class Availability'!$L:$L,0),""))</f>
        <v>1226</v>
      </c>
      <c r="AO58" s="30" t="n">
        <f aca="false">IF($A58="","",IFERROR(MATCH($B$4&amp;"|- Lane 3 - "&amp;C$51&amp;"|"&amp;$A58,'Reguler Class Availability'!$L:$L,0),""))</f>
        <v>1238</v>
      </c>
      <c r="AP58" s="30" t="n">
        <f aca="false">IF($A58="","",IFERROR(MATCH($B$4&amp;"|- Lane 3 - "&amp;D$51&amp;"|"&amp;$A58,'Reguler Class Availability'!$L:$L,0),""))</f>
        <v>1250</v>
      </c>
      <c r="AQ58" s="30" t="n">
        <f aca="false">IF($A58="","",IFERROR(MATCH($B$4&amp;"|- Lane 3 - "&amp;E$51&amp;"|"&amp;$A58,'Reguler Class Availability'!$L:$L,0),""))</f>
        <v>1262</v>
      </c>
      <c r="AR58" s="30" t="n">
        <f aca="false">IF($A58="","",IFERROR(MATCH($B$4&amp;"|- Lane 3 - "&amp;F$51&amp;"|"&amp;$A58,'Reguler Class Availability'!$L:$L,0),""))</f>
        <v>1274</v>
      </c>
      <c r="AS58" s="30" t="n">
        <f aca="false">IF($A58="","",IFERROR(MATCH($B$4&amp;"|- Lane 3 - "&amp;G$51&amp;"|"&amp;$A58,'Reguler Class Availability'!$L:$L,0),""))</f>
        <v>1286</v>
      </c>
      <c r="AT58" s="30" t="n">
        <f aca="false">IF($A58="","",IFERROR(MATCH($B$4&amp;"|- Lane 3 - "&amp;H$51&amp;"|"&amp;$A58,'Reguler Class Availability'!$L:$L,0),""))</f>
        <v>1298</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Belum terisi</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Belum terisi</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Belum terisi</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Belum terisi</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Tutup</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Belum terisi</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Tinggi</v>
      </c>
      <c r="BD58" s="30" t="s">
        <v>168</v>
      </c>
      <c r="BE58" s="30" t="n">
        <f aca="false">IF(COUNTIFS('Reguler Class Availability'!$L:$L,$B$4&amp;"|- Lane 1 - *|"&amp;BD58)&gt;0,1,0)</f>
        <v>0</v>
      </c>
      <c r="BF58" s="30" t="n">
        <f aca="false">BE58+BF57</f>
        <v>14</v>
      </c>
    </row>
    <row r="59" customFormat="false" ht="39.75" hidden="false" customHeight="true" outlineLevel="0" collapsed="false">
      <c r="A59" s="66" t="str">
        <f aca="false">IFERROR(INDEX($BD$122:$BD$181,MATCH(8,$BF$122:$BF$181,0)),"")</f>
        <v>14:00</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Little  0/4  (0%)
coach: –</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Little  1/4  (25%)
Dadi</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Little  4/4  (100%)
Indah</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Little  2/4  (50%)
Zidan</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Little  3/4  (75%)
Kamal</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Little  0/4  (0%)
coach: –</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Little  3/4  (75%)
Indah</v>
      </c>
      <c r="AN59" s="30" t="n">
        <f aca="false">IF($A59="","",IFERROR(MATCH($B$4&amp;"|- Lane 3 - "&amp;B$51&amp;"|"&amp;$A59,'Reguler Class Availability'!$L:$L,0),""))</f>
        <v>1227</v>
      </c>
      <c r="AO59" s="30" t="n">
        <f aca="false">IF($A59="","",IFERROR(MATCH($B$4&amp;"|- Lane 3 - "&amp;C$51&amp;"|"&amp;$A59,'Reguler Class Availability'!$L:$L,0),""))</f>
        <v>1239</v>
      </c>
      <c r="AP59" s="30" t="n">
        <f aca="false">IF($A59="","",IFERROR(MATCH($B$4&amp;"|- Lane 3 - "&amp;D$51&amp;"|"&amp;$A59,'Reguler Class Availability'!$L:$L,0),""))</f>
        <v>1251</v>
      </c>
      <c r="AQ59" s="30" t="n">
        <f aca="false">IF($A59="","",IFERROR(MATCH($B$4&amp;"|- Lane 3 - "&amp;E$51&amp;"|"&amp;$A59,'Reguler Class Availability'!$L:$L,0),""))</f>
        <v>1263</v>
      </c>
      <c r="AR59" s="30" t="n">
        <f aca="false">IF($A59="","",IFERROR(MATCH($B$4&amp;"|- Lane 3 - "&amp;F$51&amp;"|"&amp;$A59,'Reguler Class Availability'!$L:$L,0),""))</f>
        <v>1275</v>
      </c>
      <c r="AS59" s="30" t="n">
        <f aca="false">IF($A59="","",IFERROR(MATCH($B$4&amp;"|- Lane 3 - "&amp;G$51&amp;"|"&amp;$A59,'Reguler Class Availability'!$L:$L,0),""))</f>
        <v>1287</v>
      </c>
      <c r="AT59" s="30" t="n">
        <f aca="false">IF($A59="","",IFERROR(MATCH($B$4&amp;"|- Lane 3 - "&amp;H$51&amp;"|"&amp;$A59,'Reguler Class Availability'!$L:$L,0),""))</f>
        <v>1299</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Belum terisi</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Sebagian</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Penuh</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Sebagian</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Tinggi</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Belum terisi</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Tinggi</v>
      </c>
      <c r="BD59" s="30" t="s">
        <v>169</v>
      </c>
      <c r="BE59" s="30" t="n">
        <f aca="false">IF(COUNTIFS('Reguler Class Availability'!$L:$L,$B$4&amp;"|- Lane 1 - *|"&amp;BD59)&gt;0,1,0)</f>
        <v>0</v>
      </c>
      <c r="BF59" s="30" t="n">
        <f aca="false">BE59+BF58</f>
        <v>14</v>
      </c>
    </row>
    <row r="60" customFormat="false" ht="39.75" hidden="false" customHeight="true" outlineLevel="0" collapsed="false">
      <c r="A60" s="66" t="str">
        <f aca="false">IFERROR(INDEX($BD$122:$BD$181,MATCH(9,$BF$122:$BF$181,0)),"")</f>
        <v>14:45</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Little  0/4  (0%)
coach: –</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Little  2/4  (50%)
Dyana</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Little  3/0
Dadi</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Little  2/0
Shofwan</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Little  3/4  (75%)
Zidan</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Little  3/4  (75%)
Damai</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Little  2/4  (50%)
Laksamana</v>
      </c>
      <c r="AN60" s="30" t="n">
        <f aca="false">IF($A60="","",IFERROR(MATCH($B$4&amp;"|- Lane 3 - "&amp;B$51&amp;"|"&amp;$A60,'Reguler Class Availability'!$L:$L,0),""))</f>
        <v>1228</v>
      </c>
      <c r="AO60" s="30" t="n">
        <f aca="false">IF($A60="","",IFERROR(MATCH($B$4&amp;"|- Lane 3 - "&amp;C$51&amp;"|"&amp;$A60,'Reguler Class Availability'!$L:$L,0),""))</f>
        <v>1240</v>
      </c>
      <c r="AP60" s="30" t="n">
        <f aca="false">IF($A60="","",IFERROR(MATCH($B$4&amp;"|- Lane 3 - "&amp;D$51&amp;"|"&amp;$A60,'Reguler Class Availability'!$L:$L,0),""))</f>
        <v>1252</v>
      </c>
      <c r="AQ60" s="30" t="n">
        <f aca="false">IF($A60="","",IFERROR(MATCH($B$4&amp;"|- Lane 3 - "&amp;E$51&amp;"|"&amp;$A60,'Reguler Class Availability'!$L:$L,0),""))</f>
        <v>1264</v>
      </c>
      <c r="AR60" s="30" t="n">
        <f aca="false">IF($A60="","",IFERROR(MATCH($B$4&amp;"|- Lane 3 - "&amp;F$51&amp;"|"&amp;$A60,'Reguler Class Availability'!$L:$L,0),""))</f>
        <v>1276</v>
      </c>
      <c r="AS60" s="30" t="n">
        <f aca="false">IF($A60="","",IFERROR(MATCH($B$4&amp;"|- Lane 3 - "&amp;G$51&amp;"|"&amp;$A60,'Reguler Class Availability'!$L:$L,0),""))</f>
        <v>1288</v>
      </c>
      <c r="AT60" s="30" t="n">
        <f aca="false">IF($A60="","",IFERROR(MATCH($B$4&amp;"|- Lane 3 - "&amp;H$51&amp;"|"&amp;$A60,'Reguler Class Availability'!$L:$L,0),""))</f>
        <v>1300</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Belum terisi</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Sebagian</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Lebih</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Lebih</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Tinggi</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Tinggi</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Sebagian</v>
      </c>
      <c r="BD60" s="30" t="s">
        <v>170</v>
      </c>
      <c r="BE60" s="30" t="n">
        <f aca="false">IF(COUNTIFS('Reguler Class Availability'!$L:$L,$B$4&amp;"|- Lane 1 - *|"&amp;BD60)&gt;0,1,0)</f>
        <v>0</v>
      </c>
      <c r="BF60" s="30" t="n">
        <f aca="false">BE60+BF59</f>
        <v>14</v>
      </c>
    </row>
    <row r="61" customFormat="false" ht="39.75" hidden="false" customHeight="true" outlineLevel="0" collapsed="false">
      <c r="A61" s="66" t="str">
        <f aca="false">IFERROR(INDEX($BD$122:$BD$181,MATCH(10,$BF$122:$BF$181,0)),"")</f>
        <v>15:30</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Little  4/4  (100%)
Damai</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Little  3/4  (75%)
Dyana</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Little  4/4  (100%)
Indah</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Little  3/4  (75%)
Zidan</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Little  3/4  (75%)
Indah</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Little  4/4  (100%)
Kamal</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Little  2/4  (50%)
Dadi</v>
      </c>
      <c r="AN61" s="30" t="n">
        <f aca="false">IF($A61="","",IFERROR(MATCH($B$4&amp;"|- Lane 3 - "&amp;B$51&amp;"|"&amp;$A61,'Reguler Class Availability'!$L:$L,0),""))</f>
        <v>1229</v>
      </c>
      <c r="AO61" s="30" t="n">
        <f aca="false">IF($A61="","",IFERROR(MATCH($B$4&amp;"|- Lane 3 - "&amp;C$51&amp;"|"&amp;$A61,'Reguler Class Availability'!$L:$L,0),""))</f>
        <v>1241</v>
      </c>
      <c r="AP61" s="30" t="n">
        <f aca="false">IF($A61="","",IFERROR(MATCH($B$4&amp;"|- Lane 3 - "&amp;D$51&amp;"|"&amp;$A61,'Reguler Class Availability'!$L:$L,0),""))</f>
        <v>1253</v>
      </c>
      <c r="AQ61" s="30" t="n">
        <f aca="false">IF($A61="","",IFERROR(MATCH($B$4&amp;"|- Lane 3 - "&amp;E$51&amp;"|"&amp;$A61,'Reguler Class Availability'!$L:$L,0),""))</f>
        <v>1265</v>
      </c>
      <c r="AR61" s="30" t="n">
        <f aca="false">IF($A61="","",IFERROR(MATCH($B$4&amp;"|- Lane 3 - "&amp;F$51&amp;"|"&amp;$A61,'Reguler Class Availability'!$L:$L,0),""))</f>
        <v>1277</v>
      </c>
      <c r="AS61" s="30" t="n">
        <f aca="false">IF($A61="","",IFERROR(MATCH($B$4&amp;"|- Lane 3 - "&amp;G$51&amp;"|"&amp;$A61,'Reguler Class Availability'!$L:$L,0),""))</f>
        <v>1289</v>
      </c>
      <c r="AT61" s="30" t="n">
        <f aca="false">IF($A61="","",IFERROR(MATCH($B$4&amp;"|- Lane 3 - "&amp;H$51&amp;"|"&amp;$A61,'Reguler Class Availability'!$L:$L,0),""))</f>
        <v>1301</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Penuh</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Tinggi</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Penuh</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Tinggi</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Tinggi</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Penuh</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Sebagian</v>
      </c>
      <c r="BD61" s="30" t="s">
        <v>171</v>
      </c>
      <c r="BE61" s="30" t="n">
        <f aca="false">IF(COUNTIFS('Reguler Class Availability'!$L:$L,$B$4&amp;"|- Lane 1 - *|"&amp;BD61)&gt;0,1,0)</f>
        <v>0</v>
      </c>
      <c r="BF61" s="30" t="n">
        <f aca="false">BE61+BF60</f>
        <v>14</v>
      </c>
    </row>
    <row r="62" customFormat="false" ht="39.75" hidden="false" customHeight="true" outlineLevel="0" collapsed="false">
      <c r="A62" s="66" t="str">
        <f aca="false">IFERROR(INDEX($BD$122:$BD$181,MATCH(11,$BF$122:$BF$181,0)),"")</f>
        <v>16:15</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Little  3/4  (75%)
Kamal</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Little  4/4  (100%)
Dadi</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Little  3/4  (75%)
Indah</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Little  4/4  (100%)
Zidan</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Little  4/4  (100%)
Kamal</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Little  4/4  (100%)
Kamal</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Little  3/4  (75%)
Zidan</v>
      </c>
      <c r="AN62" s="30" t="n">
        <f aca="false">IF($A62="","",IFERROR(MATCH($B$4&amp;"|- Lane 3 - "&amp;B$51&amp;"|"&amp;$A62,'Reguler Class Availability'!$L:$L,0),""))</f>
        <v>1230</v>
      </c>
      <c r="AO62" s="30" t="n">
        <f aca="false">IF($A62="","",IFERROR(MATCH($B$4&amp;"|- Lane 3 - "&amp;C$51&amp;"|"&amp;$A62,'Reguler Class Availability'!$L:$L,0),""))</f>
        <v>1242</v>
      </c>
      <c r="AP62" s="30" t="n">
        <f aca="false">IF($A62="","",IFERROR(MATCH($B$4&amp;"|- Lane 3 - "&amp;D$51&amp;"|"&amp;$A62,'Reguler Class Availability'!$L:$L,0),""))</f>
        <v>1254</v>
      </c>
      <c r="AQ62" s="30" t="n">
        <f aca="false">IF($A62="","",IFERROR(MATCH($B$4&amp;"|- Lane 3 - "&amp;E$51&amp;"|"&amp;$A62,'Reguler Class Availability'!$L:$L,0),""))</f>
        <v>1266</v>
      </c>
      <c r="AR62" s="30" t="n">
        <f aca="false">IF($A62="","",IFERROR(MATCH($B$4&amp;"|- Lane 3 - "&amp;F$51&amp;"|"&amp;$A62,'Reguler Class Availability'!$L:$L,0),""))</f>
        <v>1278</v>
      </c>
      <c r="AS62" s="30" t="n">
        <f aca="false">IF($A62="","",IFERROR(MATCH($B$4&amp;"|- Lane 3 - "&amp;G$51&amp;"|"&amp;$A62,'Reguler Class Availability'!$L:$L,0),""))</f>
        <v>1290</v>
      </c>
      <c r="AT62" s="30" t="n">
        <f aca="false">IF($A62="","",IFERROR(MATCH($B$4&amp;"|- Lane 3 - "&amp;H$51&amp;"|"&amp;$A62,'Reguler Class Availability'!$L:$L,0),""))</f>
        <v>1302</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Tinggi</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Penuh</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Tinggi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Penuh</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Penuh</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Penuh</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Tinggi</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17:00</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Little  0/4  (0%)
coach: –</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Little  1/4  (25%)
Dadi</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Little  3/4  (75%)
Dadi</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Little  4/4  (100%)
Zidan</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Little  3/4  (75%)
Damai</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Little  0/4  (0%)
coach: –</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Little  3/4  (75%)
Zidan</v>
      </c>
      <c r="AN63" s="30" t="n">
        <f aca="false">IF($A63="","",IFERROR(MATCH($B$4&amp;"|- Lane 3 - "&amp;B$51&amp;"|"&amp;$A63,'Reguler Class Availability'!$L:$L,0),""))</f>
        <v>1231</v>
      </c>
      <c r="AO63" s="30" t="n">
        <f aca="false">IF($A63="","",IFERROR(MATCH($B$4&amp;"|- Lane 3 - "&amp;C$51&amp;"|"&amp;$A63,'Reguler Class Availability'!$L:$L,0),""))</f>
        <v>1243</v>
      </c>
      <c r="AP63" s="30" t="n">
        <f aca="false">IF($A63="","",IFERROR(MATCH($B$4&amp;"|- Lane 3 - "&amp;D$51&amp;"|"&amp;$A63,'Reguler Class Availability'!$L:$L,0),""))</f>
        <v>1255</v>
      </c>
      <c r="AQ63" s="30" t="n">
        <f aca="false">IF($A63="","",IFERROR(MATCH($B$4&amp;"|- Lane 3 - "&amp;E$51&amp;"|"&amp;$A63,'Reguler Class Availability'!$L:$L,0),""))</f>
        <v>1267</v>
      </c>
      <c r="AR63" s="30" t="n">
        <f aca="false">IF($A63="","",IFERROR(MATCH($B$4&amp;"|- Lane 3 - "&amp;F$51&amp;"|"&amp;$A63,'Reguler Class Availability'!$L:$L,0),""))</f>
        <v>1279</v>
      </c>
      <c r="AS63" s="30" t="n">
        <f aca="false">IF($A63="","",IFERROR(MATCH($B$4&amp;"|- Lane 3 - "&amp;G$51&amp;"|"&amp;$A63,'Reguler Class Availability'!$L:$L,0),""))</f>
        <v>1291</v>
      </c>
      <c r="AT63" s="30" t="n">
        <f aca="false">IF($A63="","",IFERROR(MATCH($B$4&amp;"|- Lane 3 - "&amp;H$51&amp;"|"&amp;$A63,'Reguler Class Availability'!$L:$L,0),""))</f>
        <v>1303</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Belum terisi</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Sebagian</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Tinggi</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Penuh</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Tinggi</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Belum terisi</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Tinggi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30%</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38%</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44%</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56%</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69%</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68%</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80%</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67%   ·   Belum terisi: 19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08:00</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0/0
coach: –</v>
      </c>
      <c r="AN70" s="30" t="n">
        <f aca="false">IF($A70="","",IFERROR(MATCH($B$4&amp;"|- Lane 4 - "&amp;B$69&amp;"|"&amp;$A70,'Reguler Class Availability'!$L:$L,0),""))</f>
        <v>1304</v>
      </c>
      <c r="AO70" s="30" t="n">
        <f aca="false">IF($A70="","",IFERROR(MATCH($B$4&amp;"|- Lane 4 - "&amp;C$69&amp;"|"&amp;$A70,'Reguler Class Availability'!$L:$L,0),""))</f>
        <v>1316</v>
      </c>
      <c r="AP70" s="30" t="n">
        <f aca="false">IF($A70="","",IFERROR(MATCH($B$4&amp;"|- Lane 4 - "&amp;D$69&amp;"|"&amp;$A70,'Reguler Class Availability'!$L:$L,0),""))</f>
        <v>1328</v>
      </c>
      <c r="AQ70" s="30" t="n">
        <f aca="false">IF($A70="","",IFERROR(MATCH($B$4&amp;"|- Lane 4 - "&amp;E$69&amp;"|"&amp;$A70,'Reguler Class Availability'!$L:$L,0),""))</f>
        <v>1340</v>
      </c>
      <c r="AR70" s="30" t="n">
        <f aca="false">IF($A70="","",IFERROR(MATCH($B$4&amp;"|- Lane 4 - "&amp;F$69&amp;"|"&amp;$A70,'Reguler Class Availability'!$L:$L,0),""))</f>
        <v>1352</v>
      </c>
      <c r="AS70" s="30" t="n">
        <f aca="false">IF($A70="","",IFERROR(MATCH($B$4&amp;"|- Lane 4 - "&amp;G$69&amp;"|"&amp;$A70,'Reguler Class Availability'!$L:$L,0),""))</f>
        <v>1364</v>
      </c>
      <c r="AT70" s="30" t="n">
        <f aca="false">IF($A70="","",IFERROR(MATCH($B$4&amp;"|- Lane 4 - "&amp;H$69&amp;"|"&amp;$A70,'Reguler Class Availability'!$L:$L,0),""))</f>
        <v>1376</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Tutup</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Tutup</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Tutup</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Tutup</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Tutup</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Tutup</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Tutup</v>
      </c>
      <c r="BD70" s="30" t="s">
        <v>105</v>
      </c>
      <c r="BE70" s="30" t="n">
        <f aca="false">IF(COUNTIFS('Reguler Class Availability'!$L:$L,$B$4&amp;"|- Lane 2 - *|"&amp;BD70)&gt;0,1,0)</f>
        <v>0</v>
      </c>
      <c r="BF70" s="30" t="n">
        <f aca="false">BE70+BF69</f>
        <v>0</v>
      </c>
    </row>
    <row r="71" customFormat="false" ht="39.75" hidden="false" customHeight="true" outlineLevel="0" collapsed="false">
      <c r="A71" s="66" t="str">
        <f aca="false">IFERROR(INDEX($BD$182:$BD$241,MATCH(2,$BF$182:$BF$241,0)),"")</f>
        <v>08:45</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0/4  (0%)
coach: –</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4/4  (100%)
Indah</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4/4  (100%)
Kamal</v>
      </c>
      <c r="AN71" s="30" t="n">
        <f aca="false">IF($A71="","",IFERROR(MATCH($B$4&amp;"|- Lane 4 - "&amp;B$69&amp;"|"&amp;$A71,'Reguler Class Availability'!$L:$L,0),""))</f>
        <v>1305</v>
      </c>
      <c r="AO71" s="30" t="n">
        <f aca="false">IF($A71="","",IFERROR(MATCH($B$4&amp;"|- Lane 4 - "&amp;C$69&amp;"|"&amp;$A71,'Reguler Class Availability'!$L:$L,0),""))</f>
        <v>1317</v>
      </c>
      <c r="AP71" s="30" t="n">
        <f aca="false">IF($A71="","",IFERROR(MATCH($B$4&amp;"|- Lane 4 - "&amp;D$69&amp;"|"&amp;$A71,'Reguler Class Availability'!$L:$L,0),""))</f>
        <v>1329</v>
      </c>
      <c r="AQ71" s="30" t="n">
        <f aca="false">IF($A71="","",IFERROR(MATCH($B$4&amp;"|- Lane 4 - "&amp;E$69&amp;"|"&amp;$A71,'Reguler Class Availability'!$L:$L,0),""))</f>
        <v>1341</v>
      </c>
      <c r="AR71" s="30" t="n">
        <f aca="false">IF($A71="","",IFERROR(MATCH($B$4&amp;"|- Lane 4 - "&amp;F$69&amp;"|"&amp;$A71,'Reguler Class Availability'!$L:$L,0),""))</f>
        <v>1353</v>
      </c>
      <c r="AS71" s="30" t="n">
        <f aca="false">IF($A71="","",IFERROR(MATCH($B$4&amp;"|- Lane 4 - "&amp;G$69&amp;"|"&amp;$A71,'Reguler Class Availability'!$L:$L,0),""))</f>
        <v>1365</v>
      </c>
      <c r="AT71" s="30" t="n">
        <f aca="false">IF($A71="","",IFERROR(MATCH($B$4&amp;"|- Lane 4 - "&amp;H$69&amp;"|"&amp;$A71,'Reguler Class Availability'!$L:$L,0),""))</f>
        <v>1377</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Belum terisi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Penuh</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Penuh</v>
      </c>
      <c r="BD71" s="30" t="s">
        <v>110</v>
      </c>
      <c r="BE71" s="30" t="n">
        <f aca="false">IF(COUNTIFS('Reguler Class Availability'!$L:$L,$B$4&amp;"|- Lane 2 - *|"&amp;BD71)&gt;0,1,0)</f>
        <v>1</v>
      </c>
      <c r="BF71" s="30" t="n">
        <f aca="false">BE71+BF70</f>
        <v>1</v>
      </c>
    </row>
    <row r="72" customFormat="false" ht="39.75" hidden="false" customHeight="true" outlineLevel="0" collapsed="false">
      <c r="A72" s="66" t="str">
        <f aca="false">IFERROR(INDEX($BD$182:$BD$241,MATCH(3,$BF$182:$BF$241,0)),"")</f>
        <v>09:30</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1/4  (25%)
coach: –</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0/4  (0%)
coach: –</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2/4  (50%)
Laksamana</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4/4  (100%)
Zidan</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4/4  (100%)
Kamal</v>
      </c>
      <c r="AN72" s="30" t="n">
        <f aca="false">IF($A72="","",IFERROR(MATCH($B$4&amp;"|- Lane 4 - "&amp;B$69&amp;"|"&amp;$A72,'Reguler Class Availability'!$L:$L,0),""))</f>
        <v>1306</v>
      </c>
      <c r="AO72" s="30" t="n">
        <f aca="false">IF($A72="","",IFERROR(MATCH($B$4&amp;"|- Lane 4 - "&amp;C$69&amp;"|"&amp;$A72,'Reguler Class Availability'!$L:$L,0),""))</f>
        <v>1318</v>
      </c>
      <c r="AP72" s="30" t="n">
        <f aca="false">IF($A72="","",IFERROR(MATCH($B$4&amp;"|- Lane 4 - "&amp;D$69&amp;"|"&amp;$A72,'Reguler Class Availability'!$L:$L,0),""))</f>
        <v>1330</v>
      </c>
      <c r="AQ72" s="30" t="n">
        <f aca="false">IF($A72="","",IFERROR(MATCH($B$4&amp;"|- Lane 4 - "&amp;E$69&amp;"|"&amp;$A72,'Reguler Class Availability'!$L:$L,0),""))</f>
        <v>1342</v>
      </c>
      <c r="AR72" s="30" t="n">
        <f aca="false">IF($A72="","",IFERROR(MATCH($B$4&amp;"|- Lane 4 - "&amp;F$69&amp;"|"&amp;$A72,'Reguler Class Availability'!$L:$L,0),""))</f>
        <v>1354</v>
      </c>
      <c r="AS72" s="30" t="n">
        <f aca="false">IF($A72="","",IFERROR(MATCH($B$4&amp;"|- Lane 4 - "&amp;G$69&amp;"|"&amp;$A72,'Reguler Class Availability'!$L:$L,0),""))</f>
        <v>1366</v>
      </c>
      <c r="AT72" s="30" t="n">
        <f aca="false">IF($A72="","",IFERROR(MATCH($B$4&amp;"|- Lane 4 - "&amp;H$69&amp;"|"&amp;$A72,'Reguler Class Availability'!$L:$L,0),""))</f>
        <v>1378</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Sebagian</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Belum terisi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Sebagian</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Penuh</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Penuh</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10:15</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3/4  (75%)
Dadi</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0/4  (0%)
coach: –</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4/4  (100%)
Zidan</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4/4  (100%)
Shofwan</v>
      </c>
      <c r="AN73" s="30" t="n">
        <f aca="false">IF($A73="","",IFERROR(MATCH($B$4&amp;"|- Lane 4 - "&amp;B$69&amp;"|"&amp;$A73,'Reguler Class Availability'!$L:$L,0),""))</f>
        <v>1307</v>
      </c>
      <c r="AO73" s="30" t="n">
        <f aca="false">IF($A73="","",IFERROR(MATCH($B$4&amp;"|- Lane 4 - "&amp;C$69&amp;"|"&amp;$A73,'Reguler Class Availability'!$L:$L,0),""))</f>
        <v>1319</v>
      </c>
      <c r="AP73" s="30" t="n">
        <f aca="false">IF($A73="","",IFERROR(MATCH($B$4&amp;"|- Lane 4 - "&amp;D$69&amp;"|"&amp;$A73,'Reguler Class Availability'!$L:$L,0),""))</f>
        <v>1331</v>
      </c>
      <c r="AQ73" s="30" t="n">
        <f aca="false">IF($A73="","",IFERROR(MATCH($B$4&amp;"|- Lane 4 - "&amp;E$69&amp;"|"&amp;$A73,'Reguler Class Availability'!$L:$L,0),""))</f>
        <v>1343</v>
      </c>
      <c r="AR73" s="30" t="n">
        <f aca="false">IF($A73="","",IFERROR(MATCH($B$4&amp;"|- Lane 4 - "&amp;F$69&amp;"|"&amp;$A73,'Reguler Class Availability'!$L:$L,0),""))</f>
        <v>1355</v>
      </c>
      <c r="AS73" s="30" t="n">
        <f aca="false">IF($A73="","",IFERROR(MATCH($B$4&amp;"|- Lane 4 - "&amp;G$69&amp;"|"&amp;$A73,'Reguler Class Availability'!$L:$L,0),""))</f>
        <v>1367</v>
      </c>
      <c r="AT73" s="30" t="n">
        <f aca="false">IF($A73="","",IFERROR(MATCH($B$4&amp;"|- Lane 4 - "&amp;H$69&amp;"|"&amp;$A73,'Reguler Class Availability'!$L:$L,0),""))</f>
        <v>1379</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Tinggi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Belum terisi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Penuh</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Penuh</v>
      </c>
      <c r="BD73" s="30" t="s">
        <v>120</v>
      </c>
      <c r="BE73" s="30" t="n">
        <f aca="false">IF(COUNTIFS('Reguler Class Availability'!$L:$L,$B$4&amp;"|- Lane 2 - *|"&amp;BD73)&gt;0,1,0)</f>
        <v>0</v>
      </c>
      <c r="BF73" s="30" t="n">
        <f aca="false">BE73+BF72</f>
        <v>1</v>
      </c>
    </row>
    <row r="74" customFormat="false" ht="39.75" hidden="false" customHeight="true" outlineLevel="0" collapsed="false">
      <c r="A74" s="66" t="str">
        <f aca="false">IFERROR(INDEX($BD$182:$BD$241,MATCH(5,$BF$182:$BF$241,0)),"")</f>
        <v>11:00</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0/4  (0%)
coach: –</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3/4  (75%)
Indah</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0/4  (0%)
coach: –</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3/4  (75%)
Indah</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4/4  (100%)
Kamal</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0/4  (0%)
coach: –</v>
      </c>
      <c r="AN74" s="30" t="n">
        <f aca="false">IF($A74="","",IFERROR(MATCH($B$4&amp;"|- Lane 4 - "&amp;B$69&amp;"|"&amp;$A74,'Reguler Class Availability'!$L:$L,0),""))</f>
        <v>1308</v>
      </c>
      <c r="AO74" s="30" t="n">
        <f aca="false">IF($A74="","",IFERROR(MATCH($B$4&amp;"|- Lane 4 - "&amp;C$69&amp;"|"&amp;$A74,'Reguler Class Availability'!$L:$L,0),""))</f>
        <v>1320</v>
      </c>
      <c r="AP74" s="30" t="n">
        <f aca="false">IF($A74="","",IFERROR(MATCH($B$4&amp;"|- Lane 4 - "&amp;D$69&amp;"|"&amp;$A74,'Reguler Class Availability'!$L:$L,0),""))</f>
        <v>1332</v>
      </c>
      <c r="AQ74" s="30" t="n">
        <f aca="false">IF($A74="","",IFERROR(MATCH($B$4&amp;"|- Lane 4 - "&amp;E$69&amp;"|"&amp;$A74,'Reguler Class Availability'!$L:$L,0),""))</f>
        <v>1344</v>
      </c>
      <c r="AR74" s="30" t="n">
        <f aca="false">IF($A74="","",IFERROR(MATCH($B$4&amp;"|- Lane 4 - "&amp;F$69&amp;"|"&amp;$A74,'Reguler Class Availability'!$L:$L,0),""))</f>
        <v>1356</v>
      </c>
      <c r="AS74" s="30" t="n">
        <f aca="false">IF($A74="","",IFERROR(MATCH($B$4&amp;"|- Lane 4 - "&amp;G$69&amp;"|"&amp;$A74,'Reguler Class Availability'!$L:$L,0),""))</f>
        <v>1368</v>
      </c>
      <c r="AT74" s="30" t="n">
        <f aca="false">IF($A74="","",IFERROR(MATCH($B$4&amp;"|- Lane 4 - "&amp;H$69&amp;"|"&amp;$A74,'Reguler Class Availability'!$L:$L,0),""))</f>
        <v>1380</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Belum terisi</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Tinggi</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Belum terisi</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Tinggi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Penuh</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Belum terisi</v>
      </c>
      <c r="BD74" s="30" t="s">
        <v>121</v>
      </c>
      <c r="BE74" s="30" t="n">
        <f aca="false">IF(COUNTIFS('Reguler Class Availability'!$L:$L,$B$4&amp;"|- Lane 2 - *|"&amp;BD74)&gt;0,1,0)</f>
        <v>1</v>
      </c>
      <c r="BF74" s="30" t="n">
        <f aca="false">BE74+BF73</f>
        <v>2</v>
      </c>
    </row>
    <row r="75" customFormat="false" ht="39.75" hidden="false" customHeight="true" outlineLevel="0" collapsed="false">
      <c r="A75" s="66" t="str">
        <f aca="false">IFERROR(INDEX($BD$182:$BD$241,MATCH(6,$BF$182:$BF$241,0)),"")</f>
        <v>11:45</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3/4  (75%)
Kamal</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3/4  (75%)
Zidan</v>
      </c>
      <c r="AN75" s="30" t="n">
        <f aca="false">IF($A75="","",IFERROR(MATCH($B$4&amp;"|- Lane 4 - "&amp;B$69&amp;"|"&amp;$A75,'Reguler Class Availability'!$L:$L,0),""))</f>
        <v>1309</v>
      </c>
      <c r="AO75" s="30" t="n">
        <f aca="false">IF($A75="","",IFERROR(MATCH($B$4&amp;"|- Lane 4 - "&amp;C$69&amp;"|"&amp;$A75,'Reguler Class Availability'!$L:$L,0),""))</f>
        <v>1321</v>
      </c>
      <c r="AP75" s="30" t="n">
        <f aca="false">IF($A75="","",IFERROR(MATCH($B$4&amp;"|- Lane 4 - "&amp;D$69&amp;"|"&amp;$A75,'Reguler Class Availability'!$L:$L,0),""))</f>
        <v>1333</v>
      </c>
      <c r="AQ75" s="30" t="n">
        <f aca="false">IF($A75="","",IFERROR(MATCH($B$4&amp;"|- Lane 4 - "&amp;E$69&amp;"|"&amp;$A75,'Reguler Class Availability'!$L:$L,0),""))</f>
        <v>1345</v>
      </c>
      <c r="AR75" s="30" t="n">
        <f aca="false">IF($A75="","",IFERROR(MATCH($B$4&amp;"|- Lane 4 - "&amp;F$69&amp;"|"&amp;$A75,'Reguler Class Availability'!$L:$L,0),""))</f>
        <v>1357</v>
      </c>
      <c r="AS75" s="30" t="n">
        <f aca="false">IF($A75="","",IFERROR(MATCH($B$4&amp;"|- Lane 4 - "&amp;G$69&amp;"|"&amp;$A75,'Reguler Class Availability'!$L:$L,0),""))</f>
        <v>1369</v>
      </c>
      <c r="AT75" s="30" t="n">
        <f aca="false">IF($A75="","",IFERROR(MATCH($B$4&amp;"|- Lane 4 - "&amp;H$69&amp;"|"&amp;$A75,'Reguler Class Availability'!$L:$L,0),""))</f>
        <v>1381</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Tutup</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Tutup</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Tutup</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Tutup</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Tutup</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Tinggi</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Tinggi</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13:15</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4/4  (100%)
Kamal</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2/4  (50%)
Damai</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4/4  (100%)
Zidan</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0/4  (0%)
coach: –</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0/4  (0%)
coach: –</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4/4  (100%)
Indah</v>
      </c>
      <c r="AN76" s="30" t="n">
        <f aca="false">IF($A76="","",IFERROR(MATCH($B$4&amp;"|- Lane 4 - "&amp;B$69&amp;"|"&amp;$A76,'Reguler Class Availability'!$L:$L,0),""))</f>
        <v>1310</v>
      </c>
      <c r="AO76" s="30" t="n">
        <f aca="false">IF($A76="","",IFERROR(MATCH($B$4&amp;"|- Lane 4 - "&amp;C$69&amp;"|"&amp;$A76,'Reguler Class Availability'!$L:$L,0),""))</f>
        <v>1322</v>
      </c>
      <c r="AP76" s="30" t="n">
        <f aca="false">IF($A76="","",IFERROR(MATCH($B$4&amp;"|- Lane 4 - "&amp;D$69&amp;"|"&amp;$A76,'Reguler Class Availability'!$L:$L,0),""))</f>
        <v>1334</v>
      </c>
      <c r="AQ76" s="30" t="n">
        <f aca="false">IF($A76="","",IFERROR(MATCH($B$4&amp;"|- Lane 4 - "&amp;E$69&amp;"|"&amp;$A76,'Reguler Class Availability'!$L:$L,0),""))</f>
        <v>1346</v>
      </c>
      <c r="AR76" s="30" t="n">
        <f aca="false">IF($A76="","",IFERROR(MATCH($B$4&amp;"|- Lane 4 - "&amp;F$69&amp;"|"&amp;$A76,'Reguler Class Availability'!$L:$L,0),""))</f>
        <v>1358</v>
      </c>
      <c r="AS76" s="30" t="n">
        <f aca="false">IF($A76="","",IFERROR(MATCH($B$4&amp;"|- Lane 4 - "&amp;G$69&amp;"|"&amp;$A76,'Reguler Class Availability'!$L:$L,0),""))</f>
        <v>1370</v>
      </c>
      <c r="AT76" s="30" t="n">
        <f aca="false">IF($A76="","",IFERROR(MATCH($B$4&amp;"|- Lane 4 - "&amp;H$69&amp;"|"&amp;$A76,'Reguler Class Availability'!$L:$L,0),""))</f>
        <v>1382</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Penuh</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Sebagian</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Penuh</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Belum terisi</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Belum terisi</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Penuh</v>
      </c>
      <c r="BD76" s="30" t="s">
        <v>123</v>
      </c>
      <c r="BE76" s="30" t="n">
        <f aca="false">IF(COUNTIFS('Reguler Class Availability'!$L:$L,$B$4&amp;"|- Lane 2 - *|"&amp;BD76)&gt;0,1,0)</f>
        <v>0</v>
      </c>
      <c r="BF76" s="30" t="n">
        <f aca="false">BE76+BF75</f>
        <v>2</v>
      </c>
    </row>
    <row r="77" customFormat="false" ht="39.75" hidden="false" customHeight="true" outlineLevel="0" collapsed="false">
      <c r="A77" s="66" t="str">
        <f aca="false">IFERROR(INDEX($BD$182:$BD$241,MATCH(8,$BF$182:$BF$241,0)),"")</f>
        <v>14:00</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4/4  (100%)
Damai</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3/4  (75%)
Shofwan</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4/4  (100%)
Zidan</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4/4  (100%)
Kamal</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4/4  (100%)
Zidan</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4/4  (100%)
Indah</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3/4  (75%)
Damai</v>
      </c>
      <c r="AN77" s="30" t="n">
        <f aca="false">IF($A77="","",IFERROR(MATCH($B$4&amp;"|- Lane 4 - "&amp;B$69&amp;"|"&amp;$A77,'Reguler Class Availability'!$L:$L,0),""))</f>
        <v>1311</v>
      </c>
      <c r="AO77" s="30" t="n">
        <f aca="false">IF($A77="","",IFERROR(MATCH($B$4&amp;"|- Lane 4 - "&amp;C$69&amp;"|"&amp;$A77,'Reguler Class Availability'!$L:$L,0),""))</f>
        <v>1323</v>
      </c>
      <c r="AP77" s="30" t="n">
        <f aca="false">IF($A77="","",IFERROR(MATCH($B$4&amp;"|- Lane 4 - "&amp;D$69&amp;"|"&amp;$A77,'Reguler Class Availability'!$L:$L,0),""))</f>
        <v>1335</v>
      </c>
      <c r="AQ77" s="30" t="n">
        <f aca="false">IF($A77="","",IFERROR(MATCH($B$4&amp;"|- Lane 4 - "&amp;E$69&amp;"|"&amp;$A77,'Reguler Class Availability'!$L:$L,0),""))</f>
        <v>1347</v>
      </c>
      <c r="AR77" s="30" t="n">
        <f aca="false">IF($A77="","",IFERROR(MATCH($B$4&amp;"|- Lane 4 - "&amp;F$69&amp;"|"&amp;$A77,'Reguler Class Availability'!$L:$L,0),""))</f>
        <v>1359</v>
      </c>
      <c r="AS77" s="30" t="n">
        <f aca="false">IF($A77="","",IFERROR(MATCH($B$4&amp;"|- Lane 4 - "&amp;G$69&amp;"|"&amp;$A77,'Reguler Class Availability'!$L:$L,0),""))</f>
        <v>1371</v>
      </c>
      <c r="AT77" s="30" t="n">
        <f aca="false">IF($A77="","",IFERROR(MATCH($B$4&amp;"|- Lane 4 - "&amp;H$69&amp;"|"&amp;$A77,'Reguler Class Availability'!$L:$L,0),""))</f>
        <v>1383</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Penuh</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Tinggi</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Penuh</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Penuh</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Penuh</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Penuh</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Tinggi</v>
      </c>
      <c r="BD77" s="30" t="s">
        <v>124</v>
      </c>
      <c r="BE77" s="30" t="n">
        <f aca="false">IF(COUNTIFS('Reguler Class Availability'!$L:$L,$B$4&amp;"|- Lane 2 - *|"&amp;BD77)&gt;0,1,0)</f>
        <v>1</v>
      </c>
      <c r="BF77" s="30" t="n">
        <f aca="false">BE77+BF76</f>
        <v>3</v>
      </c>
    </row>
    <row r="78" customFormat="false" ht="39.75" hidden="false" customHeight="true" outlineLevel="0" collapsed="false">
      <c r="A78" s="66" t="str">
        <f aca="false">IFERROR(INDEX($BD$182:$BD$241,MATCH(9,$BF$182:$BF$241,0)),"")</f>
        <v>14:45</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3/4  (75%)
Kamal</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4/4  (100%)
Dadi</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4/4  (100%)
Indah</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4/4  (100%)
Indah</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4/4  (100%)
Damai</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3/4  (75%)
Zidan</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4/4  (100%)
Kamal</v>
      </c>
      <c r="AN78" s="30" t="n">
        <f aca="false">IF($A78="","",IFERROR(MATCH($B$4&amp;"|- Lane 4 - "&amp;B$69&amp;"|"&amp;$A78,'Reguler Class Availability'!$L:$L,0),""))</f>
        <v>1312</v>
      </c>
      <c r="AO78" s="30" t="n">
        <f aca="false">IF($A78="","",IFERROR(MATCH($B$4&amp;"|- Lane 4 - "&amp;C$69&amp;"|"&amp;$A78,'Reguler Class Availability'!$L:$L,0),""))</f>
        <v>1324</v>
      </c>
      <c r="AP78" s="30" t="n">
        <f aca="false">IF($A78="","",IFERROR(MATCH($B$4&amp;"|- Lane 4 - "&amp;D$69&amp;"|"&amp;$A78,'Reguler Class Availability'!$L:$L,0),""))</f>
        <v>1336</v>
      </c>
      <c r="AQ78" s="30" t="n">
        <f aca="false">IF($A78="","",IFERROR(MATCH($B$4&amp;"|- Lane 4 - "&amp;E$69&amp;"|"&amp;$A78,'Reguler Class Availability'!$L:$L,0),""))</f>
        <v>1348</v>
      </c>
      <c r="AR78" s="30" t="n">
        <f aca="false">IF($A78="","",IFERROR(MATCH($B$4&amp;"|- Lane 4 - "&amp;F$69&amp;"|"&amp;$A78,'Reguler Class Availability'!$L:$L,0),""))</f>
        <v>1360</v>
      </c>
      <c r="AS78" s="30" t="n">
        <f aca="false">IF($A78="","",IFERROR(MATCH($B$4&amp;"|- Lane 4 - "&amp;G$69&amp;"|"&amp;$A78,'Reguler Class Availability'!$L:$L,0),""))</f>
        <v>1372</v>
      </c>
      <c r="AT78" s="30" t="n">
        <f aca="false">IF($A78="","",IFERROR(MATCH($B$4&amp;"|- Lane 4 - "&amp;H$69&amp;"|"&amp;$A78,'Reguler Class Availability'!$L:$L,0),""))</f>
        <v>1384</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Tinggi</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Penuh</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Penuh</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Penuh</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Penuh</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Tinggi</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Penuh</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15:30</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4/4  (100%)
Dadi</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3/4  (75%)
Damai</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4/4  (100%)
Zidan</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4/4  (100%)
Kamal</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4/4  (100%)
Zidan</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4/4  (100%)
Damai</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4/4  (100%)
Zidan</v>
      </c>
      <c r="AN79" s="30" t="n">
        <f aca="false">IF($A79="","",IFERROR(MATCH($B$4&amp;"|- Lane 4 - "&amp;B$69&amp;"|"&amp;$A79,'Reguler Class Availability'!$L:$L,0),""))</f>
        <v>1313</v>
      </c>
      <c r="AO79" s="30" t="n">
        <f aca="false">IF($A79="","",IFERROR(MATCH($B$4&amp;"|- Lane 4 - "&amp;C$69&amp;"|"&amp;$A79,'Reguler Class Availability'!$L:$L,0),""))</f>
        <v>1325</v>
      </c>
      <c r="AP79" s="30" t="n">
        <f aca="false">IF($A79="","",IFERROR(MATCH($B$4&amp;"|- Lane 4 - "&amp;D$69&amp;"|"&amp;$A79,'Reguler Class Availability'!$L:$L,0),""))</f>
        <v>1337</v>
      </c>
      <c r="AQ79" s="30" t="n">
        <f aca="false">IF($A79="","",IFERROR(MATCH($B$4&amp;"|- Lane 4 - "&amp;E$69&amp;"|"&amp;$A79,'Reguler Class Availability'!$L:$L,0),""))</f>
        <v>1349</v>
      </c>
      <c r="AR79" s="30" t="n">
        <f aca="false">IF($A79="","",IFERROR(MATCH($B$4&amp;"|- Lane 4 - "&amp;F$69&amp;"|"&amp;$A79,'Reguler Class Availability'!$L:$L,0),""))</f>
        <v>1361</v>
      </c>
      <c r="AS79" s="30" t="n">
        <f aca="false">IF($A79="","",IFERROR(MATCH($B$4&amp;"|- Lane 4 - "&amp;G$69&amp;"|"&amp;$A79,'Reguler Class Availability'!$L:$L,0),""))</f>
        <v>1373</v>
      </c>
      <c r="AT79" s="30" t="n">
        <f aca="false">IF($A79="","",IFERROR(MATCH($B$4&amp;"|- Lane 4 - "&amp;H$69&amp;"|"&amp;$A79,'Reguler Class Availability'!$L:$L,0),""))</f>
        <v>1385</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Penuh</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Tinggi</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Penuh</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Penuh</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Penuh</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Penuh</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Penuh</v>
      </c>
      <c r="BD79" s="30" t="s">
        <v>126</v>
      </c>
      <c r="BE79" s="30" t="n">
        <f aca="false">IF(COUNTIFS('Reguler Class Availability'!$L:$L,$B$4&amp;"|- Lane 2 - *|"&amp;BD79)&gt;0,1,0)</f>
        <v>0</v>
      </c>
      <c r="BF79" s="30" t="n">
        <f aca="false">BE79+BF78</f>
        <v>3</v>
      </c>
    </row>
    <row r="80" customFormat="false" ht="39.75" hidden="false" customHeight="true" outlineLevel="0" collapsed="false">
      <c r="A80" s="66" t="str">
        <f aca="false">IFERROR(INDEX($BD$182:$BD$241,MATCH(11,$BF$182:$BF$241,0)),"")</f>
        <v>16:15</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4/4  (100%)
Damai</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4/4  (100%)
Dyana</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4/4  (100%)
Zidan</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4/4  (100%)
Kamal</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4/4  (100%)
Indah</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4/4  (100%)
Laksamana</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3/4  (75%)
Shofwan</v>
      </c>
      <c r="AN80" s="30" t="n">
        <f aca="false">IF($A80="","",IFERROR(MATCH($B$4&amp;"|- Lane 4 - "&amp;B$69&amp;"|"&amp;$A80,'Reguler Class Availability'!$L:$L,0),""))</f>
        <v>1314</v>
      </c>
      <c r="AO80" s="30" t="n">
        <f aca="false">IF($A80="","",IFERROR(MATCH($B$4&amp;"|- Lane 4 - "&amp;C$69&amp;"|"&amp;$A80,'Reguler Class Availability'!$L:$L,0),""))</f>
        <v>1326</v>
      </c>
      <c r="AP80" s="30" t="n">
        <f aca="false">IF($A80="","",IFERROR(MATCH($B$4&amp;"|- Lane 4 - "&amp;D$69&amp;"|"&amp;$A80,'Reguler Class Availability'!$L:$L,0),""))</f>
        <v>1338</v>
      </c>
      <c r="AQ80" s="30" t="n">
        <f aca="false">IF($A80="","",IFERROR(MATCH($B$4&amp;"|- Lane 4 - "&amp;E$69&amp;"|"&amp;$A80,'Reguler Class Availability'!$L:$L,0),""))</f>
        <v>1350</v>
      </c>
      <c r="AR80" s="30" t="n">
        <f aca="false">IF($A80="","",IFERROR(MATCH($B$4&amp;"|- Lane 4 - "&amp;F$69&amp;"|"&amp;$A80,'Reguler Class Availability'!$L:$L,0),""))</f>
        <v>1362</v>
      </c>
      <c r="AS80" s="30" t="n">
        <f aca="false">IF($A80="","",IFERROR(MATCH($B$4&amp;"|- Lane 4 - "&amp;G$69&amp;"|"&amp;$A80,'Reguler Class Availability'!$L:$L,0),""))</f>
        <v>1374</v>
      </c>
      <c r="AT80" s="30" t="n">
        <f aca="false">IF($A80="","",IFERROR(MATCH($B$4&amp;"|- Lane 4 - "&amp;H$69&amp;"|"&amp;$A80,'Reguler Class Availability'!$L:$L,0),""))</f>
        <v>1386</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Penuh</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Penuh</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Penuh</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Penuh</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Penuh</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Penuh</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Tinggi</v>
      </c>
      <c r="BD80" s="30" t="s">
        <v>127</v>
      </c>
      <c r="BE80" s="30" t="n">
        <f aca="false">IF(COUNTIFS('Reguler Class Availability'!$L:$L,$B$4&amp;"|- Lane 2 - *|"&amp;BD80)&gt;0,1,0)</f>
        <v>1</v>
      </c>
      <c r="BF80" s="30" t="n">
        <f aca="false">BE80+BF79</f>
        <v>4</v>
      </c>
    </row>
    <row r="81" customFormat="false" ht="39.75" hidden="false" customHeight="true" outlineLevel="0" collapsed="false">
      <c r="A81" s="66" t="str">
        <f aca="false">IFERROR(INDEX($BD$182:$BD$241,MATCH(12,$BF$182:$BF$241,0)),"")</f>
        <v>17:00</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4/4  (100%)
Damai</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4/4  (100%)
Damai</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4/4  (100%)
Laksamana</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3/4  (75%)
Kamal</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4/4  (100%)
Zidan</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4/4  (100%)
Damai</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v>
      </c>
      <c r="AN81" s="30" t="n">
        <f aca="false">IF($A81="","",IFERROR(MATCH($B$4&amp;"|- Lane 4 - "&amp;B$69&amp;"|"&amp;$A81,'Reguler Class Availability'!$L:$L,0),""))</f>
        <v>1315</v>
      </c>
      <c r="AO81" s="30" t="n">
        <f aca="false">IF($A81="","",IFERROR(MATCH($B$4&amp;"|- Lane 4 - "&amp;C$69&amp;"|"&amp;$A81,'Reguler Class Availability'!$L:$L,0),""))</f>
        <v>1327</v>
      </c>
      <c r="AP81" s="30" t="n">
        <f aca="false">IF($A81="","",IFERROR(MATCH($B$4&amp;"|- Lane 4 - "&amp;D$69&amp;"|"&amp;$A81,'Reguler Class Availability'!$L:$L,0),""))</f>
        <v>1339</v>
      </c>
      <c r="AQ81" s="30" t="n">
        <f aca="false">IF($A81="","",IFERROR(MATCH($B$4&amp;"|- Lane 4 - "&amp;E$69&amp;"|"&amp;$A81,'Reguler Class Availability'!$L:$L,0),""))</f>
        <v>1351</v>
      </c>
      <c r="AR81" s="30" t="n">
        <f aca="false">IF($A81="","",IFERROR(MATCH($B$4&amp;"|- Lane 4 - "&amp;F$69&amp;"|"&amp;$A81,'Reguler Class Availability'!$L:$L,0),""))</f>
        <v>1363</v>
      </c>
      <c r="AS81" s="30" t="n">
        <f aca="false">IF($A81="","",IFERROR(MATCH($B$4&amp;"|- Lane 4 - "&amp;G$69&amp;"|"&amp;$A81,'Reguler Class Availability'!$L:$L,0),""))</f>
        <v>1375</v>
      </c>
      <c r="AT81" s="30" t="n">
        <f aca="false">IF($A81="","",IFERROR(MATCH($B$4&amp;"|- Lane 4 - "&amp;H$69&amp;"|"&amp;$A81,'Reguler Class Availability'!$L:$L,0),""))</f>
        <v>1387</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Penuh</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Penuh</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Penuh</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Tinggi</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Penuh</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Penuh</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Tidak dibuka</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0</v>
      </c>
      <c r="BF82" s="30" t="n">
        <f aca="false">BE82+BF81</f>
        <v>4</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1</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60%</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57%</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68%</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48%</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63%</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86%</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83%</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0</v>
      </c>
      <c r="BF85" s="0" t="n">
        <f aca="false">BE85+BF84</f>
        <v>5</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40%   ·   Belum terisi: 0   ·   Slot kosong: 16</v>
      </c>
      <c r="D86" s="62"/>
      <c r="E86" s="62"/>
      <c r="F86" s="62"/>
      <c r="G86" s="62"/>
      <c r="H86" s="62"/>
      <c r="BD86" s="30" t="s">
        <v>133</v>
      </c>
      <c r="BE86" s="30" t="n">
        <f aca="false">IF(COUNTIFS('Reguler Class Availability'!$L:$L,$B$4&amp;"|- Lane 2 - *|"&amp;BD86)&gt;0,1,0)</f>
        <v>1</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08:00</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v>
      </c>
      <c r="AN88" s="30" t="n">
        <f aca="false">IF($A88="","",IFERROR(MATCH($B$4&amp;"|- Lane 5 - "&amp;B$87&amp;"|"&amp;$A88,'Reguler Class Availability'!$L:$L,0),""))</f>
        <v>1388</v>
      </c>
      <c r="AO88" s="30" t="n">
        <f aca="false">IF($A88="","",IFERROR(MATCH($B$4&amp;"|- Lane 5 - "&amp;C$87&amp;"|"&amp;$A88,'Reguler Class Availability'!$L:$L,0),""))</f>
        <v>1400</v>
      </c>
      <c r="AP88" s="30" t="n">
        <f aca="false">IF($A88="","",IFERROR(MATCH($B$4&amp;"|- Lane 5 - "&amp;D$87&amp;"|"&amp;$A88,'Reguler Class Availability'!$L:$L,0),""))</f>
        <v>1412</v>
      </c>
      <c r="AQ88" s="30" t="n">
        <f aca="false">IF($A88="","",IFERROR(MATCH($B$4&amp;"|- Lane 5 - "&amp;E$87&amp;"|"&amp;$A88,'Reguler Class Availability'!$L:$L,0),""))</f>
        <v>1424</v>
      </c>
      <c r="AR88" s="30" t="n">
        <f aca="false">IF($A88="","",IFERROR(MATCH($B$4&amp;"|- Lane 5 - "&amp;F$87&amp;"|"&amp;$A88,'Reguler Class Availability'!$L:$L,0),""))</f>
        <v>1436</v>
      </c>
      <c r="AS88" s="30" t="n">
        <f aca="false">IF($A88="","",IFERROR(MATCH($B$4&amp;"|- Lane 5 - "&amp;G$87&amp;"|"&amp;$A88,'Reguler Class Availability'!$L:$L,0),""))</f>
        <v>1448</v>
      </c>
      <c r="AT88" s="30" t="n">
        <f aca="false">IF($A88="","",IFERROR(MATCH($B$4&amp;"|- Lane 5 - "&amp;H$87&amp;"|"&amp;$A88,'Reguler Class Availability'!$L:$L,0),""))</f>
        <v>1460</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Tidak dibuka</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Tidak dibuka</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Tidak dibuka</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Tidak dibuka</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Tidak dibuka</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Tidak dibuka</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Tidak dibuka</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08:45</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Baby  1/4  (25%)
Shofwan</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Kids  4/4  (100%)
Zidan</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Kosong  0/4  (0%)
coach: –</v>
      </c>
      <c r="AN89" s="30" t="n">
        <f aca="false">IF($A89="","",IFERROR(MATCH($B$4&amp;"|- Lane 5 - "&amp;B$87&amp;"|"&amp;$A89,'Reguler Class Availability'!$L:$L,0),""))</f>
        <v>1389</v>
      </c>
      <c r="AO89" s="30" t="n">
        <f aca="false">IF($A89="","",IFERROR(MATCH($B$4&amp;"|- Lane 5 - "&amp;C$87&amp;"|"&amp;$A89,'Reguler Class Availability'!$L:$L,0),""))</f>
        <v>1401</v>
      </c>
      <c r="AP89" s="30" t="n">
        <f aca="false">IF($A89="","",IFERROR(MATCH($B$4&amp;"|- Lane 5 - "&amp;D$87&amp;"|"&amp;$A89,'Reguler Class Availability'!$L:$L,0),""))</f>
        <v>1413</v>
      </c>
      <c r="AQ89" s="30" t="n">
        <f aca="false">IF($A89="","",IFERROR(MATCH($B$4&amp;"|- Lane 5 - "&amp;E$87&amp;"|"&amp;$A89,'Reguler Class Availability'!$L:$L,0),""))</f>
        <v>1425</v>
      </c>
      <c r="AR89" s="30" t="n">
        <f aca="false">IF($A89="","",IFERROR(MATCH($B$4&amp;"|- Lane 5 - "&amp;F$87&amp;"|"&amp;$A89,'Reguler Class Availability'!$L:$L,0),""))</f>
        <v>1437</v>
      </c>
      <c r="AS89" s="30" t="n">
        <f aca="false">IF($A89="","",IFERROR(MATCH($B$4&amp;"|- Lane 5 - "&amp;G$87&amp;"|"&amp;$A89,'Reguler Class Availability'!$L:$L,0),""))</f>
        <v>1449</v>
      </c>
      <c r="AT89" s="30" t="n">
        <f aca="false">IF($A89="","",IFERROR(MATCH($B$4&amp;"|- Lane 5 - "&amp;H$87&amp;"|"&amp;$A89,'Reguler Class Availability'!$L:$L,0),""))</f>
        <v>1461</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Tidak dibuka</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Tidak dibuka</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Tidak dibuka</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Tidak dibuka</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Sebagian</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Penuh</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Kosong</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09:30</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Kosong  0/4  (0%)
coach: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Kids  4/4  (100%)
Shofwan</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Kids  4/4  (100%)
Laksamana</v>
      </c>
      <c r="AN90" s="30" t="n">
        <f aca="false">IF($A90="","",IFERROR(MATCH($B$4&amp;"|- Lane 5 - "&amp;B$87&amp;"|"&amp;$A90,'Reguler Class Availability'!$L:$L,0),""))</f>
        <v>1390</v>
      </c>
      <c r="AO90" s="30" t="n">
        <f aca="false">IF($A90="","",IFERROR(MATCH($B$4&amp;"|- Lane 5 - "&amp;C$87&amp;"|"&amp;$A90,'Reguler Class Availability'!$L:$L,0),""))</f>
        <v>1402</v>
      </c>
      <c r="AP90" s="30" t="n">
        <f aca="false">IF($A90="","",IFERROR(MATCH($B$4&amp;"|- Lane 5 - "&amp;D$87&amp;"|"&amp;$A90,'Reguler Class Availability'!$L:$L,0),""))</f>
        <v>1414</v>
      </c>
      <c r="AQ90" s="30" t="n">
        <f aca="false">IF($A90="","",IFERROR(MATCH($B$4&amp;"|- Lane 5 - "&amp;E$87&amp;"|"&amp;$A90,'Reguler Class Availability'!$L:$L,0),""))</f>
        <v>1426</v>
      </c>
      <c r="AR90" s="30" t="n">
        <f aca="false">IF($A90="","",IFERROR(MATCH($B$4&amp;"|- Lane 5 - "&amp;F$87&amp;"|"&amp;$A90,'Reguler Class Availability'!$L:$L,0),""))</f>
        <v>1438</v>
      </c>
      <c r="AS90" s="30" t="n">
        <f aca="false">IF($A90="","",IFERROR(MATCH($B$4&amp;"|- Lane 5 - "&amp;G$87&amp;"|"&amp;$A90,'Reguler Class Availability'!$L:$L,0),""))</f>
        <v>1450</v>
      </c>
      <c r="AT90" s="30" t="n">
        <f aca="false">IF($A90="","",IFERROR(MATCH($B$4&amp;"|- Lane 5 - "&amp;H$87&amp;"|"&amp;$A90,'Reguler Class Availability'!$L:$L,0),""))</f>
        <v>1462</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Tidak dibuka</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Tidak dibuka</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Tidak dibuka</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Tidak dibuka</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Kosong</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Penuh</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Penuh</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10:15</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Kosong  0/4  (0%)
coach: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Kids  4/4  (100%)
Laksamana</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Kids  3/4  (75%)
Indah</v>
      </c>
      <c r="AN91" s="30" t="n">
        <f aca="false">IF($A91="","",IFERROR(MATCH($B$4&amp;"|- Lane 5 - "&amp;B$87&amp;"|"&amp;$A91,'Reguler Class Availability'!$L:$L,0),""))</f>
        <v>1391</v>
      </c>
      <c r="AO91" s="30" t="n">
        <f aca="false">IF($A91="","",IFERROR(MATCH($B$4&amp;"|- Lane 5 - "&amp;C$87&amp;"|"&amp;$A91,'Reguler Class Availability'!$L:$L,0),""))</f>
        <v>1403</v>
      </c>
      <c r="AP91" s="30" t="n">
        <f aca="false">IF($A91="","",IFERROR(MATCH($B$4&amp;"|- Lane 5 - "&amp;D$87&amp;"|"&amp;$A91,'Reguler Class Availability'!$L:$L,0),""))</f>
        <v>1415</v>
      </c>
      <c r="AQ91" s="30" t="n">
        <f aca="false">IF($A91="","",IFERROR(MATCH($B$4&amp;"|- Lane 5 - "&amp;E$87&amp;"|"&amp;$A91,'Reguler Class Availability'!$L:$L,0),""))</f>
        <v>1427</v>
      </c>
      <c r="AR91" s="30" t="n">
        <f aca="false">IF($A91="","",IFERROR(MATCH($B$4&amp;"|- Lane 5 - "&amp;F$87&amp;"|"&amp;$A91,'Reguler Class Availability'!$L:$L,0),""))</f>
        <v>1439</v>
      </c>
      <c r="AS91" s="30" t="n">
        <f aca="false">IF($A91="","",IFERROR(MATCH($B$4&amp;"|- Lane 5 - "&amp;G$87&amp;"|"&amp;$A91,'Reguler Class Availability'!$L:$L,0),""))</f>
        <v>1451</v>
      </c>
      <c r="AT91" s="30" t="n">
        <f aca="false">IF($A91="","",IFERROR(MATCH($B$4&amp;"|- Lane 5 - "&amp;H$87&amp;"|"&amp;$A91,'Reguler Class Availability'!$L:$L,0),""))</f>
        <v>1463</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Tidak dibuka</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Tidak dibuka</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Tidak dibuka</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Tidak dibuka</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Kosong</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Penuh</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Tinggi</v>
      </c>
      <c r="BD91" s="30" t="s">
        <v>139</v>
      </c>
      <c r="BE91" s="30" t="n">
        <f aca="false">IF(COUNTIFS('Reguler Class Availability'!$L:$L,$B$4&amp;"|- Lane 2 - *|"&amp;BD91)&gt;0,1,0)</f>
        <v>0</v>
      </c>
      <c r="BF91" s="30" t="n">
        <f aca="false">BE91+BF90</f>
        <v>6</v>
      </c>
    </row>
    <row r="92" customFormat="false" ht="39.75" hidden="false" customHeight="true" outlineLevel="0" collapsed="false">
      <c r="A92" s="66" t="str">
        <f aca="false">IFERROR(INDEX($BD$242:$BD$301,MATCH(5,$BF$242:$BF$301,0)),"")</f>
        <v>11:00</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Little  1/0
Zidan</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Kosong  0/4  (0%)
coach: –</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Little  3/4  (75%)
Shofwan</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Kosong  0/4  (0%)
coach: –</v>
      </c>
      <c r="AN92" s="30" t="n">
        <f aca="false">IF($A92="","",IFERROR(MATCH($B$4&amp;"|- Lane 5 - "&amp;B$87&amp;"|"&amp;$A92,'Reguler Class Availability'!$L:$L,0),""))</f>
        <v>1392</v>
      </c>
      <c r="AO92" s="30" t="n">
        <f aca="false">IF($A92="","",IFERROR(MATCH($B$4&amp;"|- Lane 5 - "&amp;C$87&amp;"|"&amp;$A92,'Reguler Class Availability'!$L:$L,0),""))</f>
        <v>1404</v>
      </c>
      <c r="AP92" s="30" t="n">
        <f aca="false">IF($A92="","",IFERROR(MATCH($B$4&amp;"|- Lane 5 - "&amp;D$87&amp;"|"&amp;$A92,'Reguler Class Availability'!$L:$L,0),""))</f>
        <v>1416</v>
      </c>
      <c r="AQ92" s="30" t="n">
        <f aca="false">IF($A92="","",IFERROR(MATCH($B$4&amp;"|- Lane 5 - "&amp;E$87&amp;"|"&amp;$A92,'Reguler Class Availability'!$L:$L,0),""))</f>
        <v>1428</v>
      </c>
      <c r="AR92" s="30" t="n">
        <f aca="false">IF($A92="","",IFERROR(MATCH($B$4&amp;"|- Lane 5 - "&amp;F$87&amp;"|"&amp;$A92,'Reguler Class Availability'!$L:$L,0),""))</f>
        <v>1440</v>
      </c>
      <c r="AS92" s="30" t="n">
        <f aca="false">IF($A92="","",IFERROR(MATCH($B$4&amp;"|- Lane 5 - "&amp;G$87&amp;"|"&amp;$A92,'Reguler Class Availability'!$L:$L,0),""))</f>
        <v>1452</v>
      </c>
      <c r="AT92" s="30" t="n">
        <f aca="false">IF($A92="","",IFERROR(MATCH($B$4&amp;"|- Lane 5 - "&amp;H$87&amp;"|"&amp;$A92,'Reguler Class Availability'!$L:$L,0),""))</f>
        <v>1464</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Tidak dibuka</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Tidak dibuka</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Tidak dibuka</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Lebih</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Kosong</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Tinggi</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Kosong</v>
      </c>
      <c r="BD92" s="30" t="s">
        <v>141</v>
      </c>
      <c r="BE92" s="30" t="n">
        <f aca="false">IF(COUNTIFS('Reguler Class Availability'!$L:$L,$B$4&amp;"|- Lane 2 - *|"&amp;BD92)&gt;0,1,0)</f>
        <v>1</v>
      </c>
      <c r="BF92" s="30" t="n">
        <f aca="false">BE92+BF91</f>
        <v>7</v>
      </c>
    </row>
    <row r="93" customFormat="false" ht="39.75" hidden="false" customHeight="true" outlineLevel="0" collapsed="false">
      <c r="A93" s="66" t="str">
        <f aca="false">IFERROR(INDEX($BD$242:$BD$301,MATCH(6,$BF$242:$BF$301,0)),"")</f>
        <v>11:45</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Kosong  0/4  (0%)
coach: –</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Kids  1/4  (25%)
Dadi</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Kosong  0/4  (0%)
coach: –</v>
      </c>
      <c r="AN93" s="30" t="n">
        <f aca="false">IF($A93="","",IFERROR(MATCH($B$4&amp;"|- Lane 5 - "&amp;B$87&amp;"|"&amp;$A93,'Reguler Class Availability'!$L:$L,0),""))</f>
        <v>1393</v>
      </c>
      <c r="AO93" s="30" t="n">
        <f aca="false">IF($A93="","",IFERROR(MATCH($B$4&amp;"|- Lane 5 - "&amp;C$87&amp;"|"&amp;$A93,'Reguler Class Availability'!$L:$L,0),""))</f>
        <v>1405</v>
      </c>
      <c r="AP93" s="30" t="n">
        <f aca="false">IF($A93="","",IFERROR(MATCH($B$4&amp;"|- Lane 5 - "&amp;D$87&amp;"|"&amp;$A93,'Reguler Class Availability'!$L:$L,0),""))</f>
        <v>1417</v>
      </c>
      <c r="AQ93" s="30" t="n">
        <f aca="false">IF($A93="","",IFERROR(MATCH($B$4&amp;"|- Lane 5 - "&amp;E$87&amp;"|"&amp;$A93,'Reguler Class Availability'!$L:$L,0),""))</f>
        <v>1429</v>
      </c>
      <c r="AR93" s="30" t="n">
        <f aca="false">IF($A93="","",IFERROR(MATCH($B$4&amp;"|- Lane 5 - "&amp;F$87&amp;"|"&amp;$A93,'Reguler Class Availability'!$L:$L,0),""))</f>
        <v>1441</v>
      </c>
      <c r="AS93" s="30" t="n">
        <f aca="false">IF($A93="","",IFERROR(MATCH($B$4&amp;"|- Lane 5 - "&amp;G$87&amp;"|"&amp;$A93,'Reguler Class Availability'!$L:$L,0),""))</f>
        <v>1453</v>
      </c>
      <c r="AT93" s="30" t="n">
        <f aca="false">IF($A93="","",IFERROR(MATCH($B$4&amp;"|- Lane 5 - "&amp;H$87&amp;"|"&amp;$A93,'Reguler Class Availability'!$L:$L,0),""))</f>
        <v>1465</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Tidak dibuka</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Tidak dibuka</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Tidak dibuka</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Tidak dibuka</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Kosong</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Sebagian</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Kosong</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13:15</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Kosong  0/4  (0%)
coach: –</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Kosong  0/4  (0%)
coach: –</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Kosong  0/4  (0%)
coach: –</v>
      </c>
      <c r="AN94" s="30" t="n">
        <f aca="false">IF($A94="","",IFERROR(MATCH($B$4&amp;"|- Lane 5 - "&amp;B$87&amp;"|"&amp;$A94,'Reguler Class Availability'!$L:$L,0),""))</f>
        <v>1394</v>
      </c>
      <c r="AO94" s="30" t="n">
        <f aca="false">IF($A94="","",IFERROR(MATCH($B$4&amp;"|- Lane 5 - "&amp;C$87&amp;"|"&amp;$A94,'Reguler Class Availability'!$L:$L,0),""))</f>
        <v>1406</v>
      </c>
      <c r="AP94" s="30" t="n">
        <f aca="false">IF($A94="","",IFERROR(MATCH($B$4&amp;"|- Lane 5 - "&amp;D$87&amp;"|"&amp;$A94,'Reguler Class Availability'!$L:$L,0),""))</f>
        <v>1418</v>
      </c>
      <c r="AQ94" s="30" t="n">
        <f aca="false">IF($A94="","",IFERROR(MATCH($B$4&amp;"|- Lane 5 - "&amp;E$87&amp;"|"&amp;$A94,'Reguler Class Availability'!$L:$L,0),""))</f>
        <v>1430</v>
      </c>
      <c r="AR94" s="30" t="n">
        <f aca="false">IF($A94="","",IFERROR(MATCH($B$4&amp;"|- Lane 5 - "&amp;F$87&amp;"|"&amp;$A94,'Reguler Class Availability'!$L:$L,0),""))</f>
        <v>1442</v>
      </c>
      <c r="AS94" s="30" t="n">
        <f aca="false">IF($A94="","",IFERROR(MATCH($B$4&amp;"|- Lane 5 - "&amp;G$87&amp;"|"&amp;$A94,'Reguler Class Availability'!$L:$L,0),""))</f>
        <v>1454</v>
      </c>
      <c r="AT94" s="30" t="n">
        <f aca="false">IF($A94="","",IFERROR(MATCH($B$4&amp;"|- Lane 5 - "&amp;H$87&amp;"|"&amp;$A94,'Reguler Class Availability'!$L:$L,0),""))</f>
        <v>1466</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Tidak dibuka</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Tidak dibuka</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Tidak dibuka</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Tidak dibuka</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Kosong</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Kosong</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Kosong</v>
      </c>
      <c r="BD94" s="30" t="s">
        <v>143</v>
      </c>
      <c r="BE94" s="30" t="n">
        <f aca="false">IF(COUNTIFS('Reguler Class Availability'!$L:$L,$B$4&amp;"|- Lane 2 - *|"&amp;BD94)&gt;0,1,0)</f>
        <v>0</v>
      </c>
      <c r="BF94" s="30" t="n">
        <f aca="false">BE94+BF93</f>
        <v>7</v>
      </c>
    </row>
    <row r="95" customFormat="false" ht="39.75" hidden="false" customHeight="true" outlineLevel="0" collapsed="false">
      <c r="A95" s="66" t="str">
        <f aca="false">IFERROR(INDEX($BD$242:$BD$301,MATCH(8,$BF$242:$BF$301,0)),"")</f>
        <v>14:00</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Kids  1/0
Dadi</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Kids  1/4  (25%)
Shofwan</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Kids  4/4  (100%)
Damai</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Kosong  0/4  (0%)
coach: –</v>
      </c>
      <c r="AN95" s="30" t="n">
        <f aca="false">IF($A95="","",IFERROR(MATCH($B$4&amp;"|- Lane 5 - "&amp;B$87&amp;"|"&amp;$A95,'Reguler Class Availability'!$L:$L,0),""))</f>
        <v>1395</v>
      </c>
      <c r="AO95" s="30" t="n">
        <f aca="false">IF($A95="","",IFERROR(MATCH($B$4&amp;"|- Lane 5 - "&amp;C$87&amp;"|"&amp;$A95,'Reguler Class Availability'!$L:$L,0),""))</f>
        <v>1407</v>
      </c>
      <c r="AP95" s="30" t="n">
        <f aca="false">IF($A95="","",IFERROR(MATCH($B$4&amp;"|- Lane 5 - "&amp;D$87&amp;"|"&amp;$A95,'Reguler Class Availability'!$L:$L,0),""))</f>
        <v>1419</v>
      </c>
      <c r="AQ95" s="30" t="n">
        <f aca="false">IF($A95="","",IFERROR(MATCH($B$4&amp;"|- Lane 5 - "&amp;E$87&amp;"|"&amp;$A95,'Reguler Class Availability'!$L:$L,0),""))</f>
        <v>1431</v>
      </c>
      <c r="AR95" s="30" t="n">
        <f aca="false">IF($A95="","",IFERROR(MATCH($B$4&amp;"|- Lane 5 - "&amp;F$87&amp;"|"&amp;$A95,'Reguler Class Availability'!$L:$L,0),""))</f>
        <v>1443</v>
      </c>
      <c r="AS95" s="30" t="n">
        <f aca="false">IF($A95="","",IFERROR(MATCH($B$4&amp;"|- Lane 5 - "&amp;G$87&amp;"|"&amp;$A95,'Reguler Class Availability'!$L:$L,0),""))</f>
        <v>1455</v>
      </c>
      <c r="AT95" s="30" t="n">
        <f aca="false">IF($A95="","",IFERROR(MATCH($B$4&amp;"|- Lane 5 - "&amp;H$87&amp;"|"&amp;$A95,'Reguler Class Availability'!$L:$L,0),""))</f>
        <v>1467</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Tidak dibuka</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Tidak dibuka</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Lebih</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Tidak dibuka</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Sebagian</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Penuh</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Kosong</v>
      </c>
      <c r="BD95" s="30" t="s">
        <v>144</v>
      </c>
      <c r="BE95" s="30" t="n">
        <f aca="false">IF(COUNTIFS('Reguler Class Availability'!$L:$L,$B$4&amp;"|- Lane 2 - *|"&amp;BD95)&gt;0,1,0)</f>
        <v>1</v>
      </c>
      <c r="BF95" s="30" t="n">
        <f aca="false">BE95+BF94</f>
        <v>8</v>
      </c>
    </row>
    <row r="96" customFormat="false" ht="39.75" hidden="false" customHeight="true" outlineLevel="0" collapsed="false">
      <c r="A96" s="66" t="str">
        <f aca="false">IFERROR(INDEX($BD$242:$BD$301,MATCH(9,$BF$242:$BF$301,0)),"")</f>
        <v>14:45</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Little  1/0
Laksamana</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Kids  4/4  (100%)
Shofwan</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Kosong  0/4  (0%)
coach: –</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Kosong  0/4  (0%)
coach: –</v>
      </c>
      <c r="AN96" s="30" t="n">
        <f aca="false">IF($A96="","",IFERROR(MATCH($B$4&amp;"|- Lane 5 - "&amp;B$87&amp;"|"&amp;$A96,'Reguler Class Availability'!$L:$L,0),""))</f>
        <v>1396</v>
      </c>
      <c r="AO96" s="30" t="n">
        <f aca="false">IF($A96="","",IFERROR(MATCH($B$4&amp;"|- Lane 5 - "&amp;C$87&amp;"|"&amp;$A96,'Reguler Class Availability'!$L:$L,0),""))</f>
        <v>1408</v>
      </c>
      <c r="AP96" s="30" t="n">
        <f aca="false">IF($A96="","",IFERROR(MATCH($B$4&amp;"|- Lane 5 - "&amp;D$87&amp;"|"&amp;$A96,'Reguler Class Availability'!$L:$L,0),""))</f>
        <v>1420</v>
      </c>
      <c r="AQ96" s="30" t="n">
        <f aca="false">IF($A96="","",IFERROR(MATCH($B$4&amp;"|- Lane 5 - "&amp;E$87&amp;"|"&amp;$A96,'Reguler Class Availability'!$L:$L,0),""))</f>
        <v>1432</v>
      </c>
      <c r="AR96" s="30" t="n">
        <f aca="false">IF($A96="","",IFERROR(MATCH($B$4&amp;"|- Lane 5 - "&amp;F$87&amp;"|"&amp;$A96,'Reguler Class Availability'!$L:$L,0),""))</f>
        <v>1444</v>
      </c>
      <c r="AS96" s="30" t="n">
        <f aca="false">IF($A96="","",IFERROR(MATCH($B$4&amp;"|- Lane 5 - "&amp;G$87&amp;"|"&amp;$A96,'Reguler Class Availability'!$L:$L,0),""))</f>
        <v>1456</v>
      </c>
      <c r="AT96" s="30" t="n">
        <f aca="false">IF($A96="","",IFERROR(MATCH($B$4&amp;"|- Lane 5 - "&amp;H$87&amp;"|"&amp;$A96,'Reguler Class Availability'!$L:$L,0),""))</f>
        <v>1468</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Tidak dibuka</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Tidak dibuka</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Lebih</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Tidak dibuka</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Penuh</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Kosong</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Kosong</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15:30</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Kids  4/4  (100%)
Laksamana</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Kids  4/4  (100%)
Laksamana</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Little  1/4  (25%)
Dadi</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Kosong  0/4  (0%)
coach: –</v>
      </c>
      <c r="AN97" s="30" t="n">
        <f aca="false">IF($A97="","",IFERROR(MATCH($B$4&amp;"|- Lane 5 - "&amp;B$87&amp;"|"&amp;$A97,'Reguler Class Availability'!$L:$L,0),""))</f>
        <v>1397</v>
      </c>
      <c r="AO97" s="30" t="n">
        <f aca="false">IF($A97="","",IFERROR(MATCH($B$4&amp;"|- Lane 5 - "&amp;C$87&amp;"|"&amp;$A97,'Reguler Class Availability'!$L:$L,0),""))</f>
        <v>1409</v>
      </c>
      <c r="AP97" s="30" t="n">
        <f aca="false">IF($A97="","",IFERROR(MATCH($B$4&amp;"|- Lane 5 - "&amp;D$87&amp;"|"&amp;$A97,'Reguler Class Availability'!$L:$L,0),""))</f>
        <v>1421</v>
      </c>
      <c r="AQ97" s="30" t="n">
        <f aca="false">IF($A97="","",IFERROR(MATCH($B$4&amp;"|- Lane 5 - "&amp;E$87&amp;"|"&amp;$A97,'Reguler Class Availability'!$L:$L,0),""))</f>
        <v>1433</v>
      </c>
      <c r="AR97" s="30" t="n">
        <f aca="false">IF($A97="","",IFERROR(MATCH($B$4&amp;"|- Lane 5 - "&amp;F$87&amp;"|"&amp;$A97,'Reguler Class Availability'!$L:$L,0),""))</f>
        <v>1445</v>
      </c>
      <c r="AS97" s="30" t="n">
        <f aca="false">IF($A97="","",IFERROR(MATCH($B$4&amp;"|- Lane 5 - "&amp;G$87&amp;"|"&amp;$A97,'Reguler Class Availability'!$L:$L,0),""))</f>
        <v>1457</v>
      </c>
      <c r="AT97" s="30" t="n">
        <f aca="false">IF($A97="","",IFERROR(MATCH($B$4&amp;"|- Lane 5 - "&amp;H$87&amp;"|"&amp;$A97,'Reguler Class Availability'!$L:$L,0),""))</f>
        <v>1469</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Tidak dibuka</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Tidak dibuka</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Penuh</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Tidak dibuka</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Penuh</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Sebagian</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Kosong</v>
      </c>
      <c r="BD97" s="30" t="s">
        <v>146</v>
      </c>
      <c r="BE97" s="30" t="n">
        <f aca="false">IF(COUNTIFS('Reguler Class Availability'!$L:$L,$B$4&amp;"|- Lane 2 - *|"&amp;BD97)&gt;0,1,0)</f>
        <v>0</v>
      </c>
      <c r="BF97" s="30" t="n">
        <f aca="false">BE97+BF96</f>
        <v>8</v>
      </c>
    </row>
    <row r="98" customFormat="false" ht="39.75" hidden="false" customHeight="true" outlineLevel="0" collapsed="false">
      <c r="A98" s="66" t="str">
        <f aca="false">IFERROR(INDEX($BD$242:$BD$301,MATCH(11,$BF$242:$BF$301,0)),"")</f>
        <v>16:15</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Kids  1/4  (25%)
Dadi</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Kids  4/0
Shofwan</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Kids  4/0
Indah</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Kids  4/4  (100%)
Zidan</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Kosong  0/4  (0%)
coach: –</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Kids  4/4  (100%)
Indah</v>
      </c>
      <c r="AN98" s="30" t="n">
        <f aca="false">IF($A98="","",IFERROR(MATCH($B$4&amp;"|- Lane 5 - "&amp;B$87&amp;"|"&amp;$A98,'Reguler Class Availability'!$L:$L,0),""))</f>
        <v>1398</v>
      </c>
      <c r="AO98" s="30" t="n">
        <f aca="false">IF($A98="","",IFERROR(MATCH($B$4&amp;"|- Lane 5 - "&amp;C$87&amp;"|"&amp;$A98,'Reguler Class Availability'!$L:$L,0),""))</f>
        <v>1410</v>
      </c>
      <c r="AP98" s="30" t="n">
        <f aca="false">IF($A98="","",IFERROR(MATCH($B$4&amp;"|- Lane 5 - "&amp;D$87&amp;"|"&amp;$A98,'Reguler Class Availability'!$L:$L,0),""))</f>
        <v>1422</v>
      </c>
      <c r="AQ98" s="30" t="n">
        <f aca="false">IF($A98="","",IFERROR(MATCH($B$4&amp;"|- Lane 5 - "&amp;E$87&amp;"|"&amp;$A98,'Reguler Class Availability'!$L:$L,0),""))</f>
        <v>1434</v>
      </c>
      <c r="AR98" s="30" t="n">
        <f aca="false">IF($A98="","",IFERROR(MATCH($B$4&amp;"|- Lane 5 - "&amp;F$87&amp;"|"&amp;$A98,'Reguler Class Availability'!$L:$L,0),""))</f>
        <v>1446</v>
      </c>
      <c r="AS98" s="30" t="n">
        <f aca="false">IF($A98="","",IFERROR(MATCH($B$4&amp;"|- Lane 5 - "&amp;G$87&amp;"|"&amp;$A98,'Reguler Class Availability'!$L:$L,0),""))</f>
        <v>1458</v>
      </c>
      <c r="AT98" s="30" t="n">
        <f aca="false">IF($A98="","",IFERROR(MATCH($B$4&amp;"|- Lane 5 - "&amp;H$87&amp;"|"&amp;$A98,'Reguler Class Availability'!$L:$L,0),""))</f>
        <v>1470</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Sebagian</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Lebih</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Tidak dibuka</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Lebih</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Penuh</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Kosong</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Penuh</v>
      </c>
      <c r="BD98" s="30" t="s">
        <v>147</v>
      </c>
      <c r="BE98" s="30" t="n">
        <f aca="false">IF(COUNTIFS('Reguler Class Availability'!$L:$L,$B$4&amp;"|- Lane 2 - *|"&amp;BD98)&gt;0,1,0)</f>
        <v>1</v>
      </c>
      <c r="BF98" s="30" t="n">
        <f aca="false">BE98+BF97</f>
        <v>9</v>
      </c>
    </row>
    <row r="99" customFormat="false" ht="39.75" hidden="false" customHeight="true" outlineLevel="0" collapsed="false">
      <c r="A99" s="66" t="str">
        <f aca="false">IFERROR(INDEX($BD$242:$BD$301,MATCH(12,$BF$242:$BF$301,0)),"")</f>
        <v>17:00</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Kids  1/4  (25%)
Dadi</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Kids  1/0
Shofwan</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Kids  4/0
Indah</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Kids  3/4  (75%)
Kamal</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Kids  3/4  (75%)
Dadi</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Kosong  0/4  (0%)
coach: –</v>
      </c>
      <c r="AN99" s="30" t="n">
        <f aca="false">IF($A99="","",IFERROR(MATCH($B$4&amp;"|- Lane 5 - "&amp;B$87&amp;"|"&amp;$A99,'Reguler Class Availability'!$L:$L,0),""))</f>
        <v>1399</v>
      </c>
      <c r="AO99" s="30" t="n">
        <f aca="false">IF($A99="","",IFERROR(MATCH($B$4&amp;"|- Lane 5 - "&amp;C$87&amp;"|"&amp;$A99,'Reguler Class Availability'!$L:$L,0),""))</f>
        <v>1411</v>
      </c>
      <c r="AP99" s="30" t="n">
        <f aca="false">IF($A99="","",IFERROR(MATCH($B$4&amp;"|- Lane 5 - "&amp;D$87&amp;"|"&amp;$A99,'Reguler Class Availability'!$L:$L,0),""))</f>
        <v>1423</v>
      </c>
      <c r="AQ99" s="30" t="n">
        <f aca="false">IF($A99="","",IFERROR(MATCH($B$4&amp;"|- Lane 5 - "&amp;E$87&amp;"|"&amp;$A99,'Reguler Class Availability'!$L:$L,0),""))</f>
        <v>1435</v>
      </c>
      <c r="AR99" s="30" t="n">
        <f aca="false">IF($A99="","",IFERROR(MATCH($B$4&amp;"|- Lane 5 - "&amp;F$87&amp;"|"&amp;$A99,'Reguler Class Availability'!$L:$L,0),""))</f>
        <v>1447</v>
      </c>
      <c r="AS99" s="30" t="n">
        <f aca="false">IF($A99="","",IFERROR(MATCH($B$4&amp;"|- Lane 5 - "&amp;G$87&amp;"|"&amp;$A99,'Reguler Class Availability'!$L:$L,0),""))</f>
        <v>1459</v>
      </c>
      <c r="AT99" s="30" t="n">
        <f aca="false">IF($A99="","",IFERROR(MATCH($B$4&amp;"|- Lane 5 - "&amp;H$87&amp;"|"&amp;$A99,'Reguler Class Availability'!$L:$L,0),""))</f>
        <v>1471</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Sebagian</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Lebih</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Tidak dibuka</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Lebih</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Tinggi</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Tinggi</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Kosong</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0</v>
      </c>
      <c r="BF100" s="30" t="n">
        <f aca="false">BE100+BF99</f>
        <v>9</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1</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25%</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100%</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39%</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55%</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25%</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0</v>
      </c>
      <c r="BF103" s="0" t="n">
        <f aca="false">BE103+BF102</f>
        <v>10</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1</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08:00</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v>
      </c>
      <c r="AN106" s="30" t="n">
        <f aca="false">IF($A106="","",IFERROR(MATCH($B$4&amp;"|- Lane 6 - "&amp;B$105&amp;"|"&amp;$A106,'Reguler Class Availability'!$L:$L,0),""))</f>
        <v>1472</v>
      </c>
      <c r="AO106" s="30" t="n">
        <f aca="false">IF($A106="","",IFERROR(MATCH($B$4&amp;"|- Lane 6 - "&amp;C$105&amp;"|"&amp;$A106,'Reguler Class Availability'!$L:$L,0),""))</f>
        <v>1484</v>
      </c>
      <c r="AP106" s="30" t="n">
        <f aca="false">IF($A106="","",IFERROR(MATCH($B$4&amp;"|- Lane 6 - "&amp;D$105&amp;"|"&amp;$A106,'Reguler Class Availability'!$L:$L,0),""))</f>
        <v>1496</v>
      </c>
      <c r="AQ106" s="30" t="n">
        <f aca="false">IF($A106="","",IFERROR(MATCH($B$4&amp;"|- Lane 6 - "&amp;E$105&amp;"|"&amp;$A106,'Reguler Class Availability'!$L:$L,0),""))</f>
        <v>1508</v>
      </c>
      <c r="AR106" s="30" t="n">
        <f aca="false">IF($A106="","",IFERROR(MATCH($B$4&amp;"|- Lane 6 - "&amp;F$105&amp;"|"&amp;$A106,'Reguler Class Availability'!$L:$L,0),""))</f>
        <v>1520</v>
      </c>
      <c r="AS106" s="30" t="n">
        <f aca="false">IF($A106="","",IFERROR(MATCH($B$4&amp;"|- Lane 6 - "&amp;G$105&amp;"|"&amp;$A106,'Reguler Class Availability'!$L:$L,0),""))</f>
        <v>1532</v>
      </c>
      <c r="AT106" s="30" t="n">
        <f aca="false">IF($A106="","",IFERROR(MATCH($B$4&amp;"|- Lane 6 - "&amp;H$105&amp;"|"&amp;$A106,'Reguler Class Availability'!$L:$L,0),""))</f>
        <v>1544</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Tidak dibuka</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Tidak dibuka</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Tidak dibuka</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Tidak dibuka</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Tidak dibuka</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Tidak dibuka</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Tidak dibuka</v>
      </c>
      <c r="BD106" s="30" t="s">
        <v>155</v>
      </c>
      <c r="BE106" s="30" t="n">
        <f aca="false">IF(COUNTIFS('Reguler Class Availability'!$L:$L,$B$4&amp;"|- Lane 2 - *|"&amp;BD106)&gt;0,1,0)</f>
        <v>0</v>
      </c>
      <c r="BF106" s="30" t="n">
        <f aca="false">BE106+BF105</f>
        <v>11</v>
      </c>
    </row>
    <row r="107" customFormat="false" ht="39.75" hidden="false" customHeight="true" outlineLevel="0" collapsed="false">
      <c r="A107" s="66" t="str">
        <f aca="false">IFERROR(INDEX($BD$302:$BD$361,MATCH(2,$BF$302:$BF$361,0)),"")</f>
        <v>08:45</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Little  3/0
Dadi</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v>
      </c>
      <c r="AN107" s="30" t="n">
        <f aca="false">IF($A107="","",IFERROR(MATCH($B$4&amp;"|- Lane 6 - "&amp;B$105&amp;"|"&amp;$A107,'Reguler Class Availability'!$L:$L,0),""))</f>
        <v>1473</v>
      </c>
      <c r="AO107" s="30" t="n">
        <f aca="false">IF($A107="","",IFERROR(MATCH($B$4&amp;"|- Lane 6 - "&amp;C$105&amp;"|"&amp;$A107,'Reguler Class Availability'!$L:$L,0),""))</f>
        <v>1485</v>
      </c>
      <c r="AP107" s="30" t="n">
        <f aca="false">IF($A107="","",IFERROR(MATCH($B$4&amp;"|- Lane 6 - "&amp;D$105&amp;"|"&amp;$A107,'Reguler Class Availability'!$L:$L,0),""))</f>
        <v>1497</v>
      </c>
      <c r="AQ107" s="30" t="n">
        <f aca="false">IF($A107="","",IFERROR(MATCH($B$4&amp;"|- Lane 6 - "&amp;E$105&amp;"|"&amp;$A107,'Reguler Class Availability'!$L:$L,0),""))</f>
        <v>1509</v>
      </c>
      <c r="AR107" s="30" t="n">
        <f aca="false">IF($A107="","",IFERROR(MATCH($B$4&amp;"|- Lane 6 - "&amp;F$105&amp;"|"&amp;$A107,'Reguler Class Availability'!$L:$L,0),""))</f>
        <v>1521</v>
      </c>
      <c r="AS107" s="30" t="n">
        <f aca="false">IF($A107="","",IFERROR(MATCH($B$4&amp;"|- Lane 6 - "&amp;G$105&amp;"|"&amp;$A107,'Reguler Class Availability'!$L:$L,0),""))</f>
        <v>1533</v>
      </c>
      <c r="AT107" s="30" t="n">
        <f aca="false">IF($A107="","",IFERROR(MATCH($B$4&amp;"|- Lane 6 - "&amp;H$105&amp;"|"&amp;$A107,'Reguler Class Availability'!$L:$L,0),""))</f>
        <v>1545</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Tidak dibuka</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Tidak dibuka</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Tidak dibuka</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Tidak dibuka</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Tidak dibuka</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Lebih</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Tidak dibuka</v>
      </c>
      <c r="BD107" s="30" t="s">
        <v>156</v>
      </c>
      <c r="BE107" s="30" t="n">
        <f aca="false">IF(COUNTIFS('Reguler Class Availability'!$L:$L,$B$4&amp;"|- Lane 2 - *|"&amp;BD107)&gt;0,1,0)</f>
        <v>1</v>
      </c>
      <c r="BF107" s="30" t="n">
        <f aca="false">BE107+BF106</f>
        <v>12</v>
      </c>
    </row>
    <row r="108" customFormat="false" ht="39.75" hidden="false" customHeight="true" outlineLevel="0" collapsed="false">
      <c r="A108" s="66" t="str">
        <f aca="false">IFERROR(INDEX($BD$302:$BD$361,MATCH(3,$BF$302:$BF$361,0)),"")</f>
        <v>09:30</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v>
      </c>
      <c r="AN108" s="30" t="n">
        <f aca="false">IF($A108="","",IFERROR(MATCH($B$4&amp;"|- Lane 6 - "&amp;B$105&amp;"|"&amp;$A108,'Reguler Class Availability'!$L:$L,0),""))</f>
        <v>1474</v>
      </c>
      <c r="AO108" s="30" t="n">
        <f aca="false">IF($A108="","",IFERROR(MATCH($B$4&amp;"|- Lane 6 - "&amp;C$105&amp;"|"&amp;$A108,'Reguler Class Availability'!$L:$L,0),""))</f>
        <v>1486</v>
      </c>
      <c r="AP108" s="30" t="n">
        <f aca="false">IF($A108="","",IFERROR(MATCH($B$4&amp;"|- Lane 6 - "&amp;D$105&amp;"|"&amp;$A108,'Reguler Class Availability'!$L:$L,0),""))</f>
        <v>1498</v>
      </c>
      <c r="AQ108" s="30" t="n">
        <f aca="false">IF($A108="","",IFERROR(MATCH($B$4&amp;"|- Lane 6 - "&amp;E$105&amp;"|"&amp;$A108,'Reguler Class Availability'!$L:$L,0),""))</f>
        <v>1510</v>
      </c>
      <c r="AR108" s="30" t="n">
        <f aca="false">IF($A108="","",IFERROR(MATCH($B$4&amp;"|- Lane 6 - "&amp;F$105&amp;"|"&amp;$A108,'Reguler Class Availability'!$L:$L,0),""))</f>
        <v>1522</v>
      </c>
      <c r="AS108" s="30" t="n">
        <f aca="false">IF($A108="","",IFERROR(MATCH($B$4&amp;"|- Lane 6 - "&amp;G$105&amp;"|"&amp;$A108,'Reguler Class Availability'!$L:$L,0),""))</f>
        <v>1534</v>
      </c>
      <c r="AT108" s="30" t="n">
        <f aca="false">IF($A108="","",IFERROR(MATCH($B$4&amp;"|- Lane 6 - "&amp;H$105&amp;"|"&amp;$A108,'Reguler Class Availability'!$L:$L,0),""))</f>
        <v>1546</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Tidak dibuka</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Tidak dibuka</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Tidak dibuka</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Tidak dibuka</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Tidak dibuka</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Tidak dibuka</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Tidak dibuka</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10:15</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v>
      </c>
      <c r="AN109" s="30" t="n">
        <f aca="false">IF($A109="","",IFERROR(MATCH($B$4&amp;"|- Lane 6 - "&amp;B$105&amp;"|"&amp;$A109,'Reguler Class Availability'!$L:$L,0),""))</f>
        <v>1475</v>
      </c>
      <c r="AO109" s="30" t="n">
        <f aca="false">IF($A109="","",IFERROR(MATCH($B$4&amp;"|- Lane 6 - "&amp;C$105&amp;"|"&amp;$A109,'Reguler Class Availability'!$L:$L,0),""))</f>
        <v>1487</v>
      </c>
      <c r="AP109" s="30" t="n">
        <f aca="false">IF($A109="","",IFERROR(MATCH($B$4&amp;"|- Lane 6 - "&amp;D$105&amp;"|"&amp;$A109,'Reguler Class Availability'!$L:$L,0),""))</f>
        <v>1499</v>
      </c>
      <c r="AQ109" s="30" t="n">
        <f aca="false">IF($A109="","",IFERROR(MATCH($B$4&amp;"|- Lane 6 - "&amp;E$105&amp;"|"&amp;$A109,'Reguler Class Availability'!$L:$L,0),""))</f>
        <v>1511</v>
      </c>
      <c r="AR109" s="30" t="n">
        <f aca="false">IF($A109="","",IFERROR(MATCH($B$4&amp;"|- Lane 6 - "&amp;F$105&amp;"|"&amp;$A109,'Reguler Class Availability'!$L:$L,0),""))</f>
        <v>1523</v>
      </c>
      <c r="AS109" s="30" t="n">
        <f aca="false">IF($A109="","",IFERROR(MATCH($B$4&amp;"|- Lane 6 - "&amp;G$105&amp;"|"&amp;$A109,'Reguler Class Availability'!$L:$L,0),""))</f>
        <v>1535</v>
      </c>
      <c r="AT109" s="30" t="n">
        <f aca="false">IF($A109="","",IFERROR(MATCH($B$4&amp;"|- Lane 6 - "&amp;H$105&amp;"|"&amp;$A109,'Reguler Class Availability'!$L:$L,0),""))</f>
        <v>1547</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Tidak dibuka</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Tidak dibuka</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Tidak dibuka</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Tidak dibuka</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Tidak dibuka</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Tidak dibuka</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Tidak dibuka</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11:00</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v>
      </c>
      <c r="AN110" s="30" t="n">
        <f aca="false">IF($A110="","",IFERROR(MATCH($B$4&amp;"|- Lane 6 - "&amp;B$105&amp;"|"&amp;$A110,'Reguler Class Availability'!$L:$L,0),""))</f>
        <v>1476</v>
      </c>
      <c r="AO110" s="30" t="n">
        <f aca="false">IF($A110="","",IFERROR(MATCH($B$4&amp;"|- Lane 6 - "&amp;C$105&amp;"|"&amp;$A110,'Reguler Class Availability'!$L:$L,0),""))</f>
        <v>1488</v>
      </c>
      <c r="AP110" s="30" t="n">
        <f aca="false">IF($A110="","",IFERROR(MATCH($B$4&amp;"|- Lane 6 - "&amp;D$105&amp;"|"&amp;$A110,'Reguler Class Availability'!$L:$L,0),""))</f>
        <v>1500</v>
      </c>
      <c r="AQ110" s="30" t="n">
        <f aca="false">IF($A110="","",IFERROR(MATCH($B$4&amp;"|- Lane 6 - "&amp;E$105&amp;"|"&amp;$A110,'Reguler Class Availability'!$L:$L,0),""))</f>
        <v>1512</v>
      </c>
      <c r="AR110" s="30" t="n">
        <f aca="false">IF($A110="","",IFERROR(MATCH($B$4&amp;"|- Lane 6 - "&amp;F$105&amp;"|"&amp;$A110,'Reguler Class Availability'!$L:$L,0),""))</f>
        <v>1524</v>
      </c>
      <c r="AS110" s="30" t="n">
        <f aca="false">IF($A110="","",IFERROR(MATCH($B$4&amp;"|- Lane 6 - "&amp;G$105&amp;"|"&amp;$A110,'Reguler Class Availability'!$L:$L,0),""))</f>
        <v>1536</v>
      </c>
      <c r="AT110" s="30" t="n">
        <f aca="false">IF($A110="","",IFERROR(MATCH($B$4&amp;"|- Lane 6 - "&amp;H$105&amp;"|"&amp;$A110,'Reguler Class Availability'!$L:$L,0),""))</f>
        <v>1548</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Tidak dibuka</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Tidak dibuka</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Tidak dibuka</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Tidak dibuka</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Tidak dibuka</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Tidak dibuka</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Tidak dibuka</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11:45</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v>
      </c>
      <c r="AN111" s="30" t="n">
        <f aca="false">IF($A111="","",IFERROR(MATCH($B$4&amp;"|- Lane 6 - "&amp;B$105&amp;"|"&amp;$A111,'Reguler Class Availability'!$L:$L,0),""))</f>
        <v>1477</v>
      </c>
      <c r="AO111" s="30" t="n">
        <f aca="false">IF($A111="","",IFERROR(MATCH($B$4&amp;"|- Lane 6 - "&amp;C$105&amp;"|"&amp;$A111,'Reguler Class Availability'!$L:$L,0),""))</f>
        <v>1489</v>
      </c>
      <c r="AP111" s="30" t="n">
        <f aca="false">IF($A111="","",IFERROR(MATCH($B$4&amp;"|- Lane 6 - "&amp;D$105&amp;"|"&amp;$A111,'Reguler Class Availability'!$L:$L,0),""))</f>
        <v>1501</v>
      </c>
      <c r="AQ111" s="30" t="n">
        <f aca="false">IF($A111="","",IFERROR(MATCH($B$4&amp;"|- Lane 6 - "&amp;E$105&amp;"|"&amp;$A111,'Reguler Class Availability'!$L:$L,0),""))</f>
        <v>1513</v>
      </c>
      <c r="AR111" s="30" t="n">
        <f aca="false">IF($A111="","",IFERROR(MATCH($B$4&amp;"|- Lane 6 - "&amp;F$105&amp;"|"&amp;$A111,'Reguler Class Availability'!$L:$L,0),""))</f>
        <v>1525</v>
      </c>
      <c r="AS111" s="30" t="n">
        <f aca="false">IF($A111="","",IFERROR(MATCH($B$4&amp;"|- Lane 6 - "&amp;G$105&amp;"|"&amp;$A111,'Reguler Class Availability'!$L:$L,0),""))</f>
        <v>1537</v>
      </c>
      <c r="AT111" s="30" t="n">
        <f aca="false">IF($A111="","",IFERROR(MATCH($B$4&amp;"|- Lane 6 - "&amp;H$105&amp;"|"&amp;$A111,'Reguler Class Availability'!$L:$L,0),""))</f>
        <v>1549</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Tidak dibuka</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Tidak dibuka</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Tidak dibuka</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Tidak dibuka</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Tidak dibuka</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Tidak dibuka</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Tidak dibuka</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13:15</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v>
      </c>
      <c r="AN112" s="30" t="n">
        <f aca="false">IF($A112="","",IFERROR(MATCH($B$4&amp;"|- Lane 6 - "&amp;B$105&amp;"|"&amp;$A112,'Reguler Class Availability'!$L:$L,0),""))</f>
        <v>1478</v>
      </c>
      <c r="AO112" s="30" t="n">
        <f aca="false">IF($A112="","",IFERROR(MATCH($B$4&amp;"|- Lane 6 - "&amp;C$105&amp;"|"&amp;$A112,'Reguler Class Availability'!$L:$L,0),""))</f>
        <v>1490</v>
      </c>
      <c r="AP112" s="30" t="n">
        <f aca="false">IF($A112="","",IFERROR(MATCH($B$4&amp;"|- Lane 6 - "&amp;D$105&amp;"|"&amp;$A112,'Reguler Class Availability'!$L:$L,0),""))</f>
        <v>1502</v>
      </c>
      <c r="AQ112" s="30" t="n">
        <f aca="false">IF($A112="","",IFERROR(MATCH($B$4&amp;"|- Lane 6 - "&amp;E$105&amp;"|"&amp;$A112,'Reguler Class Availability'!$L:$L,0),""))</f>
        <v>1514</v>
      </c>
      <c r="AR112" s="30" t="n">
        <f aca="false">IF($A112="","",IFERROR(MATCH($B$4&amp;"|- Lane 6 - "&amp;F$105&amp;"|"&amp;$A112,'Reguler Class Availability'!$L:$L,0),""))</f>
        <v>1526</v>
      </c>
      <c r="AS112" s="30" t="n">
        <f aca="false">IF($A112="","",IFERROR(MATCH($B$4&amp;"|- Lane 6 - "&amp;G$105&amp;"|"&amp;$A112,'Reguler Class Availability'!$L:$L,0),""))</f>
        <v>1538</v>
      </c>
      <c r="AT112" s="30" t="n">
        <f aca="false">IF($A112="","",IFERROR(MATCH($B$4&amp;"|- Lane 6 - "&amp;H$105&amp;"|"&amp;$A112,'Reguler Class Availability'!$L:$L,0),""))</f>
        <v>1550</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Tidak dibuka</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Tidak dibuka</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Tidak dibuka</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Tidak dibuka</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Tidak dibuka</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Tidak dibuka</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Tidak dibuka</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14:00</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v>
      </c>
      <c r="AN113" s="30" t="n">
        <f aca="false">IF($A113="","",IFERROR(MATCH($B$4&amp;"|- Lane 6 - "&amp;B$105&amp;"|"&amp;$A113,'Reguler Class Availability'!$L:$L,0),""))</f>
        <v>1479</v>
      </c>
      <c r="AO113" s="30" t="n">
        <f aca="false">IF($A113="","",IFERROR(MATCH($B$4&amp;"|- Lane 6 - "&amp;C$105&amp;"|"&amp;$A113,'Reguler Class Availability'!$L:$L,0),""))</f>
        <v>1491</v>
      </c>
      <c r="AP113" s="30" t="n">
        <f aca="false">IF($A113="","",IFERROR(MATCH($B$4&amp;"|- Lane 6 - "&amp;D$105&amp;"|"&amp;$A113,'Reguler Class Availability'!$L:$L,0),""))</f>
        <v>1503</v>
      </c>
      <c r="AQ113" s="30" t="n">
        <f aca="false">IF($A113="","",IFERROR(MATCH($B$4&amp;"|- Lane 6 - "&amp;E$105&amp;"|"&amp;$A113,'Reguler Class Availability'!$L:$L,0),""))</f>
        <v>1515</v>
      </c>
      <c r="AR113" s="30" t="n">
        <f aca="false">IF($A113="","",IFERROR(MATCH($B$4&amp;"|- Lane 6 - "&amp;F$105&amp;"|"&amp;$A113,'Reguler Class Availability'!$L:$L,0),""))</f>
        <v>1527</v>
      </c>
      <c r="AS113" s="30" t="n">
        <f aca="false">IF($A113="","",IFERROR(MATCH($B$4&amp;"|- Lane 6 - "&amp;G$105&amp;"|"&amp;$A113,'Reguler Class Availability'!$L:$L,0),""))</f>
        <v>1539</v>
      </c>
      <c r="AT113" s="30" t="n">
        <f aca="false">IF($A113="","",IFERROR(MATCH($B$4&amp;"|- Lane 6 - "&amp;H$105&amp;"|"&amp;$A113,'Reguler Class Availability'!$L:$L,0),""))</f>
        <v>1551</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Tidak dibuka</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Tidak dibuka</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Tidak dibuka</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Tidak dibuka</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Tidak dibuka</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Tidak dibuka</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Tidak dibuka</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14:45</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v>
      </c>
      <c r="AN114" s="30" t="n">
        <f aca="false">IF($A114="","",IFERROR(MATCH($B$4&amp;"|- Lane 6 - "&amp;B$105&amp;"|"&amp;$A114,'Reguler Class Availability'!$L:$L,0),""))</f>
        <v>1480</v>
      </c>
      <c r="AO114" s="30" t="n">
        <f aca="false">IF($A114="","",IFERROR(MATCH($B$4&amp;"|- Lane 6 - "&amp;C$105&amp;"|"&amp;$A114,'Reguler Class Availability'!$L:$L,0),""))</f>
        <v>1492</v>
      </c>
      <c r="AP114" s="30" t="n">
        <f aca="false">IF($A114="","",IFERROR(MATCH($B$4&amp;"|- Lane 6 - "&amp;D$105&amp;"|"&amp;$A114,'Reguler Class Availability'!$L:$L,0),""))</f>
        <v>1504</v>
      </c>
      <c r="AQ114" s="30" t="n">
        <f aca="false">IF($A114="","",IFERROR(MATCH($B$4&amp;"|- Lane 6 - "&amp;E$105&amp;"|"&amp;$A114,'Reguler Class Availability'!$L:$L,0),""))</f>
        <v>1516</v>
      </c>
      <c r="AR114" s="30" t="n">
        <f aca="false">IF($A114="","",IFERROR(MATCH($B$4&amp;"|- Lane 6 - "&amp;F$105&amp;"|"&amp;$A114,'Reguler Class Availability'!$L:$L,0),""))</f>
        <v>1528</v>
      </c>
      <c r="AS114" s="30" t="n">
        <f aca="false">IF($A114="","",IFERROR(MATCH($B$4&amp;"|- Lane 6 - "&amp;G$105&amp;"|"&amp;$A114,'Reguler Class Availability'!$L:$L,0),""))</f>
        <v>1540</v>
      </c>
      <c r="AT114" s="30" t="n">
        <f aca="false">IF($A114="","",IFERROR(MATCH($B$4&amp;"|- Lane 6 - "&amp;H$105&amp;"|"&amp;$A114,'Reguler Class Availability'!$L:$L,0),""))</f>
        <v>1552</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Tidak dibuka</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Tidak dibuka</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Tidak dibuka</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Tidak dibuka</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Tidak dibuka</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Tidak dibuka</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Tidak dibuka</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15:30</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v>
      </c>
      <c r="AN115" s="30" t="n">
        <f aca="false">IF($A115="","",IFERROR(MATCH($B$4&amp;"|- Lane 6 - "&amp;B$105&amp;"|"&amp;$A115,'Reguler Class Availability'!$L:$L,0),""))</f>
        <v>1481</v>
      </c>
      <c r="AO115" s="30" t="n">
        <f aca="false">IF($A115="","",IFERROR(MATCH($B$4&amp;"|- Lane 6 - "&amp;C$105&amp;"|"&amp;$A115,'Reguler Class Availability'!$L:$L,0),""))</f>
        <v>1493</v>
      </c>
      <c r="AP115" s="30" t="n">
        <f aca="false">IF($A115="","",IFERROR(MATCH($B$4&amp;"|- Lane 6 - "&amp;D$105&amp;"|"&amp;$A115,'Reguler Class Availability'!$L:$L,0),""))</f>
        <v>1505</v>
      </c>
      <c r="AQ115" s="30" t="n">
        <f aca="false">IF($A115="","",IFERROR(MATCH($B$4&amp;"|- Lane 6 - "&amp;E$105&amp;"|"&amp;$A115,'Reguler Class Availability'!$L:$L,0),""))</f>
        <v>1517</v>
      </c>
      <c r="AR115" s="30" t="n">
        <f aca="false">IF($A115="","",IFERROR(MATCH($B$4&amp;"|- Lane 6 - "&amp;F$105&amp;"|"&amp;$A115,'Reguler Class Availability'!$L:$L,0),""))</f>
        <v>1529</v>
      </c>
      <c r="AS115" s="30" t="n">
        <f aca="false">IF($A115="","",IFERROR(MATCH($B$4&amp;"|- Lane 6 - "&amp;G$105&amp;"|"&amp;$A115,'Reguler Class Availability'!$L:$L,0),""))</f>
        <v>1541</v>
      </c>
      <c r="AT115" s="30" t="n">
        <f aca="false">IF($A115="","",IFERROR(MATCH($B$4&amp;"|- Lane 6 - "&amp;H$105&amp;"|"&amp;$A115,'Reguler Class Availability'!$L:$L,0),""))</f>
        <v>1553</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Tidak dibuka</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Tidak dibuka</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Tidak dibuka</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Tidak dibuka</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Tidak dibuka</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Tidak dibuka</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Tidak dibuka</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16:15</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v>
      </c>
      <c r="AN116" s="30" t="n">
        <f aca="false">IF($A116="","",IFERROR(MATCH($B$4&amp;"|- Lane 6 - "&amp;B$105&amp;"|"&amp;$A116,'Reguler Class Availability'!$L:$L,0),""))</f>
        <v>1482</v>
      </c>
      <c r="AO116" s="30" t="n">
        <f aca="false">IF($A116="","",IFERROR(MATCH($B$4&amp;"|- Lane 6 - "&amp;C$105&amp;"|"&amp;$A116,'Reguler Class Availability'!$L:$L,0),""))</f>
        <v>1494</v>
      </c>
      <c r="AP116" s="30" t="n">
        <f aca="false">IF($A116="","",IFERROR(MATCH($B$4&amp;"|- Lane 6 - "&amp;D$105&amp;"|"&amp;$A116,'Reguler Class Availability'!$L:$L,0),""))</f>
        <v>1506</v>
      </c>
      <c r="AQ116" s="30" t="n">
        <f aca="false">IF($A116="","",IFERROR(MATCH($B$4&amp;"|- Lane 6 - "&amp;E$105&amp;"|"&amp;$A116,'Reguler Class Availability'!$L:$L,0),""))</f>
        <v>1518</v>
      </c>
      <c r="AR116" s="30" t="n">
        <f aca="false">IF($A116="","",IFERROR(MATCH($B$4&amp;"|- Lane 6 - "&amp;F$105&amp;"|"&amp;$A116,'Reguler Class Availability'!$L:$L,0),""))</f>
        <v>1530</v>
      </c>
      <c r="AS116" s="30" t="n">
        <f aca="false">IF($A116="","",IFERROR(MATCH($B$4&amp;"|- Lane 6 - "&amp;G$105&amp;"|"&amp;$A116,'Reguler Class Availability'!$L:$L,0),""))</f>
        <v>1542</v>
      </c>
      <c r="AT116" s="30" t="n">
        <f aca="false">IF($A116="","",IFERROR(MATCH($B$4&amp;"|- Lane 6 - "&amp;H$105&amp;"|"&amp;$A116,'Reguler Class Availability'!$L:$L,0),""))</f>
        <v>1554</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Tidak dibuka</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Tidak dibuka</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Tidak dibuka</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Tidak dibuka</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Tidak dibuka</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Tidak dibuka</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Tidak dibuka</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17:00</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v>
      </c>
      <c r="AN117" s="30" t="n">
        <f aca="false">IF($A117="","",IFERROR(MATCH($B$4&amp;"|- Lane 6 - "&amp;B$105&amp;"|"&amp;$A117,'Reguler Class Availability'!$L:$L,0),""))</f>
        <v>1483</v>
      </c>
      <c r="AO117" s="30" t="n">
        <f aca="false">IF($A117="","",IFERROR(MATCH($B$4&amp;"|- Lane 6 - "&amp;C$105&amp;"|"&amp;$A117,'Reguler Class Availability'!$L:$L,0),""))</f>
        <v>1495</v>
      </c>
      <c r="AP117" s="30" t="n">
        <f aca="false">IF($A117="","",IFERROR(MATCH($B$4&amp;"|- Lane 6 - "&amp;D$105&amp;"|"&amp;$A117,'Reguler Class Availability'!$L:$L,0),""))</f>
        <v>1507</v>
      </c>
      <c r="AQ117" s="30" t="n">
        <f aca="false">IF($A117="","",IFERROR(MATCH($B$4&amp;"|- Lane 6 - "&amp;E$105&amp;"|"&amp;$A117,'Reguler Class Availability'!$L:$L,0),""))</f>
        <v>1519</v>
      </c>
      <c r="AR117" s="30" t="n">
        <f aca="false">IF($A117="","",IFERROR(MATCH($B$4&amp;"|- Lane 6 - "&amp;F$105&amp;"|"&amp;$A117,'Reguler Class Availability'!$L:$L,0),""))</f>
        <v>1531</v>
      </c>
      <c r="AS117" s="30" t="n">
        <f aca="false">IF($A117="","",IFERROR(MATCH($B$4&amp;"|- Lane 6 - "&amp;G$105&amp;"|"&amp;$A117,'Reguler Class Availability'!$L:$L,0),""))</f>
        <v>1543</v>
      </c>
      <c r="AT117" s="30" t="n">
        <f aca="false">IF($A117="","",IFERROR(MATCH($B$4&amp;"|- Lane 6 - "&amp;H$105&amp;"|"&amp;$A117,'Reguler Class Availability'!$L:$L,0),""))</f>
        <v>1555</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Tidak dibuka</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Tidak dibuka</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Tidak dibuka</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Tidak dibuka</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Tidak dibuka</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Tidak dibuka</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Tidak dibuka</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40.5" hidden="false" customHeight="true" outlineLevel="0" collapsed="false">
      <c r="A127" s="76" t="n">
        <v>1</v>
      </c>
      <c r="B127" s="77" t="s">
        <v>114</v>
      </c>
      <c r="C127" s="76" t="s">
        <v>91</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Star</v>
      </c>
      <c r="G127" s="76" t="n">
        <f aca="false">IF($Q127="","",IFERROR(--(INDEX('Reguler Class Availability'!$F:$F,$Q127)&amp;""),0))</f>
        <v>8</v>
      </c>
      <c r="H127" s="77" t="str">
        <f aca="false">IF($Q127="","",PROPER(INDEX('Reguler Class Availability'!$I:$I,$Q127)&amp;"")&amp;IF(INDEX('Reguler Class Availability'!$J:$J,$Q127)&amp;""="",""," + asst "&amp;PROPER(INDEX('Reguler Class Availability'!$J:$J,$Q127)&amp;"")))</f>
        <v/>
      </c>
      <c r="I127" s="77" t="s">
        <v>348</v>
      </c>
      <c r="J127" s="77" t="s">
        <v>186</v>
      </c>
      <c r="K127" s="78"/>
      <c r="L127" s="78"/>
      <c r="M127" s="78"/>
      <c r="N127" s="79"/>
      <c r="O127" s="78"/>
      <c r="Q127" s="30" t="n">
        <f aca="false">IFERROR(MATCH($B$4&amp;"|- Lane "&amp;D127&amp;" - "&amp;B127&amp;"|"&amp;C127,'Reguler Class Availability'!$L:$L,0),"")</f>
        <v>1122</v>
      </c>
      <c r="BD127" s="30" t="s">
        <v>90</v>
      </c>
      <c r="BE127" s="30" t="n">
        <f aca="false">IF(COUNTIFS('Reguler Class Availability'!$L:$L,$B$4&amp;"|- Lane 3 - *|"&amp;BD127)&gt;0,1,0)</f>
        <v>0</v>
      </c>
      <c r="BF127" s="30" t="n">
        <f aca="false">BE127+BF126</f>
        <v>0</v>
      </c>
    </row>
    <row r="128" customFormat="false" ht="27.75" hidden="false" customHeight="true" outlineLevel="0" collapsed="false">
      <c r="A128" s="76" t="n">
        <v>2</v>
      </c>
      <c r="B128" s="77" t="s">
        <v>114</v>
      </c>
      <c r="C128" s="76" t="s">
        <v>120</v>
      </c>
      <c r="D128" s="76" t="n">
        <v>3</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Belum terisi</v>
      </c>
      <c r="F128" s="77" t="str">
        <f aca="false">IF($Q128="","",PROPER(INDEX('Reguler Class Availability'!$B:$B,$Q128)&amp;""))</f>
        <v>Little</v>
      </c>
      <c r="G128" s="76" t="n">
        <f aca="false">IF($Q128="","",IFERROR(--(INDEX('Reguler Class Availability'!$F:$F,$Q128)&amp;""),0))</f>
        <v>4</v>
      </c>
      <c r="H128" s="77" t="str">
        <f aca="false">IF($Q128="","",PROPER(INDEX('Reguler Class Availability'!$I:$I,$Q128)&amp;"")&amp;IF(INDEX('Reguler Class Availability'!$J:$J,$Q128)&amp;""="",""," + asst "&amp;PROPER(INDEX('Reguler Class Availability'!$J:$J,$Q128)&amp;"")))</f>
        <v/>
      </c>
      <c r="I128" s="77" t="s">
        <v>349</v>
      </c>
      <c r="J128" s="77" t="s">
        <v>188</v>
      </c>
      <c r="K128" s="78"/>
      <c r="L128" s="78"/>
      <c r="M128" s="78"/>
      <c r="N128" s="79"/>
      <c r="O128" s="78"/>
      <c r="Q128" s="30" t="n">
        <f aca="false">IFERROR(MATCH($B$4&amp;"|- Lane "&amp;D128&amp;" - "&amp;B128&amp;"|"&amp;C128,'Reguler Class Availability'!$L:$L,0),"")</f>
        <v>1221</v>
      </c>
      <c r="BD128" s="30" t="s">
        <v>91</v>
      </c>
      <c r="BE128" s="30" t="n">
        <f aca="false">IF(COUNTIFS('Reguler Class Availability'!$L:$L,$B$4&amp;"|- Lane 3 - *|"&amp;BD128)&gt;0,1,0)</f>
        <v>0</v>
      </c>
      <c r="BF128" s="30" t="n">
        <f aca="false">BE128+BF127</f>
        <v>0</v>
      </c>
    </row>
    <row r="129" customFormat="false" ht="27.75" hidden="false" customHeight="true" outlineLevel="0" collapsed="false">
      <c r="A129" s="76" t="n">
        <v>3</v>
      </c>
      <c r="B129" s="77" t="s">
        <v>114</v>
      </c>
      <c r="C129" s="76" t="s">
        <v>120</v>
      </c>
      <c r="D129" s="76" t="n">
        <v>4</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Belum terisi</v>
      </c>
      <c r="F129" s="77" t="str">
        <f aca="false">IF($Q129="","",PROPER(INDEX('Reguler Class Availability'!$B:$B,$Q129)&amp;""))</f>
        <v>Kids</v>
      </c>
      <c r="G129" s="76" t="n">
        <f aca="false">IF($Q129="","",IFERROR(--(INDEX('Reguler Class Availability'!$F:$F,$Q129)&amp;""),0))</f>
        <v>4</v>
      </c>
      <c r="H129" s="77" t="str">
        <f aca="false">IF($Q129="","",PROPER(INDEX('Reguler Class Availability'!$I:$I,$Q129)&amp;"")&amp;IF(INDEX('Reguler Class Availability'!$J:$J,$Q129)&amp;""="",""," + asst "&amp;PROPER(INDEX('Reguler Class Availability'!$J:$J,$Q129)&amp;"")))</f>
        <v/>
      </c>
      <c r="I129" s="77" t="s">
        <v>349</v>
      </c>
      <c r="J129" s="77" t="s">
        <v>188</v>
      </c>
      <c r="K129" s="78"/>
      <c r="L129" s="78"/>
      <c r="M129" s="78"/>
      <c r="N129" s="79"/>
      <c r="O129" s="78"/>
      <c r="Q129" s="30" t="n">
        <f aca="false">IFERROR(MATCH($B$4&amp;"|- Lane "&amp;D129&amp;" - "&amp;B129&amp;"|"&amp;C129,'Reguler Class Availability'!$L:$L,0),"")</f>
        <v>1305</v>
      </c>
      <c r="BD129" s="30" t="s">
        <v>98</v>
      </c>
      <c r="BE129" s="30" t="n">
        <f aca="false">IF(COUNTIFS('Reguler Class Availability'!$L:$L,$B$4&amp;"|- Lane 3 - *|"&amp;BD129)&gt;0,1,0)</f>
        <v>0</v>
      </c>
      <c r="BF129" s="30" t="n">
        <f aca="false">BE129+BF128</f>
        <v>0</v>
      </c>
    </row>
    <row r="130" customFormat="false" ht="15.75" hidden="false" customHeight="true" outlineLevel="0" collapsed="false">
      <c r="A130" s="76" t="n">
        <v>4</v>
      </c>
      <c r="B130" s="77" t="s">
        <v>114</v>
      </c>
      <c r="C130" s="76" t="s">
        <v>121</v>
      </c>
      <c r="D130" s="76" t="n">
        <v>2</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Belum terisi</v>
      </c>
      <c r="F130" s="77" t="str">
        <f aca="false">IF($Q130="","",PROPER(INDEX('Reguler Class Availability'!$B:$B,$Q130)&amp;""))</f>
        <v>Tiny</v>
      </c>
      <c r="G130" s="76" t="n">
        <f aca="false">IF($Q130="","",IFERROR(--(INDEX('Reguler Class Availability'!$F:$F,$Q130)&amp;""),0))</f>
        <v>5</v>
      </c>
      <c r="H130" s="77" t="str">
        <f aca="false">IF($Q130="","",PROPER(INDEX('Reguler Class Availability'!$I:$I,$Q130)&amp;"")&amp;IF(INDEX('Reguler Class Availability'!$J:$J,$Q130)&amp;""="",""," + asst "&amp;PROPER(INDEX('Reguler Class Availability'!$J:$J,$Q130)&amp;"")))</f>
        <v/>
      </c>
      <c r="I130" s="77" t="s">
        <v>350</v>
      </c>
      <c r="J130" s="77" t="s">
        <v>188</v>
      </c>
      <c r="K130" s="78"/>
      <c r="L130" s="78"/>
      <c r="M130" s="78"/>
      <c r="N130" s="79"/>
      <c r="O130" s="78"/>
      <c r="Q130" s="30" t="n">
        <f aca="false">IFERROR(MATCH($B$4&amp;"|- Lane "&amp;D130&amp;" - "&amp;B130&amp;"|"&amp;C130,'Reguler Class Availability'!$L:$L,0),"")</f>
        <v>1137</v>
      </c>
      <c r="BD130" s="30" t="s">
        <v>105</v>
      </c>
      <c r="BE130" s="30" t="n">
        <f aca="false">IF(COUNTIFS('Reguler Class Availability'!$L:$L,$B$4&amp;"|- Lane 3 - *|"&amp;BD130)&gt;0,1,0)</f>
        <v>1</v>
      </c>
      <c r="BF130" s="30" t="n">
        <f aca="false">BE130+BF129</f>
        <v>1</v>
      </c>
    </row>
    <row r="131" customFormat="false" ht="15.75" hidden="false" customHeight="true" outlineLevel="0" collapsed="false">
      <c r="A131" s="76" t="n">
        <v>5</v>
      </c>
      <c r="B131" s="77" t="s">
        <v>114</v>
      </c>
      <c r="C131" s="76" t="s">
        <v>126</v>
      </c>
      <c r="D131" s="76" t="n">
        <v>4</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Kids</v>
      </c>
      <c r="G131" s="76" t="n">
        <f aca="false">IF($Q131="","",IFERROR(--(INDEX('Reguler Class Availability'!$F:$F,$Q131)&amp;""),0))</f>
        <v>4</v>
      </c>
      <c r="H131" s="77" t="str">
        <f aca="false">IF($Q131="","",PROPER(INDEX('Reguler Class Availability'!$I:$I,$Q131)&amp;"")&amp;IF(INDEX('Reguler Class Availability'!$J:$J,$Q131)&amp;""="",""," + asst "&amp;PROPER(INDEX('Reguler Class Availability'!$J:$J,$Q131)&amp;"")))</f>
        <v/>
      </c>
      <c r="I131" s="77" t="s">
        <v>351</v>
      </c>
      <c r="J131" s="77" t="s">
        <v>260</v>
      </c>
      <c r="K131" s="78"/>
      <c r="L131" s="78"/>
      <c r="M131" s="78"/>
      <c r="N131" s="79"/>
      <c r="O131" s="78"/>
      <c r="Q131" s="30" t="n">
        <f aca="false">IFERROR(MATCH($B$4&amp;"|- Lane "&amp;D131&amp;" - "&amp;B131&amp;"|"&amp;C131,'Reguler Class Availability'!$L:$L,0),"")</f>
        <v>1307</v>
      </c>
      <c r="BD131" s="30" t="s">
        <v>110</v>
      </c>
      <c r="BE131" s="30" t="n">
        <f aca="false">IF(COUNTIFS('Reguler Class Availability'!$L:$L,$B$4&amp;"|- Lane 3 - *|"&amp;BD131)&gt;0,1,0)</f>
        <v>0</v>
      </c>
      <c r="BF131" s="30" t="n">
        <f aca="false">BE131+BF130</f>
        <v>1</v>
      </c>
    </row>
    <row r="132" customFormat="false" ht="15.75" hidden="false" customHeight="true" outlineLevel="0" collapsed="false">
      <c r="A132" s="76" t="n">
        <v>6</v>
      </c>
      <c r="B132" s="77" t="s">
        <v>114</v>
      </c>
      <c r="C132" s="76" t="s">
        <v>127</v>
      </c>
      <c r="D132" s="76" t="n">
        <v>2</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Tiny</v>
      </c>
      <c r="G132" s="76" t="n">
        <f aca="false">IF($Q132="","",IFERROR(--(INDEX('Reguler Class Availability'!$F:$F,$Q132)&amp;""),0))</f>
        <v>5</v>
      </c>
      <c r="H132" s="77" t="str">
        <f aca="false">IF($Q132="","",PROPER(INDEX('Reguler Class Availability'!$I:$I,$Q132)&amp;"")&amp;IF(INDEX('Reguler Class Availability'!$J:$J,$Q132)&amp;""="",""," + asst "&amp;PROPER(INDEX('Reguler Class Availability'!$J:$J,$Q132)&amp;"")))</f>
        <v/>
      </c>
      <c r="I132" s="77" t="s">
        <v>351</v>
      </c>
      <c r="J132" s="77" t="s">
        <v>198</v>
      </c>
      <c r="K132" s="78"/>
      <c r="L132" s="78"/>
      <c r="M132" s="78"/>
      <c r="N132" s="79"/>
      <c r="O132" s="78"/>
      <c r="Q132" s="30" t="n">
        <f aca="false">IFERROR(MATCH($B$4&amp;"|- Lane "&amp;D132&amp;" - "&amp;B132&amp;"|"&amp;C132,'Reguler Class Availability'!$L:$L,0),"")</f>
        <v>1139</v>
      </c>
      <c r="BD132" s="30" t="s">
        <v>112</v>
      </c>
      <c r="BE132" s="30" t="n">
        <f aca="false">IF(COUNTIFS('Reguler Class Availability'!$L:$L,$B$4&amp;"|- Lane 3 - *|"&amp;BD132)&gt;0,1,0)</f>
        <v>0</v>
      </c>
      <c r="BF132" s="30" t="n">
        <f aca="false">BE132+BF131</f>
        <v>1</v>
      </c>
    </row>
    <row r="133" customFormat="false" ht="27.75" hidden="false" customHeight="true" outlineLevel="0" collapsed="false">
      <c r="A133" s="76" t="n">
        <v>7</v>
      </c>
      <c r="B133" s="77" t="s">
        <v>114</v>
      </c>
      <c r="C133" s="76" t="s">
        <v>129</v>
      </c>
      <c r="D133" s="76" t="n">
        <v>4</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Belum terisi</v>
      </c>
      <c r="F133" s="77" t="str">
        <f aca="false">IF($Q133="","",PROPER(INDEX('Reguler Class Availability'!$B:$B,$Q133)&amp;""))</f>
        <v>Kids</v>
      </c>
      <c r="G133" s="76" t="n">
        <f aca="false">IF($Q133="","",IFERROR(--(INDEX('Reguler Class Availability'!$F:$F,$Q133)&amp;""),0))</f>
        <v>4</v>
      </c>
      <c r="H133" s="77" t="str">
        <f aca="false">IF($Q133="","",PROPER(INDEX('Reguler Class Availability'!$I:$I,$Q133)&amp;"")&amp;IF(INDEX('Reguler Class Availability'!$J:$J,$Q133)&amp;""="",""," + asst "&amp;PROPER(INDEX('Reguler Class Availability'!$J:$J,$Q133)&amp;"")))</f>
        <v/>
      </c>
      <c r="I133" s="77" t="s">
        <v>349</v>
      </c>
      <c r="J133" s="77" t="s">
        <v>188</v>
      </c>
      <c r="K133" s="78"/>
      <c r="L133" s="78"/>
      <c r="M133" s="78"/>
      <c r="N133" s="79"/>
      <c r="O133" s="78"/>
      <c r="Q133" s="30" t="n">
        <f aca="false">IFERROR(MATCH($B$4&amp;"|- Lane "&amp;D133&amp;" - "&amp;B133&amp;"|"&amp;C133,'Reguler Class Availability'!$L:$L,0),"")</f>
        <v>1308</v>
      </c>
      <c r="BD133" s="30" t="s">
        <v>120</v>
      </c>
      <c r="BE133" s="30" t="n">
        <f aca="false">IF(COUNTIFS('Reguler Class Availability'!$L:$L,$B$4&amp;"|- Lane 3 - *|"&amp;BD133)&gt;0,1,0)</f>
        <v>1</v>
      </c>
      <c r="BF133" s="30" t="n">
        <f aca="false">BE133+BF132</f>
        <v>2</v>
      </c>
    </row>
    <row r="134" customFormat="false" ht="27.75" hidden="false" customHeight="true" outlineLevel="0" collapsed="false">
      <c r="A134" s="76" t="n">
        <v>8</v>
      </c>
      <c r="B134" s="77" t="s">
        <v>114</v>
      </c>
      <c r="C134" s="76" t="s">
        <v>130</v>
      </c>
      <c r="D134" s="76" t="n">
        <v>1</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Belum terisi</v>
      </c>
      <c r="F134" s="77" t="str">
        <f aca="false">IF($Q134="","",PROPER(INDEX('Reguler Class Availability'!$B:$B,$Q134)&amp;""))</f>
        <v>Baby</v>
      </c>
      <c r="G134" s="76" t="n">
        <f aca="false">IF($Q134="","",IFERROR(--(INDEX('Reguler Class Availability'!$F:$F,$Q134)&amp;""),0))</f>
        <v>5</v>
      </c>
      <c r="H134" s="77" t="str">
        <f aca="false">IF($Q134="","",PROPER(INDEX('Reguler Class Availability'!$I:$I,$Q134)&amp;"")&amp;IF(INDEX('Reguler Class Availability'!$J:$J,$Q134)&amp;""="",""," + asst "&amp;PROPER(INDEX('Reguler Class Availability'!$J:$J,$Q134)&amp;"")))</f>
        <v/>
      </c>
      <c r="I134" s="77" t="s">
        <v>349</v>
      </c>
      <c r="J134" s="77" t="s">
        <v>188</v>
      </c>
      <c r="K134" s="78"/>
      <c r="L134" s="78"/>
      <c r="M134" s="78"/>
      <c r="N134" s="79"/>
      <c r="O134" s="78"/>
      <c r="Q134" s="30" t="n">
        <f aca="false">IFERROR(MATCH($B$4&amp;"|- Lane "&amp;D134&amp;" - "&amp;B134&amp;"|"&amp;C134,'Reguler Class Availability'!$L:$L,0),"")</f>
        <v>1042</v>
      </c>
      <c r="BD134" s="30" t="s">
        <v>121</v>
      </c>
      <c r="BE134" s="30" t="n">
        <f aca="false">IF(COUNTIFS('Reguler Class Availability'!$L:$L,$B$4&amp;"|- Lane 3 - *|"&amp;BD134)&gt;0,1,0)</f>
        <v>0</v>
      </c>
      <c r="BF134" s="30" t="n">
        <f aca="false">BE134+BF133</f>
        <v>2</v>
      </c>
    </row>
    <row r="135" customFormat="false" ht="27.75" hidden="false" customHeight="true" outlineLevel="0" collapsed="false">
      <c r="A135" s="76" t="n">
        <v>9</v>
      </c>
      <c r="B135" s="77" t="s">
        <v>114</v>
      </c>
      <c r="C135" s="76" t="s">
        <v>130</v>
      </c>
      <c r="D135" s="76" t="n">
        <v>2</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Belum terisi</v>
      </c>
      <c r="F135" s="77" t="str">
        <f aca="false">IF($Q135="","",PROPER(INDEX('Reguler Class Availability'!$B:$B,$Q135)&amp;""))</f>
        <v>Tiny</v>
      </c>
      <c r="G135" s="76" t="n">
        <f aca="false">IF($Q135="","",IFERROR(--(INDEX('Reguler Class Availability'!$F:$F,$Q135)&amp;""),0))</f>
        <v>5</v>
      </c>
      <c r="H135" s="77" t="str">
        <f aca="false">IF($Q135="","",PROPER(INDEX('Reguler Class Availability'!$I:$I,$Q135)&amp;"")&amp;IF(INDEX('Reguler Class Availability'!$J:$J,$Q135)&amp;""="",""," + asst "&amp;PROPER(INDEX('Reguler Class Availability'!$J:$J,$Q135)&amp;"")))</f>
        <v/>
      </c>
      <c r="I135" s="77" t="s">
        <v>349</v>
      </c>
      <c r="J135" s="77" t="s">
        <v>188</v>
      </c>
      <c r="K135" s="78"/>
      <c r="L135" s="78"/>
      <c r="M135" s="78"/>
      <c r="N135" s="79"/>
      <c r="O135" s="78"/>
      <c r="Q135" s="30" t="n">
        <f aca="false">IFERROR(MATCH($B$4&amp;"|- Lane "&amp;D135&amp;" - "&amp;B135&amp;"|"&amp;C135,'Reguler Class Availability'!$L:$L,0),"")</f>
        <v>1140</v>
      </c>
      <c r="BD135" s="30" t="s">
        <v>122</v>
      </c>
      <c r="BE135" s="30" t="n">
        <f aca="false">IF(COUNTIFS('Reguler Class Availability'!$L:$L,$B$4&amp;"|- Lane 3 - *|"&amp;BD135)&gt;0,1,0)</f>
        <v>0</v>
      </c>
      <c r="BF135" s="30" t="n">
        <f aca="false">BE135+BF134</f>
        <v>2</v>
      </c>
    </row>
    <row r="136" customFormat="false" ht="27.75" hidden="false" customHeight="true" outlineLevel="0" collapsed="false">
      <c r="A136" s="76" t="n">
        <v>10</v>
      </c>
      <c r="B136" s="77" t="s">
        <v>114</v>
      </c>
      <c r="C136" s="76" t="s">
        <v>139</v>
      </c>
      <c r="D136" s="76" t="n">
        <v>3</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Belum terisi</v>
      </c>
      <c r="F136" s="77" t="str">
        <f aca="false">IF($Q136="","",PROPER(INDEX('Reguler Class Availability'!$B:$B,$Q136)&amp;""))</f>
        <v>Little</v>
      </c>
      <c r="G136" s="76" t="n">
        <f aca="false">IF($Q136="","",IFERROR(--(INDEX('Reguler Class Availability'!$F:$F,$Q136)&amp;""),0))</f>
        <v>4</v>
      </c>
      <c r="H136" s="77" t="str">
        <f aca="false">IF($Q136="","",PROPER(INDEX('Reguler Class Availability'!$I:$I,$Q136)&amp;"")&amp;IF(INDEX('Reguler Class Availability'!$J:$J,$Q136)&amp;""="",""," + asst "&amp;PROPER(INDEX('Reguler Class Availability'!$J:$J,$Q136)&amp;"")))</f>
        <v/>
      </c>
      <c r="I136" s="77" t="s">
        <v>349</v>
      </c>
      <c r="J136" s="77" t="s">
        <v>188</v>
      </c>
      <c r="K136" s="78"/>
      <c r="L136" s="78"/>
      <c r="M136" s="78"/>
      <c r="N136" s="79"/>
      <c r="O136" s="78"/>
      <c r="Q136" s="30" t="n">
        <f aca="false">IFERROR(MATCH($B$4&amp;"|- Lane "&amp;D136&amp;" - "&amp;B136&amp;"|"&amp;C136,'Reguler Class Availability'!$L:$L,0),"")</f>
        <v>1226</v>
      </c>
      <c r="BD136" s="30" t="s">
        <v>123</v>
      </c>
      <c r="BE136" s="30" t="n">
        <f aca="false">IF(COUNTIFS('Reguler Class Availability'!$L:$L,$B$4&amp;"|- Lane 3 - *|"&amp;BD136)&gt;0,1,0)</f>
        <v>1</v>
      </c>
      <c r="BF136" s="30" t="n">
        <f aca="false">BE136+BF135</f>
        <v>3</v>
      </c>
    </row>
    <row r="137" customFormat="false" ht="15.75" hidden="false" customHeight="true" outlineLevel="0" collapsed="false">
      <c r="A137" s="76" t="n">
        <v>11</v>
      </c>
      <c r="B137" s="77" t="s">
        <v>114</v>
      </c>
      <c r="C137" s="76" t="s">
        <v>141</v>
      </c>
      <c r="D137" s="76" t="n">
        <v>1</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Belum terisi</v>
      </c>
      <c r="F137" s="77" t="str">
        <f aca="false">IF($Q137="","",PROPER(INDEX('Reguler Class Availability'!$B:$B,$Q137)&amp;""))</f>
        <v>Baby</v>
      </c>
      <c r="G137" s="76" t="n">
        <f aca="false">IF($Q137="","",IFERROR(--(INDEX('Reguler Class Availability'!$F:$F,$Q137)&amp;""),0))</f>
        <v>5</v>
      </c>
      <c r="H137" s="77" t="str">
        <f aca="false">IF($Q137="","",PROPER(INDEX('Reguler Class Availability'!$I:$I,$Q137)&amp;"")&amp;IF(INDEX('Reguler Class Availability'!$J:$J,$Q137)&amp;""="",""," + asst "&amp;PROPER(INDEX('Reguler Class Availability'!$J:$J,$Q137)&amp;"")))</f>
        <v/>
      </c>
      <c r="I137" s="77" t="s">
        <v>351</v>
      </c>
      <c r="J137" s="77" t="s">
        <v>288</v>
      </c>
      <c r="K137" s="78"/>
      <c r="L137" s="78"/>
      <c r="M137" s="78"/>
      <c r="N137" s="79"/>
      <c r="O137" s="78"/>
      <c r="Q137" s="30" t="n">
        <f aca="false">IFERROR(MATCH($B$4&amp;"|- Lane "&amp;D137&amp;" - "&amp;B137&amp;"|"&amp;C137,'Reguler Class Availability'!$L:$L,0),"")</f>
        <v>1044</v>
      </c>
      <c r="BD137" s="30" t="s">
        <v>124</v>
      </c>
      <c r="BE137" s="30" t="n">
        <f aca="false">IF(COUNTIFS('Reguler Class Availability'!$L:$L,$B$4&amp;"|- Lane 3 - *|"&amp;BD137)&gt;0,1,0)</f>
        <v>0</v>
      </c>
      <c r="BF137" s="30" t="n">
        <f aca="false">BE137+BF136</f>
        <v>3</v>
      </c>
    </row>
    <row r="138" customFormat="false" ht="15.75" hidden="false" customHeight="true" outlineLevel="0" collapsed="false">
      <c r="A138" s="76" t="n">
        <v>12</v>
      </c>
      <c r="B138" s="77" t="s">
        <v>114</v>
      </c>
      <c r="C138" s="76" t="s">
        <v>141</v>
      </c>
      <c r="D138" s="76" t="n">
        <v>2</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Tiny</v>
      </c>
      <c r="G138" s="76" t="n">
        <f aca="false">IF($Q138="","",IFERROR(--(INDEX('Reguler Class Availability'!$F:$F,$Q138)&amp;""),0))</f>
        <v>5</v>
      </c>
      <c r="H138" s="77" t="str">
        <f aca="false">IF($Q138="","",PROPER(INDEX('Reguler Class Availability'!$I:$I,$Q138)&amp;"")&amp;IF(INDEX('Reguler Class Availability'!$J:$J,$Q138)&amp;""="",""," + asst "&amp;PROPER(INDEX('Reguler Class Availability'!$J:$J,$Q138)&amp;"")))</f>
        <v/>
      </c>
      <c r="I138" s="77" t="s">
        <v>351</v>
      </c>
      <c r="J138" s="77" t="s">
        <v>198</v>
      </c>
      <c r="K138" s="78"/>
      <c r="L138" s="78"/>
      <c r="M138" s="78"/>
      <c r="N138" s="79"/>
      <c r="O138" s="78"/>
      <c r="Q138" s="30" t="n">
        <f aca="false">IFERROR(MATCH($B$4&amp;"|- Lane "&amp;D138&amp;" - "&amp;B138&amp;"|"&amp;C138,'Reguler Class Availability'!$L:$L,0),"")</f>
        <v>1142</v>
      </c>
      <c r="BD138" s="30" t="s">
        <v>125</v>
      </c>
      <c r="BE138" s="30" t="n">
        <f aca="false">IF(COUNTIFS('Reguler Class Availability'!$L:$L,$B$4&amp;"|- Lane 3 - *|"&amp;BD138)&gt;0,1,0)</f>
        <v>0</v>
      </c>
      <c r="BF138" s="30" t="n">
        <f aca="false">BE138+BF137</f>
        <v>3</v>
      </c>
    </row>
    <row r="139" customFormat="false" ht="27.75" hidden="false" customHeight="true" outlineLevel="0" collapsed="false">
      <c r="A139" s="76" t="n">
        <v>13</v>
      </c>
      <c r="B139" s="77" t="s">
        <v>114</v>
      </c>
      <c r="C139" s="76" t="s">
        <v>143</v>
      </c>
      <c r="D139" s="76" t="n">
        <v>3</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Belum terisi</v>
      </c>
      <c r="F139" s="77" t="str">
        <f aca="false">IF($Q139="","",PROPER(INDEX('Reguler Class Availability'!$B:$B,$Q139)&amp;""))</f>
        <v>Little</v>
      </c>
      <c r="G139" s="76" t="n">
        <f aca="false">IF($Q139="","",IFERROR(--(INDEX('Reguler Class Availability'!$F:$F,$Q139)&amp;""),0))</f>
        <v>4</v>
      </c>
      <c r="H139" s="77" t="str">
        <f aca="false">IF($Q139="","",PROPER(INDEX('Reguler Class Availability'!$I:$I,$Q139)&amp;"")&amp;IF(INDEX('Reguler Class Availability'!$J:$J,$Q139)&amp;""="",""," + asst "&amp;PROPER(INDEX('Reguler Class Availability'!$J:$J,$Q139)&amp;"")))</f>
        <v/>
      </c>
      <c r="I139" s="77" t="s">
        <v>352</v>
      </c>
      <c r="J139" s="77" t="s">
        <v>186</v>
      </c>
      <c r="K139" s="78"/>
      <c r="L139" s="78"/>
      <c r="M139" s="78"/>
      <c r="N139" s="79"/>
      <c r="O139" s="78"/>
      <c r="Q139" s="30" t="n">
        <f aca="false">IFERROR(MATCH($B$4&amp;"|- Lane "&amp;D139&amp;" - "&amp;B139&amp;"|"&amp;C139,'Reguler Class Availability'!$L:$L,0),"")</f>
        <v>1227</v>
      </c>
      <c r="BD139" s="30" t="s">
        <v>126</v>
      </c>
      <c r="BE139" s="30" t="n">
        <f aca="false">IF(COUNTIFS('Reguler Class Availability'!$L:$L,$B$4&amp;"|- Lane 3 - *|"&amp;BD139)&gt;0,1,0)</f>
        <v>1</v>
      </c>
      <c r="BF139" s="30" t="n">
        <f aca="false">BE139+BF138</f>
        <v>4</v>
      </c>
    </row>
    <row r="140" customFormat="false" ht="15.75" hidden="false" customHeight="true" outlineLevel="0" collapsed="false">
      <c r="A140" s="76" t="n">
        <v>14</v>
      </c>
      <c r="B140" s="77" t="s">
        <v>114</v>
      </c>
      <c r="C140" s="76" t="s">
        <v>144</v>
      </c>
      <c r="D140" s="76" t="n">
        <v>1</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Belum terisi</v>
      </c>
      <c r="F140" s="77" t="str">
        <f aca="false">IF($Q140="","",PROPER(INDEX('Reguler Class Availability'!$B:$B,$Q140)&amp;""))</f>
        <v>Baby</v>
      </c>
      <c r="G140" s="76" t="n">
        <f aca="false">IF($Q140="","",IFERROR(--(INDEX('Reguler Class Availability'!$F:$F,$Q140)&amp;""),0))</f>
        <v>5</v>
      </c>
      <c r="H140" s="77" t="str">
        <f aca="false">IF($Q140="","",PROPER(INDEX('Reguler Class Availability'!$I:$I,$Q140)&amp;"")&amp;IF(INDEX('Reguler Class Availability'!$J:$J,$Q140)&amp;""="",""," + asst "&amp;PROPER(INDEX('Reguler Class Availability'!$J:$J,$Q140)&amp;"")))</f>
        <v/>
      </c>
      <c r="I140" s="77" t="s">
        <v>351</v>
      </c>
      <c r="J140" s="77" t="s">
        <v>288</v>
      </c>
      <c r="K140" s="78"/>
      <c r="L140" s="78"/>
      <c r="M140" s="78"/>
      <c r="N140" s="79"/>
      <c r="O140" s="78"/>
      <c r="Q140" s="30" t="n">
        <f aca="false">IFERROR(MATCH($B$4&amp;"|- Lane "&amp;D140&amp;" - "&amp;B140&amp;"|"&amp;C140,'Reguler Class Availability'!$L:$L,0),"")</f>
        <v>1045</v>
      </c>
      <c r="BD140" s="30" t="s">
        <v>127</v>
      </c>
      <c r="BE140" s="30" t="n">
        <f aca="false">IF(COUNTIFS('Reguler Class Availability'!$L:$L,$B$4&amp;"|- Lane 3 - *|"&amp;BD140)&gt;0,1,0)</f>
        <v>0</v>
      </c>
      <c r="BF140" s="30" t="n">
        <f aca="false">BE140+BF139</f>
        <v>4</v>
      </c>
    </row>
    <row r="141" customFormat="false" ht="15.75" hidden="false" customHeight="true" outlineLevel="0" collapsed="false">
      <c r="A141" s="76" t="n">
        <v>15</v>
      </c>
      <c r="B141" s="77" t="s">
        <v>114</v>
      </c>
      <c r="C141" s="76" t="s">
        <v>144</v>
      </c>
      <c r="D141" s="76" t="n">
        <v>2</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Belum terisi</v>
      </c>
      <c r="F141" s="77" t="str">
        <f aca="false">IF($Q141="","",PROPER(INDEX('Reguler Class Availability'!$B:$B,$Q141)&amp;""))</f>
        <v>Tiny</v>
      </c>
      <c r="G141" s="76" t="n">
        <f aca="false">IF($Q141="","",IFERROR(--(INDEX('Reguler Class Availability'!$F:$F,$Q141)&amp;""),0))</f>
        <v>5</v>
      </c>
      <c r="H141" s="77" t="str">
        <f aca="false">IF($Q141="","",PROPER(INDEX('Reguler Class Availability'!$I:$I,$Q141)&amp;"")&amp;IF(INDEX('Reguler Class Availability'!$J:$J,$Q141)&amp;""="",""," + asst "&amp;PROPER(INDEX('Reguler Class Availability'!$J:$J,$Q141)&amp;"")))</f>
        <v/>
      </c>
      <c r="I141" s="77" t="s">
        <v>351</v>
      </c>
      <c r="J141" s="77" t="s">
        <v>198</v>
      </c>
      <c r="K141" s="78"/>
      <c r="L141" s="78"/>
      <c r="M141" s="78"/>
      <c r="N141" s="79"/>
      <c r="O141" s="78"/>
      <c r="Q141" s="30" t="n">
        <f aca="false">IFERROR(MATCH($B$4&amp;"|- Lane "&amp;D141&amp;" - "&amp;B141&amp;"|"&amp;C141,'Reguler Class Availability'!$L:$L,0),"")</f>
        <v>1143</v>
      </c>
      <c r="BD141" s="30" t="s">
        <v>128</v>
      </c>
      <c r="BE141" s="30" t="n">
        <f aca="false">IF(COUNTIFS('Reguler Class Availability'!$L:$L,$B$4&amp;"|- Lane 3 - *|"&amp;BD141)&gt;0,1,0)</f>
        <v>0</v>
      </c>
      <c r="BF141" s="30" t="n">
        <f aca="false">BE141+BF140</f>
        <v>4</v>
      </c>
    </row>
    <row r="142" customFormat="false" ht="27.75" hidden="false" customHeight="true" outlineLevel="0" collapsed="false">
      <c r="A142" s="76" t="n">
        <v>16</v>
      </c>
      <c r="B142" s="77" t="s">
        <v>114</v>
      </c>
      <c r="C142" s="76" t="s">
        <v>146</v>
      </c>
      <c r="D142" s="76" t="n">
        <v>3</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Little</v>
      </c>
      <c r="G142" s="76" t="n">
        <f aca="false">IF($Q142="","",IFERROR(--(INDEX('Reguler Class Availability'!$F:$F,$Q142)&amp;""),0))</f>
        <v>4</v>
      </c>
      <c r="H142" s="77" t="str">
        <f aca="false">IF($Q142="","",PROPER(INDEX('Reguler Class Availability'!$I:$I,$Q142)&amp;"")&amp;IF(INDEX('Reguler Class Availability'!$J:$J,$Q142)&amp;""="",""," + asst "&amp;PROPER(INDEX('Reguler Class Availability'!$J:$J,$Q142)&amp;"")))</f>
        <v/>
      </c>
      <c r="I142" s="77" t="s">
        <v>349</v>
      </c>
      <c r="J142" s="77" t="s">
        <v>188</v>
      </c>
      <c r="K142" s="78"/>
      <c r="L142" s="78"/>
      <c r="M142" s="78"/>
      <c r="N142" s="79"/>
      <c r="O142" s="78"/>
      <c r="Q142" s="30" t="n">
        <f aca="false">IFERROR(MATCH($B$4&amp;"|- Lane "&amp;D142&amp;" - "&amp;B142&amp;"|"&amp;C142,'Reguler Class Availability'!$L:$L,0),"")</f>
        <v>1228</v>
      </c>
      <c r="BD142" s="30" t="s">
        <v>129</v>
      </c>
      <c r="BE142" s="30" t="n">
        <f aca="false">IF(COUNTIFS('Reguler Class Availability'!$L:$L,$B$4&amp;"|- Lane 3 - *|"&amp;BD142)&gt;0,1,0)</f>
        <v>1</v>
      </c>
      <c r="BF142" s="30" t="n">
        <f aca="false">BE142+BF141</f>
        <v>5</v>
      </c>
    </row>
    <row r="143" customFormat="false" ht="15.75" hidden="false" customHeight="true" outlineLevel="0" collapsed="false">
      <c r="A143" s="76" t="n">
        <v>17</v>
      </c>
      <c r="B143" s="77" t="s">
        <v>114</v>
      </c>
      <c r="C143" s="76" t="s">
        <v>147</v>
      </c>
      <c r="D143" s="76" t="n">
        <v>1</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Kosong</v>
      </c>
      <c r="F143" s="77" t="str">
        <f aca="false">IF($Q143="","",PROPER(INDEX('Reguler Class Availability'!$B:$B,$Q143)&amp;""))</f>
        <v/>
      </c>
      <c r="G143" s="76" t="n">
        <f aca="false">IF($Q143="","",IFERROR(--(INDEX('Reguler Class Availability'!$F:$F,$Q143)&amp;""),0))</f>
        <v>5</v>
      </c>
      <c r="H143" s="77" t="str">
        <f aca="false">IF($Q143="","",PROPER(INDEX('Reguler Class Availability'!$I:$I,$Q143)&amp;"")&amp;IF(INDEX('Reguler Class Availability'!$J:$J,$Q143)&amp;""="",""," + asst "&amp;PROPER(INDEX('Reguler Class Availability'!$J:$J,$Q143)&amp;"")))</f>
        <v/>
      </c>
      <c r="I143" s="80" t="s">
        <v>199</v>
      </c>
      <c r="J143" s="77" t="s">
        <v>309</v>
      </c>
      <c r="K143" s="78"/>
      <c r="L143" s="78"/>
      <c r="M143" s="78"/>
      <c r="N143" s="79"/>
      <c r="O143" s="78"/>
      <c r="Q143" s="30" t="n">
        <f aca="false">IFERROR(MATCH($B$4&amp;"|- Lane "&amp;D143&amp;" - "&amp;B143&amp;"|"&amp;C143,'Reguler Class Availability'!$L:$L,0),"")</f>
        <v>1046</v>
      </c>
      <c r="BD143" s="30" t="s">
        <v>130</v>
      </c>
      <c r="BE143" s="30" t="n">
        <f aca="false">IF(COUNTIFS('Reguler Class Availability'!$L:$L,$B$4&amp;"|- Lane 3 - *|"&amp;BD143)&gt;0,1,0)</f>
        <v>0</v>
      </c>
      <c r="BF143" s="30" t="n">
        <f aca="false">BE143+BF142</f>
        <v>5</v>
      </c>
    </row>
    <row r="144" customFormat="false" ht="15.75" hidden="false" customHeight="true" outlineLevel="0" collapsed="false">
      <c r="A144" s="76" t="n">
        <v>18</v>
      </c>
      <c r="B144" s="77" t="s">
        <v>114</v>
      </c>
      <c r="C144" s="76" t="s">
        <v>150</v>
      </c>
      <c r="D144" s="76" t="n">
        <v>1</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Kosong</v>
      </c>
      <c r="F144" s="77" t="str">
        <f aca="false">IF($Q144="","",PROPER(INDEX('Reguler Class Availability'!$B:$B,$Q144)&amp;""))</f>
        <v/>
      </c>
      <c r="G144" s="76" t="n">
        <f aca="false">IF($Q144="","",IFERROR(--(INDEX('Reguler Class Availability'!$F:$F,$Q144)&amp;""),0))</f>
        <v>5</v>
      </c>
      <c r="H144" s="77" t="str">
        <f aca="false">IF($Q144="","",PROPER(INDEX('Reguler Class Availability'!$I:$I,$Q144)&amp;"")&amp;IF(INDEX('Reguler Class Availability'!$J:$J,$Q144)&amp;""="",""," + asst "&amp;PROPER(INDEX('Reguler Class Availability'!$J:$J,$Q144)&amp;"")))</f>
        <v/>
      </c>
      <c r="I144" s="80" t="s">
        <v>199</v>
      </c>
      <c r="J144" s="77" t="s">
        <v>309</v>
      </c>
      <c r="K144" s="78"/>
      <c r="L144" s="78"/>
      <c r="M144" s="78"/>
      <c r="N144" s="79"/>
      <c r="O144" s="78"/>
      <c r="Q144" s="30" t="n">
        <f aca="false">IFERROR(MATCH($B$4&amp;"|- Lane "&amp;D144&amp;" - "&amp;B144&amp;"|"&amp;C144,'Reguler Class Availability'!$L:$L,0),"")</f>
        <v>1047</v>
      </c>
      <c r="BD144" s="30" t="s">
        <v>131</v>
      </c>
      <c r="BE144" s="30" t="n">
        <f aca="false">IF(COUNTIFS('Reguler Class Availability'!$L:$L,$B$4&amp;"|- Lane 3 - *|"&amp;BD144)&gt;0,1,0)</f>
        <v>0</v>
      </c>
      <c r="BF144" s="30" t="n">
        <f aca="false">BE144+BF143</f>
        <v>5</v>
      </c>
    </row>
    <row r="145" customFormat="false" ht="15.75" hidden="false" customHeight="true" outlineLevel="0" collapsed="false">
      <c r="A145" s="76" t="n">
        <v>19</v>
      </c>
      <c r="B145" s="77" t="s">
        <v>114</v>
      </c>
      <c r="C145" s="76" t="s">
        <v>153</v>
      </c>
      <c r="D145" s="76" t="n">
        <v>1</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Kosong</v>
      </c>
      <c r="F145" s="77" t="str">
        <f aca="false">IF($Q145="","",PROPER(INDEX('Reguler Class Availability'!$B:$B,$Q145)&amp;""))</f>
        <v/>
      </c>
      <c r="G145" s="76" t="n">
        <f aca="false">IF($Q145="","",IFERROR(--(INDEX('Reguler Class Availability'!$F:$F,$Q145)&amp;""),0))</f>
        <v>5</v>
      </c>
      <c r="H145" s="77" t="str">
        <f aca="false">IF($Q145="","",PROPER(INDEX('Reguler Class Availability'!$I:$I,$Q145)&amp;"")&amp;IF(INDEX('Reguler Class Availability'!$J:$J,$Q145)&amp;""="",""," + asst "&amp;PROPER(INDEX('Reguler Class Availability'!$J:$J,$Q145)&amp;"")))</f>
        <v/>
      </c>
      <c r="I145" s="80" t="s">
        <v>199</v>
      </c>
      <c r="J145" s="77" t="s">
        <v>309</v>
      </c>
      <c r="K145" s="78"/>
      <c r="L145" s="78"/>
      <c r="M145" s="78"/>
      <c r="N145" s="79"/>
      <c r="O145" s="78"/>
      <c r="Q145" s="30" t="n">
        <f aca="false">IFERROR(MATCH($B$4&amp;"|- Lane "&amp;D145&amp;" - "&amp;B145&amp;"|"&amp;C145,'Reguler Class Availability'!$L:$L,0),"")</f>
        <v>1048</v>
      </c>
      <c r="BD145" s="30" t="s">
        <v>132</v>
      </c>
      <c r="BE145" s="30" t="n">
        <f aca="false">IF(COUNTIFS('Reguler Class Availability'!$L:$L,$B$4&amp;"|- Lane 3 - *|"&amp;BD145)&gt;0,1,0)</f>
        <v>1</v>
      </c>
      <c r="BF145" s="30" t="n">
        <f aca="false">BE145+BF144</f>
        <v>6</v>
      </c>
    </row>
    <row r="146" customFormat="false" ht="15.75" hidden="false" customHeight="true" outlineLevel="0" collapsed="false">
      <c r="A146" s="76" t="n">
        <v>20</v>
      </c>
      <c r="B146" s="77" t="s">
        <v>114</v>
      </c>
      <c r="C146" s="76" t="s">
        <v>153</v>
      </c>
      <c r="D146" s="76" t="n">
        <v>2</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Kosong</v>
      </c>
      <c r="F146" s="77" t="str">
        <f aca="false">IF($Q146="","",PROPER(INDEX('Reguler Class Availability'!$B:$B,$Q146)&amp;""))</f>
        <v/>
      </c>
      <c r="G146" s="76" t="n">
        <f aca="false">IF($Q146="","",IFERROR(--(INDEX('Reguler Class Availability'!$F:$F,$Q146)&amp;""),0))</f>
        <v>5</v>
      </c>
      <c r="H146" s="77" t="str">
        <f aca="false">IF($Q146="","",PROPER(INDEX('Reguler Class Availability'!$I:$I,$Q146)&amp;"")&amp;IF(INDEX('Reguler Class Availability'!$J:$J,$Q146)&amp;""="",""," + asst "&amp;PROPER(INDEX('Reguler Class Availability'!$J:$J,$Q146)&amp;"")))</f>
        <v/>
      </c>
      <c r="I146" s="80" t="s">
        <v>199</v>
      </c>
      <c r="J146" s="77" t="s">
        <v>309</v>
      </c>
      <c r="K146" s="78"/>
      <c r="L146" s="78"/>
      <c r="M146" s="78"/>
      <c r="N146" s="79"/>
      <c r="O146" s="78"/>
      <c r="Q146" s="30" t="n">
        <f aca="false">IFERROR(MATCH($B$4&amp;"|- Lane "&amp;D146&amp;" - "&amp;B146&amp;"|"&amp;C146,'Reguler Class Availability'!$L:$L,0),"")</f>
        <v>1146</v>
      </c>
      <c r="BD146" s="30" t="s">
        <v>133</v>
      </c>
      <c r="BE146" s="30" t="n">
        <f aca="false">IF(COUNTIFS('Reguler Class Availability'!$L:$L,$B$4&amp;"|- Lane 3 - *|"&amp;BD146)&gt;0,1,0)</f>
        <v>0</v>
      </c>
      <c r="BF146" s="30" t="n">
        <f aca="false">BE146+BF145</f>
        <v>6</v>
      </c>
    </row>
    <row r="147" customFormat="false" ht="15.75" hidden="false" customHeight="true" outlineLevel="0" collapsed="false">
      <c r="A147" s="76" t="n">
        <v>21</v>
      </c>
      <c r="B147" s="77" t="s">
        <v>114</v>
      </c>
      <c r="C147" s="76" t="s">
        <v>155</v>
      </c>
      <c r="D147" s="76" t="n">
        <v>3</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Belum terisi</v>
      </c>
      <c r="F147" s="77" t="str">
        <f aca="false">IF($Q147="","",PROPER(INDEX('Reguler Class Availability'!$B:$B,$Q147)&amp;""))</f>
        <v>Little</v>
      </c>
      <c r="G147" s="76" t="n">
        <f aca="false">IF($Q147="","",IFERROR(--(INDEX('Reguler Class Availability'!$F:$F,$Q147)&amp;""),0))</f>
        <v>4</v>
      </c>
      <c r="H147" s="77" t="str">
        <f aca="false">IF($Q147="","",PROPER(INDEX('Reguler Class Availability'!$I:$I,$Q147)&amp;"")&amp;IF(INDEX('Reguler Class Availability'!$J:$J,$Q147)&amp;""="",""," + asst "&amp;PROPER(INDEX('Reguler Class Availability'!$J:$J,$Q147)&amp;"")))</f>
        <v/>
      </c>
      <c r="I147" s="77" t="s">
        <v>353</v>
      </c>
      <c r="J147" s="77" t="s">
        <v>186</v>
      </c>
      <c r="K147" s="78"/>
      <c r="L147" s="78"/>
      <c r="M147" s="78"/>
      <c r="N147" s="79"/>
      <c r="O147" s="78"/>
      <c r="Q147" s="30" t="n">
        <f aca="false">IFERROR(MATCH($B$4&amp;"|- Lane "&amp;D147&amp;" - "&amp;B147&amp;"|"&amp;C147,'Reguler Class Availability'!$L:$L,0),"")</f>
        <v>1231</v>
      </c>
      <c r="BD147" s="30" t="s">
        <v>134</v>
      </c>
      <c r="BE147" s="30" t="n">
        <f aca="false">IF(COUNTIFS('Reguler Class Availability'!$L:$L,$B$4&amp;"|- Lane 3 - *|"&amp;BD147)&gt;0,1,0)</f>
        <v>0</v>
      </c>
      <c r="BF147" s="30" t="n">
        <f aca="false">BE147+BF146</f>
        <v>6</v>
      </c>
    </row>
    <row r="148" customFormat="false" ht="15.75" hidden="false" customHeight="true" outlineLevel="0" collapsed="false">
      <c r="A148" s="76" t="n">
        <v>22</v>
      </c>
      <c r="B148" s="77" t="s">
        <v>114</v>
      </c>
      <c r="C148" s="76" t="s">
        <v>156</v>
      </c>
      <c r="D148" s="76" t="n">
        <v>1</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Baby</v>
      </c>
      <c r="G148" s="76" t="n">
        <f aca="false">IF($Q148="","",IFERROR(--(INDEX('Reguler Class Availability'!$F:$F,$Q148)&amp;""),0))</f>
        <v>5</v>
      </c>
      <c r="H148" s="77" t="str">
        <f aca="false">IF($Q148="","",PROPER(INDEX('Reguler Class Availability'!$I:$I,$Q148)&amp;"")&amp;IF(INDEX('Reguler Class Availability'!$J:$J,$Q148)&amp;""="",""," + asst "&amp;PROPER(INDEX('Reguler Class Availability'!$J:$J,$Q148)&amp;"")))</f>
        <v/>
      </c>
      <c r="I148" s="77" t="s">
        <v>353</v>
      </c>
      <c r="J148" s="77" t="s">
        <v>186</v>
      </c>
      <c r="K148" s="78"/>
      <c r="L148" s="78"/>
      <c r="M148" s="78"/>
      <c r="N148" s="79"/>
      <c r="O148" s="78"/>
      <c r="Q148" s="30" t="n">
        <f aca="false">IFERROR(MATCH($B$4&amp;"|- Lane "&amp;D148&amp;" - "&amp;B148&amp;"|"&amp;C148,'Reguler Class Availability'!$L:$L,0),"")</f>
        <v>1049</v>
      </c>
      <c r="BD148" s="30" t="s">
        <v>135</v>
      </c>
      <c r="BE148" s="30" t="n">
        <f aca="false">IF(COUNTIFS('Reguler Class Availability'!$L:$L,$B$4&amp;"|- Lane 3 - *|"&amp;BD148)&gt;0,1,0)</f>
        <v>0</v>
      </c>
      <c r="BF148" s="30" t="n">
        <f aca="false">BE148+BF147</f>
        <v>6</v>
      </c>
    </row>
    <row r="149" customFormat="false" ht="15.75" hidden="false" customHeight="true" outlineLevel="0" collapsed="false">
      <c r="A149" s="76" t="n">
        <v>23</v>
      </c>
      <c r="B149" s="77" t="s">
        <v>114</v>
      </c>
      <c r="C149" s="76" t="s">
        <v>156</v>
      </c>
      <c r="D149" s="76" t="n">
        <v>2</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Kosong</v>
      </c>
      <c r="F149" s="77" t="str">
        <f aca="false">IF($Q149="","",PROPER(INDEX('Reguler Class Availability'!$B:$B,$Q149)&amp;""))</f>
        <v/>
      </c>
      <c r="G149" s="76" t="n">
        <f aca="false">IF($Q149="","",IFERROR(--(INDEX('Reguler Class Availability'!$F:$F,$Q149)&amp;""),0))</f>
        <v>5</v>
      </c>
      <c r="H149" s="77" t="str">
        <f aca="false">IF($Q149="","",PROPER(INDEX('Reguler Class Availability'!$I:$I,$Q149)&amp;"")&amp;IF(INDEX('Reguler Class Availability'!$J:$J,$Q149)&amp;""="",""," + asst "&amp;PROPER(INDEX('Reguler Class Availability'!$J:$J,$Q149)&amp;"")))</f>
        <v/>
      </c>
      <c r="I149" s="77" t="s">
        <v>353</v>
      </c>
      <c r="J149" s="77" t="s">
        <v>186</v>
      </c>
      <c r="K149" s="78"/>
      <c r="L149" s="78"/>
      <c r="M149" s="78"/>
      <c r="N149" s="79"/>
      <c r="O149" s="78"/>
      <c r="Q149" s="30" t="n">
        <f aca="false">IFERROR(MATCH($B$4&amp;"|- Lane "&amp;D149&amp;" - "&amp;B149&amp;"|"&amp;C149,'Reguler Class Availability'!$L:$L,0),"")</f>
        <v>1147</v>
      </c>
      <c r="BD149" s="30" t="s">
        <v>136</v>
      </c>
      <c r="BE149" s="30" t="n">
        <f aca="false">IF(COUNTIFS('Reguler Class Availability'!$L:$L,$B$4&amp;"|- Lane 3 - *|"&amp;BD149)&gt;0,1,0)</f>
        <v>0</v>
      </c>
      <c r="BF149" s="30" t="n">
        <f aca="false">BE149+BF148</f>
        <v>6</v>
      </c>
    </row>
    <row r="150" customFormat="false" ht="40.5" hidden="false" customHeight="true" outlineLevel="0" collapsed="false">
      <c r="A150" s="76" t="n">
        <v>24</v>
      </c>
      <c r="B150" s="77" t="s">
        <v>114</v>
      </c>
      <c r="C150" s="76" t="s">
        <v>160</v>
      </c>
      <c r="D150" s="76" t="n">
        <v>1</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Belum terisi</v>
      </c>
      <c r="F150" s="77" t="str">
        <f aca="false">IF($Q150="","",PROPER(INDEX('Reguler Class Availability'!$B:$B,$Q150)&amp;""))</f>
        <v>Star</v>
      </c>
      <c r="G150" s="76" t="n">
        <f aca="false">IF($Q150="","",IFERROR(--(INDEX('Reguler Class Availability'!$F:$F,$Q150)&amp;""),0))</f>
        <v>8</v>
      </c>
      <c r="H150" s="77" t="str">
        <f aca="false">IF($Q150="","",PROPER(INDEX('Reguler Class Availability'!$I:$I,$Q150)&amp;"")&amp;IF(INDEX('Reguler Class Availability'!$J:$J,$Q150)&amp;""="",""," + asst "&amp;PROPER(INDEX('Reguler Class Availability'!$J:$J,$Q150)&amp;"")))</f>
        <v/>
      </c>
      <c r="I150" s="77" t="s">
        <v>348</v>
      </c>
      <c r="J150" s="77" t="s">
        <v>186</v>
      </c>
      <c r="K150" s="78"/>
      <c r="L150" s="78"/>
      <c r="M150" s="78"/>
      <c r="N150" s="79"/>
      <c r="O150" s="78"/>
      <c r="Q150" s="30" t="n">
        <f aca="false">IFERROR(MATCH($B$4&amp;"|- Lane "&amp;D150&amp;" - "&amp;B150&amp;"|"&amp;C150,'Reguler Class Availability'!$L:$L,0),"")</f>
        <v>1129</v>
      </c>
      <c r="BD150" s="30" t="s">
        <v>138</v>
      </c>
      <c r="BE150" s="30" t="n">
        <f aca="false">IF(COUNTIFS('Reguler Class Availability'!$L:$L,$B$4&amp;"|- Lane 3 - *|"&amp;BD150)&gt;0,1,0)</f>
        <v>0</v>
      </c>
      <c r="BF150" s="30" t="n">
        <f aca="false">BE150+BF149</f>
        <v>6</v>
      </c>
    </row>
    <row r="151" customFormat="false" ht="40.5" hidden="false" customHeight="true" outlineLevel="0" collapsed="false">
      <c r="A151" s="76" t="n">
        <v>25</v>
      </c>
      <c r="B151" s="77" t="s">
        <v>115</v>
      </c>
      <c r="C151" s="76" t="s">
        <v>91</v>
      </c>
      <c r="D151" s="76" t="n">
        <v>1</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Belum terisi</v>
      </c>
      <c r="F151" s="77" t="str">
        <f aca="false">IF($Q151="","",PROPER(INDEX('Reguler Class Availability'!$B:$B,$Q151)&amp;""))</f>
        <v>Star</v>
      </c>
      <c r="G151" s="76" t="n">
        <f aca="false">IF($Q151="","",IFERROR(--(INDEX('Reguler Class Availability'!$F:$F,$Q151)&amp;""),0))</f>
        <v>8</v>
      </c>
      <c r="H151" s="77" t="str">
        <f aca="false">IF($Q151="","",PROPER(INDEX('Reguler Class Availability'!$I:$I,$Q151)&amp;"")&amp;IF(INDEX('Reguler Class Availability'!$J:$J,$Q151)&amp;""="",""," + asst "&amp;PROPER(INDEX('Reguler Class Availability'!$J:$J,$Q151)&amp;"")))</f>
        <v/>
      </c>
      <c r="I151" s="77" t="s">
        <v>354</v>
      </c>
      <c r="J151" s="77" t="s">
        <v>186</v>
      </c>
      <c r="K151" s="78"/>
      <c r="L151" s="78"/>
      <c r="M151" s="78"/>
      <c r="N151" s="79"/>
      <c r="O151" s="78"/>
      <c r="Q151" s="30" t="n">
        <f aca="false">IFERROR(MATCH($B$4&amp;"|- Lane "&amp;D151&amp;" - "&amp;B151&amp;"|"&amp;C151,'Reguler Class Availability'!$L:$L,0),"")</f>
        <v>1123</v>
      </c>
      <c r="BD151" s="30" t="s">
        <v>139</v>
      </c>
      <c r="BE151" s="30" t="n">
        <f aca="false">IF(COUNTIFS('Reguler Class Availability'!$L:$L,$B$4&amp;"|- Lane 3 - *|"&amp;BD151)&gt;0,1,0)</f>
        <v>1</v>
      </c>
      <c r="BF151" s="30" t="n">
        <f aca="false">BE151+BF150</f>
        <v>7</v>
      </c>
    </row>
    <row r="152" customFormat="false" ht="27.75" hidden="false" customHeight="true" outlineLevel="0" collapsed="false">
      <c r="A152" s="76" t="n">
        <v>26</v>
      </c>
      <c r="B152" s="77" t="s">
        <v>115</v>
      </c>
      <c r="C152" s="76" t="s">
        <v>120</v>
      </c>
      <c r="D152" s="76" t="n">
        <v>3</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Belum terisi</v>
      </c>
      <c r="F152" s="77" t="str">
        <f aca="false">IF($Q152="","",PROPER(INDEX('Reguler Class Availability'!$B:$B,$Q152)&amp;""))</f>
        <v>Little</v>
      </c>
      <c r="G152" s="76" t="n">
        <f aca="false">IF($Q152="","",IFERROR(--(INDEX('Reguler Class Availability'!$F:$F,$Q152)&amp;""),0))</f>
        <v>4</v>
      </c>
      <c r="H152" s="77" t="str">
        <f aca="false">IF($Q152="","",PROPER(INDEX('Reguler Class Availability'!$I:$I,$Q152)&amp;"")&amp;IF(INDEX('Reguler Class Availability'!$J:$J,$Q152)&amp;""="",""," + asst "&amp;PROPER(INDEX('Reguler Class Availability'!$J:$J,$Q152)&amp;"")))</f>
        <v/>
      </c>
      <c r="I152" s="77" t="s">
        <v>355</v>
      </c>
      <c r="J152" s="77" t="s">
        <v>188</v>
      </c>
      <c r="K152" s="78"/>
      <c r="L152" s="78"/>
      <c r="M152" s="78"/>
      <c r="N152" s="79"/>
      <c r="O152" s="78"/>
      <c r="Q152" s="30" t="n">
        <f aca="false">IFERROR(MATCH($B$4&amp;"|- Lane "&amp;D152&amp;" - "&amp;B152&amp;"|"&amp;C152,'Reguler Class Availability'!$L:$L,0),"")</f>
        <v>1233</v>
      </c>
      <c r="BD152" s="30" t="s">
        <v>141</v>
      </c>
      <c r="BE152" s="30" t="n">
        <f aca="false">IF(COUNTIFS('Reguler Class Availability'!$L:$L,$B$4&amp;"|- Lane 3 - *|"&amp;BD152)&gt;0,1,0)</f>
        <v>0</v>
      </c>
      <c r="BF152" s="30" t="n">
        <f aca="false">BE152+BF151</f>
        <v>7</v>
      </c>
    </row>
    <row r="153" customFormat="false" ht="27.75" hidden="false" customHeight="true" outlineLevel="0" collapsed="false">
      <c r="A153" s="76" t="n">
        <v>27</v>
      </c>
      <c r="B153" s="77" t="s">
        <v>115</v>
      </c>
      <c r="C153" s="76" t="s">
        <v>120</v>
      </c>
      <c r="D153" s="76" t="n">
        <v>4</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Kids</v>
      </c>
      <c r="G153" s="76" t="n">
        <f aca="false">IF($Q153="","",IFERROR(--(INDEX('Reguler Class Availability'!$F:$F,$Q153)&amp;""),0))</f>
        <v>4</v>
      </c>
      <c r="H153" s="77" t="str">
        <f aca="false">IF($Q153="","",PROPER(INDEX('Reguler Class Availability'!$I:$I,$Q153)&amp;"")&amp;IF(INDEX('Reguler Class Availability'!$J:$J,$Q153)&amp;""="",""," + asst "&amp;PROPER(INDEX('Reguler Class Availability'!$J:$J,$Q153)&amp;"")))</f>
        <v/>
      </c>
      <c r="I153" s="77" t="s">
        <v>355</v>
      </c>
      <c r="J153" s="77" t="s">
        <v>188</v>
      </c>
      <c r="K153" s="78"/>
      <c r="L153" s="78"/>
      <c r="M153" s="78"/>
      <c r="N153" s="79"/>
      <c r="O153" s="78"/>
      <c r="Q153" s="30" t="n">
        <f aca="false">IFERROR(MATCH($B$4&amp;"|- Lane "&amp;D153&amp;" - "&amp;B153&amp;"|"&amp;C153,'Reguler Class Availability'!$L:$L,0),"")</f>
        <v>1317</v>
      </c>
      <c r="BD153" s="30" t="s">
        <v>142</v>
      </c>
      <c r="BE153" s="30" t="n">
        <f aca="false">IF(COUNTIFS('Reguler Class Availability'!$L:$L,$B$4&amp;"|- Lane 3 - *|"&amp;BD153)&gt;0,1,0)</f>
        <v>0</v>
      </c>
      <c r="BF153" s="30" t="n">
        <f aca="false">BE153+BF152</f>
        <v>7</v>
      </c>
    </row>
    <row r="154" customFormat="false" ht="15.75" hidden="false" customHeight="true" outlineLevel="0" collapsed="false">
      <c r="A154" s="76" t="n">
        <v>28</v>
      </c>
      <c r="B154" s="77" t="s">
        <v>115</v>
      </c>
      <c r="C154" s="76" t="s">
        <v>121</v>
      </c>
      <c r="D154" s="76" t="n">
        <v>1</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Belum terisi</v>
      </c>
      <c r="F154" s="77" t="str">
        <f aca="false">IF($Q154="","",PROPER(INDEX('Reguler Class Availability'!$B:$B,$Q154)&amp;""))</f>
        <v>Baby</v>
      </c>
      <c r="G154" s="76" t="n">
        <f aca="false">IF($Q154="","",IFERROR(--(INDEX('Reguler Class Availability'!$F:$F,$Q154)&amp;""),0))</f>
        <v>5</v>
      </c>
      <c r="H154" s="77" t="str">
        <f aca="false">IF($Q154="","",PROPER(INDEX('Reguler Class Availability'!$I:$I,$Q154)&amp;"")&amp;IF(INDEX('Reguler Class Availability'!$J:$J,$Q154)&amp;""="",""," + asst "&amp;PROPER(INDEX('Reguler Class Availability'!$J:$J,$Q154)&amp;"")))</f>
        <v/>
      </c>
      <c r="I154" s="77" t="s">
        <v>356</v>
      </c>
      <c r="J154" s="77" t="s">
        <v>288</v>
      </c>
      <c r="K154" s="78"/>
      <c r="L154" s="78"/>
      <c r="M154" s="78"/>
      <c r="N154" s="79"/>
      <c r="O154" s="78"/>
      <c r="Q154" s="30" t="n">
        <f aca="false">IFERROR(MATCH($B$4&amp;"|- Lane "&amp;D154&amp;" - "&amp;B154&amp;"|"&amp;C154,'Reguler Class Availability'!$L:$L,0),"")</f>
        <v>1051</v>
      </c>
      <c r="BD154" s="30" t="s">
        <v>143</v>
      </c>
      <c r="BE154" s="30" t="n">
        <f aca="false">IF(COUNTIFS('Reguler Class Availability'!$L:$L,$B$4&amp;"|- Lane 3 - *|"&amp;BD154)&gt;0,1,0)</f>
        <v>1</v>
      </c>
      <c r="BF154" s="30" t="n">
        <f aca="false">BE154+BF153</f>
        <v>8</v>
      </c>
    </row>
    <row r="155" customFormat="false" ht="15.75" hidden="false" customHeight="true" outlineLevel="0" collapsed="false">
      <c r="A155" s="76" t="n">
        <v>29</v>
      </c>
      <c r="B155" s="77" t="s">
        <v>115</v>
      </c>
      <c r="C155" s="76" t="s">
        <v>123</v>
      </c>
      <c r="D155" s="76" t="n">
        <v>4</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Belum terisi</v>
      </c>
      <c r="F155" s="77" t="str">
        <f aca="false">IF($Q155="","",PROPER(INDEX('Reguler Class Availability'!$B:$B,$Q155)&amp;""))</f>
        <v>Kids</v>
      </c>
      <c r="G155" s="76" t="n">
        <f aca="false">IF($Q155="","",IFERROR(--(INDEX('Reguler Class Availability'!$F:$F,$Q155)&amp;""),0))</f>
        <v>4</v>
      </c>
      <c r="H155" s="77" t="str">
        <f aca="false">IF($Q155="","",PROPER(INDEX('Reguler Class Availability'!$I:$I,$Q155)&amp;"")&amp;IF(INDEX('Reguler Class Availability'!$J:$J,$Q155)&amp;""="",""," + asst "&amp;PROPER(INDEX('Reguler Class Availability'!$J:$J,$Q155)&amp;"")))</f>
        <v/>
      </c>
      <c r="I155" s="77" t="s">
        <v>356</v>
      </c>
      <c r="J155" s="77" t="s">
        <v>260</v>
      </c>
      <c r="K155" s="78"/>
      <c r="L155" s="78"/>
      <c r="M155" s="78"/>
      <c r="N155" s="79"/>
      <c r="O155" s="78"/>
      <c r="Q155" s="30" t="n">
        <f aca="false">IFERROR(MATCH($B$4&amp;"|- Lane "&amp;D155&amp;" - "&amp;B155&amp;"|"&amp;C155,'Reguler Class Availability'!$L:$L,0),"")</f>
        <v>1318</v>
      </c>
      <c r="BD155" s="30" t="s">
        <v>144</v>
      </c>
      <c r="BE155" s="30" t="n">
        <f aca="false">IF(COUNTIFS('Reguler Class Availability'!$L:$L,$B$4&amp;"|- Lane 3 - *|"&amp;BD155)&gt;0,1,0)</f>
        <v>0</v>
      </c>
      <c r="BF155" s="30" t="n">
        <f aca="false">BE155+BF154</f>
        <v>8</v>
      </c>
    </row>
    <row r="156" customFormat="false" ht="15.75" hidden="false" customHeight="true" outlineLevel="0" collapsed="false">
      <c r="A156" s="76" t="n">
        <v>30</v>
      </c>
      <c r="B156" s="77" t="s">
        <v>115</v>
      </c>
      <c r="C156" s="76" t="s">
        <v>124</v>
      </c>
      <c r="D156" s="76" t="n">
        <v>1</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Belum terisi</v>
      </c>
      <c r="F156" s="77" t="str">
        <f aca="false">IF($Q156="","",PROPER(INDEX('Reguler Class Availability'!$B:$B,$Q156)&amp;""))</f>
        <v>Baby</v>
      </c>
      <c r="G156" s="76" t="n">
        <f aca="false">IF($Q156="","",IFERROR(--(INDEX('Reguler Class Availability'!$F:$F,$Q156)&amp;""),0))</f>
        <v>5</v>
      </c>
      <c r="H156" s="77" t="str">
        <f aca="false">IF($Q156="","",PROPER(INDEX('Reguler Class Availability'!$I:$I,$Q156)&amp;"")&amp;IF(INDEX('Reguler Class Availability'!$J:$J,$Q156)&amp;""="",""," + asst "&amp;PROPER(INDEX('Reguler Class Availability'!$J:$J,$Q156)&amp;"")))</f>
        <v/>
      </c>
      <c r="I156" s="77" t="s">
        <v>357</v>
      </c>
      <c r="J156" s="77" t="s">
        <v>288</v>
      </c>
      <c r="K156" s="78"/>
      <c r="L156" s="78"/>
      <c r="M156" s="78"/>
      <c r="N156" s="79"/>
      <c r="O156" s="78"/>
      <c r="Q156" s="30" t="n">
        <f aca="false">IFERROR(MATCH($B$4&amp;"|- Lane "&amp;D156&amp;" - "&amp;B156&amp;"|"&amp;C156,'Reguler Class Availability'!$L:$L,0),"")</f>
        <v>1052</v>
      </c>
      <c r="BD156" s="30" t="s">
        <v>145</v>
      </c>
      <c r="BE156" s="30" t="n">
        <f aca="false">IF(COUNTIFS('Reguler Class Availability'!$L:$L,$B$4&amp;"|- Lane 3 - *|"&amp;BD156)&gt;0,1,0)</f>
        <v>0</v>
      </c>
      <c r="BF156" s="30" t="n">
        <f aca="false">BE156+BF155</f>
        <v>8</v>
      </c>
    </row>
    <row r="157" customFormat="false" ht="27.75" hidden="false" customHeight="true" outlineLevel="0" collapsed="false">
      <c r="A157" s="76" t="n">
        <v>31</v>
      </c>
      <c r="B157" s="77" t="s">
        <v>115</v>
      </c>
      <c r="C157" s="76" t="s">
        <v>127</v>
      </c>
      <c r="D157" s="76" t="n">
        <v>1</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Belum terisi</v>
      </c>
      <c r="F157" s="77" t="str">
        <f aca="false">IF($Q157="","",PROPER(INDEX('Reguler Class Availability'!$B:$B,$Q157)&amp;""))</f>
        <v>Baby</v>
      </c>
      <c r="G157" s="76" t="n">
        <f aca="false">IF($Q157="","",IFERROR(--(INDEX('Reguler Class Availability'!$F:$F,$Q157)&amp;""),0))</f>
        <v>5</v>
      </c>
      <c r="H157" s="77" t="str">
        <f aca="false">IF($Q157="","",PROPER(INDEX('Reguler Class Availability'!$I:$I,$Q157)&amp;"")&amp;IF(INDEX('Reguler Class Availability'!$J:$J,$Q157)&amp;""="",""," + asst "&amp;PROPER(INDEX('Reguler Class Availability'!$J:$J,$Q157)&amp;"")))</f>
        <v/>
      </c>
      <c r="I157" s="77" t="s">
        <v>358</v>
      </c>
      <c r="J157" s="77" t="s">
        <v>188</v>
      </c>
      <c r="K157" s="78"/>
      <c r="L157" s="78"/>
      <c r="M157" s="78"/>
      <c r="N157" s="79"/>
      <c r="O157" s="78"/>
      <c r="Q157" s="30" t="n">
        <f aca="false">IFERROR(MATCH($B$4&amp;"|- Lane "&amp;D157&amp;" - "&amp;B157&amp;"|"&amp;C157,'Reguler Class Availability'!$L:$L,0),"")</f>
        <v>1053</v>
      </c>
      <c r="BD157" s="30" t="s">
        <v>146</v>
      </c>
      <c r="BE157" s="30" t="n">
        <f aca="false">IF(COUNTIFS('Reguler Class Availability'!$L:$L,$B$4&amp;"|- Lane 3 - *|"&amp;BD157)&gt;0,1,0)</f>
        <v>1</v>
      </c>
      <c r="BF157" s="30" t="n">
        <f aca="false">BE157+BF156</f>
        <v>9</v>
      </c>
    </row>
    <row r="158" customFormat="false" ht="27.75" hidden="false" customHeight="true" outlineLevel="0" collapsed="false">
      <c r="A158" s="76" t="n">
        <v>32</v>
      </c>
      <c r="B158" s="77" t="s">
        <v>115</v>
      </c>
      <c r="C158" s="76" t="s">
        <v>127</v>
      </c>
      <c r="D158" s="76" t="n">
        <v>2</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Tiny</v>
      </c>
      <c r="G158" s="76" t="n">
        <f aca="false">IF($Q158="","",IFERROR(--(INDEX('Reguler Class Availability'!$F:$F,$Q158)&amp;""),0))</f>
        <v>5</v>
      </c>
      <c r="H158" s="77" t="str">
        <f aca="false">IF($Q158="","",PROPER(INDEX('Reguler Class Availability'!$I:$I,$Q158)&amp;"")&amp;IF(INDEX('Reguler Class Availability'!$J:$J,$Q158)&amp;""="",""," + asst "&amp;PROPER(INDEX('Reguler Class Availability'!$J:$J,$Q158)&amp;"")))</f>
        <v/>
      </c>
      <c r="I158" s="77" t="s">
        <v>358</v>
      </c>
      <c r="J158" s="77" t="s">
        <v>188</v>
      </c>
      <c r="K158" s="78"/>
      <c r="L158" s="78"/>
      <c r="M158" s="78"/>
      <c r="N158" s="79"/>
      <c r="O158" s="78"/>
      <c r="Q158" s="30" t="n">
        <f aca="false">IFERROR(MATCH($B$4&amp;"|- Lane "&amp;D158&amp;" - "&amp;B158&amp;"|"&amp;C158,'Reguler Class Availability'!$L:$L,0),"")</f>
        <v>1151</v>
      </c>
      <c r="BD158" s="30" t="s">
        <v>147</v>
      </c>
      <c r="BE158" s="30" t="n">
        <f aca="false">IF(COUNTIFS('Reguler Class Availability'!$L:$L,$B$4&amp;"|- Lane 3 - *|"&amp;BD158)&gt;0,1,0)</f>
        <v>0</v>
      </c>
      <c r="BF158" s="30" t="n">
        <f aca="false">BE158+BF157</f>
        <v>9</v>
      </c>
    </row>
    <row r="159" customFormat="false" ht="27.75" hidden="false" customHeight="true" outlineLevel="0" collapsed="false">
      <c r="A159" s="76" t="n">
        <v>33</v>
      </c>
      <c r="B159" s="77" t="s">
        <v>115</v>
      </c>
      <c r="C159" s="76" t="s">
        <v>129</v>
      </c>
      <c r="D159" s="76" t="n">
        <v>3</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Belum terisi</v>
      </c>
      <c r="F159" s="77" t="str">
        <f aca="false">IF($Q159="","",PROPER(INDEX('Reguler Class Availability'!$B:$B,$Q159)&amp;""))</f>
        <v>Little</v>
      </c>
      <c r="G159" s="76" t="n">
        <f aca="false">IF($Q159="","",IFERROR(--(INDEX('Reguler Class Availability'!$F:$F,$Q159)&amp;""),0))</f>
        <v>4</v>
      </c>
      <c r="H159" s="77" t="str">
        <f aca="false">IF($Q159="","",PROPER(INDEX('Reguler Class Availability'!$I:$I,$Q159)&amp;"")&amp;IF(INDEX('Reguler Class Availability'!$J:$J,$Q159)&amp;""="",""," + asst "&amp;PROPER(INDEX('Reguler Class Availability'!$J:$J,$Q159)&amp;"")))</f>
        <v/>
      </c>
      <c r="I159" s="77" t="s">
        <v>355</v>
      </c>
      <c r="J159" s="77" t="s">
        <v>188</v>
      </c>
      <c r="K159" s="78"/>
      <c r="L159" s="78"/>
      <c r="M159" s="78"/>
      <c r="N159" s="79"/>
      <c r="O159" s="78"/>
      <c r="Q159" s="30" t="n">
        <f aca="false">IFERROR(MATCH($B$4&amp;"|- Lane "&amp;D159&amp;" - "&amp;B159&amp;"|"&amp;C159,'Reguler Class Availability'!$L:$L,0),"")</f>
        <v>1236</v>
      </c>
      <c r="BD159" s="30" t="s">
        <v>148</v>
      </c>
      <c r="BE159" s="30" t="n">
        <f aca="false">IF(COUNTIFS('Reguler Class Availability'!$L:$L,$B$4&amp;"|- Lane 3 - *|"&amp;BD159)&gt;0,1,0)</f>
        <v>0</v>
      </c>
      <c r="BF159" s="30" t="n">
        <f aca="false">BE159+BF158</f>
        <v>9</v>
      </c>
    </row>
    <row r="160" customFormat="false" ht="27.75" hidden="false" customHeight="true" outlineLevel="0" collapsed="false">
      <c r="A160" s="76" t="n">
        <v>34</v>
      </c>
      <c r="B160" s="77" t="s">
        <v>115</v>
      </c>
      <c r="C160" s="76" t="s">
        <v>129</v>
      </c>
      <c r="D160" s="76" t="n">
        <v>4</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Belum terisi</v>
      </c>
      <c r="F160" s="77" t="str">
        <f aca="false">IF($Q160="","",PROPER(INDEX('Reguler Class Availability'!$B:$B,$Q160)&amp;""))</f>
        <v>Kids</v>
      </c>
      <c r="G160" s="76" t="n">
        <f aca="false">IF($Q160="","",IFERROR(--(INDEX('Reguler Class Availability'!$F:$F,$Q160)&amp;""),0))</f>
        <v>4</v>
      </c>
      <c r="H160" s="77" t="str">
        <f aca="false">IF($Q160="","",PROPER(INDEX('Reguler Class Availability'!$I:$I,$Q160)&amp;"")&amp;IF(INDEX('Reguler Class Availability'!$J:$J,$Q160)&amp;""="",""," + asst "&amp;PROPER(INDEX('Reguler Class Availability'!$J:$J,$Q160)&amp;"")))</f>
        <v/>
      </c>
      <c r="I160" s="77" t="s">
        <v>355</v>
      </c>
      <c r="J160" s="77" t="s">
        <v>188</v>
      </c>
      <c r="K160" s="78"/>
      <c r="L160" s="78"/>
      <c r="M160" s="78"/>
      <c r="N160" s="79"/>
      <c r="O160" s="78"/>
      <c r="Q160" s="30" t="n">
        <f aca="false">IFERROR(MATCH($B$4&amp;"|- Lane "&amp;D160&amp;" - "&amp;B160&amp;"|"&amp;C160,'Reguler Class Availability'!$L:$L,0),"")</f>
        <v>1320</v>
      </c>
      <c r="BD160" s="30" t="s">
        <v>149</v>
      </c>
      <c r="BE160" s="30" t="n">
        <f aca="false">IF(COUNTIFS('Reguler Class Availability'!$L:$L,$B$4&amp;"|- Lane 3 - *|"&amp;BD160)&gt;0,1,0)</f>
        <v>1</v>
      </c>
      <c r="BF160" s="30" t="n">
        <f aca="false">BE160+BF159</f>
        <v>10</v>
      </c>
    </row>
    <row r="161" customFormat="false" ht="27.75" hidden="false" customHeight="true" outlineLevel="0" collapsed="false">
      <c r="A161" s="76" t="n">
        <v>35</v>
      </c>
      <c r="B161" s="77" t="s">
        <v>115</v>
      </c>
      <c r="C161" s="76" t="s">
        <v>130</v>
      </c>
      <c r="D161" s="76" t="n">
        <v>1</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Baby</v>
      </c>
      <c r="G161" s="76" t="n">
        <f aca="false">IF($Q161="","",IFERROR(--(INDEX('Reguler Class Availability'!$F:$F,$Q161)&amp;""),0))</f>
        <v>5</v>
      </c>
      <c r="H161" s="77" t="str">
        <f aca="false">IF($Q161="","",PROPER(INDEX('Reguler Class Availability'!$I:$I,$Q161)&amp;"")&amp;IF(INDEX('Reguler Class Availability'!$J:$J,$Q161)&amp;""="",""," + asst "&amp;PROPER(INDEX('Reguler Class Availability'!$J:$J,$Q161)&amp;"")))</f>
        <v/>
      </c>
      <c r="I161" s="77" t="s">
        <v>355</v>
      </c>
      <c r="J161" s="77" t="s">
        <v>188</v>
      </c>
      <c r="K161" s="78"/>
      <c r="L161" s="78"/>
      <c r="M161" s="78"/>
      <c r="N161" s="79"/>
      <c r="O161" s="78"/>
      <c r="Q161" s="30" t="n">
        <f aca="false">IFERROR(MATCH($B$4&amp;"|- Lane "&amp;D161&amp;" - "&amp;B161&amp;"|"&amp;C161,'Reguler Class Availability'!$L:$L,0),"")</f>
        <v>1054</v>
      </c>
      <c r="BD161" s="30" t="s">
        <v>150</v>
      </c>
      <c r="BE161" s="30" t="n">
        <f aca="false">IF(COUNTIFS('Reguler Class Availability'!$L:$L,$B$4&amp;"|- Lane 3 - *|"&amp;BD161)&gt;0,1,0)</f>
        <v>0</v>
      </c>
      <c r="BF161" s="30" t="n">
        <f aca="false">BE161+BF160</f>
        <v>10</v>
      </c>
    </row>
    <row r="162" customFormat="false" ht="27.75" hidden="false" customHeight="true" outlineLevel="0" collapsed="false">
      <c r="A162" s="76" t="n">
        <v>36</v>
      </c>
      <c r="B162" s="77" t="s">
        <v>115</v>
      </c>
      <c r="C162" s="76" t="s">
        <v>139</v>
      </c>
      <c r="D162" s="76" t="n">
        <v>3</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Belum terisi</v>
      </c>
      <c r="F162" s="77" t="str">
        <f aca="false">IF($Q162="","",PROPER(INDEX('Reguler Class Availability'!$B:$B,$Q162)&amp;""))</f>
        <v>Little</v>
      </c>
      <c r="G162" s="76" t="n">
        <f aca="false">IF($Q162="","",IFERROR(--(INDEX('Reguler Class Availability'!$F:$F,$Q162)&amp;""),0))</f>
        <v>4</v>
      </c>
      <c r="H162" s="77" t="str">
        <f aca="false">IF($Q162="","",PROPER(INDEX('Reguler Class Availability'!$I:$I,$Q162)&amp;"")&amp;IF(INDEX('Reguler Class Availability'!$J:$J,$Q162)&amp;""="",""," + asst "&amp;PROPER(INDEX('Reguler Class Availability'!$J:$J,$Q162)&amp;"")))</f>
        <v/>
      </c>
      <c r="I162" s="77" t="s">
        <v>359</v>
      </c>
      <c r="J162" s="77" t="s">
        <v>188</v>
      </c>
      <c r="K162" s="78"/>
      <c r="L162" s="78"/>
      <c r="M162" s="78"/>
      <c r="N162" s="79"/>
      <c r="O162" s="78"/>
      <c r="Q162" s="30" t="n">
        <f aca="false">IFERROR(MATCH($B$4&amp;"|- Lane "&amp;D162&amp;" - "&amp;B162&amp;"|"&amp;C162,'Reguler Class Availability'!$L:$L,0),"")</f>
        <v>1238</v>
      </c>
      <c r="BD162" s="30" t="s">
        <v>151</v>
      </c>
      <c r="BE162" s="30" t="n">
        <f aca="false">IF(COUNTIFS('Reguler Class Availability'!$L:$L,$B$4&amp;"|- Lane 3 - *|"&amp;BD162)&gt;0,1,0)</f>
        <v>0</v>
      </c>
      <c r="BF162" s="30" t="n">
        <f aca="false">BE162+BF161</f>
        <v>10</v>
      </c>
    </row>
    <row r="163" customFormat="false" ht="15.75" hidden="false" customHeight="true" outlineLevel="0" collapsed="false">
      <c r="A163" s="76" t="n">
        <v>37</v>
      </c>
      <c r="B163" s="77" t="s">
        <v>115</v>
      </c>
      <c r="C163" s="76" t="s">
        <v>141</v>
      </c>
      <c r="D163" s="76" t="n">
        <v>1</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Belum terisi</v>
      </c>
      <c r="F163" s="77" t="str">
        <f aca="false">IF($Q163="","",PROPER(INDEX('Reguler Class Availability'!$B:$B,$Q163)&amp;""))</f>
        <v>Baby</v>
      </c>
      <c r="G163" s="76" t="n">
        <f aca="false">IF($Q163="","",IFERROR(--(INDEX('Reguler Class Availability'!$F:$F,$Q163)&amp;""),0))</f>
        <v>5</v>
      </c>
      <c r="H163" s="77" t="str">
        <f aca="false">IF($Q163="","",PROPER(INDEX('Reguler Class Availability'!$I:$I,$Q163)&amp;"")&amp;IF(INDEX('Reguler Class Availability'!$J:$J,$Q163)&amp;""="",""," + asst "&amp;PROPER(INDEX('Reguler Class Availability'!$J:$J,$Q163)&amp;"")))</f>
        <v/>
      </c>
      <c r="I163" s="77" t="s">
        <v>357</v>
      </c>
      <c r="J163" s="77" t="s">
        <v>288</v>
      </c>
      <c r="K163" s="78"/>
      <c r="L163" s="78"/>
      <c r="M163" s="78"/>
      <c r="N163" s="79"/>
      <c r="O163" s="78"/>
      <c r="Q163" s="30" t="n">
        <f aca="false">IFERROR(MATCH($B$4&amp;"|- Lane "&amp;D163&amp;" - "&amp;B163&amp;"|"&amp;C163,'Reguler Class Availability'!$L:$L,0),"")</f>
        <v>1056</v>
      </c>
      <c r="BD163" s="30" t="s">
        <v>152</v>
      </c>
      <c r="BE163" s="30" t="n">
        <f aca="false">IF(COUNTIFS('Reguler Class Availability'!$L:$L,$B$4&amp;"|- Lane 3 - *|"&amp;BD163)&gt;0,1,0)</f>
        <v>1</v>
      </c>
      <c r="BF163" s="30" t="n">
        <f aca="false">BE163+BF162</f>
        <v>11</v>
      </c>
    </row>
    <row r="164" customFormat="false" ht="15.75" hidden="false" customHeight="true" outlineLevel="0" collapsed="false">
      <c r="A164" s="76" t="n">
        <v>38</v>
      </c>
      <c r="B164" s="77" t="s">
        <v>115</v>
      </c>
      <c r="C164" s="76" t="s">
        <v>141</v>
      </c>
      <c r="D164" s="76" t="n">
        <v>2</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Belum terisi</v>
      </c>
      <c r="F164" s="77" t="str">
        <f aca="false">IF($Q164="","",PROPER(INDEX('Reguler Class Availability'!$B:$B,$Q164)&amp;""))</f>
        <v>Tiny</v>
      </c>
      <c r="G164" s="76" t="n">
        <f aca="false">IF($Q164="","",IFERROR(--(INDEX('Reguler Class Availability'!$F:$F,$Q164)&amp;""),0))</f>
        <v>5</v>
      </c>
      <c r="H164" s="77" t="str">
        <f aca="false">IF($Q164="","",PROPER(INDEX('Reguler Class Availability'!$I:$I,$Q164)&amp;"")&amp;IF(INDEX('Reguler Class Availability'!$J:$J,$Q164)&amp;""="",""," + asst "&amp;PROPER(INDEX('Reguler Class Availability'!$J:$J,$Q164)&amp;"")))</f>
        <v/>
      </c>
      <c r="I164" s="77" t="s">
        <v>357</v>
      </c>
      <c r="J164" s="77" t="s">
        <v>198</v>
      </c>
      <c r="K164" s="78"/>
      <c r="L164" s="78"/>
      <c r="M164" s="78"/>
      <c r="N164" s="79"/>
      <c r="O164" s="78"/>
      <c r="Q164" s="30" t="n">
        <f aca="false">IFERROR(MATCH($B$4&amp;"|- Lane "&amp;D164&amp;" - "&amp;B164&amp;"|"&amp;C164,'Reguler Class Availability'!$L:$L,0),"")</f>
        <v>1154</v>
      </c>
      <c r="BD164" s="30" t="s">
        <v>153</v>
      </c>
      <c r="BE164" s="30" t="n">
        <f aca="false">IF(COUNTIFS('Reguler Class Availability'!$L:$L,$B$4&amp;"|- Lane 3 - *|"&amp;BD164)&gt;0,1,0)</f>
        <v>0</v>
      </c>
      <c r="BF164" s="30" t="n">
        <f aca="false">BE164+BF163</f>
        <v>11</v>
      </c>
    </row>
    <row r="165" customFormat="false" ht="15.75" hidden="false" customHeight="true" outlineLevel="0" collapsed="false">
      <c r="A165" s="76" t="n">
        <v>39</v>
      </c>
      <c r="B165" s="77" t="s">
        <v>115</v>
      </c>
      <c r="C165" s="76" t="s">
        <v>144</v>
      </c>
      <c r="D165" s="76" t="n">
        <v>1</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Belum terisi</v>
      </c>
      <c r="F165" s="77" t="str">
        <f aca="false">IF($Q165="","",PROPER(INDEX('Reguler Class Availability'!$B:$B,$Q165)&amp;""))</f>
        <v>Baby</v>
      </c>
      <c r="G165" s="76" t="n">
        <f aca="false">IF($Q165="","",IFERROR(--(INDEX('Reguler Class Availability'!$F:$F,$Q165)&amp;""),0))</f>
        <v>5</v>
      </c>
      <c r="H165" s="77" t="str">
        <f aca="false">IF($Q165="","",PROPER(INDEX('Reguler Class Availability'!$I:$I,$Q165)&amp;"")&amp;IF(INDEX('Reguler Class Availability'!$J:$J,$Q165)&amp;""="",""," + asst "&amp;PROPER(INDEX('Reguler Class Availability'!$J:$J,$Q165)&amp;"")))</f>
        <v/>
      </c>
      <c r="I165" s="77" t="s">
        <v>350</v>
      </c>
      <c r="J165" s="77" t="s">
        <v>188</v>
      </c>
      <c r="K165" s="78"/>
      <c r="L165" s="78"/>
      <c r="M165" s="78"/>
      <c r="N165" s="79"/>
      <c r="O165" s="78"/>
      <c r="Q165" s="30" t="n">
        <f aca="false">IFERROR(MATCH($B$4&amp;"|- Lane "&amp;D165&amp;" - "&amp;B165&amp;"|"&amp;C165,'Reguler Class Availability'!$L:$L,0),"")</f>
        <v>1057</v>
      </c>
      <c r="BD165" s="30" t="s">
        <v>154</v>
      </c>
      <c r="BE165" s="30" t="n">
        <f aca="false">IF(COUNTIFS('Reguler Class Availability'!$L:$L,$B$4&amp;"|- Lane 3 - *|"&amp;BD165)&gt;0,1,0)</f>
        <v>0</v>
      </c>
      <c r="BF165" s="30" t="n">
        <f aca="false">BE165+BF164</f>
        <v>11</v>
      </c>
    </row>
    <row r="166" customFormat="false" ht="15.75" hidden="false" customHeight="true" outlineLevel="0" collapsed="false">
      <c r="A166" s="76" t="n">
        <v>40</v>
      </c>
      <c r="B166" s="77" t="s">
        <v>115</v>
      </c>
      <c r="C166" s="76" t="s">
        <v>144</v>
      </c>
      <c r="D166" s="76" t="n">
        <v>2</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Belum terisi</v>
      </c>
      <c r="F166" s="77" t="str">
        <f aca="false">IF($Q166="","",PROPER(INDEX('Reguler Class Availability'!$B:$B,$Q166)&amp;""))</f>
        <v>Tiny</v>
      </c>
      <c r="G166" s="76" t="n">
        <f aca="false">IF($Q166="","",IFERROR(--(INDEX('Reguler Class Availability'!$F:$F,$Q166)&amp;""),0))</f>
        <v>5</v>
      </c>
      <c r="H166" s="77" t="str">
        <f aca="false">IF($Q166="","",PROPER(INDEX('Reguler Class Availability'!$I:$I,$Q166)&amp;"")&amp;IF(INDEX('Reguler Class Availability'!$J:$J,$Q166)&amp;""="",""," + asst "&amp;PROPER(INDEX('Reguler Class Availability'!$J:$J,$Q166)&amp;"")))</f>
        <v/>
      </c>
      <c r="I166" s="77" t="s">
        <v>350</v>
      </c>
      <c r="J166" s="77" t="s">
        <v>188</v>
      </c>
      <c r="K166" s="78"/>
      <c r="L166" s="78"/>
      <c r="M166" s="78"/>
      <c r="N166" s="79"/>
      <c r="O166" s="78"/>
      <c r="Q166" s="30" t="n">
        <f aca="false">IFERROR(MATCH($B$4&amp;"|- Lane "&amp;D166&amp;" - "&amp;B166&amp;"|"&amp;C166,'Reguler Class Availability'!$L:$L,0),"")</f>
        <v>1155</v>
      </c>
      <c r="BD166" s="30" t="s">
        <v>155</v>
      </c>
      <c r="BE166" s="30" t="n">
        <f aca="false">IF(COUNTIFS('Reguler Class Availability'!$L:$L,$B$4&amp;"|- Lane 3 - *|"&amp;BD166)&gt;0,1,0)</f>
        <v>1</v>
      </c>
      <c r="BF166" s="30" t="n">
        <f aca="false">BE166+BF165</f>
        <v>12</v>
      </c>
    </row>
    <row r="167" customFormat="false" ht="15.75" hidden="false" customHeight="true" outlineLevel="0" collapsed="false">
      <c r="A167" s="76" t="n">
        <v>41</v>
      </c>
      <c r="B167" s="77" t="s">
        <v>115</v>
      </c>
      <c r="C167" s="76" t="s">
        <v>153</v>
      </c>
      <c r="D167" s="76" t="n">
        <v>1</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Kosong</v>
      </c>
      <c r="F167" s="77" t="str">
        <f aca="false">IF($Q167="","",PROPER(INDEX('Reguler Class Availability'!$B:$B,$Q167)&amp;""))</f>
        <v/>
      </c>
      <c r="G167" s="76" t="n">
        <f aca="false">IF($Q167="","",IFERROR(--(INDEX('Reguler Class Availability'!$F:$F,$Q167)&amp;""),0))</f>
        <v>5</v>
      </c>
      <c r="H167" s="77" t="str">
        <f aca="false">IF($Q167="","",PROPER(INDEX('Reguler Class Availability'!$I:$I,$Q167)&amp;"")&amp;IF(INDEX('Reguler Class Availability'!$J:$J,$Q167)&amp;""="",""," + asst "&amp;PROPER(INDEX('Reguler Class Availability'!$J:$J,$Q167)&amp;"")))</f>
        <v/>
      </c>
      <c r="I167" s="80" t="s">
        <v>199</v>
      </c>
      <c r="J167" s="77" t="s">
        <v>309</v>
      </c>
      <c r="K167" s="78"/>
      <c r="L167" s="78"/>
      <c r="M167" s="78"/>
      <c r="N167" s="79"/>
      <c r="O167" s="78"/>
      <c r="Q167" s="30" t="n">
        <f aca="false">IFERROR(MATCH($B$4&amp;"|- Lane "&amp;D167&amp;" - "&amp;B167&amp;"|"&amp;C167,'Reguler Class Availability'!$L:$L,0),"")</f>
        <v>1060</v>
      </c>
      <c r="BD167" s="30" t="s">
        <v>156</v>
      </c>
      <c r="BE167" s="30" t="n">
        <f aca="false">IF(COUNTIFS('Reguler Class Availability'!$L:$L,$B$4&amp;"|- Lane 3 - *|"&amp;BD167)&gt;0,1,0)</f>
        <v>0</v>
      </c>
      <c r="BF167" s="30" t="n">
        <f aca="false">BE167+BF166</f>
        <v>12</v>
      </c>
    </row>
    <row r="168" customFormat="false" ht="15.75" hidden="false" customHeight="true" outlineLevel="0" collapsed="false">
      <c r="A168" s="76" t="n">
        <v>42</v>
      </c>
      <c r="B168" s="77" t="s">
        <v>115</v>
      </c>
      <c r="C168" s="76" t="s">
        <v>156</v>
      </c>
      <c r="D168" s="76" t="n">
        <v>1</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Kosong</v>
      </c>
      <c r="F168" s="77" t="str">
        <f aca="false">IF($Q168="","",PROPER(INDEX('Reguler Class Availability'!$B:$B,$Q168)&amp;""))</f>
        <v/>
      </c>
      <c r="G168" s="76" t="n">
        <f aca="false">IF($Q168="","",IFERROR(--(INDEX('Reguler Class Availability'!$F:$F,$Q168)&amp;""),0))</f>
        <v>5</v>
      </c>
      <c r="H168" s="77" t="str">
        <f aca="false">IF($Q168="","",PROPER(INDEX('Reguler Class Availability'!$I:$I,$Q168)&amp;"")&amp;IF(INDEX('Reguler Class Availability'!$J:$J,$Q168)&amp;""="",""," + asst "&amp;PROPER(INDEX('Reguler Class Availability'!$J:$J,$Q168)&amp;"")))</f>
        <v/>
      </c>
      <c r="I168" s="77" t="s">
        <v>357</v>
      </c>
      <c r="J168" s="77" t="s">
        <v>260</v>
      </c>
      <c r="K168" s="78"/>
      <c r="L168" s="78"/>
      <c r="M168" s="78"/>
      <c r="N168" s="79"/>
      <c r="O168" s="78"/>
      <c r="Q168" s="30" t="n">
        <f aca="false">IFERROR(MATCH($B$4&amp;"|- Lane "&amp;D168&amp;" - "&amp;B168&amp;"|"&amp;C168,'Reguler Class Availability'!$L:$L,0),"")</f>
        <v>1061</v>
      </c>
      <c r="BD168" s="30" t="s">
        <v>157</v>
      </c>
      <c r="BE168" s="30" t="n">
        <f aca="false">IF(COUNTIFS('Reguler Class Availability'!$L:$L,$B$4&amp;"|- Lane 3 - *|"&amp;BD168)&gt;0,1,0)</f>
        <v>0</v>
      </c>
      <c r="BF168" s="30" t="n">
        <f aca="false">BE168+BF167</f>
        <v>12</v>
      </c>
    </row>
    <row r="169" customFormat="false" ht="15.75" hidden="false" customHeight="true" outlineLevel="0" collapsed="false">
      <c r="A169" s="76" t="n">
        <v>43</v>
      </c>
      <c r="B169" s="77" t="s">
        <v>115</v>
      </c>
      <c r="C169" s="76" t="s">
        <v>156</v>
      </c>
      <c r="D169" s="76" t="n">
        <v>2</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Kosong</v>
      </c>
      <c r="F169" s="77" t="str">
        <f aca="false">IF($Q169="","",PROPER(INDEX('Reguler Class Availability'!$B:$B,$Q169)&amp;""))</f>
        <v/>
      </c>
      <c r="G169" s="76" t="n">
        <f aca="false">IF($Q169="","",IFERROR(--(INDEX('Reguler Class Availability'!$F:$F,$Q169)&amp;""),0))</f>
        <v>5</v>
      </c>
      <c r="H169" s="77" t="str">
        <f aca="false">IF($Q169="","",PROPER(INDEX('Reguler Class Availability'!$I:$I,$Q169)&amp;"")&amp;IF(INDEX('Reguler Class Availability'!$J:$J,$Q169)&amp;""="",""," + asst "&amp;PROPER(INDEX('Reguler Class Availability'!$J:$J,$Q169)&amp;"")))</f>
        <v/>
      </c>
      <c r="I169" s="77" t="s">
        <v>357</v>
      </c>
      <c r="J169" s="77" t="s">
        <v>260</v>
      </c>
      <c r="K169" s="78"/>
      <c r="L169" s="78"/>
      <c r="M169" s="78"/>
      <c r="N169" s="79"/>
      <c r="O169" s="78"/>
      <c r="Q169" s="30" t="n">
        <f aca="false">IFERROR(MATCH($B$4&amp;"|- Lane "&amp;D169&amp;" - "&amp;B169&amp;"|"&amp;C169,'Reguler Class Availability'!$L:$L,0),"")</f>
        <v>1159</v>
      </c>
      <c r="BD169" s="30" t="s">
        <v>158</v>
      </c>
      <c r="BE169" s="30" t="n">
        <f aca="false">IF(COUNTIFS('Reguler Class Availability'!$L:$L,$B$4&amp;"|- Lane 3 - *|"&amp;BD169)&gt;0,1,0)</f>
        <v>0</v>
      </c>
      <c r="BF169" s="30" t="n">
        <f aca="false">BE169+BF168</f>
        <v>12</v>
      </c>
    </row>
    <row r="170" customFormat="false" ht="40.5" hidden="false" customHeight="true" outlineLevel="0" collapsed="false">
      <c r="A170" s="76" t="n">
        <v>44</v>
      </c>
      <c r="B170" s="77" t="s">
        <v>115</v>
      </c>
      <c r="C170" s="76" t="s">
        <v>160</v>
      </c>
      <c r="D170" s="76" t="n">
        <v>1</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Belum terisi</v>
      </c>
      <c r="F170" s="77" t="str">
        <f aca="false">IF($Q170="","",PROPER(INDEX('Reguler Class Availability'!$B:$B,$Q170)&amp;""))</f>
        <v>Star</v>
      </c>
      <c r="G170" s="76" t="n">
        <f aca="false">IF($Q170="","",IFERROR(--(INDEX('Reguler Class Availability'!$F:$F,$Q170)&amp;""),0))</f>
        <v>8</v>
      </c>
      <c r="H170" s="77" t="str">
        <f aca="false">IF($Q170="","",PROPER(INDEX('Reguler Class Availability'!$I:$I,$Q170)&amp;"")&amp;IF(INDEX('Reguler Class Availability'!$J:$J,$Q170)&amp;""="",""," + asst "&amp;PROPER(INDEX('Reguler Class Availability'!$J:$J,$Q170)&amp;"")))</f>
        <v/>
      </c>
      <c r="I170" s="77" t="s">
        <v>354</v>
      </c>
      <c r="J170" s="77" t="s">
        <v>186</v>
      </c>
      <c r="K170" s="78"/>
      <c r="L170" s="78"/>
      <c r="M170" s="78"/>
      <c r="N170" s="79"/>
      <c r="O170" s="78"/>
      <c r="Q170" s="30" t="n">
        <f aca="false">IFERROR(MATCH($B$4&amp;"|- Lane "&amp;D170&amp;" - "&amp;B170&amp;"|"&amp;C170,'Reguler Class Availability'!$L:$L,0),"")</f>
        <v>1130</v>
      </c>
      <c r="BD170" s="30" t="s">
        <v>160</v>
      </c>
      <c r="BE170" s="30" t="n">
        <f aca="false">IF(COUNTIFS('Reguler Class Availability'!$L:$L,$B$4&amp;"|- Lane 3 - *|"&amp;BD170)&gt;0,1,0)</f>
        <v>0</v>
      </c>
      <c r="BF170" s="30" t="n">
        <f aca="false">BE170+BF169</f>
        <v>12</v>
      </c>
    </row>
    <row r="171" customFormat="false" ht="40.5" hidden="false" customHeight="true" outlineLevel="0" collapsed="false">
      <c r="A171" s="76" t="n">
        <v>45</v>
      </c>
      <c r="B171" s="77" t="s">
        <v>116</v>
      </c>
      <c r="C171" s="76" t="s">
        <v>91</v>
      </c>
      <c r="D171" s="76" t="n">
        <v>1</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Belum terisi</v>
      </c>
      <c r="F171" s="77" t="str">
        <f aca="false">IF($Q171="","",PROPER(INDEX('Reguler Class Availability'!$B:$B,$Q171)&amp;""))</f>
        <v>Star</v>
      </c>
      <c r="G171" s="76" t="n">
        <f aca="false">IF($Q171="","",IFERROR(--(INDEX('Reguler Class Availability'!$F:$F,$Q171)&amp;""),0))</f>
        <v>8</v>
      </c>
      <c r="H171" s="77" t="str">
        <f aca="false">IF($Q171="","",PROPER(INDEX('Reguler Class Availability'!$I:$I,$Q171)&amp;"")&amp;IF(INDEX('Reguler Class Availability'!$J:$J,$Q171)&amp;""="",""," + asst "&amp;PROPER(INDEX('Reguler Class Availability'!$J:$J,$Q171)&amp;"")))</f>
        <v/>
      </c>
      <c r="I171" s="77" t="s">
        <v>360</v>
      </c>
      <c r="J171" s="77" t="s">
        <v>186</v>
      </c>
      <c r="K171" s="78"/>
      <c r="L171" s="78"/>
      <c r="M171" s="78"/>
      <c r="N171" s="79"/>
      <c r="O171" s="78"/>
      <c r="Q171" s="30" t="n">
        <f aca="false">IFERROR(MATCH($B$4&amp;"|- Lane "&amp;D171&amp;" - "&amp;B171&amp;"|"&amp;C171,'Reguler Class Availability'!$L:$L,0),"")</f>
        <v>1124</v>
      </c>
      <c r="BD171" s="30" t="s">
        <v>161</v>
      </c>
      <c r="BE171" s="30" t="n">
        <f aca="false">IF(COUNTIFS('Reguler Class Availability'!$L:$L,$B$4&amp;"|- Lane 3 - *|"&amp;BD171)&gt;0,1,0)</f>
        <v>0</v>
      </c>
      <c r="BF171" s="30" t="n">
        <f aca="false">BE171+BF170</f>
        <v>12</v>
      </c>
    </row>
    <row r="172" customFormat="false" ht="40.5" hidden="false" customHeight="true" outlineLevel="0" collapsed="false">
      <c r="A172" s="76" t="n">
        <v>46</v>
      </c>
      <c r="B172" s="77" t="s">
        <v>116</v>
      </c>
      <c r="C172" s="76" t="s">
        <v>120</v>
      </c>
      <c r="D172" s="76" t="n">
        <v>3</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Little</v>
      </c>
      <c r="G172" s="76" t="n">
        <f aca="false">IF($Q172="","",IFERROR(--(INDEX('Reguler Class Availability'!$F:$F,$Q172)&amp;""),0))</f>
        <v>4</v>
      </c>
      <c r="H172" s="77" t="str">
        <f aca="false">IF($Q172="","",PROPER(INDEX('Reguler Class Availability'!$I:$I,$Q172)&amp;"")&amp;IF(INDEX('Reguler Class Availability'!$J:$J,$Q172)&amp;""="",""," + asst "&amp;PROPER(INDEX('Reguler Class Availability'!$J:$J,$Q172)&amp;"")))</f>
        <v/>
      </c>
      <c r="I172" s="77" t="s">
        <v>360</v>
      </c>
      <c r="J172" s="77" t="s">
        <v>188</v>
      </c>
      <c r="K172" s="78"/>
      <c r="L172" s="78"/>
      <c r="M172" s="78"/>
      <c r="N172" s="79"/>
      <c r="O172" s="78"/>
      <c r="Q172" s="30" t="n">
        <f aca="false">IFERROR(MATCH($B$4&amp;"|- Lane "&amp;D172&amp;" - "&amp;B172&amp;"|"&amp;C172,'Reguler Class Availability'!$L:$L,0),"")</f>
        <v>1245</v>
      </c>
      <c r="BD172" s="30" t="s">
        <v>162</v>
      </c>
      <c r="BE172" s="30" t="n">
        <f aca="false">IF(COUNTIFS('Reguler Class Availability'!$L:$L,$B$4&amp;"|- Lane 3 - *|"&amp;BD172)&gt;0,1,0)</f>
        <v>0</v>
      </c>
      <c r="BF172" s="30" t="n">
        <f aca="false">BE172+BF171</f>
        <v>12</v>
      </c>
    </row>
    <row r="173" customFormat="false" ht="40.5" hidden="false" customHeight="true" outlineLevel="0" collapsed="false">
      <c r="A173" s="76" t="n">
        <v>47</v>
      </c>
      <c r="B173" s="77" t="s">
        <v>116</v>
      </c>
      <c r="C173" s="76" t="s">
        <v>120</v>
      </c>
      <c r="D173" s="76" t="n">
        <v>4</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Belum terisi</v>
      </c>
      <c r="F173" s="77" t="str">
        <f aca="false">IF($Q173="","",PROPER(INDEX('Reguler Class Availability'!$B:$B,$Q173)&amp;""))</f>
        <v>Kids</v>
      </c>
      <c r="G173" s="76" t="n">
        <f aca="false">IF($Q173="","",IFERROR(--(INDEX('Reguler Class Availability'!$F:$F,$Q173)&amp;""),0))</f>
        <v>4</v>
      </c>
      <c r="H173" s="77" t="str">
        <f aca="false">IF($Q173="","",PROPER(INDEX('Reguler Class Availability'!$I:$I,$Q173)&amp;"")&amp;IF(INDEX('Reguler Class Availability'!$J:$J,$Q173)&amp;""="",""," + asst "&amp;PROPER(INDEX('Reguler Class Availability'!$J:$J,$Q173)&amp;"")))</f>
        <v/>
      </c>
      <c r="I173" s="77" t="s">
        <v>360</v>
      </c>
      <c r="J173" s="77" t="s">
        <v>188</v>
      </c>
      <c r="K173" s="78"/>
      <c r="L173" s="78"/>
      <c r="M173" s="78"/>
      <c r="N173" s="79"/>
      <c r="O173" s="78"/>
      <c r="Q173" s="30" t="n">
        <f aca="false">IFERROR(MATCH($B$4&amp;"|- Lane "&amp;D173&amp;" - "&amp;B173&amp;"|"&amp;C173,'Reguler Class Availability'!$L:$L,0),"")</f>
        <v>1329</v>
      </c>
      <c r="BD173" s="30" t="s">
        <v>163</v>
      </c>
      <c r="BE173" s="30" t="n">
        <f aca="false">IF(COUNTIFS('Reguler Class Availability'!$L:$L,$B$4&amp;"|- Lane 3 - *|"&amp;BD173)&gt;0,1,0)</f>
        <v>0</v>
      </c>
      <c r="BF173" s="30" t="n">
        <f aca="false">BE173+BF172</f>
        <v>12</v>
      </c>
    </row>
    <row r="174" customFormat="false" ht="40.5" hidden="false" customHeight="true" outlineLevel="0" collapsed="false">
      <c r="A174" s="76" t="n">
        <v>48</v>
      </c>
      <c r="B174" s="77" t="s">
        <v>116</v>
      </c>
      <c r="C174" s="76" t="s">
        <v>121</v>
      </c>
      <c r="D174" s="76" t="n">
        <v>1</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Belum terisi</v>
      </c>
      <c r="F174" s="77" t="str">
        <f aca="false">IF($Q174="","",PROPER(INDEX('Reguler Class Availability'!$B:$B,$Q174)&amp;""))</f>
        <v>Baby</v>
      </c>
      <c r="G174" s="76" t="n">
        <f aca="false">IF($Q174="","",IFERROR(--(INDEX('Reguler Class Availability'!$F:$F,$Q174)&amp;""),0))</f>
        <v>5</v>
      </c>
      <c r="H174" s="77" t="str">
        <f aca="false">IF($Q174="","",PROPER(INDEX('Reguler Class Availability'!$I:$I,$Q174)&amp;"")&amp;IF(INDEX('Reguler Class Availability'!$J:$J,$Q174)&amp;""="",""," + asst "&amp;PROPER(INDEX('Reguler Class Availability'!$J:$J,$Q174)&amp;"")))</f>
        <v/>
      </c>
      <c r="I174" s="77" t="s">
        <v>360</v>
      </c>
      <c r="J174" s="77" t="s">
        <v>188</v>
      </c>
      <c r="K174" s="78"/>
      <c r="L174" s="78"/>
      <c r="M174" s="78"/>
      <c r="N174" s="79"/>
      <c r="O174" s="78"/>
      <c r="Q174" s="30" t="n">
        <f aca="false">IFERROR(MATCH($B$4&amp;"|- Lane "&amp;D174&amp;" - "&amp;B174&amp;"|"&amp;C174,'Reguler Class Availability'!$L:$L,0),"")</f>
        <v>1063</v>
      </c>
      <c r="BD174" s="30" t="s">
        <v>164</v>
      </c>
      <c r="BE174" s="30" t="n">
        <f aca="false">IF(COUNTIFS('Reguler Class Availability'!$L:$L,$B$4&amp;"|- Lane 3 - *|"&amp;BD174)&gt;0,1,0)</f>
        <v>0</v>
      </c>
      <c r="BF174" s="30" t="n">
        <f aca="false">BE174+BF173</f>
        <v>12</v>
      </c>
    </row>
    <row r="175" customFormat="false" ht="40.5" hidden="false" customHeight="true" outlineLevel="0" collapsed="false">
      <c r="A175" s="76" t="n">
        <v>49</v>
      </c>
      <c r="B175" s="77" t="s">
        <v>116</v>
      </c>
      <c r="C175" s="76" t="s">
        <v>121</v>
      </c>
      <c r="D175" s="76" t="n">
        <v>2</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Belum terisi</v>
      </c>
      <c r="F175" s="77" t="str">
        <f aca="false">IF($Q175="","",PROPER(INDEX('Reguler Class Availability'!$B:$B,$Q175)&amp;""))</f>
        <v>Tiny</v>
      </c>
      <c r="G175" s="76" t="n">
        <f aca="false">IF($Q175="","",IFERROR(--(INDEX('Reguler Class Availability'!$F:$F,$Q175)&amp;""),0))</f>
        <v>5</v>
      </c>
      <c r="H175" s="77" t="str">
        <f aca="false">IF($Q175="","",PROPER(INDEX('Reguler Class Availability'!$I:$I,$Q175)&amp;"")&amp;IF(INDEX('Reguler Class Availability'!$J:$J,$Q175)&amp;""="",""," + asst "&amp;PROPER(INDEX('Reguler Class Availability'!$J:$J,$Q175)&amp;"")))</f>
        <v/>
      </c>
      <c r="I175" s="77" t="s">
        <v>360</v>
      </c>
      <c r="J175" s="77" t="s">
        <v>188</v>
      </c>
      <c r="K175" s="78"/>
      <c r="L175" s="78"/>
      <c r="M175" s="78"/>
      <c r="N175" s="79"/>
      <c r="O175" s="78"/>
      <c r="Q175" s="30" t="n">
        <f aca="false">IFERROR(MATCH($B$4&amp;"|- Lane "&amp;D175&amp;" - "&amp;B175&amp;"|"&amp;C175,'Reguler Class Availability'!$L:$L,0),"")</f>
        <v>1161</v>
      </c>
      <c r="BD175" s="30" t="s">
        <v>165</v>
      </c>
      <c r="BE175" s="30" t="n">
        <f aca="false">IF(COUNTIFS('Reguler Class Availability'!$L:$L,$B$4&amp;"|- Lane 3 - *|"&amp;BD175)&gt;0,1,0)</f>
        <v>0</v>
      </c>
      <c r="BF175" s="30" t="n">
        <f aca="false">BE175+BF174</f>
        <v>12</v>
      </c>
    </row>
    <row r="176" customFormat="false" ht="15.75" hidden="false" customHeight="true" outlineLevel="0" collapsed="false">
      <c r="A176" s="76" t="n">
        <v>50</v>
      </c>
      <c r="B176" s="77" t="s">
        <v>116</v>
      </c>
      <c r="C176" s="76" t="s">
        <v>123</v>
      </c>
      <c r="D176" s="76" t="n">
        <v>3</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Belum terisi</v>
      </c>
      <c r="F176" s="77" t="str">
        <f aca="false">IF($Q176="","",PROPER(INDEX('Reguler Class Availability'!$B:$B,$Q176)&amp;""))</f>
        <v>Little</v>
      </c>
      <c r="G176" s="76" t="n">
        <f aca="false">IF($Q176="","",IFERROR(--(INDEX('Reguler Class Availability'!$F:$F,$Q176)&amp;""),0))</f>
        <v>4</v>
      </c>
      <c r="H176" s="77" t="str">
        <f aca="false">IF($Q176="","",PROPER(INDEX('Reguler Class Availability'!$I:$I,$Q176)&amp;"")&amp;IF(INDEX('Reguler Class Availability'!$J:$J,$Q176)&amp;""="",""," + asst "&amp;PROPER(INDEX('Reguler Class Availability'!$J:$J,$Q176)&amp;"")))</f>
        <v/>
      </c>
      <c r="I176" s="77" t="s">
        <v>361</v>
      </c>
      <c r="J176" s="77" t="s">
        <v>260</v>
      </c>
      <c r="K176" s="78"/>
      <c r="L176" s="78"/>
      <c r="M176" s="78"/>
      <c r="N176" s="79"/>
      <c r="O176" s="78"/>
      <c r="Q176" s="30" t="n">
        <f aca="false">IFERROR(MATCH($B$4&amp;"|- Lane "&amp;D176&amp;" - "&amp;B176&amp;"|"&amp;C176,'Reguler Class Availability'!$L:$L,0),"")</f>
        <v>1246</v>
      </c>
      <c r="BD176" s="30" t="s">
        <v>166</v>
      </c>
      <c r="BE176" s="30" t="n">
        <f aca="false">IF(COUNTIFS('Reguler Class Availability'!$L:$L,$B$4&amp;"|- Lane 3 - *|"&amp;BD176)&gt;0,1,0)</f>
        <v>0</v>
      </c>
      <c r="BF176" s="30" t="n">
        <f aca="false">BE176+BF175</f>
        <v>12</v>
      </c>
    </row>
    <row r="177" customFormat="false" ht="15.75" hidden="false" customHeight="true" outlineLevel="0" collapsed="false">
      <c r="A177" s="76" t="n">
        <v>51</v>
      </c>
      <c r="B177" s="77" t="s">
        <v>116</v>
      </c>
      <c r="C177" s="76" t="s">
        <v>123</v>
      </c>
      <c r="D177" s="76" t="n">
        <v>4</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Belum terisi</v>
      </c>
      <c r="F177" s="77" t="str">
        <f aca="false">IF($Q177="","",PROPER(INDEX('Reguler Class Availability'!$B:$B,$Q177)&amp;""))</f>
        <v>Kids</v>
      </c>
      <c r="G177" s="76" t="n">
        <f aca="false">IF($Q177="","",IFERROR(--(INDEX('Reguler Class Availability'!$F:$F,$Q177)&amp;""),0))</f>
        <v>4</v>
      </c>
      <c r="H177" s="77" t="str">
        <f aca="false">IF($Q177="","",PROPER(INDEX('Reguler Class Availability'!$I:$I,$Q177)&amp;"")&amp;IF(INDEX('Reguler Class Availability'!$J:$J,$Q177)&amp;""="",""," + asst "&amp;PROPER(INDEX('Reguler Class Availability'!$J:$J,$Q177)&amp;"")))</f>
        <v/>
      </c>
      <c r="I177" s="77" t="s">
        <v>361</v>
      </c>
      <c r="J177" s="77" t="s">
        <v>260</v>
      </c>
      <c r="K177" s="78"/>
      <c r="L177" s="78"/>
      <c r="M177" s="78"/>
      <c r="N177" s="79"/>
      <c r="O177" s="78"/>
      <c r="Q177" s="30" t="n">
        <f aca="false">IFERROR(MATCH($B$4&amp;"|- Lane "&amp;D177&amp;" - "&amp;B177&amp;"|"&amp;C177,'Reguler Class Availability'!$L:$L,0),"")</f>
        <v>1330</v>
      </c>
      <c r="BD177" s="30" t="s">
        <v>167</v>
      </c>
      <c r="BE177" s="30" t="n">
        <f aca="false">IF(COUNTIFS('Reguler Class Availability'!$L:$L,$B$4&amp;"|- Lane 3 - *|"&amp;BD177)&gt;0,1,0)</f>
        <v>0</v>
      </c>
      <c r="BF177" s="30" t="n">
        <f aca="false">BE177+BF176</f>
        <v>12</v>
      </c>
    </row>
    <row r="178" customFormat="false" ht="15.75" hidden="false" customHeight="true" outlineLevel="0" collapsed="false">
      <c r="A178" s="76" t="n">
        <v>52</v>
      </c>
      <c r="B178" s="77" t="s">
        <v>116</v>
      </c>
      <c r="C178" s="76" t="s">
        <v>126</v>
      </c>
      <c r="D178" s="76" t="n">
        <v>3</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Belum terisi</v>
      </c>
      <c r="F178" s="77" t="str">
        <f aca="false">IF($Q178="","",PROPER(INDEX('Reguler Class Availability'!$B:$B,$Q178)&amp;""))</f>
        <v>Little</v>
      </c>
      <c r="G178" s="76" t="n">
        <f aca="false">IF($Q178="","",IFERROR(--(INDEX('Reguler Class Availability'!$F:$F,$Q178)&amp;""),0))</f>
        <v>4</v>
      </c>
      <c r="H178" s="77" t="str">
        <f aca="false">IF($Q178="","",PROPER(INDEX('Reguler Class Availability'!$I:$I,$Q178)&amp;"")&amp;IF(INDEX('Reguler Class Availability'!$J:$J,$Q178)&amp;""="",""," + asst "&amp;PROPER(INDEX('Reguler Class Availability'!$J:$J,$Q178)&amp;"")))</f>
        <v/>
      </c>
      <c r="I178" s="77" t="s">
        <v>361</v>
      </c>
      <c r="J178" s="77" t="s">
        <v>260</v>
      </c>
      <c r="K178" s="78"/>
      <c r="L178" s="78"/>
      <c r="M178" s="78"/>
      <c r="N178" s="79"/>
      <c r="O178" s="78"/>
      <c r="Q178" s="30" t="n">
        <f aca="false">IFERROR(MATCH($B$4&amp;"|- Lane "&amp;D178&amp;" - "&amp;B178&amp;"|"&amp;C178,'Reguler Class Availability'!$L:$L,0),"")</f>
        <v>1247</v>
      </c>
      <c r="BD178" s="30" t="s">
        <v>168</v>
      </c>
      <c r="BE178" s="30" t="n">
        <f aca="false">IF(COUNTIFS('Reguler Class Availability'!$L:$L,$B$4&amp;"|- Lane 3 - *|"&amp;BD178)&gt;0,1,0)</f>
        <v>0</v>
      </c>
      <c r="BF178" s="30" t="n">
        <f aca="false">BE178+BF177</f>
        <v>12</v>
      </c>
    </row>
    <row r="179" customFormat="false" ht="15.75" hidden="false" customHeight="true" outlineLevel="0" collapsed="false">
      <c r="A179" s="76" t="n">
        <v>53</v>
      </c>
      <c r="B179" s="77" t="s">
        <v>116</v>
      </c>
      <c r="C179" s="76" t="s">
        <v>126</v>
      </c>
      <c r="D179" s="76" t="n">
        <v>4</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Kids</v>
      </c>
      <c r="G179" s="76" t="n">
        <f aca="false">IF($Q179="","",IFERROR(--(INDEX('Reguler Class Availability'!$F:$F,$Q179)&amp;""),0))</f>
        <v>4</v>
      </c>
      <c r="H179" s="77" t="str">
        <f aca="false">IF($Q179="","",PROPER(INDEX('Reguler Class Availability'!$I:$I,$Q179)&amp;"")&amp;IF(INDEX('Reguler Class Availability'!$J:$J,$Q179)&amp;""="",""," + asst "&amp;PROPER(INDEX('Reguler Class Availability'!$J:$J,$Q179)&amp;"")))</f>
        <v/>
      </c>
      <c r="I179" s="77" t="s">
        <v>361</v>
      </c>
      <c r="J179" s="77" t="s">
        <v>260</v>
      </c>
      <c r="K179" s="78"/>
      <c r="L179" s="78"/>
      <c r="M179" s="78"/>
      <c r="N179" s="79"/>
      <c r="O179" s="78"/>
      <c r="Q179" s="30" t="n">
        <f aca="false">IFERROR(MATCH($B$4&amp;"|- Lane "&amp;D179&amp;" - "&amp;B179&amp;"|"&amp;C179,'Reguler Class Availability'!$L:$L,0),"")</f>
        <v>1331</v>
      </c>
      <c r="BD179" s="30" t="s">
        <v>169</v>
      </c>
      <c r="BE179" s="30" t="n">
        <f aca="false">IF(COUNTIFS('Reguler Class Availability'!$L:$L,$B$4&amp;"|- Lane 3 - *|"&amp;BD179)&gt;0,1,0)</f>
        <v>0</v>
      </c>
      <c r="BF179" s="30" t="n">
        <f aca="false">BE179+BF178</f>
        <v>12</v>
      </c>
    </row>
    <row r="180" customFormat="false" ht="27.75" hidden="false" customHeight="true" outlineLevel="0" collapsed="false">
      <c r="A180" s="76" t="n">
        <v>54</v>
      </c>
      <c r="B180" s="77" t="s">
        <v>116</v>
      </c>
      <c r="C180" s="76" t="s">
        <v>127</v>
      </c>
      <c r="D180" s="76" t="n">
        <v>1</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Belum terisi</v>
      </c>
      <c r="F180" s="77" t="str">
        <f aca="false">IF($Q180="","",PROPER(INDEX('Reguler Class Availability'!$B:$B,$Q180)&amp;""))</f>
        <v>Baby</v>
      </c>
      <c r="G180" s="76" t="n">
        <f aca="false">IF($Q180="","",IFERROR(--(INDEX('Reguler Class Availability'!$F:$F,$Q180)&amp;""),0))</f>
        <v>5</v>
      </c>
      <c r="H180" s="77" t="str">
        <f aca="false">IF($Q180="","",PROPER(INDEX('Reguler Class Availability'!$I:$I,$Q180)&amp;"")&amp;IF(INDEX('Reguler Class Availability'!$J:$J,$Q180)&amp;""="",""," + asst "&amp;PROPER(INDEX('Reguler Class Availability'!$J:$J,$Q180)&amp;"")))</f>
        <v/>
      </c>
      <c r="I180" s="77" t="s">
        <v>362</v>
      </c>
      <c r="J180" s="77" t="s">
        <v>188</v>
      </c>
      <c r="K180" s="78"/>
      <c r="L180" s="78"/>
      <c r="M180" s="78"/>
      <c r="N180" s="79"/>
      <c r="O180" s="78"/>
      <c r="Q180" s="30" t="n">
        <f aca="false">IFERROR(MATCH($B$4&amp;"|- Lane "&amp;D180&amp;" - "&amp;B180&amp;"|"&amp;C180,'Reguler Class Availability'!$L:$L,0),"")</f>
        <v>1065</v>
      </c>
      <c r="BD180" s="30" t="s">
        <v>170</v>
      </c>
      <c r="BE180" s="30" t="n">
        <f aca="false">IF(COUNTIFS('Reguler Class Availability'!$L:$L,$B$4&amp;"|- Lane 3 - *|"&amp;BD180)&gt;0,1,0)</f>
        <v>0</v>
      </c>
      <c r="BF180" s="30" t="n">
        <f aca="false">BE180+BF179</f>
        <v>12</v>
      </c>
    </row>
    <row r="181" customFormat="false" ht="27.75" hidden="false" customHeight="true" outlineLevel="0" collapsed="false">
      <c r="A181" s="76" t="n">
        <v>55</v>
      </c>
      <c r="B181" s="77" t="s">
        <v>116</v>
      </c>
      <c r="C181" s="76" t="s">
        <v>130</v>
      </c>
      <c r="D181" s="76" t="n">
        <v>1</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Baby</v>
      </c>
      <c r="G181" s="76" t="n">
        <f aca="false">IF($Q181="","",IFERROR(--(INDEX('Reguler Class Availability'!$F:$F,$Q181)&amp;""),0))</f>
        <v>5</v>
      </c>
      <c r="H181" s="77" t="str">
        <f aca="false">IF($Q181="","",PROPER(INDEX('Reguler Class Availability'!$I:$I,$Q181)&amp;"")&amp;IF(INDEX('Reguler Class Availability'!$J:$J,$Q181)&amp;""="",""," + asst "&amp;PROPER(INDEX('Reguler Class Availability'!$J:$J,$Q181)&amp;"")))</f>
        <v/>
      </c>
      <c r="I181" s="77" t="s">
        <v>362</v>
      </c>
      <c r="J181" s="77" t="s">
        <v>188</v>
      </c>
      <c r="K181" s="78"/>
      <c r="L181" s="78"/>
      <c r="M181" s="78"/>
      <c r="N181" s="79"/>
      <c r="O181" s="78"/>
      <c r="Q181" s="30" t="n">
        <f aca="false">IFERROR(MATCH($B$4&amp;"|- Lane "&amp;D181&amp;" - "&amp;B181&amp;"|"&amp;C181,'Reguler Class Availability'!$L:$L,0),"")</f>
        <v>1066</v>
      </c>
      <c r="BD181" s="30" t="s">
        <v>171</v>
      </c>
      <c r="BE181" s="30" t="n">
        <f aca="false">IF(COUNTIFS('Reguler Class Availability'!$L:$L,$B$4&amp;"|- Lane 3 - *|"&amp;BD181)&gt;0,1,0)</f>
        <v>0</v>
      </c>
      <c r="BF181" s="30" t="n">
        <f aca="false">BE181+BF180</f>
        <v>12</v>
      </c>
    </row>
    <row r="182" customFormat="false" ht="27.75" hidden="false" customHeight="true" outlineLevel="0" collapsed="false">
      <c r="A182" s="76" t="n">
        <v>56</v>
      </c>
      <c r="B182" s="77" t="s">
        <v>116</v>
      </c>
      <c r="C182" s="76" t="s">
        <v>130</v>
      </c>
      <c r="D182" s="76" t="n">
        <v>2</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Belum terisi</v>
      </c>
      <c r="F182" s="77" t="str">
        <f aca="false">IF($Q182="","",PROPER(INDEX('Reguler Class Availability'!$B:$B,$Q182)&amp;""))</f>
        <v>Tiny</v>
      </c>
      <c r="G182" s="76" t="n">
        <f aca="false">IF($Q182="","",IFERROR(--(INDEX('Reguler Class Availability'!$F:$F,$Q182)&amp;""),0))</f>
        <v>5</v>
      </c>
      <c r="H182" s="77" t="str">
        <f aca="false">IF($Q182="","",PROPER(INDEX('Reguler Class Availability'!$I:$I,$Q182)&amp;"")&amp;IF(INDEX('Reguler Class Availability'!$J:$J,$Q182)&amp;""="",""," + asst "&amp;PROPER(INDEX('Reguler Class Availability'!$J:$J,$Q182)&amp;"")))</f>
        <v/>
      </c>
      <c r="I182" s="77" t="s">
        <v>362</v>
      </c>
      <c r="J182" s="77" t="s">
        <v>188</v>
      </c>
      <c r="K182" s="78"/>
      <c r="L182" s="78"/>
      <c r="M182" s="78"/>
      <c r="N182" s="79"/>
      <c r="O182" s="78"/>
      <c r="Q182" s="30" t="n">
        <f aca="false">IFERROR(MATCH($B$4&amp;"|- Lane "&amp;D182&amp;" - "&amp;B182&amp;"|"&amp;C182,'Reguler Class Availability'!$L:$L,0),"")</f>
        <v>1164</v>
      </c>
      <c r="BD182" s="30" t="s">
        <v>78</v>
      </c>
      <c r="BE182" s="30" t="n">
        <f aca="false">IF(COUNTIFS('Reguler Class Availability'!$L:$L,$B$4&amp;"|- Lane 4 - *|"&amp;BD182)&gt;0,1,0)</f>
        <v>0</v>
      </c>
      <c r="BF182" s="30" t="n">
        <f aca="false">BE182</f>
        <v>0</v>
      </c>
    </row>
    <row r="183" customFormat="false" ht="27.75" hidden="false" customHeight="true" outlineLevel="0" collapsed="false">
      <c r="A183" s="76" t="n">
        <v>57</v>
      </c>
      <c r="B183" s="77" t="s">
        <v>116</v>
      </c>
      <c r="C183" s="76" t="s">
        <v>139</v>
      </c>
      <c r="D183" s="76" t="n">
        <v>3</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Little</v>
      </c>
      <c r="G183" s="76" t="n">
        <f aca="false">IF($Q183="","",IFERROR(--(INDEX('Reguler Class Availability'!$F:$F,$Q183)&amp;""),0))</f>
        <v>4</v>
      </c>
      <c r="H183" s="77" t="str">
        <f aca="false">IF($Q183="","",PROPER(INDEX('Reguler Class Availability'!$I:$I,$Q183)&amp;"")&amp;IF(INDEX('Reguler Class Availability'!$J:$J,$Q183)&amp;""="",""," + asst "&amp;PROPER(INDEX('Reguler Class Availability'!$J:$J,$Q183)&amp;"")))</f>
        <v/>
      </c>
      <c r="I183" s="77" t="s">
        <v>363</v>
      </c>
      <c r="J183" s="77" t="s">
        <v>188</v>
      </c>
      <c r="K183" s="78"/>
      <c r="L183" s="78"/>
      <c r="M183" s="78"/>
      <c r="N183" s="79"/>
      <c r="O183" s="78"/>
      <c r="Q183" s="30" t="n">
        <f aca="false">IFERROR(MATCH($B$4&amp;"|- Lane "&amp;D183&amp;" - "&amp;B183&amp;"|"&amp;C183,'Reguler Class Availability'!$L:$L,0),"")</f>
        <v>1250</v>
      </c>
      <c r="BD183" s="30" t="s">
        <v>79</v>
      </c>
      <c r="BE183" s="30" t="n">
        <f aca="false">IF(COUNTIFS('Reguler Class Availability'!$L:$L,$B$4&amp;"|- Lane 4 - *|"&amp;BD183)&gt;0,1,0)</f>
        <v>0</v>
      </c>
      <c r="BF183" s="30" t="n">
        <f aca="false">BE183+BF182</f>
        <v>0</v>
      </c>
    </row>
    <row r="184" customFormat="false" ht="15.75" hidden="false" customHeight="true" outlineLevel="0" collapsed="false">
      <c r="A184" s="76" t="n">
        <v>58</v>
      </c>
      <c r="B184" s="77" t="s">
        <v>116</v>
      </c>
      <c r="C184" s="76" t="s">
        <v>141</v>
      </c>
      <c r="D184" s="76" t="n">
        <v>2</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Belum terisi</v>
      </c>
      <c r="F184" s="77" t="str">
        <f aca="false">IF($Q184="","",PROPER(INDEX('Reguler Class Availability'!$B:$B,$Q184)&amp;""))</f>
        <v>Tiny</v>
      </c>
      <c r="G184" s="76" t="n">
        <f aca="false">IF($Q184="","",IFERROR(--(INDEX('Reguler Class Availability'!$F:$F,$Q184)&amp;""),0))</f>
        <v>5</v>
      </c>
      <c r="H184" s="77" t="str">
        <f aca="false">IF($Q184="","",PROPER(INDEX('Reguler Class Availability'!$I:$I,$Q184)&amp;"")&amp;IF(INDEX('Reguler Class Availability'!$J:$J,$Q184)&amp;""="",""," + asst "&amp;PROPER(INDEX('Reguler Class Availability'!$J:$J,$Q184)&amp;"")))</f>
        <v/>
      </c>
      <c r="I184" s="80" t="s">
        <v>199</v>
      </c>
      <c r="J184" s="77" t="s">
        <v>42</v>
      </c>
      <c r="K184" s="78"/>
      <c r="L184" s="78"/>
      <c r="M184" s="78"/>
      <c r="N184" s="79"/>
      <c r="O184" s="78"/>
      <c r="Q184" s="30" t="n">
        <f aca="false">IFERROR(MATCH($B$4&amp;"|- Lane "&amp;D184&amp;" - "&amp;B184&amp;"|"&amp;C184,'Reguler Class Availability'!$L:$L,0),"")</f>
        <v>1166</v>
      </c>
      <c r="BD184" s="30" t="s">
        <v>84</v>
      </c>
      <c r="BE184" s="30" t="n">
        <f aca="false">IF(COUNTIFS('Reguler Class Availability'!$L:$L,$B$4&amp;"|- Lane 4 - *|"&amp;BD184)&gt;0,1,0)</f>
        <v>0</v>
      </c>
      <c r="BF184" s="30" t="n">
        <f aca="false">BE184+BF183</f>
        <v>0</v>
      </c>
    </row>
    <row r="185" customFormat="false" ht="15.75" hidden="false" customHeight="true" outlineLevel="0" collapsed="false">
      <c r="A185" s="76" t="n">
        <v>59</v>
      </c>
      <c r="B185" s="77" t="s">
        <v>116</v>
      </c>
      <c r="C185" s="76" t="s">
        <v>144</v>
      </c>
      <c r="D185" s="76" t="n">
        <v>1</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Belum terisi</v>
      </c>
      <c r="F185" s="77" t="str">
        <f aca="false">IF($Q185="","",PROPER(INDEX('Reguler Class Availability'!$B:$B,$Q185)&amp;""))</f>
        <v>Baby</v>
      </c>
      <c r="G185" s="76" t="n">
        <f aca="false">IF($Q185="","",IFERROR(--(INDEX('Reguler Class Availability'!$F:$F,$Q185)&amp;""),0))</f>
        <v>5</v>
      </c>
      <c r="H185" s="77" t="str">
        <f aca="false">IF($Q185="","",PROPER(INDEX('Reguler Class Availability'!$I:$I,$Q185)&amp;"")&amp;IF(INDEX('Reguler Class Availability'!$J:$J,$Q185)&amp;""="",""," + asst "&amp;PROPER(INDEX('Reguler Class Availability'!$J:$J,$Q185)&amp;"")))</f>
        <v/>
      </c>
      <c r="I185" s="80" t="s">
        <v>199</v>
      </c>
      <c r="J185" s="77" t="s">
        <v>303</v>
      </c>
      <c r="K185" s="78"/>
      <c r="L185" s="78"/>
      <c r="M185" s="78"/>
      <c r="N185" s="79"/>
      <c r="O185" s="78"/>
      <c r="Q185" s="30" t="n">
        <f aca="false">IFERROR(MATCH($B$4&amp;"|- Lane "&amp;D185&amp;" - "&amp;B185&amp;"|"&amp;C185,'Reguler Class Availability'!$L:$L,0),"")</f>
        <v>1069</v>
      </c>
      <c r="BD185" s="30" t="s">
        <v>85</v>
      </c>
      <c r="BE185" s="30" t="n">
        <f aca="false">IF(COUNTIFS('Reguler Class Availability'!$L:$L,$B$4&amp;"|- Lane 4 - *|"&amp;BD185)&gt;0,1,0)</f>
        <v>0</v>
      </c>
      <c r="BF185" s="30" t="n">
        <f aca="false">BE185+BF184</f>
        <v>0</v>
      </c>
    </row>
    <row r="186" customFormat="false" ht="15.75" hidden="false" customHeight="true" outlineLevel="0" collapsed="false">
      <c r="A186" s="76" t="n">
        <v>60</v>
      </c>
      <c r="B186" s="77" t="s">
        <v>116</v>
      </c>
      <c r="C186" s="76" t="s">
        <v>144</v>
      </c>
      <c r="D186" s="76" t="n">
        <v>2</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Belum terisi</v>
      </c>
      <c r="F186" s="77" t="str">
        <f aca="false">IF($Q186="","",PROPER(INDEX('Reguler Class Availability'!$B:$B,$Q186)&amp;""))</f>
        <v>Tiny</v>
      </c>
      <c r="G186" s="76" t="n">
        <f aca="false">IF($Q186="","",IFERROR(--(INDEX('Reguler Class Availability'!$F:$F,$Q186)&amp;""),0))</f>
        <v>5</v>
      </c>
      <c r="H186" s="77" t="str">
        <f aca="false">IF($Q186="","",PROPER(INDEX('Reguler Class Availability'!$I:$I,$Q186)&amp;"")&amp;IF(INDEX('Reguler Class Availability'!$J:$J,$Q186)&amp;""="",""," + asst "&amp;PROPER(INDEX('Reguler Class Availability'!$J:$J,$Q186)&amp;"")))</f>
        <v/>
      </c>
      <c r="I186" s="80" t="s">
        <v>199</v>
      </c>
      <c r="J186" s="77" t="s">
        <v>42</v>
      </c>
      <c r="K186" s="78"/>
      <c r="L186" s="78"/>
      <c r="M186" s="78"/>
      <c r="N186" s="79"/>
      <c r="O186" s="78"/>
      <c r="Q186" s="30" t="n">
        <f aca="false">IFERROR(MATCH($B$4&amp;"|- Lane "&amp;D186&amp;" - "&amp;B186&amp;"|"&amp;C186,'Reguler Class Availability'!$L:$L,0),"")</f>
        <v>1167</v>
      </c>
      <c r="BD186" s="30" t="s">
        <v>89</v>
      </c>
      <c r="BE186" s="30" t="n">
        <f aca="false">IF(COUNTIFS('Reguler Class Availability'!$L:$L,$B$4&amp;"|- Lane 4 - *|"&amp;BD186)&gt;0,1,0)</f>
        <v>0</v>
      </c>
      <c r="BF186" s="30" t="n">
        <f aca="false">BE186+BF185</f>
        <v>0</v>
      </c>
    </row>
    <row r="187" customFormat="false" ht="15.75" hidden="false" customHeight="true" outlineLevel="0" collapsed="false">
      <c r="A187" s="76" t="n">
        <v>61</v>
      </c>
      <c r="B187" s="77" t="s">
        <v>116</v>
      </c>
      <c r="C187" s="76" t="s">
        <v>147</v>
      </c>
      <c r="D187" s="76" t="n">
        <v>1</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Kosong</v>
      </c>
      <c r="F187" s="77" t="str">
        <f aca="false">IF($Q187="","",PROPER(INDEX('Reguler Class Availability'!$B:$B,$Q187)&amp;""))</f>
        <v/>
      </c>
      <c r="G187" s="76" t="n">
        <f aca="false">IF($Q187="","",IFERROR(--(INDEX('Reguler Class Availability'!$F:$F,$Q187)&amp;""),0))</f>
        <v>5</v>
      </c>
      <c r="H187" s="77" t="str">
        <f aca="false">IF($Q187="","",PROPER(INDEX('Reguler Class Availability'!$I:$I,$Q187)&amp;"")&amp;IF(INDEX('Reguler Class Availability'!$J:$J,$Q187)&amp;""="",""," + asst "&amp;PROPER(INDEX('Reguler Class Availability'!$J:$J,$Q187)&amp;"")))</f>
        <v/>
      </c>
      <c r="I187" s="80" t="s">
        <v>199</v>
      </c>
      <c r="J187" s="77" t="s">
        <v>309</v>
      </c>
      <c r="K187" s="78"/>
      <c r="L187" s="78"/>
      <c r="M187" s="78"/>
      <c r="N187" s="79"/>
      <c r="O187" s="78"/>
      <c r="Q187" s="30" t="n">
        <f aca="false">IFERROR(MATCH($B$4&amp;"|- Lane "&amp;D187&amp;" - "&amp;B187&amp;"|"&amp;C187,'Reguler Class Availability'!$L:$L,0),"")</f>
        <v>1070</v>
      </c>
      <c r="BD187" s="30" t="s">
        <v>90</v>
      </c>
      <c r="BE187" s="30" t="n">
        <f aca="false">IF(COUNTIFS('Reguler Class Availability'!$L:$L,$B$4&amp;"|- Lane 4 - *|"&amp;BD187)&gt;0,1,0)</f>
        <v>0</v>
      </c>
      <c r="BF187" s="30" t="n">
        <f aca="false">BE187+BF186</f>
        <v>0</v>
      </c>
    </row>
    <row r="188" customFormat="false" ht="15.75" hidden="false" customHeight="true" outlineLevel="0" collapsed="false">
      <c r="A188" s="76" t="n">
        <v>62</v>
      </c>
      <c r="B188" s="77" t="s">
        <v>116</v>
      </c>
      <c r="C188" s="76" t="s">
        <v>150</v>
      </c>
      <c r="D188" s="76" t="n">
        <v>1</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Kosong</v>
      </c>
      <c r="F188" s="77" t="str">
        <f aca="false">IF($Q188="","",PROPER(INDEX('Reguler Class Availability'!$B:$B,$Q188)&amp;""))</f>
        <v/>
      </c>
      <c r="G188" s="76" t="n">
        <f aca="false">IF($Q188="","",IFERROR(--(INDEX('Reguler Class Availability'!$F:$F,$Q188)&amp;""),0))</f>
        <v>5</v>
      </c>
      <c r="H188" s="77" t="str">
        <f aca="false">IF($Q188="","",PROPER(INDEX('Reguler Class Availability'!$I:$I,$Q188)&amp;"")&amp;IF(INDEX('Reguler Class Availability'!$J:$J,$Q188)&amp;""="",""," + asst "&amp;PROPER(INDEX('Reguler Class Availability'!$J:$J,$Q188)&amp;"")))</f>
        <v/>
      </c>
      <c r="I188" s="77" t="s">
        <v>351</v>
      </c>
      <c r="J188" s="77" t="s">
        <v>260</v>
      </c>
      <c r="K188" s="78"/>
      <c r="L188" s="78"/>
      <c r="M188" s="78"/>
      <c r="N188" s="79"/>
      <c r="O188" s="78"/>
      <c r="Q188" s="30" t="n">
        <f aca="false">IFERROR(MATCH($B$4&amp;"|- Lane "&amp;D188&amp;" - "&amp;B188&amp;"|"&amp;C188,'Reguler Class Availability'!$L:$L,0),"")</f>
        <v>1071</v>
      </c>
      <c r="BD188" s="30" t="s">
        <v>91</v>
      </c>
      <c r="BE188" s="30" t="n">
        <f aca="false">IF(COUNTIFS('Reguler Class Availability'!$L:$L,$B$4&amp;"|- Lane 4 - *|"&amp;BD188)&gt;0,1,0)</f>
        <v>0</v>
      </c>
      <c r="BF188" s="30" t="n">
        <f aca="false">BE188+BF187</f>
        <v>0</v>
      </c>
    </row>
    <row r="189" customFormat="false" ht="15.75" hidden="false" customHeight="true" outlineLevel="0" collapsed="false">
      <c r="A189" s="76" t="n">
        <v>63</v>
      </c>
      <c r="B189" s="77" t="s">
        <v>116</v>
      </c>
      <c r="C189" s="76" t="s">
        <v>150</v>
      </c>
      <c r="D189" s="76" t="n">
        <v>2</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Kosong</v>
      </c>
      <c r="F189" s="77" t="str">
        <f aca="false">IF($Q189="","",PROPER(INDEX('Reguler Class Availability'!$B:$B,$Q189)&amp;""))</f>
        <v/>
      </c>
      <c r="G189" s="76" t="n">
        <f aca="false">IF($Q189="","",IFERROR(--(INDEX('Reguler Class Availability'!$F:$F,$Q189)&amp;""),0))</f>
        <v>5</v>
      </c>
      <c r="H189" s="77" t="str">
        <f aca="false">IF($Q189="","",PROPER(INDEX('Reguler Class Availability'!$I:$I,$Q189)&amp;"")&amp;IF(INDEX('Reguler Class Availability'!$J:$J,$Q189)&amp;""="",""," + asst "&amp;PROPER(INDEX('Reguler Class Availability'!$J:$J,$Q189)&amp;"")))</f>
        <v/>
      </c>
      <c r="I189" s="77" t="s">
        <v>351</v>
      </c>
      <c r="J189" s="77" t="s">
        <v>260</v>
      </c>
      <c r="K189" s="78"/>
      <c r="L189" s="78"/>
      <c r="M189" s="78"/>
      <c r="N189" s="79"/>
      <c r="O189" s="78"/>
      <c r="Q189" s="30" t="n">
        <f aca="false">IFERROR(MATCH($B$4&amp;"|- Lane "&amp;D189&amp;" - "&amp;B189&amp;"|"&amp;C189,'Reguler Class Availability'!$L:$L,0),"")</f>
        <v>1169</v>
      </c>
      <c r="BD189" s="30" t="s">
        <v>98</v>
      </c>
      <c r="BE189" s="30" t="n">
        <f aca="false">IF(COUNTIFS('Reguler Class Availability'!$L:$L,$B$4&amp;"|- Lane 4 - *|"&amp;BD189)&gt;0,1,0)</f>
        <v>0</v>
      </c>
      <c r="BF189" s="30" t="n">
        <f aca="false">BE189+BF188</f>
        <v>0</v>
      </c>
    </row>
    <row r="190" customFormat="false" ht="15.75" hidden="false" customHeight="true" outlineLevel="0" collapsed="false">
      <c r="A190" s="76" t="n">
        <v>64</v>
      </c>
      <c r="B190" s="77" t="s">
        <v>116</v>
      </c>
      <c r="C190" s="76" t="s">
        <v>153</v>
      </c>
      <c r="D190" s="76" t="n">
        <v>1</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Belum terisi</v>
      </c>
      <c r="F190" s="77" t="str">
        <f aca="false">IF($Q190="","",PROPER(INDEX('Reguler Class Availability'!$B:$B,$Q190)&amp;""))</f>
        <v>Baby</v>
      </c>
      <c r="G190" s="76" t="n">
        <f aca="false">IF($Q190="","",IFERROR(--(INDEX('Reguler Class Availability'!$F:$F,$Q190)&amp;""),0))</f>
        <v>5</v>
      </c>
      <c r="H190" s="77" t="str">
        <f aca="false">IF($Q190="","",PROPER(INDEX('Reguler Class Availability'!$I:$I,$Q190)&amp;"")&amp;IF(INDEX('Reguler Class Availability'!$J:$J,$Q190)&amp;""="",""," + asst "&amp;PROPER(INDEX('Reguler Class Availability'!$J:$J,$Q190)&amp;"")))</f>
        <v/>
      </c>
      <c r="I190" s="80" t="s">
        <v>199</v>
      </c>
      <c r="J190" s="77" t="s">
        <v>303</v>
      </c>
      <c r="K190" s="78"/>
      <c r="L190" s="78"/>
      <c r="M190" s="78"/>
      <c r="N190" s="79"/>
      <c r="O190" s="78"/>
      <c r="Q190" s="30" t="n">
        <f aca="false">IFERROR(MATCH($B$4&amp;"|- Lane "&amp;D190&amp;" - "&amp;B190&amp;"|"&amp;C190,'Reguler Class Availability'!$L:$L,0),"")</f>
        <v>1072</v>
      </c>
      <c r="BD190" s="30" t="s">
        <v>105</v>
      </c>
      <c r="BE190" s="30" t="n">
        <f aca="false">IF(COUNTIFS('Reguler Class Availability'!$L:$L,$B$4&amp;"|- Lane 4 - *|"&amp;BD190)&gt;0,1,0)</f>
        <v>1</v>
      </c>
      <c r="BF190" s="30" t="n">
        <f aca="false">BE190+BF189</f>
        <v>1</v>
      </c>
    </row>
    <row r="191" customFormat="false" ht="27.75" hidden="false" customHeight="true" outlineLevel="0" collapsed="false">
      <c r="A191" s="76" t="n">
        <v>65</v>
      </c>
      <c r="B191" s="77" t="s">
        <v>116</v>
      </c>
      <c r="C191" s="76" t="s">
        <v>156</v>
      </c>
      <c r="D191" s="76" t="n">
        <v>1</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Kosong</v>
      </c>
      <c r="F191" s="77" t="str">
        <f aca="false">IF($Q191="","",PROPER(INDEX('Reguler Class Availability'!$B:$B,$Q191)&amp;""))</f>
        <v/>
      </c>
      <c r="G191" s="76" t="n">
        <f aca="false">IF($Q191="","",IFERROR(--(INDEX('Reguler Class Availability'!$F:$F,$Q191)&amp;""),0))</f>
        <v>5</v>
      </c>
      <c r="H191" s="77" t="str">
        <f aca="false">IF($Q191="","",PROPER(INDEX('Reguler Class Availability'!$I:$I,$Q191)&amp;"")&amp;IF(INDEX('Reguler Class Availability'!$J:$J,$Q191)&amp;""="",""," + asst "&amp;PROPER(INDEX('Reguler Class Availability'!$J:$J,$Q191)&amp;"")))</f>
        <v/>
      </c>
      <c r="I191" s="77" t="s">
        <v>364</v>
      </c>
      <c r="J191" s="77" t="s">
        <v>188</v>
      </c>
      <c r="K191" s="78"/>
      <c r="L191" s="78"/>
      <c r="M191" s="78"/>
      <c r="N191" s="79"/>
      <c r="O191" s="78"/>
      <c r="Q191" s="30" t="n">
        <f aca="false">IFERROR(MATCH($B$4&amp;"|- Lane "&amp;D191&amp;" - "&amp;B191&amp;"|"&amp;C191,'Reguler Class Availability'!$L:$L,0),"")</f>
        <v>1073</v>
      </c>
      <c r="BD191" s="30" t="s">
        <v>110</v>
      </c>
      <c r="BE191" s="30" t="n">
        <f aca="false">IF(COUNTIFS('Reguler Class Availability'!$L:$L,$B$4&amp;"|- Lane 4 - *|"&amp;BD191)&gt;0,1,0)</f>
        <v>0</v>
      </c>
      <c r="BF191" s="30" t="n">
        <f aca="false">BE191+BF190</f>
        <v>1</v>
      </c>
    </row>
    <row r="192" customFormat="false" ht="27.75" hidden="false" customHeight="true" outlineLevel="0" collapsed="false">
      <c r="A192" s="76" t="n">
        <v>66</v>
      </c>
      <c r="B192" s="77" t="s">
        <v>116</v>
      </c>
      <c r="C192" s="76" t="s">
        <v>156</v>
      </c>
      <c r="D192" s="76" t="n">
        <v>2</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Kosong</v>
      </c>
      <c r="F192" s="77" t="str">
        <f aca="false">IF($Q192="","",PROPER(INDEX('Reguler Class Availability'!$B:$B,$Q192)&amp;""))</f>
        <v/>
      </c>
      <c r="G192" s="76" t="n">
        <f aca="false">IF($Q192="","",IFERROR(--(INDEX('Reguler Class Availability'!$F:$F,$Q192)&amp;""),0))</f>
        <v>5</v>
      </c>
      <c r="H192" s="77" t="str">
        <f aca="false">IF($Q192="","",PROPER(INDEX('Reguler Class Availability'!$I:$I,$Q192)&amp;"")&amp;IF(INDEX('Reguler Class Availability'!$J:$J,$Q192)&amp;""="",""," + asst "&amp;PROPER(INDEX('Reguler Class Availability'!$J:$J,$Q192)&amp;"")))</f>
        <v/>
      </c>
      <c r="I192" s="77" t="s">
        <v>364</v>
      </c>
      <c r="J192" s="77" t="s">
        <v>188</v>
      </c>
      <c r="K192" s="78"/>
      <c r="L192" s="78"/>
      <c r="M192" s="78"/>
      <c r="N192" s="79"/>
      <c r="O192" s="78"/>
      <c r="Q192" s="30" t="n">
        <f aca="false">IFERROR(MATCH($B$4&amp;"|- Lane "&amp;D192&amp;" - "&amp;B192&amp;"|"&amp;C192,'Reguler Class Availability'!$L:$L,0),"")</f>
        <v>1171</v>
      </c>
      <c r="BD192" s="30" t="s">
        <v>112</v>
      </c>
      <c r="BE192" s="30" t="n">
        <f aca="false">IF(COUNTIFS('Reguler Class Availability'!$L:$L,$B$4&amp;"|- Lane 4 - *|"&amp;BD192)&gt;0,1,0)</f>
        <v>0</v>
      </c>
      <c r="BF192" s="30" t="n">
        <f aca="false">BE192+BF191</f>
        <v>1</v>
      </c>
    </row>
    <row r="193" customFormat="false" ht="40.5" hidden="false" customHeight="true" outlineLevel="0" collapsed="false">
      <c r="A193" s="76" t="n">
        <v>67</v>
      </c>
      <c r="B193" s="77" t="s">
        <v>116</v>
      </c>
      <c r="C193" s="76" t="s">
        <v>160</v>
      </c>
      <c r="D193" s="76" t="n">
        <v>1</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Belum terisi</v>
      </c>
      <c r="F193" s="77" t="str">
        <f aca="false">IF($Q193="","",PROPER(INDEX('Reguler Class Availability'!$B:$B,$Q193)&amp;""))</f>
        <v>Star</v>
      </c>
      <c r="G193" s="76" t="n">
        <f aca="false">IF($Q193="","",IFERROR(--(INDEX('Reguler Class Availability'!$F:$F,$Q193)&amp;""),0))</f>
        <v>8</v>
      </c>
      <c r="H193" s="77" t="str">
        <f aca="false">IF($Q193="","",PROPER(INDEX('Reguler Class Availability'!$I:$I,$Q193)&amp;"")&amp;IF(INDEX('Reguler Class Availability'!$J:$J,$Q193)&amp;""="",""," + asst "&amp;PROPER(INDEX('Reguler Class Availability'!$J:$J,$Q193)&amp;"")))</f>
        <v/>
      </c>
      <c r="I193" s="77" t="s">
        <v>360</v>
      </c>
      <c r="J193" s="77" t="s">
        <v>186</v>
      </c>
      <c r="K193" s="78"/>
      <c r="L193" s="78"/>
      <c r="M193" s="78"/>
      <c r="N193" s="79"/>
      <c r="O193" s="78"/>
      <c r="Q193" s="30" t="n">
        <f aca="false">IFERROR(MATCH($B$4&amp;"|- Lane "&amp;D193&amp;" - "&amp;B193&amp;"|"&amp;C193,'Reguler Class Availability'!$L:$L,0),"")</f>
        <v>1131</v>
      </c>
      <c r="BD193" s="30" t="s">
        <v>120</v>
      </c>
      <c r="BE193" s="30" t="n">
        <f aca="false">IF(COUNTIFS('Reguler Class Availability'!$L:$L,$B$4&amp;"|- Lane 4 - *|"&amp;BD193)&gt;0,1,0)</f>
        <v>1</v>
      </c>
      <c r="BF193" s="30" t="n">
        <f aca="false">BE193+BF192</f>
        <v>2</v>
      </c>
    </row>
    <row r="194" customFormat="false" ht="52.5" hidden="false" customHeight="true" outlineLevel="0" collapsed="false">
      <c r="A194" s="76" t="n">
        <v>68</v>
      </c>
      <c r="B194" s="77" t="s">
        <v>117</v>
      </c>
      <c r="C194" s="76" t="s">
        <v>91</v>
      </c>
      <c r="D194" s="76" t="n">
        <v>1</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Belum terisi</v>
      </c>
      <c r="F194" s="77" t="str">
        <f aca="false">IF($Q194="","",PROPER(INDEX('Reguler Class Availability'!$B:$B,$Q194)&amp;""))</f>
        <v>Star</v>
      </c>
      <c r="G194" s="76" t="n">
        <f aca="false">IF($Q194="","",IFERROR(--(INDEX('Reguler Class Availability'!$F:$F,$Q194)&amp;""),0))</f>
        <v>8</v>
      </c>
      <c r="H194" s="77" t="str">
        <f aca="false">IF($Q194="","",PROPER(INDEX('Reguler Class Availability'!$I:$I,$Q194)&amp;"")&amp;IF(INDEX('Reguler Class Availability'!$J:$J,$Q194)&amp;""="",""," + asst "&amp;PROPER(INDEX('Reguler Class Availability'!$J:$J,$Q194)&amp;"")))</f>
        <v/>
      </c>
      <c r="I194" s="77" t="s">
        <v>365</v>
      </c>
      <c r="J194" s="77" t="s">
        <v>186</v>
      </c>
      <c r="K194" s="78"/>
      <c r="L194" s="78"/>
      <c r="M194" s="78"/>
      <c r="N194" s="79"/>
      <c r="O194" s="78"/>
      <c r="Q194" s="30" t="n">
        <f aca="false">IFERROR(MATCH($B$4&amp;"|- Lane "&amp;D194&amp;" - "&amp;B194&amp;"|"&amp;C194,'Reguler Class Availability'!$L:$L,0),"")</f>
        <v>1125</v>
      </c>
      <c r="BD194" s="30" t="s">
        <v>121</v>
      </c>
      <c r="BE194" s="30" t="n">
        <f aca="false">IF(COUNTIFS('Reguler Class Availability'!$L:$L,$B$4&amp;"|- Lane 4 - *|"&amp;BD194)&gt;0,1,0)</f>
        <v>0</v>
      </c>
      <c r="BF194" s="30" t="n">
        <f aca="false">BE194+BF193</f>
        <v>2</v>
      </c>
    </row>
    <row r="195" customFormat="false" ht="52.5" hidden="false" customHeight="true" outlineLevel="0" collapsed="false">
      <c r="A195" s="76" t="n">
        <v>69</v>
      </c>
      <c r="B195" s="77" t="s">
        <v>117</v>
      </c>
      <c r="C195" s="76" t="s">
        <v>120</v>
      </c>
      <c r="D195" s="76" t="n">
        <v>3</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Belum terisi</v>
      </c>
      <c r="F195" s="77" t="str">
        <f aca="false">IF($Q195="","",PROPER(INDEX('Reguler Class Availability'!$B:$B,$Q195)&amp;""))</f>
        <v>Little</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365</v>
      </c>
      <c r="J195" s="77" t="s">
        <v>186</v>
      </c>
      <c r="K195" s="78"/>
      <c r="L195" s="78"/>
      <c r="M195" s="78"/>
      <c r="N195" s="79"/>
      <c r="O195" s="78"/>
      <c r="Q195" s="30" t="n">
        <f aca="false">IFERROR(MATCH($B$4&amp;"|- Lane "&amp;D195&amp;" - "&amp;B195&amp;"|"&amp;C195,'Reguler Class Availability'!$L:$L,0),"")</f>
        <v>1257</v>
      </c>
      <c r="BD195" s="30" t="s">
        <v>122</v>
      </c>
      <c r="BE195" s="30" t="n">
        <f aca="false">IF(COUNTIFS('Reguler Class Availability'!$L:$L,$B$4&amp;"|- Lane 4 - *|"&amp;BD195)&gt;0,1,0)</f>
        <v>0</v>
      </c>
      <c r="BF195" s="30" t="n">
        <f aca="false">BE195+BF194</f>
        <v>2</v>
      </c>
    </row>
    <row r="196" customFormat="false" ht="52.5" hidden="false" customHeight="true" outlineLevel="0" collapsed="false">
      <c r="A196" s="76" t="n">
        <v>70</v>
      </c>
      <c r="B196" s="77" t="s">
        <v>117</v>
      </c>
      <c r="C196" s="76" t="s">
        <v>120</v>
      </c>
      <c r="D196" s="76" t="n">
        <v>4</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Belum terisi</v>
      </c>
      <c r="F196" s="77" t="str">
        <f aca="false">IF($Q196="","",PROPER(INDEX('Reguler Class Availability'!$B:$B,$Q196)&amp;""))</f>
        <v>Kids</v>
      </c>
      <c r="G196" s="76" t="n">
        <f aca="false">IF($Q196="","",IFERROR(--(INDEX('Reguler Class Availability'!$F:$F,$Q196)&amp;""),0))</f>
        <v>4</v>
      </c>
      <c r="H196" s="77" t="str">
        <f aca="false">IF($Q196="","",PROPER(INDEX('Reguler Class Availability'!$I:$I,$Q196)&amp;"")&amp;IF(INDEX('Reguler Class Availability'!$J:$J,$Q196)&amp;""="",""," + asst "&amp;PROPER(INDEX('Reguler Class Availability'!$J:$J,$Q196)&amp;"")))</f>
        <v/>
      </c>
      <c r="I196" s="77" t="s">
        <v>365</v>
      </c>
      <c r="J196" s="77" t="s">
        <v>186</v>
      </c>
      <c r="K196" s="78"/>
      <c r="L196" s="78"/>
      <c r="M196" s="78"/>
      <c r="N196" s="79"/>
      <c r="O196" s="78"/>
      <c r="Q196" s="30" t="n">
        <f aca="false">IFERROR(MATCH($B$4&amp;"|- Lane "&amp;D196&amp;" - "&amp;B196&amp;"|"&amp;C196,'Reguler Class Availability'!$L:$L,0),"")</f>
        <v>1341</v>
      </c>
      <c r="BD196" s="30" t="s">
        <v>123</v>
      </c>
      <c r="BE196" s="30" t="n">
        <f aca="false">IF(COUNTIFS('Reguler Class Availability'!$L:$L,$B$4&amp;"|- Lane 4 - *|"&amp;BD196)&gt;0,1,0)</f>
        <v>1</v>
      </c>
      <c r="BF196" s="30" t="n">
        <f aca="false">BE196+BF195</f>
        <v>3</v>
      </c>
    </row>
    <row r="197" customFormat="false" ht="52.5" hidden="false" customHeight="true" outlineLevel="0" collapsed="false">
      <c r="A197" s="76" t="n">
        <v>71</v>
      </c>
      <c r="B197" s="77" t="s">
        <v>117</v>
      </c>
      <c r="C197" s="76" t="s">
        <v>121</v>
      </c>
      <c r="D197" s="76" t="n">
        <v>1</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Belum terisi</v>
      </c>
      <c r="F197" s="77" t="str">
        <f aca="false">IF($Q197="","",PROPER(INDEX('Reguler Class Availability'!$B:$B,$Q197)&amp;""))</f>
        <v>Baby</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366</v>
      </c>
      <c r="J197" s="77" t="s">
        <v>186</v>
      </c>
      <c r="K197" s="78"/>
      <c r="L197" s="78"/>
      <c r="M197" s="78"/>
      <c r="N197" s="79"/>
      <c r="O197" s="78"/>
      <c r="Q197" s="30" t="n">
        <f aca="false">IFERROR(MATCH($B$4&amp;"|- Lane "&amp;D197&amp;" - "&amp;B197&amp;"|"&amp;C197,'Reguler Class Availability'!$L:$L,0),"")</f>
        <v>1075</v>
      </c>
      <c r="BD197" s="30" t="s">
        <v>124</v>
      </c>
      <c r="BE197" s="30" t="n">
        <f aca="false">IF(COUNTIFS('Reguler Class Availability'!$L:$L,$B$4&amp;"|- Lane 4 - *|"&amp;BD197)&gt;0,1,0)</f>
        <v>0</v>
      </c>
      <c r="BF197" s="30" t="n">
        <f aca="false">BE197+BF196</f>
        <v>3</v>
      </c>
    </row>
    <row r="198" customFormat="false" ht="52.5" hidden="false" customHeight="true" outlineLevel="0" collapsed="false">
      <c r="A198" s="76" t="n">
        <v>72</v>
      </c>
      <c r="B198" s="77" t="s">
        <v>117</v>
      </c>
      <c r="C198" s="76" t="s">
        <v>121</v>
      </c>
      <c r="D198" s="76" t="n">
        <v>2</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Belum terisi</v>
      </c>
      <c r="F198" s="77" t="str">
        <f aca="false">IF($Q198="","",PROPER(INDEX('Reguler Class Availability'!$B:$B,$Q198)&amp;""))</f>
        <v>Tiny</v>
      </c>
      <c r="G198" s="76" t="n">
        <f aca="false">IF($Q198="","",IFERROR(--(INDEX('Reguler Class Availability'!$F:$F,$Q198)&amp;""),0))</f>
        <v>5</v>
      </c>
      <c r="H198" s="77" t="str">
        <f aca="false">IF($Q198="","",PROPER(INDEX('Reguler Class Availability'!$I:$I,$Q198)&amp;"")&amp;IF(INDEX('Reguler Class Availability'!$J:$J,$Q198)&amp;""="",""," + asst "&amp;PROPER(INDEX('Reguler Class Availability'!$J:$J,$Q198)&amp;"")))</f>
        <v/>
      </c>
      <c r="I198" s="77" t="s">
        <v>366</v>
      </c>
      <c r="J198" s="77" t="s">
        <v>186</v>
      </c>
      <c r="K198" s="78"/>
      <c r="L198" s="78"/>
      <c r="M198" s="78"/>
      <c r="N198" s="79"/>
      <c r="O198" s="78"/>
      <c r="Q198" s="30" t="n">
        <f aca="false">IFERROR(MATCH($B$4&amp;"|- Lane "&amp;D198&amp;" - "&amp;B198&amp;"|"&amp;C198,'Reguler Class Availability'!$L:$L,0),"")</f>
        <v>1173</v>
      </c>
      <c r="BD198" s="30" t="s">
        <v>125</v>
      </c>
      <c r="BE198" s="30" t="n">
        <f aca="false">IF(COUNTIFS('Reguler Class Availability'!$L:$L,$B$4&amp;"|- Lane 4 - *|"&amp;BD198)&gt;0,1,0)</f>
        <v>0</v>
      </c>
      <c r="BF198" s="30" t="n">
        <f aca="false">BE198+BF197</f>
        <v>3</v>
      </c>
    </row>
    <row r="199" customFormat="false" ht="40.5" hidden="false" customHeight="true" outlineLevel="0" collapsed="false">
      <c r="A199" s="76" t="n">
        <v>73</v>
      </c>
      <c r="B199" s="77" t="s">
        <v>117</v>
      </c>
      <c r="C199" s="76" t="s">
        <v>123</v>
      </c>
      <c r="D199" s="76" t="n">
        <v>4</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Belum terisi</v>
      </c>
      <c r="F199" s="77" t="str">
        <f aca="false">IF($Q199="","",PROPER(INDEX('Reguler Class Availability'!$B:$B,$Q199)&amp;""))</f>
        <v>Kids</v>
      </c>
      <c r="G199" s="76" t="n">
        <f aca="false">IF($Q199="","",IFERROR(--(INDEX('Reguler Class Availability'!$F:$F,$Q199)&amp;""),0))</f>
        <v>4</v>
      </c>
      <c r="H199" s="77" t="str">
        <f aca="false">IF($Q199="","",PROPER(INDEX('Reguler Class Availability'!$I:$I,$Q199)&amp;"")&amp;IF(INDEX('Reguler Class Availability'!$J:$J,$Q199)&amp;""="",""," + asst "&amp;PROPER(INDEX('Reguler Class Availability'!$J:$J,$Q199)&amp;"")))</f>
        <v/>
      </c>
      <c r="I199" s="77" t="s">
        <v>367</v>
      </c>
      <c r="J199" s="77" t="s">
        <v>188</v>
      </c>
      <c r="K199" s="78"/>
      <c r="L199" s="78"/>
      <c r="M199" s="78"/>
      <c r="N199" s="79"/>
      <c r="O199" s="78"/>
      <c r="Q199" s="30" t="n">
        <f aca="false">IFERROR(MATCH($B$4&amp;"|- Lane "&amp;D199&amp;" - "&amp;B199&amp;"|"&amp;C199,'Reguler Class Availability'!$L:$L,0),"")</f>
        <v>1342</v>
      </c>
      <c r="BD199" s="30" t="s">
        <v>126</v>
      </c>
      <c r="BE199" s="30" t="n">
        <f aca="false">IF(COUNTIFS('Reguler Class Availability'!$L:$L,$B$4&amp;"|- Lane 4 - *|"&amp;BD199)&gt;0,1,0)</f>
        <v>1</v>
      </c>
      <c r="BF199" s="30" t="n">
        <f aca="false">BE199+BF198</f>
        <v>4</v>
      </c>
    </row>
    <row r="200" customFormat="false" ht="27.75" hidden="false" customHeight="true" outlineLevel="0" collapsed="false">
      <c r="A200" s="76" t="n">
        <v>74</v>
      </c>
      <c r="B200" s="77" t="s">
        <v>117</v>
      </c>
      <c r="C200" s="76" t="s">
        <v>124</v>
      </c>
      <c r="D200" s="76" t="n">
        <v>1</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Belum terisi</v>
      </c>
      <c r="F200" s="77" t="str">
        <f aca="false">IF($Q200="","",PROPER(INDEX('Reguler Class Availability'!$B:$B,$Q200)&amp;""))</f>
        <v>Baby</v>
      </c>
      <c r="G200" s="76" t="n">
        <f aca="false">IF($Q200="","",IFERROR(--(INDEX('Reguler Class Availability'!$F:$F,$Q200)&amp;""),0))</f>
        <v>5</v>
      </c>
      <c r="H200" s="77" t="str">
        <f aca="false">IF($Q200="","",PROPER(INDEX('Reguler Class Availability'!$I:$I,$Q200)&amp;"")&amp;IF(INDEX('Reguler Class Availability'!$J:$J,$Q200)&amp;""="",""," + asst "&amp;PROPER(INDEX('Reguler Class Availability'!$J:$J,$Q200)&amp;"")))</f>
        <v/>
      </c>
      <c r="I200" s="77" t="s">
        <v>368</v>
      </c>
      <c r="J200" s="77" t="s">
        <v>188</v>
      </c>
      <c r="K200" s="78"/>
      <c r="L200" s="78"/>
      <c r="M200" s="78"/>
      <c r="N200" s="79"/>
      <c r="O200" s="78"/>
      <c r="Q200" s="30" t="n">
        <f aca="false">IFERROR(MATCH($B$4&amp;"|- Lane "&amp;D200&amp;" - "&amp;B200&amp;"|"&amp;C200,'Reguler Class Availability'!$L:$L,0),"")</f>
        <v>1076</v>
      </c>
      <c r="BD200" s="30" t="s">
        <v>127</v>
      </c>
      <c r="BE200" s="30" t="n">
        <f aca="false">IF(COUNTIFS('Reguler Class Availability'!$L:$L,$B$4&amp;"|- Lane 4 - *|"&amp;BD200)&gt;0,1,0)</f>
        <v>0</v>
      </c>
      <c r="BF200" s="30" t="n">
        <f aca="false">BE200+BF199</f>
        <v>4</v>
      </c>
    </row>
    <row r="201" customFormat="false" ht="40.5" hidden="false" customHeight="true" outlineLevel="0" collapsed="false">
      <c r="A201" s="76" t="n">
        <v>75</v>
      </c>
      <c r="B201" s="77" t="s">
        <v>117</v>
      </c>
      <c r="C201" s="76" t="s">
        <v>126</v>
      </c>
      <c r="D201" s="76" t="n">
        <v>4</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Belum terisi</v>
      </c>
      <c r="F201" s="77" t="str">
        <f aca="false">IF($Q201="","",PROPER(INDEX('Reguler Class Availability'!$B:$B,$Q201)&amp;""))</f>
        <v>Kids</v>
      </c>
      <c r="G201" s="76" t="n">
        <f aca="false">IF($Q201="","",IFERROR(--(INDEX('Reguler Class Availability'!$F:$F,$Q201)&amp;""),0))</f>
        <v>4</v>
      </c>
      <c r="H201" s="77" t="str">
        <f aca="false">IF($Q201="","",PROPER(INDEX('Reguler Class Availability'!$I:$I,$Q201)&amp;"")&amp;IF(INDEX('Reguler Class Availability'!$J:$J,$Q201)&amp;""="",""," + asst "&amp;PROPER(INDEX('Reguler Class Availability'!$J:$J,$Q201)&amp;"")))</f>
        <v/>
      </c>
      <c r="I201" s="77" t="s">
        <v>369</v>
      </c>
      <c r="J201" s="77" t="s">
        <v>188</v>
      </c>
      <c r="K201" s="78"/>
      <c r="L201" s="78"/>
      <c r="M201" s="78"/>
      <c r="N201" s="79"/>
      <c r="O201" s="78"/>
      <c r="Q201" s="30" t="n">
        <f aca="false">IFERROR(MATCH($B$4&amp;"|- Lane "&amp;D201&amp;" - "&amp;B201&amp;"|"&amp;C201,'Reguler Class Availability'!$L:$L,0),"")</f>
        <v>1343</v>
      </c>
      <c r="BD201" s="30" t="s">
        <v>128</v>
      </c>
      <c r="BE201" s="30" t="n">
        <f aca="false">IF(COUNTIFS('Reguler Class Availability'!$L:$L,$B$4&amp;"|- Lane 4 - *|"&amp;BD201)&gt;0,1,0)</f>
        <v>0</v>
      </c>
      <c r="BF201" s="30" t="n">
        <f aca="false">BE201+BF200</f>
        <v>4</v>
      </c>
    </row>
    <row r="202" customFormat="false" ht="40.5" hidden="false" customHeight="true" outlineLevel="0" collapsed="false">
      <c r="A202" s="76" t="n">
        <v>76</v>
      </c>
      <c r="B202" s="77" t="s">
        <v>117</v>
      </c>
      <c r="C202" s="76" t="s">
        <v>127</v>
      </c>
      <c r="D202" s="76" t="n">
        <v>1</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Belum terisi</v>
      </c>
      <c r="F202" s="77" t="str">
        <f aca="false">IF($Q202="","",PROPER(INDEX('Reguler Class Availability'!$B:$B,$Q202)&amp;""))</f>
        <v>Baby</v>
      </c>
      <c r="G202" s="76" t="n">
        <f aca="false">IF($Q202="","",IFERROR(--(INDEX('Reguler Class Availability'!$F:$F,$Q202)&amp;""),0))</f>
        <v>5</v>
      </c>
      <c r="H202" s="77" t="str">
        <f aca="false">IF($Q202="","",PROPER(INDEX('Reguler Class Availability'!$I:$I,$Q202)&amp;"")&amp;IF(INDEX('Reguler Class Availability'!$J:$J,$Q202)&amp;""="",""," + asst "&amp;PROPER(INDEX('Reguler Class Availability'!$J:$J,$Q202)&amp;"")))</f>
        <v/>
      </c>
      <c r="I202" s="77" t="s">
        <v>370</v>
      </c>
      <c r="J202" s="77" t="s">
        <v>186</v>
      </c>
      <c r="K202" s="78"/>
      <c r="L202" s="78"/>
      <c r="M202" s="78"/>
      <c r="N202" s="79"/>
      <c r="O202" s="78"/>
      <c r="Q202" s="30" t="n">
        <f aca="false">IFERROR(MATCH($B$4&amp;"|- Lane "&amp;D202&amp;" - "&amp;B202&amp;"|"&amp;C202,'Reguler Class Availability'!$L:$L,0),"")</f>
        <v>1077</v>
      </c>
      <c r="BD202" s="30" t="s">
        <v>129</v>
      </c>
      <c r="BE202" s="30" t="n">
        <f aca="false">IF(COUNTIFS('Reguler Class Availability'!$L:$L,$B$4&amp;"|- Lane 4 - *|"&amp;BD202)&gt;0,1,0)</f>
        <v>1</v>
      </c>
      <c r="BF202" s="30" t="n">
        <f aca="false">BE202+BF201</f>
        <v>5</v>
      </c>
    </row>
    <row r="203" customFormat="false" ht="40.5" hidden="false" customHeight="true" outlineLevel="0" collapsed="false">
      <c r="A203" s="76" t="n">
        <v>77</v>
      </c>
      <c r="B203" s="77" t="s">
        <v>117</v>
      </c>
      <c r="C203" s="76" t="s">
        <v>127</v>
      </c>
      <c r="D203" s="76" t="n">
        <v>2</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Belum terisi</v>
      </c>
      <c r="F203" s="77" t="str">
        <f aca="false">IF($Q203="","",PROPER(INDEX('Reguler Class Availability'!$B:$B,$Q203)&amp;""))</f>
        <v>Tiny</v>
      </c>
      <c r="G203" s="76" t="n">
        <f aca="false">IF($Q203="","",IFERROR(--(INDEX('Reguler Class Availability'!$F:$F,$Q203)&amp;""),0))</f>
        <v>5</v>
      </c>
      <c r="H203" s="77" t="str">
        <f aca="false">IF($Q203="","",PROPER(INDEX('Reguler Class Availability'!$I:$I,$Q203)&amp;"")&amp;IF(INDEX('Reguler Class Availability'!$J:$J,$Q203)&amp;""="",""," + asst "&amp;PROPER(INDEX('Reguler Class Availability'!$J:$J,$Q203)&amp;"")))</f>
        <v/>
      </c>
      <c r="I203" s="77" t="s">
        <v>370</v>
      </c>
      <c r="J203" s="77" t="s">
        <v>186</v>
      </c>
      <c r="K203" s="78"/>
      <c r="L203" s="78"/>
      <c r="M203" s="78"/>
      <c r="N203" s="79"/>
      <c r="O203" s="78"/>
      <c r="Q203" s="30" t="n">
        <f aca="false">IFERROR(MATCH($B$4&amp;"|- Lane "&amp;D203&amp;" - "&amp;B203&amp;"|"&amp;C203,'Reguler Class Availability'!$L:$L,0),"")</f>
        <v>1175</v>
      </c>
      <c r="BD203" s="30" t="s">
        <v>130</v>
      </c>
      <c r="BE203" s="30" t="n">
        <f aca="false">IF(COUNTIFS('Reguler Class Availability'!$L:$L,$B$4&amp;"|- Lane 4 - *|"&amp;BD203)&gt;0,1,0)</f>
        <v>0</v>
      </c>
      <c r="BF203" s="30" t="n">
        <f aca="false">BE203+BF202</f>
        <v>5</v>
      </c>
    </row>
    <row r="204" customFormat="false" ht="27.75" hidden="false" customHeight="true" outlineLevel="0" collapsed="false">
      <c r="A204" s="76" t="n">
        <v>78</v>
      </c>
      <c r="B204" s="77" t="s">
        <v>117</v>
      </c>
      <c r="C204" s="76" t="s">
        <v>129</v>
      </c>
      <c r="D204" s="76" t="n">
        <v>4</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Kids</v>
      </c>
      <c r="G204" s="76" t="n">
        <f aca="false">IF($Q204="","",IFERROR(--(INDEX('Reguler Class Availability'!$F:$F,$Q204)&amp;""),0))</f>
        <v>4</v>
      </c>
      <c r="H204" s="77" t="str">
        <f aca="false">IF($Q204="","",PROPER(INDEX('Reguler Class Availability'!$I:$I,$Q204)&amp;"")&amp;IF(INDEX('Reguler Class Availability'!$J:$J,$Q204)&amp;""="",""," + asst "&amp;PROPER(INDEX('Reguler Class Availability'!$J:$J,$Q204)&amp;"")))</f>
        <v/>
      </c>
      <c r="I204" s="77" t="s">
        <v>371</v>
      </c>
      <c r="J204" s="77" t="s">
        <v>186</v>
      </c>
      <c r="K204" s="78"/>
      <c r="L204" s="78"/>
      <c r="M204" s="78"/>
      <c r="N204" s="79"/>
      <c r="O204" s="78"/>
      <c r="Q204" s="30" t="n">
        <f aca="false">IFERROR(MATCH($B$4&amp;"|- Lane "&amp;D204&amp;" - "&amp;B204&amp;"|"&amp;C204,'Reguler Class Availability'!$L:$L,0),"")</f>
        <v>1344</v>
      </c>
      <c r="BD204" s="30" t="s">
        <v>131</v>
      </c>
      <c r="BE204" s="30" t="n">
        <f aca="false">IF(COUNTIFS('Reguler Class Availability'!$L:$L,$B$4&amp;"|- Lane 4 - *|"&amp;BD204)&gt;0,1,0)</f>
        <v>0</v>
      </c>
      <c r="BF204" s="30" t="n">
        <f aca="false">BE204+BF203</f>
        <v>5</v>
      </c>
    </row>
    <row r="205" customFormat="false" ht="27.75" hidden="false" customHeight="true" outlineLevel="0" collapsed="false">
      <c r="A205" s="76" t="n">
        <v>79</v>
      </c>
      <c r="B205" s="77" t="s">
        <v>117</v>
      </c>
      <c r="C205" s="76" t="s">
        <v>130</v>
      </c>
      <c r="D205" s="76" t="n">
        <v>1</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Belum terisi</v>
      </c>
      <c r="F205" s="77" t="str">
        <f aca="false">IF($Q205="","",PROPER(INDEX('Reguler Class Availability'!$B:$B,$Q205)&amp;""))</f>
        <v>Baby</v>
      </c>
      <c r="G205" s="76" t="n">
        <f aca="false">IF($Q205="","",IFERROR(--(INDEX('Reguler Class Availability'!$F:$F,$Q205)&amp;""),0))</f>
        <v>5</v>
      </c>
      <c r="H205" s="77" t="str">
        <f aca="false">IF($Q205="","",PROPER(INDEX('Reguler Class Availability'!$I:$I,$Q205)&amp;"")&amp;IF(INDEX('Reguler Class Availability'!$J:$J,$Q205)&amp;""="",""," + asst "&amp;PROPER(INDEX('Reguler Class Availability'!$J:$J,$Q205)&amp;"")))</f>
        <v/>
      </c>
      <c r="I205" s="77" t="s">
        <v>371</v>
      </c>
      <c r="J205" s="77" t="s">
        <v>186</v>
      </c>
      <c r="K205" s="78"/>
      <c r="L205" s="78"/>
      <c r="M205" s="78"/>
      <c r="N205" s="79"/>
      <c r="O205" s="78"/>
      <c r="Q205" s="30" t="n">
        <f aca="false">IFERROR(MATCH($B$4&amp;"|- Lane "&amp;D205&amp;" - "&amp;B205&amp;"|"&amp;C205,'Reguler Class Availability'!$L:$L,0),"")</f>
        <v>1078</v>
      </c>
      <c r="BD205" s="30" t="s">
        <v>132</v>
      </c>
      <c r="BE205" s="30" t="n">
        <f aca="false">IF(COUNTIFS('Reguler Class Availability'!$L:$L,$B$4&amp;"|- Lane 4 - *|"&amp;BD205)&gt;0,1,0)</f>
        <v>1</v>
      </c>
      <c r="BF205" s="30" t="n">
        <f aca="false">BE205+BF204</f>
        <v>6</v>
      </c>
    </row>
    <row r="206" customFormat="false" ht="52.5" hidden="false" customHeight="true" outlineLevel="0" collapsed="false">
      <c r="A206" s="76" t="n">
        <v>80</v>
      </c>
      <c r="B206" s="77" t="s">
        <v>117</v>
      </c>
      <c r="C206" s="76" t="s">
        <v>139</v>
      </c>
      <c r="D206" s="76" t="n">
        <v>3</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Belum terisi</v>
      </c>
      <c r="F206" s="77" t="str">
        <f aca="false">IF($Q206="","",PROPER(INDEX('Reguler Class Availability'!$B:$B,$Q206)&amp;""))</f>
        <v>Little</v>
      </c>
      <c r="G206" s="76" t="n">
        <f aca="false">IF($Q206="","",IFERROR(--(INDEX('Reguler Class Availability'!$F:$F,$Q206)&amp;""),0))</f>
        <v>4</v>
      </c>
      <c r="H206" s="77" t="str">
        <f aca="false">IF($Q206="","",PROPER(INDEX('Reguler Class Availability'!$I:$I,$Q206)&amp;"")&amp;IF(INDEX('Reguler Class Availability'!$J:$J,$Q206)&amp;""="",""," + asst "&amp;PROPER(INDEX('Reguler Class Availability'!$J:$J,$Q206)&amp;"")))</f>
        <v/>
      </c>
      <c r="I206" s="77" t="s">
        <v>365</v>
      </c>
      <c r="J206" s="77" t="s">
        <v>186</v>
      </c>
      <c r="K206" s="78"/>
      <c r="L206" s="78"/>
      <c r="M206" s="78"/>
      <c r="N206" s="79"/>
      <c r="O206" s="78"/>
      <c r="Q206" s="30" t="n">
        <f aca="false">IFERROR(MATCH($B$4&amp;"|- Lane "&amp;D206&amp;" - "&amp;B206&amp;"|"&amp;C206,'Reguler Class Availability'!$L:$L,0),"")</f>
        <v>1262</v>
      </c>
      <c r="BD206" s="30" t="s">
        <v>133</v>
      </c>
      <c r="BE206" s="30" t="n">
        <f aca="false">IF(COUNTIFS('Reguler Class Availability'!$L:$L,$B$4&amp;"|- Lane 4 - *|"&amp;BD206)&gt;0,1,0)</f>
        <v>0</v>
      </c>
      <c r="BF206" s="30" t="n">
        <f aca="false">BE206+BF205</f>
        <v>6</v>
      </c>
    </row>
    <row r="207" customFormat="false" ht="52.5" hidden="false" customHeight="true" outlineLevel="0" collapsed="false">
      <c r="A207" s="76" t="n">
        <v>81</v>
      </c>
      <c r="B207" s="77" t="s">
        <v>117</v>
      </c>
      <c r="C207" s="76" t="s">
        <v>139</v>
      </c>
      <c r="D207" s="76" t="n">
        <v>4</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Belum terisi</v>
      </c>
      <c r="F207" s="77" t="str">
        <f aca="false">IF($Q207="","",PROPER(INDEX('Reguler Class Availability'!$B:$B,$Q207)&amp;""))</f>
        <v>Kids</v>
      </c>
      <c r="G207" s="76" t="n">
        <f aca="false">IF($Q207="","",IFERROR(--(INDEX('Reguler Class Availability'!$F:$F,$Q207)&amp;""),0))</f>
        <v>4</v>
      </c>
      <c r="H207" s="77" t="str">
        <f aca="false">IF($Q207="","",PROPER(INDEX('Reguler Class Availability'!$I:$I,$Q207)&amp;"")&amp;IF(INDEX('Reguler Class Availability'!$J:$J,$Q207)&amp;""="",""," + asst "&amp;PROPER(INDEX('Reguler Class Availability'!$J:$J,$Q207)&amp;"")))</f>
        <v/>
      </c>
      <c r="I207" s="77" t="s">
        <v>365</v>
      </c>
      <c r="J207" s="77" t="s">
        <v>186</v>
      </c>
      <c r="K207" s="78"/>
      <c r="L207" s="78"/>
      <c r="M207" s="78"/>
      <c r="N207" s="79"/>
      <c r="O207" s="78"/>
      <c r="Q207" s="30" t="n">
        <f aca="false">IFERROR(MATCH($B$4&amp;"|- Lane "&amp;D207&amp;" - "&amp;B207&amp;"|"&amp;C207,'Reguler Class Availability'!$L:$L,0),"")</f>
        <v>1346</v>
      </c>
      <c r="BD207" s="30" t="s">
        <v>134</v>
      </c>
      <c r="BE207" s="30" t="n">
        <f aca="false">IF(COUNTIFS('Reguler Class Availability'!$L:$L,$B$4&amp;"|- Lane 4 - *|"&amp;BD207)&gt;0,1,0)</f>
        <v>0</v>
      </c>
      <c r="BF207" s="30" t="n">
        <f aca="false">BE207+BF206</f>
        <v>6</v>
      </c>
    </row>
    <row r="208" customFormat="false" ht="40.5" hidden="false" customHeight="true" outlineLevel="0" collapsed="false">
      <c r="A208" s="76" t="n">
        <v>82</v>
      </c>
      <c r="B208" s="77" t="s">
        <v>117</v>
      </c>
      <c r="C208" s="76" t="s">
        <v>141</v>
      </c>
      <c r="D208" s="76" t="n">
        <v>1</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Belum terisi</v>
      </c>
      <c r="F208" s="77" t="str">
        <f aca="false">IF($Q208="","",PROPER(INDEX('Reguler Class Availability'!$B:$B,$Q208)&amp;""))</f>
        <v>Baby</v>
      </c>
      <c r="G208" s="76" t="n">
        <f aca="false">IF($Q208="","",IFERROR(--(INDEX('Reguler Class Availability'!$F:$F,$Q208)&amp;""),0))</f>
        <v>5</v>
      </c>
      <c r="H208" s="77" t="str">
        <f aca="false">IF($Q208="","",PROPER(INDEX('Reguler Class Availability'!$I:$I,$Q208)&amp;"")&amp;IF(INDEX('Reguler Class Availability'!$J:$J,$Q208)&amp;""="",""," + asst "&amp;PROPER(INDEX('Reguler Class Availability'!$J:$J,$Q208)&amp;"")))</f>
        <v/>
      </c>
      <c r="I208" s="77" t="s">
        <v>367</v>
      </c>
      <c r="J208" s="77" t="s">
        <v>188</v>
      </c>
      <c r="K208" s="78"/>
      <c r="L208" s="78"/>
      <c r="M208" s="78"/>
      <c r="N208" s="79"/>
      <c r="O208" s="78"/>
      <c r="Q208" s="30" t="n">
        <f aca="false">IFERROR(MATCH($B$4&amp;"|- Lane "&amp;D208&amp;" - "&amp;B208&amp;"|"&amp;C208,'Reguler Class Availability'!$L:$L,0),"")</f>
        <v>1080</v>
      </c>
      <c r="BD208" s="30" t="s">
        <v>135</v>
      </c>
      <c r="BE208" s="30" t="n">
        <f aca="false">IF(COUNTIFS('Reguler Class Availability'!$L:$L,$B$4&amp;"|- Lane 4 - *|"&amp;BD208)&gt;0,1,0)</f>
        <v>0</v>
      </c>
      <c r="BF208" s="30" t="n">
        <f aca="false">BE208+BF207</f>
        <v>6</v>
      </c>
    </row>
    <row r="209" customFormat="false" ht="40.5" hidden="false" customHeight="true" outlineLevel="0" collapsed="false">
      <c r="A209" s="76" t="n">
        <v>83</v>
      </c>
      <c r="B209" s="77" t="s">
        <v>117</v>
      </c>
      <c r="C209" s="76" t="s">
        <v>141</v>
      </c>
      <c r="D209" s="76" t="n">
        <v>2</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Tiny</v>
      </c>
      <c r="G209" s="76" t="n">
        <f aca="false">IF($Q209="","",IFERROR(--(INDEX('Reguler Class Availability'!$F:$F,$Q209)&amp;""),0))</f>
        <v>5</v>
      </c>
      <c r="H209" s="77" t="str">
        <f aca="false">IF($Q209="","",PROPER(INDEX('Reguler Class Availability'!$I:$I,$Q209)&amp;"")&amp;IF(INDEX('Reguler Class Availability'!$J:$J,$Q209)&amp;""="",""," + asst "&amp;PROPER(INDEX('Reguler Class Availability'!$J:$J,$Q209)&amp;"")))</f>
        <v/>
      </c>
      <c r="I209" s="77" t="s">
        <v>367</v>
      </c>
      <c r="J209" s="77" t="s">
        <v>188</v>
      </c>
      <c r="K209" s="78"/>
      <c r="L209" s="78"/>
      <c r="M209" s="78"/>
      <c r="N209" s="79"/>
      <c r="O209" s="78"/>
      <c r="Q209" s="30" t="n">
        <f aca="false">IFERROR(MATCH($B$4&amp;"|- Lane "&amp;D209&amp;" - "&amp;B209&amp;"|"&amp;C209,'Reguler Class Availability'!$L:$L,0),"")</f>
        <v>1178</v>
      </c>
      <c r="BD209" s="30" t="s">
        <v>136</v>
      </c>
      <c r="BE209" s="30" t="n">
        <f aca="false">IF(COUNTIFS('Reguler Class Availability'!$L:$L,$B$4&amp;"|- Lane 4 - *|"&amp;BD209)&gt;0,1,0)</f>
        <v>0</v>
      </c>
      <c r="BF209" s="30" t="n">
        <f aca="false">BE209+BF208</f>
        <v>6</v>
      </c>
    </row>
    <row r="210" customFormat="false" ht="15.75" hidden="false" customHeight="true" outlineLevel="0" collapsed="false">
      <c r="A210" s="76" t="n">
        <v>84</v>
      </c>
      <c r="B210" s="77" t="s">
        <v>117</v>
      </c>
      <c r="C210" s="76" t="s">
        <v>144</v>
      </c>
      <c r="D210" s="76" t="n">
        <v>1</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Belum terisi</v>
      </c>
      <c r="F210" s="77" t="str">
        <f aca="false">IF($Q210="","",PROPER(INDEX('Reguler Class Availability'!$B:$B,$Q210)&amp;""))</f>
        <v>Baby</v>
      </c>
      <c r="G210" s="76" t="n">
        <f aca="false">IF($Q210="","",IFERROR(--(INDEX('Reguler Class Availability'!$F:$F,$Q210)&amp;""),0))</f>
        <v>5</v>
      </c>
      <c r="H210" s="77" t="str">
        <f aca="false">IF($Q210="","",PROPER(INDEX('Reguler Class Availability'!$I:$I,$Q210)&amp;"")&amp;IF(INDEX('Reguler Class Availability'!$J:$J,$Q210)&amp;""="",""," + asst "&amp;PROPER(INDEX('Reguler Class Availability'!$J:$J,$Q210)&amp;"")))</f>
        <v/>
      </c>
      <c r="I210" s="77" t="s">
        <v>372</v>
      </c>
      <c r="J210" s="77" t="s">
        <v>188</v>
      </c>
      <c r="K210" s="78"/>
      <c r="L210" s="78"/>
      <c r="M210" s="78"/>
      <c r="N210" s="79"/>
      <c r="O210" s="78"/>
      <c r="Q210" s="30" t="n">
        <f aca="false">IFERROR(MATCH($B$4&amp;"|- Lane "&amp;D210&amp;" - "&amp;B210&amp;"|"&amp;C210,'Reguler Class Availability'!$L:$L,0),"")</f>
        <v>1081</v>
      </c>
      <c r="BD210" s="30" t="s">
        <v>138</v>
      </c>
      <c r="BE210" s="30" t="n">
        <f aca="false">IF(COUNTIFS('Reguler Class Availability'!$L:$L,$B$4&amp;"|- Lane 4 - *|"&amp;BD210)&gt;0,1,0)</f>
        <v>0</v>
      </c>
      <c r="BF210" s="30" t="n">
        <f aca="false">BE210+BF209</f>
        <v>6</v>
      </c>
    </row>
    <row r="211" customFormat="false" ht="15.75" hidden="false" customHeight="true" outlineLevel="0" collapsed="false">
      <c r="A211" s="76" t="n">
        <v>85</v>
      </c>
      <c r="B211" s="77" t="s">
        <v>117</v>
      </c>
      <c r="C211" s="76" t="s">
        <v>144</v>
      </c>
      <c r="D211" s="76" t="n">
        <v>2</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Belum terisi</v>
      </c>
      <c r="F211" s="77" t="str">
        <f aca="false">IF($Q211="","",PROPER(INDEX('Reguler Class Availability'!$B:$B,$Q211)&amp;""))</f>
        <v>Tiny</v>
      </c>
      <c r="G211" s="76" t="n">
        <f aca="false">IF($Q211="","",IFERROR(--(INDEX('Reguler Class Availability'!$F:$F,$Q211)&amp;""),0))</f>
        <v>5</v>
      </c>
      <c r="H211" s="77" t="str">
        <f aca="false">IF($Q211="","",PROPER(INDEX('Reguler Class Availability'!$I:$I,$Q211)&amp;"")&amp;IF(INDEX('Reguler Class Availability'!$J:$J,$Q211)&amp;""="",""," + asst "&amp;PROPER(INDEX('Reguler Class Availability'!$J:$J,$Q211)&amp;"")))</f>
        <v/>
      </c>
      <c r="I211" s="77" t="s">
        <v>372</v>
      </c>
      <c r="J211" s="77" t="s">
        <v>188</v>
      </c>
      <c r="K211" s="78"/>
      <c r="L211" s="78"/>
      <c r="M211" s="78"/>
      <c r="N211" s="79"/>
      <c r="O211" s="78"/>
      <c r="Q211" s="30" t="n">
        <f aca="false">IFERROR(MATCH($B$4&amp;"|- Lane "&amp;D211&amp;" - "&amp;B211&amp;"|"&amp;C211,'Reguler Class Availability'!$L:$L,0),"")</f>
        <v>1179</v>
      </c>
      <c r="BD211" s="30" t="s">
        <v>139</v>
      </c>
      <c r="BE211" s="30" t="n">
        <f aca="false">IF(COUNTIFS('Reguler Class Availability'!$L:$L,$B$4&amp;"|- Lane 4 - *|"&amp;BD211)&gt;0,1,0)</f>
        <v>1</v>
      </c>
      <c r="BF211" s="30" t="n">
        <f aca="false">BE211+BF210</f>
        <v>7</v>
      </c>
    </row>
    <row r="212" customFormat="false" ht="15.75" hidden="false" customHeight="true" outlineLevel="0" collapsed="false">
      <c r="A212" s="76" t="n">
        <v>86</v>
      </c>
      <c r="B212" s="77" t="s">
        <v>117</v>
      </c>
      <c r="C212" s="76" t="s">
        <v>147</v>
      </c>
      <c r="D212" s="76" t="n">
        <v>1</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Belum terisi</v>
      </c>
      <c r="F212" s="77" t="str">
        <f aca="false">IF($Q212="","",PROPER(INDEX('Reguler Class Availability'!$B:$B,$Q212)&amp;""))</f>
        <v>Baby</v>
      </c>
      <c r="G212" s="76" t="n">
        <f aca="false">IF($Q212="","",IFERROR(--(INDEX('Reguler Class Availability'!$F:$F,$Q212)&amp;""),0))</f>
        <v>5</v>
      </c>
      <c r="H212" s="77" t="str">
        <f aca="false">IF($Q212="","",PROPER(INDEX('Reguler Class Availability'!$I:$I,$Q212)&amp;"")&amp;IF(INDEX('Reguler Class Availability'!$J:$J,$Q212)&amp;""="",""," + asst "&amp;PROPER(INDEX('Reguler Class Availability'!$J:$J,$Q212)&amp;"")))</f>
        <v>Laksamana</v>
      </c>
      <c r="I212" s="80" t="s">
        <v>199</v>
      </c>
      <c r="J212" s="77" t="s">
        <v>188</v>
      </c>
      <c r="K212" s="78"/>
      <c r="L212" s="78"/>
      <c r="M212" s="78"/>
      <c r="N212" s="79"/>
      <c r="O212" s="78"/>
      <c r="Q212" s="30" t="n">
        <f aca="false">IFERROR(MATCH($B$4&amp;"|- Lane "&amp;D212&amp;" - "&amp;B212&amp;"|"&amp;C212,'Reguler Class Availability'!$L:$L,0),"")</f>
        <v>1082</v>
      </c>
      <c r="BD212" s="30" t="s">
        <v>141</v>
      </c>
      <c r="BE212" s="30" t="n">
        <f aca="false">IF(COUNTIFS('Reguler Class Availability'!$L:$L,$B$4&amp;"|- Lane 4 - *|"&amp;BD212)&gt;0,1,0)</f>
        <v>0</v>
      </c>
      <c r="BF212" s="30" t="n">
        <f aca="false">BE212+BF211</f>
        <v>7</v>
      </c>
    </row>
    <row r="213" customFormat="false" ht="27.75" hidden="false" customHeight="true" outlineLevel="0" collapsed="false">
      <c r="A213" s="76" t="n">
        <v>87</v>
      </c>
      <c r="B213" s="77" t="s">
        <v>117</v>
      </c>
      <c r="C213" s="76" t="s">
        <v>150</v>
      </c>
      <c r="D213" s="76" t="n">
        <v>1</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Kosong</v>
      </c>
      <c r="F213" s="77" t="str">
        <f aca="false">IF($Q213="","",PROPER(INDEX('Reguler Class Availability'!$B:$B,$Q213)&amp;""))</f>
        <v/>
      </c>
      <c r="G213" s="76" t="n">
        <f aca="false">IF($Q213="","",IFERROR(--(INDEX('Reguler Class Availability'!$F:$F,$Q213)&amp;""),0))</f>
        <v>5</v>
      </c>
      <c r="H213" s="77" t="str">
        <f aca="false">IF($Q213="","",PROPER(INDEX('Reguler Class Availability'!$I:$I,$Q213)&amp;"")&amp;IF(INDEX('Reguler Class Availability'!$J:$J,$Q213)&amp;""="",""," + asst "&amp;PROPER(INDEX('Reguler Class Availability'!$J:$J,$Q213)&amp;"")))</f>
        <v/>
      </c>
      <c r="I213" s="77" t="s">
        <v>368</v>
      </c>
      <c r="J213" s="77" t="s">
        <v>188</v>
      </c>
      <c r="K213" s="78"/>
      <c r="L213" s="78"/>
      <c r="M213" s="78"/>
      <c r="N213" s="79"/>
      <c r="O213" s="78"/>
      <c r="Q213" s="30" t="n">
        <f aca="false">IFERROR(MATCH($B$4&amp;"|- Lane "&amp;D213&amp;" - "&amp;B213&amp;"|"&amp;C213,'Reguler Class Availability'!$L:$L,0),"")</f>
        <v>1083</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117</v>
      </c>
      <c r="C214" s="76" t="s">
        <v>156</v>
      </c>
      <c r="D214" s="76" t="n">
        <v>1</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Kosong</v>
      </c>
      <c r="F214" s="77" t="str">
        <f aca="false">IF($Q214="","",PROPER(INDEX('Reguler Class Availability'!$B:$B,$Q214)&amp;""))</f>
        <v/>
      </c>
      <c r="G214" s="76" t="n">
        <f aca="false">IF($Q214="","",IFERROR(--(INDEX('Reguler Class Availability'!$F:$F,$Q214)&amp;""),0))</f>
        <v>5</v>
      </c>
      <c r="H214" s="77" t="str">
        <f aca="false">IF($Q214="","",PROPER(INDEX('Reguler Class Availability'!$I:$I,$Q214)&amp;"")&amp;IF(INDEX('Reguler Class Availability'!$J:$J,$Q214)&amp;""="",""," + asst "&amp;PROPER(INDEX('Reguler Class Availability'!$J:$J,$Q214)&amp;"")))</f>
        <v/>
      </c>
      <c r="I214" s="77" t="s">
        <v>368</v>
      </c>
      <c r="J214" s="77" t="s">
        <v>188</v>
      </c>
      <c r="K214" s="78"/>
      <c r="L214" s="78"/>
      <c r="M214" s="78"/>
      <c r="N214" s="79"/>
      <c r="O214" s="78"/>
      <c r="Q214" s="30" t="n">
        <f aca="false">IFERROR(MATCH($B$4&amp;"|- Lane "&amp;D214&amp;" - "&amp;B214&amp;"|"&amp;C214,'Reguler Class Availability'!$L:$L,0),"")</f>
        <v>1085</v>
      </c>
      <c r="BD214" s="30" t="s">
        <v>143</v>
      </c>
      <c r="BE214" s="30" t="n">
        <f aca="false">IF(COUNTIFS('Reguler Class Availability'!$L:$L,$B$4&amp;"|- Lane 4 - *|"&amp;BD214)&gt;0,1,0)</f>
        <v>1</v>
      </c>
      <c r="BF214" s="30" t="n">
        <f aca="false">BE214+BF213</f>
        <v>8</v>
      </c>
    </row>
    <row r="215" customFormat="false" ht="27.75" hidden="false" customHeight="true" outlineLevel="0" collapsed="false">
      <c r="A215" s="76" t="n">
        <v>89</v>
      </c>
      <c r="B215" s="77" t="s">
        <v>117</v>
      </c>
      <c r="C215" s="76" t="s">
        <v>156</v>
      </c>
      <c r="D215" s="76" t="n">
        <v>2</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Kosong</v>
      </c>
      <c r="F215" s="77" t="str">
        <f aca="false">IF($Q215="","",PROPER(INDEX('Reguler Class Availability'!$B:$B,$Q215)&amp;""))</f>
        <v/>
      </c>
      <c r="G215" s="76" t="n">
        <f aca="false">IF($Q215="","",IFERROR(--(INDEX('Reguler Class Availability'!$F:$F,$Q215)&amp;""),0))</f>
        <v>5</v>
      </c>
      <c r="H215" s="77" t="str">
        <f aca="false">IF($Q215="","",PROPER(INDEX('Reguler Class Availability'!$I:$I,$Q215)&amp;"")&amp;IF(INDEX('Reguler Class Availability'!$J:$J,$Q215)&amp;""="",""," + asst "&amp;PROPER(INDEX('Reguler Class Availability'!$J:$J,$Q215)&amp;"")))</f>
        <v/>
      </c>
      <c r="I215" s="77" t="s">
        <v>368</v>
      </c>
      <c r="J215" s="77" t="s">
        <v>188</v>
      </c>
      <c r="K215" s="78"/>
      <c r="L215" s="78"/>
      <c r="M215" s="78"/>
      <c r="N215" s="79"/>
      <c r="O215" s="78"/>
      <c r="Q215" s="30" t="n">
        <f aca="false">IFERROR(MATCH($B$4&amp;"|- Lane "&amp;D215&amp;" - "&amp;B215&amp;"|"&amp;C215,'Reguler Class Availability'!$L:$L,0),"")</f>
        <v>1183</v>
      </c>
      <c r="BD215" s="30" t="s">
        <v>144</v>
      </c>
      <c r="BE215" s="30" t="n">
        <f aca="false">IF(COUNTIFS('Reguler Class Availability'!$L:$L,$B$4&amp;"|- Lane 4 - *|"&amp;BD215)&gt;0,1,0)</f>
        <v>0</v>
      </c>
      <c r="BF215" s="30" t="n">
        <f aca="false">BE215+BF214</f>
        <v>8</v>
      </c>
    </row>
    <row r="216" customFormat="false" ht="65.25" hidden="false" customHeight="true" outlineLevel="0" collapsed="false">
      <c r="A216" s="76" t="n">
        <v>90</v>
      </c>
      <c r="B216" s="77" t="s">
        <v>118</v>
      </c>
      <c r="C216" s="76" t="s">
        <v>91</v>
      </c>
      <c r="D216" s="76" t="n">
        <v>1</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Belum terisi</v>
      </c>
      <c r="F216" s="77" t="str">
        <f aca="false">IF($Q216="","",PROPER(INDEX('Reguler Class Availability'!$B:$B,$Q216)&amp;""))</f>
        <v>Star</v>
      </c>
      <c r="G216" s="76" t="n">
        <f aca="false">IF($Q216="","",IFERROR(--(INDEX('Reguler Class Availability'!$F:$F,$Q216)&amp;""),0))</f>
        <v>8</v>
      </c>
      <c r="H216" s="77" t="str">
        <f aca="false">IF($Q216="","",PROPER(INDEX('Reguler Class Availability'!$I:$I,$Q216)&amp;"")&amp;IF(INDEX('Reguler Class Availability'!$J:$J,$Q216)&amp;""="",""," + asst "&amp;PROPER(INDEX('Reguler Class Availability'!$J:$J,$Q216)&amp;"")))</f>
        <v/>
      </c>
      <c r="I216" s="77" t="s">
        <v>373</v>
      </c>
      <c r="J216" s="77" t="s">
        <v>186</v>
      </c>
      <c r="K216" s="78"/>
      <c r="L216" s="78"/>
      <c r="M216" s="78"/>
      <c r="N216" s="79"/>
      <c r="O216" s="78"/>
      <c r="Q216" s="30" t="n">
        <f aca="false">IFERROR(MATCH($B$4&amp;"|- Lane "&amp;D216&amp;" - "&amp;B216&amp;"|"&amp;C216,'Reguler Class Availability'!$L:$L,0),"")</f>
        <v>1126</v>
      </c>
      <c r="BD216" s="30" t="s">
        <v>145</v>
      </c>
      <c r="BE216" s="30" t="n">
        <f aca="false">IF(COUNTIFS('Reguler Class Availability'!$L:$L,$B$4&amp;"|- Lane 4 - *|"&amp;BD216)&gt;0,1,0)</f>
        <v>0</v>
      </c>
      <c r="BF216" s="30" t="n">
        <f aca="false">BE216+BF215</f>
        <v>8</v>
      </c>
    </row>
    <row r="217" customFormat="false" ht="27.75" hidden="false" customHeight="true" outlineLevel="0" collapsed="false">
      <c r="A217" s="76" t="n">
        <v>91</v>
      </c>
      <c r="B217" s="77" t="s">
        <v>118</v>
      </c>
      <c r="C217" s="76" t="s">
        <v>120</v>
      </c>
      <c r="D217" s="76" t="n">
        <v>4</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Belum terisi</v>
      </c>
      <c r="F217" s="77" t="str">
        <f aca="false">IF($Q217="","",PROPER(INDEX('Reguler Class Availability'!$B:$B,$Q217)&amp;""))</f>
        <v>Kids</v>
      </c>
      <c r="G217" s="76" t="n">
        <f aca="false">IF($Q217="","",IFERROR(--(INDEX('Reguler Class Availability'!$F:$F,$Q217)&amp;""),0))</f>
        <v>4</v>
      </c>
      <c r="H217" s="77" t="str">
        <f aca="false">IF($Q217="","",PROPER(INDEX('Reguler Class Availability'!$I:$I,$Q217)&amp;"")&amp;IF(INDEX('Reguler Class Availability'!$J:$J,$Q217)&amp;""="",""," + asst "&amp;PROPER(INDEX('Reguler Class Availability'!$J:$J,$Q217)&amp;"")))</f>
        <v/>
      </c>
      <c r="I217" s="77" t="s">
        <v>374</v>
      </c>
      <c r="J217" s="77" t="s">
        <v>186</v>
      </c>
      <c r="K217" s="78"/>
      <c r="L217" s="78"/>
      <c r="M217" s="78"/>
      <c r="N217" s="79"/>
      <c r="O217" s="78"/>
      <c r="Q217" s="30" t="n">
        <f aca="false">IFERROR(MATCH($B$4&amp;"|- Lane "&amp;D217&amp;" - "&amp;B217&amp;"|"&amp;C217,'Reguler Class Availability'!$L:$L,0),"")</f>
        <v>1353</v>
      </c>
      <c r="BD217" s="30" t="s">
        <v>146</v>
      </c>
      <c r="BE217" s="30" t="n">
        <f aca="false">IF(COUNTIFS('Reguler Class Availability'!$L:$L,$B$4&amp;"|- Lane 4 - *|"&amp;BD217)&gt;0,1,0)</f>
        <v>1</v>
      </c>
      <c r="BF217" s="30" t="n">
        <f aca="false">BE217+BF216</f>
        <v>9</v>
      </c>
    </row>
    <row r="218" customFormat="false" ht="27.75" hidden="false" customHeight="true" outlineLevel="0" collapsed="false">
      <c r="A218" s="76" t="n">
        <v>92</v>
      </c>
      <c r="B218" s="77" t="s">
        <v>118</v>
      </c>
      <c r="C218" s="76" t="s">
        <v>123</v>
      </c>
      <c r="D218" s="76" t="n">
        <v>5</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Kosong</v>
      </c>
      <c r="F218" s="77" t="str">
        <f aca="false">IF($Q218="","",PROPER(INDEX('Reguler Class Availability'!$B:$B,$Q218)&amp;""))</f>
        <v/>
      </c>
      <c r="G218" s="76" t="n">
        <f aca="false">IF($Q218="","",IFERROR(--(INDEX('Reguler Class Availability'!$F:$F,$Q218)&amp;""),0))</f>
        <v>4</v>
      </c>
      <c r="H218" s="77" t="str">
        <f aca="false">IF($Q218="","",PROPER(INDEX('Reguler Class Availability'!$I:$I,$Q218)&amp;"")&amp;IF(INDEX('Reguler Class Availability'!$J:$J,$Q218)&amp;""="",""," + asst "&amp;PROPER(INDEX('Reguler Class Availability'!$J:$J,$Q218)&amp;"")))</f>
        <v/>
      </c>
      <c r="I218" s="77" t="s">
        <v>375</v>
      </c>
      <c r="J218" s="77" t="s">
        <v>188</v>
      </c>
      <c r="K218" s="78"/>
      <c r="L218" s="78"/>
      <c r="M218" s="78"/>
      <c r="N218" s="79"/>
      <c r="O218" s="78"/>
      <c r="Q218" s="30" t="n">
        <f aca="false">IFERROR(MATCH($B$4&amp;"|- Lane "&amp;D218&amp;" - "&amp;B218&amp;"|"&amp;C218,'Reguler Class Availability'!$L:$L,0),"")</f>
        <v>1438</v>
      </c>
      <c r="BD218" s="30" t="s">
        <v>147</v>
      </c>
      <c r="BE218" s="30" t="n">
        <f aca="false">IF(COUNTIFS('Reguler Class Availability'!$L:$L,$B$4&amp;"|- Lane 4 - *|"&amp;BD218)&gt;0,1,0)</f>
        <v>0</v>
      </c>
      <c r="BF218" s="30" t="n">
        <f aca="false">BE218+BF217</f>
        <v>9</v>
      </c>
    </row>
    <row r="219" customFormat="false" ht="27.75" hidden="false" customHeight="true" outlineLevel="0" collapsed="false">
      <c r="A219" s="76" t="n">
        <v>93</v>
      </c>
      <c r="B219" s="77" t="s">
        <v>118</v>
      </c>
      <c r="C219" s="76" t="s">
        <v>124</v>
      </c>
      <c r="D219" s="76" t="n">
        <v>1</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Belum terisi</v>
      </c>
      <c r="F219" s="77" t="str">
        <f aca="false">IF($Q219="","",PROPER(INDEX('Reguler Class Availability'!$B:$B,$Q219)&amp;""))</f>
        <v>Baby</v>
      </c>
      <c r="G219" s="76" t="n">
        <f aca="false">IF($Q219="","",IFERROR(--(INDEX('Reguler Class Availability'!$F:$F,$Q219)&amp;""),0))</f>
        <v>5</v>
      </c>
      <c r="H219" s="77" t="str">
        <f aca="false">IF($Q219="","",PROPER(INDEX('Reguler Class Availability'!$I:$I,$Q219)&amp;"")&amp;IF(INDEX('Reguler Class Availability'!$J:$J,$Q219)&amp;""="",""," + asst "&amp;PROPER(INDEX('Reguler Class Availability'!$J:$J,$Q219)&amp;"")))</f>
        <v/>
      </c>
      <c r="I219" s="77" t="s">
        <v>375</v>
      </c>
      <c r="J219" s="77" t="s">
        <v>188</v>
      </c>
      <c r="K219" s="78"/>
      <c r="L219" s="78"/>
      <c r="M219" s="78"/>
      <c r="N219" s="79"/>
      <c r="O219" s="78"/>
      <c r="Q219" s="30" t="n">
        <f aca="false">IFERROR(MATCH($B$4&amp;"|- Lane "&amp;D219&amp;" - "&amp;B219&amp;"|"&amp;C219,'Reguler Class Availability'!$L:$L,0),"")</f>
        <v>1088</v>
      </c>
      <c r="BD219" s="30" t="s">
        <v>148</v>
      </c>
      <c r="BE219" s="30" t="n">
        <f aca="false">IF(COUNTIFS('Reguler Class Availability'!$L:$L,$B$4&amp;"|- Lane 4 - *|"&amp;BD219)&gt;0,1,0)</f>
        <v>0</v>
      </c>
      <c r="BF219" s="30" t="n">
        <f aca="false">BE219+BF218</f>
        <v>9</v>
      </c>
    </row>
    <row r="220" customFormat="false" ht="40.5" hidden="false" customHeight="true" outlineLevel="0" collapsed="false">
      <c r="A220" s="76" t="n">
        <v>94</v>
      </c>
      <c r="B220" s="77" t="s">
        <v>118</v>
      </c>
      <c r="C220" s="76" t="s">
        <v>126</v>
      </c>
      <c r="D220" s="76" t="n">
        <v>4</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Belum terisi</v>
      </c>
      <c r="F220" s="77" t="str">
        <f aca="false">IF($Q220="","",PROPER(INDEX('Reguler Class Availability'!$B:$B,$Q220)&amp;""))</f>
        <v>Kids</v>
      </c>
      <c r="G220" s="76" t="n">
        <f aca="false">IF($Q220="","",IFERROR(--(INDEX('Reguler Class Availability'!$F:$F,$Q220)&amp;""),0))</f>
        <v>4</v>
      </c>
      <c r="H220" s="77" t="str">
        <f aca="false">IF($Q220="","",PROPER(INDEX('Reguler Class Availability'!$I:$I,$Q220)&amp;"")&amp;IF(INDEX('Reguler Class Availability'!$J:$J,$Q220)&amp;""="",""," + asst "&amp;PROPER(INDEX('Reguler Class Availability'!$J:$J,$Q220)&amp;"")))</f>
        <v/>
      </c>
      <c r="I220" s="77" t="s">
        <v>376</v>
      </c>
      <c r="J220" s="77" t="s">
        <v>188</v>
      </c>
      <c r="K220" s="78"/>
      <c r="L220" s="78"/>
      <c r="M220" s="78"/>
      <c r="N220" s="79"/>
      <c r="O220" s="78"/>
      <c r="Q220" s="30" t="n">
        <f aca="false">IFERROR(MATCH($B$4&amp;"|- Lane "&amp;D220&amp;" - "&amp;B220&amp;"|"&amp;C220,'Reguler Class Availability'!$L:$L,0),"")</f>
        <v>1355</v>
      </c>
      <c r="BD220" s="30" t="s">
        <v>149</v>
      </c>
      <c r="BE220" s="30" t="n">
        <f aca="false">IF(COUNTIFS('Reguler Class Availability'!$L:$L,$B$4&amp;"|- Lane 4 - *|"&amp;BD220)&gt;0,1,0)</f>
        <v>1</v>
      </c>
      <c r="BF220" s="30" t="n">
        <f aca="false">BE220+BF219</f>
        <v>10</v>
      </c>
    </row>
    <row r="221" customFormat="false" ht="40.5" hidden="false" customHeight="true" outlineLevel="0" collapsed="false">
      <c r="A221" s="76" t="n">
        <v>95</v>
      </c>
      <c r="B221" s="77" t="s">
        <v>118</v>
      </c>
      <c r="C221" s="76" t="s">
        <v>126</v>
      </c>
      <c r="D221" s="76" t="n">
        <v>5</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Kosong</v>
      </c>
      <c r="F221" s="77" t="str">
        <f aca="false">IF($Q221="","",PROPER(INDEX('Reguler Class Availability'!$B:$B,$Q221)&amp;""))</f>
        <v/>
      </c>
      <c r="G221" s="76" t="n">
        <f aca="false">IF($Q221="","",IFERROR(--(INDEX('Reguler Class Availability'!$F:$F,$Q221)&amp;""),0))</f>
        <v>4</v>
      </c>
      <c r="H221" s="77" t="str">
        <f aca="false">IF($Q221="","",PROPER(INDEX('Reguler Class Availability'!$I:$I,$Q221)&amp;"")&amp;IF(INDEX('Reguler Class Availability'!$J:$J,$Q221)&amp;""="",""," + asst "&amp;PROPER(INDEX('Reguler Class Availability'!$J:$J,$Q221)&amp;"")))</f>
        <v/>
      </c>
      <c r="I221" s="77" t="s">
        <v>376</v>
      </c>
      <c r="J221" s="77" t="s">
        <v>188</v>
      </c>
      <c r="K221" s="78"/>
      <c r="L221" s="78"/>
      <c r="M221" s="78"/>
      <c r="N221" s="79"/>
      <c r="O221" s="78"/>
      <c r="Q221" s="30" t="n">
        <f aca="false">IFERROR(MATCH($B$4&amp;"|- Lane "&amp;D221&amp;" - "&amp;B221&amp;"|"&amp;C221,'Reguler Class Availability'!$L:$L,0),"")</f>
        <v>1439</v>
      </c>
      <c r="BD221" s="30" t="s">
        <v>150</v>
      </c>
      <c r="BE221" s="30" t="n">
        <f aca="false">IF(COUNTIFS('Reguler Class Availability'!$L:$L,$B$4&amp;"|- Lane 4 - *|"&amp;BD221)&gt;0,1,0)</f>
        <v>0</v>
      </c>
      <c r="BF221" s="30" t="n">
        <f aca="false">BE221+BF220</f>
        <v>10</v>
      </c>
    </row>
    <row r="222" customFormat="false" ht="40.5" hidden="false" customHeight="true" outlineLevel="0" collapsed="false">
      <c r="A222" s="76" t="n">
        <v>96</v>
      </c>
      <c r="B222" s="77" t="s">
        <v>118</v>
      </c>
      <c r="C222" s="76" t="s">
        <v>127</v>
      </c>
      <c r="D222" s="76" t="n">
        <v>2</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Belum terisi</v>
      </c>
      <c r="F222" s="77" t="str">
        <f aca="false">IF($Q222="","",PROPER(INDEX('Reguler Class Availability'!$B:$B,$Q222)&amp;""))</f>
        <v>Tiny</v>
      </c>
      <c r="G222" s="76" t="n">
        <f aca="false">IF($Q222="","",IFERROR(--(INDEX('Reguler Class Availability'!$F:$F,$Q222)&amp;""),0))</f>
        <v>5</v>
      </c>
      <c r="H222" s="77" t="str">
        <f aca="false">IF($Q222="","",PROPER(INDEX('Reguler Class Availability'!$I:$I,$Q222)&amp;"")&amp;IF(INDEX('Reguler Class Availability'!$J:$J,$Q222)&amp;""="",""," + asst "&amp;PROPER(INDEX('Reguler Class Availability'!$J:$J,$Q222)&amp;"")))</f>
        <v/>
      </c>
      <c r="I222" s="77" t="s">
        <v>377</v>
      </c>
      <c r="J222" s="77" t="s">
        <v>186</v>
      </c>
      <c r="K222" s="78"/>
      <c r="L222" s="78"/>
      <c r="M222" s="78"/>
      <c r="N222" s="79"/>
      <c r="O222" s="78"/>
      <c r="Q222" s="30" t="n">
        <f aca="false">IFERROR(MATCH($B$4&amp;"|- Lane "&amp;D222&amp;" - "&amp;B222&amp;"|"&amp;C222,'Reguler Class Availability'!$L:$L,0),"")</f>
        <v>1187</v>
      </c>
      <c r="BD222" s="30" t="s">
        <v>151</v>
      </c>
      <c r="BE222" s="30" t="n">
        <f aca="false">IF(COUNTIFS('Reguler Class Availability'!$L:$L,$B$4&amp;"|- Lane 4 - *|"&amp;BD222)&gt;0,1,0)</f>
        <v>0</v>
      </c>
      <c r="BF222" s="30" t="n">
        <f aca="false">BE222+BF221</f>
        <v>10</v>
      </c>
    </row>
    <row r="223" customFormat="false" ht="40.5" hidden="false" customHeight="true" outlineLevel="0" collapsed="false">
      <c r="A223" s="76" t="n">
        <v>97</v>
      </c>
      <c r="B223" s="77" t="s">
        <v>118</v>
      </c>
      <c r="C223" s="76" t="s">
        <v>129</v>
      </c>
      <c r="D223" s="76" t="n">
        <v>3</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Belum terisi</v>
      </c>
      <c r="F223" s="77" t="str">
        <f aca="false">IF($Q223="","",PROPER(INDEX('Reguler Class Availability'!$B:$B,$Q223)&amp;""))</f>
        <v>Little</v>
      </c>
      <c r="G223" s="76" t="n">
        <f aca="false">IF($Q223="","",IFERROR(--(INDEX('Reguler Class Availability'!$F:$F,$Q223)&amp;""),0))</f>
        <v>4</v>
      </c>
      <c r="H223" s="77" t="str">
        <f aca="false">IF($Q223="","",PROPER(INDEX('Reguler Class Availability'!$I:$I,$Q223)&amp;"")&amp;IF(INDEX('Reguler Class Availability'!$J:$J,$Q223)&amp;""="",""," + asst "&amp;PROPER(INDEX('Reguler Class Availability'!$J:$J,$Q223)&amp;"")))</f>
        <v/>
      </c>
      <c r="I223" s="77" t="s">
        <v>378</v>
      </c>
      <c r="J223" s="77" t="s">
        <v>186</v>
      </c>
      <c r="K223" s="78"/>
      <c r="L223" s="78"/>
      <c r="M223" s="78"/>
      <c r="N223" s="79"/>
      <c r="O223" s="78"/>
      <c r="Q223" s="30" t="n">
        <f aca="false">IFERROR(MATCH($B$4&amp;"|- Lane "&amp;D223&amp;" - "&amp;B223&amp;"|"&amp;C223,'Reguler Class Availability'!$L:$L,0),"")</f>
        <v>1272</v>
      </c>
      <c r="BD223" s="30" t="s">
        <v>152</v>
      </c>
      <c r="BE223" s="30" t="n">
        <f aca="false">IF(COUNTIFS('Reguler Class Availability'!$L:$L,$B$4&amp;"|- Lane 4 - *|"&amp;BD223)&gt;0,1,0)</f>
        <v>1</v>
      </c>
      <c r="BF223" s="30" t="n">
        <f aca="false">BE223+BF222</f>
        <v>11</v>
      </c>
    </row>
    <row r="224" customFormat="false" ht="40.5" hidden="false" customHeight="true" outlineLevel="0" collapsed="false">
      <c r="A224" s="76" t="n">
        <v>98</v>
      </c>
      <c r="B224" s="77" t="s">
        <v>118</v>
      </c>
      <c r="C224" s="76" t="s">
        <v>129</v>
      </c>
      <c r="D224" s="76" t="n">
        <v>5</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Kosong</v>
      </c>
      <c r="F224" s="77" t="str">
        <f aca="false">IF($Q224="","",PROPER(INDEX('Reguler Class Availability'!$B:$B,$Q224)&amp;""))</f>
        <v/>
      </c>
      <c r="G224" s="76" t="n">
        <f aca="false">IF($Q224="","",IFERROR(--(INDEX('Reguler Class Availability'!$F:$F,$Q224)&amp;""),0))</f>
        <v>4</v>
      </c>
      <c r="H224" s="77" t="str">
        <f aca="false">IF($Q224="","",PROPER(INDEX('Reguler Class Availability'!$I:$I,$Q224)&amp;"")&amp;IF(INDEX('Reguler Class Availability'!$J:$J,$Q224)&amp;""="",""," + asst "&amp;PROPER(INDEX('Reguler Class Availability'!$J:$J,$Q224)&amp;"")))</f>
        <v/>
      </c>
      <c r="I224" s="77" t="s">
        <v>378</v>
      </c>
      <c r="J224" s="77" t="s">
        <v>186</v>
      </c>
      <c r="K224" s="78"/>
      <c r="L224" s="78"/>
      <c r="M224" s="78"/>
      <c r="N224" s="79"/>
      <c r="O224" s="78"/>
      <c r="Q224" s="30" t="n">
        <f aca="false">IFERROR(MATCH($B$4&amp;"|- Lane "&amp;D224&amp;" - "&amp;B224&amp;"|"&amp;C224,'Reguler Class Availability'!$L:$L,0),"")</f>
        <v>1440</v>
      </c>
      <c r="BD224" s="30" t="s">
        <v>153</v>
      </c>
      <c r="BE224" s="30" t="n">
        <f aca="false">IF(COUNTIFS('Reguler Class Availability'!$L:$L,$B$4&amp;"|- Lane 4 - *|"&amp;BD224)&gt;0,1,0)</f>
        <v>0</v>
      </c>
      <c r="BF224" s="30" t="n">
        <f aca="false">BE224+BF223</f>
        <v>11</v>
      </c>
    </row>
    <row r="225" customFormat="false" ht="52.5" hidden="false" customHeight="true" outlineLevel="0" collapsed="false">
      <c r="A225" s="76" t="n">
        <v>99</v>
      </c>
      <c r="B225" s="77" t="s">
        <v>118</v>
      </c>
      <c r="C225" s="76" t="s">
        <v>130</v>
      </c>
      <c r="D225" s="76" t="n">
        <v>2</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Belum terisi</v>
      </c>
      <c r="F225" s="77" t="str">
        <f aca="false">IF($Q225="","",PROPER(INDEX('Reguler Class Availability'!$B:$B,$Q225)&amp;""))</f>
        <v>Tiny</v>
      </c>
      <c r="G225" s="76" t="n">
        <f aca="false">IF($Q225="","",IFERROR(--(INDEX('Reguler Class Availability'!$F:$F,$Q225)&amp;""),0))</f>
        <v>5</v>
      </c>
      <c r="H225" s="77" t="str">
        <f aca="false">IF($Q225="","",PROPER(INDEX('Reguler Class Availability'!$I:$I,$Q225)&amp;"")&amp;IF(INDEX('Reguler Class Availability'!$J:$J,$Q225)&amp;""="",""," + asst "&amp;PROPER(INDEX('Reguler Class Availability'!$J:$J,$Q225)&amp;"")))</f>
        <v/>
      </c>
      <c r="I225" s="77" t="s">
        <v>379</v>
      </c>
      <c r="J225" s="77" t="s">
        <v>186</v>
      </c>
      <c r="K225" s="78"/>
      <c r="L225" s="78"/>
      <c r="M225" s="78"/>
      <c r="N225" s="79"/>
      <c r="O225" s="78"/>
      <c r="Q225" s="30" t="n">
        <f aca="false">IFERROR(MATCH($B$4&amp;"|- Lane "&amp;D225&amp;" - "&amp;B225&amp;"|"&amp;C225,'Reguler Class Availability'!$L:$L,0),"")</f>
        <v>1188</v>
      </c>
      <c r="BD225" s="30" t="s">
        <v>154</v>
      </c>
      <c r="BE225" s="30" t="n">
        <f aca="false">IF(COUNTIFS('Reguler Class Availability'!$L:$L,$B$4&amp;"|- Lane 4 - *|"&amp;BD225)&gt;0,1,0)</f>
        <v>0</v>
      </c>
      <c r="BF225" s="30" t="n">
        <f aca="false">BE225+BF224</f>
        <v>11</v>
      </c>
    </row>
    <row r="226" customFormat="false" ht="65.25" hidden="false" customHeight="true" outlineLevel="0" collapsed="false">
      <c r="A226" s="76" t="n">
        <v>100</v>
      </c>
      <c r="B226" s="77" t="s">
        <v>118</v>
      </c>
      <c r="C226" s="76" t="s">
        <v>132</v>
      </c>
      <c r="D226" s="76" t="n">
        <v>5</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Kosong</v>
      </c>
      <c r="F226" s="77" t="str">
        <f aca="false">IF($Q226="","",PROPER(INDEX('Reguler Class Availability'!$B:$B,$Q226)&amp;""))</f>
        <v/>
      </c>
      <c r="G226" s="76" t="n">
        <f aca="false">IF($Q226="","",IFERROR(--(INDEX('Reguler Class Availability'!$F:$F,$Q226)&amp;""),0))</f>
        <v>4</v>
      </c>
      <c r="H226" s="77" t="str">
        <f aca="false">IF($Q226="","",PROPER(INDEX('Reguler Class Availability'!$I:$I,$Q226)&amp;"")&amp;IF(INDEX('Reguler Class Availability'!$J:$J,$Q226)&amp;""="",""," + asst "&amp;PROPER(INDEX('Reguler Class Availability'!$J:$J,$Q226)&amp;"")))</f>
        <v/>
      </c>
      <c r="I226" s="77" t="s">
        <v>373</v>
      </c>
      <c r="J226" s="77" t="s">
        <v>186</v>
      </c>
      <c r="K226" s="78"/>
      <c r="L226" s="78"/>
      <c r="M226" s="78"/>
      <c r="N226" s="79"/>
      <c r="O226" s="78"/>
      <c r="Q226" s="30" t="n">
        <f aca="false">IFERROR(MATCH($B$4&amp;"|- Lane "&amp;D226&amp;" - "&amp;B226&amp;"|"&amp;C226,'Reguler Class Availability'!$L:$L,0),"")</f>
        <v>1441</v>
      </c>
      <c r="BD226" s="30" t="s">
        <v>155</v>
      </c>
      <c r="BE226" s="30" t="n">
        <f aca="false">IF(COUNTIFS('Reguler Class Availability'!$L:$L,$B$4&amp;"|- Lane 4 - *|"&amp;BD226)&gt;0,1,0)</f>
        <v>1</v>
      </c>
      <c r="BF226" s="30" t="n">
        <f aca="false">BE226+BF225</f>
        <v>12</v>
      </c>
    </row>
    <row r="227" customFormat="false" ht="52.5" hidden="false" customHeight="true" outlineLevel="0" collapsed="false">
      <c r="A227" s="76" t="n">
        <v>101</v>
      </c>
      <c r="B227" s="77" t="s">
        <v>118</v>
      </c>
      <c r="C227" s="76" t="s">
        <v>139</v>
      </c>
      <c r="D227" s="76" t="n">
        <v>4</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Kids</v>
      </c>
      <c r="G227" s="76" t="n">
        <f aca="false">IF($Q227="","",IFERROR(--(INDEX('Reguler Class Availability'!$F:$F,$Q227)&amp;""),0))</f>
        <v>4</v>
      </c>
      <c r="H227" s="77" t="str">
        <f aca="false">IF($Q227="","",PROPER(INDEX('Reguler Class Availability'!$I:$I,$Q227)&amp;"")&amp;IF(INDEX('Reguler Class Availability'!$J:$J,$Q227)&amp;""="",""," + asst "&amp;PROPER(INDEX('Reguler Class Availability'!$J:$J,$Q227)&amp;"")))</f>
        <v/>
      </c>
      <c r="I227" s="77" t="s">
        <v>365</v>
      </c>
      <c r="J227" s="77" t="s">
        <v>186</v>
      </c>
      <c r="K227" s="78"/>
      <c r="L227" s="78"/>
      <c r="M227" s="78"/>
      <c r="N227" s="79"/>
      <c r="O227" s="78"/>
      <c r="Q227" s="30" t="n">
        <f aca="false">IFERROR(MATCH($B$4&amp;"|- Lane "&amp;D227&amp;" - "&amp;B227&amp;"|"&amp;C227,'Reguler Class Availability'!$L:$L,0),"")</f>
        <v>1358</v>
      </c>
      <c r="BD227" s="30" t="s">
        <v>156</v>
      </c>
      <c r="BE227" s="30" t="n">
        <f aca="false">IF(COUNTIFS('Reguler Class Availability'!$L:$L,$B$4&amp;"|- Lane 4 - *|"&amp;BD227)&gt;0,1,0)</f>
        <v>0</v>
      </c>
      <c r="BF227" s="30" t="n">
        <f aca="false">BE227+BF226</f>
        <v>12</v>
      </c>
    </row>
    <row r="228" customFormat="false" ht="52.5" hidden="false" customHeight="true" outlineLevel="0" collapsed="false">
      <c r="A228" s="76" t="n">
        <v>102</v>
      </c>
      <c r="B228" s="77" t="s">
        <v>118</v>
      </c>
      <c r="C228" s="76" t="s">
        <v>139</v>
      </c>
      <c r="D228" s="76" t="n">
        <v>5</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Kosong</v>
      </c>
      <c r="F228" s="77" t="str">
        <f aca="false">IF($Q228="","",PROPER(INDEX('Reguler Class Availability'!$B:$B,$Q228)&amp;""))</f>
        <v/>
      </c>
      <c r="G228" s="76" t="n">
        <f aca="false">IF($Q228="","",IFERROR(--(INDEX('Reguler Class Availability'!$F:$F,$Q228)&amp;""),0))</f>
        <v>4</v>
      </c>
      <c r="H228" s="77" t="str">
        <f aca="false">IF($Q228="","",PROPER(INDEX('Reguler Class Availability'!$I:$I,$Q228)&amp;"")&amp;IF(INDEX('Reguler Class Availability'!$J:$J,$Q228)&amp;""="",""," + asst "&amp;PROPER(INDEX('Reguler Class Availability'!$J:$J,$Q228)&amp;"")))</f>
        <v/>
      </c>
      <c r="I228" s="77" t="s">
        <v>365</v>
      </c>
      <c r="J228" s="77" t="s">
        <v>186</v>
      </c>
      <c r="K228" s="78"/>
      <c r="L228" s="78"/>
      <c r="M228" s="78"/>
      <c r="N228" s="79"/>
      <c r="O228" s="78"/>
      <c r="Q228" s="30" t="n">
        <f aca="false">IFERROR(MATCH($B$4&amp;"|- Lane "&amp;D228&amp;" - "&amp;B228&amp;"|"&amp;C228,'Reguler Class Availability'!$L:$L,0),"")</f>
        <v>1442</v>
      </c>
      <c r="BD228" s="30" t="s">
        <v>157</v>
      </c>
      <c r="BE228" s="30" t="n">
        <f aca="false">IF(COUNTIFS('Reguler Class Availability'!$L:$L,$B$4&amp;"|- Lane 4 - *|"&amp;BD228)&gt;0,1,0)</f>
        <v>0</v>
      </c>
      <c r="BF228" s="30" t="n">
        <f aca="false">BE228+BF227</f>
        <v>12</v>
      </c>
    </row>
    <row r="229" customFormat="false" ht="27.75" hidden="false" customHeight="true" outlineLevel="0" collapsed="false">
      <c r="A229" s="76" t="n">
        <v>103</v>
      </c>
      <c r="B229" s="77" t="s">
        <v>118</v>
      </c>
      <c r="C229" s="76" t="s">
        <v>141</v>
      </c>
      <c r="D229" s="76" t="n">
        <v>2</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Belum terisi</v>
      </c>
      <c r="F229" s="77" t="str">
        <f aca="false">IF($Q229="","",PROPER(INDEX('Reguler Class Availability'!$B:$B,$Q229)&amp;""))</f>
        <v>Tiny</v>
      </c>
      <c r="G229" s="76" t="n">
        <f aca="false">IF($Q229="","",IFERROR(--(INDEX('Reguler Class Availability'!$F:$F,$Q229)&amp;""),0))</f>
        <v>5</v>
      </c>
      <c r="H229" s="77" t="str">
        <f aca="false">IF($Q229="","",PROPER(INDEX('Reguler Class Availability'!$I:$I,$Q229)&amp;"")&amp;IF(INDEX('Reguler Class Availability'!$J:$J,$Q229)&amp;""="",""," + asst "&amp;PROPER(INDEX('Reguler Class Availability'!$J:$J,$Q229)&amp;"")))</f>
        <v/>
      </c>
      <c r="I229" s="77" t="s">
        <v>380</v>
      </c>
      <c r="J229" s="77" t="s">
        <v>188</v>
      </c>
      <c r="K229" s="78"/>
      <c r="L229" s="78"/>
      <c r="M229" s="78"/>
      <c r="N229" s="79"/>
      <c r="O229" s="78"/>
      <c r="Q229" s="30" t="n">
        <f aca="false">IFERROR(MATCH($B$4&amp;"|- Lane "&amp;D229&amp;" - "&amp;B229&amp;"|"&amp;C229,'Reguler Class Availability'!$L:$L,0),"")</f>
        <v>1190</v>
      </c>
      <c r="BD229" s="30" t="s">
        <v>158</v>
      </c>
      <c r="BE229" s="30" t="n">
        <f aca="false">IF(COUNTIFS('Reguler Class Availability'!$L:$L,$B$4&amp;"|- Lane 4 - *|"&amp;BD229)&gt;0,1,0)</f>
        <v>0</v>
      </c>
      <c r="BF229" s="30" t="n">
        <f aca="false">BE229+BF228</f>
        <v>12</v>
      </c>
    </row>
    <row r="230" customFormat="false" ht="27.75" hidden="false" customHeight="true" outlineLevel="0" collapsed="false">
      <c r="A230" s="76" t="n">
        <v>104</v>
      </c>
      <c r="B230" s="77" t="s">
        <v>118</v>
      </c>
      <c r="C230" s="76" t="s">
        <v>144</v>
      </c>
      <c r="D230" s="76" t="n">
        <v>1</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Belum terisi</v>
      </c>
      <c r="F230" s="77" t="str">
        <f aca="false">IF($Q230="","",PROPER(INDEX('Reguler Class Availability'!$B:$B,$Q230)&amp;""))</f>
        <v>Baby</v>
      </c>
      <c r="G230" s="76" t="n">
        <f aca="false">IF($Q230="","",IFERROR(--(INDEX('Reguler Class Availability'!$F:$F,$Q230)&amp;""),0))</f>
        <v>5</v>
      </c>
      <c r="H230" s="77" t="str">
        <f aca="false">IF($Q230="","",PROPER(INDEX('Reguler Class Availability'!$I:$I,$Q230)&amp;"")&amp;IF(INDEX('Reguler Class Availability'!$J:$J,$Q230)&amp;""="",""," + asst "&amp;PROPER(INDEX('Reguler Class Availability'!$J:$J,$Q230)&amp;"")))</f>
        <v/>
      </c>
      <c r="I230" s="77" t="s">
        <v>380</v>
      </c>
      <c r="J230" s="77" t="s">
        <v>188</v>
      </c>
      <c r="K230" s="78"/>
      <c r="L230" s="78"/>
      <c r="M230" s="78"/>
      <c r="N230" s="79"/>
      <c r="O230" s="78"/>
      <c r="Q230" s="30" t="n">
        <f aca="false">IFERROR(MATCH($B$4&amp;"|- Lane "&amp;D230&amp;" - "&amp;B230&amp;"|"&amp;C230,'Reguler Class Availability'!$L:$L,0),"")</f>
        <v>1093</v>
      </c>
      <c r="BD230" s="30" t="s">
        <v>160</v>
      </c>
      <c r="BE230" s="30" t="n">
        <f aca="false">IF(COUNTIFS('Reguler Class Availability'!$L:$L,$B$4&amp;"|- Lane 4 - *|"&amp;BD230)&gt;0,1,0)</f>
        <v>0</v>
      </c>
      <c r="BF230" s="30" t="n">
        <f aca="false">BE230+BF229</f>
        <v>12</v>
      </c>
    </row>
    <row r="231" customFormat="false" ht="27.75" hidden="false" customHeight="true" outlineLevel="0" collapsed="false">
      <c r="A231" s="76" t="n">
        <v>105</v>
      </c>
      <c r="B231" s="77" t="s">
        <v>118</v>
      </c>
      <c r="C231" s="76" t="s">
        <v>144</v>
      </c>
      <c r="D231" s="76" t="n">
        <v>2</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Belum terisi</v>
      </c>
      <c r="F231" s="77" t="str">
        <f aca="false">IF($Q231="","",PROPER(INDEX('Reguler Class Availability'!$B:$B,$Q231)&amp;""))</f>
        <v>Tiny</v>
      </c>
      <c r="G231" s="76" t="n">
        <f aca="false">IF($Q231="","",IFERROR(--(INDEX('Reguler Class Availability'!$F:$F,$Q231)&amp;""),0))</f>
        <v>5</v>
      </c>
      <c r="H231" s="77" t="str">
        <f aca="false">IF($Q231="","",PROPER(INDEX('Reguler Class Availability'!$I:$I,$Q231)&amp;"")&amp;IF(INDEX('Reguler Class Availability'!$J:$J,$Q231)&amp;""="",""," + asst "&amp;PROPER(INDEX('Reguler Class Availability'!$J:$J,$Q231)&amp;"")))</f>
        <v/>
      </c>
      <c r="I231" s="77" t="s">
        <v>380</v>
      </c>
      <c r="J231" s="77" t="s">
        <v>188</v>
      </c>
      <c r="K231" s="78"/>
      <c r="L231" s="78"/>
      <c r="M231" s="78"/>
      <c r="N231" s="79"/>
      <c r="O231" s="78"/>
      <c r="Q231" s="30" t="n">
        <f aca="false">IFERROR(MATCH($B$4&amp;"|- Lane "&amp;D231&amp;" - "&amp;B231&amp;"|"&amp;C231,'Reguler Class Availability'!$L:$L,0),"")</f>
        <v>1191</v>
      </c>
      <c r="BD231" s="30" t="s">
        <v>161</v>
      </c>
      <c r="BE231" s="30" t="n">
        <f aca="false">IF(COUNTIFS('Reguler Class Availability'!$L:$L,$B$4&amp;"|- Lane 4 - *|"&amp;BD231)&gt;0,1,0)</f>
        <v>0</v>
      </c>
      <c r="BF231" s="30" t="n">
        <f aca="false">BE231+BF230</f>
        <v>12</v>
      </c>
    </row>
    <row r="232" customFormat="false" ht="15.75" hidden="false" customHeight="true" outlineLevel="0" collapsed="false">
      <c r="A232" s="76" t="n">
        <v>106</v>
      </c>
      <c r="B232" s="77" t="s">
        <v>118</v>
      </c>
      <c r="C232" s="76" t="s">
        <v>147</v>
      </c>
      <c r="D232" s="76" t="n">
        <v>1</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Kosong</v>
      </c>
      <c r="F232" s="77" t="str">
        <f aca="false">IF($Q232="","",PROPER(INDEX('Reguler Class Availability'!$B:$B,$Q232)&amp;""))</f>
        <v/>
      </c>
      <c r="G232" s="76" t="n">
        <f aca="false">IF($Q232="","",IFERROR(--(INDEX('Reguler Class Availability'!$F:$F,$Q232)&amp;""),0))</f>
        <v>5</v>
      </c>
      <c r="H232" s="77" t="str">
        <f aca="false">IF($Q232="","",PROPER(INDEX('Reguler Class Availability'!$I:$I,$Q232)&amp;"")&amp;IF(INDEX('Reguler Class Availability'!$J:$J,$Q232)&amp;""="",""," + asst "&amp;PROPER(INDEX('Reguler Class Availability'!$J:$J,$Q232)&amp;"")))</f>
        <v/>
      </c>
      <c r="I232" s="77" t="s">
        <v>353</v>
      </c>
      <c r="J232" s="77" t="s">
        <v>186</v>
      </c>
      <c r="K232" s="78"/>
      <c r="L232" s="78"/>
      <c r="M232" s="78"/>
      <c r="N232" s="79"/>
      <c r="O232" s="78"/>
      <c r="Q232" s="30" t="n">
        <f aca="false">IFERROR(MATCH($B$4&amp;"|- Lane "&amp;D232&amp;" - "&amp;B232&amp;"|"&amp;C232,'Reguler Class Availability'!$L:$L,0),"")</f>
        <v>1094</v>
      </c>
      <c r="BD232" s="30" t="s">
        <v>162</v>
      </c>
      <c r="BE232" s="30" t="n">
        <f aca="false">IF(COUNTIFS('Reguler Class Availability'!$L:$L,$B$4&amp;"|- Lane 4 - *|"&amp;BD232)&gt;0,1,0)</f>
        <v>0</v>
      </c>
      <c r="BF232" s="30" t="n">
        <f aca="false">BE232+BF231</f>
        <v>12</v>
      </c>
    </row>
    <row r="233" customFormat="false" ht="15.75" hidden="false" customHeight="true" outlineLevel="0" collapsed="false">
      <c r="A233" s="76" t="n">
        <v>107</v>
      </c>
      <c r="B233" s="77" t="s">
        <v>118</v>
      </c>
      <c r="C233" s="76" t="s">
        <v>147</v>
      </c>
      <c r="D233" s="76" t="n">
        <v>2</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Belum terisi</v>
      </c>
      <c r="F233" s="77" t="str">
        <f aca="false">IF($Q233="","",PROPER(INDEX('Reguler Class Availability'!$B:$B,$Q233)&amp;""))</f>
        <v>Tiny</v>
      </c>
      <c r="G233" s="76" t="n">
        <f aca="false">IF($Q233="","",IFERROR(--(INDEX('Reguler Class Availability'!$F:$F,$Q233)&amp;""),0))</f>
        <v>5</v>
      </c>
      <c r="H233" s="77" t="str">
        <f aca="false">IF($Q233="","",PROPER(INDEX('Reguler Class Availability'!$I:$I,$Q233)&amp;"")&amp;IF(INDEX('Reguler Class Availability'!$J:$J,$Q233)&amp;""="",""," + asst "&amp;PROPER(INDEX('Reguler Class Availability'!$J:$J,$Q233)&amp;"")))</f>
        <v/>
      </c>
      <c r="I233" s="77" t="s">
        <v>353</v>
      </c>
      <c r="J233" s="77" t="s">
        <v>186</v>
      </c>
      <c r="K233" s="78"/>
      <c r="L233" s="78"/>
      <c r="M233" s="78"/>
      <c r="N233" s="79"/>
      <c r="O233" s="78"/>
      <c r="Q233" s="30" t="n">
        <f aca="false">IFERROR(MATCH($B$4&amp;"|- Lane "&amp;D233&amp;" - "&amp;B233&amp;"|"&amp;C233,'Reguler Class Availability'!$L:$L,0),"")</f>
        <v>1192</v>
      </c>
      <c r="BD233" s="30" t="s">
        <v>163</v>
      </c>
      <c r="BE233" s="30" t="n">
        <f aca="false">IF(COUNTIFS('Reguler Class Availability'!$L:$L,$B$4&amp;"|- Lane 4 - *|"&amp;BD233)&gt;0,1,0)</f>
        <v>0</v>
      </c>
      <c r="BF233" s="30" t="n">
        <f aca="false">BE233+BF232</f>
        <v>12</v>
      </c>
    </row>
    <row r="234" customFormat="false" ht="27.75" hidden="false" customHeight="true" outlineLevel="0" collapsed="false">
      <c r="A234" s="76" t="n">
        <v>108</v>
      </c>
      <c r="B234" s="77" t="s">
        <v>118</v>
      </c>
      <c r="C234" s="76" t="s">
        <v>156</v>
      </c>
      <c r="D234" s="76" t="n">
        <v>1</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Belum terisi</v>
      </c>
      <c r="F234" s="77" t="str">
        <f aca="false">IF($Q234="","",PROPER(INDEX('Reguler Class Availability'!$B:$B,$Q234)&amp;""))</f>
        <v>Baby</v>
      </c>
      <c r="G234" s="76" t="n">
        <f aca="false">IF($Q234="","",IFERROR(--(INDEX('Reguler Class Availability'!$F:$F,$Q234)&amp;""),0))</f>
        <v>5</v>
      </c>
      <c r="H234" s="77" t="str">
        <f aca="false">IF($Q234="","",PROPER(INDEX('Reguler Class Availability'!$I:$I,$Q234)&amp;"")&amp;IF(INDEX('Reguler Class Availability'!$J:$J,$Q234)&amp;""="",""," + asst "&amp;PROPER(INDEX('Reguler Class Availability'!$J:$J,$Q234)&amp;"")))</f>
        <v/>
      </c>
      <c r="I234" s="77" t="s">
        <v>368</v>
      </c>
      <c r="J234" s="77" t="s">
        <v>188</v>
      </c>
      <c r="K234" s="78"/>
      <c r="L234" s="78"/>
      <c r="M234" s="78"/>
      <c r="N234" s="79"/>
      <c r="O234" s="78"/>
      <c r="Q234" s="30" t="n">
        <f aca="false">IFERROR(MATCH($B$4&amp;"|- Lane "&amp;D234&amp;" - "&amp;B234&amp;"|"&amp;C234,'Reguler Class Availability'!$L:$L,0),"")</f>
        <v>1097</v>
      </c>
      <c r="BD234" s="30" t="s">
        <v>164</v>
      </c>
      <c r="BE234" s="30" t="n">
        <f aca="false">IF(COUNTIFS('Reguler Class Availability'!$L:$L,$B$4&amp;"|- Lane 4 - *|"&amp;BD234)&gt;0,1,0)</f>
        <v>0</v>
      </c>
      <c r="BF234" s="30" t="n">
        <f aca="false">BE234+BF233</f>
        <v>12</v>
      </c>
    </row>
    <row r="235" customFormat="false" ht="65.25" hidden="false" customHeight="true" outlineLevel="0" collapsed="false">
      <c r="A235" s="76" t="n">
        <v>109</v>
      </c>
      <c r="B235" s="77" t="s">
        <v>118</v>
      </c>
      <c r="C235" s="76" t="s">
        <v>160</v>
      </c>
      <c r="D235" s="76" t="n">
        <v>1</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Belum terisi</v>
      </c>
      <c r="F235" s="77" t="str">
        <f aca="false">IF($Q235="","",PROPER(INDEX('Reguler Class Availability'!$B:$B,$Q235)&amp;""))</f>
        <v>Star</v>
      </c>
      <c r="G235" s="76" t="n">
        <f aca="false">IF($Q235="","",IFERROR(--(INDEX('Reguler Class Availability'!$F:$F,$Q235)&amp;""),0))</f>
        <v>8</v>
      </c>
      <c r="H235" s="77" t="str">
        <f aca="false">IF($Q235="","",PROPER(INDEX('Reguler Class Availability'!$I:$I,$Q235)&amp;"")&amp;IF(INDEX('Reguler Class Availability'!$J:$J,$Q235)&amp;""="",""," + asst "&amp;PROPER(INDEX('Reguler Class Availability'!$J:$J,$Q235)&amp;"")))</f>
        <v/>
      </c>
      <c r="I235" s="77" t="s">
        <v>373</v>
      </c>
      <c r="J235" s="77" t="s">
        <v>186</v>
      </c>
      <c r="K235" s="78"/>
      <c r="L235" s="78"/>
      <c r="M235" s="78"/>
      <c r="N235" s="79"/>
      <c r="O235" s="78"/>
      <c r="Q235" s="30" t="n">
        <f aca="false">IFERROR(MATCH($B$4&amp;"|- Lane "&amp;D235&amp;" - "&amp;B235&amp;"|"&amp;C235,'Reguler Class Availability'!$L:$L,0),"")</f>
        <v>1133</v>
      </c>
      <c r="BD235" s="30" t="s">
        <v>165</v>
      </c>
      <c r="BE235" s="30" t="n">
        <f aca="false">IF(COUNTIFS('Reguler Class Availability'!$L:$L,$B$4&amp;"|- Lane 4 - *|"&amp;BD235)&gt;0,1,0)</f>
        <v>0</v>
      </c>
      <c r="BF235" s="30" t="n">
        <f aca="false">BE235+BF234</f>
        <v>12</v>
      </c>
    </row>
    <row r="236" customFormat="false" ht="65.25" hidden="false" customHeight="true" outlineLevel="0" collapsed="false">
      <c r="A236" s="76" t="n">
        <v>110</v>
      </c>
      <c r="B236" s="77" t="s">
        <v>119</v>
      </c>
      <c r="C236" s="76" t="s">
        <v>91</v>
      </c>
      <c r="D236" s="76" t="n">
        <v>1</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Star</v>
      </c>
      <c r="G236" s="76" t="n">
        <f aca="false">IF($Q236="","",IFERROR(--(INDEX('Reguler Class Availability'!$F:$F,$Q236)&amp;""),0))</f>
        <v>8</v>
      </c>
      <c r="H236" s="77" t="str">
        <f aca="false">IF($Q236="","",PROPER(INDEX('Reguler Class Availability'!$I:$I,$Q236)&amp;"")&amp;IF(INDEX('Reguler Class Availability'!$J:$J,$Q236)&amp;""="",""," + asst "&amp;PROPER(INDEX('Reguler Class Availability'!$J:$J,$Q236)&amp;"")))</f>
        <v/>
      </c>
      <c r="I236" s="77" t="s">
        <v>381</v>
      </c>
      <c r="J236" s="77" t="s">
        <v>186</v>
      </c>
      <c r="K236" s="78"/>
      <c r="L236" s="78"/>
      <c r="M236" s="78"/>
      <c r="N236" s="79"/>
      <c r="O236" s="78"/>
      <c r="Q236" s="30" t="n">
        <f aca="false">IFERROR(MATCH($B$4&amp;"|- Lane "&amp;D236&amp;" - "&amp;B236&amp;"|"&amp;C236,'Reguler Class Availability'!$L:$L,0),"")</f>
        <v>1127</v>
      </c>
      <c r="BD236" s="30" t="s">
        <v>166</v>
      </c>
      <c r="BE236" s="30" t="n">
        <f aca="false">IF(COUNTIFS('Reguler Class Availability'!$L:$L,$B$4&amp;"|- Lane 4 - *|"&amp;BD236)&gt;0,1,0)</f>
        <v>0</v>
      </c>
      <c r="BF236" s="30" t="n">
        <f aca="false">BE236+BF235</f>
        <v>12</v>
      </c>
    </row>
    <row r="237" customFormat="false" ht="27.75" hidden="false" customHeight="true" outlineLevel="0" collapsed="false">
      <c r="A237" s="76" t="n">
        <v>111</v>
      </c>
      <c r="B237" s="77" t="s">
        <v>119</v>
      </c>
      <c r="C237" s="76" t="s">
        <v>127</v>
      </c>
      <c r="D237" s="76" t="n">
        <v>1</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Belum terisi</v>
      </c>
      <c r="F237" s="77" t="str">
        <f aca="false">IF($Q237="","",PROPER(INDEX('Reguler Class Availability'!$B:$B,$Q237)&amp;""))</f>
        <v>Baby</v>
      </c>
      <c r="G237" s="76" t="n">
        <f aca="false">IF($Q237="","",IFERROR(--(INDEX('Reguler Class Availability'!$F:$F,$Q237)&amp;""),0))</f>
        <v>5</v>
      </c>
      <c r="H237" s="77" t="str">
        <f aca="false">IF($Q237="","",PROPER(INDEX('Reguler Class Availability'!$I:$I,$Q237)&amp;"")&amp;IF(INDEX('Reguler Class Availability'!$J:$J,$Q237)&amp;""="",""," + asst "&amp;PROPER(INDEX('Reguler Class Availability'!$J:$J,$Q237)&amp;"")))</f>
        <v/>
      </c>
      <c r="I237" s="77" t="s">
        <v>349</v>
      </c>
      <c r="J237" s="77" t="s">
        <v>188</v>
      </c>
      <c r="K237" s="78"/>
      <c r="L237" s="78"/>
      <c r="M237" s="78"/>
      <c r="N237" s="79"/>
      <c r="O237" s="78"/>
      <c r="Q237" s="30" t="n">
        <f aca="false">IFERROR(MATCH($B$4&amp;"|- Lane "&amp;D237&amp;" - "&amp;B237&amp;"|"&amp;C237,'Reguler Class Availability'!$L:$L,0),"")</f>
        <v>1101</v>
      </c>
      <c r="BD237" s="30" t="s">
        <v>167</v>
      </c>
      <c r="BE237" s="30" t="n">
        <f aca="false">IF(COUNTIFS('Reguler Class Availability'!$L:$L,$B$4&amp;"|- Lane 4 - *|"&amp;BD237)&gt;0,1,0)</f>
        <v>0</v>
      </c>
      <c r="BF237" s="30" t="n">
        <f aca="false">BE237+BF236</f>
        <v>12</v>
      </c>
    </row>
    <row r="238" customFormat="false" ht="52.5" hidden="false" customHeight="true" outlineLevel="0" collapsed="false">
      <c r="A238" s="76" t="n">
        <v>112</v>
      </c>
      <c r="B238" s="77" t="s">
        <v>119</v>
      </c>
      <c r="C238" s="76" t="s">
        <v>133</v>
      </c>
      <c r="D238" s="76" t="n">
        <v>1</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Baby</v>
      </c>
      <c r="G238" s="76" t="n">
        <f aca="false">IF($Q238="","",IFERROR(--(INDEX('Reguler Class Availability'!$F:$F,$Q238)&amp;""),0))</f>
        <v>5</v>
      </c>
      <c r="H238" s="77" t="str">
        <f aca="false">IF($Q238="","",PROPER(INDEX('Reguler Class Availability'!$I:$I,$Q238)&amp;"")&amp;IF(INDEX('Reguler Class Availability'!$J:$J,$Q238)&amp;""="",""," + asst "&amp;PROPER(INDEX('Reguler Class Availability'!$J:$J,$Q238)&amp;"")))</f>
        <v/>
      </c>
      <c r="I238" s="77" t="s">
        <v>382</v>
      </c>
      <c r="J238" s="77" t="s">
        <v>188</v>
      </c>
      <c r="K238" s="78"/>
      <c r="L238" s="78"/>
      <c r="M238" s="78"/>
      <c r="N238" s="79"/>
      <c r="O238" s="78"/>
      <c r="Q238" s="30" t="n">
        <f aca="false">IFERROR(MATCH($B$4&amp;"|- Lane "&amp;D238&amp;" - "&amp;B238&amp;"|"&amp;C238,'Reguler Class Availability'!$L:$L,0),"")</f>
        <v>1103</v>
      </c>
      <c r="BD238" s="30" t="s">
        <v>168</v>
      </c>
      <c r="BE238" s="30" t="n">
        <f aca="false">IF(COUNTIFS('Reguler Class Availability'!$L:$L,$B$4&amp;"|- Lane 4 - *|"&amp;BD238)&gt;0,1,0)</f>
        <v>0</v>
      </c>
      <c r="BF238" s="30" t="n">
        <f aca="false">BE238+BF237</f>
        <v>12</v>
      </c>
    </row>
    <row r="239" customFormat="false" ht="52.5" hidden="false" customHeight="true" outlineLevel="0" collapsed="false">
      <c r="A239" s="76" t="n">
        <v>113</v>
      </c>
      <c r="B239" s="77" t="s">
        <v>119</v>
      </c>
      <c r="C239" s="76" t="s">
        <v>133</v>
      </c>
      <c r="D239" s="76" t="n">
        <v>2</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Belum terisi</v>
      </c>
      <c r="F239" s="77" t="str">
        <f aca="false">IF($Q239="","",PROPER(INDEX('Reguler Class Availability'!$B:$B,$Q239)&amp;""))</f>
        <v>Tiny</v>
      </c>
      <c r="G239" s="76" t="n">
        <f aca="false">IF($Q239="","",IFERROR(--(INDEX('Reguler Class Availability'!$F:$F,$Q239)&amp;""),0))</f>
        <v>5</v>
      </c>
      <c r="H239" s="77" t="str">
        <f aca="false">IF($Q239="","",PROPER(INDEX('Reguler Class Availability'!$I:$I,$Q239)&amp;"")&amp;IF(INDEX('Reguler Class Availability'!$J:$J,$Q239)&amp;""="",""," + asst "&amp;PROPER(INDEX('Reguler Class Availability'!$J:$J,$Q239)&amp;"")))</f>
        <v/>
      </c>
      <c r="I239" s="77" t="s">
        <v>382</v>
      </c>
      <c r="J239" s="77" t="s">
        <v>188</v>
      </c>
      <c r="K239" s="78"/>
      <c r="L239" s="78"/>
      <c r="M239" s="78"/>
      <c r="N239" s="79"/>
      <c r="O239" s="78"/>
      <c r="Q239" s="30" t="n">
        <f aca="false">IFERROR(MATCH($B$4&amp;"|- Lane "&amp;D239&amp;" - "&amp;B239&amp;"|"&amp;C239,'Reguler Class Availability'!$L:$L,0),"")</f>
        <v>1201</v>
      </c>
      <c r="BD239" s="30" t="s">
        <v>169</v>
      </c>
      <c r="BE239" s="30" t="n">
        <f aca="false">IF(COUNTIFS('Reguler Class Availability'!$L:$L,$B$4&amp;"|- Lane 4 - *|"&amp;BD239)&gt;0,1,0)</f>
        <v>0</v>
      </c>
      <c r="BF239" s="30" t="n">
        <f aca="false">BE239+BF238</f>
        <v>12</v>
      </c>
    </row>
    <row r="240" customFormat="false" ht="65.25" hidden="false" customHeight="true" outlineLevel="0" collapsed="false">
      <c r="A240" s="76" t="n">
        <v>114</v>
      </c>
      <c r="B240" s="77" t="s">
        <v>119</v>
      </c>
      <c r="C240" s="76" t="s">
        <v>139</v>
      </c>
      <c r="D240" s="76" t="n">
        <v>3</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Belum terisi</v>
      </c>
      <c r="F240" s="77" t="str">
        <f aca="false">IF($Q240="","",PROPER(INDEX('Reguler Class Availability'!$B:$B,$Q240)&amp;""))</f>
        <v>Little</v>
      </c>
      <c r="G240" s="76" t="n">
        <f aca="false">IF($Q240="","",IFERROR(--(INDEX('Reguler Class Availability'!$F:$F,$Q240)&amp;""),0))</f>
        <v>4</v>
      </c>
      <c r="H240" s="77" t="str">
        <f aca="false">IF($Q240="","",PROPER(INDEX('Reguler Class Availability'!$I:$I,$Q240)&amp;"")&amp;IF(INDEX('Reguler Class Availability'!$J:$J,$Q240)&amp;""="",""," + asst "&amp;PROPER(INDEX('Reguler Class Availability'!$J:$J,$Q240)&amp;"")))</f>
        <v/>
      </c>
      <c r="I240" s="77" t="s">
        <v>381</v>
      </c>
      <c r="J240" s="77" t="s">
        <v>186</v>
      </c>
      <c r="K240" s="78"/>
      <c r="L240" s="78"/>
      <c r="M240" s="78"/>
      <c r="N240" s="79"/>
      <c r="O240" s="78"/>
      <c r="Q240" s="30" t="n">
        <f aca="false">IFERROR(MATCH($B$4&amp;"|- Lane "&amp;D240&amp;" - "&amp;B240&amp;"|"&amp;C240,'Reguler Class Availability'!$L:$L,0),"")</f>
        <v>1286</v>
      </c>
      <c r="BD240" s="30" t="s">
        <v>170</v>
      </c>
      <c r="BE240" s="30" t="n">
        <f aca="false">IF(COUNTIFS('Reguler Class Availability'!$L:$L,$B$4&amp;"|- Lane 4 - *|"&amp;BD240)&gt;0,1,0)</f>
        <v>0</v>
      </c>
      <c r="BF240" s="30" t="n">
        <f aca="false">BE240+BF239</f>
        <v>12</v>
      </c>
    </row>
    <row r="241" customFormat="false" ht="65.25" hidden="false" customHeight="true" outlineLevel="0" collapsed="false">
      <c r="A241" s="76" t="n">
        <v>115</v>
      </c>
      <c r="B241" s="77" t="s">
        <v>119</v>
      </c>
      <c r="C241" s="76" t="s">
        <v>139</v>
      </c>
      <c r="D241" s="76" t="n">
        <v>4</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Belum terisi</v>
      </c>
      <c r="F241" s="77" t="str">
        <f aca="false">IF($Q241="","",PROPER(INDEX('Reguler Class Availability'!$B:$B,$Q241)&amp;""))</f>
        <v>Kids</v>
      </c>
      <c r="G241" s="76" t="n">
        <f aca="false">IF($Q241="","",IFERROR(--(INDEX('Reguler Class Availability'!$F:$F,$Q241)&amp;""),0))</f>
        <v>4</v>
      </c>
      <c r="H241" s="77" t="str">
        <f aca="false">IF($Q241="","",PROPER(INDEX('Reguler Class Availability'!$I:$I,$Q241)&amp;"")&amp;IF(INDEX('Reguler Class Availability'!$J:$J,$Q241)&amp;""="",""," + asst "&amp;PROPER(INDEX('Reguler Class Availability'!$J:$J,$Q241)&amp;"")))</f>
        <v/>
      </c>
      <c r="I241" s="77" t="s">
        <v>381</v>
      </c>
      <c r="J241" s="77" t="s">
        <v>186</v>
      </c>
      <c r="K241" s="78"/>
      <c r="L241" s="78"/>
      <c r="M241" s="78"/>
      <c r="N241" s="79"/>
      <c r="O241" s="78"/>
      <c r="Q241" s="30" t="n">
        <f aca="false">IFERROR(MATCH($B$4&amp;"|- Lane "&amp;D241&amp;" - "&amp;B241&amp;"|"&amp;C241,'Reguler Class Availability'!$L:$L,0),"")</f>
        <v>1370</v>
      </c>
      <c r="BD241" s="30" t="s">
        <v>171</v>
      </c>
      <c r="BE241" s="30" t="n">
        <f aca="false">IF(COUNTIFS('Reguler Class Availability'!$L:$L,$B$4&amp;"|- Lane 4 - *|"&amp;BD241)&gt;0,1,0)</f>
        <v>0</v>
      </c>
      <c r="BF241" s="30" t="n">
        <f aca="false">BE241+BF240</f>
        <v>12</v>
      </c>
    </row>
    <row r="242" customFormat="false" ht="65.25" hidden="false" customHeight="true" outlineLevel="0" collapsed="false">
      <c r="A242" s="76" t="n">
        <v>116</v>
      </c>
      <c r="B242" s="77" t="s">
        <v>119</v>
      </c>
      <c r="C242" s="76" t="s">
        <v>139</v>
      </c>
      <c r="D242" s="76" t="n">
        <v>5</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Kosong</v>
      </c>
      <c r="F242" s="77" t="str">
        <f aca="false">IF($Q242="","",PROPER(INDEX('Reguler Class Availability'!$B:$B,$Q242)&amp;""))</f>
        <v/>
      </c>
      <c r="G242" s="76" t="n">
        <f aca="false">IF($Q242="","",IFERROR(--(INDEX('Reguler Class Availability'!$F:$F,$Q242)&amp;""),0))</f>
        <v>4</v>
      </c>
      <c r="H242" s="77" t="str">
        <f aca="false">IF($Q242="","",PROPER(INDEX('Reguler Class Availability'!$I:$I,$Q242)&amp;"")&amp;IF(INDEX('Reguler Class Availability'!$J:$J,$Q242)&amp;""="",""," + asst "&amp;PROPER(INDEX('Reguler Class Availability'!$J:$J,$Q242)&amp;"")))</f>
        <v/>
      </c>
      <c r="I242" s="77" t="s">
        <v>381</v>
      </c>
      <c r="J242" s="77" t="s">
        <v>186</v>
      </c>
      <c r="K242" s="78"/>
      <c r="L242" s="78"/>
      <c r="M242" s="78"/>
      <c r="N242" s="79"/>
      <c r="O242" s="78"/>
      <c r="Q242" s="30" t="n">
        <f aca="false">IFERROR(MATCH($B$4&amp;"|- Lane "&amp;D242&amp;" - "&amp;B242&amp;"|"&amp;C242,'Reguler Class Availability'!$L:$L,0),"")</f>
        <v>1454</v>
      </c>
      <c r="BD242" s="30" t="s">
        <v>78</v>
      </c>
      <c r="BE242" s="30" t="n">
        <f aca="false">IF(COUNTIFS('Reguler Class Availability'!$L:$L,$B$4&amp;"|- Lane 5 - *|"&amp;BD242)&gt;0,1,0)</f>
        <v>0</v>
      </c>
      <c r="BF242" s="30" t="n">
        <f aca="false">BE242</f>
        <v>0</v>
      </c>
    </row>
    <row r="243" customFormat="false" ht="52.5" hidden="false" customHeight="true" outlineLevel="0" collapsed="false">
      <c r="A243" s="76" t="n">
        <v>117</v>
      </c>
      <c r="B243" s="77" t="s">
        <v>119</v>
      </c>
      <c r="C243" s="76" t="s">
        <v>141</v>
      </c>
      <c r="D243" s="76" t="n">
        <v>1</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Baby</v>
      </c>
      <c r="G243" s="76" t="n">
        <f aca="false">IF($Q243="","",IFERROR(--(INDEX('Reguler Class Availability'!$F:$F,$Q243)&amp;""),0))</f>
        <v>5</v>
      </c>
      <c r="H243" s="77" t="str">
        <f aca="false">IF($Q243="","",PROPER(INDEX('Reguler Class Availability'!$I:$I,$Q243)&amp;"")&amp;IF(INDEX('Reguler Class Availability'!$J:$J,$Q243)&amp;""="",""," + asst "&amp;PROPER(INDEX('Reguler Class Availability'!$J:$J,$Q243)&amp;"")))</f>
        <v/>
      </c>
      <c r="I243" s="77" t="s">
        <v>383</v>
      </c>
      <c r="J243" s="77" t="s">
        <v>186</v>
      </c>
      <c r="K243" s="78"/>
      <c r="L243" s="78"/>
      <c r="M243" s="78"/>
      <c r="N243" s="79"/>
      <c r="O243" s="78"/>
      <c r="Q243" s="30" t="n">
        <f aca="false">IFERROR(MATCH($B$4&amp;"|- Lane "&amp;D243&amp;" - "&amp;B243&amp;"|"&amp;C243,'Reguler Class Availability'!$L:$L,0),"")</f>
        <v>1104</v>
      </c>
      <c r="BD243" s="30" t="s">
        <v>79</v>
      </c>
      <c r="BE243" s="30" t="n">
        <f aca="false">IF(COUNTIFS('Reguler Class Availability'!$L:$L,$B$4&amp;"|- Lane 5 - *|"&amp;BD243)&gt;0,1,0)</f>
        <v>0</v>
      </c>
      <c r="BF243" s="30" t="n">
        <f aca="false">BE243+BF242</f>
        <v>0</v>
      </c>
    </row>
    <row r="244" customFormat="false" ht="52.5" hidden="false" customHeight="true" outlineLevel="0" collapsed="false">
      <c r="A244" s="76" t="n">
        <v>118</v>
      </c>
      <c r="B244" s="77" t="s">
        <v>119</v>
      </c>
      <c r="C244" s="76" t="s">
        <v>141</v>
      </c>
      <c r="D244" s="76" t="n">
        <v>2</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Belum terisi</v>
      </c>
      <c r="F244" s="77" t="str">
        <f aca="false">IF($Q244="","",PROPER(INDEX('Reguler Class Availability'!$B:$B,$Q244)&amp;""))</f>
        <v>Tiny</v>
      </c>
      <c r="G244" s="76" t="n">
        <f aca="false">IF($Q244="","",IFERROR(--(INDEX('Reguler Class Availability'!$F:$F,$Q244)&amp;""),0))</f>
        <v>5</v>
      </c>
      <c r="H244" s="77" t="str">
        <f aca="false">IF($Q244="","",PROPER(INDEX('Reguler Class Availability'!$I:$I,$Q244)&amp;"")&amp;IF(INDEX('Reguler Class Availability'!$J:$J,$Q244)&amp;""="",""," + asst "&amp;PROPER(INDEX('Reguler Class Availability'!$J:$J,$Q244)&amp;"")))</f>
        <v/>
      </c>
      <c r="I244" s="77" t="s">
        <v>383</v>
      </c>
      <c r="J244" s="77" t="s">
        <v>186</v>
      </c>
      <c r="K244" s="78"/>
      <c r="L244" s="78"/>
      <c r="M244" s="78"/>
      <c r="N244" s="79"/>
      <c r="O244" s="78"/>
      <c r="Q244" s="30" t="n">
        <f aca="false">IFERROR(MATCH($B$4&amp;"|- Lane "&amp;D244&amp;" - "&amp;B244&amp;"|"&amp;C244,'Reguler Class Availability'!$L:$L,0),"")</f>
        <v>1202</v>
      </c>
      <c r="BD244" s="30" t="s">
        <v>84</v>
      </c>
      <c r="BE244" s="30" t="n">
        <f aca="false">IF(COUNTIFS('Reguler Class Availability'!$L:$L,$B$4&amp;"|- Lane 5 - *|"&amp;BD244)&gt;0,1,0)</f>
        <v>0</v>
      </c>
      <c r="BF244" s="30" t="n">
        <f aca="false">BE244+BF243</f>
        <v>0</v>
      </c>
    </row>
    <row r="245" customFormat="false" ht="52.5" hidden="false" customHeight="true" outlineLevel="0" collapsed="false">
      <c r="A245" s="76" t="n">
        <v>119</v>
      </c>
      <c r="B245" s="77" t="s">
        <v>119</v>
      </c>
      <c r="C245" s="76" t="s">
        <v>143</v>
      </c>
      <c r="D245" s="76" t="n">
        <v>3</v>
      </c>
      <c r="E245" s="77" t="str">
        <f aca="false">IF($Q245="","Tidak ada di data",IF(AND(IFERROR(--(INDEX('Reguler Class Availability'!$F:$F,$Q245)&amp;""),0)=0,IFERROR(--(INDEX('Reguler Class Availability'!$G:$G,$Q245)&amp;""),0)=0),"Tutup",IF(IFERROR(--(INDEX('Reguler Class Availability'!$G:$G,$Q245)&amp;""),0)&gt;IFERROR(--(INDEX('Reguler Class Availability'!$F:$F,$Q245)&amp;""),0),"Lebih",IF(IFERROR(--(INDEX('Reguler Class Availability'!$G:$G,$Q245)&amp;""),0)=IFERROR(--(INDEX('Reguler Class Availability'!$F:$F,$Q245)&amp;""),0),"Penuh",IF(IFERROR(--(INDEX('Reguler Class Availability'!$G:$G,$Q245)&amp;""),0)=0,IF(INDEX('Reguler Class Availability'!$B:$B,$Q245)&amp;""="","Kosong","Belum terisi"),IF(IFERROR(--(INDEX('Reguler Class Availability'!$G:$G,$Q245)&amp;""),0)/IFERROR(--(INDEX('Reguler Class Availability'!$F:$F,$Q245)&amp;""),0)&gt;=0.6,"Tinggi","Sebagian"))))))</f>
        <v>Belum terisi</v>
      </c>
      <c r="F245" s="77" t="str">
        <f aca="false">IF($Q245="","",PROPER(INDEX('Reguler Class Availability'!$B:$B,$Q245)&amp;""))</f>
        <v>Little</v>
      </c>
      <c r="G245" s="76" t="n">
        <f aca="false">IF($Q245="","",IFERROR(--(INDEX('Reguler Class Availability'!$F:$F,$Q245)&amp;""),0))</f>
        <v>4</v>
      </c>
      <c r="H245" s="77" t="str">
        <f aca="false">IF($Q245="","",PROPER(INDEX('Reguler Class Availability'!$I:$I,$Q245)&amp;"")&amp;IF(INDEX('Reguler Class Availability'!$J:$J,$Q245)&amp;""="",""," + asst "&amp;PROPER(INDEX('Reguler Class Availability'!$J:$J,$Q245)&amp;"")))</f>
        <v/>
      </c>
      <c r="I245" s="77" t="s">
        <v>383</v>
      </c>
      <c r="J245" s="77" t="s">
        <v>186</v>
      </c>
      <c r="K245" s="78"/>
      <c r="L245" s="78"/>
      <c r="M245" s="78"/>
      <c r="N245" s="79"/>
      <c r="O245" s="78"/>
      <c r="Q245" s="30" t="n">
        <f aca="false">IFERROR(MATCH($B$4&amp;"|- Lane "&amp;D245&amp;" - "&amp;B245&amp;"|"&amp;C245,'Reguler Class Availability'!$L:$L,0),"")</f>
        <v>1287</v>
      </c>
      <c r="BD245" s="30" t="s">
        <v>85</v>
      </c>
      <c r="BE245" s="30" t="n">
        <f aca="false">IF(COUNTIFS('Reguler Class Availability'!$L:$L,$B$4&amp;"|- Lane 5 - *|"&amp;BD245)&gt;0,1,0)</f>
        <v>0</v>
      </c>
      <c r="BF245" s="30" t="n">
        <f aca="false">BE245+BF244</f>
        <v>0</v>
      </c>
    </row>
    <row r="246" customFormat="false" ht="52.5" hidden="false" customHeight="true" outlineLevel="0" collapsed="false">
      <c r="A246" s="76" t="n">
        <v>120</v>
      </c>
      <c r="B246" s="77" t="s">
        <v>119</v>
      </c>
      <c r="C246" s="76" t="s">
        <v>144</v>
      </c>
      <c r="D246" s="76" t="n">
        <v>1</v>
      </c>
      <c r="E246" s="77" t="str">
        <f aca="false">IF($Q246="","Tidak ada di data",IF(AND(IFERROR(--(INDEX('Reguler Class Availability'!$F:$F,$Q246)&amp;""),0)=0,IFERROR(--(INDEX('Reguler Class Availability'!$G:$G,$Q246)&amp;""),0)=0),"Tutup",IF(IFERROR(--(INDEX('Reguler Class Availability'!$G:$G,$Q246)&amp;""),0)&gt;IFERROR(--(INDEX('Reguler Class Availability'!$F:$F,$Q246)&amp;""),0),"Lebih",IF(IFERROR(--(INDEX('Reguler Class Availability'!$G:$G,$Q246)&amp;""),0)=IFERROR(--(INDEX('Reguler Class Availability'!$F:$F,$Q246)&amp;""),0),"Penuh",IF(IFERROR(--(INDEX('Reguler Class Availability'!$G:$G,$Q246)&amp;""),0)=0,IF(INDEX('Reguler Class Availability'!$B:$B,$Q246)&amp;""="","Kosong","Belum terisi"),IF(IFERROR(--(INDEX('Reguler Class Availability'!$G:$G,$Q246)&amp;""),0)/IFERROR(--(INDEX('Reguler Class Availability'!$F:$F,$Q246)&amp;""),0)&gt;=0.6,"Tinggi","Sebagian"))))))</f>
        <v>Belum terisi</v>
      </c>
      <c r="F246" s="77" t="str">
        <f aca="false">IF($Q246="","",PROPER(INDEX('Reguler Class Availability'!$B:$B,$Q246)&amp;""))</f>
        <v>Baby</v>
      </c>
      <c r="G246" s="76" t="n">
        <f aca="false">IF($Q246="","",IFERROR(--(INDEX('Reguler Class Availability'!$F:$F,$Q246)&amp;""),0))</f>
        <v>5</v>
      </c>
      <c r="H246" s="77" t="str">
        <f aca="false">IF($Q246="","",PROPER(INDEX('Reguler Class Availability'!$I:$I,$Q246)&amp;"")&amp;IF(INDEX('Reguler Class Availability'!$J:$J,$Q246)&amp;""="",""," + asst "&amp;PROPER(INDEX('Reguler Class Availability'!$J:$J,$Q246)&amp;"")))</f>
        <v/>
      </c>
      <c r="I246" s="77" t="s">
        <v>384</v>
      </c>
      <c r="J246" s="77" t="s">
        <v>186</v>
      </c>
      <c r="K246" s="78"/>
      <c r="L246" s="78"/>
      <c r="M246" s="78"/>
      <c r="N246" s="79"/>
      <c r="O246" s="78"/>
      <c r="Q246" s="30" t="n">
        <f aca="false">IFERROR(MATCH($B$4&amp;"|- Lane "&amp;D246&amp;" - "&amp;B246&amp;"|"&amp;C246,'Reguler Class Availability'!$L:$L,0),"")</f>
        <v>1105</v>
      </c>
      <c r="BD246" s="30" t="s">
        <v>89</v>
      </c>
      <c r="BE246" s="30" t="n">
        <f aca="false">IF(COUNTIFS('Reguler Class Availability'!$L:$L,$B$4&amp;"|- Lane 5 - *|"&amp;BD246)&gt;0,1,0)</f>
        <v>0</v>
      </c>
      <c r="BF246" s="30" t="n">
        <f aca="false">BE246+BF245</f>
        <v>0</v>
      </c>
    </row>
    <row r="247" customFormat="false" ht="52.5" hidden="false" customHeight="true" outlineLevel="0" collapsed="false">
      <c r="A247" s="76" t="n">
        <v>121</v>
      </c>
      <c r="B247" s="77" t="s">
        <v>119</v>
      </c>
      <c r="C247" s="76" t="s">
        <v>144</v>
      </c>
      <c r="D247" s="76" t="n">
        <v>2</v>
      </c>
      <c r="E247" s="77" t="str">
        <f aca="false">IF($Q247="","Tidak ada di data",IF(AND(IFERROR(--(INDEX('Reguler Class Availability'!$F:$F,$Q247)&amp;""),0)=0,IFERROR(--(INDEX('Reguler Class Availability'!$G:$G,$Q247)&amp;""),0)=0),"Tutup",IF(IFERROR(--(INDEX('Reguler Class Availability'!$G:$G,$Q247)&amp;""),0)&gt;IFERROR(--(INDEX('Reguler Class Availability'!$F:$F,$Q247)&amp;""),0),"Lebih",IF(IFERROR(--(INDEX('Reguler Class Availability'!$G:$G,$Q247)&amp;""),0)=IFERROR(--(INDEX('Reguler Class Availability'!$F:$F,$Q247)&amp;""),0),"Penuh",IF(IFERROR(--(INDEX('Reguler Class Availability'!$G:$G,$Q247)&amp;""),0)=0,IF(INDEX('Reguler Class Availability'!$B:$B,$Q247)&amp;""="","Kosong","Belum terisi"),IF(IFERROR(--(INDEX('Reguler Class Availability'!$G:$G,$Q247)&amp;""),0)/IFERROR(--(INDEX('Reguler Class Availability'!$F:$F,$Q247)&amp;""),0)&gt;=0.6,"Tinggi","Sebagian"))))))</f>
        <v>Belum terisi</v>
      </c>
      <c r="F247" s="77" t="str">
        <f aca="false">IF($Q247="","",PROPER(INDEX('Reguler Class Availability'!$B:$B,$Q247)&amp;""))</f>
        <v>Tiny</v>
      </c>
      <c r="G247" s="76" t="n">
        <f aca="false">IF($Q247="","",IFERROR(--(INDEX('Reguler Class Availability'!$F:$F,$Q247)&amp;""),0))</f>
        <v>5</v>
      </c>
      <c r="H247" s="77" t="str">
        <f aca="false">IF($Q247="","",PROPER(INDEX('Reguler Class Availability'!$I:$I,$Q247)&amp;"")&amp;IF(INDEX('Reguler Class Availability'!$J:$J,$Q247)&amp;""="",""," + asst "&amp;PROPER(INDEX('Reguler Class Availability'!$J:$J,$Q247)&amp;"")))</f>
        <v/>
      </c>
      <c r="I247" s="77" t="s">
        <v>384</v>
      </c>
      <c r="J247" s="77" t="s">
        <v>186</v>
      </c>
      <c r="K247" s="78"/>
      <c r="L247" s="78"/>
      <c r="M247" s="78"/>
      <c r="N247" s="79"/>
      <c r="O247" s="78"/>
      <c r="Q247" s="30" t="n">
        <f aca="false">IFERROR(MATCH($B$4&amp;"|- Lane "&amp;D247&amp;" - "&amp;B247&amp;"|"&amp;C247,'Reguler Class Availability'!$L:$L,0),"")</f>
        <v>1203</v>
      </c>
      <c r="BD247" s="30" t="s">
        <v>90</v>
      </c>
      <c r="BE247" s="30" t="n">
        <f aca="false">IF(COUNTIFS('Reguler Class Availability'!$L:$L,$B$4&amp;"|- Lane 5 - *|"&amp;BD247)&gt;0,1,0)</f>
        <v>0</v>
      </c>
      <c r="BF247" s="30" t="n">
        <f aca="false">BE247+BF246</f>
        <v>0</v>
      </c>
    </row>
    <row r="248" customFormat="false" ht="40.5" hidden="false" customHeight="true" outlineLevel="0" collapsed="false">
      <c r="A248" s="76" t="n">
        <v>122</v>
      </c>
      <c r="B248" s="77" t="s">
        <v>119</v>
      </c>
      <c r="C248" s="76" t="s">
        <v>146</v>
      </c>
      <c r="D248" s="76" t="n">
        <v>5</v>
      </c>
      <c r="E248" s="77" t="str">
        <f aca="false">IF($Q248="","Tidak ada di data",IF(AND(IFERROR(--(INDEX('Reguler Class Availability'!$F:$F,$Q248)&amp;""),0)=0,IFERROR(--(INDEX('Reguler Class Availability'!$G:$G,$Q248)&amp;""),0)=0),"Tutup",IF(IFERROR(--(INDEX('Reguler Class Availability'!$G:$G,$Q248)&amp;""),0)&gt;IFERROR(--(INDEX('Reguler Class Availability'!$F:$F,$Q248)&amp;""),0),"Lebih",IF(IFERROR(--(INDEX('Reguler Class Availability'!$G:$G,$Q248)&amp;""),0)=IFERROR(--(INDEX('Reguler Class Availability'!$F:$F,$Q248)&amp;""),0),"Penuh",IF(IFERROR(--(INDEX('Reguler Class Availability'!$G:$G,$Q248)&amp;""),0)=0,IF(INDEX('Reguler Class Availability'!$B:$B,$Q248)&amp;""="","Kosong","Belum terisi"),IF(IFERROR(--(INDEX('Reguler Class Availability'!$G:$G,$Q248)&amp;""),0)/IFERROR(--(INDEX('Reguler Class Availability'!$F:$F,$Q248)&amp;""),0)&gt;=0.6,"Tinggi","Sebagian"))))))</f>
        <v>Kosong</v>
      </c>
      <c r="F248" s="77" t="str">
        <f aca="false">IF($Q248="","",PROPER(INDEX('Reguler Class Availability'!$B:$B,$Q248)&amp;""))</f>
        <v/>
      </c>
      <c r="G248" s="76" t="n">
        <f aca="false">IF($Q248="","",IFERROR(--(INDEX('Reguler Class Availability'!$F:$F,$Q248)&amp;""),0))</f>
        <v>4</v>
      </c>
      <c r="H248" s="77" t="str">
        <f aca="false">IF($Q248="","",PROPER(INDEX('Reguler Class Availability'!$I:$I,$Q248)&amp;"")&amp;IF(INDEX('Reguler Class Availability'!$J:$J,$Q248)&amp;""="",""," + asst "&amp;PROPER(INDEX('Reguler Class Availability'!$J:$J,$Q248)&amp;"")))</f>
        <v/>
      </c>
      <c r="I248" s="77" t="s">
        <v>385</v>
      </c>
      <c r="J248" s="77" t="s">
        <v>186</v>
      </c>
      <c r="K248" s="78"/>
      <c r="L248" s="78"/>
      <c r="M248" s="78"/>
      <c r="N248" s="79"/>
      <c r="O248" s="78"/>
      <c r="Q248" s="30" t="n">
        <f aca="false">IFERROR(MATCH($B$4&amp;"|- Lane "&amp;D248&amp;" - "&amp;B248&amp;"|"&amp;C248,'Reguler Class Availability'!$L:$L,0),"")</f>
        <v>1456</v>
      </c>
      <c r="BD248" s="30" t="s">
        <v>91</v>
      </c>
      <c r="BE248" s="30" t="n">
        <f aca="false">IF(COUNTIFS('Reguler Class Availability'!$L:$L,$B$4&amp;"|- Lane 5 - *|"&amp;BD248)&gt;0,1,0)</f>
        <v>0</v>
      </c>
      <c r="BF248" s="30" t="n">
        <f aca="false">BE248+BF247</f>
        <v>0</v>
      </c>
    </row>
    <row r="249" customFormat="false" ht="27.75" hidden="false" customHeight="true" outlineLevel="0" collapsed="false">
      <c r="A249" s="76" t="n">
        <v>123</v>
      </c>
      <c r="B249" s="77" t="s">
        <v>119</v>
      </c>
      <c r="C249" s="76" t="s">
        <v>147</v>
      </c>
      <c r="D249" s="76" t="n">
        <v>1</v>
      </c>
      <c r="E249" s="77" t="str">
        <f aca="false">IF($Q249="","Tidak ada di data",IF(AND(IFERROR(--(INDEX('Reguler Class Availability'!$F:$F,$Q249)&amp;""),0)=0,IFERROR(--(INDEX('Reguler Class Availability'!$G:$G,$Q249)&amp;""),0)=0),"Tutup",IF(IFERROR(--(INDEX('Reguler Class Availability'!$G:$G,$Q249)&amp;""),0)&gt;IFERROR(--(INDEX('Reguler Class Availability'!$F:$F,$Q249)&amp;""),0),"Lebih",IF(IFERROR(--(INDEX('Reguler Class Availability'!$G:$G,$Q249)&amp;""),0)=IFERROR(--(INDEX('Reguler Class Availability'!$F:$F,$Q249)&amp;""),0),"Penuh",IF(IFERROR(--(INDEX('Reguler Class Availability'!$G:$G,$Q249)&amp;""),0)=0,IF(INDEX('Reguler Class Availability'!$B:$B,$Q249)&amp;""="","Kosong","Belum terisi"),IF(IFERROR(--(INDEX('Reguler Class Availability'!$G:$G,$Q249)&amp;""),0)/IFERROR(--(INDEX('Reguler Class Availability'!$F:$F,$Q249)&amp;""),0)&gt;=0.6,"Tinggi","Sebagian"))))))</f>
        <v>Belum terisi</v>
      </c>
      <c r="F249" s="77" t="str">
        <f aca="false">IF($Q249="","",PROPER(INDEX('Reguler Class Availability'!$B:$B,$Q249)&amp;""))</f>
        <v>Baby</v>
      </c>
      <c r="G249" s="76" t="n">
        <f aca="false">IF($Q249="","",IFERROR(--(INDEX('Reguler Class Availability'!$F:$F,$Q249)&amp;""),0))</f>
        <v>5</v>
      </c>
      <c r="H249" s="77" t="str">
        <f aca="false">IF($Q249="","",PROPER(INDEX('Reguler Class Availability'!$I:$I,$Q249)&amp;"")&amp;IF(INDEX('Reguler Class Availability'!$J:$J,$Q249)&amp;""="",""," + asst "&amp;PROPER(INDEX('Reguler Class Availability'!$J:$J,$Q249)&amp;"")))</f>
        <v/>
      </c>
      <c r="I249" s="77" t="s">
        <v>380</v>
      </c>
      <c r="J249" s="77" t="s">
        <v>188</v>
      </c>
      <c r="K249" s="78"/>
      <c r="L249" s="78"/>
      <c r="M249" s="78"/>
      <c r="N249" s="79"/>
      <c r="O249" s="78"/>
      <c r="Q249" s="30" t="n">
        <f aca="false">IFERROR(MATCH($B$4&amp;"|- Lane "&amp;D249&amp;" - "&amp;B249&amp;"|"&amp;C249,'Reguler Class Availability'!$L:$L,0),"")</f>
        <v>1106</v>
      </c>
      <c r="BD249" s="30" t="s">
        <v>98</v>
      </c>
      <c r="BE249" s="30" t="n">
        <f aca="false">IF(COUNTIFS('Reguler Class Availability'!$L:$L,$B$4&amp;"|- Lane 5 - *|"&amp;BD249)&gt;0,1,0)</f>
        <v>0</v>
      </c>
      <c r="BF249" s="30" t="n">
        <f aca="false">BE249+BF248</f>
        <v>0</v>
      </c>
    </row>
    <row r="250" customFormat="false" ht="27.75" hidden="false" customHeight="true" outlineLevel="0" collapsed="false">
      <c r="A250" s="76" t="n">
        <v>124</v>
      </c>
      <c r="B250" s="77" t="s">
        <v>119</v>
      </c>
      <c r="C250" s="76" t="s">
        <v>150</v>
      </c>
      <c r="D250" s="76" t="n">
        <v>1</v>
      </c>
      <c r="E250" s="77" t="str">
        <f aca="false">IF($Q250="","Tidak ada di data",IF(AND(IFERROR(--(INDEX('Reguler Class Availability'!$F:$F,$Q250)&amp;""),0)=0,IFERROR(--(INDEX('Reguler Class Availability'!$G:$G,$Q250)&amp;""),0)=0),"Tutup",IF(IFERROR(--(INDEX('Reguler Class Availability'!$G:$G,$Q250)&amp;""),0)&gt;IFERROR(--(INDEX('Reguler Class Availability'!$F:$F,$Q250)&amp;""),0),"Lebih",IF(IFERROR(--(INDEX('Reguler Class Availability'!$G:$G,$Q250)&amp;""),0)=IFERROR(--(INDEX('Reguler Class Availability'!$F:$F,$Q250)&amp;""),0),"Penuh",IF(IFERROR(--(INDEX('Reguler Class Availability'!$G:$G,$Q250)&amp;""),0)=0,IF(INDEX('Reguler Class Availability'!$B:$B,$Q250)&amp;""="","Kosong","Belum terisi"),IF(IFERROR(--(INDEX('Reguler Class Availability'!$G:$G,$Q250)&amp;""),0)/IFERROR(--(INDEX('Reguler Class Availability'!$F:$F,$Q250)&amp;""),0)&gt;=0.6,"Tinggi","Sebagian"))))))</f>
        <v>Belum terisi</v>
      </c>
      <c r="F250" s="77" t="str">
        <f aca="false">IF($Q250="","",PROPER(INDEX('Reguler Class Availability'!$B:$B,$Q250)&amp;""))</f>
        <v>Baby</v>
      </c>
      <c r="G250" s="76" t="n">
        <f aca="false">IF($Q250="","",IFERROR(--(INDEX('Reguler Class Availability'!$F:$F,$Q250)&amp;""),0))</f>
        <v>5</v>
      </c>
      <c r="H250" s="77" t="str">
        <f aca="false">IF($Q250="","",PROPER(INDEX('Reguler Class Availability'!$I:$I,$Q250)&amp;"")&amp;IF(INDEX('Reguler Class Availability'!$J:$J,$Q250)&amp;""="",""," + asst "&amp;PROPER(INDEX('Reguler Class Availability'!$J:$J,$Q250)&amp;"")))</f>
        <v/>
      </c>
      <c r="I250" s="77" t="s">
        <v>375</v>
      </c>
      <c r="J250" s="77" t="s">
        <v>188</v>
      </c>
      <c r="K250" s="78"/>
      <c r="L250" s="78"/>
      <c r="M250" s="78"/>
      <c r="N250" s="79"/>
      <c r="O250" s="78"/>
      <c r="Q250" s="30" t="n">
        <f aca="false">IFERROR(MATCH($B$4&amp;"|- Lane "&amp;D250&amp;" - "&amp;B250&amp;"|"&amp;C250,'Reguler Class Availability'!$L:$L,0),"")</f>
        <v>1107</v>
      </c>
      <c r="BD250" s="30" t="s">
        <v>105</v>
      </c>
      <c r="BE250" s="30" t="n">
        <f aca="false">IF(COUNTIFS('Reguler Class Availability'!$L:$L,$B$4&amp;"|- Lane 5 - *|"&amp;BD250)&gt;0,1,0)</f>
        <v>1</v>
      </c>
      <c r="BF250" s="30" t="n">
        <f aca="false">BE250+BF249</f>
        <v>1</v>
      </c>
    </row>
    <row r="251" customFormat="false" ht="27.75" hidden="false" customHeight="true" outlineLevel="0" collapsed="false">
      <c r="A251" s="76" t="n">
        <v>125</v>
      </c>
      <c r="B251" s="77" t="s">
        <v>119</v>
      </c>
      <c r="C251" s="76" t="s">
        <v>152</v>
      </c>
      <c r="D251" s="76" t="n">
        <v>5</v>
      </c>
      <c r="E251" s="77" t="str">
        <f aca="false">IF($Q251="","Tidak ada di data",IF(AND(IFERROR(--(INDEX('Reguler Class Availability'!$F:$F,$Q251)&amp;""),0)=0,IFERROR(--(INDEX('Reguler Class Availability'!$G:$G,$Q251)&amp;""),0)=0),"Tutup",IF(IFERROR(--(INDEX('Reguler Class Availability'!$G:$G,$Q251)&amp;""),0)&gt;IFERROR(--(INDEX('Reguler Class Availability'!$F:$F,$Q251)&amp;""),0),"Lebih",IF(IFERROR(--(INDEX('Reguler Class Availability'!$G:$G,$Q251)&amp;""),0)=IFERROR(--(INDEX('Reguler Class Availability'!$F:$F,$Q251)&amp;""),0),"Penuh",IF(IFERROR(--(INDEX('Reguler Class Availability'!$G:$G,$Q251)&amp;""),0)=0,IF(INDEX('Reguler Class Availability'!$B:$B,$Q251)&amp;""="","Kosong","Belum terisi"),IF(IFERROR(--(INDEX('Reguler Class Availability'!$G:$G,$Q251)&amp;""),0)/IFERROR(--(INDEX('Reguler Class Availability'!$F:$F,$Q251)&amp;""),0)&gt;=0.6,"Tinggi","Sebagian"))))))</f>
        <v>Kosong</v>
      </c>
      <c r="F251" s="77" t="str">
        <f aca="false">IF($Q251="","",PROPER(INDEX('Reguler Class Availability'!$B:$B,$Q251)&amp;""))</f>
        <v/>
      </c>
      <c r="G251" s="76" t="n">
        <f aca="false">IF($Q251="","",IFERROR(--(INDEX('Reguler Class Availability'!$F:$F,$Q251)&amp;""),0))</f>
        <v>4</v>
      </c>
      <c r="H251" s="77" t="str">
        <f aca="false">IF($Q251="","",PROPER(INDEX('Reguler Class Availability'!$I:$I,$Q251)&amp;"")&amp;IF(INDEX('Reguler Class Availability'!$J:$J,$Q251)&amp;""="",""," + asst "&amp;PROPER(INDEX('Reguler Class Availability'!$J:$J,$Q251)&amp;"")))</f>
        <v/>
      </c>
      <c r="I251" s="77" t="s">
        <v>386</v>
      </c>
      <c r="J251" s="77" t="s">
        <v>188</v>
      </c>
      <c r="K251" s="78"/>
      <c r="L251" s="78"/>
      <c r="M251" s="78"/>
      <c r="N251" s="79"/>
      <c r="O251" s="78"/>
      <c r="Q251" s="30" t="n">
        <f aca="false">IFERROR(MATCH($B$4&amp;"|- Lane "&amp;D251&amp;" - "&amp;B251&amp;"|"&amp;C251,'Reguler Class Availability'!$L:$L,0),"")</f>
        <v>1458</v>
      </c>
      <c r="BD251" s="30" t="s">
        <v>110</v>
      </c>
      <c r="BE251" s="30" t="n">
        <f aca="false">IF(COUNTIFS('Reguler Class Availability'!$L:$L,$B$4&amp;"|- Lane 5 - *|"&amp;BD251)&gt;0,1,0)</f>
        <v>0</v>
      </c>
      <c r="BF251" s="30" t="n">
        <f aca="false">BE251+BF250</f>
        <v>1</v>
      </c>
    </row>
    <row r="252" customFormat="false" ht="40.5" hidden="false" customHeight="true" outlineLevel="0" collapsed="false">
      <c r="A252" s="76" t="n">
        <v>126</v>
      </c>
      <c r="B252" s="77" t="s">
        <v>119</v>
      </c>
      <c r="C252" s="76" t="s">
        <v>155</v>
      </c>
      <c r="D252" s="76" t="n">
        <v>3</v>
      </c>
      <c r="E252" s="77" t="str">
        <f aca="false">IF($Q252="","Tidak ada di data",IF(AND(IFERROR(--(INDEX('Reguler Class Availability'!$F:$F,$Q252)&amp;""),0)=0,IFERROR(--(INDEX('Reguler Class Availability'!$G:$G,$Q252)&amp;""),0)=0),"Tutup",IF(IFERROR(--(INDEX('Reguler Class Availability'!$G:$G,$Q252)&amp;""),0)&gt;IFERROR(--(INDEX('Reguler Class Availability'!$F:$F,$Q252)&amp;""),0),"Lebih",IF(IFERROR(--(INDEX('Reguler Class Availability'!$G:$G,$Q252)&amp;""),0)=IFERROR(--(INDEX('Reguler Class Availability'!$F:$F,$Q252)&amp;""),0),"Penuh",IF(IFERROR(--(INDEX('Reguler Class Availability'!$G:$G,$Q252)&amp;""),0)=0,IF(INDEX('Reguler Class Availability'!$B:$B,$Q252)&amp;""="","Kosong","Belum terisi"),IF(IFERROR(--(INDEX('Reguler Class Availability'!$G:$G,$Q252)&amp;""),0)/IFERROR(--(INDEX('Reguler Class Availability'!$F:$F,$Q252)&amp;""),0)&gt;=0.6,"Tinggi","Sebagian"))))))</f>
        <v>Belum terisi</v>
      </c>
      <c r="F252" s="77" t="str">
        <f aca="false">IF($Q252="","",PROPER(INDEX('Reguler Class Availability'!$B:$B,$Q252)&amp;""))</f>
        <v>Little</v>
      </c>
      <c r="G252" s="76" t="n">
        <f aca="false">IF($Q252="","",IFERROR(--(INDEX('Reguler Class Availability'!$F:$F,$Q252)&amp;""),0))</f>
        <v>4</v>
      </c>
      <c r="H252" s="77" t="str">
        <f aca="false">IF($Q252="","",PROPER(INDEX('Reguler Class Availability'!$I:$I,$Q252)&amp;"")&amp;IF(INDEX('Reguler Class Availability'!$J:$J,$Q252)&amp;""="",""," + asst "&amp;PROPER(INDEX('Reguler Class Availability'!$J:$J,$Q252)&amp;"")))</f>
        <v/>
      </c>
      <c r="I252" s="77" t="s">
        <v>387</v>
      </c>
      <c r="J252" s="77" t="s">
        <v>186</v>
      </c>
      <c r="K252" s="78"/>
      <c r="L252" s="78"/>
      <c r="M252" s="78"/>
      <c r="N252" s="79"/>
      <c r="O252" s="78"/>
      <c r="Q252" s="30" t="n">
        <f aca="false">IFERROR(MATCH($B$4&amp;"|- Lane "&amp;D252&amp;" - "&amp;B252&amp;"|"&amp;C252,'Reguler Class Availability'!$L:$L,0),"")</f>
        <v>1291</v>
      </c>
      <c r="BD252" s="30" t="s">
        <v>112</v>
      </c>
      <c r="BE252" s="30" t="n">
        <f aca="false">IF(COUNTIFS('Reguler Class Availability'!$L:$L,$B$4&amp;"|- Lane 5 - *|"&amp;BD252)&gt;0,1,0)</f>
        <v>0</v>
      </c>
      <c r="BF252" s="30" t="n">
        <f aca="false">BE252+BF251</f>
        <v>1</v>
      </c>
    </row>
    <row r="253" customFormat="false" ht="52.5" hidden="false" customHeight="true" outlineLevel="0" collapsed="false">
      <c r="A253" s="76" t="n">
        <v>127</v>
      </c>
      <c r="B253" s="77" t="s">
        <v>119</v>
      </c>
      <c r="C253" s="76" t="s">
        <v>156</v>
      </c>
      <c r="D253" s="76" t="n">
        <v>1</v>
      </c>
      <c r="E253" s="77" t="str">
        <f aca="false">IF($Q253="","Tidak ada di data",IF(AND(IFERROR(--(INDEX('Reguler Class Availability'!$F:$F,$Q253)&amp;""),0)=0,IFERROR(--(INDEX('Reguler Class Availability'!$G:$G,$Q253)&amp;""),0)=0),"Tutup",IF(IFERROR(--(INDEX('Reguler Class Availability'!$G:$G,$Q253)&amp;""),0)&gt;IFERROR(--(INDEX('Reguler Class Availability'!$F:$F,$Q253)&amp;""),0),"Lebih",IF(IFERROR(--(INDEX('Reguler Class Availability'!$G:$G,$Q253)&amp;""),0)=IFERROR(--(INDEX('Reguler Class Availability'!$F:$F,$Q253)&amp;""),0),"Penuh",IF(IFERROR(--(INDEX('Reguler Class Availability'!$G:$G,$Q253)&amp;""),0)=0,IF(INDEX('Reguler Class Availability'!$B:$B,$Q253)&amp;""="","Kosong","Belum terisi"),IF(IFERROR(--(INDEX('Reguler Class Availability'!$G:$G,$Q253)&amp;""),0)/IFERROR(--(INDEX('Reguler Class Availability'!$F:$F,$Q253)&amp;""),0)&gt;=0.6,"Tinggi","Sebagian"))))))</f>
        <v>Belum terisi</v>
      </c>
      <c r="F253" s="77" t="str">
        <f aca="false">IF($Q253="","",PROPER(INDEX('Reguler Class Availability'!$B:$B,$Q253)&amp;""))</f>
        <v>Baby</v>
      </c>
      <c r="G253" s="76" t="n">
        <f aca="false">IF($Q253="","",IFERROR(--(INDEX('Reguler Class Availability'!$F:$F,$Q253)&amp;""),0))</f>
        <v>5</v>
      </c>
      <c r="H253" s="77" t="str">
        <f aca="false">IF($Q253="","",PROPER(INDEX('Reguler Class Availability'!$I:$I,$Q253)&amp;"")&amp;IF(INDEX('Reguler Class Availability'!$J:$J,$Q253)&amp;""="",""," + asst "&amp;PROPER(INDEX('Reguler Class Availability'!$J:$J,$Q253)&amp;"")))</f>
        <v/>
      </c>
      <c r="I253" s="77" t="s">
        <v>365</v>
      </c>
      <c r="J253" s="77" t="s">
        <v>186</v>
      </c>
      <c r="K253" s="78"/>
      <c r="L253" s="78"/>
      <c r="M253" s="78"/>
      <c r="N253" s="79"/>
      <c r="O253" s="78"/>
      <c r="Q253" s="30" t="n">
        <f aca="false">IFERROR(MATCH($B$4&amp;"|- Lane "&amp;D253&amp;" - "&amp;B253&amp;"|"&amp;C253,'Reguler Class Availability'!$L:$L,0),"")</f>
        <v>1109</v>
      </c>
      <c r="BD253" s="30" t="s">
        <v>120</v>
      </c>
      <c r="BE253" s="30" t="n">
        <f aca="false">IF(COUNTIFS('Reguler Class Availability'!$L:$L,$B$4&amp;"|- Lane 5 - *|"&amp;BD253)&gt;0,1,0)</f>
        <v>1</v>
      </c>
      <c r="BF253" s="30" t="n">
        <f aca="false">BE253+BF252</f>
        <v>2</v>
      </c>
    </row>
    <row r="254" customFormat="false" ht="52.5" hidden="false" customHeight="true" outlineLevel="0" collapsed="false">
      <c r="A254" s="76" t="n">
        <v>128</v>
      </c>
      <c r="B254" s="77" t="s">
        <v>119</v>
      </c>
      <c r="C254" s="76" t="s">
        <v>156</v>
      </c>
      <c r="D254" s="76" t="n">
        <v>2</v>
      </c>
      <c r="E254" s="77" t="str">
        <f aca="false">IF($Q254="","Tidak ada di data",IF(AND(IFERROR(--(INDEX('Reguler Class Availability'!$F:$F,$Q254)&amp;""),0)=0,IFERROR(--(INDEX('Reguler Class Availability'!$G:$G,$Q254)&amp;""),0)=0),"Tutup",IF(IFERROR(--(INDEX('Reguler Class Availability'!$G:$G,$Q254)&amp;""),0)&gt;IFERROR(--(INDEX('Reguler Class Availability'!$F:$F,$Q254)&amp;""),0),"Lebih",IF(IFERROR(--(INDEX('Reguler Class Availability'!$G:$G,$Q254)&amp;""),0)=IFERROR(--(INDEX('Reguler Class Availability'!$F:$F,$Q254)&amp;""),0),"Penuh",IF(IFERROR(--(INDEX('Reguler Class Availability'!$G:$G,$Q254)&amp;""),0)=0,IF(INDEX('Reguler Class Availability'!$B:$B,$Q254)&amp;""="","Kosong","Belum terisi"),IF(IFERROR(--(INDEX('Reguler Class Availability'!$G:$G,$Q254)&amp;""),0)/IFERROR(--(INDEX('Reguler Class Availability'!$F:$F,$Q254)&amp;""),0)&gt;=0.6,"Tinggi","Sebagian"))))))</f>
        <v>Belum terisi</v>
      </c>
      <c r="F254" s="77" t="str">
        <f aca="false">IF($Q254="","",PROPER(INDEX('Reguler Class Availability'!$B:$B,$Q254)&amp;""))</f>
        <v>Tiny</v>
      </c>
      <c r="G254" s="76" t="n">
        <f aca="false">IF($Q254="","",IFERROR(--(INDEX('Reguler Class Availability'!$F:$F,$Q254)&amp;""),0))</f>
        <v>5</v>
      </c>
      <c r="H254" s="77" t="str">
        <f aca="false">IF($Q254="","",PROPER(INDEX('Reguler Class Availability'!$I:$I,$Q254)&amp;"")&amp;IF(INDEX('Reguler Class Availability'!$J:$J,$Q254)&amp;""="",""," + asst "&amp;PROPER(INDEX('Reguler Class Availability'!$J:$J,$Q254)&amp;"")))</f>
        <v/>
      </c>
      <c r="I254" s="77" t="s">
        <v>365</v>
      </c>
      <c r="J254" s="77" t="s">
        <v>186</v>
      </c>
      <c r="K254" s="78"/>
      <c r="L254" s="78"/>
      <c r="M254" s="78"/>
      <c r="N254" s="79"/>
      <c r="O254" s="78"/>
      <c r="Q254" s="30" t="n">
        <f aca="false">IFERROR(MATCH($B$4&amp;"|- Lane "&amp;D254&amp;" - "&amp;B254&amp;"|"&amp;C254,'Reguler Class Availability'!$L:$L,0),"")</f>
        <v>1207</v>
      </c>
      <c r="BD254" s="30" t="s">
        <v>121</v>
      </c>
      <c r="BE254" s="30" t="n">
        <f aca="false">IF(COUNTIFS('Reguler Class Availability'!$L:$L,$B$4&amp;"|- Lane 5 - *|"&amp;BD254)&gt;0,1,0)</f>
        <v>0</v>
      </c>
      <c r="BF254" s="30" t="n">
        <f aca="false">BE254+BF253</f>
        <v>2</v>
      </c>
    </row>
    <row r="255" customFormat="false" ht="65.25" hidden="false" customHeight="true" outlineLevel="0" collapsed="false">
      <c r="A255" s="76" t="n">
        <v>129</v>
      </c>
      <c r="B255" s="77" t="s">
        <v>119</v>
      </c>
      <c r="C255" s="76" t="s">
        <v>160</v>
      </c>
      <c r="D255" s="76" t="n">
        <v>1</v>
      </c>
      <c r="E255" s="77" t="str">
        <f aca="false">IF($Q255="","Tidak ada di data",IF(AND(IFERROR(--(INDEX('Reguler Class Availability'!$F:$F,$Q255)&amp;""),0)=0,IFERROR(--(INDEX('Reguler Class Availability'!$G:$G,$Q255)&amp;""),0)=0),"Tutup",IF(IFERROR(--(INDEX('Reguler Class Availability'!$G:$G,$Q255)&amp;""),0)&gt;IFERROR(--(INDEX('Reguler Class Availability'!$F:$F,$Q255)&amp;""),0),"Lebih",IF(IFERROR(--(INDEX('Reguler Class Availability'!$G:$G,$Q255)&amp;""),0)=IFERROR(--(INDEX('Reguler Class Availability'!$F:$F,$Q255)&amp;""),0),"Penuh",IF(IFERROR(--(INDEX('Reguler Class Availability'!$G:$G,$Q255)&amp;""),0)=0,IF(INDEX('Reguler Class Availability'!$B:$B,$Q255)&amp;""="","Kosong","Belum terisi"),IF(IFERROR(--(INDEX('Reguler Class Availability'!$G:$G,$Q255)&amp;""),0)/IFERROR(--(INDEX('Reguler Class Availability'!$F:$F,$Q255)&amp;""),0)&gt;=0.6,"Tinggi","Sebagian"))))))</f>
        <v>Belum terisi</v>
      </c>
      <c r="F255" s="77" t="str">
        <f aca="false">IF($Q255="","",PROPER(INDEX('Reguler Class Availability'!$B:$B,$Q255)&amp;""))</f>
        <v>Star</v>
      </c>
      <c r="G255" s="76" t="n">
        <f aca="false">IF($Q255="","",IFERROR(--(INDEX('Reguler Class Availability'!$F:$F,$Q255)&amp;""),0))</f>
        <v>8</v>
      </c>
      <c r="H255" s="77" t="str">
        <f aca="false">IF($Q255="","",PROPER(INDEX('Reguler Class Availability'!$I:$I,$Q255)&amp;"")&amp;IF(INDEX('Reguler Class Availability'!$J:$J,$Q255)&amp;""="",""," + asst "&amp;PROPER(INDEX('Reguler Class Availability'!$J:$J,$Q255)&amp;"")))</f>
        <v/>
      </c>
      <c r="I255" s="77" t="s">
        <v>381</v>
      </c>
      <c r="J255" s="77" t="s">
        <v>186</v>
      </c>
      <c r="K255" s="78"/>
      <c r="L255" s="78"/>
      <c r="M255" s="78"/>
      <c r="N255" s="79"/>
      <c r="O255" s="78"/>
      <c r="Q255" s="30" t="n">
        <f aca="false">IFERROR(MATCH($B$4&amp;"|- Lane "&amp;D255&amp;" - "&amp;B255&amp;"|"&amp;C255,'Reguler Class Availability'!$L:$L,0),"")</f>
        <v>1134</v>
      </c>
      <c r="BD255" s="30" t="s">
        <v>122</v>
      </c>
      <c r="BE255" s="30" t="n">
        <f aca="false">IF(COUNTIFS('Reguler Class Availability'!$L:$L,$B$4&amp;"|- Lane 5 - *|"&amp;BD255)&gt;0,1,0)</f>
        <v>0</v>
      </c>
      <c r="BF255" s="30" t="n">
        <f aca="false">BE255+BF254</f>
        <v>2</v>
      </c>
    </row>
    <row r="256" customFormat="false" ht="65.25" hidden="false" customHeight="true" outlineLevel="0" collapsed="false">
      <c r="A256" s="76" t="n">
        <v>130</v>
      </c>
      <c r="B256" s="77" t="s">
        <v>80</v>
      </c>
      <c r="C256" s="76" t="s">
        <v>91</v>
      </c>
      <c r="D256" s="76" t="n">
        <v>1</v>
      </c>
      <c r="E256" s="77" t="str">
        <f aca="false">IF($Q256="","Tidak ada di data",IF(AND(IFERROR(--(INDEX('Reguler Class Availability'!$F:$F,$Q256)&amp;""),0)=0,IFERROR(--(INDEX('Reguler Class Availability'!$G:$G,$Q256)&amp;""),0)=0),"Tutup",IF(IFERROR(--(INDEX('Reguler Class Availability'!$G:$G,$Q256)&amp;""),0)&gt;IFERROR(--(INDEX('Reguler Class Availability'!$F:$F,$Q256)&amp;""),0),"Lebih",IF(IFERROR(--(INDEX('Reguler Class Availability'!$G:$G,$Q256)&amp;""),0)=IFERROR(--(INDEX('Reguler Class Availability'!$F:$F,$Q256)&amp;""),0),"Penuh",IF(IFERROR(--(INDEX('Reguler Class Availability'!$G:$G,$Q256)&amp;""),0)=0,IF(INDEX('Reguler Class Availability'!$B:$B,$Q256)&amp;""="","Kosong","Belum terisi"),IF(IFERROR(--(INDEX('Reguler Class Availability'!$G:$G,$Q256)&amp;""),0)/IFERROR(--(INDEX('Reguler Class Availability'!$F:$F,$Q256)&amp;""),0)&gt;=0.6,"Tinggi","Sebagian"))))))</f>
        <v>Belum terisi</v>
      </c>
      <c r="F256" s="77" t="str">
        <f aca="false">IF($Q256="","",PROPER(INDEX('Reguler Class Availability'!$B:$B,$Q256)&amp;""))</f>
        <v>Star</v>
      </c>
      <c r="G256" s="76" t="n">
        <f aca="false">IF($Q256="","",IFERROR(--(INDEX('Reguler Class Availability'!$F:$F,$Q256)&amp;""),0))</f>
        <v>8</v>
      </c>
      <c r="H256" s="77" t="str">
        <f aca="false">IF($Q256="","",PROPER(INDEX('Reguler Class Availability'!$I:$I,$Q256)&amp;"")&amp;IF(INDEX('Reguler Class Availability'!$J:$J,$Q256)&amp;""="",""," + asst "&amp;PROPER(INDEX('Reguler Class Availability'!$J:$J,$Q256)&amp;"")))</f>
        <v/>
      </c>
      <c r="I256" s="77" t="s">
        <v>381</v>
      </c>
      <c r="J256" s="77" t="s">
        <v>186</v>
      </c>
      <c r="K256" s="78"/>
      <c r="L256" s="78"/>
      <c r="M256" s="78"/>
      <c r="N256" s="79"/>
      <c r="O256" s="78"/>
      <c r="Q256" s="30" t="n">
        <f aca="false">IFERROR(MATCH($B$4&amp;"|- Lane "&amp;D256&amp;" - "&amp;B256&amp;"|"&amp;C256,'Reguler Class Availability'!$L:$L,0),"")</f>
        <v>1128</v>
      </c>
      <c r="BD256" s="30" t="s">
        <v>123</v>
      </c>
      <c r="BE256" s="30" t="n">
        <f aca="false">IF(COUNTIFS('Reguler Class Availability'!$L:$L,$B$4&amp;"|- Lane 5 - *|"&amp;BD256)&gt;0,1,0)</f>
        <v>1</v>
      </c>
      <c r="BF256" s="30" t="n">
        <f aca="false">BE256+BF255</f>
        <v>3</v>
      </c>
    </row>
    <row r="257" customFormat="false" ht="40.5" hidden="false" customHeight="true" outlineLevel="0" collapsed="false">
      <c r="A257" s="76" t="n">
        <v>131</v>
      </c>
      <c r="B257" s="77" t="s">
        <v>80</v>
      </c>
      <c r="C257" s="76" t="s">
        <v>120</v>
      </c>
      <c r="D257" s="76" t="n">
        <v>5</v>
      </c>
      <c r="E257" s="77" t="str">
        <f aca="false">IF($Q257="","Tidak ada di data",IF(AND(IFERROR(--(INDEX('Reguler Class Availability'!$F:$F,$Q257)&amp;""),0)=0,IFERROR(--(INDEX('Reguler Class Availability'!$G:$G,$Q257)&amp;""),0)=0),"Tutup",IF(IFERROR(--(INDEX('Reguler Class Availability'!$G:$G,$Q257)&amp;""),0)&gt;IFERROR(--(INDEX('Reguler Class Availability'!$F:$F,$Q257)&amp;""),0),"Lebih",IF(IFERROR(--(INDEX('Reguler Class Availability'!$G:$G,$Q257)&amp;""),0)=IFERROR(--(INDEX('Reguler Class Availability'!$F:$F,$Q257)&amp;""),0),"Penuh",IF(IFERROR(--(INDEX('Reguler Class Availability'!$G:$G,$Q257)&amp;""),0)=0,IF(INDEX('Reguler Class Availability'!$B:$B,$Q257)&amp;""="","Kosong","Belum terisi"),IF(IFERROR(--(INDEX('Reguler Class Availability'!$G:$G,$Q257)&amp;""),0)/IFERROR(--(INDEX('Reguler Class Availability'!$F:$F,$Q257)&amp;""),0)&gt;=0.6,"Tinggi","Sebagian"))))))</f>
        <v>Kosong</v>
      </c>
      <c r="F257" s="77" t="str">
        <f aca="false">IF($Q257="","",PROPER(INDEX('Reguler Class Availability'!$B:$B,$Q257)&amp;""))</f>
        <v/>
      </c>
      <c r="G257" s="76" t="n">
        <f aca="false">IF($Q257="","",IFERROR(--(INDEX('Reguler Class Availability'!$F:$F,$Q257)&amp;""),0))</f>
        <v>4</v>
      </c>
      <c r="H257" s="77" t="str">
        <f aca="false">IF($Q257="","",PROPER(INDEX('Reguler Class Availability'!$I:$I,$Q257)&amp;"")&amp;IF(INDEX('Reguler Class Availability'!$J:$J,$Q257)&amp;""="",""," + asst "&amp;PROPER(INDEX('Reguler Class Availability'!$J:$J,$Q257)&amp;"")))</f>
        <v/>
      </c>
      <c r="I257" s="77" t="s">
        <v>388</v>
      </c>
      <c r="J257" s="77" t="s">
        <v>188</v>
      </c>
      <c r="K257" s="78"/>
      <c r="L257" s="78"/>
      <c r="M257" s="78"/>
      <c r="N257" s="79"/>
      <c r="O257" s="78"/>
      <c r="Q257" s="30" t="n">
        <f aca="false">IFERROR(MATCH($B$4&amp;"|- Lane "&amp;D257&amp;" - "&amp;B257&amp;"|"&amp;C257,'Reguler Class Availability'!$L:$L,0),"")</f>
        <v>1461</v>
      </c>
      <c r="BD257" s="30" t="s">
        <v>124</v>
      </c>
      <c r="BE257" s="30" t="n">
        <f aca="false">IF(COUNTIFS('Reguler Class Availability'!$L:$L,$B$4&amp;"|- Lane 5 - *|"&amp;BD257)&gt;0,1,0)</f>
        <v>0</v>
      </c>
      <c r="BF257" s="30" t="n">
        <f aca="false">BE257+BF256</f>
        <v>3</v>
      </c>
    </row>
    <row r="258" customFormat="false" ht="27.75" hidden="false" customHeight="true" outlineLevel="0" collapsed="false">
      <c r="A258" s="76" t="n">
        <v>132</v>
      </c>
      <c r="B258" s="77" t="s">
        <v>80</v>
      </c>
      <c r="C258" s="76" t="s">
        <v>121</v>
      </c>
      <c r="D258" s="76" t="n">
        <v>2</v>
      </c>
      <c r="E258" s="77" t="str">
        <f aca="false">IF($Q258="","Tidak ada di data",IF(AND(IFERROR(--(INDEX('Reguler Class Availability'!$F:$F,$Q258)&amp;""),0)=0,IFERROR(--(INDEX('Reguler Class Availability'!$G:$G,$Q258)&amp;""),0)=0),"Tutup",IF(IFERROR(--(INDEX('Reguler Class Availability'!$G:$G,$Q258)&amp;""),0)&gt;IFERROR(--(INDEX('Reguler Class Availability'!$F:$F,$Q258)&amp;""),0),"Lebih",IF(IFERROR(--(INDEX('Reguler Class Availability'!$G:$G,$Q258)&amp;""),0)=IFERROR(--(INDEX('Reguler Class Availability'!$F:$F,$Q258)&amp;""),0),"Penuh",IF(IFERROR(--(INDEX('Reguler Class Availability'!$G:$G,$Q258)&amp;""),0)=0,IF(INDEX('Reguler Class Availability'!$B:$B,$Q258)&amp;""="","Kosong","Belum terisi"),IF(IFERROR(--(INDEX('Reguler Class Availability'!$G:$G,$Q258)&amp;""),0)/IFERROR(--(INDEX('Reguler Class Availability'!$F:$F,$Q258)&amp;""),0)&gt;=0.6,"Tinggi","Sebagian"))))))</f>
        <v>Belum terisi</v>
      </c>
      <c r="F258" s="77" t="str">
        <f aca="false">IF($Q258="","",PROPER(INDEX('Reguler Class Availability'!$B:$B,$Q258)&amp;""))</f>
        <v>Tiny</v>
      </c>
      <c r="G258" s="76" t="n">
        <f aca="false">IF($Q258="","",IFERROR(--(INDEX('Reguler Class Availability'!$F:$F,$Q258)&amp;""),0))</f>
        <v>5</v>
      </c>
      <c r="H258" s="77" t="str">
        <f aca="false">IF($Q258="","",PROPER(INDEX('Reguler Class Availability'!$I:$I,$Q258)&amp;"")&amp;IF(INDEX('Reguler Class Availability'!$J:$J,$Q258)&amp;""="",""," + asst "&amp;PROPER(INDEX('Reguler Class Availability'!$J:$J,$Q258)&amp;"")))</f>
        <v/>
      </c>
      <c r="I258" s="77" t="s">
        <v>386</v>
      </c>
      <c r="J258" s="77" t="s">
        <v>188</v>
      </c>
      <c r="K258" s="78"/>
      <c r="L258" s="78"/>
      <c r="M258" s="78"/>
      <c r="N258" s="79"/>
      <c r="O258" s="78"/>
      <c r="Q258" s="30" t="n">
        <f aca="false">IFERROR(MATCH($B$4&amp;"|- Lane "&amp;D258&amp;" - "&amp;B258&amp;"|"&amp;C258,'Reguler Class Availability'!$L:$L,0),"")</f>
        <v>1209</v>
      </c>
      <c r="BD258" s="30" t="s">
        <v>125</v>
      </c>
      <c r="BE258" s="30" t="n">
        <f aca="false">IF(COUNTIFS('Reguler Class Availability'!$L:$L,$B$4&amp;"|- Lane 5 - *|"&amp;BD258)&gt;0,1,0)</f>
        <v>0</v>
      </c>
      <c r="BF258" s="30" t="n">
        <f aca="false">BE258+BF257</f>
        <v>3</v>
      </c>
    </row>
    <row r="259" customFormat="false" ht="40.5" hidden="false" customHeight="true" outlineLevel="0" collapsed="false">
      <c r="A259" s="76" t="n">
        <v>133</v>
      </c>
      <c r="B259" s="77" t="s">
        <v>80</v>
      </c>
      <c r="C259" s="76" t="s">
        <v>127</v>
      </c>
      <c r="D259" s="76" t="n">
        <v>2</v>
      </c>
      <c r="E259" s="77" t="str">
        <f aca="false">IF($Q259="","Tidak ada di data",IF(AND(IFERROR(--(INDEX('Reguler Class Availability'!$F:$F,$Q259)&amp;""),0)=0,IFERROR(--(INDEX('Reguler Class Availability'!$G:$G,$Q259)&amp;""),0)=0),"Tutup",IF(IFERROR(--(INDEX('Reguler Class Availability'!$G:$G,$Q259)&amp;""),0)&gt;IFERROR(--(INDEX('Reguler Class Availability'!$F:$F,$Q259)&amp;""),0),"Lebih",IF(IFERROR(--(INDEX('Reguler Class Availability'!$G:$G,$Q259)&amp;""),0)=IFERROR(--(INDEX('Reguler Class Availability'!$F:$F,$Q259)&amp;""),0),"Penuh",IF(IFERROR(--(INDEX('Reguler Class Availability'!$G:$G,$Q259)&amp;""),0)=0,IF(INDEX('Reguler Class Availability'!$B:$B,$Q259)&amp;""="","Kosong","Belum terisi"),IF(IFERROR(--(INDEX('Reguler Class Availability'!$G:$G,$Q259)&amp;""),0)/IFERROR(--(INDEX('Reguler Class Availability'!$F:$F,$Q259)&amp;""),0)&gt;=0.6,"Tinggi","Sebagian"))))))</f>
        <v>Belum terisi</v>
      </c>
      <c r="F259" s="77" t="str">
        <f aca="false">IF($Q259="","",PROPER(INDEX('Reguler Class Availability'!$B:$B,$Q259)&amp;""))</f>
        <v>Tiny</v>
      </c>
      <c r="G259" s="76" t="n">
        <f aca="false">IF($Q259="","",IFERROR(--(INDEX('Reguler Class Availability'!$F:$F,$Q259)&amp;""),0))</f>
        <v>5</v>
      </c>
      <c r="H259" s="77" t="str">
        <f aca="false">IF($Q259="","",PROPER(INDEX('Reguler Class Availability'!$I:$I,$Q259)&amp;"")&amp;IF(INDEX('Reguler Class Availability'!$J:$J,$Q259)&amp;""="",""," + asst "&amp;PROPER(INDEX('Reguler Class Availability'!$J:$J,$Q259)&amp;"")))</f>
        <v/>
      </c>
      <c r="I259" s="77" t="s">
        <v>389</v>
      </c>
      <c r="J259" s="77" t="s">
        <v>188</v>
      </c>
      <c r="K259" s="78"/>
      <c r="L259" s="78"/>
      <c r="M259" s="78"/>
      <c r="N259" s="79"/>
      <c r="O259" s="78"/>
      <c r="Q259" s="30" t="n">
        <f aca="false">IFERROR(MATCH($B$4&amp;"|- Lane "&amp;D259&amp;" - "&amp;B259&amp;"|"&amp;C259,'Reguler Class Availability'!$L:$L,0),"")</f>
        <v>1211</v>
      </c>
      <c r="BD259" s="30" t="s">
        <v>126</v>
      </c>
      <c r="BE259" s="30" t="n">
        <f aca="false">IF(COUNTIFS('Reguler Class Availability'!$L:$L,$B$4&amp;"|- Lane 5 - *|"&amp;BD259)&gt;0,1,0)</f>
        <v>1</v>
      </c>
      <c r="BF259" s="30" t="n">
        <f aca="false">BE259+BF258</f>
        <v>4</v>
      </c>
    </row>
    <row r="260" customFormat="false" ht="40.5" hidden="false" customHeight="true" outlineLevel="0" collapsed="false">
      <c r="A260" s="76" t="n">
        <v>134</v>
      </c>
      <c r="B260" s="77" t="s">
        <v>80</v>
      </c>
      <c r="C260" s="76" t="s">
        <v>129</v>
      </c>
      <c r="D260" s="76" t="n">
        <v>4</v>
      </c>
      <c r="E260" s="77" t="str">
        <f aca="false">IF($Q260="","Tidak ada di data",IF(AND(IFERROR(--(INDEX('Reguler Class Availability'!$F:$F,$Q260)&amp;""),0)=0,IFERROR(--(INDEX('Reguler Class Availability'!$G:$G,$Q260)&amp;""),0)=0),"Tutup",IF(IFERROR(--(INDEX('Reguler Class Availability'!$G:$G,$Q260)&amp;""),0)&gt;IFERROR(--(INDEX('Reguler Class Availability'!$F:$F,$Q260)&amp;""),0),"Lebih",IF(IFERROR(--(INDEX('Reguler Class Availability'!$G:$G,$Q260)&amp;""),0)=IFERROR(--(INDEX('Reguler Class Availability'!$F:$F,$Q260)&amp;""),0),"Penuh",IF(IFERROR(--(INDEX('Reguler Class Availability'!$G:$G,$Q260)&amp;""),0)=0,IF(INDEX('Reguler Class Availability'!$B:$B,$Q260)&amp;""="","Kosong","Belum terisi"),IF(IFERROR(--(INDEX('Reguler Class Availability'!$G:$G,$Q260)&amp;""),0)/IFERROR(--(INDEX('Reguler Class Availability'!$F:$F,$Q260)&amp;""),0)&gt;=0.6,"Tinggi","Sebagian"))))))</f>
        <v>Belum terisi</v>
      </c>
      <c r="F260" s="77" t="str">
        <f aca="false">IF($Q260="","",PROPER(INDEX('Reguler Class Availability'!$B:$B,$Q260)&amp;""))</f>
        <v>Kids</v>
      </c>
      <c r="G260" s="76" t="n">
        <f aca="false">IF($Q260="","",IFERROR(--(INDEX('Reguler Class Availability'!$F:$F,$Q260)&amp;""),0))</f>
        <v>4</v>
      </c>
      <c r="H260" s="77" t="str">
        <f aca="false">IF($Q260="","",PROPER(INDEX('Reguler Class Availability'!$I:$I,$Q260)&amp;"")&amp;IF(INDEX('Reguler Class Availability'!$J:$J,$Q260)&amp;""="",""," + asst "&amp;PROPER(INDEX('Reguler Class Availability'!$J:$J,$Q260)&amp;"")))</f>
        <v/>
      </c>
      <c r="I260" s="77" t="s">
        <v>390</v>
      </c>
      <c r="J260" s="77" t="s">
        <v>188</v>
      </c>
      <c r="K260" s="78"/>
      <c r="L260" s="78"/>
      <c r="M260" s="78"/>
      <c r="N260" s="79"/>
      <c r="O260" s="78"/>
      <c r="Q260" s="30" t="n">
        <f aca="false">IFERROR(MATCH($B$4&amp;"|- Lane "&amp;D260&amp;" - "&amp;B260&amp;"|"&amp;C260,'Reguler Class Availability'!$L:$L,0),"")</f>
        <v>1380</v>
      </c>
      <c r="BD260" s="30" t="s">
        <v>127</v>
      </c>
      <c r="BE260" s="30" t="n">
        <f aca="false">IF(COUNTIFS('Reguler Class Availability'!$L:$L,$B$4&amp;"|- Lane 5 - *|"&amp;BD260)&gt;0,1,0)</f>
        <v>0</v>
      </c>
      <c r="BF260" s="30" t="n">
        <f aca="false">BE260+BF259</f>
        <v>4</v>
      </c>
    </row>
    <row r="261" customFormat="false" ht="40.5" hidden="false" customHeight="true" outlineLevel="0" collapsed="false">
      <c r="A261" s="76" t="n">
        <v>135</v>
      </c>
      <c r="B261" s="77" t="s">
        <v>80</v>
      </c>
      <c r="C261" s="76" t="s">
        <v>129</v>
      </c>
      <c r="D261" s="76" t="n">
        <v>5</v>
      </c>
      <c r="E261" s="77" t="str">
        <f aca="false">IF($Q261="","Tidak ada di data",IF(AND(IFERROR(--(INDEX('Reguler Class Availability'!$F:$F,$Q261)&amp;""),0)=0,IFERROR(--(INDEX('Reguler Class Availability'!$G:$G,$Q261)&amp;""),0)=0),"Tutup",IF(IFERROR(--(INDEX('Reguler Class Availability'!$G:$G,$Q261)&amp;""),0)&gt;IFERROR(--(INDEX('Reguler Class Availability'!$F:$F,$Q261)&amp;""),0),"Lebih",IF(IFERROR(--(INDEX('Reguler Class Availability'!$G:$G,$Q261)&amp;""),0)=IFERROR(--(INDEX('Reguler Class Availability'!$F:$F,$Q261)&amp;""),0),"Penuh",IF(IFERROR(--(INDEX('Reguler Class Availability'!$G:$G,$Q261)&amp;""),0)=0,IF(INDEX('Reguler Class Availability'!$B:$B,$Q261)&amp;""="","Kosong","Belum terisi"),IF(IFERROR(--(INDEX('Reguler Class Availability'!$G:$G,$Q261)&amp;""),0)/IFERROR(--(INDEX('Reguler Class Availability'!$F:$F,$Q261)&amp;""),0)&gt;=0.6,"Tinggi","Sebagian"))))))</f>
        <v>Kosong</v>
      </c>
      <c r="F261" s="77" t="str">
        <f aca="false">IF($Q261="","",PROPER(INDEX('Reguler Class Availability'!$B:$B,$Q261)&amp;""))</f>
        <v/>
      </c>
      <c r="G261" s="76" t="n">
        <f aca="false">IF($Q261="","",IFERROR(--(INDEX('Reguler Class Availability'!$F:$F,$Q261)&amp;""),0))</f>
        <v>4</v>
      </c>
      <c r="H261" s="77" t="str">
        <f aca="false">IF($Q261="","",PROPER(INDEX('Reguler Class Availability'!$I:$I,$Q261)&amp;"")&amp;IF(INDEX('Reguler Class Availability'!$J:$J,$Q261)&amp;""="",""," + asst "&amp;PROPER(INDEX('Reguler Class Availability'!$J:$J,$Q261)&amp;"")))</f>
        <v/>
      </c>
      <c r="I261" s="77" t="s">
        <v>390</v>
      </c>
      <c r="J261" s="77" t="s">
        <v>188</v>
      </c>
      <c r="K261" s="78"/>
      <c r="L261" s="78"/>
      <c r="M261" s="78"/>
      <c r="N261" s="79"/>
      <c r="O261" s="78"/>
      <c r="Q261" s="30" t="n">
        <f aca="false">IFERROR(MATCH($B$4&amp;"|- Lane "&amp;D261&amp;" - "&amp;B261&amp;"|"&amp;C261,'Reguler Class Availability'!$L:$L,0),"")</f>
        <v>1464</v>
      </c>
      <c r="BD261" s="30" t="s">
        <v>128</v>
      </c>
      <c r="BE261" s="30" t="n">
        <f aca="false">IF(COUNTIFS('Reguler Class Availability'!$L:$L,$B$4&amp;"|- Lane 5 - *|"&amp;BD261)&gt;0,1,0)</f>
        <v>0</v>
      </c>
      <c r="BF261" s="30" t="n">
        <f aca="false">BE261+BF260</f>
        <v>4</v>
      </c>
    </row>
    <row r="262" customFormat="false" ht="40.5" hidden="false" customHeight="true" outlineLevel="0" collapsed="false">
      <c r="A262" s="76" t="n">
        <v>136</v>
      </c>
      <c r="B262" s="77" t="s">
        <v>80</v>
      </c>
      <c r="C262" s="76" t="s">
        <v>130</v>
      </c>
      <c r="D262" s="76" t="n">
        <v>1</v>
      </c>
      <c r="E262" s="77" t="str">
        <f aca="false">IF($Q262="","Tidak ada di data",IF(AND(IFERROR(--(INDEX('Reguler Class Availability'!$F:$F,$Q262)&amp;""),0)=0,IFERROR(--(INDEX('Reguler Class Availability'!$G:$G,$Q262)&amp;""),0)=0),"Tutup",IF(IFERROR(--(INDEX('Reguler Class Availability'!$G:$G,$Q262)&amp;""),0)&gt;IFERROR(--(INDEX('Reguler Class Availability'!$F:$F,$Q262)&amp;""),0),"Lebih",IF(IFERROR(--(INDEX('Reguler Class Availability'!$G:$G,$Q262)&amp;""),0)=IFERROR(--(INDEX('Reguler Class Availability'!$F:$F,$Q262)&amp;""),0),"Penuh",IF(IFERROR(--(INDEX('Reguler Class Availability'!$G:$G,$Q262)&amp;""),0)=0,IF(INDEX('Reguler Class Availability'!$B:$B,$Q262)&amp;""="","Kosong","Belum terisi"),IF(IFERROR(--(INDEX('Reguler Class Availability'!$G:$G,$Q262)&amp;""),0)/IFERROR(--(INDEX('Reguler Class Availability'!$F:$F,$Q262)&amp;""),0)&gt;=0.6,"Tinggi","Sebagian"))))))</f>
        <v>Belum terisi</v>
      </c>
      <c r="F262" s="77" t="str">
        <f aca="false">IF($Q262="","",PROPER(INDEX('Reguler Class Availability'!$B:$B,$Q262)&amp;""))</f>
        <v>Baby</v>
      </c>
      <c r="G262" s="76" t="n">
        <f aca="false">IF($Q262="","",IFERROR(--(INDEX('Reguler Class Availability'!$F:$F,$Q262)&amp;""),0))</f>
        <v>5</v>
      </c>
      <c r="H262" s="77" t="str">
        <f aca="false">IF($Q262="","",PROPER(INDEX('Reguler Class Availability'!$I:$I,$Q262)&amp;"")&amp;IF(INDEX('Reguler Class Availability'!$J:$J,$Q262)&amp;""="",""," + asst "&amp;PROPER(INDEX('Reguler Class Availability'!$J:$J,$Q262)&amp;"")))</f>
        <v/>
      </c>
      <c r="I262" s="77" t="s">
        <v>385</v>
      </c>
      <c r="J262" s="77" t="s">
        <v>186</v>
      </c>
      <c r="K262" s="78"/>
      <c r="L262" s="78"/>
      <c r="M262" s="78"/>
      <c r="N262" s="79"/>
      <c r="O262" s="78"/>
      <c r="Q262" s="30" t="n">
        <f aca="false">IFERROR(MATCH($B$4&amp;"|- Lane "&amp;D262&amp;" - "&amp;B262&amp;"|"&amp;C262,'Reguler Class Availability'!$L:$L,0),"")</f>
        <v>1114</v>
      </c>
      <c r="BD262" s="30" t="s">
        <v>129</v>
      </c>
      <c r="BE262" s="30" t="n">
        <f aca="false">IF(COUNTIFS('Reguler Class Availability'!$L:$L,$B$4&amp;"|- Lane 5 - *|"&amp;BD262)&gt;0,1,0)</f>
        <v>1</v>
      </c>
      <c r="BF262" s="30" t="n">
        <f aca="false">BE262+BF261</f>
        <v>5</v>
      </c>
    </row>
    <row r="263" customFormat="false" ht="40.5" hidden="false" customHeight="true" outlineLevel="0" collapsed="false">
      <c r="A263" s="76" t="n">
        <v>137</v>
      </c>
      <c r="B263" s="77" t="s">
        <v>80</v>
      </c>
      <c r="C263" s="76" t="s">
        <v>132</v>
      </c>
      <c r="D263" s="76" t="n">
        <v>5</v>
      </c>
      <c r="E263" s="77" t="str">
        <f aca="false">IF($Q263="","Tidak ada di data",IF(AND(IFERROR(--(INDEX('Reguler Class Availability'!$F:$F,$Q263)&amp;""),0)=0,IFERROR(--(INDEX('Reguler Class Availability'!$G:$G,$Q263)&amp;""),0)=0),"Tutup",IF(IFERROR(--(INDEX('Reguler Class Availability'!$G:$G,$Q263)&amp;""),0)&gt;IFERROR(--(INDEX('Reguler Class Availability'!$F:$F,$Q263)&amp;""),0),"Lebih",IF(IFERROR(--(INDEX('Reguler Class Availability'!$G:$G,$Q263)&amp;""),0)=IFERROR(--(INDEX('Reguler Class Availability'!$F:$F,$Q263)&amp;""),0),"Penuh",IF(IFERROR(--(INDEX('Reguler Class Availability'!$G:$G,$Q263)&amp;""),0)=0,IF(INDEX('Reguler Class Availability'!$B:$B,$Q263)&amp;""="","Kosong","Belum terisi"),IF(IFERROR(--(INDEX('Reguler Class Availability'!$G:$G,$Q263)&amp;""),0)/IFERROR(--(INDEX('Reguler Class Availability'!$F:$F,$Q263)&amp;""),0)&gt;=0.6,"Tinggi","Sebagian"))))))</f>
        <v>Kosong</v>
      </c>
      <c r="F263" s="77" t="str">
        <f aca="false">IF($Q263="","",PROPER(INDEX('Reguler Class Availability'!$B:$B,$Q263)&amp;""))</f>
        <v/>
      </c>
      <c r="G263" s="76" t="n">
        <f aca="false">IF($Q263="","",IFERROR(--(INDEX('Reguler Class Availability'!$F:$F,$Q263)&amp;""),0))</f>
        <v>4</v>
      </c>
      <c r="H263" s="77" t="str">
        <f aca="false">IF($Q263="","",PROPER(INDEX('Reguler Class Availability'!$I:$I,$Q263)&amp;"")&amp;IF(INDEX('Reguler Class Availability'!$J:$J,$Q263)&amp;""="",""," + asst "&amp;PROPER(INDEX('Reguler Class Availability'!$J:$J,$Q263)&amp;"")))</f>
        <v/>
      </c>
      <c r="I263" s="77" t="s">
        <v>385</v>
      </c>
      <c r="J263" s="77" t="s">
        <v>186</v>
      </c>
      <c r="K263" s="78"/>
      <c r="L263" s="78"/>
      <c r="M263" s="78"/>
      <c r="N263" s="79"/>
      <c r="O263" s="78"/>
      <c r="Q263" s="30" t="n">
        <f aca="false">IFERROR(MATCH($B$4&amp;"|- Lane "&amp;D263&amp;" - "&amp;B263&amp;"|"&amp;C263,'Reguler Class Availability'!$L:$L,0),"")</f>
        <v>1465</v>
      </c>
      <c r="BD263" s="30" t="s">
        <v>130</v>
      </c>
      <c r="BE263" s="30" t="n">
        <f aca="false">IF(COUNTIFS('Reguler Class Availability'!$L:$L,$B$4&amp;"|- Lane 5 - *|"&amp;BD263)&gt;0,1,0)</f>
        <v>0</v>
      </c>
      <c r="BF263" s="30" t="n">
        <f aca="false">BE263+BF262</f>
        <v>5</v>
      </c>
    </row>
    <row r="264" customFormat="false" ht="52.5" hidden="false" customHeight="true" outlineLevel="0" collapsed="false">
      <c r="A264" s="76" t="n">
        <v>138</v>
      </c>
      <c r="B264" s="77" t="s">
        <v>80</v>
      </c>
      <c r="C264" s="76" t="s">
        <v>133</v>
      </c>
      <c r="D264" s="76" t="n">
        <v>1</v>
      </c>
      <c r="E264" s="77" t="str">
        <f aca="false">IF($Q264="","Tidak ada di data",IF(AND(IFERROR(--(INDEX('Reguler Class Availability'!$F:$F,$Q264)&amp;""),0)=0,IFERROR(--(INDEX('Reguler Class Availability'!$G:$G,$Q264)&amp;""),0)=0),"Tutup",IF(IFERROR(--(INDEX('Reguler Class Availability'!$G:$G,$Q264)&amp;""),0)&gt;IFERROR(--(INDEX('Reguler Class Availability'!$F:$F,$Q264)&amp;""),0),"Lebih",IF(IFERROR(--(INDEX('Reguler Class Availability'!$G:$G,$Q264)&amp;""),0)=IFERROR(--(INDEX('Reguler Class Availability'!$F:$F,$Q264)&amp;""),0),"Penuh",IF(IFERROR(--(INDEX('Reguler Class Availability'!$G:$G,$Q264)&amp;""),0)=0,IF(INDEX('Reguler Class Availability'!$B:$B,$Q264)&amp;""="","Kosong","Belum terisi"),IF(IFERROR(--(INDEX('Reguler Class Availability'!$G:$G,$Q264)&amp;""),0)/IFERROR(--(INDEX('Reguler Class Availability'!$F:$F,$Q264)&amp;""),0)&gt;=0.6,"Tinggi","Sebagian"))))))</f>
        <v>Belum terisi</v>
      </c>
      <c r="F264" s="77" t="str">
        <f aca="false">IF($Q264="","",PROPER(INDEX('Reguler Class Availability'!$B:$B,$Q264)&amp;""))</f>
        <v>Baby</v>
      </c>
      <c r="G264" s="76" t="n">
        <f aca="false">IF($Q264="","",IFERROR(--(INDEX('Reguler Class Availability'!$F:$F,$Q264)&amp;""),0))</f>
        <v>5</v>
      </c>
      <c r="H264" s="77" t="str">
        <f aca="false">IF($Q264="","",PROPER(INDEX('Reguler Class Availability'!$I:$I,$Q264)&amp;"")&amp;IF(INDEX('Reguler Class Availability'!$J:$J,$Q264)&amp;""="",""," + asst "&amp;PROPER(INDEX('Reguler Class Availability'!$J:$J,$Q264)&amp;"")))</f>
        <v/>
      </c>
      <c r="I264" s="77" t="s">
        <v>391</v>
      </c>
      <c r="J264" s="77" t="s">
        <v>186</v>
      </c>
      <c r="K264" s="78"/>
      <c r="L264" s="78"/>
      <c r="M264" s="78"/>
      <c r="N264" s="79"/>
      <c r="O264" s="78"/>
      <c r="Q264" s="30" t="n">
        <f aca="false">IFERROR(MATCH($B$4&amp;"|- Lane "&amp;D264&amp;" - "&amp;B264&amp;"|"&amp;C264,'Reguler Class Availability'!$L:$L,0),"")</f>
        <v>1115</v>
      </c>
      <c r="BD264" s="30" t="s">
        <v>131</v>
      </c>
      <c r="BE264" s="30" t="n">
        <f aca="false">IF(COUNTIFS('Reguler Class Availability'!$L:$L,$B$4&amp;"|- Lane 5 - *|"&amp;BD264)&gt;0,1,0)</f>
        <v>0</v>
      </c>
      <c r="BF264" s="30" t="n">
        <f aca="false">BE264+BF263</f>
        <v>5</v>
      </c>
    </row>
    <row r="265" customFormat="false" ht="52.5" hidden="false" customHeight="true" outlineLevel="0" collapsed="false">
      <c r="A265" s="76" t="n">
        <v>139</v>
      </c>
      <c r="B265" s="77" t="s">
        <v>80</v>
      </c>
      <c r="C265" s="76" t="s">
        <v>133</v>
      </c>
      <c r="D265" s="76" t="n">
        <v>2</v>
      </c>
      <c r="E265" s="77" t="str">
        <f aca="false">IF($Q265="","Tidak ada di data",IF(AND(IFERROR(--(INDEX('Reguler Class Availability'!$F:$F,$Q265)&amp;""),0)=0,IFERROR(--(INDEX('Reguler Class Availability'!$G:$G,$Q265)&amp;""),0)=0),"Tutup",IF(IFERROR(--(INDEX('Reguler Class Availability'!$G:$G,$Q265)&amp;""),0)&gt;IFERROR(--(INDEX('Reguler Class Availability'!$F:$F,$Q265)&amp;""),0),"Lebih",IF(IFERROR(--(INDEX('Reguler Class Availability'!$G:$G,$Q265)&amp;""),0)=IFERROR(--(INDEX('Reguler Class Availability'!$F:$F,$Q265)&amp;""),0),"Penuh",IF(IFERROR(--(INDEX('Reguler Class Availability'!$G:$G,$Q265)&amp;""),0)=0,IF(INDEX('Reguler Class Availability'!$B:$B,$Q265)&amp;""="","Kosong","Belum terisi"),IF(IFERROR(--(INDEX('Reguler Class Availability'!$G:$G,$Q265)&amp;""),0)/IFERROR(--(INDEX('Reguler Class Availability'!$F:$F,$Q265)&amp;""),0)&gt;=0.6,"Tinggi","Sebagian"))))))</f>
        <v>Belum terisi</v>
      </c>
      <c r="F265" s="77" t="str">
        <f aca="false">IF($Q265="","",PROPER(INDEX('Reguler Class Availability'!$B:$B,$Q265)&amp;""))</f>
        <v>Tiny</v>
      </c>
      <c r="G265" s="76" t="n">
        <f aca="false">IF($Q265="","",IFERROR(--(INDEX('Reguler Class Availability'!$F:$F,$Q265)&amp;""),0))</f>
        <v>5</v>
      </c>
      <c r="H265" s="77" t="str">
        <f aca="false">IF($Q265="","",PROPER(INDEX('Reguler Class Availability'!$I:$I,$Q265)&amp;"")&amp;IF(INDEX('Reguler Class Availability'!$J:$J,$Q265)&amp;""="",""," + asst "&amp;PROPER(INDEX('Reguler Class Availability'!$J:$J,$Q265)&amp;"")))</f>
        <v/>
      </c>
      <c r="I265" s="77" t="s">
        <v>391</v>
      </c>
      <c r="J265" s="77" t="s">
        <v>186</v>
      </c>
      <c r="K265" s="78"/>
      <c r="L265" s="78"/>
      <c r="M265" s="78"/>
      <c r="N265" s="79"/>
      <c r="O265" s="78"/>
      <c r="Q265" s="30" t="n">
        <f aca="false">IFERROR(MATCH($B$4&amp;"|- Lane "&amp;D265&amp;" - "&amp;B265&amp;"|"&amp;C265,'Reguler Class Availability'!$L:$L,0),"")</f>
        <v>1213</v>
      </c>
      <c r="BD265" s="30" t="s">
        <v>132</v>
      </c>
      <c r="BE265" s="30" t="n">
        <f aca="false">IF(COUNTIFS('Reguler Class Availability'!$L:$L,$B$4&amp;"|- Lane 5 - *|"&amp;BD265)&gt;0,1,0)</f>
        <v>1</v>
      </c>
      <c r="BF265" s="30" t="n">
        <f aca="false">BE265+BF264</f>
        <v>6</v>
      </c>
    </row>
    <row r="266" customFormat="false" ht="40.5" hidden="false" customHeight="true" outlineLevel="0" collapsed="false">
      <c r="A266" s="76" t="n">
        <v>140</v>
      </c>
      <c r="B266" s="77" t="s">
        <v>80</v>
      </c>
      <c r="C266" s="76" t="s">
        <v>139</v>
      </c>
      <c r="D266" s="76" t="n">
        <v>5</v>
      </c>
      <c r="E266" s="77" t="str">
        <f aca="false">IF($Q266="","Tidak ada di data",IF(AND(IFERROR(--(INDEX('Reguler Class Availability'!$F:$F,$Q266)&amp;""),0)=0,IFERROR(--(INDEX('Reguler Class Availability'!$G:$G,$Q266)&amp;""),0)=0),"Tutup",IF(IFERROR(--(INDEX('Reguler Class Availability'!$G:$G,$Q266)&amp;""),0)&gt;IFERROR(--(INDEX('Reguler Class Availability'!$F:$F,$Q266)&amp;""),0),"Lebih",IF(IFERROR(--(INDEX('Reguler Class Availability'!$G:$G,$Q266)&amp;""),0)=IFERROR(--(INDEX('Reguler Class Availability'!$F:$F,$Q266)&amp;""),0),"Penuh",IF(IFERROR(--(INDEX('Reguler Class Availability'!$G:$G,$Q266)&amp;""),0)=0,IF(INDEX('Reguler Class Availability'!$B:$B,$Q266)&amp;""="","Kosong","Belum terisi"),IF(IFERROR(--(INDEX('Reguler Class Availability'!$G:$G,$Q266)&amp;""),0)/IFERROR(--(INDEX('Reguler Class Availability'!$F:$F,$Q266)&amp;""),0)&gt;=0.6,"Tinggi","Sebagian"))))))</f>
        <v>Kosong</v>
      </c>
      <c r="F266" s="77" t="str">
        <f aca="false">IF($Q266="","",PROPER(INDEX('Reguler Class Availability'!$B:$B,$Q266)&amp;""))</f>
        <v/>
      </c>
      <c r="G266" s="76" t="n">
        <f aca="false">IF($Q266="","",IFERROR(--(INDEX('Reguler Class Availability'!$F:$F,$Q266)&amp;""),0))</f>
        <v>4</v>
      </c>
      <c r="H266" s="77" t="str">
        <f aca="false">IF($Q266="","",PROPER(INDEX('Reguler Class Availability'!$I:$I,$Q266)&amp;"")&amp;IF(INDEX('Reguler Class Availability'!$J:$J,$Q266)&amp;""="",""," + asst "&amp;PROPER(INDEX('Reguler Class Availability'!$J:$J,$Q266)&amp;"")))</f>
        <v/>
      </c>
      <c r="I266" s="77" t="s">
        <v>392</v>
      </c>
      <c r="J266" s="77" t="s">
        <v>186</v>
      </c>
      <c r="K266" s="78"/>
      <c r="L266" s="78"/>
      <c r="M266" s="78"/>
      <c r="N266" s="79"/>
      <c r="O266" s="78"/>
      <c r="Q266" s="30" t="n">
        <f aca="false">IFERROR(MATCH($B$4&amp;"|- Lane "&amp;D266&amp;" - "&amp;B266&amp;"|"&amp;C266,'Reguler Class Availability'!$L:$L,0),"")</f>
        <v>1466</v>
      </c>
      <c r="BD266" s="30" t="s">
        <v>133</v>
      </c>
      <c r="BE266" s="30" t="n">
        <f aca="false">IF(COUNTIFS('Reguler Class Availability'!$L:$L,$B$4&amp;"|- Lane 5 - *|"&amp;BD266)&gt;0,1,0)</f>
        <v>0</v>
      </c>
      <c r="BF266" s="30" t="n">
        <f aca="false">BE266+BF265</f>
        <v>6</v>
      </c>
    </row>
    <row r="267" customFormat="false" ht="40.5" hidden="false" customHeight="true" outlineLevel="0" collapsed="false">
      <c r="A267" s="76" t="n">
        <v>141</v>
      </c>
      <c r="B267" s="77" t="s">
        <v>80</v>
      </c>
      <c r="C267" s="76" t="s">
        <v>141</v>
      </c>
      <c r="D267" s="76" t="n">
        <v>2</v>
      </c>
      <c r="E267" s="77" t="str">
        <f aca="false">IF($Q267="","Tidak ada di data",IF(AND(IFERROR(--(INDEX('Reguler Class Availability'!$F:$F,$Q267)&amp;""),0)=0,IFERROR(--(INDEX('Reguler Class Availability'!$G:$G,$Q267)&amp;""),0)=0),"Tutup",IF(IFERROR(--(INDEX('Reguler Class Availability'!$G:$G,$Q267)&amp;""),0)&gt;IFERROR(--(INDEX('Reguler Class Availability'!$F:$F,$Q267)&amp;""),0),"Lebih",IF(IFERROR(--(INDEX('Reguler Class Availability'!$G:$G,$Q267)&amp;""),0)=IFERROR(--(INDEX('Reguler Class Availability'!$F:$F,$Q267)&amp;""),0),"Penuh",IF(IFERROR(--(INDEX('Reguler Class Availability'!$G:$G,$Q267)&amp;""),0)=0,IF(INDEX('Reguler Class Availability'!$B:$B,$Q267)&amp;""="","Kosong","Belum terisi"),IF(IFERROR(--(INDEX('Reguler Class Availability'!$G:$G,$Q267)&amp;""),0)/IFERROR(--(INDEX('Reguler Class Availability'!$F:$F,$Q267)&amp;""),0)&gt;=0.6,"Tinggi","Sebagian"))))))</f>
        <v>Belum terisi</v>
      </c>
      <c r="F267" s="77" t="str">
        <f aca="false">IF($Q267="","",PROPER(INDEX('Reguler Class Availability'!$B:$B,$Q267)&amp;""))</f>
        <v>Tiny</v>
      </c>
      <c r="G267" s="76" t="n">
        <f aca="false">IF($Q267="","",IFERROR(--(INDEX('Reguler Class Availability'!$F:$F,$Q267)&amp;""),0))</f>
        <v>5</v>
      </c>
      <c r="H267" s="77" t="str">
        <f aca="false">IF($Q267="","",PROPER(INDEX('Reguler Class Availability'!$I:$I,$Q267)&amp;"")&amp;IF(INDEX('Reguler Class Availability'!$J:$J,$Q267)&amp;""="",""," + asst "&amp;PROPER(INDEX('Reguler Class Availability'!$J:$J,$Q267)&amp;"")))</f>
        <v/>
      </c>
      <c r="I267" s="77" t="s">
        <v>392</v>
      </c>
      <c r="J267" s="77" t="s">
        <v>186</v>
      </c>
      <c r="K267" s="78"/>
      <c r="L267" s="78"/>
      <c r="M267" s="78"/>
      <c r="N267" s="79"/>
      <c r="O267" s="78"/>
      <c r="Q267" s="30" t="n">
        <f aca="false">IFERROR(MATCH($B$4&amp;"|- Lane "&amp;D267&amp;" - "&amp;B267&amp;"|"&amp;C267,'Reguler Class Availability'!$L:$L,0),"")</f>
        <v>1214</v>
      </c>
      <c r="BD267" s="30" t="s">
        <v>134</v>
      </c>
      <c r="BE267" s="30" t="n">
        <f aca="false">IF(COUNTIFS('Reguler Class Availability'!$L:$L,$B$4&amp;"|- Lane 5 - *|"&amp;BD267)&gt;0,1,0)</f>
        <v>0</v>
      </c>
      <c r="BF267" s="30" t="n">
        <f aca="false">BE267+BF266</f>
        <v>6</v>
      </c>
    </row>
    <row r="268" customFormat="false" ht="52.5" hidden="false" customHeight="true" outlineLevel="0" collapsed="false">
      <c r="A268" s="76" t="n">
        <v>142</v>
      </c>
      <c r="B268" s="77" t="s">
        <v>80</v>
      </c>
      <c r="C268" s="76" t="s">
        <v>143</v>
      </c>
      <c r="D268" s="76" t="n">
        <v>5</v>
      </c>
      <c r="E268" s="77" t="str">
        <f aca="false">IF($Q268="","Tidak ada di data",IF(AND(IFERROR(--(INDEX('Reguler Class Availability'!$F:$F,$Q268)&amp;""),0)=0,IFERROR(--(INDEX('Reguler Class Availability'!$G:$G,$Q268)&amp;""),0)=0),"Tutup",IF(IFERROR(--(INDEX('Reguler Class Availability'!$G:$G,$Q268)&amp;""),0)&gt;IFERROR(--(INDEX('Reguler Class Availability'!$F:$F,$Q268)&amp;""),0),"Lebih",IF(IFERROR(--(INDEX('Reguler Class Availability'!$G:$G,$Q268)&amp;""),0)=IFERROR(--(INDEX('Reguler Class Availability'!$F:$F,$Q268)&amp;""),0),"Penuh",IF(IFERROR(--(INDEX('Reguler Class Availability'!$G:$G,$Q268)&amp;""),0)=0,IF(INDEX('Reguler Class Availability'!$B:$B,$Q268)&amp;""="","Kosong","Belum terisi"),IF(IFERROR(--(INDEX('Reguler Class Availability'!$G:$G,$Q268)&amp;""),0)/IFERROR(--(INDEX('Reguler Class Availability'!$F:$F,$Q268)&amp;""),0)&gt;=0.6,"Tinggi","Sebagian"))))))</f>
        <v>Kosong</v>
      </c>
      <c r="F268" s="77" t="str">
        <f aca="false">IF($Q268="","",PROPER(INDEX('Reguler Class Availability'!$B:$B,$Q268)&amp;""))</f>
        <v/>
      </c>
      <c r="G268" s="76" t="n">
        <f aca="false">IF($Q268="","",IFERROR(--(INDEX('Reguler Class Availability'!$F:$F,$Q268)&amp;""),0))</f>
        <v>4</v>
      </c>
      <c r="H268" s="77" t="str">
        <f aca="false">IF($Q268="","",PROPER(INDEX('Reguler Class Availability'!$I:$I,$Q268)&amp;"")&amp;IF(INDEX('Reguler Class Availability'!$J:$J,$Q268)&amp;""="",""," + asst "&amp;PROPER(INDEX('Reguler Class Availability'!$J:$J,$Q268)&amp;"")))</f>
        <v/>
      </c>
      <c r="I268" s="77" t="s">
        <v>383</v>
      </c>
      <c r="J268" s="77" t="s">
        <v>186</v>
      </c>
      <c r="K268" s="78"/>
      <c r="L268" s="78"/>
      <c r="M268" s="78"/>
      <c r="N268" s="79"/>
      <c r="O268" s="78"/>
      <c r="Q268" s="30" t="n">
        <f aca="false">IFERROR(MATCH($B$4&amp;"|- Lane "&amp;D268&amp;" - "&amp;B268&amp;"|"&amp;C268,'Reguler Class Availability'!$L:$L,0),"")</f>
        <v>1467</v>
      </c>
      <c r="BD268" s="30" t="s">
        <v>135</v>
      </c>
      <c r="BE268" s="30" t="n">
        <f aca="false">IF(COUNTIFS('Reguler Class Availability'!$L:$L,$B$4&amp;"|- Lane 5 - *|"&amp;BD268)&gt;0,1,0)</f>
        <v>0</v>
      </c>
      <c r="BF268" s="30" t="n">
        <f aca="false">BE268+BF267</f>
        <v>6</v>
      </c>
    </row>
    <row r="269" customFormat="false" ht="27.75" hidden="false" customHeight="true" outlineLevel="0" collapsed="false">
      <c r="A269" s="76" t="n">
        <v>143</v>
      </c>
      <c r="B269" s="77" t="s">
        <v>80</v>
      </c>
      <c r="C269" s="76" t="s">
        <v>144</v>
      </c>
      <c r="D269" s="76" t="n">
        <v>1</v>
      </c>
      <c r="E269" s="77" t="str">
        <f aca="false">IF($Q269="","Tidak ada di data",IF(AND(IFERROR(--(INDEX('Reguler Class Availability'!$F:$F,$Q269)&amp;""),0)=0,IFERROR(--(INDEX('Reguler Class Availability'!$G:$G,$Q269)&amp;""),0)=0),"Tutup",IF(IFERROR(--(INDEX('Reguler Class Availability'!$G:$G,$Q269)&amp;""),0)&gt;IFERROR(--(INDEX('Reguler Class Availability'!$F:$F,$Q269)&amp;""),0),"Lebih",IF(IFERROR(--(INDEX('Reguler Class Availability'!$G:$G,$Q269)&amp;""),0)=IFERROR(--(INDEX('Reguler Class Availability'!$F:$F,$Q269)&amp;""),0),"Penuh",IF(IFERROR(--(INDEX('Reguler Class Availability'!$G:$G,$Q269)&amp;""),0)=0,IF(INDEX('Reguler Class Availability'!$B:$B,$Q269)&amp;""="","Kosong","Belum terisi"),IF(IFERROR(--(INDEX('Reguler Class Availability'!$G:$G,$Q269)&amp;""),0)/IFERROR(--(INDEX('Reguler Class Availability'!$F:$F,$Q269)&amp;""),0)&gt;=0.6,"Tinggi","Sebagian"))))))</f>
        <v>Belum terisi</v>
      </c>
      <c r="F269" s="77" t="str">
        <f aca="false">IF($Q269="","",PROPER(INDEX('Reguler Class Availability'!$B:$B,$Q269)&amp;""))</f>
        <v>Baby</v>
      </c>
      <c r="G269" s="76" t="n">
        <f aca="false">IF($Q269="","",IFERROR(--(INDEX('Reguler Class Availability'!$F:$F,$Q269)&amp;""),0))</f>
        <v>5</v>
      </c>
      <c r="H269" s="77" t="str">
        <f aca="false">IF($Q269="","",PROPER(INDEX('Reguler Class Availability'!$I:$I,$Q269)&amp;"")&amp;IF(INDEX('Reguler Class Availability'!$J:$J,$Q269)&amp;""="",""," + asst "&amp;PROPER(INDEX('Reguler Class Availability'!$J:$J,$Q269)&amp;"")))</f>
        <v/>
      </c>
      <c r="I269" s="77" t="s">
        <v>393</v>
      </c>
      <c r="J269" s="77" t="s">
        <v>188</v>
      </c>
      <c r="K269" s="78"/>
      <c r="L269" s="78"/>
      <c r="M269" s="78"/>
      <c r="N269" s="79"/>
      <c r="O269" s="78"/>
      <c r="Q269" s="30" t="n">
        <f aca="false">IFERROR(MATCH($B$4&amp;"|- Lane "&amp;D269&amp;" - "&amp;B269&amp;"|"&amp;C269,'Reguler Class Availability'!$L:$L,0),"")</f>
        <v>1117</v>
      </c>
      <c r="BD269" s="30" t="s">
        <v>136</v>
      </c>
      <c r="BE269" s="30" t="n">
        <f aca="false">IF(COUNTIFS('Reguler Class Availability'!$L:$L,$B$4&amp;"|- Lane 5 - *|"&amp;BD269)&gt;0,1,0)</f>
        <v>0</v>
      </c>
      <c r="BF269" s="30" t="n">
        <f aca="false">BE269+BF268</f>
        <v>6</v>
      </c>
    </row>
    <row r="270" customFormat="false" ht="27.75" hidden="false" customHeight="true" outlineLevel="0" collapsed="false">
      <c r="A270" s="76" t="n">
        <v>144</v>
      </c>
      <c r="B270" s="77" t="s">
        <v>80</v>
      </c>
      <c r="C270" s="76" t="s">
        <v>144</v>
      </c>
      <c r="D270" s="76" t="n">
        <v>2</v>
      </c>
      <c r="E270" s="77" t="str">
        <f aca="false">IF($Q270="","Tidak ada di data",IF(AND(IFERROR(--(INDEX('Reguler Class Availability'!$F:$F,$Q270)&amp;""),0)=0,IFERROR(--(INDEX('Reguler Class Availability'!$G:$G,$Q270)&amp;""),0)=0),"Tutup",IF(IFERROR(--(INDEX('Reguler Class Availability'!$G:$G,$Q270)&amp;""),0)&gt;IFERROR(--(INDEX('Reguler Class Availability'!$F:$F,$Q270)&amp;""),0),"Lebih",IF(IFERROR(--(INDEX('Reguler Class Availability'!$G:$G,$Q270)&amp;""),0)=IFERROR(--(INDEX('Reguler Class Availability'!$F:$F,$Q270)&amp;""),0),"Penuh",IF(IFERROR(--(INDEX('Reguler Class Availability'!$G:$G,$Q270)&amp;""),0)=0,IF(INDEX('Reguler Class Availability'!$B:$B,$Q270)&amp;""="","Kosong","Belum terisi"),IF(IFERROR(--(INDEX('Reguler Class Availability'!$G:$G,$Q270)&amp;""),0)/IFERROR(--(INDEX('Reguler Class Availability'!$F:$F,$Q270)&amp;""),0)&gt;=0.6,"Tinggi","Sebagian"))))))</f>
        <v>Belum terisi</v>
      </c>
      <c r="F270" s="77" t="str">
        <f aca="false">IF($Q270="","",PROPER(INDEX('Reguler Class Availability'!$B:$B,$Q270)&amp;""))</f>
        <v>Tiny</v>
      </c>
      <c r="G270" s="76" t="n">
        <f aca="false">IF($Q270="","",IFERROR(--(INDEX('Reguler Class Availability'!$F:$F,$Q270)&amp;""),0))</f>
        <v>5</v>
      </c>
      <c r="H270" s="77" t="str">
        <f aca="false">IF($Q270="","",PROPER(INDEX('Reguler Class Availability'!$I:$I,$Q270)&amp;"")&amp;IF(INDEX('Reguler Class Availability'!$J:$J,$Q270)&amp;""="",""," + asst "&amp;PROPER(INDEX('Reguler Class Availability'!$J:$J,$Q270)&amp;"")))</f>
        <v/>
      </c>
      <c r="I270" s="77" t="s">
        <v>393</v>
      </c>
      <c r="J270" s="77" t="s">
        <v>188</v>
      </c>
      <c r="K270" s="78"/>
      <c r="L270" s="78"/>
      <c r="M270" s="78"/>
      <c r="N270" s="79"/>
      <c r="O270" s="78"/>
      <c r="Q270" s="30" t="n">
        <f aca="false">IFERROR(MATCH($B$4&amp;"|- Lane "&amp;D270&amp;" - "&amp;B270&amp;"|"&amp;C270,'Reguler Class Availability'!$L:$L,0),"")</f>
        <v>1215</v>
      </c>
      <c r="BD270" s="30" t="s">
        <v>138</v>
      </c>
      <c r="BE270" s="30" t="n">
        <f aca="false">IF(COUNTIFS('Reguler Class Availability'!$L:$L,$B$4&amp;"|- Lane 5 - *|"&amp;BD270)&gt;0,1,0)</f>
        <v>0</v>
      </c>
      <c r="BF270" s="30" t="n">
        <f aca="false">BE270+BF269</f>
        <v>6</v>
      </c>
    </row>
    <row r="271" customFormat="false" ht="40.5" hidden="false" customHeight="true" outlineLevel="0" collapsed="false">
      <c r="A271" s="76" t="n">
        <v>145</v>
      </c>
      <c r="B271" s="77" t="s">
        <v>80</v>
      </c>
      <c r="C271" s="76" t="s">
        <v>146</v>
      </c>
      <c r="D271" s="76" t="n">
        <v>5</v>
      </c>
      <c r="E271" s="77" t="str">
        <f aca="false">IF($Q271="","Tidak ada di data",IF(AND(IFERROR(--(INDEX('Reguler Class Availability'!$F:$F,$Q271)&amp;""),0)=0,IFERROR(--(INDEX('Reguler Class Availability'!$G:$G,$Q271)&amp;""),0)=0),"Tutup",IF(IFERROR(--(INDEX('Reguler Class Availability'!$G:$G,$Q271)&amp;""),0)&gt;IFERROR(--(INDEX('Reguler Class Availability'!$F:$F,$Q271)&amp;""),0),"Lebih",IF(IFERROR(--(INDEX('Reguler Class Availability'!$G:$G,$Q271)&amp;""),0)=IFERROR(--(INDEX('Reguler Class Availability'!$F:$F,$Q271)&amp;""),0),"Penuh",IF(IFERROR(--(INDEX('Reguler Class Availability'!$G:$G,$Q271)&amp;""),0)=0,IF(INDEX('Reguler Class Availability'!$B:$B,$Q271)&amp;""="","Kosong","Belum terisi"),IF(IFERROR(--(INDEX('Reguler Class Availability'!$G:$G,$Q271)&amp;""),0)/IFERROR(--(INDEX('Reguler Class Availability'!$F:$F,$Q271)&amp;""),0)&gt;=0.6,"Tinggi","Sebagian"))))))</f>
        <v>Kosong</v>
      </c>
      <c r="F271" s="77" t="str">
        <f aca="false">IF($Q271="","",PROPER(INDEX('Reguler Class Availability'!$B:$B,$Q271)&amp;""))</f>
        <v/>
      </c>
      <c r="G271" s="76" t="n">
        <f aca="false">IF($Q271="","",IFERROR(--(INDEX('Reguler Class Availability'!$F:$F,$Q271)&amp;""),0))</f>
        <v>4</v>
      </c>
      <c r="H271" s="77" t="str">
        <f aca="false">IF($Q271="","",PROPER(INDEX('Reguler Class Availability'!$I:$I,$Q271)&amp;"")&amp;IF(INDEX('Reguler Class Availability'!$J:$J,$Q271)&amp;""="",""," + asst "&amp;PROPER(INDEX('Reguler Class Availability'!$J:$J,$Q271)&amp;"")))</f>
        <v/>
      </c>
      <c r="I271" s="77" t="s">
        <v>394</v>
      </c>
      <c r="J271" s="77" t="s">
        <v>188</v>
      </c>
      <c r="K271" s="78"/>
      <c r="L271" s="78"/>
      <c r="M271" s="78"/>
      <c r="N271" s="79"/>
      <c r="O271" s="78"/>
      <c r="Q271" s="30" t="n">
        <f aca="false">IFERROR(MATCH($B$4&amp;"|- Lane "&amp;D271&amp;" - "&amp;B271&amp;"|"&amp;C271,'Reguler Class Availability'!$L:$L,0),"")</f>
        <v>1468</v>
      </c>
      <c r="BD271" s="30" t="s">
        <v>139</v>
      </c>
      <c r="BE271" s="30" t="n">
        <f aca="false">IF(COUNTIFS('Reguler Class Availability'!$L:$L,$B$4&amp;"|- Lane 5 - *|"&amp;BD271)&gt;0,1,0)</f>
        <v>1</v>
      </c>
      <c r="BF271" s="30" t="n">
        <f aca="false">BE271+BF270</f>
        <v>7</v>
      </c>
    </row>
    <row r="272" customFormat="false" ht="27.75" hidden="false" customHeight="true" outlineLevel="0" collapsed="false">
      <c r="A272" s="76" t="n">
        <v>146</v>
      </c>
      <c r="B272" s="77" t="s">
        <v>80</v>
      </c>
      <c r="C272" s="76" t="s">
        <v>147</v>
      </c>
      <c r="D272" s="76" t="n">
        <v>1</v>
      </c>
      <c r="E272" s="77" t="str">
        <f aca="false">IF($Q272="","Tidak ada di data",IF(AND(IFERROR(--(INDEX('Reguler Class Availability'!$F:$F,$Q272)&amp;""),0)=0,IFERROR(--(INDEX('Reguler Class Availability'!$G:$G,$Q272)&amp;""),0)=0),"Tutup",IF(IFERROR(--(INDEX('Reguler Class Availability'!$G:$G,$Q272)&amp;""),0)&gt;IFERROR(--(INDEX('Reguler Class Availability'!$F:$F,$Q272)&amp;""),0),"Lebih",IF(IFERROR(--(INDEX('Reguler Class Availability'!$G:$G,$Q272)&amp;""),0)=IFERROR(--(INDEX('Reguler Class Availability'!$F:$F,$Q272)&amp;""),0),"Penuh",IF(IFERROR(--(INDEX('Reguler Class Availability'!$G:$G,$Q272)&amp;""),0)=0,IF(INDEX('Reguler Class Availability'!$B:$B,$Q272)&amp;""="","Kosong","Belum terisi"),IF(IFERROR(--(INDEX('Reguler Class Availability'!$G:$G,$Q272)&amp;""),0)/IFERROR(--(INDEX('Reguler Class Availability'!$F:$F,$Q272)&amp;""),0)&gt;=0.6,"Tinggi","Sebagian"))))))</f>
        <v>Belum terisi</v>
      </c>
      <c r="F272" s="77" t="str">
        <f aca="false">IF($Q272="","",PROPER(INDEX('Reguler Class Availability'!$B:$B,$Q272)&amp;""))</f>
        <v>Baby</v>
      </c>
      <c r="G272" s="76" t="n">
        <f aca="false">IF($Q272="","",IFERROR(--(INDEX('Reguler Class Availability'!$F:$F,$Q272)&amp;""),0))</f>
        <v>5</v>
      </c>
      <c r="H272" s="77" t="str">
        <f aca="false">IF($Q272="","",PROPER(INDEX('Reguler Class Availability'!$I:$I,$Q272)&amp;"")&amp;IF(INDEX('Reguler Class Availability'!$J:$J,$Q272)&amp;""="",""," + asst "&amp;PROPER(INDEX('Reguler Class Availability'!$J:$J,$Q272)&amp;"")))</f>
        <v/>
      </c>
      <c r="I272" s="77" t="s">
        <v>395</v>
      </c>
      <c r="J272" s="77" t="s">
        <v>188</v>
      </c>
      <c r="K272" s="78"/>
      <c r="L272" s="78"/>
      <c r="M272" s="78"/>
      <c r="N272" s="79"/>
      <c r="O272" s="78"/>
      <c r="Q272" s="30" t="n">
        <f aca="false">IFERROR(MATCH($B$4&amp;"|- Lane "&amp;D272&amp;" - "&amp;B272&amp;"|"&amp;C272,'Reguler Class Availability'!$L:$L,0),"")</f>
        <v>1118</v>
      </c>
      <c r="BD272" s="30" t="s">
        <v>141</v>
      </c>
      <c r="BE272" s="30" t="n">
        <f aca="false">IF(COUNTIFS('Reguler Class Availability'!$L:$L,$B$4&amp;"|- Lane 5 - *|"&amp;BD272)&gt;0,1,0)</f>
        <v>0</v>
      </c>
      <c r="BF272" s="30" t="n">
        <f aca="false">BE272+BF271</f>
        <v>7</v>
      </c>
    </row>
    <row r="273" customFormat="false" ht="40.5" hidden="false" customHeight="true" outlineLevel="0" collapsed="false">
      <c r="A273" s="76" t="n">
        <v>147</v>
      </c>
      <c r="B273" s="77" t="s">
        <v>80</v>
      </c>
      <c r="C273" s="76" t="s">
        <v>149</v>
      </c>
      <c r="D273" s="76" t="n">
        <v>5</v>
      </c>
      <c r="E273" s="77" t="str">
        <f aca="false">IF($Q273="","Tidak ada di data",IF(AND(IFERROR(--(INDEX('Reguler Class Availability'!$F:$F,$Q273)&amp;""),0)=0,IFERROR(--(INDEX('Reguler Class Availability'!$G:$G,$Q273)&amp;""),0)=0),"Tutup",IF(IFERROR(--(INDEX('Reguler Class Availability'!$G:$G,$Q273)&amp;""),0)&gt;IFERROR(--(INDEX('Reguler Class Availability'!$F:$F,$Q273)&amp;""),0),"Lebih",IF(IFERROR(--(INDEX('Reguler Class Availability'!$G:$G,$Q273)&amp;""),0)=IFERROR(--(INDEX('Reguler Class Availability'!$F:$F,$Q273)&amp;""),0),"Penuh",IF(IFERROR(--(INDEX('Reguler Class Availability'!$G:$G,$Q273)&amp;""),0)=0,IF(INDEX('Reguler Class Availability'!$B:$B,$Q273)&amp;""="","Kosong","Belum terisi"),IF(IFERROR(--(INDEX('Reguler Class Availability'!$G:$G,$Q273)&amp;""),0)/IFERROR(--(INDEX('Reguler Class Availability'!$F:$F,$Q273)&amp;""),0)&gt;=0.6,"Tinggi","Sebagian"))))))</f>
        <v>Kosong</v>
      </c>
      <c r="F273" s="77" t="str">
        <f aca="false">IF($Q273="","",PROPER(INDEX('Reguler Class Availability'!$B:$B,$Q273)&amp;""))</f>
        <v/>
      </c>
      <c r="G273" s="76" t="n">
        <f aca="false">IF($Q273="","",IFERROR(--(INDEX('Reguler Class Availability'!$F:$F,$Q273)&amp;""),0))</f>
        <v>4</v>
      </c>
      <c r="H273" s="77" t="str">
        <f aca="false">IF($Q273="","",PROPER(INDEX('Reguler Class Availability'!$I:$I,$Q273)&amp;"")&amp;IF(INDEX('Reguler Class Availability'!$J:$J,$Q273)&amp;""="",""," + asst "&amp;PROPER(INDEX('Reguler Class Availability'!$J:$J,$Q273)&amp;"")))</f>
        <v/>
      </c>
      <c r="I273" s="77" t="s">
        <v>370</v>
      </c>
      <c r="J273" s="77" t="s">
        <v>186</v>
      </c>
      <c r="K273" s="78"/>
      <c r="L273" s="78"/>
      <c r="M273" s="78"/>
      <c r="N273" s="79"/>
      <c r="O273" s="78"/>
      <c r="Q273" s="30" t="n">
        <f aca="false">IFERROR(MATCH($B$4&amp;"|- Lane "&amp;D273&amp;" - "&amp;B273&amp;"|"&amp;C273,'Reguler Class Availability'!$L:$L,0),"")</f>
        <v>1469</v>
      </c>
      <c r="BD273" s="30" t="s">
        <v>142</v>
      </c>
      <c r="BE273" s="30" t="n">
        <f aca="false">IF(COUNTIFS('Reguler Class Availability'!$L:$L,$B$4&amp;"|- Lane 5 - *|"&amp;BD273)&gt;0,1,0)</f>
        <v>0</v>
      </c>
      <c r="BF273" s="30" t="n">
        <f aca="false">BE273+BF272</f>
        <v>7</v>
      </c>
    </row>
    <row r="274" customFormat="false" ht="27.75" hidden="false" customHeight="true" outlineLevel="0" collapsed="false">
      <c r="A274" s="76" t="n">
        <v>148</v>
      </c>
      <c r="B274" s="77" t="s">
        <v>80</v>
      </c>
      <c r="C274" s="76" t="s">
        <v>150</v>
      </c>
      <c r="D274" s="76" t="n">
        <v>2</v>
      </c>
      <c r="E274" s="77" t="str">
        <f aca="false">IF($Q274="","Tidak ada di data",IF(AND(IFERROR(--(INDEX('Reguler Class Availability'!$F:$F,$Q274)&amp;""),0)=0,IFERROR(--(INDEX('Reguler Class Availability'!$G:$G,$Q274)&amp;""),0)=0),"Tutup",IF(IFERROR(--(INDEX('Reguler Class Availability'!$G:$G,$Q274)&amp;""),0)&gt;IFERROR(--(INDEX('Reguler Class Availability'!$F:$F,$Q274)&amp;""),0),"Lebih",IF(IFERROR(--(INDEX('Reguler Class Availability'!$G:$G,$Q274)&amp;""),0)=IFERROR(--(INDEX('Reguler Class Availability'!$F:$F,$Q274)&amp;""),0),"Penuh",IF(IFERROR(--(INDEX('Reguler Class Availability'!$G:$G,$Q274)&amp;""),0)=0,IF(INDEX('Reguler Class Availability'!$B:$B,$Q274)&amp;""="","Kosong","Belum terisi"),IF(IFERROR(--(INDEX('Reguler Class Availability'!$G:$G,$Q274)&amp;""),0)/IFERROR(--(INDEX('Reguler Class Availability'!$F:$F,$Q274)&amp;""),0)&gt;=0.6,"Tinggi","Sebagian"))))))</f>
        <v>Belum terisi</v>
      </c>
      <c r="F274" s="77" t="str">
        <f aca="false">IF($Q274="","",PROPER(INDEX('Reguler Class Availability'!$B:$B,$Q274)&amp;""))</f>
        <v>Tiny</v>
      </c>
      <c r="G274" s="76" t="n">
        <f aca="false">IF($Q274="","",IFERROR(--(INDEX('Reguler Class Availability'!$F:$F,$Q274)&amp;""),0))</f>
        <v>5</v>
      </c>
      <c r="H274" s="77" t="str">
        <f aca="false">IF($Q274="","",PROPER(INDEX('Reguler Class Availability'!$I:$I,$Q274)&amp;"")&amp;IF(INDEX('Reguler Class Availability'!$J:$J,$Q274)&amp;""="",""," + asst "&amp;PROPER(INDEX('Reguler Class Availability'!$J:$J,$Q274)&amp;"")))</f>
        <v/>
      </c>
      <c r="I274" s="77" t="s">
        <v>396</v>
      </c>
      <c r="J274" s="77" t="s">
        <v>186</v>
      </c>
      <c r="K274" s="78"/>
      <c r="L274" s="78"/>
      <c r="M274" s="78"/>
      <c r="N274" s="79"/>
      <c r="O274" s="78"/>
      <c r="Q274" s="30" t="n">
        <f aca="false">IFERROR(MATCH($B$4&amp;"|- Lane "&amp;D274&amp;" - "&amp;B274&amp;"|"&amp;C274,'Reguler Class Availability'!$L:$L,0),"")</f>
        <v>1217</v>
      </c>
      <c r="BD274" s="30" t="s">
        <v>143</v>
      </c>
      <c r="BE274" s="30" t="n">
        <f aca="false">IF(COUNTIFS('Reguler Class Availability'!$L:$L,$B$4&amp;"|- Lane 5 - *|"&amp;BD274)&gt;0,1,0)</f>
        <v>1</v>
      </c>
      <c r="BF274" s="30" t="n">
        <f aca="false">BE274+BF273</f>
        <v>8</v>
      </c>
    </row>
    <row r="275" customFormat="false" ht="40.5" hidden="false" customHeight="true" outlineLevel="0" collapsed="false">
      <c r="A275" s="76" t="n">
        <v>149</v>
      </c>
      <c r="B275" s="77" t="s">
        <v>80</v>
      </c>
      <c r="C275" s="76" t="s">
        <v>153</v>
      </c>
      <c r="D275" s="76" t="n">
        <v>1</v>
      </c>
      <c r="E275" s="77" t="str">
        <f aca="false">IF($Q275="","Tidak ada di data",IF(AND(IFERROR(--(INDEX('Reguler Class Availability'!$F:$F,$Q275)&amp;""),0)=0,IFERROR(--(INDEX('Reguler Class Availability'!$G:$G,$Q275)&amp;""),0)=0),"Tutup",IF(IFERROR(--(INDEX('Reguler Class Availability'!$G:$G,$Q275)&amp;""),0)&gt;IFERROR(--(INDEX('Reguler Class Availability'!$F:$F,$Q275)&amp;""),0),"Lebih",IF(IFERROR(--(INDEX('Reguler Class Availability'!$G:$G,$Q275)&amp;""),0)=IFERROR(--(INDEX('Reguler Class Availability'!$F:$F,$Q275)&amp;""),0),"Penuh",IF(IFERROR(--(INDEX('Reguler Class Availability'!$G:$G,$Q275)&amp;""),0)=0,IF(INDEX('Reguler Class Availability'!$B:$B,$Q275)&amp;""="","Kosong","Belum terisi"),IF(IFERROR(--(INDEX('Reguler Class Availability'!$G:$G,$Q275)&amp;""),0)/IFERROR(--(INDEX('Reguler Class Availability'!$F:$F,$Q275)&amp;""),0)&gt;=0.6,"Tinggi","Sebagian"))))))</f>
        <v>Belum terisi</v>
      </c>
      <c r="F275" s="77" t="str">
        <f aca="false">IF($Q275="","",PROPER(INDEX('Reguler Class Availability'!$B:$B,$Q275)&amp;""))</f>
        <v>Baby</v>
      </c>
      <c r="G275" s="76" t="n">
        <f aca="false">IF($Q275="","",IFERROR(--(INDEX('Reguler Class Availability'!$F:$F,$Q275)&amp;""),0))</f>
        <v>5</v>
      </c>
      <c r="H275" s="77" t="str">
        <f aca="false">IF($Q275="","",PROPER(INDEX('Reguler Class Availability'!$I:$I,$Q275)&amp;"")&amp;IF(INDEX('Reguler Class Availability'!$J:$J,$Q275)&amp;""="",""," + asst "&amp;PROPER(INDEX('Reguler Class Availability'!$J:$J,$Q275)&amp;"")))</f>
        <v/>
      </c>
      <c r="I275" s="77" t="s">
        <v>348</v>
      </c>
      <c r="J275" s="77" t="s">
        <v>186</v>
      </c>
      <c r="K275" s="78"/>
      <c r="L275" s="78"/>
      <c r="M275" s="78"/>
      <c r="N275" s="79"/>
      <c r="O275" s="78"/>
      <c r="Q275" s="30" t="n">
        <f aca="false">IFERROR(MATCH($B$4&amp;"|- Lane "&amp;D275&amp;" - "&amp;B275&amp;"|"&amp;C275,'Reguler Class Availability'!$L:$L,0),"")</f>
        <v>1120</v>
      </c>
      <c r="BD275" s="30" t="s">
        <v>144</v>
      </c>
      <c r="BE275" s="30" t="n">
        <f aca="false">IF(COUNTIFS('Reguler Class Availability'!$L:$L,$B$4&amp;"|- Lane 5 - *|"&amp;BD275)&gt;0,1,0)</f>
        <v>0</v>
      </c>
      <c r="BF275" s="30" t="n">
        <f aca="false">BE275+BF274</f>
        <v>8</v>
      </c>
    </row>
    <row r="276" customFormat="false" ht="52.5" hidden="false" customHeight="true" outlineLevel="0" collapsed="false">
      <c r="A276" s="76" t="n">
        <v>150</v>
      </c>
      <c r="B276" s="77" t="s">
        <v>80</v>
      </c>
      <c r="C276" s="76" t="s">
        <v>155</v>
      </c>
      <c r="D276" s="76" t="n">
        <v>5</v>
      </c>
      <c r="E276" s="77" t="str">
        <f aca="false">IF($Q276="","Tidak ada di data",IF(AND(IFERROR(--(INDEX('Reguler Class Availability'!$F:$F,$Q276)&amp;""),0)=0,IFERROR(--(INDEX('Reguler Class Availability'!$G:$G,$Q276)&amp;""),0)=0),"Tutup",IF(IFERROR(--(INDEX('Reguler Class Availability'!$G:$G,$Q276)&amp;""),0)&gt;IFERROR(--(INDEX('Reguler Class Availability'!$F:$F,$Q276)&amp;""),0),"Lebih",IF(IFERROR(--(INDEX('Reguler Class Availability'!$G:$G,$Q276)&amp;""),0)=IFERROR(--(INDEX('Reguler Class Availability'!$F:$F,$Q276)&amp;""),0),"Penuh",IF(IFERROR(--(INDEX('Reguler Class Availability'!$G:$G,$Q276)&amp;""),0)=0,IF(INDEX('Reguler Class Availability'!$B:$B,$Q276)&amp;""="","Kosong","Belum terisi"),IF(IFERROR(--(INDEX('Reguler Class Availability'!$G:$G,$Q276)&amp;""),0)/IFERROR(--(INDEX('Reguler Class Availability'!$F:$F,$Q276)&amp;""),0)&gt;=0.6,"Tinggi","Sebagian"))))))</f>
        <v>Kosong</v>
      </c>
      <c r="F276" s="77" t="str">
        <f aca="false">IF($Q276="","",PROPER(INDEX('Reguler Class Availability'!$B:$B,$Q276)&amp;""))</f>
        <v/>
      </c>
      <c r="G276" s="76" t="n">
        <f aca="false">IF($Q276="","",IFERROR(--(INDEX('Reguler Class Availability'!$F:$F,$Q276)&amp;""),0))</f>
        <v>4</v>
      </c>
      <c r="H276" s="77" t="str">
        <f aca="false">IF($Q276="","",PROPER(INDEX('Reguler Class Availability'!$I:$I,$Q276)&amp;"")&amp;IF(INDEX('Reguler Class Availability'!$J:$J,$Q276)&amp;""="",""," + asst "&amp;PROPER(INDEX('Reguler Class Availability'!$J:$J,$Q276)&amp;"")))</f>
        <v/>
      </c>
      <c r="I276" s="77" t="s">
        <v>397</v>
      </c>
      <c r="J276" s="77" t="s">
        <v>186</v>
      </c>
      <c r="K276" s="78"/>
      <c r="L276" s="78"/>
      <c r="M276" s="78"/>
      <c r="N276" s="79"/>
      <c r="O276" s="78"/>
      <c r="Q276" s="30" t="n">
        <f aca="false">IFERROR(MATCH($B$4&amp;"|- Lane "&amp;D276&amp;" - "&amp;B276&amp;"|"&amp;C276,'Reguler Class Availability'!$L:$L,0),"")</f>
        <v>1471</v>
      </c>
      <c r="BD276" s="30" t="s">
        <v>145</v>
      </c>
      <c r="BE276" s="30" t="n">
        <f aca="false">IF(COUNTIFS('Reguler Class Availability'!$L:$L,$B$4&amp;"|- Lane 5 - *|"&amp;BD276)&gt;0,1,0)</f>
        <v>0</v>
      </c>
      <c r="BF276" s="30" t="n">
        <f aca="false">BE276+BF275</f>
        <v>8</v>
      </c>
    </row>
    <row r="277" customFormat="false" ht="65.25" hidden="false" customHeight="true" outlineLevel="0" collapsed="false">
      <c r="A277" s="76" t="n">
        <v>151</v>
      </c>
      <c r="B277" s="77" t="s">
        <v>80</v>
      </c>
      <c r="C277" s="76" t="s">
        <v>156</v>
      </c>
      <c r="D277" s="76" t="n">
        <v>1</v>
      </c>
      <c r="E277" s="77" t="str">
        <f aca="false">IF($Q277="","Tidak ada di data",IF(AND(IFERROR(--(INDEX('Reguler Class Availability'!$F:$F,$Q277)&amp;""),0)=0,IFERROR(--(INDEX('Reguler Class Availability'!$G:$G,$Q277)&amp;""),0)=0),"Tutup",IF(IFERROR(--(INDEX('Reguler Class Availability'!$G:$G,$Q277)&amp;""),0)&gt;IFERROR(--(INDEX('Reguler Class Availability'!$F:$F,$Q277)&amp;""),0),"Lebih",IF(IFERROR(--(INDEX('Reguler Class Availability'!$G:$G,$Q277)&amp;""),0)=IFERROR(--(INDEX('Reguler Class Availability'!$F:$F,$Q277)&amp;""),0),"Penuh",IF(IFERROR(--(INDEX('Reguler Class Availability'!$G:$G,$Q277)&amp;""),0)=0,IF(INDEX('Reguler Class Availability'!$B:$B,$Q277)&amp;""="","Kosong","Belum terisi"),IF(IFERROR(--(INDEX('Reguler Class Availability'!$G:$G,$Q277)&amp;""),0)/IFERROR(--(INDEX('Reguler Class Availability'!$F:$F,$Q277)&amp;""),0)&gt;=0.6,"Tinggi","Sebagian"))))))</f>
        <v>Belum terisi</v>
      </c>
      <c r="F277" s="77" t="str">
        <f aca="false">IF($Q277="","",PROPER(INDEX('Reguler Class Availability'!$B:$B,$Q277)&amp;""))</f>
        <v>Baby</v>
      </c>
      <c r="G277" s="76" t="n">
        <f aca="false">IF($Q277="","",IFERROR(--(INDEX('Reguler Class Availability'!$F:$F,$Q277)&amp;""),0))</f>
        <v>5</v>
      </c>
      <c r="H277" s="77" t="str">
        <f aca="false">IF($Q277="","",PROPER(INDEX('Reguler Class Availability'!$I:$I,$Q277)&amp;"")&amp;IF(INDEX('Reguler Class Availability'!$J:$J,$Q277)&amp;""="",""," + asst "&amp;PROPER(INDEX('Reguler Class Availability'!$J:$J,$Q277)&amp;"")))</f>
        <v/>
      </c>
      <c r="I277" s="77" t="s">
        <v>398</v>
      </c>
      <c r="J277" s="77" t="s">
        <v>186</v>
      </c>
      <c r="K277" s="78"/>
      <c r="L277" s="78"/>
      <c r="M277" s="78"/>
      <c r="N277" s="79"/>
      <c r="O277" s="78"/>
      <c r="Q277" s="30" t="n">
        <f aca="false">IFERROR(MATCH($B$4&amp;"|- Lane "&amp;D277&amp;" - "&amp;B277&amp;"|"&amp;C277,'Reguler Class Availability'!$L:$L,0),"")</f>
        <v>1121</v>
      </c>
      <c r="BD277" s="30" t="s">
        <v>146</v>
      </c>
      <c r="BE277" s="30" t="n">
        <f aca="false">IF(COUNTIFS('Reguler Class Availability'!$L:$L,$B$4&amp;"|- Lane 5 - *|"&amp;BD277)&gt;0,1,0)</f>
        <v>1</v>
      </c>
      <c r="BF277" s="30" t="n">
        <f aca="false">BE277+BF276</f>
        <v>9</v>
      </c>
    </row>
    <row r="278" customFormat="false" ht="65.25" hidden="false" customHeight="true" outlineLevel="0" collapsed="false">
      <c r="A278" s="76" t="n">
        <v>152</v>
      </c>
      <c r="B278" s="77" t="s">
        <v>80</v>
      </c>
      <c r="C278" s="76" t="s">
        <v>156</v>
      </c>
      <c r="D278" s="76" t="n">
        <v>2</v>
      </c>
      <c r="E278" s="77" t="str">
        <f aca="false">IF($Q278="","Tidak ada di data",IF(AND(IFERROR(--(INDEX('Reguler Class Availability'!$F:$F,$Q278)&amp;""),0)=0,IFERROR(--(INDEX('Reguler Class Availability'!$G:$G,$Q278)&amp;""),0)=0),"Tutup",IF(IFERROR(--(INDEX('Reguler Class Availability'!$G:$G,$Q278)&amp;""),0)&gt;IFERROR(--(INDEX('Reguler Class Availability'!$F:$F,$Q278)&amp;""),0),"Lebih",IF(IFERROR(--(INDEX('Reguler Class Availability'!$G:$G,$Q278)&amp;""),0)=IFERROR(--(INDEX('Reguler Class Availability'!$F:$F,$Q278)&amp;""),0),"Penuh",IF(IFERROR(--(INDEX('Reguler Class Availability'!$G:$G,$Q278)&amp;""),0)=0,IF(INDEX('Reguler Class Availability'!$B:$B,$Q278)&amp;""="","Kosong","Belum terisi"),IF(IFERROR(--(INDEX('Reguler Class Availability'!$G:$G,$Q278)&amp;""),0)/IFERROR(--(INDEX('Reguler Class Availability'!$F:$F,$Q278)&amp;""),0)&gt;=0.6,"Tinggi","Sebagian"))))))</f>
        <v>Belum terisi</v>
      </c>
      <c r="F278" s="77" t="str">
        <f aca="false">IF($Q278="","",PROPER(INDEX('Reguler Class Availability'!$B:$B,$Q278)&amp;""))</f>
        <v>Tiny</v>
      </c>
      <c r="G278" s="76" t="n">
        <f aca="false">IF($Q278="","",IFERROR(--(INDEX('Reguler Class Availability'!$F:$F,$Q278)&amp;""),0))</f>
        <v>5</v>
      </c>
      <c r="H278" s="77" t="str">
        <f aca="false">IF($Q278="","",PROPER(INDEX('Reguler Class Availability'!$I:$I,$Q278)&amp;"")&amp;IF(INDEX('Reguler Class Availability'!$J:$J,$Q278)&amp;""="",""," + asst "&amp;PROPER(INDEX('Reguler Class Availability'!$J:$J,$Q278)&amp;"")))</f>
        <v/>
      </c>
      <c r="I278" s="77" t="s">
        <v>398</v>
      </c>
      <c r="J278" s="77" t="s">
        <v>186</v>
      </c>
      <c r="K278" s="78"/>
      <c r="L278" s="78"/>
      <c r="M278" s="78"/>
      <c r="N278" s="79"/>
      <c r="O278" s="78"/>
      <c r="Q278" s="30" t="n">
        <f aca="false">IFERROR(MATCH($B$4&amp;"|- Lane "&amp;D278&amp;" - "&amp;B278&amp;"|"&amp;C278,'Reguler Class Availability'!$L:$L,0),"")</f>
        <v>1219</v>
      </c>
      <c r="BD278" s="30" t="s">
        <v>147</v>
      </c>
      <c r="BE278" s="30" t="n">
        <f aca="false">IF(COUNTIFS('Reguler Class Availability'!$L:$L,$B$4&amp;"|- Lane 5 - *|"&amp;BD278)&gt;0,1,0)</f>
        <v>0</v>
      </c>
      <c r="BF278" s="30" t="n">
        <f aca="false">BE278+BF277</f>
        <v>9</v>
      </c>
    </row>
    <row r="279" customFormat="false" ht="65.25" hidden="false" customHeight="true" outlineLevel="0" collapsed="false">
      <c r="A279" s="76" t="n">
        <v>153</v>
      </c>
      <c r="B279" s="77" t="s">
        <v>80</v>
      </c>
      <c r="C279" s="76" t="s">
        <v>160</v>
      </c>
      <c r="D279" s="76" t="n">
        <v>1</v>
      </c>
      <c r="E279" s="77" t="str">
        <f aca="false">IF($Q279="","Tidak ada di data",IF(AND(IFERROR(--(INDEX('Reguler Class Availability'!$F:$F,$Q279)&amp;""),0)=0,IFERROR(--(INDEX('Reguler Class Availability'!$G:$G,$Q279)&amp;""),0)=0),"Tutup",IF(IFERROR(--(INDEX('Reguler Class Availability'!$G:$G,$Q279)&amp;""),0)&gt;IFERROR(--(INDEX('Reguler Class Availability'!$F:$F,$Q279)&amp;""),0),"Lebih",IF(IFERROR(--(INDEX('Reguler Class Availability'!$G:$G,$Q279)&amp;""),0)=IFERROR(--(INDEX('Reguler Class Availability'!$F:$F,$Q279)&amp;""),0),"Penuh",IF(IFERROR(--(INDEX('Reguler Class Availability'!$G:$G,$Q279)&amp;""),0)=0,IF(INDEX('Reguler Class Availability'!$B:$B,$Q279)&amp;""="","Kosong","Belum terisi"),IF(IFERROR(--(INDEX('Reguler Class Availability'!$G:$G,$Q279)&amp;""),0)/IFERROR(--(INDEX('Reguler Class Availability'!$F:$F,$Q279)&amp;""),0)&gt;=0.6,"Tinggi","Sebagian"))))))</f>
        <v>Belum terisi</v>
      </c>
      <c r="F279" s="77" t="str">
        <f aca="false">IF($Q279="","",PROPER(INDEX('Reguler Class Availability'!$B:$B,$Q279)&amp;""))</f>
        <v>Star</v>
      </c>
      <c r="G279" s="76" t="n">
        <f aca="false">IF($Q279="","",IFERROR(--(INDEX('Reguler Class Availability'!$F:$F,$Q279)&amp;""),0))</f>
        <v>8</v>
      </c>
      <c r="H279" s="77" t="str">
        <f aca="false">IF($Q279="","",PROPER(INDEX('Reguler Class Availability'!$I:$I,$Q279)&amp;"")&amp;IF(INDEX('Reguler Class Availability'!$J:$J,$Q279)&amp;""="",""," + asst "&amp;PROPER(INDEX('Reguler Class Availability'!$J:$J,$Q279)&amp;"")))</f>
        <v/>
      </c>
      <c r="I279" s="77" t="s">
        <v>381</v>
      </c>
      <c r="J279" s="77" t="s">
        <v>186</v>
      </c>
      <c r="K279" s="78"/>
      <c r="L279" s="78"/>
      <c r="M279" s="78"/>
      <c r="N279" s="79"/>
      <c r="O279" s="78"/>
      <c r="Q279" s="30" t="n">
        <f aca="false">IFERROR(MATCH($B$4&amp;"|- Lane "&amp;D279&amp;" - "&amp;B279&amp;"|"&amp;C279,'Reguler Class Availability'!$L:$L,0),"")</f>
        <v>1135</v>
      </c>
      <c r="BD279" s="30" t="s">
        <v>148</v>
      </c>
      <c r="BE279" s="30" t="n">
        <f aca="false">IF(COUNTIFS('Reguler Class Availability'!$L:$L,$B$4&amp;"|- Lane 5 - *|"&amp;BD279)&gt;0,1,0)</f>
        <v>0</v>
      </c>
      <c r="BF279" s="30" t="n">
        <f aca="false">BE279+BF278</f>
        <v>9</v>
      </c>
    </row>
    <row r="280" customFormat="false" ht="15" hidden="false" customHeight="false" outlineLevel="0" collapsed="false">
      <c r="BD280" s="0" t="s">
        <v>149</v>
      </c>
      <c r="BE280" s="0" t="n">
        <f aca="false">IF(COUNTIFS('Reguler Class Availability'!$L:$L,$B$4&amp;"|- Lane 5 - *|"&amp;BD280)&gt;0,1,0)</f>
        <v>1</v>
      </c>
      <c r="BF280" s="0" t="n">
        <f aca="false">BE280+BF279</f>
        <v>10</v>
      </c>
    </row>
    <row r="281" customFormat="false" ht="15" hidden="false" customHeight="false" outlineLevel="0" collapsed="false">
      <c r="BD281" s="0" t="s">
        <v>150</v>
      </c>
      <c r="BE281" s="0" t="n">
        <f aca="false">IF(COUNTIFS('Reguler Class Availability'!$L:$L,$B$4&amp;"|- Lane 5 - *|"&amp;BD281)&gt;0,1,0)</f>
        <v>0</v>
      </c>
      <c r="BF281" s="0" t="n">
        <f aca="false">BE281+BF280</f>
        <v>10</v>
      </c>
    </row>
    <row r="282" customFormat="false" ht="16.15" hidden="false" customHeight="false" outlineLevel="0" collapsed="false">
      <c r="A282" s="81" t="s">
        <v>244</v>
      </c>
      <c r="B282" s="62"/>
      <c r="C282" s="62"/>
      <c r="D282" s="62"/>
      <c r="E282" s="62"/>
      <c r="F282" s="62"/>
      <c r="G282" s="62"/>
      <c r="H282" s="62"/>
      <c r="I282" s="62"/>
      <c r="J282" s="62"/>
      <c r="K282" s="62"/>
      <c r="L282" s="62"/>
      <c r="M282" s="62"/>
      <c r="N282" s="62"/>
      <c r="BD282" s="30" t="s">
        <v>151</v>
      </c>
      <c r="BE282" s="30" t="n">
        <f aca="false">IF(COUNTIFS('Reguler Class Availability'!$L:$L,$B$4&amp;"|- Lane 5 - *|"&amp;BD282)&gt;0,1,0)</f>
        <v>0</v>
      </c>
      <c r="BF282" s="30" t="n">
        <f aca="false">BE282+BF281</f>
        <v>10</v>
      </c>
    </row>
    <row r="283" customFormat="false" ht="15" hidden="false" customHeight="false" outlineLevel="0" collapsed="false">
      <c r="A283" s="73" t="s">
        <v>245</v>
      </c>
      <c r="BD283" s="30" t="s">
        <v>152</v>
      </c>
      <c r="BE283" s="30" t="n">
        <f aca="false">IF(COUNTIFS('Reguler Class Availability'!$L:$L,$B$4&amp;"|- Lane 5 - *|"&amp;BD283)&gt;0,1,0)</f>
        <v>1</v>
      </c>
      <c r="BF283" s="30" t="n">
        <f aca="false">BE283+BF282</f>
        <v>11</v>
      </c>
    </row>
    <row r="284" customFormat="false" ht="22.35" hidden="false" customHeight="false" outlineLevel="0" collapsed="false">
      <c r="A284" s="74" t="s">
        <v>178</v>
      </c>
      <c r="B284" s="74" t="s">
        <v>246</v>
      </c>
      <c r="C284" s="74" t="s">
        <v>247</v>
      </c>
      <c r="D284" s="74" t="s">
        <v>114</v>
      </c>
      <c r="E284" s="74" t="s">
        <v>115</v>
      </c>
      <c r="F284" s="74" t="s">
        <v>116</v>
      </c>
      <c r="G284" s="74" t="s">
        <v>117</v>
      </c>
      <c r="H284" s="74" t="s">
        <v>118</v>
      </c>
      <c r="I284" s="74" t="s">
        <v>119</v>
      </c>
      <c r="J284" s="74" t="s">
        <v>80</v>
      </c>
      <c r="K284" s="74" t="s">
        <v>248</v>
      </c>
      <c r="L284" s="74" t="s">
        <v>249</v>
      </c>
      <c r="M284" s="74" t="s">
        <v>250</v>
      </c>
      <c r="BD284" s="30" t="s">
        <v>153</v>
      </c>
      <c r="BE284" s="30" t="n">
        <f aca="false">IF(COUNTIFS('Reguler Class Availability'!$L:$L,$B$4&amp;"|- Lane 5 - *|"&amp;BD284)&gt;0,1,0)</f>
        <v>0</v>
      </c>
      <c r="BF284" s="30" t="n">
        <f aca="false">BE284+BF283</f>
        <v>11</v>
      </c>
    </row>
    <row r="285" customFormat="false" ht="15" hidden="false" customHeight="false" outlineLevel="0" collapsed="false">
      <c r="A285" s="82" t="n">
        <v>1</v>
      </c>
      <c r="B285" s="83" t="s">
        <v>399</v>
      </c>
      <c r="C285" s="84" t="s">
        <v>188</v>
      </c>
      <c r="D285" s="85" t="n">
        <f aca="false">COUNTIFS('Reguler Class Availability'!$A:$A,$B$4,'Reguler Class Availability'!$I:$I,$B285,'Reguler Class Availability'!$C:$C,"* - "&amp;D$284)+COUNTIFS('Reguler Class Availability'!$A:$A,$B$4,'Reguler Class Availability'!$J:$J,$B285,'Reguler Class Availability'!$C:$C,"* - "&amp;D$284)</f>
        <v>0</v>
      </c>
      <c r="E285" s="85" t="n">
        <f aca="false">COUNTIFS('Reguler Class Availability'!$A:$A,$B$4,'Reguler Class Availability'!$I:$I,$B285,'Reguler Class Availability'!$C:$C,"* - "&amp;E$284)+COUNTIFS('Reguler Class Availability'!$A:$A,$B$4,'Reguler Class Availability'!$J:$J,$B285,'Reguler Class Availability'!$C:$C,"* - "&amp;E$284)</f>
        <v>0</v>
      </c>
      <c r="F285" s="85" t="n">
        <f aca="false">COUNTIFS('Reguler Class Availability'!$A:$A,$B$4,'Reguler Class Availability'!$I:$I,$B285,'Reguler Class Availability'!$C:$C,"* - "&amp;F$284)+COUNTIFS('Reguler Class Availability'!$A:$A,$B$4,'Reguler Class Availability'!$J:$J,$B285,'Reguler Class Availability'!$C:$C,"* - "&amp;F$284)</f>
        <v>7</v>
      </c>
      <c r="G285" s="85" t="n">
        <f aca="false">COUNTIFS('Reguler Class Availability'!$A:$A,$B$4,'Reguler Class Availability'!$I:$I,$B285,'Reguler Class Availability'!$C:$C,"* - "&amp;G$284)+COUNTIFS('Reguler Class Availability'!$A:$A,$B$4,'Reguler Class Availability'!$J:$J,$B285,'Reguler Class Availability'!$C:$C,"* - "&amp;G$284)</f>
        <v>5</v>
      </c>
      <c r="H285" s="85" t="n">
        <f aca="false">COUNTIFS('Reguler Class Availability'!$A:$A,$B$4,'Reguler Class Availability'!$I:$I,$B285,'Reguler Class Availability'!$C:$C,"* - "&amp;H$284)+COUNTIFS('Reguler Class Availability'!$A:$A,$B$4,'Reguler Class Availability'!$J:$J,$B285,'Reguler Class Availability'!$C:$C,"* - "&amp;H$284)</f>
        <v>6</v>
      </c>
      <c r="I285" s="85" t="n">
        <f aca="false">COUNTIFS('Reguler Class Availability'!$A:$A,$B$4,'Reguler Class Availability'!$I:$I,$B285,'Reguler Class Availability'!$C:$C,"* - "&amp;I$284)+COUNTIFS('Reguler Class Availability'!$A:$A,$B$4,'Reguler Class Availability'!$J:$J,$B285,'Reguler Class Availability'!$C:$C,"* - "&amp;I$284)</f>
        <v>7</v>
      </c>
      <c r="J285" s="85" t="n">
        <f aca="false">COUNTIFS('Reguler Class Availability'!$A:$A,$B$4,'Reguler Class Availability'!$I:$I,$B285,'Reguler Class Availability'!$C:$C,"* - "&amp;J$284)+COUNTIFS('Reguler Class Availability'!$A:$A,$B$4,'Reguler Class Availability'!$J:$J,$B285,'Reguler Class Availability'!$C:$C,"* - "&amp;J$284)</f>
        <v>6</v>
      </c>
      <c r="K285" s="82" t="n">
        <f aca="false">COUNTIFS('Reguler Class Availability'!$A:$A,$B$4,'Reguler Class Availability'!$I:$I,$B285)</f>
        <v>31</v>
      </c>
      <c r="L285" s="82" t="n">
        <f aca="false">COUNTIFS('Reguler Class Availability'!$A:$A,$B$4,'Reguler Class Availability'!$J:$J,$B285)</f>
        <v>0</v>
      </c>
      <c r="M285" s="82" t="s">
        <v>253</v>
      </c>
      <c r="BD285" s="30" t="s">
        <v>154</v>
      </c>
      <c r="BE285" s="30" t="n">
        <f aca="false">IF(COUNTIFS('Reguler Class Availability'!$L:$L,$B$4&amp;"|- Lane 5 - *|"&amp;BD285)&gt;0,1,0)</f>
        <v>0</v>
      </c>
      <c r="BF285" s="30" t="n">
        <f aca="false">BE285+BF284</f>
        <v>11</v>
      </c>
    </row>
    <row r="286" customFormat="false" ht="15" hidden="false" customHeight="false" outlineLevel="0" collapsed="false">
      <c r="A286" s="82" t="n">
        <v>2</v>
      </c>
      <c r="B286" s="83" t="s">
        <v>400</v>
      </c>
      <c r="C286" s="84" t="s">
        <v>188</v>
      </c>
      <c r="D286" s="85" t="n">
        <f aca="false">COUNTIFS('Reguler Class Availability'!$A:$A,$B$4,'Reguler Class Availability'!$I:$I,$B286,'Reguler Class Availability'!$C:$C,"* - "&amp;D$284)+COUNTIFS('Reguler Class Availability'!$A:$A,$B$4,'Reguler Class Availability'!$J:$J,$B286,'Reguler Class Availability'!$C:$C,"* - "&amp;D$284)</f>
        <v>6</v>
      </c>
      <c r="E286" s="85" t="n">
        <f aca="false">COUNTIFS('Reguler Class Availability'!$A:$A,$B$4,'Reguler Class Availability'!$I:$I,$B286,'Reguler Class Availability'!$C:$C,"* - "&amp;E$284)+COUNTIFS('Reguler Class Availability'!$A:$A,$B$4,'Reguler Class Availability'!$J:$J,$B286,'Reguler Class Availability'!$C:$C,"* - "&amp;E$284)</f>
        <v>6</v>
      </c>
      <c r="F286" s="85" t="n">
        <f aca="false">COUNTIFS('Reguler Class Availability'!$A:$A,$B$4,'Reguler Class Availability'!$I:$I,$B286,'Reguler Class Availability'!$C:$C,"* - "&amp;F$284)+COUNTIFS('Reguler Class Availability'!$A:$A,$B$4,'Reguler Class Availability'!$J:$J,$B286,'Reguler Class Availability'!$C:$C,"* - "&amp;F$284)</f>
        <v>0</v>
      </c>
      <c r="G286" s="85" t="n">
        <f aca="false">COUNTIFS('Reguler Class Availability'!$A:$A,$B$4,'Reguler Class Availability'!$I:$I,$B286,'Reguler Class Availability'!$C:$C,"* - "&amp;G$284)+COUNTIFS('Reguler Class Availability'!$A:$A,$B$4,'Reguler Class Availability'!$J:$J,$B286,'Reguler Class Availability'!$C:$C,"* - "&amp;G$284)</f>
        <v>0</v>
      </c>
      <c r="H286" s="85" t="n">
        <f aca="false">COUNTIFS('Reguler Class Availability'!$A:$A,$B$4,'Reguler Class Availability'!$I:$I,$B286,'Reguler Class Availability'!$C:$C,"* - "&amp;H$284)+COUNTIFS('Reguler Class Availability'!$A:$A,$B$4,'Reguler Class Availability'!$J:$J,$B286,'Reguler Class Availability'!$C:$C,"* - "&amp;H$284)</f>
        <v>6</v>
      </c>
      <c r="I286" s="85" t="n">
        <f aca="false">COUNTIFS('Reguler Class Availability'!$A:$A,$B$4,'Reguler Class Availability'!$I:$I,$B286,'Reguler Class Availability'!$C:$C,"* - "&amp;I$284)+COUNTIFS('Reguler Class Availability'!$A:$A,$B$4,'Reguler Class Availability'!$J:$J,$B286,'Reguler Class Availability'!$C:$C,"* - "&amp;I$284)</f>
        <v>6</v>
      </c>
      <c r="J286" s="85" t="n">
        <f aca="false">COUNTIFS('Reguler Class Availability'!$A:$A,$B$4,'Reguler Class Availability'!$I:$I,$B286,'Reguler Class Availability'!$C:$C,"* - "&amp;J$284)+COUNTIFS('Reguler Class Availability'!$A:$A,$B$4,'Reguler Class Availability'!$J:$J,$B286,'Reguler Class Availability'!$C:$C,"* - "&amp;J$284)</f>
        <v>5</v>
      </c>
      <c r="K286" s="82" t="n">
        <f aca="false">COUNTIFS('Reguler Class Availability'!$A:$A,$B$4,'Reguler Class Availability'!$I:$I,$B286)</f>
        <v>29</v>
      </c>
      <c r="L286" s="82" t="n">
        <f aca="false">COUNTIFS('Reguler Class Availability'!$A:$A,$B$4,'Reguler Class Availability'!$J:$J,$B286)</f>
        <v>0</v>
      </c>
      <c r="M286" s="82" t="s">
        <v>401</v>
      </c>
      <c r="BD286" s="30" t="s">
        <v>155</v>
      </c>
      <c r="BE286" s="30" t="n">
        <f aca="false">IF(COUNTIFS('Reguler Class Availability'!$L:$L,$B$4&amp;"|- Lane 5 - *|"&amp;BD286)&gt;0,1,0)</f>
        <v>1</v>
      </c>
      <c r="BF286" s="30" t="n">
        <f aca="false">BE286+BF285</f>
        <v>12</v>
      </c>
    </row>
    <row r="287" customFormat="false" ht="15" hidden="false" customHeight="false" outlineLevel="0" collapsed="false">
      <c r="A287" s="82" t="n">
        <v>3</v>
      </c>
      <c r="B287" s="83" t="s">
        <v>402</v>
      </c>
      <c r="C287" s="84" t="s">
        <v>186</v>
      </c>
      <c r="D287" s="85" t="n">
        <f aca="false">COUNTIFS('Reguler Class Availability'!$A:$A,$B$4,'Reguler Class Availability'!$I:$I,$B287,'Reguler Class Availability'!$C:$C,"* - "&amp;D$284)+COUNTIFS('Reguler Class Availability'!$A:$A,$B$4,'Reguler Class Availability'!$J:$J,$B287,'Reguler Class Availability'!$C:$C,"* - "&amp;D$284)</f>
        <v>7</v>
      </c>
      <c r="E287" s="85" t="n">
        <f aca="false">COUNTIFS('Reguler Class Availability'!$A:$A,$B$4,'Reguler Class Availability'!$I:$I,$B287,'Reguler Class Availability'!$C:$C,"* - "&amp;E$284)+COUNTIFS('Reguler Class Availability'!$A:$A,$B$4,'Reguler Class Availability'!$J:$J,$B287,'Reguler Class Availability'!$C:$C,"* - "&amp;E$284)</f>
        <v>0</v>
      </c>
      <c r="F287" s="85" t="n">
        <f aca="false">COUNTIFS('Reguler Class Availability'!$A:$A,$B$4,'Reguler Class Availability'!$I:$I,$B287,'Reguler Class Availability'!$C:$C,"* - "&amp;F$284)+COUNTIFS('Reguler Class Availability'!$A:$A,$B$4,'Reguler Class Availability'!$J:$J,$B287,'Reguler Class Availability'!$C:$C,"* - "&amp;F$284)</f>
        <v>0</v>
      </c>
      <c r="G287" s="85" t="n">
        <f aca="false">COUNTIFS('Reguler Class Availability'!$A:$A,$B$4,'Reguler Class Availability'!$I:$I,$B287,'Reguler Class Availability'!$C:$C,"* - "&amp;G$284)+COUNTIFS('Reguler Class Availability'!$A:$A,$B$4,'Reguler Class Availability'!$J:$J,$B287,'Reguler Class Availability'!$C:$C,"* - "&amp;G$284)</f>
        <v>6</v>
      </c>
      <c r="H287" s="85" t="n">
        <f aca="false">COUNTIFS('Reguler Class Availability'!$A:$A,$B$4,'Reguler Class Availability'!$I:$I,$B287,'Reguler Class Availability'!$C:$C,"* - "&amp;H$284)+COUNTIFS('Reguler Class Availability'!$A:$A,$B$4,'Reguler Class Availability'!$J:$J,$B287,'Reguler Class Availability'!$C:$C,"* - "&amp;H$284)</f>
        <v>5</v>
      </c>
      <c r="I287" s="85" t="n">
        <f aca="false">COUNTIFS('Reguler Class Availability'!$A:$A,$B$4,'Reguler Class Availability'!$I:$I,$B287,'Reguler Class Availability'!$C:$C,"* - "&amp;I$284)+COUNTIFS('Reguler Class Availability'!$A:$A,$B$4,'Reguler Class Availability'!$J:$J,$B287,'Reguler Class Availability'!$C:$C,"* - "&amp;I$284)</f>
        <v>5</v>
      </c>
      <c r="J287" s="85" t="n">
        <f aca="false">COUNTIFS('Reguler Class Availability'!$A:$A,$B$4,'Reguler Class Availability'!$I:$I,$B287,'Reguler Class Availability'!$C:$C,"* - "&amp;J$284)+COUNTIFS('Reguler Class Availability'!$A:$A,$B$4,'Reguler Class Availability'!$J:$J,$B287,'Reguler Class Availability'!$C:$C,"* - "&amp;J$284)</f>
        <v>4</v>
      </c>
      <c r="K287" s="82" t="n">
        <f aca="false">COUNTIFS('Reguler Class Availability'!$A:$A,$B$4,'Reguler Class Availability'!$I:$I,$B287)</f>
        <v>27</v>
      </c>
      <c r="L287" s="82" t="n">
        <f aca="false">COUNTIFS('Reguler Class Availability'!$A:$A,$B$4,'Reguler Class Availability'!$J:$J,$B287)</f>
        <v>0</v>
      </c>
      <c r="M287" s="82" t="s">
        <v>335</v>
      </c>
      <c r="BD287" s="30" t="s">
        <v>156</v>
      </c>
      <c r="BE287" s="30" t="n">
        <f aca="false">IF(COUNTIFS('Reguler Class Availability'!$L:$L,$B$4&amp;"|- Lane 5 - *|"&amp;BD287)&gt;0,1,0)</f>
        <v>0</v>
      </c>
      <c r="BF287" s="30" t="n">
        <f aca="false">BE287+BF286</f>
        <v>12</v>
      </c>
    </row>
    <row r="288" customFormat="false" ht="15" hidden="false" customHeight="false" outlineLevel="0" collapsed="false">
      <c r="A288" s="82" t="n">
        <v>4</v>
      </c>
      <c r="B288" s="83" t="s">
        <v>403</v>
      </c>
      <c r="C288" s="84" t="s">
        <v>260</v>
      </c>
      <c r="D288" s="85" t="n">
        <f aca="false">COUNTIFS('Reguler Class Availability'!$A:$A,$B$4,'Reguler Class Availability'!$I:$I,$B288,'Reguler Class Availability'!$C:$C,"* - "&amp;D$284)+COUNTIFS('Reguler Class Availability'!$A:$A,$B$4,'Reguler Class Availability'!$J:$J,$B288,'Reguler Class Availability'!$C:$C,"* - "&amp;D$284)</f>
        <v>0</v>
      </c>
      <c r="E288" s="85" t="n">
        <f aca="false">COUNTIFS('Reguler Class Availability'!$A:$A,$B$4,'Reguler Class Availability'!$I:$I,$B288,'Reguler Class Availability'!$C:$C,"* - "&amp;E$284)+COUNTIFS('Reguler Class Availability'!$A:$A,$B$4,'Reguler Class Availability'!$J:$J,$B288,'Reguler Class Availability'!$C:$C,"* - "&amp;E$284)</f>
        <v>0</v>
      </c>
      <c r="F288" s="85" t="n">
        <f aca="false">COUNTIFS('Reguler Class Availability'!$A:$A,$B$4,'Reguler Class Availability'!$I:$I,$B288,'Reguler Class Availability'!$C:$C,"* - "&amp;F$284)+COUNTIFS('Reguler Class Availability'!$A:$A,$B$4,'Reguler Class Availability'!$J:$J,$B288,'Reguler Class Availability'!$C:$C,"* - "&amp;F$284)</f>
        <v>5</v>
      </c>
      <c r="G288" s="85" t="n">
        <f aca="false">COUNTIFS('Reguler Class Availability'!$A:$A,$B$4,'Reguler Class Availability'!$I:$I,$B288,'Reguler Class Availability'!$C:$C,"* - "&amp;G$284)+COUNTIFS('Reguler Class Availability'!$A:$A,$B$4,'Reguler Class Availability'!$J:$J,$B288,'Reguler Class Availability'!$C:$C,"* - "&amp;G$284)</f>
        <v>6</v>
      </c>
      <c r="H288" s="85" t="n">
        <f aca="false">COUNTIFS('Reguler Class Availability'!$A:$A,$B$4,'Reguler Class Availability'!$I:$I,$B288,'Reguler Class Availability'!$C:$C,"* - "&amp;H$284)+COUNTIFS('Reguler Class Availability'!$A:$A,$B$4,'Reguler Class Availability'!$J:$J,$B288,'Reguler Class Availability'!$C:$C,"* - "&amp;H$284)</f>
        <v>5</v>
      </c>
      <c r="I288" s="85" t="n">
        <f aca="false">COUNTIFS('Reguler Class Availability'!$A:$A,$B$4,'Reguler Class Availability'!$I:$I,$B288,'Reguler Class Availability'!$C:$C,"* - "&amp;I$284)+COUNTIFS('Reguler Class Availability'!$A:$A,$B$4,'Reguler Class Availability'!$J:$J,$B288,'Reguler Class Availability'!$C:$C,"* - "&amp;I$284)</f>
        <v>5</v>
      </c>
      <c r="J288" s="85" t="n">
        <f aca="false">COUNTIFS('Reguler Class Availability'!$A:$A,$B$4,'Reguler Class Availability'!$I:$I,$B288,'Reguler Class Availability'!$C:$C,"* - "&amp;J$284)+COUNTIFS('Reguler Class Availability'!$A:$A,$B$4,'Reguler Class Availability'!$J:$J,$B288,'Reguler Class Availability'!$C:$C,"* - "&amp;J$284)</f>
        <v>6</v>
      </c>
      <c r="K288" s="82" t="n">
        <f aca="false">COUNTIFS('Reguler Class Availability'!$A:$A,$B$4,'Reguler Class Availability'!$I:$I,$B288)</f>
        <v>27</v>
      </c>
      <c r="L288" s="82" t="n">
        <f aca="false">COUNTIFS('Reguler Class Availability'!$A:$A,$B$4,'Reguler Class Availability'!$J:$J,$B288)</f>
        <v>0</v>
      </c>
      <c r="M288" s="82" t="s">
        <v>252</v>
      </c>
      <c r="BD288" s="30" t="s">
        <v>157</v>
      </c>
      <c r="BE288" s="30" t="n">
        <f aca="false">IF(COUNTIFS('Reguler Class Availability'!$L:$L,$B$4&amp;"|- Lane 5 - *|"&amp;BD288)&gt;0,1,0)</f>
        <v>0</v>
      </c>
      <c r="BF288" s="30" t="n">
        <f aca="false">BE288+BF287</f>
        <v>12</v>
      </c>
    </row>
    <row r="289" customFormat="false" ht="15" hidden="false" customHeight="false" outlineLevel="0" collapsed="false">
      <c r="A289" s="82" t="n">
        <v>5</v>
      </c>
      <c r="B289" s="83" t="s">
        <v>404</v>
      </c>
      <c r="C289" s="84" t="s">
        <v>188</v>
      </c>
      <c r="D289" s="85" t="n">
        <f aca="false">COUNTIFS('Reguler Class Availability'!$A:$A,$B$4,'Reguler Class Availability'!$I:$I,$B289,'Reguler Class Availability'!$C:$C,"* - "&amp;D$284)+COUNTIFS('Reguler Class Availability'!$A:$A,$B$4,'Reguler Class Availability'!$J:$J,$B289,'Reguler Class Availability'!$C:$C,"* - "&amp;D$284)</f>
        <v>0</v>
      </c>
      <c r="E289" s="85" t="n">
        <f aca="false">COUNTIFS('Reguler Class Availability'!$A:$A,$B$4,'Reguler Class Availability'!$I:$I,$B289,'Reguler Class Availability'!$C:$C,"* - "&amp;E$284)+COUNTIFS('Reguler Class Availability'!$A:$A,$B$4,'Reguler Class Availability'!$J:$J,$B289,'Reguler Class Availability'!$C:$C,"* - "&amp;E$284)</f>
        <v>6</v>
      </c>
      <c r="F289" s="85" t="n">
        <f aca="false">COUNTIFS('Reguler Class Availability'!$A:$A,$B$4,'Reguler Class Availability'!$I:$I,$B289,'Reguler Class Availability'!$C:$C,"* - "&amp;F$284)+COUNTIFS('Reguler Class Availability'!$A:$A,$B$4,'Reguler Class Availability'!$J:$J,$B289,'Reguler Class Availability'!$C:$C,"* - "&amp;F$284)</f>
        <v>0</v>
      </c>
      <c r="G289" s="85" t="n">
        <f aca="false">COUNTIFS('Reguler Class Availability'!$A:$A,$B$4,'Reguler Class Availability'!$I:$I,$B289,'Reguler Class Availability'!$C:$C,"* - "&amp;G$284)+COUNTIFS('Reguler Class Availability'!$A:$A,$B$4,'Reguler Class Availability'!$J:$J,$B289,'Reguler Class Availability'!$C:$C,"* - "&amp;G$284)</f>
        <v>2</v>
      </c>
      <c r="H289" s="85" t="n">
        <f aca="false">COUNTIFS('Reguler Class Availability'!$A:$A,$B$4,'Reguler Class Availability'!$I:$I,$B289,'Reguler Class Availability'!$C:$C,"* - "&amp;H$284)+COUNTIFS('Reguler Class Availability'!$A:$A,$B$4,'Reguler Class Availability'!$J:$J,$B289,'Reguler Class Availability'!$C:$C,"* - "&amp;H$284)</f>
        <v>5</v>
      </c>
      <c r="I289" s="85" t="n">
        <f aca="false">COUNTIFS('Reguler Class Availability'!$A:$A,$B$4,'Reguler Class Availability'!$I:$I,$B289,'Reguler Class Availability'!$C:$C,"* - "&amp;I$284)+COUNTIFS('Reguler Class Availability'!$A:$A,$B$4,'Reguler Class Availability'!$J:$J,$B289,'Reguler Class Availability'!$C:$C,"* - "&amp;I$284)</f>
        <v>6</v>
      </c>
      <c r="J289" s="85" t="n">
        <f aca="false">COUNTIFS('Reguler Class Availability'!$A:$A,$B$4,'Reguler Class Availability'!$I:$I,$B289,'Reguler Class Availability'!$C:$C,"* - "&amp;J$284)+COUNTIFS('Reguler Class Availability'!$A:$A,$B$4,'Reguler Class Availability'!$J:$J,$B289,'Reguler Class Availability'!$C:$C,"* - "&amp;J$284)</f>
        <v>5</v>
      </c>
      <c r="K289" s="82" t="n">
        <f aca="false">COUNTIFS('Reguler Class Availability'!$A:$A,$B$4,'Reguler Class Availability'!$I:$I,$B289)</f>
        <v>24</v>
      </c>
      <c r="L289" s="82" t="n">
        <f aca="false">COUNTIFS('Reguler Class Availability'!$A:$A,$B$4,'Reguler Class Availability'!$J:$J,$B289)</f>
        <v>0</v>
      </c>
      <c r="M289" s="82" t="s">
        <v>252</v>
      </c>
      <c r="BD289" s="30" t="s">
        <v>158</v>
      </c>
      <c r="BE289" s="30" t="n">
        <f aca="false">IF(COUNTIFS('Reguler Class Availability'!$L:$L,$B$4&amp;"|- Lane 5 - *|"&amp;BD289)&gt;0,1,0)</f>
        <v>0</v>
      </c>
      <c r="BF289" s="30" t="n">
        <f aca="false">BE289+BF288</f>
        <v>12</v>
      </c>
    </row>
    <row r="290" customFormat="false" ht="15" hidden="false" customHeight="false" outlineLevel="0" collapsed="false">
      <c r="A290" s="82" t="n">
        <v>6</v>
      </c>
      <c r="B290" s="83" t="s">
        <v>405</v>
      </c>
      <c r="C290" s="84" t="s">
        <v>188</v>
      </c>
      <c r="D290" s="85" t="n">
        <f aca="false">COUNTIFS('Reguler Class Availability'!$A:$A,$B$4,'Reguler Class Availability'!$I:$I,$B290,'Reguler Class Availability'!$C:$C,"* - "&amp;D$284)+COUNTIFS('Reguler Class Availability'!$A:$A,$B$4,'Reguler Class Availability'!$J:$J,$B290,'Reguler Class Availability'!$C:$C,"* - "&amp;D$284)</f>
        <v>0</v>
      </c>
      <c r="E290" s="85" t="n">
        <f aca="false">COUNTIFS('Reguler Class Availability'!$A:$A,$B$4,'Reguler Class Availability'!$I:$I,$B290,'Reguler Class Availability'!$C:$C,"* - "&amp;E$284)+COUNTIFS('Reguler Class Availability'!$A:$A,$B$4,'Reguler Class Availability'!$J:$J,$B290,'Reguler Class Availability'!$C:$C,"* - "&amp;E$284)</f>
        <v>0</v>
      </c>
      <c r="F290" s="85" t="n">
        <f aca="false">COUNTIFS('Reguler Class Availability'!$A:$A,$B$4,'Reguler Class Availability'!$I:$I,$B290,'Reguler Class Availability'!$C:$C,"* - "&amp;F$284)+COUNTIFS('Reguler Class Availability'!$A:$A,$B$4,'Reguler Class Availability'!$J:$J,$B290,'Reguler Class Availability'!$C:$C,"* - "&amp;F$284)</f>
        <v>6</v>
      </c>
      <c r="G290" s="85" t="n">
        <f aca="false">COUNTIFS('Reguler Class Availability'!$A:$A,$B$4,'Reguler Class Availability'!$I:$I,$B290,'Reguler Class Availability'!$C:$C,"* - "&amp;G$284)+COUNTIFS('Reguler Class Availability'!$A:$A,$B$4,'Reguler Class Availability'!$J:$J,$B290,'Reguler Class Availability'!$C:$C,"* - "&amp;G$284)</f>
        <v>3</v>
      </c>
      <c r="H290" s="85" t="n">
        <f aca="false">COUNTIFS('Reguler Class Availability'!$A:$A,$B$4,'Reguler Class Availability'!$I:$I,$B290,'Reguler Class Availability'!$C:$C,"* - "&amp;H$284)+COUNTIFS('Reguler Class Availability'!$A:$A,$B$4,'Reguler Class Availability'!$J:$J,$B290,'Reguler Class Availability'!$C:$C,"* - "&amp;H$284)</f>
        <v>4</v>
      </c>
      <c r="I290" s="85" t="n">
        <f aca="false">COUNTIFS('Reguler Class Availability'!$A:$A,$B$4,'Reguler Class Availability'!$I:$I,$B290,'Reguler Class Availability'!$C:$C,"* - "&amp;I$284)+COUNTIFS('Reguler Class Availability'!$A:$A,$B$4,'Reguler Class Availability'!$J:$J,$B290,'Reguler Class Availability'!$C:$C,"* - "&amp;I$284)</f>
        <v>5</v>
      </c>
      <c r="J290" s="85" t="n">
        <f aca="false">COUNTIFS('Reguler Class Availability'!$A:$A,$B$4,'Reguler Class Availability'!$I:$I,$B290,'Reguler Class Availability'!$C:$C,"* - "&amp;J$284)+COUNTIFS('Reguler Class Availability'!$A:$A,$B$4,'Reguler Class Availability'!$J:$J,$B290,'Reguler Class Availability'!$C:$C,"* - "&amp;J$284)</f>
        <v>5</v>
      </c>
      <c r="K290" s="82" t="n">
        <f aca="false">COUNTIFS('Reguler Class Availability'!$A:$A,$B$4,'Reguler Class Availability'!$I:$I,$B290)</f>
        <v>23</v>
      </c>
      <c r="L290" s="82" t="n">
        <f aca="false">COUNTIFS('Reguler Class Availability'!$A:$A,$B$4,'Reguler Class Availability'!$J:$J,$B290)</f>
        <v>0</v>
      </c>
      <c r="M290" s="82" t="s">
        <v>252</v>
      </c>
      <c r="BD290" s="30" t="s">
        <v>160</v>
      </c>
      <c r="BE290" s="30" t="n">
        <f aca="false">IF(COUNTIFS('Reguler Class Availability'!$L:$L,$B$4&amp;"|- Lane 5 - *|"&amp;BD290)&gt;0,1,0)</f>
        <v>0</v>
      </c>
      <c r="BF290" s="30" t="n">
        <f aca="false">BE290+BF289</f>
        <v>12</v>
      </c>
    </row>
    <row r="291" customFormat="false" ht="15" hidden="false" customHeight="false" outlineLevel="0" collapsed="false">
      <c r="A291" s="82" t="n">
        <v>7</v>
      </c>
      <c r="B291" s="83" t="s">
        <v>406</v>
      </c>
      <c r="C291" s="84" t="s">
        <v>260</v>
      </c>
      <c r="D291" s="85" t="n">
        <f aca="false">COUNTIFS('Reguler Class Availability'!$A:$A,$B$4,'Reguler Class Availability'!$I:$I,$B291,'Reguler Class Availability'!$C:$C,"* - "&amp;D$284)+COUNTIFS('Reguler Class Availability'!$A:$A,$B$4,'Reguler Class Availability'!$J:$J,$B291,'Reguler Class Availability'!$C:$C,"* - "&amp;D$284)</f>
        <v>4</v>
      </c>
      <c r="E291" s="85" t="n">
        <f aca="false">COUNTIFS('Reguler Class Availability'!$A:$A,$B$4,'Reguler Class Availability'!$I:$I,$B291,'Reguler Class Availability'!$C:$C,"* - "&amp;E$284)+COUNTIFS('Reguler Class Availability'!$A:$A,$B$4,'Reguler Class Availability'!$J:$J,$B291,'Reguler Class Availability'!$C:$C,"* - "&amp;E$284)</f>
        <v>5</v>
      </c>
      <c r="F291" s="85" t="n">
        <f aca="false">COUNTIFS('Reguler Class Availability'!$A:$A,$B$4,'Reguler Class Availability'!$I:$I,$B291,'Reguler Class Availability'!$C:$C,"* - "&amp;F$284)+COUNTIFS('Reguler Class Availability'!$A:$A,$B$4,'Reguler Class Availability'!$J:$J,$B291,'Reguler Class Availability'!$C:$C,"* - "&amp;F$284)</f>
        <v>3</v>
      </c>
      <c r="G291" s="85" t="n">
        <f aca="false">COUNTIFS('Reguler Class Availability'!$A:$A,$B$4,'Reguler Class Availability'!$I:$I,$B291,'Reguler Class Availability'!$C:$C,"* - "&amp;G$284)+COUNTIFS('Reguler Class Availability'!$A:$A,$B$4,'Reguler Class Availability'!$J:$J,$B291,'Reguler Class Availability'!$C:$C,"* - "&amp;G$284)</f>
        <v>0</v>
      </c>
      <c r="H291" s="85" t="n">
        <f aca="false">COUNTIFS('Reguler Class Availability'!$A:$A,$B$4,'Reguler Class Availability'!$I:$I,$B291,'Reguler Class Availability'!$C:$C,"* - "&amp;H$284)+COUNTIFS('Reguler Class Availability'!$A:$A,$B$4,'Reguler Class Availability'!$J:$J,$B291,'Reguler Class Availability'!$C:$C,"* - "&amp;H$284)</f>
        <v>0</v>
      </c>
      <c r="I291" s="85" t="n">
        <f aca="false">COUNTIFS('Reguler Class Availability'!$A:$A,$B$4,'Reguler Class Availability'!$I:$I,$B291,'Reguler Class Availability'!$C:$C,"* - "&amp;I$284)+COUNTIFS('Reguler Class Availability'!$A:$A,$B$4,'Reguler Class Availability'!$J:$J,$B291,'Reguler Class Availability'!$C:$C,"* - "&amp;I$284)</f>
        <v>4</v>
      </c>
      <c r="J291" s="85" t="n">
        <f aca="false">COUNTIFS('Reguler Class Availability'!$A:$A,$B$4,'Reguler Class Availability'!$I:$I,$B291,'Reguler Class Availability'!$C:$C,"* - "&amp;J$284)+COUNTIFS('Reguler Class Availability'!$A:$A,$B$4,'Reguler Class Availability'!$J:$J,$B291,'Reguler Class Availability'!$C:$C,"* - "&amp;J$284)</f>
        <v>1</v>
      </c>
      <c r="K291" s="82" t="n">
        <f aca="false">COUNTIFS('Reguler Class Availability'!$A:$A,$B$4,'Reguler Class Availability'!$I:$I,$B291)</f>
        <v>17</v>
      </c>
      <c r="L291" s="82" t="n">
        <f aca="false">COUNTIFS('Reguler Class Availability'!$A:$A,$B$4,'Reguler Class Availability'!$J:$J,$B291)</f>
        <v>0</v>
      </c>
      <c r="M291" s="82" t="s">
        <v>252</v>
      </c>
      <c r="BD291" s="30" t="s">
        <v>161</v>
      </c>
      <c r="BE291" s="30" t="n">
        <f aca="false">IF(COUNTIFS('Reguler Class Availability'!$L:$L,$B$4&amp;"|- Lane 5 - *|"&amp;BD291)&gt;0,1,0)</f>
        <v>0</v>
      </c>
      <c r="BF291" s="30" t="n">
        <f aca="false">BE291+BF290</f>
        <v>12</v>
      </c>
    </row>
    <row r="292" customFormat="false" ht="15" hidden="false" customHeight="false" outlineLevel="0" collapsed="false">
      <c r="A292" s="82" t="n">
        <v>8</v>
      </c>
      <c r="B292" s="83" t="s">
        <v>407</v>
      </c>
      <c r="C292" s="84" t="s">
        <v>260</v>
      </c>
      <c r="D292" s="85" t="n">
        <f aca="false">COUNTIFS('Reguler Class Availability'!$A:$A,$B$4,'Reguler Class Availability'!$I:$I,$B292,'Reguler Class Availability'!$C:$C,"* - "&amp;D$284)+COUNTIFS('Reguler Class Availability'!$A:$A,$B$4,'Reguler Class Availability'!$J:$J,$B292,'Reguler Class Availability'!$C:$C,"* - "&amp;D$284)</f>
        <v>0</v>
      </c>
      <c r="E292" s="85" t="n">
        <f aca="false">COUNTIFS('Reguler Class Availability'!$A:$A,$B$4,'Reguler Class Availability'!$I:$I,$B292,'Reguler Class Availability'!$C:$C,"* - "&amp;E$284)+COUNTIFS('Reguler Class Availability'!$A:$A,$B$4,'Reguler Class Availability'!$J:$J,$B292,'Reguler Class Availability'!$C:$C,"* - "&amp;E$284)</f>
        <v>3</v>
      </c>
      <c r="F292" s="85" t="n">
        <f aca="false">COUNTIFS('Reguler Class Availability'!$A:$A,$B$4,'Reguler Class Availability'!$I:$I,$B292,'Reguler Class Availability'!$C:$C,"* - "&amp;F$284)+COUNTIFS('Reguler Class Availability'!$A:$A,$B$4,'Reguler Class Availability'!$J:$J,$B292,'Reguler Class Availability'!$C:$C,"* - "&amp;F$284)</f>
        <v>0</v>
      </c>
      <c r="G292" s="85" t="n">
        <f aca="false">COUNTIFS('Reguler Class Availability'!$A:$A,$B$4,'Reguler Class Availability'!$I:$I,$B292,'Reguler Class Availability'!$C:$C,"* - "&amp;G$284)+COUNTIFS('Reguler Class Availability'!$A:$A,$B$4,'Reguler Class Availability'!$J:$J,$B292,'Reguler Class Availability'!$C:$C,"* - "&amp;G$284)</f>
        <v>0</v>
      </c>
      <c r="H292" s="85" t="n">
        <f aca="false">COUNTIFS('Reguler Class Availability'!$A:$A,$B$4,'Reguler Class Availability'!$I:$I,$B292,'Reguler Class Availability'!$C:$C,"* - "&amp;H$284)+COUNTIFS('Reguler Class Availability'!$A:$A,$B$4,'Reguler Class Availability'!$J:$J,$B292,'Reguler Class Availability'!$C:$C,"* - "&amp;H$284)</f>
        <v>0</v>
      </c>
      <c r="I292" s="85" t="n">
        <f aca="false">COUNTIFS('Reguler Class Availability'!$A:$A,$B$4,'Reguler Class Availability'!$I:$I,$B292,'Reguler Class Availability'!$C:$C,"* - "&amp;I$284)+COUNTIFS('Reguler Class Availability'!$A:$A,$B$4,'Reguler Class Availability'!$J:$J,$B292,'Reguler Class Availability'!$C:$C,"* - "&amp;I$284)</f>
        <v>0</v>
      </c>
      <c r="J292" s="85" t="n">
        <f aca="false">COUNTIFS('Reguler Class Availability'!$A:$A,$B$4,'Reguler Class Availability'!$I:$I,$B292,'Reguler Class Availability'!$C:$C,"* - "&amp;J$284)+COUNTIFS('Reguler Class Availability'!$A:$A,$B$4,'Reguler Class Availability'!$J:$J,$B292,'Reguler Class Availability'!$C:$C,"* - "&amp;J$284)</f>
        <v>0</v>
      </c>
      <c r="K292" s="82" t="n">
        <f aca="false">COUNTIFS('Reguler Class Availability'!$A:$A,$B$4,'Reguler Class Availability'!$I:$I,$B292)</f>
        <v>3</v>
      </c>
      <c r="L292" s="82" t="n">
        <f aca="false">COUNTIFS('Reguler Class Availability'!$A:$A,$B$4,'Reguler Class Availability'!$J:$J,$B292)</f>
        <v>0</v>
      </c>
      <c r="M292" s="82" t="s">
        <v>408</v>
      </c>
      <c r="BD292" s="30" t="s">
        <v>162</v>
      </c>
      <c r="BE292" s="30" t="n">
        <f aca="false">IF(COUNTIFS('Reguler Class Availability'!$L:$L,$B$4&amp;"|- Lane 5 - *|"&amp;BD292)&gt;0,1,0)</f>
        <v>0</v>
      </c>
      <c r="BF292" s="30" t="n">
        <f aca="false">BE292+BF291</f>
        <v>12</v>
      </c>
    </row>
    <row r="293" customFormat="false" ht="15" hidden="false" customHeight="false" outlineLevel="0" collapsed="false">
      <c r="BD293" s="0" t="s">
        <v>163</v>
      </c>
      <c r="BE293" s="0" t="n">
        <f aca="false">IF(COUNTIFS('Reguler Class Availability'!$L:$L,$B$4&amp;"|- Lane 5 - *|"&amp;BD293)&gt;0,1,0)</f>
        <v>0</v>
      </c>
      <c r="BF293" s="0" t="n">
        <f aca="false">BE293+BF292</f>
        <v>12</v>
      </c>
    </row>
    <row r="294" customFormat="false" ht="15" hidden="false" customHeight="false" outlineLevel="0" collapsed="false">
      <c r="BD294" s="0" t="s">
        <v>164</v>
      </c>
      <c r="BE294" s="0" t="n">
        <f aca="false">IF(COUNTIFS('Reguler Class Availability'!$L:$L,$B$4&amp;"|- Lane 5 - *|"&amp;BD294)&gt;0,1,0)</f>
        <v>0</v>
      </c>
      <c r="BF294" s="0" t="n">
        <f aca="false">BE294+BF293</f>
        <v>12</v>
      </c>
    </row>
    <row r="295" customFormat="false" ht="15" hidden="false" customHeight="false" outlineLevel="0" collapsed="false">
      <c r="BD295" s="0" t="s">
        <v>165</v>
      </c>
      <c r="BE295" s="0" t="n">
        <f aca="false">IF(COUNTIFS('Reguler Class Availability'!$L:$L,$B$4&amp;"|- Lane 5 - *|"&amp;BD295)&gt;0,1,0)</f>
        <v>0</v>
      </c>
      <c r="BF295" s="0" t="n">
        <f aca="false">BE295+BF294</f>
        <v>12</v>
      </c>
    </row>
    <row r="296" customFormat="false" ht="15" hidden="false" customHeight="false" outlineLevel="0" collapsed="false">
      <c r="BD296" s="0" t="s">
        <v>166</v>
      </c>
      <c r="BE296" s="0" t="n">
        <f aca="false">IF(COUNTIFS('Reguler Class Availability'!$L:$L,$B$4&amp;"|- Lane 5 - *|"&amp;BD296)&gt;0,1,0)</f>
        <v>0</v>
      </c>
      <c r="BF296" s="0" t="n">
        <f aca="false">BE296+BF295</f>
        <v>12</v>
      </c>
    </row>
    <row r="297" customFormat="false" ht="15" hidden="false" customHeight="false" outlineLevel="0" collapsed="false">
      <c r="BD297" s="0" t="s">
        <v>167</v>
      </c>
      <c r="BE297" s="0" t="n">
        <f aca="false">IF(COUNTIFS('Reguler Class Availability'!$L:$L,$B$4&amp;"|- Lane 5 - *|"&amp;BD297)&gt;0,1,0)</f>
        <v>0</v>
      </c>
      <c r="BF297" s="0" t="n">
        <f aca="false">BE297+BF296</f>
        <v>12</v>
      </c>
    </row>
    <row r="298" customFormat="false" ht="15" hidden="false" customHeight="false" outlineLevel="0" collapsed="false">
      <c r="BD298" s="0" t="s">
        <v>168</v>
      </c>
      <c r="BE298" s="0" t="n">
        <f aca="false">IF(COUNTIFS('Reguler Class Availability'!$L:$L,$B$4&amp;"|- Lane 5 - *|"&amp;BD298)&gt;0,1,0)</f>
        <v>0</v>
      </c>
      <c r="BF298" s="0" t="n">
        <f aca="false">BE298+BF297</f>
        <v>12</v>
      </c>
    </row>
    <row r="299" customFormat="false" ht="15" hidden="false" customHeight="false" outlineLevel="0" collapsed="false">
      <c r="BD299" s="0" t="s">
        <v>169</v>
      </c>
      <c r="BE299" s="0" t="n">
        <f aca="false">IF(COUNTIFS('Reguler Class Availability'!$L:$L,$B$4&amp;"|- Lane 5 - *|"&amp;BD299)&gt;0,1,0)</f>
        <v>0</v>
      </c>
      <c r="BF299" s="0" t="n">
        <f aca="false">BE299+BF298</f>
        <v>12</v>
      </c>
    </row>
    <row r="300" customFormat="false" ht="15" hidden="false" customHeight="false" outlineLevel="0" collapsed="false">
      <c r="BD300" s="0" t="s">
        <v>170</v>
      </c>
      <c r="BE300" s="0" t="n">
        <f aca="false">IF(COUNTIFS('Reguler Class Availability'!$L:$L,$B$4&amp;"|- Lane 5 - *|"&amp;BD300)&gt;0,1,0)</f>
        <v>0</v>
      </c>
      <c r="BF300" s="0" t="n">
        <f aca="false">BE300+BF299</f>
        <v>12</v>
      </c>
    </row>
    <row r="301" customFormat="false" ht="15" hidden="false" customHeight="false" outlineLevel="0" collapsed="false">
      <c r="BD301" s="0" t="s">
        <v>171</v>
      </c>
      <c r="BE301" s="0" t="n">
        <f aca="false">IF(COUNTIFS('Reguler Class Availability'!$L:$L,$B$4&amp;"|- Lane 5 - *|"&amp;BD301)&gt;0,1,0)</f>
        <v>0</v>
      </c>
      <c r="BF301" s="0" t="n">
        <f aca="false">BE301+BF300</f>
        <v>12</v>
      </c>
    </row>
    <row r="302" customFormat="false" ht="15" hidden="false" customHeight="false" outlineLevel="0" collapsed="false">
      <c r="BD302" s="0" t="s">
        <v>78</v>
      </c>
      <c r="BE302" s="0" t="n">
        <f aca="false">IF(COUNTIFS('Reguler Class Availability'!$L:$L,$B$4&amp;"|- Lane 6 - *|"&amp;BD302)&gt;0,1,0)</f>
        <v>0</v>
      </c>
      <c r="BF302" s="0" t="n">
        <f aca="false">BE302</f>
        <v>0</v>
      </c>
    </row>
    <row r="303" customFormat="false" ht="15" hidden="false" customHeight="false" outlineLevel="0" collapsed="false">
      <c r="BD303" s="0" t="s">
        <v>79</v>
      </c>
      <c r="BE303" s="0" t="n">
        <f aca="false">IF(COUNTIFS('Reguler Class Availability'!$L:$L,$B$4&amp;"|- Lane 6 - *|"&amp;BD303)&gt;0,1,0)</f>
        <v>0</v>
      </c>
      <c r="BF303" s="0" t="n">
        <f aca="false">BE303+BF302</f>
        <v>0</v>
      </c>
    </row>
    <row r="304" customFormat="false" ht="15" hidden="false" customHeight="false" outlineLevel="0" collapsed="false">
      <c r="BD304" s="0" t="s">
        <v>84</v>
      </c>
      <c r="BE304" s="0" t="n">
        <f aca="false">IF(COUNTIFS('Reguler Class Availability'!$L:$L,$B$4&amp;"|- Lane 6 - *|"&amp;BD304)&gt;0,1,0)</f>
        <v>0</v>
      </c>
      <c r="BF304" s="0" t="n">
        <f aca="false">BE304+BF303</f>
        <v>0</v>
      </c>
    </row>
    <row r="305" customFormat="false" ht="15" hidden="false" customHeight="false" outlineLevel="0" collapsed="false">
      <c r="BD305" s="0" t="s">
        <v>85</v>
      </c>
      <c r="BE305" s="0" t="n">
        <f aca="false">IF(COUNTIFS('Reguler Class Availability'!$L:$L,$B$4&amp;"|- Lane 6 - *|"&amp;BD305)&gt;0,1,0)</f>
        <v>0</v>
      </c>
      <c r="BF305" s="0" t="n">
        <f aca="false">BE305+BF304</f>
        <v>0</v>
      </c>
    </row>
    <row r="306" customFormat="false" ht="15" hidden="false" customHeight="false" outlineLevel="0" collapsed="false">
      <c r="BD306" s="0" t="s">
        <v>89</v>
      </c>
      <c r="BE306" s="0" t="n">
        <f aca="false">IF(COUNTIFS('Reguler Class Availability'!$L:$L,$B$4&amp;"|- Lane 6 - *|"&amp;BD306)&gt;0,1,0)</f>
        <v>0</v>
      </c>
      <c r="BF306" s="0" t="n">
        <f aca="false">BE306+BF305</f>
        <v>0</v>
      </c>
    </row>
    <row r="307" customFormat="false" ht="15" hidden="false" customHeight="false" outlineLevel="0" collapsed="false">
      <c r="BD307" s="0" t="s">
        <v>90</v>
      </c>
      <c r="BE307" s="0" t="n">
        <f aca="false">IF(COUNTIFS('Reguler Class Availability'!$L:$L,$B$4&amp;"|- Lane 6 - *|"&amp;BD307)&gt;0,1,0)</f>
        <v>0</v>
      </c>
      <c r="BF307" s="0" t="n">
        <f aca="false">BE307+BF306</f>
        <v>0</v>
      </c>
    </row>
    <row r="308" customFormat="false" ht="15" hidden="false" customHeight="false" outlineLevel="0" collapsed="false">
      <c r="BD308" s="0" t="s">
        <v>91</v>
      </c>
      <c r="BE308" s="0" t="n">
        <f aca="false">IF(COUNTIFS('Reguler Class Availability'!$L:$L,$B$4&amp;"|- Lane 6 - *|"&amp;BD308)&gt;0,1,0)</f>
        <v>0</v>
      </c>
      <c r="BF308" s="0" t="n">
        <f aca="false">BE308+BF307</f>
        <v>0</v>
      </c>
    </row>
    <row r="309" customFormat="false" ht="15" hidden="false" customHeight="false" outlineLevel="0" collapsed="false">
      <c r="BD309" s="0" t="s">
        <v>98</v>
      </c>
      <c r="BE309" s="0" t="n">
        <f aca="false">IF(COUNTIFS('Reguler Class Availability'!$L:$L,$B$4&amp;"|- Lane 6 - *|"&amp;BD309)&gt;0,1,0)</f>
        <v>0</v>
      </c>
      <c r="BF309" s="0" t="n">
        <f aca="false">BE309+BF308</f>
        <v>0</v>
      </c>
    </row>
    <row r="310" customFormat="false" ht="15" hidden="false" customHeight="false" outlineLevel="0" collapsed="false">
      <c r="BD310" s="0" t="s">
        <v>105</v>
      </c>
      <c r="BE310" s="0" t="n">
        <f aca="false">IF(COUNTIFS('Reguler Class Availability'!$L:$L,$B$4&amp;"|- Lane 6 - *|"&amp;BD310)&gt;0,1,0)</f>
        <v>1</v>
      </c>
      <c r="BF310" s="0" t="n">
        <f aca="false">BE310+BF309</f>
        <v>1</v>
      </c>
    </row>
    <row r="311" customFormat="false" ht="15" hidden="false" customHeight="false" outlineLevel="0" collapsed="false">
      <c r="BD311" s="0" t="s">
        <v>110</v>
      </c>
      <c r="BE311" s="0" t="n">
        <f aca="false">IF(COUNTIFS('Reguler Class Availability'!$L:$L,$B$4&amp;"|- Lane 6 - *|"&amp;BD311)&gt;0,1,0)</f>
        <v>0</v>
      </c>
      <c r="BF311" s="0" t="n">
        <f aca="false">BE311+BF310</f>
        <v>1</v>
      </c>
    </row>
    <row r="312" customFormat="false" ht="15" hidden="false" customHeight="false" outlineLevel="0" collapsed="false">
      <c r="BD312" s="0" t="s">
        <v>112</v>
      </c>
      <c r="BE312" s="0" t="n">
        <f aca="false">IF(COUNTIFS('Reguler Class Availability'!$L:$L,$B$4&amp;"|- Lane 6 - *|"&amp;BD312)&gt;0,1,0)</f>
        <v>0</v>
      </c>
      <c r="BF312" s="0" t="n">
        <f aca="false">BE312+BF311</f>
        <v>1</v>
      </c>
    </row>
    <row r="313" customFormat="false" ht="15" hidden="false" customHeight="false" outlineLevel="0" collapsed="false">
      <c r="BD313" s="0" t="s">
        <v>120</v>
      </c>
      <c r="BE313" s="0" t="n">
        <f aca="false">IF(COUNTIFS('Reguler Class Availability'!$L:$L,$B$4&amp;"|- Lane 6 - *|"&amp;BD313)&gt;0,1,0)</f>
        <v>1</v>
      </c>
      <c r="BF313" s="0" t="n">
        <f aca="false">BE313+BF312</f>
        <v>2</v>
      </c>
    </row>
    <row r="314" customFormat="false" ht="15" hidden="false" customHeight="false" outlineLevel="0" collapsed="false">
      <c r="BD314" s="0" t="s">
        <v>121</v>
      </c>
      <c r="BE314" s="0" t="n">
        <f aca="false">IF(COUNTIFS('Reguler Class Availability'!$L:$L,$B$4&amp;"|- Lane 6 - *|"&amp;BD314)&gt;0,1,0)</f>
        <v>0</v>
      </c>
      <c r="BF314" s="0" t="n">
        <f aca="false">BE314+BF313</f>
        <v>2</v>
      </c>
    </row>
    <row r="315" customFormat="false" ht="15" hidden="false" customHeight="false" outlineLevel="0" collapsed="false">
      <c r="BD315" s="0" t="s">
        <v>122</v>
      </c>
      <c r="BE315" s="0" t="n">
        <f aca="false">IF(COUNTIFS('Reguler Class Availability'!$L:$L,$B$4&amp;"|- Lane 6 - *|"&amp;BD315)&gt;0,1,0)</f>
        <v>0</v>
      </c>
      <c r="BF315" s="0" t="n">
        <f aca="false">BE315+BF314</f>
        <v>2</v>
      </c>
    </row>
    <row r="316" customFormat="false" ht="15" hidden="false" customHeight="false" outlineLevel="0" collapsed="false">
      <c r="BD316" s="0" t="s">
        <v>123</v>
      </c>
      <c r="BE316" s="0" t="n">
        <f aca="false">IF(COUNTIFS('Reguler Class Availability'!$L:$L,$B$4&amp;"|- Lane 6 - *|"&amp;BD316)&gt;0,1,0)</f>
        <v>1</v>
      </c>
      <c r="BF316" s="0" t="n">
        <f aca="false">BE316+BF315</f>
        <v>3</v>
      </c>
    </row>
    <row r="317" customFormat="false" ht="15" hidden="false" customHeight="false" outlineLevel="0" collapsed="false">
      <c r="BD317" s="0" t="s">
        <v>124</v>
      </c>
      <c r="BE317" s="0" t="n">
        <f aca="false">IF(COUNTIFS('Reguler Class Availability'!$L:$L,$B$4&amp;"|- Lane 6 - *|"&amp;BD317)&gt;0,1,0)</f>
        <v>0</v>
      </c>
      <c r="BF317" s="0" t="n">
        <f aca="false">BE317+BF316</f>
        <v>3</v>
      </c>
    </row>
    <row r="318" customFormat="false" ht="15" hidden="false" customHeight="false" outlineLevel="0" collapsed="false">
      <c r="BD318" s="0" t="s">
        <v>125</v>
      </c>
      <c r="BE318" s="0" t="n">
        <f aca="false">IF(COUNTIFS('Reguler Class Availability'!$L:$L,$B$4&amp;"|- Lane 6 - *|"&amp;BD318)&gt;0,1,0)</f>
        <v>0</v>
      </c>
      <c r="BF318" s="0" t="n">
        <f aca="false">BE318+BF317</f>
        <v>3</v>
      </c>
    </row>
    <row r="319" customFormat="false" ht="15" hidden="false" customHeight="false" outlineLevel="0" collapsed="false">
      <c r="BD319" s="0" t="s">
        <v>126</v>
      </c>
      <c r="BE319" s="0" t="n">
        <f aca="false">IF(COUNTIFS('Reguler Class Availability'!$L:$L,$B$4&amp;"|- Lane 6 - *|"&amp;BD319)&gt;0,1,0)</f>
        <v>1</v>
      </c>
      <c r="BF319" s="0" t="n">
        <f aca="false">BE319+BF318</f>
        <v>4</v>
      </c>
    </row>
    <row r="320" customFormat="false" ht="15" hidden="false" customHeight="false" outlineLevel="0" collapsed="false">
      <c r="BD320" s="0" t="s">
        <v>127</v>
      </c>
      <c r="BE320" s="0" t="n">
        <f aca="false">IF(COUNTIFS('Reguler Class Availability'!$L:$L,$B$4&amp;"|- Lane 6 - *|"&amp;BD320)&gt;0,1,0)</f>
        <v>0</v>
      </c>
      <c r="BF320" s="0" t="n">
        <f aca="false">BE320+BF319</f>
        <v>4</v>
      </c>
    </row>
    <row r="321" customFormat="false" ht="15" hidden="false" customHeight="false" outlineLevel="0" collapsed="false">
      <c r="BD321" s="0" t="s">
        <v>128</v>
      </c>
      <c r="BE321" s="0" t="n">
        <f aca="false">IF(COUNTIFS('Reguler Class Availability'!$L:$L,$B$4&amp;"|- Lane 6 - *|"&amp;BD321)&gt;0,1,0)</f>
        <v>0</v>
      </c>
      <c r="BF321" s="0" t="n">
        <f aca="false">BE321+BF320</f>
        <v>4</v>
      </c>
    </row>
    <row r="322" customFormat="false" ht="15" hidden="false" customHeight="false" outlineLevel="0" collapsed="false">
      <c r="BD322" s="0" t="s">
        <v>129</v>
      </c>
      <c r="BE322" s="0" t="n">
        <f aca="false">IF(COUNTIFS('Reguler Class Availability'!$L:$L,$B$4&amp;"|- Lane 6 - *|"&amp;BD322)&gt;0,1,0)</f>
        <v>1</v>
      </c>
      <c r="BF322" s="0" t="n">
        <f aca="false">BE322+BF321</f>
        <v>5</v>
      </c>
    </row>
    <row r="323" customFormat="false" ht="15" hidden="false" customHeight="false" outlineLevel="0" collapsed="false">
      <c r="BD323" s="0" t="s">
        <v>130</v>
      </c>
      <c r="BE323" s="0" t="n">
        <f aca="false">IF(COUNTIFS('Reguler Class Availability'!$L:$L,$B$4&amp;"|- Lane 6 - *|"&amp;BD323)&gt;0,1,0)</f>
        <v>0</v>
      </c>
      <c r="BF323" s="0" t="n">
        <f aca="false">BE323+BF322</f>
        <v>5</v>
      </c>
    </row>
    <row r="324" customFormat="false" ht="15" hidden="false" customHeight="false" outlineLevel="0" collapsed="false">
      <c r="BD324" s="0" t="s">
        <v>131</v>
      </c>
      <c r="BE324" s="0" t="n">
        <f aca="false">IF(COUNTIFS('Reguler Class Availability'!$L:$L,$B$4&amp;"|- Lane 6 - *|"&amp;BD324)&gt;0,1,0)</f>
        <v>0</v>
      </c>
      <c r="BF324" s="0" t="n">
        <f aca="false">BE324+BF323</f>
        <v>5</v>
      </c>
    </row>
    <row r="325" customFormat="false" ht="15" hidden="false" customHeight="false" outlineLevel="0" collapsed="false">
      <c r="BD325" s="0" t="s">
        <v>132</v>
      </c>
      <c r="BE325" s="0" t="n">
        <f aca="false">IF(COUNTIFS('Reguler Class Availability'!$L:$L,$B$4&amp;"|- Lane 6 - *|"&amp;BD325)&gt;0,1,0)</f>
        <v>1</v>
      </c>
      <c r="BF325" s="0" t="n">
        <f aca="false">BE325+BF324</f>
        <v>6</v>
      </c>
    </row>
    <row r="326" customFormat="false" ht="15" hidden="false" customHeight="false" outlineLevel="0" collapsed="false">
      <c r="BD326" s="0" t="s">
        <v>133</v>
      </c>
      <c r="BE326" s="0" t="n">
        <f aca="false">IF(COUNTIFS('Reguler Class Availability'!$L:$L,$B$4&amp;"|- Lane 6 - *|"&amp;BD326)&gt;0,1,0)</f>
        <v>0</v>
      </c>
      <c r="BF326" s="0" t="n">
        <f aca="false">BE326+BF325</f>
        <v>6</v>
      </c>
    </row>
    <row r="327" customFormat="false" ht="15" hidden="false" customHeight="false" outlineLevel="0" collapsed="false">
      <c r="BD327" s="0" t="s">
        <v>134</v>
      </c>
      <c r="BE327" s="0" t="n">
        <f aca="false">IF(COUNTIFS('Reguler Class Availability'!$L:$L,$B$4&amp;"|- Lane 6 - *|"&amp;BD327)&gt;0,1,0)</f>
        <v>0</v>
      </c>
      <c r="BF327" s="0" t="n">
        <f aca="false">BE327+BF326</f>
        <v>6</v>
      </c>
    </row>
    <row r="328" customFormat="false" ht="15" hidden="false" customHeight="false" outlineLevel="0" collapsed="false">
      <c r="BD328" s="0" t="s">
        <v>135</v>
      </c>
      <c r="BE328" s="0" t="n">
        <f aca="false">IF(COUNTIFS('Reguler Class Availability'!$L:$L,$B$4&amp;"|- Lane 6 - *|"&amp;BD328)&gt;0,1,0)</f>
        <v>0</v>
      </c>
      <c r="BF328" s="0" t="n">
        <f aca="false">BE328+BF327</f>
        <v>6</v>
      </c>
    </row>
    <row r="329" customFormat="false" ht="15" hidden="false" customHeight="false" outlineLevel="0" collapsed="false">
      <c r="BD329" s="0" t="s">
        <v>136</v>
      </c>
      <c r="BE329" s="0" t="n">
        <f aca="false">IF(COUNTIFS('Reguler Class Availability'!$L:$L,$B$4&amp;"|- Lane 6 - *|"&amp;BD329)&gt;0,1,0)</f>
        <v>0</v>
      </c>
      <c r="BF329" s="0" t="n">
        <f aca="false">BE329+BF328</f>
        <v>6</v>
      </c>
    </row>
    <row r="330" customFormat="false" ht="15" hidden="false" customHeight="false" outlineLevel="0" collapsed="false">
      <c r="BD330" s="0" t="s">
        <v>138</v>
      </c>
      <c r="BE330" s="0" t="n">
        <f aca="false">IF(COUNTIFS('Reguler Class Availability'!$L:$L,$B$4&amp;"|- Lane 6 - *|"&amp;BD330)&gt;0,1,0)</f>
        <v>0</v>
      </c>
      <c r="BF330" s="0" t="n">
        <f aca="false">BE330+BF329</f>
        <v>6</v>
      </c>
    </row>
    <row r="331" customFormat="false" ht="15" hidden="false" customHeight="false" outlineLevel="0" collapsed="false">
      <c r="BD331" s="0" t="s">
        <v>139</v>
      </c>
      <c r="BE331" s="0" t="n">
        <f aca="false">IF(COUNTIFS('Reguler Class Availability'!$L:$L,$B$4&amp;"|- Lane 6 - *|"&amp;BD331)&gt;0,1,0)</f>
        <v>1</v>
      </c>
      <c r="BF331" s="0" t="n">
        <f aca="false">BE331+BF330</f>
        <v>7</v>
      </c>
    </row>
    <row r="332" customFormat="false" ht="15" hidden="false" customHeight="false" outlineLevel="0" collapsed="false">
      <c r="BD332" s="0" t="s">
        <v>141</v>
      </c>
      <c r="BE332" s="0" t="n">
        <f aca="false">IF(COUNTIFS('Reguler Class Availability'!$L:$L,$B$4&amp;"|- Lane 6 - *|"&amp;BD332)&gt;0,1,0)</f>
        <v>0</v>
      </c>
      <c r="BF332" s="0" t="n">
        <f aca="false">BE332+BF331</f>
        <v>7</v>
      </c>
    </row>
    <row r="333" customFormat="false" ht="15" hidden="false" customHeight="false" outlineLevel="0" collapsed="false">
      <c r="BD333" s="0" t="s">
        <v>142</v>
      </c>
      <c r="BE333" s="0" t="n">
        <f aca="false">IF(COUNTIFS('Reguler Class Availability'!$L:$L,$B$4&amp;"|- Lane 6 - *|"&amp;BD333)&gt;0,1,0)</f>
        <v>0</v>
      </c>
      <c r="BF333" s="0" t="n">
        <f aca="false">BE333+BF332</f>
        <v>7</v>
      </c>
    </row>
    <row r="334" customFormat="false" ht="15" hidden="false" customHeight="false" outlineLevel="0" collapsed="false">
      <c r="BD334" s="0" t="s">
        <v>143</v>
      </c>
      <c r="BE334" s="0" t="n">
        <f aca="false">IF(COUNTIFS('Reguler Class Availability'!$L:$L,$B$4&amp;"|- Lane 6 - *|"&amp;BD334)&gt;0,1,0)</f>
        <v>1</v>
      </c>
      <c r="BF334" s="0" t="n">
        <f aca="false">BE334+BF333</f>
        <v>8</v>
      </c>
    </row>
    <row r="335" customFormat="false" ht="15" hidden="false" customHeight="false" outlineLevel="0" collapsed="false">
      <c r="BD335" s="0" t="s">
        <v>144</v>
      </c>
      <c r="BE335" s="0" t="n">
        <f aca="false">IF(COUNTIFS('Reguler Class Availability'!$L:$L,$B$4&amp;"|- Lane 6 - *|"&amp;BD335)&gt;0,1,0)</f>
        <v>0</v>
      </c>
      <c r="BF335" s="0" t="n">
        <f aca="false">BE335+BF334</f>
        <v>8</v>
      </c>
    </row>
    <row r="336" customFormat="false" ht="15" hidden="false" customHeight="false" outlineLevel="0" collapsed="false">
      <c r="BD336" s="0" t="s">
        <v>145</v>
      </c>
      <c r="BE336" s="0" t="n">
        <f aca="false">IF(COUNTIFS('Reguler Class Availability'!$L:$L,$B$4&amp;"|- Lane 6 - *|"&amp;BD336)&gt;0,1,0)</f>
        <v>0</v>
      </c>
      <c r="BF336" s="0" t="n">
        <f aca="false">BE336+BF335</f>
        <v>8</v>
      </c>
    </row>
    <row r="337" customFormat="false" ht="15" hidden="false" customHeight="false" outlineLevel="0" collapsed="false">
      <c r="BD337" s="0" t="s">
        <v>146</v>
      </c>
      <c r="BE337" s="0" t="n">
        <f aca="false">IF(COUNTIFS('Reguler Class Availability'!$L:$L,$B$4&amp;"|- Lane 6 - *|"&amp;BD337)&gt;0,1,0)</f>
        <v>1</v>
      </c>
      <c r="BF337" s="0" t="n">
        <f aca="false">BE337+BF336</f>
        <v>9</v>
      </c>
    </row>
    <row r="338" customFormat="false" ht="15" hidden="false" customHeight="false" outlineLevel="0" collapsed="false">
      <c r="BD338" s="0" t="s">
        <v>147</v>
      </c>
      <c r="BE338" s="0" t="n">
        <f aca="false">IF(COUNTIFS('Reguler Class Availability'!$L:$L,$B$4&amp;"|- Lane 6 - *|"&amp;BD338)&gt;0,1,0)</f>
        <v>0</v>
      </c>
      <c r="BF338" s="0" t="n">
        <f aca="false">BE338+BF337</f>
        <v>9</v>
      </c>
    </row>
    <row r="339" customFormat="false" ht="15" hidden="false" customHeight="false" outlineLevel="0" collapsed="false">
      <c r="BD339" s="0" t="s">
        <v>148</v>
      </c>
      <c r="BE339" s="0" t="n">
        <f aca="false">IF(COUNTIFS('Reguler Class Availability'!$L:$L,$B$4&amp;"|- Lane 6 - *|"&amp;BD339)&gt;0,1,0)</f>
        <v>0</v>
      </c>
      <c r="BF339" s="0" t="n">
        <f aca="false">BE339+BF338</f>
        <v>9</v>
      </c>
    </row>
    <row r="340" customFormat="false" ht="15" hidden="false" customHeight="false" outlineLevel="0" collapsed="false">
      <c r="BD340" s="0" t="s">
        <v>149</v>
      </c>
      <c r="BE340" s="0" t="n">
        <f aca="false">IF(COUNTIFS('Reguler Class Availability'!$L:$L,$B$4&amp;"|- Lane 6 - *|"&amp;BD340)&gt;0,1,0)</f>
        <v>1</v>
      </c>
      <c r="BF340" s="0" t="n">
        <f aca="false">BE340+BF339</f>
        <v>10</v>
      </c>
    </row>
    <row r="341" customFormat="false" ht="15" hidden="false" customHeight="false" outlineLevel="0" collapsed="false">
      <c r="BD341" s="0" t="s">
        <v>150</v>
      </c>
      <c r="BE341" s="0" t="n">
        <f aca="false">IF(COUNTIFS('Reguler Class Availability'!$L:$L,$B$4&amp;"|- Lane 6 - *|"&amp;BD341)&gt;0,1,0)</f>
        <v>0</v>
      </c>
      <c r="BF341" s="0" t="n">
        <f aca="false">BE341+BF340</f>
        <v>10</v>
      </c>
    </row>
    <row r="342" customFormat="false" ht="15" hidden="false" customHeight="false" outlineLevel="0" collapsed="false">
      <c r="BD342" s="0" t="s">
        <v>151</v>
      </c>
      <c r="BE342" s="0" t="n">
        <f aca="false">IF(COUNTIFS('Reguler Class Availability'!$L:$L,$B$4&amp;"|- Lane 6 - *|"&amp;BD342)&gt;0,1,0)</f>
        <v>0</v>
      </c>
      <c r="BF342" s="0" t="n">
        <f aca="false">BE342+BF341</f>
        <v>10</v>
      </c>
    </row>
    <row r="343" customFormat="false" ht="15" hidden="false" customHeight="false" outlineLevel="0" collapsed="false">
      <c r="BD343" s="0" t="s">
        <v>152</v>
      </c>
      <c r="BE343" s="0" t="n">
        <f aca="false">IF(COUNTIFS('Reguler Class Availability'!$L:$L,$B$4&amp;"|- Lane 6 - *|"&amp;BD343)&gt;0,1,0)</f>
        <v>1</v>
      </c>
      <c r="BF343" s="0" t="n">
        <f aca="false">BE343+BF342</f>
        <v>11</v>
      </c>
    </row>
    <row r="344" customFormat="false" ht="15" hidden="false" customHeight="false" outlineLevel="0" collapsed="false">
      <c r="BD344" s="0" t="s">
        <v>153</v>
      </c>
      <c r="BE344" s="0" t="n">
        <f aca="false">IF(COUNTIFS('Reguler Class Availability'!$L:$L,$B$4&amp;"|- Lane 6 - *|"&amp;BD344)&gt;0,1,0)</f>
        <v>0</v>
      </c>
      <c r="BF344" s="0" t="n">
        <f aca="false">BE344+BF343</f>
        <v>11</v>
      </c>
    </row>
    <row r="345" customFormat="false" ht="15" hidden="false" customHeight="false" outlineLevel="0" collapsed="false">
      <c r="BD345" s="0" t="s">
        <v>154</v>
      </c>
      <c r="BE345" s="0" t="n">
        <f aca="false">IF(COUNTIFS('Reguler Class Availability'!$L:$L,$B$4&amp;"|- Lane 6 - *|"&amp;BD345)&gt;0,1,0)</f>
        <v>0</v>
      </c>
      <c r="BF345" s="0" t="n">
        <f aca="false">BE345+BF344</f>
        <v>11</v>
      </c>
    </row>
    <row r="346" customFormat="false" ht="15" hidden="false" customHeight="false" outlineLevel="0" collapsed="false">
      <c r="BD346" s="0" t="s">
        <v>155</v>
      </c>
      <c r="BE346" s="0" t="n">
        <f aca="false">IF(COUNTIFS('Reguler Class Availability'!$L:$L,$B$4&amp;"|- Lane 6 - *|"&amp;BD346)&gt;0,1,0)</f>
        <v>1</v>
      </c>
      <c r="BF346" s="0" t="n">
        <f aca="false">BE346+BF345</f>
        <v>12</v>
      </c>
    </row>
    <row r="347" customFormat="false" ht="15" hidden="false" customHeight="false" outlineLevel="0" collapsed="false">
      <c r="BD347" s="0" t="s">
        <v>156</v>
      </c>
      <c r="BE347" s="0" t="n">
        <f aca="false">IF(COUNTIFS('Reguler Class Availability'!$L:$L,$B$4&amp;"|- Lane 6 - *|"&amp;BD347)&gt;0,1,0)</f>
        <v>0</v>
      </c>
      <c r="BF347" s="0" t="n">
        <f aca="false">BE347+BF346</f>
        <v>12</v>
      </c>
    </row>
    <row r="348" customFormat="false" ht="15" hidden="false" customHeight="false" outlineLevel="0" collapsed="false">
      <c r="BD348" s="0" t="s">
        <v>157</v>
      </c>
      <c r="BE348" s="0" t="n">
        <f aca="false">IF(COUNTIFS('Reguler Class Availability'!$L:$L,$B$4&amp;"|- Lane 6 - *|"&amp;BD348)&gt;0,1,0)</f>
        <v>0</v>
      </c>
      <c r="BF348" s="0" t="n">
        <f aca="false">BE348+BF347</f>
        <v>12</v>
      </c>
    </row>
    <row r="349" customFormat="false" ht="15" hidden="false" customHeight="false" outlineLevel="0" collapsed="false">
      <c r="BD349" s="0" t="s">
        <v>158</v>
      </c>
      <c r="BE349" s="0" t="n">
        <f aca="false">IF(COUNTIFS('Reguler Class Availability'!$L:$L,$B$4&amp;"|- Lane 6 - *|"&amp;BD349)&gt;0,1,0)</f>
        <v>0</v>
      </c>
      <c r="BF349" s="0" t="n">
        <f aca="false">BE349+BF348</f>
        <v>12</v>
      </c>
    </row>
    <row r="350" customFormat="false" ht="15" hidden="false" customHeight="false" outlineLevel="0" collapsed="false">
      <c r="BD350" s="0" t="s">
        <v>160</v>
      </c>
      <c r="BE350" s="0" t="n">
        <f aca="false">IF(COUNTIFS('Reguler Class Availability'!$L:$L,$B$4&amp;"|- Lane 6 - *|"&amp;BD350)&gt;0,1,0)</f>
        <v>0</v>
      </c>
      <c r="BF350" s="0" t="n">
        <f aca="false">BE350+BF349</f>
        <v>12</v>
      </c>
    </row>
    <row r="351" customFormat="false" ht="15" hidden="false" customHeight="false" outlineLevel="0" collapsed="false">
      <c r="BD351" s="0" t="s">
        <v>161</v>
      </c>
      <c r="BE351" s="0" t="n">
        <f aca="false">IF(COUNTIFS('Reguler Class Availability'!$L:$L,$B$4&amp;"|- Lane 6 - *|"&amp;BD351)&gt;0,1,0)</f>
        <v>0</v>
      </c>
      <c r="BF351" s="0" t="n">
        <f aca="false">BE351+BF350</f>
        <v>12</v>
      </c>
    </row>
    <row r="352" customFormat="false" ht="15" hidden="false" customHeight="false" outlineLevel="0" collapsed="false">
      <c r="BD352" s="0" t="s">
        <v>162</v>
      </c>
      <c r="BE352" s="0" t="n">
        <f aca="false">IF(COUNTIFS('Reguler Class Availability'!$L:$L,$B$4&amp;"|- Lane 6 - *|"&amp;BD352)&gt;0,1,0)</f>
        <v>0</v>
      </c>
      <c r="BF352" s="0" t="n">
        <f aca="false">BE352+BF351</f>
        <v>12</v>
      </c>
    </row>
    <row r="353" customFormat="false" ht="15" hidden="false" customHeight="false" outlineLevel="0" collapsed="false">
      <c r="BD353" s="0" t="s">
        <v>163</v>
      </c>
      <c r="BE353" s="0" t="n">
        <f aca="false">IF(COUNTIFS('Reguler Class Availability'!$L:$L,$B$4&amp;"|- Lane 6 - *|"&amp;BD353)&gt;0,1,0)</f>
        <v>0</v>
      </c>
      <c r="BF353" s="0" t="n">
        <f aca="false">BE353+BF352</f>
        <v>12</v>
      </c>
    </row>
    <row r="354" customFormat="false" ht="15" hidden="false" customHeight="false" outlineLevel="0" collapsed="false">
      <c r="BD354" s="0" t="s">
        <v>164</v>
      </c>
      <c r="BE354" s="0" t="n">
        <f aca="false">IF(COUNTIFS('Reguler Class Availability'!$L:$L,$B$4&amp;"|- Lane 6 - *|"&amp;BD354)&gt;0,1,0)</f>
        <v>0</v>
      </c>
      <c r="BF354" s="0" t="n">
        <f aca="false">BE354+BF353</f>
        <v>12</v>
      </c>
    </row>
    <row r="355" customFormat="false" ht="15" hidden="false" customHeight="false" outlineLevel="0" collapsed="false">
      <c r="BD355" s="0" t="s">
        <v>165</v>
      </c>
      <c r="BE355" s="0" t="n">
        <f aca="false">IF(COUNTIFS('Reguler Class Availability'!$L:$L,$B$4&amp;"|- Lane 6 - *|"&amp;BD355)&gt;0,1,0)</f>
        <v>0</v>
      </c>
      <c r="BF355" s="0" t="n">
        <f aca="false">BE355+BF354</f>
        <v>12</v>
      </c>
    </row>
    <row r="356" customFormat="false" ht="15" hidden="false" customHeight="false" outlineLevel="0" collapsed="false">
      <c r="BD356" s="0" t="s">
        <v>166</v>
      </c>
      <c r="BE356" s="0" t="n">
        <f aca="false">IF(COUNTIFS('Reguler Class Availability'!$L:$L,$B$4&amp;"|- Lane 6 - *|"&amp;BD356)&gt;0,1,0)</f>
        <v>0</v>
      </c>
      <c r="BF356" s="0" t="n">
        <f aca="false">BE356+BF355</f>
        <v>12</v>
      </c>
    </row>
    <row r="357" customFormat="false" ht="15" hidden="false" customHeight="false" outlineLevel="0" collapsed="false">
      <c r="BD357" s="0" t="s">
        <v>167</v>
      </c>
      <c r="BE357" s="0" t="n">
        <f aca="false">IF(COUNTIFS('Reguler Class Availability'!$L:$L,$B$4&amp;"|- Lane 6 - *|"&amp;BD357)&gt;0,1,0)</f>
        <v>0</v>
      </c>
      <c r="BF357" s="0" t="n">
        <f aca="false">BE357+BF356</f>
        <v>12</v>
      </c>
    </row>
    <row r="358" customFormat="false" ht="15" hidden="false" customHeight="false" outlineLevel="0" collapsed="false">
      <c r="BD358" s="0" t="s">
        <v>168</v>
      </c>
      <c r="BE358" s="0" t="n">
        <f aca="false">IF(COUNTIFS('Reguler Class Availability'!$L:$L,$B$4&amp;"|- Lane 6 - *|"&amp;BD358)&gt;0,1,0)</f>
        <v>0</v>
      </c>
      <c r="BF358" s="0" t="n">
        <f aca="false">BE358+BF357</f>
        <v>12</v>
      </c>
    </row>
    <row r="359" customFormat="false" ht="15" hidden="false" customHeight="false" outlineLevel="0" collapsed="false">
      <c r="BD359" s="0" t="s">
        <v>169</v>
      </c>
      <c r="BE359" s="0" t="n">
        <f aca="false">IF(COUNTIFS('Reguler Class Availability'!$L:$L,$B$4&amp;"|- Lane 6 - *|"&amp;BD359)&gt;0,1,0)</f>
        <v>0</v>
      </c>
      <c r="BF359" s="0" t="n">
        <f aca="false">BE359+BF358</f>
        <v>12</v>
      </c>
    </row>
    <row r="360" customFormat="false" ht="15" hidden="false" customHeight="false" outlineLevel="0" collapsed="false">
      <c r="BD360" s="0" t="s">
        <v>170</v>
      </c>
      <c r="BE360" s="0" t="n">
        <f aca="false">IF(COUNTIFS('Reguler Class Availability'!$L:$L,$B$4&amp;"|- Lane 6 - *|"&amp;BD360)&gt;0,1,0)</f>
        <v>0</v>
      </c>
      <c r="BF360" s="0" t="n">
        <f aca="false">BE360+BF359</f>
        <v>12</v>
      </c>
    </row>
    <row r="361" customFormat="false" ht="15" hidden="false" customHeight="false" outlineLevel="0" collapsed="false">
      <c r="BD361" s="0" t="s">
        <v>171</v>
      </c>
      <c r="BE361" s="0" t="n">
        <f aca="false">IF(COUNTIFS('Reguler Class Availability'!$L:$L,$B$4&amp;"|- Lane 6 - *|"&amp;BD361)&gt;0,1,0)</f>
        <v>0</v>
      </c>
      <c r="BF361" s="0" t="n">
        <f aca="false">BE361+BF360</f>
        <v>12</v>
      </c>
    </row>
  </sheetData>
  <autoFilter ref="A126:O279"/>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279">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279">
    <cfRule type="expression" priority="52" aboveAverage="0" equalAverage="0" bottom="0" percent="0" rank="0" text="" dxfId="16">
      <formula>$K127="Jual minggu ini"</formula>
    </cfRule>
  </conditionalFormatting>
  <conditionalFormatting sqref="D285:J292">
    <cfRule type="colorScale" priority="5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27:N279" type="whole">
      <formula1>0</formula1>
      <formula2>20</formula2>
    </dataValidation>
    <dataValidation allowBlank="true" errorStyle="stop" operator="between" showDropDown="false" showErrorMessage="false" showInputMessage="false" sqref="K127:K279" type="list">
      <formula1>"Jual minggu ini,Buka kelas baru,Ganti age group,Tahan,Tutup slot"</formula1>
      <formula2>0</formula2>
    </dataValidation>
    <dataValidation allowBlank="true" errorStyle="stop" operator="between" showDropDown="false" showErrorMessage="false" showInputMessage="false" sqref="L127:L279" type="list">
      <formula1>"Baby,Tiny,Little,Kids,Star"</formula1>
      <formula2>0</formula2>
    </dataValidation>
    <dataValidation allowBlank="true" errorStyle="stop" operator="between" showDropDown="false" showErrorMessage="false" showInputMessage="false" sqref="M127:M279" type="list">
      <formula1>$B$285:$B$292</formula1>
      <formula2>0</formula2>
    </dataValidation>
  </dataValidations>
  <hyperlinks>
    <hyperlink ref="B11" r:id="rId1" location="'PML'!A12" display="→ Slot Map"/>
    <hyperlink ref="C11" r:id="rId2" location="'PML'!A124" display="→ Daftar Diskusi"/>
    <hyperlink ref="D11" r:id="rId3" location="'PML'!A282"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40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409</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67</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0.0773809523809524</v>
      </c>
      <c r="C7" s="42" t="str">
        <f aca="false">SUMIFS('Reguler Class Availability'!$G:$G,'Reguler Class Availability'!$A:$A,$B$4,'Reguler Class Availability'!$F:$F,"&gt;0")&amp;" / "&amp;SUMIFS('Reguler Class Availability'!$F:$F,'Reguler Class Availability'!$A:$A,$B$4,'Reguler Class Availability'!$F:$F,"&gt;0")</f>
        <v>117 / 1512</v>
      </c>
      <c r="D7" s="43" t="n">
        <f aca="false">COUNTIF($AV$1:$BB$1000,"Belum terisi")</f>
        <v>269</v>
      </c>
      <c r="E7" s="44" t="n">
        <f aca="false">COUNTIF($AV$1:$BB$1000,"Kosong")</f>
        <v>0</v>
      </c>
      <c r="F7" s="45" t="n">
        <f aca="false">COUNTIF($AV$1:$BB$1000,"Penuh")</f>
        <v>1</v>
      </c>
      <c r="G7" s="46" t="n">
        <f aca="false">COUNTIF($AV$1:$BB$1000,"Lebih")</f>
        <v>0</v>
      </c>
      <c r="H7" s="47" t="n">
        <f aca="false">COUNTIF($AV$1:$BB$1000,"Tutup")</f>
        <v>0</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0</v>
      </c>
      <c r="BF8" s="0" t="n">
        <f aca="false">BE8+BF7</f>
        <v>0</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0</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1</v>
      </c>
      <c r="BF10" s="30" t="n">
        <f aca="false">BE10+BF9</f>
        <v>1</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0</v>
      </c>
      <c r="BF11" s="30" t="n">
        <f aca="false">BE11+BF10</f>
        <v>1</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10%   ·   Belum terisi: 63   ·   Slot kosong: 0</v>
      </c>
      <c r="D12" s="62"/>
      <c r="E12" s="62"/>
      <c r="F12" s="62"/>
      <c r="G12" s="62"/>
      <c r="H12" s="62"/>
      <c r="BD12" s="30" t="s">
        <v>112</v>
      </c>
      <c r="BE12" s="30" t="n">
        <f aca="false">IF(COUNTIFS('Reguler Class Availability'!$L:$L,$B$4&amp;"|- Lane 1 - *|"&amp;BD12)&gt;0,1,0)</f>
        <v>0</v>
      </c>
      <c r="BF12" s="30" t="n">
        <f aca="false">BE12+BF11</f>
        <v>1</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1</v>
      </c>
      <c r="BF13" s="30" t="n">
        <f aca="false">BE13+BF12</f>
        <v>2</v>
      </c>
    </row>
    <row r="14" customFormat="false" ht="39.75" hidden="false" customHeight="true" outlineLevel="0" collapsed="false">
      <c r="A14" s="66" t="str">
        <f aca="false">IFERROR(INDEX($BD$2:$BD$61,MATCH(1,$BF$2:$BF$61,0)),"")</f>
        <v>08:00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Tiny  0/5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Tiny  0/5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Tiny  0/5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Tiny  0/5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Tiny  0/5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Tiny  0/5  (0%)
coach: –</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Tiny  0/5  (0%)
coach: –</v>
      </c>
      <c r="AN14" s="30" t="n">
        <f aca="false">IF($A14="","",IFERROR(MATCH($B$4&amp;"|- Lane 1 - "&amp;B$13&amp;"|"&amp;$A14,'Reguler Class Availability'!$L:$L,0),""))</f>
        <v>1556</v>
      </c>
      <c r="AO14" s="30" t="n">
        <f aca="false">IF($A14="","",IFERROR(MATCH($B$4&amp;"|- Lane 1 - "&amp;C$13&amp;"|"&amp;$A14,'Reguler Class Availability'!$L:$L,0),""))</f>
        <v>1568</v>
      </c>
      <c r="AP14" s="30" t="n">
        <f aca="false">IF($A14="","",IFERROR(MATCH($B$4&amp;"|- Lane 1 - "&amp;D$13&amp;"|"&amp;$A14,'Reguler Class Availability'!$L:$L,0),""))</f>
        <v>1580</v>
      </c>
      <c r="AQ14" s="30" t="n">
        <f aca="false">IF($A14="","",IFERROR(MATCH($B$4&amp;"|- Lane 1 - "&amp;E$13&amp;"|"&amp;$A14,'Reguler Class Availability'!$L:$L,0),""))</f>
        <v>1592</v>
      </c>
      <c r="AR14" s="30" t="n">
        <f aca="false">IF($A14="","",IFERROR(MATCH($B$4&amp;"|- Lane 1 - "&amp;F$13&amp;"|"&amp;$A14,'Reguler Class Availability'!$L:$L,0),""))</f>
        <v>1604</v>
      </c>
      <c r="AS14" s="30" t="n">
        <f aca="false">IF($A14="","",IFERROR(MATCH($B$4&amp;"|- Lane 1 - "&amp;G$13&amp;"|"&amp;$A14,'Reguler Class Availability'!$L:$L,0),""))</f>
        <v>1616</v>
      </c>
      <c r="AT14" s="30" t="n">
        <f aca="false">IF($A14="","",IFERROR(MATCH($B$4&amp;"|- Lane 1 - "&amp;H$13&amp;"|"&amp;$A14,'Reguler Class Availability'!$L:$L,0),""))</f>
        <v>1628</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Belum terisi</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0</v>
      </c>
      <c r="BF14" s="30" t="n">
        <f aca="false">BE14+BF13</f>
        <v>2</v>
      </c>
    </row>
    <row r="15" customFormat="false" ht="39.75" hidden="false" customHeight="true" outlineLevel="0" collapsed="false">
      <c r="A15" s="66" t="str">
        <f aca="false">IFERROR(INDEX($BD$2:$BD$61,MATCH(2,$BF$2:$BF$61,0)),"")</f>
        <v>08:45</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Baby  0/5  (0%)
coach: –</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Baby  0/5  (0%)
coach: –</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Baby  2/5  (40%)
Adam</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Baby  0/5  (0%)
coach: –</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Baby  1/5  (20%)
Adam</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Baby  0/5  (0%)
coach: –</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Baby  1/5  (20%)
Adam</v>
      </c>
      <c r="AN15" s="30" t="n">
        <f aca="false">IF($A15="","",IFERROR(MATCH($B$4&amp;"|- Lane 1 - "&amp;B$13&amp;"|"&amp;$A15,'Reguler Class Availability'!$L:$L,0),""))</f>
        <v>1557</v>
      </c>
      <c r="AO15" s="30" t="n">
        <f aca="false">IF($A15="","",IFERROR(MATCH($B$4&amp;"|- Lane 1 - "&amp;C$13&amp;"|"&amp;$A15,'Reguler Class Availability'!$L:$L,0),""))</f>
        <v>1569</v>
      </c>
      <c r="AP15" s="30" t="n">
        <f aca="false">IF($A15="","",IFERROR(MATCH($B$4&amp;"|- Lane 1 - "&amp;D$13&amp;"|"&amp;$A15,'Reguler Class Availability'!$L:$L,0),""))</f>
        <v>1581</v>
      </c>
      <c r="AQ15" s="30" t="n">
        <f aca="false">IF($A15="","",IFERROR(MATCH($B$4&amp;"|- Lane 1 - "&amp;E$13&amp;"|"&amp;$A15,'Reguler Class Availability'!$L:$L,0),""))</f>
        <v>1593</v>
      </c>
      <c r="AR15" s="30" t="n">
        <f aca="false">IF($A15="","",IFERROR(MATCH($B$4&amp;"|- Lane 1 - "&amp;F$13&amp;"|"&amp;$A15,'Reguler Class Availability'!$L:$L,0),""))</f>
        <v>1605</v>
      </c>
      <c r="AS15" s="30" t="n">
        <f aca="false">IF($A15="","",IFERROR(MATCH($B$4&amp;"|- Lane 1 - "&amp;G$13&amp;"|"&amp;$A15,'Reguler Class Availability'!$L:$L,0),""))</f>
        <v>1617</v>
      </c>
      <c r="AT15" s="30" t="n">
        <f aca="false">IF($A15="","",IFERROR(MATCH($B$4&amp;"|- Lane 1 - "&amp;H$13&amp;"|"&amp;$A15,'Reguler Class Availability'!$L:$L,0),""))</f>
        <v>1629</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Belum terisi</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Belum terisi</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Sebagian</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Belum terisi</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Sebagian</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Belum terisi</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Sebagian</v>
      </c>
      <c r="BD15" s="30" t="s">
        <v>122</v>
      </c>
      <c r="BE15" s="30" t="n">
        <f aca="false">IF(COUNTIFS('Reguler Class Availability'!$L:$L,$B$4&amp;"|- Lane 1 - *|"&amp;BD15)&gt;0,1,0)</f>
        <v>0</v>
      </c>
      <c r="BF15" s="30" t="n">
        <f aca="false">BE15+BF14</f>
        <v>2</v>
      </c>
    </row>
    <row r="16" customFormat="false" ht="39.75" hidden="false" customHeight="true" outlineLevel="0" collapsed="false">
      <c r="A16" s="66" t="str">
        <f aca="false">IFERROR(INDEX($BD$2:$BD$61,MATCH(3,$BF$2:$BF$61,0)),"")</f>
        <v>09:30</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Tiny  0/5  (0%)
coach: –</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Tiny  0/5  (0%)
coach: –</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Tiny  2/5  (40%)
Adam</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Tiny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Tiny  0/5  (0%)
coach: –</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Tiny  4/5  (80%)
Adam</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Tiny  2/5  (40%)
Iqbal</v>
      </c>
      <c r="AN16" s="30" t="n">
        <f aca="false">IF($A16="","",IFERROR(MATCH($B$4&amp;"|- Lane 1 - "&amp;B$13&amp;"|"&amp;$A16,'Reguler Class Availability'!$L:$L,0),""))</f>
        <v>1558</v>
      </c>
      <c r="AO16" s="30" t="n">
        <f aca="false">IF($A16="","",IFERROR(MATCH($B$4&amp;"|- Lane 1 - "&amp;C$13&amp;"|"&amp;$A16,'Reguler Class Availability'!$L:$L,0),""))</f>
        <v>1570</v>
      </c>
      <c r="AP16" s="30" t="n">
        <f aca="false">IF($A16="","",IFERROR(MATCH($B$4&amp;"|- Lane 1 - "&amp;D$13&amp;"|"&amp;$A16,'Reguler Class Availability'!$L:$L,0),""))</f>
        <v>1582</v>
      </c>
      <c r="AQ16" s="30" t="n">
        <f aca="false">IF($A16="","",IFERROR(MATCH($B$4&amp;"|- Lane 1 - "&amp;E$13&amp;"|"&amp;$A16,'Reguler Class Availability'!$L:$L,0),""))</f>
        <v>1594</v>
      </c>
      <c r="AR16" s="30" t="n">
        <f aca="false">IF($A16="","",IFERROR(MATCH($B$4&amp;"|- Lane 1 - "&amp;F$13&amp;"|"&amp;$A16,'Reguler Class Availability'!$L:$L,0),""))</f>
        <v>1606</v>
      </c>
      <c r="AS16" s="30" t="n">
        <f aca="false">IF($A16="","",IFERROR(MATCH($B$4&amp;"|- Lane 1 - "&amp;G$13&amp;"|"&amp;$A16,'Reguler Class Availability'!$L:$L,0),""))</f>
        <v>1618</v>
      </c>
      <c r="AT16" s="30" t="n">
        <f aca="false">IF($A16="","",IFERROR(MATCH($B$4&amp;"|- Lane 1 - "&amp;H$13&amp;"|"&amp;$A16,'Reguler Class Availability'!$L:$L,0),""))</f>
        <v>1630</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Belum terisi</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Belum terisi</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Sebagian</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Belum terisi</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Belum terisi</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Tinggi</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Sebagian</v>
      </c>
      <c r="BD16" s="30" t="s">
        <v>123</v>
      </c>
      <c r="BE16" s="30" t="n">
        <f aca="false">IF(COUNTIFS('Reguler Class Availability'!$L:$L,$B$4&amp;"|- Lane 1 - *|"&amp;BD16)&gt;0,1,0)</f>
        <v>1</v>
      </c>
      <c r="BF16" s="30" t="n">
        <f aca="false">BE16+BF15</f>
        <v>3</v>
      </c>
    </row>
    <row r="17" customFormat="false" ht="39.75" hidden="false" customHeight="true" outlineLevel="0" collapsed="false">
      <c r="A17" s="66" t="str">
        <f aca="false">IFERROR(INDEX($BD$2:$BD$61,MATCH(4,$BF$2:$BF$61,0)),"")</f>
        <v>10:15</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Baby  0/5  (0%)
coach: –</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Baby  2/5  (40%)
Iqbal</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Baby  0/5  (0%)
coach: –</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Baby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Baby  1/5  (20%)
Adam</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5/5  (100%)
Adam</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1/5  (20%)
Adam</v>
      </c>
      <c r="AN17" s="30" t="n">
        <f aca="false">IF($A17="","",IFERROR(MATCH($B$4&amp;"|- Lane 1 - "&amp;B$13&amp;"|"&amp;$A17,'Reguler Class Availability'!$L:$L,0),""))</f>
        <v>1559</v>
      </c>
      <c r="AO17" s="30" t="n">
        <f aca="false">IF($A17="","",IFERROR(MATCH($B$4&amp;"|- Lane 1 - "&amp;C$13&amp;"|"&amp;$A17,'Reguler Class Availability'!$L:$L,0),""))</f>
        <v>1571</v>
      </c>
      <c r="AP17" s="30" t="n">
        <f aca="false">IF($A17="","",IFERROR(MATCH($B$4&amp;"|- Lane 1 - "&amp;D$13&amp;"|"&amp;$A17,'Reguler Class Availability'!$L:$L,0),""))</f>
        <v>1583</v>
      </c>
      <c r="AQ17" s="30" t="n">
        <f aca="false">IF($A17="","",IFERROR(MATCH($B$4&amp;"|- Lane 1 - "&amp;E$13&amp;"|"&amp;$A17,'Reguler Class Availability'!$L:$L,0),""))</f>
        <v>1595</v>
      </c>
      <c r="AR17" s="30" t="n">
        <f aca="false">IF($A17="","",IFERROR(MATCH($B$4&amp;"|- Lane 1 - "&amp;F$13&amp;"|"&amp;$A17,'Reguler Class Availability'!$L:$L,0),""))</f>
        <v>1607</v>
      </c>
      <c r="AS17" s="30" t="n">
        <f aca="false">IF($A17="","",IFERROR(MATCH($B$4&amp;"|- Lane 1 - "&amp;G$13&amp;"|"&amp;$A17,'Reguler Class Availability'!$L:$L,0),""))</f>
        <v>1619</v>
      </c>
      <c r="AT17" s="30" t="n">
        <f aca="false">IF($A17="","",IFERROR(MATCH($B$4&amp;"|- Lane 1 - "&amp;H$13&amp;"|"&amp;$A17,'Reguler Class Availability'!$L:$L,0),""))</f>
        <v>1631</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Belum terisi</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Sebagian</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Belum terisi</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Belum terisi</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Sebagian</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Penuh</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Sebagian</v>
      </c>
      <c r="BD17" s="30" t="s">
        <v>124</v>
      </c>
      <c r="BE17" s="30" t="n">
        <f aca="false">IF(COUNTIFS('Reguler Class Availability'!$L:$L,$B$4&amp;"|- Lane 1 - *|"&amp;BD17)&gt;0,1,0)</f>
        <v>0</v>
      </c>
      <c r="BF17" s="30" t="n">
        <f aca="false">BE17+BF16</f>
        <v>3</v>
      </c>
    </row>
    <row r="18" customFormat="false" ht="39.75" hidden="false" customHeight="true" outlineLevel="0" collapsed="false">
      <c r="A18" s="66" t="str">
        <f aca="false">IFERROR(INDEX($BD$2:$BD$61,MATCH(5,$BF$2:$BF$61,0)),"")</f>
        <v>11:00</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Tiny  0/5  (0%)
coach: –</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Tiny  0/5  (0%)
coach: –</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Tiny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Tiny  1/5  (20%)
Adam</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Tiny  0/5  (0%)
coach: –</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Tiny  3/5  (60%)
Adam</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Tiny  1/5  (20%)
Adam</v>
      </c>
      <c r="AN18" s="30" t="n">
        <f aca="false">IF($A18="","",IFERROR(MATCH($B$4&amp;"|- Lane 1 - "&amp;B$13&amp;"|"&amp;$A18,'Reguler Class Availability'!$L:$L,0),""))</f>
        <v>1560</v>
      </c>
      <c r="AO18" s="30" t="n">
        <f aca="false">IF($A18="","",IFERROR(MATCH($B$4&amp;"|- Lane 1 - "&amp;C$13&amp;"|"&amp;$A18,'Reguler Class Availability'!$L:$L,0),""))</f>
        <v>1572</v>
      </c>
      <c r="AP18" s="30" t="n">
        <f aca="false">IF($A18="","",IFERROR(MATCH($B$4&amp;"|- Lane 1 - "&amp;D$13&amp;"|"&amp;$A18,'Reguler Class Availability'!$L:$L,0),""))</f>
        <v>1584</v>
      </c>
      <c r="AQ18" s="30" t="n">
        <f aca="false">IF($A18="","",IFERROR(MATCH($B$4&amp;"|- Lane 1 - "&amp;E$13&amp;"|"&amp;$A18,'Reguler Class Availability'!$L:$L,0),""))</f>
        <v>1596</v>
      </c>
      <c r="AR18" s="30" t="n">
        <f aca="false">IF($A18="","",IFERROR(MATCH($B$4&amp;"|- Lane 1 - "&amp;F$13&amp;"|"&amp;$A18,'Reguler Class Availability'!$L:$L,0),""))</f>
        <v>1608</v>
      </c>
      <c r="AS18" s="30" t="n">
        <f aca="false">IF($A18="","",IFERROR(MATCH($B$4&amp;"|- Lane 1 - "&amp;G$13&amp;"|"&amp;$A18,'Reguler Class Availability'!$L:$L,0),""))</f>
        <v>1620</v>
      </c>
      <c r="AT18" s="30" t="n">
        <f aca="false">IF($A18="","",IFERROR(MATCH($B$4&amp;"|- Lane 1 - "&amp;H$13&amp;"|"&amp;$A18,'Reguler Class Availability'!$L:$L,0),""))</f>
        <v>1632</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Belum terisi</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Belum terisi</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Belum terisi</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Sebagian</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Belum terisi</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Tinggi</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Sebagian</v>
      </c>
      <c r="BD18" s="30" t="s">
        <v>125</v>
      </c>
      <c r="BE18" s="30" t="n">
        <f aca="false">IF(COUNTIFS('Reguler Class Availability'!$L:$L,$B$4&amp;"|- Lane 1 - *|"&amp;BD18)&gt;0,1,0)</f>
        <v>0</v>
      </c>
      <c r="BF18" s="30" t="n">
        <f aca="false">BE18+BF17</f>
        <v>3</v>
      </c>
    </row>
    <row r="19" customFormat="false" ht="39.75" hidden="false" customHeight="true" outlineLevel="0" collapsed="false">
      <c r="A19" s="66" t="str">
        <f aca="false">IFERROR(INDEX($BD$2:$BD$61,MATCH(6,$BF$2:$BF$61,0)),"")</f>
        <v>11:45</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Baby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0/5  (0%)
coach: –</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0/5  (0%)
coach: –</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Baby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Baby  0/5  (0%)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Baby  0/5  (0%)
coach: –</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Baby  1/5  (20%)
Adam</v>
      </c>
      <c r="AN19" s="30" t="n">
        <f aca="false">IF($A19="","",IFERROR(MATCH($B$4&amp;"|- Lane 1 - "&amp;B$13&amp;"|"&amp;$A19,'Reguler Class Availability'!$L:$L,0),""))</f>
        <v>1561</v>
      </c>
      <c r="AO19" s="30" t="n">
        <f aca="false">IF($A19="","",IFERROR(MATCH($B$4&amp;"|- Lane 1 - "&amp;C$13&amp;"|"&amp;$A19,'Reguler Class Availability'!$L:$L,0),""))</f>
        <v>1573</v>
      </c>
      <c r="AP19" s="30" t="n">
        <f aca="false">IF($A19="","",IFERROR(MATCH($B$4&amp;"|- Lane 1 - "&amp;D$13&amp;"|"&amp;$A19,'Reguler Class Availability'!$L:$L,0),""))</f>
        <v>1585</v>
      </c>
      <c r="AQ19" s="30" t="n">
        <f aca="false">IF($A19="","",IFERROR(MATCH($B$4&amp;"|- Lane 1 - "&amp;E$13&amp;"|"&amp;$A19,'Reguler Class Availability'!$L:$L,0),""))</f>
        <v>1597</v>
      </c>
      <c r="AR19" s="30" t="n">
        <f aca="false">IF($A19="","",IFERROR(MATCH($B$4&amp;"|- Lane 1 - "&amp;F$13&amp;"|"&amp;$A19,'Reguler Class Availability'!$L:$L,0),""))</f>
        <v>1609</v>
      </c>
      <c r="AS19" s="30" t="n">
        <f aca="false">IF($A19="","",IFERROR(MATCH($B$4&amp;"|- Lane 1 - "&amp;G$13&amp;"|"&amp;$A19,'Reguler Class Availability'!$L:$L,0),""))</f>
        <v>1621</v>
      </c>
      <c r="AT19" s="30" t="n">
        <f aca="false">IF($A19="","",IFERROR(MATCH($B$4&amp;"|- Lane 1 - "&amp;H$13&amp;"|"&amp;$A19,'Reguler Class Availability'!$L:$L,0),""))</f>
        <v>1633</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Belum terisi</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Belum terisi</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Belum terisi</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Belum terisi</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Belum terisi</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Belum terisi</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Sebagian</v>
      </c>
      <c r="BD19" s="30" t="s">
        <v>126</v>
      </c>
      <c r="BE19" s="30" t="n">
        <f aca="false">IF(COUNTIFS('Reguler Class Availability'!$L:$L,$B$4&amp;"|- Lane 1 - *|"&amp;BD19)&gt;0,1,0)</f>
        <v>1</v>
      </c>
      <c r="BF19" s="30" t="n">
        <f aca="false">BE19+BF18</f>
        <v>4</v>
      </c>
    </row>
    <row r="20" customFormat="false" ht="39.75" hidden="false" customHeight="true" outlineLevel="0" collapsed="false">
      <c r="A20" s="66" t="str">
        <f aca="false">IFERROR(INDEX($BD$2:$BD$61,MATCH(7,$BF$2:$BF$61,0)),"")</f>
        <v>13:15</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Tiny  0/5  (0%)
coach: –</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Tiny  0/5  (0%)
coach: –</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Tiny  0/5  (0%)
coach: –</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Tiny  0/5  (0%)
coach: –</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Tiny  0/5  (0%)
coach: –</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Tiny  0/5  (0%)
coach: –</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Tiny  0/5  (0%)
coach: –</v>
      </c>
      <c r="AN20" s="30" t="n">
        <f aca="false">IF($A20="","",IFERROR(MATCH($B$4&amp;"|- Lane 1 - "&amp;B$13&amp;"|"&amp;$A20,'Reguler Class Availability'!$L:$L,0),""))</f>
        <v>1562</v>
      </c>
      <c r="AO20" s="30" t="n">
        <f aca="false">IF($A20="","",IFERROR(MATCH($B$4&amp;"|- Lane 1 - "&amp;C$13&amp;"|"&amp;$A20,'Reguler Class Availability'!$L:$L,0),""))</f>
        <v>1574</v>
      </c>
      <c r="AP20" s="30" t="n">
        <f aca="false">IF($A20="","",IFERROR(MATCH($B$4&amp;"|- Lane 1 - "&amp;D$13&amp;"|"&amp;$A20,'Reguler Class Availability'!$L:$L,0),""))</f>
        <v>1586</v>
      </c>
      <c r="AQ20" s="30" t="n">
        <f aca="false">IF($A20="","",IFERROR(MATCH($B$4&amp;"|- Lane 1 - "&amp;E$13&amp;"|"&amp;$A20,'Reguler Class Availability'!$L:$L,0),""))</f>
        <v>1598</v>
      </c>
      <c r="AR20" s="30" t="n">
        <f aca="false">IF($A20="","",IFERROR(MATCH($B$4&amp;"|- Lane 1 - "&amp;F$13&amp;"|"&amp;$A20,'Reguler Class Availability'!$L:$L,0),""))</f>
        <v>1610</v>
      </c>
      <c r="AS20" s="30" t="n">
        <f aca="false">IF($A20="","",IFERROR(MATCH($B$4&amp;"|- Lane 1 - "&amp;G$13&amp;"|"&amp;$A20,'Reguler Class Availability'!$L:$L,0),""))</f>
        <v>1622</v>
      </c>
      <c r="AT20" s="30" t="n">
        <f aca="false">IF($A20="","",IFERROR(MATCH($B$4&amp;"|- Lane 1 - "&amp;H$13&amp;"|"&amp;$A20,'Reguler Class Availability'!$L:$L,0),""))</f>
        <v>1634</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Belum terisi</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Belum terisi</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Belum terisi</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Belum terisi</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Belum terisi</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Belum terisi</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Belum terisi</v>
      </c>
      <c r="BD20" s="30" t="s">
        <v>127</v>
      </c>
      <c r="BE20" s="30" t="n">
        <f aca="false">IF(COUNTIFS('Reguler Class Availability'!$L:$L,$B$4&amp;"|- Lane 1 - *|"&amp;BD20)&gt;0,1,0)</f>
        <v>0</v>
      </c>
      <c r="BF20" s="30" t="n">
        <f aca="false">BE20+BF19</f>
        <v>4</v>
      </c>
    </row>
    <row r="21" customFormat="false" ht="39.75" hidden="false" customHeight="true" outlineLevel="0" collapsed="false">
      <c r="A21" s="66" t="str">
        <f aca="false">IFERROR(INDEX($BD$2:$BD$61,MATCH(8,$BF$2:$BF$61,0)),"")</f>
        <v>14:00</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Baby  0/5  (0%)
coach: –</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Baby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Baby  0/5  (0%)
coach: –</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Baby  0/5  (0%)
coach: –</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Baby  1/5  (20%)
Adam</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2/5  (40%)
Adam</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0/5  (0%)
coach: –</v>
      </c>
      <c r="AN21" s="30" t="n">
        <f aca="false">IF($A21="","",IFERROR(MATCH($B$4&amp;"|- Lane 1 - "&amp;B$13&amp;"|"&amp;$A21,'Reguler Class Availability'!$L:$L,0),""))</f>
        <v>1563</v>
      </c>
      <c r="AO21" s="30" t="n">
        <f aca="false">IF($A21="","",IFERROR(MATCH($B$4&amp;"|- Lane 1 - "&amp;C$13&amp;"|"&amp;$A21,'Reguler Class Availability'!$L:$L,0),""))</f>
        <v>1575</v>
      </c>
      <c r="AP21" s="30" t="n">
        <f aca="false">IF($A21="","",IFERROR(MATCH($B$4&amp;"|- Lane 1 - "&amp;D$13&amp;"|"&amp;$A21,'Reguler Class Availability'!$L:$L,0),""))</f>
        <v>1587</v>
      </c>
      <c r="AQ21" s="30" t="n">
        <f aca="false">IF($A21="","",IFERROR(MATCH($B$4&amp;"|- Lane 1 - "&amp;E$13&amp;"|"&amp;$A21,'Reguler Class Availability'!$L:$L,0),""))</f>
        <v>1599</v>
      </c>
      <c r="AR21" s="30" t="n">
        <f aca="false">IF($A21="","",IFERROR(MATCH($B$4&amp;"|- Lane 1 - "&amp;F$13&amp;"|"&amp;$A21,'Reguler Class Availability'!$L:$L,0),""))</f>
        <v>1611</v>
      </c>
      <c r="AS21" s="30" t="n">
        <f aca="false">IF($A21="","",IFERROR(MATCH($B$4&amp;"|- Lane 1 - "&amp;G$13&amp;"|"&amp;$A21,'Reguler Class Availability'!$L:$L,0),""))</f>
        <v>1623</v>
      </c>
      <c r="AT21" s="30" t="n">
        <f aca="false">IF($A21="","",IFERROR(MATCH($B$4&amp;"|- Lane 1 - "&amp;H$13&amp;"|"&amp;$A21,'Reguler Class Availability'!$L:$L,0),""))</f>
        <v>1635</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Belum terisi</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Belum terisi</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Belum terisi</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Belum terisi</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Sebagian</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Sebagian</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Belum terisi</v>
      </c>
      <c r="BD21" s="30" t="s">
        <v>128</v>
      </c>
      <c r="BE21" s="30" t="n">
        <f aca="false">IF(COUNTIFS('Reguler Class Availability'!$L:$L,$B$4&amp;"|- Lane 1 - *|"&amp;BD21)&gt;0,1,0)</f>
        <v>0</v>
      </c>
      <c r="BF21" s="30" t="n">
        <f aca="false">BE21+BF20</f>
        <v>4</v>
      </c>
    </row>
    <row r="22" customFormat="false" ht="39.75" hidden="false" customHeight="true" outlineLevel="0" collapsed="false">
      <c r="A22" s="66" t="str">
        <f aca="false">IFERROR(INDEX($BD$2:$BD$61,MATCH(9,$BF$2:$BF$61,0)),"")</f>
        <v>14:45</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Tiny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Tiny  0/5  (0%)
coach: –</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Tiny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Tiny  0/5  (0%)
coach: –</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Tiny  3/5  (60%)
Agas</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Tiny  0/5  (0%)
coach: –</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Tiny  0/5  (0%)
coach: –</v>
      </c>
      <c r="AN22" s="30" t="n">
        <f aca="false">IF($A22="","",IFERROR(MATCH($B$4&amp;"|- Lane 1 - "&amp;B$13&amp;"|"&amp;$A22,'Reguler Class Availability'!$L:$L,0),""))</f>
        <v>1564</v>
      </c>
      <c r="AO22" s="30" t="n">
        <f aca="false">IF($A22="","",IFERROR(MATCH($B$4&amp;"|- Lane 1 - "&amp;C$13&amp;"|"&amp;$A22,'Reguler Class Availability'!$L:$L,0),""))</f>
        <v>1576</v>
      </c>
      <c r="AP22" s="30" t="n">
        <f aca="false">IF($A22="","",IFERROR(MATCH($B$4&amp;"|- Lane 1 - "&amp;D$13&amp;"|"&amp;$A22,'Reguler Class Availability'!$L:$L,0),""))</f>
        <v>1588</v>
      </c>
      <c r="AQ22" s="30" t="n">
        <f aca="false">IF($A22="","",IFERROR(MATCH($B$4&amp;"|- Lane 1 - "&amp;E$13&amp;"|"&amp;$A22,'Reguler Class Availability'!$L:$L,0),""))</f>
        <v>1600</v>
      </c>
      <c r="AR22" s="30" t="n">
        <f aca="false">IF($A22="","",IFERROR(MATCH($B$4&amp;"|- Lane 1 - "&amp;F$13&amp;"|"&amp;$A22,'Reguler Class Availability'!$L:$L,0),""))</f>
        <v>1612</v>
      </c>
      <c r="AS22" s="30" t="n">
        <f aca="false">IF($A22="","",IFERROR(MATCH($B$4&amp;"|- Lane 1 - "&amp;G$13&amp;"|"&amp;$A22,'Reguler Class Availability'!$L:$L,0),""))</f>
        <v>1624</v>
      </c>
      <c r="AT22" s="30" t="n">
        <f aca="false">IF($A22="","",IFERROR(MATCH($B$4&amp;"|- Lane 1 - "&amp;H$13&amp;"|"&amp;$A22,'Reguler Class Availability'!$L:$L,0),""))</f>
        <v>1636</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Belum terisi</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Belum terisi</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Belum terisi</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Belum terisi</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Tinggi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Belum terisi</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Belum terisi</v>
      </c>
      <c r="BD22" s="30" t="s">
        <v>129</v>
      </c>
      <c r="BE22" s="30" t="n">
        <f aca="false">IF(COUNTIFS('Reguler Class Availability'!$L:$L,$B$4&amp;"|- Lane 1 - *|"&amp;BD22)&gt;0,1,0)</f>
        <v>1</v>
      </c>
      <c r="BF22" s="30" t="n">
        <f aca="false">BE22+BF21</f>
        <v>5</v>
      </c>
    </row>
    <row r="23" customFormat="false" ht="39.75" hidden="false" customHeight="true" outlineLevel="0" collapsed="false">
      <c r="A23" s="66" t="str">
        <f aca="false">IFERROR(INDEX($BD$2:$BD$61,MATCH(10,$BF$2:$BF$61,0)),"")</f>
        <v>15:30</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Baby  0/5  (0%)
coach: –</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Baby  0/5  (0%)
coach: –</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Baby  0/5  (0%)
coach: –</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0/5  (0%)
coach: –</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Baby  0/5  (0%)
coach: –</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2/5  (40%)
Adam</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2/5  (40%)
Adam</v>
      </c>
      <c r="AN23" s="30" t="n">
        <f aca="false">IF($A23="","",IFERROR(MATCH($B$4&amp;"|- Lane 1 - "&amp;B$13&amp;"|"&amp;$A23,'Reguler Class Availability'!$L:$L,0),""))</f>
        <v>1565</v>
      </c>
      <c r="AO23" s="30" t="n">
        <f aca="false">IF($A23="","",IFERROR(MATCH($B$4&amp;"|- Lane 1 - "&amp;C$13&amp;"|"&amp;$A23,'Reguler Class Availability'!$L:$L,0),""))</f>
        <v>1577</v>
      </c>
      <c r="AP23" s="30" t="n">
        <f aca="false">IF($A23="","",IFERROR(MATCH($B$4&amp;"|- Lane 1 - "&amp;D$13&amp;"|"&amp;$A23,'Reguler Class Availability'!$L:$L,0),""))</f>
        <v>1589</v>
      </c>
      <c r="AQ23" s="30" t="n">
        <f aca="false">IF($A23="","",IFERROR(MATCH($B$4&amp;"|- Lane 1 - "&amp;E$13&amp;"|"&amp;$A23,'Reguler Class Availability'!$L:$L,0),""))</f>
        <v>1601</v>
      </c>
      <c r="AR23" s="30" t="n">
        <f aca="false">IF($A23="","",IFERROR(MATCH($B$4&amp;"|- Lane 1 - "&amp;F$13&amp;"|"&amp;$A23,'Reguler Class Availability'!$L:$L,0),""))</f>
        <v>1613</v>
      </c>
      <c r="AS23" s="30" t="n">
        <f aca="false">IF($A23="","",IFERROR(MATCH($B$4&amp;"|- Lane 1 - "&amp;G$13&amp;"|"&amp;$A23,'Reguler Class Availability'!$L:$L,0),""))</f>
        <v>1625</v>
      </c>
      <c r="AT23" s="30" t="n">
        <f aca="false">IF($A23="","",IFERROR(MATCH($B$4&amp;"|- Lane 1 - "&amp;H$13&amp;"|"&amp;$A23,'Reguler Class Availability'!$L:$L,0),""))</f>
        <v>1637</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Belum terisi</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Belum terisi</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Belum terisi</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Belum terisi</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Belum terisi</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Sebagian</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Sebagian</v>
      </c>
      <c r="BD23" s="30" t="s">
        <v>130</v>
      </c>
      <c r="BE23" s="30" t="n">
        <f aca="false">IF(COUNTIFS('Reguler Class Availability'!$L:$L,$B$4&amp;"|- Lane 1 - *|"&amp;BD23)&gt;0,1,0)</f>
        <v>0</v>
      </c>
      <c r="BF23" s="30" t="n">
        <f aca="false">BE23+BF22</f>
        <v>5</v>
      </c>
    </row>
    <row r="24" customFormat="false" ht="39.75" hidden="false" customHeight="true" outlineLevel="0" collapsed="false">
      <c r="A24" s="66" t="str">
        <f aca="false">IFERROR(INDEX($BD$2:$BD$61,MATCH(11,$BF$2:$BF$61,0)),"")</f>
        <v>16:15</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Tiny  0/5  (0%)
coach: –</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Tiny  0/5  (0%)
coach: –</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Tiny  1/5  (20%)
Adam</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Tiny  0/5  (0%)
coach: –</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Tiny  0/5  (0%)
coach: –</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Tiny  0/5  (0%)
coach: –</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Tiny  2/5  (40%)
Adam</v>
      </c>
      <c r="AN24" s="30" t="n">
        <f aca="false">IF($A24="","",IFERROR(MATCH($B$4&amp;"|- Lane 1 - "&amp;B$13&amp;"|"&amp;$A24,'Reguler Class Availability'!$L:$L,0),""))</f>
        <v>1566</v>
      </c>
      <c r="AO24" s="30" t="n">
        <f aca="false">IF($A24="","",IFERROR(MATCH($B$4&amp;"|- Lane 1 - "&amp;C$13&amp;"|"&amp;$A24,'Reguler Class Availability'!$L:$L,0),""))</f>
        <v>1578</v>
      </c>
      <c r="AP24" s="30" t="n">
        <f aca="false">IF($A24="","",IFERROR(MATCH($B$4&amp;"|- Lane 1 - "&amp;D$13&amp;"|"&amp;$A24,'Reguler Class Availability'!$L:$L,0),""))</f>
        <v>1590</v>
      </c>
      <c r="AQ24" s="30" t="n">
        <f aca="false">IF($A24="","",IFERROR(MATCH($B$4&amp;"|- Lane 1 - "&amp;E$13&amp;"|"&amp;$A24,'Reguler Class Availability'!$L:$L,0),""))</f>
        <v>1602</v>
      </c>
      <c r="AR24" s="30" t="n">
        <f aca="false">IF($A24="","",IFERROR(MATCH($B$4&amp;"|- Lane 1 - "&amp;F$13&amp;"|"&amp;$A24,'Reguler Class Availability'!$L:$L,0),""))</f>
        <v>1614</v>
      </c>
      <c r="AS24" s="30" t="n">
        <f aca="false">IF($A24="","",IFERROR(MATCH($B$4&amp;"|- Lane 1 - "&amp;G$13&amp;"|"&amp;$A24,'Reguler Class Availability'!$L:$L,0),""))</f>
        <v>1626</v>
      </c>
      <c r="AT24" s="30" t="n">
        <f aca="false">IF($A24="","",IFERROR(MATCH($B$4&amp;"|- Lane 1 - "&amp;H$13&amp;"|"&amp;$A24,'Reguler Class Availability'!$L:$L,0),""))</f>
        <v>1638</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Belum terisi</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Belum terisi</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Sebagian</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Belum terisi</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Belum terisi</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Belum terisi</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Sebagian</v>
      </c>
      <c r="BD24" s="30" t="s">
        <v>131</v>
      </c>
      <c r="BE24" s="30" t="n">
        <f aca="false">IF(COUNTIFS('Reguler Class Availability'!$L:$L,$B$4&amp;"|- Lane 1 - *|"&amp;BD24)&gt;0,1,0)</f>
        <v>0</v>
      </c>
      <c r="BF24" s="30" t="n">
        <f aca="false">BE24+BF23</f>
        <v>5</v>
      </c>
    </row>
    <row r="25" customFormat="false" ht="39.75" hidden="false" customHeight="true" outlineLevel="0" collapsed="false">
      <c r="A25" s="66" t="str">
        <f aca="false">IFERROR(INDEX($BD$2:$BD$61,MATCH(12,$BF$2:$BF$61,0)),"")</f>
        <v>17:00</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Baby  0/5  (0%)
coach: –</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Baby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Baby  0/5  (0%)
coach: –</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Baby  0/5  (0%)
coach: –</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Baby  0/5  (0%)
coach: –</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0/5  (0%)
coach: –</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Baby  0/5  (0%)
coach: –</v>
      </c>
      <c r="AN25" s="30" t="n">
        <f aca="false">IF($A25="","",IFERROR(MATCH($B$4&amp;"|- Lane 1 - "&amp;B$13&amp;"|"&amp;$A25,'Reguler Class Availability'!$L:$L,0),""))</f>
        <v>1567</v>
      </c>
      <c r="AO25" s="30" t="n">
        <f aca="false">IF($A25="","",IFERROR(MATCH($B$4&amp;"|- Lane 1 - "&amp;C$13&amp;"|"&amp;$A25,'Reguler Class Availability'!$L:$L,0),""))</f>
        <v>1579</v>
      </c>
      <c r="AP25" s="30" t="n">
        <f aca="false">IF($A25="","",IFERROR(MATCH($B$4&amp;"|- Lane 1 - "&amp;D$13&amp;"|"&amp;$A25,'Reguler Class Availability'!$L:$L,0),""))</f>
        <v>1591</v>
      </c>
      <c r="AQ25" s="30" t="n">
        <f aca="false">IF($A25="","",IFERROR(MATCH($B$4&amp;"|- Lane 1 - "&amp;E$13&amp;"|"&amp;$A25,'Reguler Class Availability'!$L:$L,0),""))</f>
        <v>1603</v>
      </c>
      <c r="AR25" s="30" t="n">
        <f aca="false">IF($A25="","",IFERROR(MATCH($B$4&amp;"|- Lane 1 - "&amp;F$13&amp;"|"&amp;$A25,'Reguler Class Availability'!$L:$L,0),""))</f>
        <v>1615</v>
      </c>
      <c r="AS25" s="30" t="n">
        <f aca="false">IF($A25="","",IFERROR(MATCH($B$4&amp;"|- Lane 1 - "&amp;G$13&amp;"|"&amp;$A25,'Reguler Class Availability'!$L:$L,0),""))</f>
        <v>1627</v>
      </c>
      <c r="AT25" s="30" t="n">
        <f aca="false">IF($A25="","",IFERROR(MATCH($B$4&amp;"|- Lane 1 - "&amp;H$13&amp;"|"&amp;$A25,'Reguler Class Availability'!$L:$L,0),""))</f>
        <v>1639</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Belum terisi</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Belum terisi</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Belum terisi</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Belum terisi</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Belum terisi</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Belum terisi</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Belum terisi</v>
      </c>
      <c r="BD25" s="30" t="s">
        <v>132</v>
      </c>
      <c r="BE25" s="30" t="n">
        <f aca="false">IF(COUNTIFS('Reguler Class Availability'!$L:$L,$B$4&amp;"|- Lane 1 - *|"&amp;BD25)&gt;0,1,0)</f>
        <v>1</v>
      </c>
      <c r="BF25" s="30" t="n">
        <f aca="false">BE25+BF24</f>
        <v>6</v>
      </c>
    </row>
    <row r="26" customFormat="false" ht="39.75" hidden="false" customHeight="true" outlineLevel="0" collapsed="false">
      <c r="A26" s="66" t="str">
        <f aca="false">IFERROR(INDEX($BD$2:$BD$61,MATCH(13,$BF$2:$BF$61,0)),"")</f>
        <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
      </c>
      <c r="AN26" s="0" t="str">
        <f aca="false">IF($A26="","",IFERROR(MATCH($B$4&amp;"|- Lane 1 - "&amp;B$13&amp;"|"&amp;$A26,'Reguler Class Availability'!$L:$L,0),""))</f>
        <v/>
      </c>
      <c r="AO26" s="0" t="str">
        <f aca="false">IF($A26="","",IFERROR(MATCH($B$4&amp;"|- Lane 1 - "&amp;C$13&amp;"|"&amp;$A26,'Reguler Class Availability'!$L:$L,0),""))</f>
        <v/>
      </c>
      <c r="AP26" s="0" t="str">
        <f aca="false">IF($A26="","",IFERROR(MATCH($B$4&amp;"|- Lane 1 - "&amp;D$13&amp;"|"&amp;$A26,'Reguler Class Availability'!$L:$L,0),""))</f>
        <v/>
      </c>
      <c r="AQ26" s="0" t="str">
        <f aca="false">IF($A26="","",IFERROR(MATCH($B$4&amp;"|- Lane 1 - "&amp;E$13&amp;"|"&amp;$A26,'Reguler Class Availability'!$L:$L,0),""))</f>
        <v/>
      </c>
      <c r="AR26" s="0" t="str">
        <f aca="false">IF($A26="","",IFERROR(MATCH($B$4&amp;"|- Lane 1 - "&amp;F$13&amp;"|"&amp;$A26,'Reguler Class Availability'!$L:$L,0),""))</f>
        <v/>
      </c>
      <c r="AS26" s="0" t="str">
        <f aca="false">IF($A26="","",IFERROR(MATCH($B$4&amp;"|- Lane 1 - "&amp;G$13&amp;"|"&amp;$A26,'Reguler Class Availability'!$L:$L,0),""))</f>
        <v/>
      </c>
      <c r="AT26" s="0" t="str">
        <f aca="false">IF($A26="","",IFERROR(MATCH($B$4&amp;"|- Lane 1 - "&amp;H$13&amp;"|"&amp;$A26,'Reguler Class Availability'!$L:$L,0),""))</f>
        <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
      </c>
      <c r="BD26" s="30" t="s">
        <v>133</v>
      </c>
      <c r="BE26" s="30" t="n">
        <f aca="false">IF(COUNTIFS('Reguler Class Availability'!$L:$L,$B$4&amp;"|- Lane 1 - *|"&amp;BD26)&gt;0,1,0)</f>
        <v>0</v>
      </c>
      <c r="BF26" s="30" t="n">
        <f aca="false">BE26+BF25</f>
        <v>6</v>
      </c>
    </row>
    <row r="27" customFormat="false" ht="39.75" hidden="false" customHeight="true" outlineLevel="0" collapsed="false">
      <c r="A27" s="66" t="str">
        <f aca="false">IFERROR(INDEX($BD$2:$BD$61,MATCH(14,$BF$2:$BF$61,0)),"")</f>
        <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
      </c>
      <c r="AN27" s="0" t="str">
        <f aca="false">IF($A27="","",IFERROR(MATCH($B$4&amp;"|- Lane 1 - "&amp;B$13&amp;"|"&amp;$A27,'Reguler Class Availability'!$L:$L,0),""))</f>
        <v/>
      </c>
      <c r="AO27" s="0" t="str">
        <f aca="false">IF($A27="","",IFERROR(MATCH($B$4&amp;"|- Lane 1 - "&amp;C$13&amp;"|"&amp;$A27,'Reguler Class Availability'!$L:$L,0),""))</f>
        <v/>
      </c>
      <c r="AP27" s="0" t="str">
        <f aca="false">IF($A27="","",IFERROR(MATCH($B$4&amp;"|- Lane 1 - "&amp;D$13&amp;"|"&amp;$A27,'Reguler Class Availability'!$L:$L,0),""))</f>
        <v/>
      </c>
      <c r="AQ27" s="0" t="str">
        <f aca="false">IF($A27="","",IFERROR(MATCH($B$4&amp;"|- Lane 1 - "&amp;E$13&amp;"|"&amp;$A27,'Reguler Class Availability'!$L:$L,0),""))</f>
        <v/>
      </c>
      <c r="AR27" s="0" t="str">
        <f aca="false">IF($A27="","",IFERROR(MATCH($B$4&amp;"|- Lane 1 - "&amp;F$13&amp;"|"&amp;$A27,'Reguler Class Availability'!$L:$L,0),""))</f>
        <v/>
      </c>
      <c r="AS27" s="0" t="str">
        <f aca="false">IF($A27="","",IFERROR(MATCH($B$4&amp;"|- Lane 1 - "&amp;G$13&amp;"|"&amp;$A27,'Reguler Class Availability'!$L:$L,0),""))</f>
        <v/>
      </c>
      <c r="AT27" s="0" t="str">
        <f aca="false">IF($A27="","",IFERROR(MATCH($B$4&amp;"|- Lane 1 - "&amp;H$13&amp;"|"&amp;$A27,'Reguler Class Availability'!$L:$L,0),""))</f>
        <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
      </c>
      <c r="BD27" s="30" t="s">
        <v>134</v>
      </c>
      <c r="BE27" s="30" t="n">
        <f aca="false">IF(COUNTIFS('Reguler Class Availability'!$L:$L,$B$4&amp;"|- Lane 1 - *|"&amp;BD27)&gt;0,1,0)</f>
        <v>0</v>
      </c>
      <c r="BF27" s="30" t="n">
        <f aca="false">BE27+BF26</f>
        <v>6</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6</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6</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0%</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3%</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8%</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2%</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10%</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27%</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17%</v>
      </c>
      <c r="BD30" s="30" t="s">
        <v>138</v>
      </c>
      <c r="BE30" s="30" t="n">
        <f aca="false">IF(COUNTIFS('Reguler Class Availability'!$L:$L,$B$4&amp;"|- Lane 1 - *|"&amp;BD30)&gt;0,1,0)</f>
        <v>0</v>
      </c>
      <c r="BF30" s="30" t="n">
        <f aca="false">BE30+BF29</f>
        <v>6</v>
      </c>
    </row>
    <row r="31" customFormat="false" ht="15" hidden="false" customHeight="false" outlineLevel="0" collapsed="false">
      <c r="BD31" s="0" t="s">
        <v>139</v>
      </c>
      <c r="BE31" s="0" t="n">
        <f aca="false">IF(COUNTIFS('Reguler Class Availability'!$L:$L,$B$4&amp;"|- Lane 1 - *|"&amp;BD31)&gt;0,1,0)</f>
        <v>1</v>
      </c>
      <c r="BF31" s="0" t="n">
        <f aca="false">BE31+BF30</f>
        <v>7</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9%   ·   Belum terisi: 62   ·   Slot kosong: 0</v>
      </c>
      <c r="D32" s="62"/>
      <c r="E32" s="62"/>
      <c r="F32" s="62"/>
      <c r="G32" s="62"/>
      <c r="H32" s="62"/>
      <c r="BD32" s="30" t="s">
        <v>141</v>
      </c>
      <c r="BE32" s="30" t="n">
        <f aca="false">IF(COUNTIFS('Reguler Class Availability'!$L:$L,$B$4&amp;"|- Lane 1 - *|"&amp;BD32)&gt;0,1,0)</f>
        <v>0</v>
      </c>
      <c r="BF32" s="30" t="n">
        <f aca="false">BE32+BF31</f>
        <v>7</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7</v>
      </c>
    </row>
    <row r="34" customFormat="false" ht="39.75" hidden="false" customHeight="true" outlineLevel="0" collapsed="false">
      <c r="A34" s="66" t="str">
        <f aca="false">IFERROR(INDEX($BD$62:$BD$121,MATCH(1,$BF$62:$BF$121,0)),"")</f>
        <v>08:00</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Little  0/5  (0%)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Little  0/5  (0%)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Little  0/5  (0%)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Little  0/5  (0%)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Little  0/5  (0%)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Little  0/5  (0%)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Little  0/5  (0%)
coach: –</v>
      </c>
      <c r="AN34" s="30" t="n">
        <f aca="false">IF($A34="","",IFERROR(MATCH($B$4&amp;"|- Lane 2 - "&amp;B$33&amp;"|"&amp;$A34,'Reguler Class Availability'!$L:$L,0),""))</f>
        <v>1640</v>
      </c>
      <c r="AO34" s="30" t="n">
        <f aca="false">IF($A34="","",IFERROR(MATCH($B$4&amp;"|- Lane 2 - "&amp;C$33&amp;"|"&amp;$A34,'Reguler Class Availability'!$L:$L,0),""))</f>
        <v>1652</v>
      </c>
      <c r="AP34" s="30" t="n">
        <f aca="false">IF($A34="","",IFERROR(MATCH($B$4&amp;"|- Lane 2 - "&amp;D$33&amp;"|"&amp;$A34,'Reguler Class Availability'!$L:$L,0),""))</f>
        <v>1664</v>
      </c>
      <c r="AQ34" s="30" t="n">
        <f aca="false">IF($A34="","",IFERROR(MATCH($B$4&amp;"|- Lane 2 - "&amp;E$33&amp;"|"&amp;$A34,'Reguler Class Availability'!$L:$L,0),""))</f>
        <v>1676</v>
      </c>
      <c r="AR34" s="30" t="n">
        <f aca="false">IF($A34="","",IFERROR(MATCH($B$4&amp;"|- Lane 2 - "&amp;F$33&amp;"|"&amp;$A34,'Reguler Class Availability'!$L:$L,0),""))</f>
        <v>1688</v>
      </c>
      <c r="AS34" s="30" t="n">
        <f aca="false">IF($A34="","",IFERROR(MATCH($B$4&amp;"|- Lane 2 - "&amp;G$33&amp;"|"&amp;$A34,'Reguler Class Availability'!$L:$L,0),""))</f>
        <v>1700</v>
      </c>
      <c r="AT34" s="30" t="n">
        <f aca="false">IF($A34="","",IFERROR(MATCH($B$4&amp;"|- Lane 2 - "&amp;H$33&amp;"|"&amp;$A34,'Reguler Class Availability'!$L:$L,0),""))</f>
        <v>1712</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Belum terisi</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Belum terisi</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Belum terisi</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Belum terisi</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Belum terisi</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Belum terisi</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Belum terisi</v>
      </c>
      <c r="BD34" s="30" t="s">
        <v>143</v>
      </c>
      <c r="BE34" s="30" t="n">
        <f aca="false">IF(COUNTIFS('Reguler Class Availability'!$L:$L,$B$4&amp;"|- Lane 1 - *|"&amp;BD34)&gt;0,1,0)</f>
        <v>1</v>
      </c>
      <c r="BF34" s="30" t="n">
        <f aca="false">BE34+BF33</f>
        <v>8</v>
      </c>
    </row>
    <row r="35" customFormat="false" ht="39.75" hidden="false" customHeight="true" outlineLevel="0" collapsed="false">
      <c r="A35" s="66" t="str">
        <f aca="false">IFERROR(INDEX($BD$62:$BD$121,MATCH(2,$BF$62:$BF$121,0)),"")</f>
        <v>08:45</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Little  0/5  (0%)
coach: –</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Little  0/5  (0%)
coach: –</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Little  0/5  (0%)
coach: –</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Little  0/5  (0%)
coach: –</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Little  0/5  (0%)
coach: –</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Little  0/5  (0%)
coach: –</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Little  0/5  (0%)
coach: –</v>
      </c>
      <c r="AN35" s="30" t="n">
        <f aca="false">IF($A35="","",IFERROR(MATCH($B$4&amp;"|- Lane 2 - "&amp;B$33&amp;"|"&amp;$A35,'Reguler Class Availability'!$L:$L,0),""))</f>
        <v>1641</v>
      </c>
      <c r="AO35" s="30" t="n">
        <f aca="false">IF($A35="","",IFERROR(MATCH($B$4&amp;"|- Lane 2 - "&amp;C$33&amp;"|"&amp;$A35,'Reguler Class Availability'!$L:$L,0),""))</f>
        <v>1653</v>
      </c>
      <c r="AP35" s="30" t="n">
        <f aca="false">IF($A35="","",IFERROR(MATCH($B$4&amp;"|- Lane 2 - "&amp;D$33&amp;"|"&amp;$A35,'Reguler Class Availability'!$L:$L,0),""))</f>
        <v>1665</v>
      </c>
      <c r="AQ35" s="30" t="n">
        <f aca="false">IF($A35="","",IFERROR(MATCH($B$4&amp;"|- Lane 2 - "&amp;E$33&amp;"|"&amp;$A35,'Reguler Class Availability'!$L:$L,0),""))</f>
        <v>1677</v>
      </c>
      <c r="AR35" s="30" t="n">
        <f aca="false">IF($A35="","",IFERROR(MATCH($B$4&amp;"|- Lane 2 - "&amp;F$33&amp;"|"&amp;$A35,'Reguler Class Availability'!$L:$L,0),""))</f>
        <v>1689</v>
      </c>
      <c r="AS35" s="30" t="n">
        <f aca="false">IF($A35="","",IFERROR(MATCH($B$4&amp;"|- Lane 2 - "&amp;G$33&amp;"|"&amp;$A35,'Reguler Class Availability'!$L:$L,0),""))</f>
        <v>1701</v>
      </c>
      <c r="AT35" s="30" t="n">
        <f aca="false">IF($A35="","",IFERROR(MATCH($B$4&amp;"|- Lane 2 - "&amp;H$33&amp;"|"&amp;$A35,'Reguler Class Availability'!$L:$L,0),""))</f>
        <v>1713</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Belum terisi</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Belum terisi</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Belum terisi</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Belum terisi</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Belum terisi</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Belum terisi</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Belum terisi</v>
      </c>
      <c r="BD35" s="30" t="s">
        <v>144</v>
      </c>
      <c r="BE35" s="30" t="n">
        <f aca="false">IF(COUNTIFS('Reguler Class Availability'!$L:$L,$B$4&amp;"|- Lane 1 - *|"&amp;BD35)&gt;0,1,0)</f>
        <v>0</v>
      </c>
      <c r="BF35" s="30" t="n">
        <f aca="false">BE35+BF34</f>
        <v>8</v>
      </c>
    </row>
    <row r="36" customFormat="false" ht="39.75" hidden="false" customHeight="true" outlineLevel="0" collapsed="false">
      <c r="A36" s="66" t="str">
        <f aca="false">IFERROR(INDEX($BD$62:$BD$121,MATCH(3,$BF$62:$BF$121,0)),"")</f>
        <v>09:30</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Little  0/5  (0%)
coach: –</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Little  1/5  (20%)
Irvan</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Little  0/5  (0%)
coach: –</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Little  0/5  (0%)
coach: –</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Little  0/5  (0%)
coach: –</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Little  0/5  (0%)
coach: –</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Little  0/5  (0%)
coach: –</v>
      </c>
      <c r="AN36" s="30" t="n">
        <f aca="false">IF($A36="","",IFERROR(MATCH($B$4&amp;"|- Lane 2 - "&amp;B$33&amp;"|"&amp;$A36,'Reguler Class Availability'!$L:$L,0),""))</f>
        <v>1642</v>
      </c>
      <c r="AO36" s="30" t="n">
        <f aca="false">IF($A36="","",IFERROR(MATCH($B$4&amp;"|- Lane 2 - "&amp;C$33&amp;"|"&amp;$A36,'Reguler Class Availability'!$L:$L,0),""))</f>
        <v>1654</v>
      </c>
      <c r="AP36" s="30" t="n">
        <f aca="false">IF($A36="","",IFERROR(MATCH($B$4&amp;"|- Lane 2 - "&amp;D$33&amp;"|"&amp;$A36,'Reguler Class Availability'!$L:$L,0),""))</f>
        <v>1666</v>
      </c>
      <c r="AQ36" s="30" t="n">
        <f aca="false">IF($A36="","",IFERROR(MATCH($B$4&amp;"|- Lane 2 - "&amp;E$33&amp;"|"&amp;$A36,'Reguler Class Availability'!$L:$L,0),""))</f>
        <v>1678</v>
      </c>
      <c r="AR36" s="30" t="n">
        <f aca="false">IF($A36="","",IFERROR(MATCH($B$4&amp;"|- Lane 2 - "&amp;F$33&amp;"|"&amp;$A36,'Reguler Class Availability'!$L:$L,0),""))</f>
        <v>1690</v>
      </c>
      <c r="AS36" s="30" t="n">
        <f aca="false">IF($A36="","",IFERROR(MATCH($B$4&amp;"|- Lane 2 - "&amp;G$33&amp;"|"&amp;$A36,'Reguler Class Availability'!$L:$L,0),""))</f>
        <v>1702</v>
      </c>
      <c r="AT36" s="30" t="n">
        <f aca="false">IF($A36="","",IFERROR(MATCH($B$4&amp;"|- Lane 2 - "&amp;H$33&amp;"|"&amp;$A36,'Reguler Class Availability'!$L:$L,0),""))</f>
        <v>1714</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Belum terisi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Sebagian</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Belum terisi</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Belum terisi</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Belum terisi</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Belum terisi</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Belum terisi</v>
      </c>
      <c r="BD36" s="30" t="s">
        <v>145</v>
      </c>
      <c r="BE36" s="30" t="n">
        <f aca="false">IF(COUNTIFS('Reguler Class Availability'!$L:$L,$B$4&amp;"|- Lane 1 - *|"&amp;BD36)&gt;0,1,0)</f>
        <v>0</v>
      </c>
      <c r="BF36" s="30" t="n">
        <f aca="false">BE36+BF35</f>
        <v>8</v>
      </c>
    </row>
    <row r="37" customFormat="false" ht="39.75" hidden="false" customHeight="true" outlineLevel="0" collapsed="false">
      <c r="A37" s="66" t="str">
        <f aca="false">IFERROR(INDEX($BD$62:$BD$121,MATCH(4,$BF$62:$BF$121,0)),"")</f>
        <v>10:15</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Little  0/5  (0%)
coach: –</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Little  0/5  (0%)
coach: –</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Little  0/5  (0%)
coach: –</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Little  1/5  (20%)
Agas</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Little  0/5  (0%)
coach: –</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Little  3/5  (60%)
Iqbal</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Little  3/5  (60%)
Iqbal</v>
      </c>
      <c r="AN37" s="30" t="n">
        <f aca="false">IF($A37="","",IFERROR(MATCH($B$4&amp;"|- Lane 2 - "&amp;B$33&amp;"|"&amp;$A37,'Reguler Class Availability'!$L:$L,0),""))</f>
        <v>1643</v>
      </c>
      <c r="AO37" s="30" t="n">
        <f aca="false">IF($A37="","",IFERROR(MATCH($B$4&amp;"|- Lane 2 - "&amp;C$33&amp;"|"&amp;$A37,'Reguler Class Availability'!$L:$L,0),""))</f>
        <v>1655</v>
      </c>
      <c r="AP37" s="30" t="n">
        <f aca="false">IF($A37="","",IFERROR(MATCH($B$4&amp;"|- Lane 2 - "&amp;D$33&amp;"|"&amp;$A37,'Reguler Class Availability'!$L:$L,0),""))</f>
        <v>1667</v>
      </c>
      <c r="AQ37" s="30" t="n">
        <f aca="false">IF($A37="","",IFERROR(MATCH($B$4&amp;"|- Lane 2 - "&amp;E$33&amp;"|"&amp;$A37,'Reguler Class Availability'!$L:$L,0),""))</f>
        <v>1679</v>
      </c>
      <c r="AR37" s="30" t="n">
        <f aca="false">IF($A37="","",IFERROR(MATCH($B$4&amp;"|- Lane 2 - "&amp;F$33&amp;"|"&amp;$A37,'Reguler Class Availability'!$L:$L,0),""))</f>
        <v>1691</v>
      </c>
      <c r="AS37" s="30" t="n">
        <f aca="false">IF($A37="","",IFERROR(MATCH($B$4&amp;"|- Lane 2 - "&amp;G$33&amp;"|"&amp;$A37,'Reguler Class Availability'!$L:$L,0),""))</f>
        <v>1703</v>
      </c>
      <c r="AT37" s="30" t="n">
        <f aca="false">IF($A37="","",IFERROR(MATCH($B$4&amp;"|- Lane 2 - "&amp;H$33&amp;"|"&amp;$A37,'Reguler Class Availability'!$L:$L,0),""))</f>
        <v>1715</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Belum terisi</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Belum terisi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Belum terisi</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Sebagian</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Belum terisi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Tinggi</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Tinggi</v>
      </c>
      <c r="BD37" s="30" t="s">
        <v>146</v>
      </c>
      <c r="BE37" s="30" t="n">
        <f aca="false">IF(COUNTIFS('Reguler Class Availability'!$L:$L,$B$4&amp;"|- Lane 1 - *|"&amp;BD37)&gt;0,1,0)</f>
        <v>1</v>
      </c>
      <c r="BF37" s="30" t="n">
        <f aca="false">BE37+BF36</f>
        <v>9</v>
      </c>
    </row>
    <row r="38" customFormat="false" ht="39.75" hidden="false" customHeight="true" outlineLevel="0" collapsed="false">
      <c r="A38" s="66" t="str">
        <f aca="false">IFERROR(INDEX($BD$62:$BD$121,MATCH(5,$BF$62:$BF$121,0)),"")</f>
        <v>11:00</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Little  0/5  (0%)
coach: –</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Little  2/5  (40%)
Iqbal</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Little  1/5  (20%)
Iqbal</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Little  0/5  (0%)
coach: –</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Little  0/5  (0%)
coach: –</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Little  2/5  (40%)
Iqbal</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Little  1/5  (20%)
Agas</v>
      </c>
      <c r="AN38" s="30" t="n">
        <f aca="false">IF($A38="","",IFERROR(MATCH($B$4&amp;"|- Lane 2 - "&amp;B$33&amp;"|"&amp;$A38,'Reguler Class Availability'!$L:$L,0),""))</f>
        <v>1644</v>
      </c>
      <c r="AO38" s="30" t="n">
        <f aca="false">IF($A38="","",IFERROR(MATCH($B$4&amp;"|- Lane 2 - "&amp;C$33&amp;"|"&amp;$A38,'Reguler Class Availability'!$L:$L,0),""))</f>
        <v>1656</v>
      </c>
      <c r="AP38" s="30" t="n">
        <f aca="false">IF($A38="","",IFERROR(MATCH($B$4&amp;"|- Lane 2 - "&amp;D$33&amp;"|"&amp;$A38,'Reguler Class Availability'!$L:$L,0),""))</f>
        <v>1668</v>
      </c>
      <c r="AQ38" s="30" t="n">
        <f aca="false">IF($A38="","",IFERROR(MATCH($B$4&amp;"|- Lane 2 - "&amp;E$33&amp;"|"&amp;$A38,'Reguler Class Availability'!$L:$L,0),""))</f>
        <v>1680</v>
      </c>
      <c r="AR38" s="30" t="n">
        <f aca="false">IF($A38="","",IFERROR(MATCH($B$4&amp;"|- Lane 2 - "&amp;F$33&amp;"|"&amp;$A38,'Reguler Class Availability'!$L:$L,0),""))</f>
        <v>1692</v>
      </c>
      <c r="AS38" s="30" t="n">
        <f aca="false">IF($A38="","",IFERROR(MATCH($B$4&amp;"|- Lane 2 - "&amp;G$33&amp;"|"&amp;$A38,'Reguler Class Availability'!$L:$L,0),""))</f>
        <v>1704</v>
      </c>
      <c r="AT38" s="30" t="n">
        <f aca="false">IF($A38="","",IFERROR(MATCH($B$4&amp;"|- Lane 2 - "&amp;H$33&amp;"|"&amp;$A38,'Reguler Class Availability'!$L:$L,0),""))</f>
        <v>1716</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Belum terisi</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Sebagian</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Sebagian</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Belum terisi</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Belum terisi</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Sebagian</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Sebagian</v>
      </c>
      <c r="BD38" s="30" t="s">
        <v>147</v>
      </c>
      <c r="BE38" s="30" t="n">
        <f aca="false">IF(COUNTIFS('Reguler Class Availability'!$L:$L,$B$4&amp;"|- Lane 1 - *|"&amp;BD38)&gt;0,1,0)</f>
        <v>0</v>
      </c>
      <c r="BF38" s="30" t="n">
        <f aca="false">BE38+BF37</f>
        <v>9</v>
      </c>
    </row>
    <row r="39" customFormat="false" ht="39.75" hidden="false" customHeight="true" outlineLevel="0" collapsed="false">
      <c r="A39" s="66" t="str">
        <f aca="false">IFERROR(INDEX($BD$62:$BD$121,MATCH(6,$BF$62:$BF$121,0)),"")</f>
        <v>11:45</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Little  0/5  (0%)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Little  0/5  (0%)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Little  0/5  (0%)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Little  0/5  (0%)
coach: –</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Little  0/5  (0%)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Little  0/5  (0%)
coach: –</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Little  0/5  (0%)
coach: –</v>
      </c>
      <c r="AN39" s="30" t="n">
        <f aca="false">IF($A39="","",IFERROR(MATCH($B$4&amp;"|- Lane 2 - "&amp;B$33&amp;"|"&amp;$A39,'Reguler Class Availability'!$L:$L,0),""))</f>
        <v>1645</v>
      </c>
      <c r="AO39" s="30" t="n">
        <f aca="false">IF($A39="","",IFERROR(MATCH($B$4&amp;"|- Lane 2 - "&amp;C$33&amp;"|"&amp;$A39,'Reguler Class Availability'!$L:$L,0),""))</f>
        <v>1657</v>
      </c>
      <c r="AP39" s="30" t="n">
        <f aca="false">IF($A39="","",IFERROR(MATCH($B$4&amp;"|- Lane 2 - "&amp;D$33&amp;"|"&amp;$A39,'Reguler Class Availability'!$L:$L,0),""))</f>
        <v>1669</v>
      </c>
      <c r="AQ39" s="30" t="n">
        <f aca="false">IF($A39="","",IFERROR(MATCH($B$4&amp;"|- Lane 2 - "&amp;E$33&amp;"|"&amp;$A39,'Reguler Class Availability'!$L:$L,0),""))</f>
        <v>1681</v>
      </c>
      <c r="AR39" s="30" t="n">
        <f aca="false">IF($A39="","",IFERROR(MATCH($B$4&amp;"|- Lane 2 - "&amp;F$33&amp;"|"&amp;$A39,'Reguler Class Availability'!$L:$L,0),""))</f>
        <v>1693</v>
      </c>
      <c r="AS39" s="30" t="n">
        <f aca="false">IF($A39="","",IFERROR(MATCH($B$4&amp;"|- Lane 2 - "&amp;G$33&amp;"|"&amp;$A39,'Reguler Class Availability'!$L:$L,0),""))</f>
        <v>1705</v>
      </c>
      <c r="AT39" s="30" t="n">
        <f aca="false">IF($A39="","",IFERROR(MATCH($B$4&amp;"|- Lane 2 - "&amp;H$33&amp;"|"&amp;$A39,'Reguler Class Availability'!$L:$L,0),""))</f>
        <v>1717</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Belum terisi</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Belum terisi</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Belum terisi</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Belum terisi</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Belum terisi</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Belum terisi</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Belum terisi</v>
      </c>
      <c r="BD39" s="30" t="s">
        <v>148</v>
      </c>
      <c r="BE39" s="30" t="n">
        <f aca="false">IF(COUNTIFS('Reguler Class Availability'!$L:$L,$B$4&amp;"|- Lane 1 - *|"&amp;BD39)&gt;0,1,0)</f>
        <v>0</v>
      </c>
      <c r="BF39" s="30" t="n">
        <f aca="false">BE39+BF38</f>
        <v>9</v>
      </c>
    </row>
    <row r="40" customFormat="false" ht="39.75" hidden="false" customHeight="true" outlineLevel="0" collapsed="false">
      <c r="A40" s="66" t="str">
        <f aca="false">IFERROR(INDEX($BD$62:$BD$121,MATCH(7,$BF$62:$BF$121,0)),"")</f>
        <v>13:15</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Little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Little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Little  1/5  (20%)
Iqbal</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Little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Little  0/5  (0%)
coach: –</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Little  0/5  (0%)
coach: –</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Little  0/5  (0%)
coach: –</v>
      </c>
      <c r="AN40" s="30" t="n">
        <f aca="false">IF($A40="","",IFERROR(MATCH($B$4&amp;"|- Lane 2 - "&amp;B$33&amp;"|"&amp;$A40,'Reguler Class Availability'!$L:$L,0),""))</f>
        <v>1646</v>
      </c>
      <c r="AO40" s="30" t="n">
        <f aca="false">IF($A40="","",IFERROR(MATCH($B$4&amp;"|- Lane 2 - "&amp;C$33&amp;"|"&amp;$A40,'Reguler Class Availability'!$L:$L,0),""))</f>
        <v>1658</v>
      </c>
      <c r="AP40" s="30" t="n">
        <f aca="false">IF($A40="","",IFERROR(MATCH($B$4&amp;"|- Lane 2 - "&amp;D$33&amp;"|"&amp;$A40,'Reguler Class Availability'!$L:$L,0),""))</f>
        <v>1670</v>
      </c>
      <c r="AQ40" s="30" t="n">
        <f aca="false">IF($A40="","",IFERROR(MATCH($B$4&amp;"|- Lane 2 - "&amp;E$33&amp;"|"&amp;$A40,'Reguler Class Availability'!$L:$L,0),""))</f>
        <v>1682</v>
      </c>
      <c r="AR40" s="30" t="n">
        <f aca="false">IF($A40="","",IFERROR(MATCH($B$4&amp;"|- Lane 2 - "&amp;F$33&amp;"|"&amp;$A40,'Reguler Class Availability'!$L:$L,0),""))</f>
        <v>1694</v>
      </c>
      <c r="AS40" s="30" t="n">
        <f aca="false">IF($A40="","",IFERROR(MATCH($B$4&amp;"|- Lane 2 - "&amp;G$33&amp;"|"&amp;$A40,'Reguler Class Availability'!$L:$L,0),""))</f>
        <v>1706</v>
      </c>
      <c r="AT40" s="30" t="n">
        <f aca="false">IF($A40="","",IFERROR(MATCH($B$4&amp;"|- Lane 2 - "&amp;H$33&amp;"|"&amp;$A40,'Reguler Class Availability'!$L:$L,0),""))</f>
        <v>1718</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Sebagian</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Belum terisi</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Belum terisi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Belum terisi</v>
      </c>
      <c r="BD40" s="30" t="s">
        <v>149</v>
      </c>
      <c r="BE40" s="30" t="n">
        <f aca="false">IF(COUNTIFS('Reguler Class Availability'!$L:$L,$B$4&amp;"|- Lane 1 - *|"&amp;BD40)&gt;0,1,0)</f>
        <v>1</v>
      </c>
      <c r="BF40" s="30" t="n">
        <f aca="false">BE40+BF39</f>
        <v>10</v>
      </c>
    </row>
    <row r="41" customFormat="false" ht="39.75" hidden="false" customHeight="true" outlineLevel="0" collapsed="false">
      <c r="A41" s="66" t="str">
        <f aca="false">IFERROR(INDEX($BD$62:$BD$121,MATCH(8,$BF$62:$BF$121,0)),"")</f>
        <v>14:00</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Little  0/5  (0%)
coach: –</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Little  0/5  (0%)
coach: –</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Little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Little  0/5  (0%)
coach: –</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Little  0/5  (0%)
coach: –</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Little  0/5  (0%)
coach: –</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Little  0/5  (0%)
coach: –</v>
      </c>
      <c r="AN41" s="30" t="n">
        <f aca="false">IF($A41="","",IFERROR(MATCH($B$4&amp;"|- Lane 2 - "&amp;B$33&amp;"|"&amp;$A41,'Reguler Class Availability'!$L:$L,0),""))</f>
        <v>1647</v>
      </c>
      <c r="AO41" s="30" t="n">
        <f aca="false">IF($A41="","",IFERROR(MATCH($B$4&amp;"|- Lane 2 - "&amp;C$33&amp;"|"&amp;$A41,'Reguler Class Availability'!$L:$L,0),""))</f>
        <v>1659</v>
      </c>
      <c r="AP41" s="30" t="n">
        <f aca="false">IF($A41="","",IFERROR(MATCH($B$4&amp;"|- Lane 2 - "&amp;D$33&amp;"|"&amp;$A41,'Reguler Class Availability'!$L:$L,0),""))</f>
        <v>1671</v>
      </c>
      <c r="AQ41" s="30" t="n">
        <f aca="false">IF($A41="","",IFERROR(MATCH($B$4&amp;"|- Lane 2 - "&amp;E$33&amp;"|"&amp;$A41,'Reguler Class Availability'!$L:$L,0),""))</f>
        <v>1683</v>
      </c>
      <c r="AR41" s="30" t="n">
        <f aca="false">IF($A41="","",IFERROR(MATCH($B$4&amp;"|- Lane 2 - "&amp;F$33&amp;"|"&amp;$A41,'Reguler Class Availability'!$L:$L,0),""))</f>
        <v>1695</v>
      </c>
      <c r="AS41" s="30" t="n">
        <f aca="false">IF($A41="","",IFERROR(MATCH($B$4&amp;"|- Lane 2 - "&amp;G$33&amp;"|"&amp;$A41,'Reguler Class Availability'!$L:$L,0),""))</f>
        <v>1707</v>
      </c>
      <c r="AT41" s="30" t="n">
        <f aca="false">IF($A41="","",IFERROR(MATCH($B$4&amp;"|- Lane 2 - "&amp;H$33&amp;"|"&amp;$A41,'Reguler Class Availability'!$L:$L,0),""))</f>
        <v>1719</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Belum terisi</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Belum terisi</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Belum terisi</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Belum terisi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Belum terisi</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Belum terisi</v>
      </c>
      <c r="BD41" s="30" t="s">
        <v>150</v>
      </c>
      <c r="BE41" s="30" t="n">
        <f aca="false">IF(COUNTIFS('Reguler Class Availability'!$L:$L,$B$4&amp;"|- Lane 1 - *|"&amp;BD41)&gt;0,1,0)</f>
        <v>0</v>
      </c>
      <c r="BF41" s="30" t="n">
        <f aca="false">BE41+BF40</f>
        <v>10</v>
      </c>
    </row>
    <row r="42" customFormat="false" ht="39.75" hidden="false" customHeight="true" outlineLevel="0" collapsed="false">
      <c r="A42" s="66" t="str">
        <f aca="false">IFERROR(INDEX($BD$62:$BD$121,MATCH(9,$BF$62:$BF$121,0)),"")</f>
        <v>14:45</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Little  0/5  (0%)
coach: –</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Little  0/5  (0%)
coach: –</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Little  2/5  (40%)
Hanif</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Little  0/5  (0%)
coach: –</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Little  3/5  (60%)
Adam</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Little  1/5  (20%)
Iqbal</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Little  1/5  (20%)
Irvan</v>
      </c>
      <c r="AN42" s="30" t="n">
        <f aca="false">IF($A42="","",IFERROR(MATCH($B$4&amp;"|- Lane 2 - "&amp;B$33&amp;"|"&amp;$A42,'Reguler Class Availability'!$L:$L,0),""))</f>
        <v>1648</v>
      </c>
      <c r="AO42" s="30" t="n">
        <f aca="false">IF($A42="","",IFERROR(MATCH($B$4&amp;"|- Lane 2 - "&amp;C$33&amp;"|"&amp;$A42,'Reguler Class Availability'!$L:$L,0),""))</f>
        <v>1660</v>
      </c>
      <c r="AP42" s="30" t="n">
        <f aca="false">IF($A42="","",IFERROR(MATCH($B$4&amp;"|- Lane 2 - "&amp;D$33&amp;"|"&amp;$A42,'Reguler Class Availability'!$L:$L,0),""))</f>
        <v>1672</v>
      </c>
      <c r="AQ42" s="30" t="n">
        <f aca="false">IF($A42="","",IFERROR(MATCH($B$4&amp;"|- Lane 2 - "&amp;E$33&amp;"|"&amp;$A42,'Reguler Class Availability'!$L:$L,0),""))</f>
        <v>1684</v>
      </c>
      <c r="AR42" s="30" t="n">
        <f aca="false">IF($A42="","",IFERROR(MATCH($B$4&amp;"|- Lane 2 - "&amp;F$33&amp;"|"&amp;$A42,'Reguler Class Availability'!$L:$L,0),""))</f>
        <v>1696</v>
      </c>
      <c r="AS42" s="30" t="n">
        <f aca="false">IF($A42="","",IFERROR(MATCH($B$4&amp;"|- Lane 2 - "&amp;G$33&amp;"|"&amp;$A42,'Reguler Class Availability'!$L:$L,0),""))</f>
        <v>1708</v>
      </c>
      <c r="AT42" s="30" t="n">
        <f aca="false">IF($A42="","",IFERROR(MATCH($B$4&amp;"|- Lane 2 - "&amp;H$33&amp;"|"&amp;$A42,'Reguler Class Availability'!$L:$L,0),""))</f>
        <v>1720</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Belum terisi</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Belum terisi</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Sebagian</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Belum terisi</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Tinggi</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Sebagian</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Sebagian</v>
      </c>
      <c r="BD42" s="30" t="s">
        <v>151</v>
      </c>
      <c r="BE42" s="30" t="n">
        <f aca="false">IF(COUNTIFS('Reguler Class Availability'!$L:$L,$B$4&amp;"|- Lane 1 - *|"&amp;BD42)&gt;0,1,0)</f>
        <v>0</v>
      </c>
      <c r="BF42" s="30" t="n">
        <f aca="false">BE42+BF41</f>
        <v>10</v>
      </c>
    </row>
    <row r="43" customFormat="false" ht="39.75" hidden="false" customHeight="true" outlineLevel="0" collapsed="false">
      <c r="A43" s="66" t="str">
        <f aca="false">IFERROR(INDEX($BD$62:$BD$121,MATCH(10,$BF$62:$BF$121,0)),"")</f>
        <v>15:30</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Little  0/5  (0%)
coach: –</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Little  0/5  (0%)
coach: –</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Little  0/5  (0%)
coach: –</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Little  0/5  (0%)
coach: –</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Little  0/5  (0%)
coach: –</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Little  0/5  (0%)
coach: –</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Little  0/5  (0%)
coach: –</v>
      </c>
      <c r="AN43" s="30" t="n">
        <f aca="false">IF($A43="","",IFERROR(MATCH($B$4&amp;"|- Lane 2 - "&amp;B$33&amp;"|"&amp;$A43,'Reguler Class Availability'!$L:$L,0),""))</f>
        <v>1649</v>
      </c>
      <c r="AO43" s="30" t="n">
        <f aca="false">IF($A43="","",IFERROR(MATCH($B$4&amp;"|- Lane 2 - "&amp;C$33&amp;"|"&amp;$A43,'Reguler Class Availability'!$L:$L,0),""))</f>
        <v>1661</v>
      </c>
      <c r="AP43" s="30" t="n">
        <f aca="false">IF($A43="","",IFERROR(MATCH($B$4&amp;"|- Lane 2 - "&amp;D$33&amp;"|"&amp;$A43,'Reguler Class Availability'!$L:$L,0),""))</f>
        <v>1673</v>
      </c>
      <c r="AQ43" s="30" t="n">
        <f aca="false">IF($A43="","",IFERROR(MATCH($B$4&amp;"|- Lane 2 - "&amp;E$33&amp;"|"&amp;$A43,'Reguler Class Availability'!$L:$L,0),""))</f>
        <v>1685</v>
      </c>
      <c r="AR43" s="30" t="n">
        <f aca="false">IF($A43="","",IFERROR(MATCH($B$4&amp;"|- Lane 2 - "&amp;F$33&amp;"|"&amp;$A43,'Reguler Class Availability'!$L:$L,0),""))</f>
        <v>1697</v>
      </c>
      <c r="AS43" s="30" t="n">
        <f aca="false">IF($A43="","",IFERROR(MATCH($B$4&amp;"|- Lane 2 - "&amp;G$33&amp;"|"&amp;$A43,'Reguler Class Availability'!$L:$L,0),""))</f>
        <v>1709</v>
      </c>
      <c r="AT43" s="30" t="n">
        <f aca="false">IF($A43="","",IFERROR(MATCH($B$4&amp;"|- Lane 2 - "&amp;H$33&amp;"|"&amp;$A43,'Reguler Class Availability'!$L:$L,0),""))</f>
        <v>1721</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Belum terisi</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Belum terisi</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Belum terisi</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Belum terisi</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Belum terisi</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Belum terisi</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Belum terisi</v>
      </c>
      <c r="BD43" s="30" t="s">
        <v>152</v>
      </c>
      <c r="BE43" s="30" t="n">
        <f aca="false">IF(COUNTIFS('Reguler Class Availability'!$L:$L,$B$4&amp;"|- Lane 1 - *|"&amp;BD43)&gt;0,1,0)</f>
        <v>1</v>
      </c>
      <c r="BF43" s="30" t="n">
        <f aca="false">BE43+BF42</f>
        <v>11</v>
      </c>
    </row>
    <row r="44" customFormat="false" ht="39.75" hidden="false" customHeight="true" outlineLevel="0" collapsed="false">
      <c r="A44" s="66" t="str">
        <f aca="false">IFERROR(INDEX($BD$62:$BD$121,MATCH(11,$BF$62:$BF$121,0)),"")</f>
        <v>16:15</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Little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Little  2/5  (40%)
Irvan</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Little  3/5  (60%)
Iqbal</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Little  3/5  (60%)
Adam</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Little  2/5  (40%)
Irvan</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Little  1/5  (20%)
Adam</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Little  2/5  (40%)
Iqbal</v>
      </c>
      <c r="AN44" s="30" t="n">
        <f aca="false">IF($A44="","",IFERROR(MATCH($B$4&amp;"|- Lane 2 - "&amp;B$33&amp;"|"&amp;$A44,'Reguler Class Availability'!$L:$L,0),""))</f>
        <v>1650</v>
      </c>
      <c r="AO44" s="30" t="n">
        <f aca="false">IF($A44="","",IFERROR(MATCH($B$4&amp;"|- Lane 2 - "&amp;C$33&amp;"|"&amp;$A44,'Reguler Class Availability'!$L:$L,0),""))</f>
        <v>1662</v>
      </c>
      <c r="AP44" s="30" t="n">
        <f aca="false">IF($A44="","",IFERROR(MATCH($B$4&amp;"|- Lane 2 - "&amp;D$33&amp;"|"&amp;$A44,'Reguler Class Availability'!$L:$L,0),""))</f>
        <v>1674</v>
      </c>
      <c r="AQ44" s="30" t="n">
        <f aca="false">IF($A44="","",IFERROR(MATCH($B$4&amp;"|- Lane 2 - "&amp;E$33&amp;"|"&amp;$A44,'Reguler Class Availability'!$L:$L,0),""))</f>
        <v>1686</v>
      </c>
      <c r="AR44" s="30" t="n">
        <f aca="false">IF($A44="","",IFERROR(MATCH($B$4&amp;"|- Lane 2 - "&amp;F$33&amp;"|"&amp;$A44,'Reguler Class Availability'!$L:$L,0),""))</f>
        <v>1698</v>
      </c>
      <c r="AS44" s="30" t="n">
        <f aca="false">IF($A44="","",IFERROR(MATCH($B$4&amp;"|- Lane 2 - "&amp;G$33&amp;"|"&amp;$A44,'Reguler Class Availability'!$L:$L,0),""))</f>
        <v>1710</v>
      </c>
      <c r="AT44" s="30" t="n">
        <f aca="false">IF($A44="","",IFERROR(MATCH($B$4&amp;"|- Lane 2 - "&amp;H$33&amp;"|"&amp;$A44,'Reguler Class Availability'!$L:$L,0),""))</f>
        <v>1722</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Belum terisi</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Sebagian</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Tinggi</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Tinggi</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Sebagian</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Sebagian</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Sebagian</v>
      </c>
      <c r="BD44" s="30" t="s">
        <v>153</v>
      </c>
      <c r="BE44" s="30" t="n">
        <f aca="false">IF(COUNTIFS('Reguler Class Availability'!$L:$L,$B$4&amp;"|- Lane 1 - *|"&amp;BD44)&gt;0,1,0)</f>
        <v>0</v>
      </c>
      <c r="BF44" s="30" t="n">
        <f aca="false">BE44+BF43</f>
        <v>11</v>
      </c>
    </row>
    <row r="45" customFormat="false" ht="39.75" hidden="false" customHeight="true" outlineLevel="0" collapsed="false">
      <c r="A45" s="66" t="str">
        <f aca="false">IFERROR(INDEX($BD$62:$BD$121,MATCH(12,$BF$62:$BF$121,0)),"")</f>
        <v>17:00</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Little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Little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Little  0/5  (0%)
coach: –</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Little  0/5  (0%)
coach: –</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Little  1/5  (20%)
Agas</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Little  1/5  (20%)
Hanif</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Little  1/5  (20%)
Hanif</v>
      </c>
      <c r="AN45" s="30" t="n">
        <f aca="false">IF($A45="","",IFERROR(MATCH($B$4&amp;"|- Lane 2 - "&amp;B$33&amp;"|"&amp;$A45,'Reguler Class Availability'!$L:$L,0),""))</f>
        <v>1651</v>
      </c>
      <c r="AO45" s="30" t="n">
        <f aca="false">IF($A45="","",IFERROR(MATCH($B$4&amp;"|- Lane 2 - "&amp;C$33&amp;"|"&amp;$A45,'Reguler Class Availability'!$L:$L,0),""))</f>
        <v>1663</v>
      </c>
      <c r="AP45" s="30" t="n">
        <f aca="false">IF($A45="","",IFERROR(MATCH($B$4&amp;"|- Lane 2 - "&amp;D$33&amp;"|"&amp;$A45,'Reguler Class Availability'!$L:$L,0),""))</f>
        <v>1675</v>
      </c>
      <c r="AQ45" s="30" t="n">
        <f aca="false">IF($A45="","",IFERROR(MATCH($B$4&amp;"|- Lane 2 - "&amp;E$33&amp;"|"&amp;$A45,'Reguler Class Availability'!$L:$L,0),""))</f>
        <v>1687</v>
      </c>
      <c r="AR45" s="30" t="n">
        <f aca="false">IF($A45="","",IFERROR(MATCH($B$4&amp;"|- Lane 2 - "&amp;F$33&amp;"|"&amp;$A45,'Reguler Class Availability'!$L:$L,0),""))</f>
        <v>1699</v>
      </c>
      <c r="AS45" s="30" t="n">
        <f aca="false">IF($A45="","",IFERROR(MATCH($B$4&amp;"|- Lane 2 - "&amp;G$33&amp;"|"&amp;$A45,'Reguler Class Availability'!$L:$L,0),""))</f>
        <v>1711</v>
      </c>
      <c r="AT45" s="30" t="n">
        <f aca="false">IF($A45="","",IFERROR(MATCH($B$4&amp;"|- Lane 2 - "&amp;H$33&amp;"|"&amp;$A45,'Reguler Class Availability'!$L:$L,0),""))</f>
        <v>1723</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Belum terisi</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Belum terisi</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Belum terisi</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Belum terisi</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Sebagian</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Sebagian</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Sebagian</v>
      </c>
      <c r="BD45" s="30" t="s">
        <v>154</v>
      </c>
      <c r="BE45" s="30" t="n">
        <f aca="false">IF(COUNTIFS('Reguler Class Availability'!$L:$L,$B$4&amp;"|- Lane 1 - *|"&amp;BD45)&gt;0,1,0)</f>
        <v>0</v>
      </c>
      <c r="BF45" s="30" t="n">
        <f aca="false">BE45+BF44</f>
        <v>11</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1</v>
      </c>
      <c r="BF46" s="30" t="n">
        <f aca="false">BE46+BF45</f>
        <v>12</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0</v>
      </c>
      <c r="BF47" s="30" t="n">
        <f aca="false">BE47+BF46</f>
        <v>12</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0%</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8%</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12%</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7%</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10%</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13%</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13%</v>
      </c>
      <c r="BD48" s="30" t="s">
        <v>157</v>
      </c>
      <c r="BE48" s="30" t="n">
        <f aca="false">IF(COUNTIFS('Reguler Class Availability'!$L:$L,$B$4&amp;"|- Lane 1 - *|"&amp;BD48)&gt;0,1,0)</f>
        <v>0</v>
      </c>
      <c r="BF48" s="30" t="n">
        <f aca="false">BE48+BF47</f>
        <v>12</v>
      </c>
    </row>
    <row r="49" customFormat="false" ht="15" hidden="false" customHeight="false" outlineLevel="0" collapsed="false">
      <c r="BD49" s="0" t="s">
        <v>158</v>
      </c>
      <c r="BE49" s="0" t="n">
        <f aca="false">IF(COUNTIFS('Reguler Class Availability'!$L:$L,$B$4&amp;"|- Lane 1 - *|"&amp;BD49)&gt;0,1,0)</f>
        <v>0</v>
      </c>
      <c r="BF49" s="0" t="n">
        <f aca="false">BE49+BF48</f>
        <v>12</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12%   ·   Belum terisi: 60   ·   Slot kosong: 0</v>
      </c>
      <c r="D50" s="62"/>
      <c r="E50" s="62"/>
      <c r="F50" s="62"/>
      <c r="G50" s="62"/>
      <c r="H50" s="62"/>
      <c r="BD50" s="30" t="s">
        <v>160</v>
      </c>
      <c r="BE50" s="30" t="n">
        <f aca="false">IF(COUNTIFS('Reguler Class Availability'!$L:$L,$B$4&amp;"|- Lane 1 - *|"&amp;BD50)&gt;0,1,0)</f>
        <v>0</v>
      </c>
      <c r="BF50" s="30" t="n">
        <f aca="false">BE50+BF49</f>
        <v>12</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12</v>
      </c>
    </row>
    <row r="52" customFormat="false" ht="39.75" hidden="false" customHeight="true" outlineLevel="0" collapsed="false">
      <c r="A52" s="66" t="str">
        <f aca="false">IFERROR(INDEX($BD$122:$BD$181,MATCH(1,$BF$122:$BF$181,0)),"")</f>
        <v>08:15</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Kids  0/4  (0%)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Kids  0/4  (0%)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Kids  0/4  (0%)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Kids  0/4  (0%)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Kids  0/4  (0%)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Kids  0/4  (0%)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Kids  0/4  (0%)
coach: –</v>
      </c>
      <c r="AN52" s="30" t="n">
        <f aca="false">IF($A52="","",IFERROR(MATCH($B$4&amp;"|- Lane 3 - "&amp;B$51&amp;"|"&amp;$A52,'Reguler Class Availability'!$L:$L,0),""))</f>
        <v>1724</v>
      </c>
      <c r="AO52" s="30" t="n">
        <f aca="false">IF($A52="","",IFERROR(MATCH($B$4&amp;"|- Lane 3 - "&amp;C$51&amp;"|"&amp;$A52,'Reguler Class Availability'!$L:$L,0),""))</f>
        <v>1736</v>
      </c>
      <c r="AP52" s="30" t="n">
        <f aca="false">IF($A52="","",IFERROR(MATCH($B$4&amp;"|- Lane 3 - "&amp;D$51&amp;"|"&amp;$A52,'Reguler Class Availability'!$L:$L,0),""))</f>
        <v>1748</v>
      </c>
      <c r="AQ52" s="30" t="n">
        <f aca="false">IF($A52="","",IFERROR(MATCH($B$4&amp;"|- Lane 3 - "&amp;E$51&amp;"|"&amp;$A52,'Reguler Class Availability'!$L:$L,0),""))</f>
        <v>1760</v>
      </c>
      <c r="AR52" s="30" t="n">
        <f aca="false">IF($A52="","",IFERROR(MATCH($B$4&amp;"|- Lane 3 - "&amp;F$51&amp;"|"&amp;$A52,'Reguler Class Availability'!$L:$L,0),""))</f>
        <v>1772</v>
      </c>
      <c r="AS52" s="30" t="n">
        <f aca="false">IF($A52="","",IFERROR(MATCH($B$4&amp;"|- Lane 3 - "&amp;G$51&amp;"|"&amp;$A52,'Reguler Class Availability'!$L:$L,0),""))</f>
        <v>1784</v>
      </c>
      <c r="AT52" s="30" t="n">
        <f aca="false">IF($A52="","",IFERROR(MATCH($B$4&amp;"|- Lane 3 - "&amp;H$51&amp;"|"&amp;$A52,'Reguler Class Availability'!$L:$L,0),""))</f>
        <v>1796</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Belum terisi</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Belum terisi</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Belum terisi</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Belum terisi</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Belum terisi</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Belum terisi</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Belum terisi</v>
      </c>
      <c r="BD52" s="30" t="s">
        <v>162</v>
      </c>
      <c r="BE52" s="30" t="n">
        <f aca="false">IF(COUNTIFS('Reguler Class Availability'!$L:$L,$B$4&amp;"|- Lane 1 - *|"&amp;BD52)&gt;0,1,0)</f>
        <v>0</v>
      </c>
      <c r="BF52" s="30" t="n">
        <f aca="false">BE52+BF51</f>
        <v>12</v>
      </c>
    </row>
    <row r="53" customFormat="false" ht="39.75" hidden="false" customHeight="true" outlineLevel="0" collapsed="false">
      <c r="A53" s="66" t="str">
        <f aca="false">IFERROR(INDEX($BD$122:$BD$181,MATCH(2,$BF$122:$BF$181,0)),"")</f>
        <v>09:00</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Kids  0/4  (0%)
coach: –</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Kids  0/4  (0%)
coach: –</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Kids  0/4  (0%)
coach: –</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Kids  0/4  (0%)
coach: –</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Kids  0/4  (0%)
coach: –</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Kids  1/4  (25%)
Iqbal</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Kids  0/4  (0%)
coach: –</v>
      </c>
      <c r="AN53" s="30" t="n">
        <f aca="false">IF($A53="","",IFERROR(MATCH($B$4&amp;"|- Lane 3 - "&amp;B$51&amp;"|"&amp;$A53,'Reguler Class Availability'!$L:$L,0),""))</f>
        <v>1725</v>
      </c>
      <c r="AO53" s="30" t="n">
        <f aca="false">IF($A53="","",IFERROR(MATCH($B$4&amp;"|- Lane 3 - "&amp;C$51&amp;"|"&amp;$A53,'Reguler Class Availability'!$L:$L,0),""))</f>
        <v>1737</v>
      </c>
      <c r="AP53" s="30" t="n">
        <f aca="false">IF($A53="","",IFERROR(MATCH($B$4&amp;"|- Lane 3 - "&amp;D$51&amp;"|"&amp;$A53,'Reguler Class Availability'!$L:$L,0),""))</f>
        <v>1749</v>
      </c>
      <c r="AQ53" s="30" t="n">
        <f aca="false">IF($A53="","",IFERROR(MATCH($B$4&amp;"|- Lane 3 - "&amp;E$51&amp;"|"&amp;$A53,'Reguler Class Availability'!$L:$L,0),""))</f>
        <v>1761</v>
      </c>
      <c r="AR53" s="30" t="n">
        <f aca="false">IF($A53="","",IFERROR(MATCH($B$4&amp;"|- Lane 3 - "&amp;F$51&amp;"|"&amp;$A53,'Reguler Class Availability'!$L:$L,0),""))</f>
        <v>1773</v>
      </c>
      <c r="AS53" s="30" t="n">
        <f aca="false">IF($A53="","",IFERROR(MATCH($B$4&amp;"|- Lane 3 - "&amp;G$51&amp;"|"&amp;$A53,'Reguler Class Availability'!$L:$L,0),""))</f>
        <v>1785</v>
      </c>
      <c r="AT53" s="30" t="n">
        <f aca="false">IF($A53="","",IFERROR(MATCH($B$4&amp;"|- Lane 3 - "&amp;H$51&amp;"|"&amp;$A53,'Reguler Class Availability'!$L:$L,0),""))</f>
        <v>1797</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Belum terisi</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Belum terisi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Belum terisi</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Belum terisi</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Belum terisi</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Sebagian</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Belum terisi</v>
      </c>
      <c r="BD53" s="30" t="s">
        <v>163</v>
      </c>
      <c r="BE53" s="30" t="n">
        <f aca="false">IF(COUNTIFS('Reguler Class Availability'!$L:$L,$B$4&amp;"|- Lane 1 - *|"&amp;BD53)&gt;0,1,0)</f>
        <v>0</v>
      </c>
      <c r="BF53" s="30" t="n">
        <f aca="false">BE53+BF52</f>
        <v>12</v>
      </c>
    </row>
    <row r="54" customFormat="false" ht="39.75" hidden="false" customHeight="true" outlineLevel="0" collapsed="false">
      <c r="A54" s="66" t="str">
        <f aca="false">IFERROR(INDEX($BD$122:$BD$181,MATCH(3,$BF$122:$BF$181,0)),"")</f>
        <v>09:45</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Kids  0/4  (0%)
coach: –</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Kids  0/4  (0%)
coach: –</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Kids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Kids  0/4  (0%)
coach: –</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Kids  0/4  (0%)
coach: –</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Kids  0/4  (0%)
coach: –</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Kids  2/4  (50%)
Irvan</v>
      </c>
      <c r="AN54" s="30" t="n">
        <f aca="false">IF($A54="","",IFERROR(MATCH($B$4&amp;"|- Lane 3 - "&amp;B$51&amp;"|"&amp;$A54,'Reguler Class Availability'!$L:$L,0),""))</f>
        <v>1726</v>
      </c>
      <c r="AO54" s="30" t="n">
        <f aca="false">IF($A54="","",IFERROR(MATCH($B$4&amp;"|- Lane 3 - "&amp;C$51&amp;"|"&amp;$A54,'Reguler Class Availability'!$L:$L,0),""))</f>
        <v>1738</v>
      </c>
      <c r="AP54" s="30" t="n">
        <f aca="false">IF($A54="","",IFERROR(MATCH($B$4&amp;"|- Lane 3 - "&amp;D$51&amp;"|"&amp;$A54,'Reguler Class Availability'!$L:$L,0),""))</f>
        <v>1750</v>
      </c>
      <c r="AQ54" s="30" t="n">
        <f aca="false">IF($A54="","",IFERROR(MATCH($B$4&amp;"|- Lane 3 - "&amp;E$51&amp;"|"&amp;$A54,'Reguler Class Availability'!$L:$L,0),""))</f>
        <v>1762</v>
      </c>
      <c r="AR54" s="30" t="n">
        <f aca="false">IF($A54="","",IFERROR(MATCH($B$4&amp;"|- Lane 3 - "&amp;F$51&amp;"|"&amp;$A54,'Reguler Class Availability'!$L:$L,0),""))</f>
        <v>1774</v>
      </c>
      <c r="AS54" s="30" t="n">
        <f aca="false">IF($A54="","",IFERROR(MATCH($B$4&amp;"|- Lane 3 - "&amp;G$51&amp;"|"&amp;$A54,'Reguler Class Availability'!$L:$L,0),""))</f>
        <v>1786</v>
      </c>
      <c r="AT54" s="30" t="n">
        <f aca="false">IF($A54="","",IFERROR(MATCH($B$4&amp;"|- Lane 3 - "&amp;H$51&amp;"|"&amp;$A54,'Reguler Class Availability'!$L:$L,0),""))</f>
        <v>1798</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Belum terisi</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Belum terisi</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Belum terisi</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Belum terisi</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Belum terisi</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Sebagian</v>
      </c>
      <c r="BD54" s="30" t="s">
        <v>164</v>
      </c>
      <c r="BE54" s="30" t="n">
        <f aca="false">IF(COUNTIFS('Reguler Class Availability'!$L:$L,$B$4&amp;"|- Lane 1 - *|"&amp;BD54)&gt;0,1,0)</f>
        <v>0</v>
      </c>
      <c r="BF54" s="30" t="n">
        <f aca="false">BE54+BF53</f>
        <v>12</v>
      </c>
    </row>
    <row r="55" customFormat="false" ht="39.75" hidden="false" customHeight="true" outlineLevel="0" collapsed="false">
      <c r="A55" s="66" t="str">
        <f aca="false">IFERROR(INDEX($BD$122:$BD$181,MATCH(4,$BF$122:$BF$181,0)),"")</f>
        <v>10:30</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Kids  0/4  (0%)
coach: –</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Kids  0/4  (0%)
coach: –</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Kids  0/4  (0%)
coach: –</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Kids  0/4  (0%)
coach: –</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Kids  0/4  (0%)
coach: –</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Kids  0/4  (0%)
coach: –</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Kids  2/4  (50%)
Irvan</v>
      </c>
      <c r="AN55" s="30" t="n">
        <f aca="false">IF($A55="","",IFERROR(MATCH($B$4&amp;"|- Lane 3 - "&amp;B$51&amp;"|"&amp;$A55,'Reguler Class Availability'!$L:$L,0),""))</f>
        <v>1727</v>
      </c>
      <c r="AO55" s="30" t="n">
        <f aca="false">IF($A55="","",IFERROR(MATCH($B$4&amp;"|- Lane 3 - "&amp;C$51&amp;"|"&amp;$A55,'Reguler Class Availability'!$L:$L,0),""))</f>
        <v>1739</v>
      </c>
      <c r="AP55" s="30" t="n">
        <f aca="false">IF($A55="","",IFERROR(MATCH($B$4&amp;"|- Lane 3 - "&amp;D$51&amp;"|"&amp;$A55,'Reguler Class Availability'!$L:$L,0),""))</f>
        <v>1751</v>
      </c>
      <c r="AQ55" s="30" t="n">
        <f aca="false">IF($A55="","",IFERROR(MATCH($B$4&amp;"|- Lane 3 - "&amp;E$51&amp;"|"&amp;$A55,'Reguler Class Availability'!$L:$L,0),""))</f>
        <v>1763</v>
      </c>
      <c r="AR55" s="30" t="n">
        <f aca="false">IF($A55="","",IFERROR(MATCH($B$4&amp;"|- Lane 3 - "&amp;F$51&amp;"|"&amp;$A55,'Reguler Class Availability'!$L:$L,0),""))</f>
        <v>1775</v>
      </c>
      <c r="AS55" s="30" t="n">
        <f aca="false">IF($A55="","",IFERROR(MATCH($B$4&amp;"|- Lane 3 - "&amp;G$51&amp;"|"&amp;$A55,'Reguler Class Availability'!$L:$L,0),""))</f>
        <v>1787</v>
      </c>
      <c r="AT55" s="30" t="n">
        <f aca="false">IF($A55="","",IFERROR(MATCH($B$4&amp;"|- Lane 3 - "&amp;H$51&amp;"|"&amp;$A55,'Reguler Class Availability'!$L:$L,0),""))</f>
        <v>1799</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Belum terisi</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Belum terisi</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Belum terisi</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Belum terisi</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Belum terisi</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Belum terisi</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Sebagian</v>
      </c>
      <c r="BD55" s="30" t="s">
        <v>165</v>
      </c>
      <c r="BE55" s="30" t="n">
        <f aca="false">IF(COUNTIFS('Reguler Class Availability'!$L:$L,$B$4&amp;"|- Lane 1 - *|"&amp;BD55)&gt;0,1,0)</f>
        <v>0</v>
      </c>
      <c r="BF55" s="30" t="n">
        <f aca="false">BE55+BF54</f>
        <v>12</v>
      </c>
    </row>
    <row r="56" customFormat="false" ht="39.75" hidden="false" customHeight="true" outlineLevel="0" collapsed="false">
      <c r="A56" s="66" t="str">
        <f aca="false">IFERROR(INDEX($BD$122:$BD$181,MATCH(5,$BF$122:$BF$181,0)),"")</f>
        <v>11:15</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Kids  0/4  (0%)
coach: –</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Kids  0/4  (0%)
Soon Book Coach Irvan</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Kids  0/4  (0%)
coach: –</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Kids  0/4  (0%)
coach: –</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Kids  0/4  (0%)
coach: –</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Kids  0/4  (0%)
coach: –</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Kids  1/4  (25%)
Iqbal</v>
      </c>
      <c r="AN56" s="30" t="n">
        <f aca="false">IF($A56="","",IFERROR(MATCH($B$4&amp;"|- Lane 3 - "&amp;B$51&amp;"|"&amp;$A56,'Reguler Class Availability'!$L:$L,0),""))</f>
        <v>1728</v>
      </c>
      <c r="AO56" s="30" t="n">
        <f aca="false">IF($A56="","",IFERROR(MATCH($B$4&amp;"|- Lane 3 - "&amp;C$51&amp;"|"&amp;$A56,'Reguler Class Availability'!$L:$L,0),""))</f>
        <v>1740</v>
      </c>
      <c r="AP56" s="30" t="n">
        <f aca="false">IF($A56="","",IFERROR(MATCH($B$4&amp;"|- Lane 3 - "&amp;D$51&amp;"|"&amp;$A56,'Reguler Class Availability'!$L:$L,0),""))</f>
        <v>1752</v>
      </c>
      <c r="AQ56" s="30" t="n">
        <f aca="false">IF($A56="","",IFERROR(MATCH($B$4&amp;"|- Lane 3 - "&amp;E$51&amp;"|"&amp;$A56,'Reguler Class Availability'!$L:$L,0),""))</f>
        <v>1764</v>
      </c>
      <c r="AR56" s="30" t="n">
        <f aca="false">IF($A56="","",IFERROR(MATCH($B$4&amp;"|- Lane 3 - "&amp;F$51&amp;"|"&amp;$A56,'Reguler Class Availability'!$L:$L,0),""))</f>
        <v>1776</v>
      </c>
      <c r="AS56" s="30" t="n">
        <f aca="false">IF($A56="","",IFERROR(MATCH($B$4&amp;"|- Lane 3 - "&amp;G$51&amp;"|"&amp;$A56,'Reguler Class Availability'!$L:$L,0),""))</f>
        <v>1788</v>
      </c>
      <c r="AT56" s="30" t="n">
        <f aca="false">IF($A56="","",IFERROR(MATCH($B$4&amp;"|- Lane 3 - "&amp;H$51&amp;"|"&amp;$A56,'Reguler Class Availability'!$L:$L,0),""))</f>
        <v>1800</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Belum terisi</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Belum terisi</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Belum terisi</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Belum terisi</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Belum terisi</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Belum terisi</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Sebagian</v>
      </c>
      <c r="BD56" s="30" t="s">
        <v>166</v>
      </c>
      <c r="BE56" s="30" t="n">
        <f aca="false">IF(COUNTIFS('Reguler Class Availability'!$L:$L,$B$4&amp;"|- Lane 1 - *|"&amp;BD56)&gt;0,1,0)</f>
        <v>0</v>
      </c>
      <c r="BF56" s="30" t="n">
        <f aca="false">BE56+BF55</f>
        <v>12</v>
      </c>
    </row>
    <row r="57" customFormat="false" ht="39.75" hidden="false" customHeight="true" outlineLevel="0" collapsed="false">
      <c r="A57" s="66" t="str">
        <f aca="false">IFERROR(INDEX($BD$122:$BD$181,MATCH(6,$BF$122:$BF$181,0)),"")</f>
        <v>12:00</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Kids  0/4  (0%)
coach: –</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Kids  0/4  (0%)
coach: –</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Kids  0/4  (0%)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Kids  0/4  (0%)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Kids  0/4  (0%)
coach: –</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Kids  0/4  (0%)
coach: –</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Kids  0/4  (0%)
coach: –</v>
      </c>
      <c r="AN57" s="30" t="n">
        <f aca="false">IF($A57="","",IFERROR(MATCH($B$4&amp;"|- Lane 3 - "&amp;B$51&amp;"|"&amp;$A57,'Reguler Class Availability'!$L:$L,0),""))</f>
        <v>1729</v>
      </c>
      <c r="AO57" s="30" t="n">
        <f aca="false">IF($A57="","",IFERROR(MATCH($B$4&amp;"|- Lane 3 - "&amp;C$51&amp;"|"&amp;$A57,'Reguler Class Availability'!$L:$L,0),""))</f>
        <v>1741</v>
      </c>
      <c r="AP57" s="30" t="n">
        <f aca="false">IF($A57="","",IFERROR(MATCH($B$4&amp;"|- Lane 3 - "&amp;D$51&amp;"|"&amp;$A57,'Reguler Class Availability'!$L:$L,0),""))</f>
        <v>1753</v>
      </c>
      <c r="AQ57" s="30" t="n">
        <f aca="false">IF($A57="","",IFERROR(MATCH($B$4&amp;"|- Lane 3 - "&amp;E$51&amp;"|"&amp;$A57,'Reguler Class Availability'!$L:$L,0),""))</f>
        <v>1765</v>
      </c>
      <c r="AR57" s="30" t="n">
        <f aca="false">IF($A57="","",IFERROR(MATCH($B$4&amp;"|- Lane 3 - "&amp;F$51&amp;"|"&amp;$A57,'Reguler Class Availability'!$L:$L,0),""))</f>
        <v>1777</v>
      </c>
      <c r="AS57" s="30" t="n">
        <f aca="false">IF($A57="","",IFERROR(MATCH($B$4&amp;"|- Lane 3 - "&amp;G$51&amp;"|"&amp;$A57,'Reguler Class Availability'!$L:$L,0),""))</f>
        <v>1789</v>
      </c>
      <c r="AT57" s="30" t="n">
        <f aca="false">IF($A57="","",IFERROR(MATCH($B$4&amp;"|- Lane 3 - "&amp;H$51&amp;"|"&amp;$A57,'Reguler Class Availability'!$L:$L,0),""))</f>
        <v>1801</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Belum terisi</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Belum terisi</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Belum terisi</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Belum terisi</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Belum terisi</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Belum terisi</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Belum terisi</v>
      </c>
      <c r="BD57" s="30" t="s">
        <v>167</v>
      </c>
      <c r="BE57" s="30" t="n">
        <f aca="false">IF(COUNTIFS('Reguler Class Availability'!$L:$L,$B$4&amp;"|- Lane 1 - *|"&amp;BD57)&gt;0,1,0)</f>
        <v>0</v>
      </c>
      <c r="BF57" s="30" t="n">
        <f aca="false">BE57+BF56</f>
        <v>12</v>
      </c>
    </row>
    <row r="58" customFormat="false" ht="39.75" hidden="false" customHeight="true" outlineLevel="0" collapsed="false">
      <c r="A58" s="66" t="str">
        <f aca="false">IFERROR(INDEX($BD$122:$BD$181,MATCH(7,$BF$122:$BF$181,0)),"")</f>
        <v>13:30</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Kids  0/4  (0%)
coach: –</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Kids  0/4  (0%)
coach: –</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Kids  0/4  (0%)
coach: –</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Kids  1/4  (25%)
Adam</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Kids  0/4  (0%)
coach: –</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Kids  0/4  (0%)
coach: –</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Kids  0/4  (0%)
coach: –</v>
      </c>
      <c r="AN58" s="30" t="n">
        <f aca="false">IF($A58="","",IFERROR(MATCH($B$4&amp;"|- Lane 3 - "&amp;B$51&amp;"|"&amp;$A58,'Reguler Class Availability'!$L:$L,0),""))</f>
        <v>1730</v>
      </c>
      <c r="AO58" s="30" t="n">
        <f aca="false">IF($A58="","",IFERROR(MATCH($B$4&amp;"|- Lane 3 - "&amp;C$51&amp;"|"&amp;$A58,'Reguler Class Availability'!$L:$L,0),""))</f>
        <v>1742</v>
      </c>
      <c r="AP58" s="30" t="n">
        <f aca="false">IF($A58="","",IFERROR(MATCH($B$4&amp;"|- Lane 3 - "&amp;D$51&amp;"|"&amp;$A58,'Reguler Class Availability'!$L:$L,0),""))</f>
        <v>1754</v>
      </c>
      <c r="AQ58" s="30" t="n">
        <f aca="false">IF($A58="","",IFERROR(MATCH($B$4&amp;"|- Lane 3 - "&amp;E$51&amp;"|"&amp;$A58,'Reguler Class Availability'!$L:$L,0),""))</f>
        <v>1766</v>
      </c>
      <c r="AR58" s="30" t="n">
        <f aca="false">IF($A58="","",IFERROR(MATCH($B$4&amp;"|- Lane 3 - "&amp;F$51&amp;"|"&amp;$A58,'Reguler Class Availability'!$L:$L,0),""))</f>
        <v>1778</v>
      </c>
      <c r="AS58" s="30" t="n">
        <f aca="false">IF($A58="","",IFERROR(MATCH($B$4&amp;"|- Lane 3 - "&amp;G$51&amp;"|"&amp;$A58,'Reguler Class Availability'!$L:$L,0),""))</f>
        <v>1790</v>
      </c>
      <c r="AT58" s="30" t="n">
        <f aca="false">IF($A58="","",IFERROR(MATCH($B$4&amp;"|- Lane 3 - "&amp;H$51&amp;"|"&amp;$A58,'Reguler Class Availability'!$L:$L,0),""))</f>
        <v>1802</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Belum terisi</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Belum terisi</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Belum terisi</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Sebagian</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Belum terisi</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Belum terisi</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Belum terisi</v>
      </c>
      <c r="BD58" s="30" t="s">
        <v>168</v>
      </c>
      <c r="BE58" s="30" t="n">
        <f aca="false">IF(COUNTIFS('Reguler Class Availability'!$L:$L,$B$4&amp;"|- Lane 1 - *|"&amp;BD58)&gt;0,1,0)</f>
        <v>0</v>
      </c>
      <c r="BF58" s="30" t="n">
        <f aca="false">BE58+BF57</f>
        <v>12</v>
      </c>
    </row>
    <row r="59" customFormat="false" ht="39.75" hidden="false" customHeight="true" outlineLevel="0" collapsed="false">
      <c r="A59" s="66" t="str">
        <f aca="false">IFERROR(INDEX($BD$122:$BD$181,MATCH(8,$BF$122:$BF$181,0)),"")</f>
        <v>14:15</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Kids  1/4  (25%)
Iqbal</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Kids  1/4  (25%)
Iqbal</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Kids  0/4  (0%)
coach: –</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Kids  3/4  (75%)
Adam</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Kids  0/4  (0%)
coach: –</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Kids  2/4  (50%)
Irvan</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Kids  2/4  (50%)
Adam</v>
      </c>
      <c r="AN59" s="30" t="n">
        <f aca="false">IF($A59="","",IFERROR(MATCH($B$4&amp;"|- Lane 3 - "&amp;B$51&amp;"|"&amp;$A59,'Reguler Class Availability'!$L:$L,0),""))</f>
        <v>1731</v>
      </c>
      <c r="AO59" s="30" t="n">
        <f aca="false">IF($A59="","",IFERROR(MATCH($B$4&amp;"|- Lane 3 - "&amp;C$51&amp;"|"&amp;$A59,'Reguler Class Availability'!$L:$L,0),""))</f>
        <v>1743</v>
      </c>
      <c r="AP59" s="30" t="n">
        <f aca="false">IF($A59="","",IFERROR(MATCH($B$4&amp;"|- Lane 3 - "&amp;D$51&amp;"|"&amp;$A59,'Reguler Class Availability'!$L:$L,0),""))</f>
        <v>1755</v>
      </c>
      <c r="AQ59" s="30" t="n">
        <f aca="false">IF($A59="","",IFERROR(MATCH($B$4&amp;"|- Lane 3 - "&amp;E$51&amp;"|"&amp;$A59,'Reguler Class Availability'!$L:$L,0),""))</f>
        <v>1767</v>
      </c>
      <c r="AR59" s="30" t="n">
        <f aca="false">IF($A59="","",IFERROR(MATCH($B$4&amp;"|- Lane 3 - "&amp;F$51&amp;"|"&amp;$A59,'Reguler Class Availability'!$L:$L,0),""))</f>
        <v>1779</v>
      </c>
      <c r="AS59" s="30" t="n">
        <f aca="false">IF($A59="","",IFERROR(MATCH($B$4&amp;"|- Lane 3 - "&amp;G$51&amp;"|"&amp;$A59,'Reguler Class Availability'!$L:$L,0),""))</f>
        <v>1791</v>
      </c>
      <c r="AT59" s="30" t="n">
        <f aca="false">IF($A59="","",IFERROR(MATCH($B$4&amp;"|- Lane 3 - "&amp;H$51&amp;"|"&amp;$A59,'Reguler Class Availability'!$L:$L,0),""))</f>
        <v>1803</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Sebagian</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Sebagian</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Belum terisi</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Tinggi</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Belum terisi</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Sebagian</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Sebagian</v>
      </c>
      <c r="BD59" s="30" t="s">
        <v>169</v>
      </c>
      <c r="BE59" s="30" t="n">
        <f aca="false">IF(COUNTIFS('Reguler Class Availability'!$L:$L,$B$4&amp;"|- Lane 1 - *|"&amp;BD59)&gt;0,1,0)</f>
        <v>0</v>
      </c>
      <c r="BF59" s="30" t="n">
        <f aca="false">BE59+BF58</f>
        <v>12</v>
      </c>
    </row>
    <row r="60" customFormat="false" ht="39.75" hidden="false" customHeight="true" outlineLevel="0" collapsed="false">
      <c r="A60" s="66" t="str">
        <f aca="false">IFERROR(INDEX($BD$122:$BD$181,MATCH(9,$BF$122:$BF$181,0)),"")</f>
        <v>15:00</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Kids  1/4  (25%)
Irvan</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Kids  2/4  (50%)
Iqbal</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Kids  0/4  (0%)
coach: –</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Kids  0/4  (0%)
coach: –</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Kids  0/4  (0%)
coach: –</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Kids  3/4  (75%)
Irvan</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Kids  1/4  (25%)
Iqbal</v>
      </c>
      <c r="AN60" s="30" t="n">
        <f aca="false">IF($A60="","",IFERROR(MATCH($B$4&amp;"|- Lane 3 - "&amp;B$51&amp;"|"&amp;$A60,'Reguler Class Availability'!$L:$L,0),""))</f>
        <v>1732</v>
      </c>
      <c r="AO60" s="30" t="n">
        <f aca="false">IF($A60="","",IFERROR(MATCH($B$4&amp;"|- Lane 3 - "&amp;C$51&amp;"|"&amp;$A60,'Reguler Class Availability'!$L:$L,0),""))</f>
        <v>1744</v>
      </c>
      <c r="AP60" s="30" t="n">
        <f aca="false">IF($A60="","",IFERROR(MATCH($B$4&amp;"|- Lane 3 - "&amp;D$51&amp;"|"&amp;$A60,'Reguler Class Availability'!$L:$L,0),""))</f>
        <v>1756</v>
      </c>
      <c r="AQ60" s="30" t="n">
        <f aca="false">IF($A60="","",IFERROR(MATCH($B$4&amp;"|- Lane 3 - "&amp;E$51&amp;"|"&amp;$A60,'Reguler Class Availability'!$L:$L,0),""))</f>
        <v>1768</v>
      </c>
      <c r="AR60" s="30" t="n">
        <f aca="false">IF($A60="","",IFERROR(MATCH($B$4&amp;"|- Lane 3 - "&amp;F$51&amp;"|"&amp;$A60,'Reguler Class Availability'!$L:$L,0),""))</f>
        <v>1780</v>
      </c>
      <c r="AS60" s="30" t="n">
        <f aca="false">IF($A60="","",IFERROR(MATCH($B$4&amp;"|- Lane 3 - "&amp;G$51&amp;"|"&amp;$A60,'Reguler Class Availability'!$L:$L,0),""))</f>
        <v>1792</v>
      </c>
      <c r="AT60" s="30" t="n">
        <f aca="false">IF($A60="","",IFERROR(MATCH($B$4&amp;"|- Lane 3 - "&amp;H$51&amp;"|"&amp;$A60,'Reguler Class Availability'!$L:$L,0),""))</f>
        <v>1804</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Sebagian</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Sebagian</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Belum terisi</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Belum terisi</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Belum terisi</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Tinggi</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Sebagian</v>
      </c>
      <c r="BD60" s="30" t="s">
        <v>170</v>
      </c>
      <c r="BE60" s="30" t="n">
        <f aca="false">IF(COUNTIFS('Reguler Class Availability'!$L:$L,$B$4&amp;"|- Lane 1 - *|"&amp;BD60)&gt;0,1,0)</f>
        <v>0</v>
      </c>
      <c r="BF60" s="30" t="n">
        <f aca="false">BE60+BF59</f>
        <v>12</v>
      </c>
    </row>
    <row r="61" customFormat="false" ht="39.75" hidden="false" customHeight="true" outlineLevel="0" collapsed="false">
      <c r="A61" s="66" t="str">
        <f aca="false">IFERROR(INDEX($BD$122:$BD$181,MATCH(10,$BF$122:$BF$181,0)),"")</f>
        <v>15:45</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Kids  1/4  (25%)
Iqbal</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Kids  0/4  (0%)
coach: –</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Kids  1/4  (25%)
Hanif</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Kids  0/4  (0%)
coach: –</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Kids  0/4  (0%)
coach: –</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Kids  0/4  (0%)
coach: –</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Kids  1/4  (25%)
Irvan</v>
      </c>
      <c r="AN61" s="30" t="n">
        <f aca="false">IF($A61="","",IFERROR(MATCH($B$4&amp;"|- Lane 3 - "&amp;B$51&amp;"|"&amp;$A61,'Reguler Class Availability'!$L:$L,0),""))</f>
        <v>1733</v>
      </c>
      <c r="AO61" s="30" t="n">
        <f aca="false">IF($A61="","",IFERROR(MATCH($B$4&amp;"|- Lane 3 - "&amp;C$51&amp;"|"&amp;$A61,'Reguler Class Availability'!$L:$L,0),""))</f>
        <v>1745</v>
      </c>
      <c r="AP61" s="30" t="n">
        <f aca="false">IF($A61="","",IFERROR(MATCH($B$4&amp;"|- Lane 3 - "&amp;D$51&amp;"|"&amp;$A61,'Reguler Class Availability'!$L:$L,0),""))</f>
        <v>1757</v>
      </c>
      <c r="AQ61" s="30" t="n">
        <f aca="false">IF($A61="","",IFERROR(MATCH($B$4&amp;"|- Lane 3 - "&amp;E$51&amp;"|"&amp;$A61,'Reguler Class Availability'!$L:$L,0),""))</f>
        <v>1769</v>
      </c>
      <c r="AR61" s="30" t="n">
        <f aca="false">IF($A61="","",IFERROR(MATCH($B$4&amp;"|- Lane 3 - "&amp;F$51&amp;"|"&amp;$A61,'Reguler Class Availability'!$L:$L,0),""))</f>
        <v>1781</v>
      </c>
      <c r="AS61" s="30" t="n">
        <f aca="false">IF($A61="","",IFERROR(MATCH($B$4&amp;"|- Lane 3 - "&amp;G$51&amp;"|"&amp;$A61,'Reguler Class Availability'!$L:$L,0),""))</f>
        <v>1793</v>
      </c>
      <c r="AT61" s="30" t="n">
        <f aca="false">IF($A61="","",IFERROR(MATCH($B$4&amp;"|- Lane 3 - "&amp;H$51&amp;"|"&amp;$A61,'Reguler Class Availability'!$L:$L,0),""))</f>
        <v>1805</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Sebagian</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Belum terisi</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Sebagian</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Belum terisi</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Belum terisi</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Belum terisi</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Sebagian</v>
      </c>
      <c r="BD61" s="30" t="s">
        <v>171</v>
      </c>
      <c r="BE61" s="30" t="n">
        <f aca="false">IF(COUNTIFS('Reguler Class Availability'!$L:$L,$B$4&amp;"|- Lane 1 - *|"&amp;BD61)&gt;0,1,0)</f>
        <v>0</v>
      </c>
      <c r="BF61" s="30" t="n">
        <f aca="false">BE61+BF60</f>
        <v>12</v>
      </c>
    </row>
    <row r="62" customFormat="false" ht="39.75" hidden="false" customHeight="true" outlineLevel="0" collapsed="false">
      <c r="A62" s="66" t="str">
        <f aca="false">IFERROR(INDEX($BD$122:$BD$181,MATCH(11,$BF$122:$BF$181,0)),"")</f>
        <v>16:30</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Kids  2/4  (50%)
Iqbal</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Kids  0/4  (0%)
coach: –</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Kids  0/4  (0%)
coach: –</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Kids  0/4  (0%)
coach: –</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Kids  3/4  (75%)
Adam</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Kids  1/4  (25%)
Iqbal</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Kids  0/4  (0%)
coach: –</v>
      </c>
      <c r="AN62" s="30" t="n">
        <f aca="false">IF($A62="","",IFERROR(MATCH($B$4&amp;"|- Lane 3 - "&amp;B$51&amp;"|"&amp;$A62,'Reguler Class Availability'!$L:$L,0),""))</f>
        <v>1734</v>
      </c>
      <c r="AO62" s="30" t="n">
        <f aca="false">IF($A62="","",IFERROR(MATCH($B$4&amp;"|- Lane 3 - "&amp;C$51&amp;"|"&amp;$A62,'Reguler Class Availability'!$L:$L,0),""))</f>
        <v>1746</v>
      </c>
      <c r="AP62" s="30" t="n">
        <f aca="false">IF($A62="","",IFERROR(MATCH($B$4&amp;"|- Lane 3 - "&amp;D$51&amp;"|"&amp;$A62,'Reguler Class Availability'!$L:$L,0),""))</f>
        <v>1758</v>
      </c>
      <c r="AQ62" s="30" t="n">
        <f aca="false">IF($A62="","",IFERROR(MATCH($B$4&amp;"|- Lane 3 - "&amp;E$51&amp;"|"&amp;$A62,'Reguler Class Availability'!$L:$L,0),""))</f>
        <v>1770</v>
      </c>
      <c r="AR62" s="30" t="n">
        <f aca="false">IF($A62="","",IFERROR(MATCH($B$4&amp;"|- Lane 3 - "&amp;F$51&amp;"|"&amp;$A62,'Reguler Class Availability'!$L:$L,0),""))</f>
        <v>1782</v>
      </c>
      <c r="AS62" s="30" t="n">
        <f aca="false">IF($A62="","",IFERROR(MATCH($B$4&amp;"|- Lane 3 - "&amp;G$51&amp;"|"&amp;$A62,'Reguler Class Availability'!$L:$L,0),""))</f>
        <v>1794</v>
      </c>
      <c r="AT62" s="30" t="n">
        <f aca="false">IF($A62="","",IFERROR(MATCH($B$4&amp;"|- Lane 3 - "&amp;H$51&amp;"|"&amp;$A62,'Reguler Class Availability'!$L:$L,0),""))</f>
        <v>1806</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Sebagian</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Belum terisi</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Belum terisi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Belum terisi</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Tinggi</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Sebagian</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Belum terisi</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17:15</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Kids  0/4  (0%)
coach: –</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Kids  2/4  (50%)
Irvan</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Kids  2/4  (50%)
Iqbal</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Kids  2/4  (50%)
Adam</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Kids  1/4  (25%)
Irvan</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Kids  0/4  (0%)
coach: –</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Kids  0/4  (0%)
coach: –</v>
      </c>
      <c r="AN63" s="30" t="n">
        <f aca="false">IF($A63="","",IFERROR(MATCH($B$4&amp;"|- Lane 3 - "&amp;B$51&amp;"|"&amp;$A63,'Reguler Class Availability'!$L:$L,0),""))</f>
        <v>1735</v>
      </c>
      <c r="AO63" s="30" t="n">
        <f aca="false">IF($A63="","",IFERROR(MATCH($B$4&amp;"|- Lane 3 - "&amp;C$51&amp;"|"&amp;$A63,'Reguler Class Availability'!$L:$L,0),""))</f>
        <v>1747</v>
      </c>
      <c r="AP63" s="30" t="n">
        <f aca="false">IF($A63="","",IFERROR(MATCH($B$4&amp;"|- Lane 3 - "&amp;D$51&amp;"|"&amp;$A63,'Reguler Class Availability'!$L:$L,0),""))</f>
        <v>1759</v>
      </c>
      <c r="AQ63" s="30" t="n">
        <f aca="false">IF($A63="","",IFERROR(MATCH($B$4&amp;"|- Lane 3 - "&amp;E$51&amp;"|"&amp;$A63,'Reguler Class Availability'!$L:$L,0),""))</f>
        <v>1771</v>
      </c>
      <c r="AR63" s="30" t="n">
        <f aca="false">IF($A63="","",IFERROR(MATCH($B$4&amp;"|- Lane 3 - "&amp;F$51&amp;"|"&amp;$A63,'Reguler Class Availability'!$L:$L,0),""))</f>
        <v>1783</v>
      </c>
      <c r="AS63" s="30" t="n">
        <f aca="false">IF($A63="","",IFERROR(MATCH($B$4&amp;"|- Lane 3 - "&amp;G$51&amp;"|"&amp;$A63,'Reguler Class Availability'!$L:$L,0),""))</f>
        <v>1795</v>
      </c>
      <c r="AT63" s="30" t="n">
        <f aca="false">IF($A63="","",IFERROR(MATCH($B$4&amp;"|- Lane 3 - "&amp;H$51&amp;"|"&amp;$A63,'Reguler Class Availability'!$L:$L,0),""))</f>
        <v>1807</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Belum terisi</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Sebagian</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Sebagian</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Sebagian</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Sebagian</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Belum terisi</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Belum terisi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10%</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10%</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6%</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13%</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8%</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15%</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19%</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0%   ·   Belum terisi: 84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08:15</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0/4  (0%)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0/4  (0%)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0/4  (0%)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0/4  (0%)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0/4  (0%)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0/4  (0%)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0/4  (0%)
coach: –</v>
      </c>
      <c r="AN70" s="30" t="n">
        <f aca="false">IF($A70="","",IFERROR(MATCH($B$4&amp;"|- Lane 4 - "&amp;B$69&amp;"|"&amp;$A70,'Reguler Class Availability'!$L:$L,0),""))</f>
        <v>1808</v>
      </c>
      <c r="AO70" s="30" t="n">
        <f aca="false">IF($A70="","",IFERROR(MATCH($B$4&amp;"|- Lane 4 - "&amp;C$69&amp;"|"&amp;$A70,'Reguler Class Availability'!$L:$L,0),""))</f>
        <v>1820</v>
      </c>
      <c r="AP70" s="30" t="n">
        <f aca="false">IF($A70="","",IFERROR(MATCH($B$4&amp;"|- Lane 4 - "&amp;D$69&amp;"|"&amp;$A70,'Reguler Class Availability'!$L:$L,0),""))</f>
        <v>1832</v>
      </c>
      <c r="AQ70" s="30" t="n">
        <f aca="false">IF($A70="","",IFERROR(MATCH($B$4&amp;"|- Lane 4 - "&amp;E$69&amp;"|"&amp;$A70,'Reguler Class Availability'!$L:$L,0),""))</f>
        <v>1844</v>
      </c>
      <c r="AR70" s="30" t="n">
        <f aca="false">IF($A70="","",IFERROR(MATCH($B$4&amp;"|- Lane 4 - "&amp;F$69&amp;"|"&amp;$A70,'Reguler Class Availability'!$L:$L,0),""))</f>
        <v>1856</v>
      </c>
      <c r="AS70" s="30" t="n">
        <f aca="false">IF($A70="","",IFERROR(MATCH($B$4&amp;"|- Lane 4 - "&amp;G$69&amp;"|"&amp;$A70,'Reguler Class Availability'!$L:$L,0),""))</f>
        <v>1868</v>
      </c>
      <c r="AT70" s="30" t="n">
        <f aca="false">IF($A70="","",IFERROR(MATCH($B$4&amp;"|- Lane 4 - "&amp;H$69&amp;"|"&amp;$A70,'Reguler Class Availability'!$L:$L,0),""))</f>
        <v>1880</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Belum terisi</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Belum terisi</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Belum terisi</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Belum terisi</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Belum terisi</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Belum terisi</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Belum terisi</v>
      </c>
      <c r="BD70" s="30" t="s">
        <v>105</v>
      </c>
      <c r="BE70" s="30" t="n">
        <f aca="false">IF(COUNTIFS('Reguler Class Availability'!$L:$L,$B$4&amp;"|- Lane 2 - *|"&amp;BD70)&gt;0,1,0)</f>
        <v>1</v>
      </c>
      <c r="BF70" s="30" t="n">
        <f aca="false">BE70+BF69</f>
        <v>1</v>
      </c>
    </row>
    <row r="71" customFormat="false" ht="39.75" hidden="false" customHeight="true" outlineLevel="0" collapsed="false">
      <c r="A71" s="66" t="str">
        <f aca="false">IFERROR(INDEX($BD$182:$BD$241,MATCH(2,$BF$182:$BF$241,0)),"")</f>
        <v>09:00</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0/4  (0%)
coach: –</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0/4  (0%)
coach: –</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0/4  (0%)
coach: –</v>
      </c>
      <c r="AN71" s="30" t="n">
        <f aca="false">IF($A71="","",IFERROR(MATCH($B$4&amp;"|- Lane 4 - "&amp;B$69&amp;"|"&amp;$A71,'Reguler Class Availability'!$L:$L,0),""))</f>
        <v>1809</v>
      </c>
      <c r="AO71" s="30" t="n">
        <f aca="false">IF($A71="","",IFERROR(MATCH($B$4&amp;"|- Lane 4 - "&amp;C$69&amp;"|"&amp;$A71,'Reguler Class Availability'!$L:$L,0),""))</f>
        <v>1821</v>
      </c>
      <c r="AP71" s="30" t="n">
        <f aca="false">IF($A71="","",IFERROR(MATCH($B$4&amp;"|- Lane 4 - "&amp;D$69&amp;"|"&amp;$A71,'Reguler Class Availability'!$L:$L,0),""))</f>
        <v>1833</v>
      </c>
      <c r="AQ71" s="30" t="n">
        <f aca="false">IF($A71="","",IFERROR(MATCH($B$4&amp;"|- Lane 4 - "&amp;E$69&amp;"|"&amp;$A71,'Reguler Class Availability'!$L:$L,0),""))</f>
        <v>1845</v>
      </c>
      <c r="AR71" s="30" t="n">
        <f aca="false">IF($A71="","",IFERROR(MATCH($B$4&amp;"|- Lane 4 - "&amp;F$69&amp;"|"&amp;$A71,'Reguler Class Availability'!$L:$L,0),""))</f>
        <v>1857</v>
      </c>
      <c r="AS71" s="30" t="n">
        <f aca="false">IF($A71="","",IFERROR(MATCH($B$4&amp;"|- Lane 4 - "&amp;G$69&amp;"|"&amp;$A71,'Reguler Class Availability'!$L:$L,0),""))</f>
        <v>1869</v>
      </c>
      <c r="AT71" s="30" t="n">
        <f aca="false">IF($A71="","",IFERROR(MATCH($B$4&amp;"|- Lane 4 - "&amp;H$69&amp;"|"&amp;$A71,'Reguler Class Availability'!$L:$L,0),""))</f>
        <v>1881</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Belum terisi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Belum terisi</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Belum terisi</v>
      </c>
      <c r="BD71" s="30" t="s">
        <v>110</v>
      </c>
      <c r="BE71" s="30" t="n">
        <f aca="false">IF(COUNTIFS('Reguler Class Availability'!$L:$L,$B$4&amp;"|- Lane 2 - *|"&amp;BD71)&gt;0,1,0)</f>
        <v>0</v>
      </c>
      <c r="BF71" s="30" t="n">
        <f aca="false">BE71+BF70</f>
        <v>1</v>
      </c>
    </row>
    <row r="72" customFormat="false" ht="39.75" hidden="false" customHeight="true" outlineLevel="0" collapsed="false">
      <c r="A72" s="66" t="str">
        <f aca="false">IFERROR(INDEX($BD$182:$BD$241,MATCH(3,$BF$182:$BF$241,0)),"")</f>
        <v>09:45</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0/4  (0%)
coach: –</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0/4  (0%)
coach: –</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0/4  (0%)
coach: –</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0/4  (0%)
coach: –</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0/4  (0%)
coach: –</v>
      </c>
      <c r="AN72" s="30" t="n">
        <f aca="false">IF($A72="","",IFERROR(MATCH($B$4&amp;"|- Lane 4 - "&amp;B$69&amp;"|"&amp;$A72,'Reguler Class Availability'!$L:$L,0),""))</f>
        <v>1810</v>
      </c>
      <c r="AO72" s="30" t="n">
        <f aca="false">IF($A72="","",IFERROR(MATCH($B$4&amp;"|- Lane 4 - "&amp;C$69&amp;"|"&amp;$A72,'Reguler Class Availability'!$L:$L,0),""))</f>
        <v>1822</v>
      </c>
      <c r="AP72" s="30" t="n">
        <f aca="false">IF($A72="","",IFERROR(MATCH($B$4&amp;"|- Lane 4 - "&amp;D$69&amp;"|"&amp;$A72,'Reguler Class Availability'!$L:$L,0),""))</f>
        <v>1834</v>
      </c>
      <c r="AQ72" s="30" t="n">
        <f aca="false">IF($A72="","",IFERROR(MATCH($B$4&amp;"|- Lane 4 - "&amp;E$69&amp;"|"&amp;$A72,'Reguler Class Availability'!$L:$L,0),""))</f>
        <v>1846</v>
      </c>
      <c r="AR72" s="30" t="n">
        <f aca="false">IF($A72="","",IFERROR(MATCH($B$4&amp;"|- Lane 4 - "&amp;F$69&amp;"|"&amp;$A72,'Reguler Class Availability'!$L:$L,0),""))</f>
        <v>1858</v>
      </c>
      <c r="AS72" s="30" t="n">
        <f aca="false">IF($A72="","",IFERROR(MATCH($B$4&amp;"|- Lane 4 - "&amp;G$69&amp;"|"&amp;$A72,'Reguler Class Availability'!$L:$L,0),""))</f>
        <v>1870</v>
      </c>
      <c r="AT72" s="30" t="n">
        <f aca="false">IF($A72="","",IFERROR(MATCH($B$4&amp;"|- Lane 4 - "&amp;H$69&amp;"|"&amp;$A72,'Reguler Class Availability'!$L:$L,0),""))</f>
        <v>1882</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Belum terisi</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Belum terisi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Belum terisi</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Belum terisi</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Belum terisi</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10:30</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0/4  (0%)
coach: –</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0/4  (0%)
coach: –</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0/4  (0%)
coach: –</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0/4  (0%)
coach: –</v>
      </c>
      <c r="AN73" s="30" t="n">
        <f aca="false">IF($A73="","",IFERROR(MATCH($B$4&amp;"|- Lane 4 - "&amp;B$69&amp;"|"&amp;$A73,'Reguler Class Availability'!$L:$L,0),""))</f>
        <v>1811</v>
      </c>
      <c r="AO73" s="30" t="n">
        <f aca="false">IF($A73="","",IFERROR(MATCH($B$4&amp;"|- Lane 4 - "&amp;C$69&amp;"|"&amp;$A73,'Reguler Class Availability'!$L:$L,0),""))</f>
        <v>1823</v>
      </c>
      <c r="AP73" s="30" t="n">
        <f aca="false">IF($A73="","",IFERROR(MATCH($B$4&amp;"|- Lane 4 - "&amp;D$69&amp;"|"&amp;$A73,'Reguler Class Availability'!$L:$L,0),""))</f>
        <v>1835</v>
      </c>
      <c r="AQ73" s="30" t="n">
        <f aca="false">IF($A73="","",IFERROR(MATCH($B$4&amp;"|- Lane 4 - "&amp;E$69&amp;"|"&amp;$A73,'Reguler Class Availability'!$L:$L,0),""))</f>
        <v>1847</v>
      </c>
      <c r="AR73" s="30" t="n">
        <f aca="false">IF($A73="","",IFERROR(MATCH($B$4&amp;"|- Lane 4 - "&amp;F$69&amp;"|"&amp;$A73,'Reguler Class Availability'!$L:$L,0),""))</f>
        <v>1859</v>
      </c>
      <c r="AS73" s="30" t="n">
        <f aca="false">IF($A73="","",IFERROR(MATCH($B$4&amp;"|- Lane 4 - "&amp;G$69&amp;"|"&amp;$A73,'Reguler Class Availability'!$L:$L,0),""))</f>
        <v>1871</v>
      </c>
      <c r="AT73" s="30" t="n">
        <f aca="false">IF($A73="","",IFERROR(MATCH($B$4&amp;"|- Lane 4 - "&amp;H$69&amp;"|"&amp;$A73,'Reguler Class Availability'!$L:$L,0),""))</f>
        <v>1883</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Belum terisi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Belum terisi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Belum terisi</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Belum terisi</v>
      </c>
      <c r="BD73" s="30" t="s">
        <v>120</v>
      </c>
      <c r="BE73" s="30" t="n">
        <f aca="false">IF(COUNTIFS('Reguler Class Availability'!$L:$L,$B$4&amp;"|- Lane 2 - *|"&amp;BD73)&gt;0,1,0)</f>
        <v>1</v>
      </c>
      <c r="BF73" s="30" t="n">
        <f aca="false">BE73+BF72</f>
        <v>2</v>
      </c>
    </row>
    <row r="74" customFormat="false" ht="39.75" hidden="false" customHeight="true" outlineLevel="0" collapsed="false">
      <c r="A74" s="66" t="str">
        <f aca="false">IFERROR(INDEX($BD$182:$BD$241,MATCH(5,$BF$182:$BF$241,0)),"")</f>
        <v>11:15</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0/4  (0%)
coach: –</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0/4  (0%)
coach: –</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0/4  (0%)
coach: –</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0/4  (0%)
coach: –</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0/4  (0%)
coach: –</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0/4  (0%)
coach: –</v>
      </c>
      <c r="AN74" s="30" t="n">
        <f aca="false">IF($A74="","",IFERROR(MATCH($B$4&amp;"|- Lane 4 - "&amp;B$69&amp;"|"&amp;$A74,'Reguler Class Availability'!$L:$L,0),""))</f>
        <v>1812</v>
      </c>
      <c r="AO74" s="30" t="n">
        <f aca="false">IF($A74="","",IFERROR(MATCH($B$4&amp;"|- Lane 4 - "&amp;C$69&amp;"|"&amp;$A74,'Reguler Class Availability'!$L:$L,0),""))</f>
        <v>1824</v>
      </c>
      <c r="AP74" s="30" t="n">
        <f aca="false">IF($A74="","",IFERROR(MATCH($B$4&amp;"|- Lane 4 - "&amp;D$69&amp;"|"&amp;$A74,'Reguler Class Availability'!$L:$L,0),""))</f>
        <v>1836</v>
      </c>
      <c r="AQ74" s="30" t="n">
        <f aca="false">IF($A74="","",IFERROR(MATCH($B$4&amp;"|- Lane 4 - "&amp;E$69&amp;"|"&amp;$A74,'Reguler Class Availability'!$L:$L,0),""))</f>
        <v>1848</v>
      </c>
      <c r="AR74" s="30" t="n">
        <f aca="false">IF($A74="","",IFERROR(MATCH($B$4&amp;"|- Lane 4 - "&amp;F$69&amp;"|"&amp;$A74,'Reguler Class Availability'!$L:$L,0),""))</f>
        <v>1860</v>
      </c>
      <c r="AS74" s="30" t="n">
        <f aca="false">IF($A74="","",IFERROR(MATCH($B$4&amp;"|- Lane 4 - "&amp;G$69&amp;"|"&amp;$A74,'Reguler Class Availability'!$L:$L,0),""))</f>
        <v>1872</v>
      </c>
      <c r="AT74" s="30" t="n">
        <f aca="false">IF($A74="","",IFERROR(MATCH($B$4&amp;"|- Lane 4 - "&amp;H$69&amp;"|"&amp;$A74,'Reguler Class Availability'!$L:$L,0),""))</f>
        <v>1884</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Belum terisi</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Belum terisi</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Belum terisi</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Belum terisi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Belum terisi</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Belum terisi</v>
      </c>
      <c r="BD74" s="30" t="s">
        <v>121</v>
      </c>
      <c r="BE74" s="30" t="n">
        <f aca="false">IF(COUNTIFS('Reguler Class Availability'!$L:$L,$B$4&amp;"|- Lane 2 - *|"&amp;BD74)&gt;0,1,0)</f>
        <v>0</v>
      </c>
      <c r="BF74" s="30" t="n">
        <f aca="false">BE74+BF73</f>
        <v>2</v>
      </c>
    </row>
    <row r="75" customFormat="false" ht="39.75" hidden="false" customHeight="true" outlineLevel="0" collapsed="false">
      <c r="A75" s="66" t="str">
        <f aca="false">IFERROR(INDEX($BD$182:$BD$241,MATCH(6,$BF$182:$BF$241,0)),"")</f>
        <v>12:00</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0/4  (0%)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0/4  (0%)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0/4  (0%)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0/4  (0%)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0/4  (0%)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0/4  (0%)
coach: –</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0/4  (0%)
coach: –</v>
      </c>
      <c r="AN75" s="30" t="n">
        <f aca="false">IF($A75="","",IFERROR(MATCH($B$4&amp;"|- Lane 4 - "&amp;B$69&amp;"|"&amp;$A75,'Reguler Class Availability'!$L:$L,0),""))</f>
        <v>1813</v>
      </c>
      <c r="AO75" s="30" t="n">
        <f aca="false">IF($A75="","",IFERROR(MATCH($B$4&amp;"|- Lane 4 - "&amp;C$69&amp;"|"&amp;$A75,'Reguler Class Availability'!$L:$L,0),""))</f>
        <v>1825</v>
      </c>
      <c r="AP75" s="30" t="n">
        <f aca="false">IF($A75="","",IFERROR(MATCH($B$4&amp;"|- Lane 4 - "&amp;D$69&amp;"|"&amp;$A75,'Reguler Class Availability'!$L:$L,0),""))</f>
        <v>1837</v>
      </c>
      <c r="AQ75" s="30" t="n">
        <f aca="false">IF($A75="","",IFERROR(MATCH($B$4&amp;"|- Lane 4 - "&amp;E$69&amp;"|"&amp;$A75,'Reguler Class Availability'!$L:$L,0),""))</f>
        <v>1849</v>
      </c>
      <c r="AR75" s="30" t="n">
        <f aca="false">IF($A75="","",IFERROR(MATCH($B$4&amp;"|- Lane 4 - "&amp;F$69&amp;"|"&amp;$A75,'Reguler Class Availability'!$L:$L,0),""))</f>
        <v>1861</v>
      </c>
      <c r="AS75" s="30" t="n">
        <f aca="false">IF($A75="","",IFERROR(MATCH($B$4&amp;"|- Lane 4 - "&amp;G$69&amp;"|"&amp;$A75,'Reguler Class Availability'!$L:$L,0),""))</f>
        <v>1873</v>
      </c>
      <c r="AT75" s="30" t="n">
        <f aca="false">IF($A75="","",IFERROR(MATCH($B$4&amp;"|- Lane 4 - "&amp;H$69&amp;"|"&amp;$A75,'Reguler Class Availability'!$L:$L,0),""))</f>
        <v>1885</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Belum terisi</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Belum terisi</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Belum terisi</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Belum terisi</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Belum terisi</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Belum terisi</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Belum terisi</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13:30</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0/4  (0%)
coach: –</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0/4  (0%)
coach: –</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0/4  (0%)
coach: –</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0/4  (0%)
coach: –</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0/4  (0%)
coach: –</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0/4  (0%)
coach: –</v>
      </c>
      <c r="AN76" s="30" t="n">
        <f aca="false">IF($A76="","",IFERROR(MATCH($B$4&amp;"|- Lane 4 - "&amp;B$69&amp;"|"&amp;$A76,'Reguler Class Availability'!$L:$L,0),""))</f>
        <v>1814</v>
      </c>
      <c r="AO76" s="30" t="n">
        <f aca="false">IF($A76="","",IFERROR(MATCH($B$4&amp;"|- Lane 4 - "&amp;C$69&amp;"|"&amp;$A76,'Reguler Class Availability'!$L:$L,0),""))</f>
        <v>1826</v>
      </c>
      <c r="AP76" s="30" t="n">
        <f aca="false">IF($A76="","",IFERROR(MATCH($B$4&amp;"|- Lane 4 - "&amp;D$69&amp;"|"&amp;$A76,'Reguler Class Availability'!$L:$L,0),""))</f>
        <v>1838</v>
      </c>
      <c r="AQ76" s="30" t="n">
        <f aca="false">IF($A76="","",IFERROR(MATCH($B$4&amp;"|- Lane 4 - "&amp;E$69&amp;"|"&amp;$A76,'Reguler Class Availability'!$L:$L,0),""))</f>
        <v>1850</v>
      </c>
      <c r="AR76" s="30" t="n">
        <f aca="false">IF($A76="","",IFERROR(MATCH($B$4&amp;"|- Lane 4 - "&amp;F$69&amp;"|"&amp;$A76,'Reguler Class Availability'!$L:$L,0),""))</f>
        <v>1862</v>
      </c>
      <c r="AS76" s="30" t="n">
        <f aca="false">IF($A76="","",IFERROR(MATCH($B$4&amp;"|- Lane 4 - "&amp;G$69&amp;"|"&amp;$A76,'Reguler Class Availability'!$L:$L,0),""))</f>
        <v>1874</v>
      </c>
      <c r="AT76" s="30" t="n">
        <f aca="false">IF($A76="","",IFERROR(MATCH($B$4&amp;"|- Lane 4 - "&amp;H$69&amp;"|"&amp;$A76,'Reguler Class Availability'!$L:$L,0),""))</f>
        <v>1886</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Belum terisi</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Belum terisi</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Belum terisi</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Belum terisi</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Belum terisi</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Belum terisi</v>
      </c>
      <c r="BD76" s="30" t="s">
        <v>123</v>
      </c>
      <c r="BE76" s="30" t="n">
        <f aca="false">IF(COUNTIFS('Reguler Class Availability'!$L:$L,$B$4&amp;"|- Lane 2 - *|"&amp;BD76)&gt;0,1,0)</f>
        <v>1</v>
      </c>
      <c r="BF76" s="30" t="n">
        <f aca="false">BE76+BF75</f>
        <v>3</v>
      </c>
    </row>
    <row r="77" customFormat="false" ht="39.75" hidden="false" customHeight="true" outlineLevel="0" collapsed="false">
      <c r="A77" s="66" t="str">
        <f aca="false">IFERROR(INDEX($BD$182:$BD$241,MATCH(8,$BF$182:$BF$241,0)),"")</f>
        <v>14:15</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0/4  (0%)
coach: –</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0/4  (0%)
coach: –</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0/4  (0%)
coach: –</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0/4  (0%)
coach: –</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0/4  (0%)
coach: –</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0/4  (0%)
coach: –</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0/4  (0%)
coach: –</v>
      </c>
      <c r="AN77" s="30" t="n">
        <f aca="false">IF($A77="","",IFERROR(MATCH($B$4&amp;"|- Lane 4 - "&amp;B$69&amp;"|"&amp;$A77,'Reguler Class Availability'!$L:$L,0),""))</f>
        <v>1815</v>
      </c>
      <c r="AO77" s="30" t="n">
        <f aca="false">IF($A77="","",IFERROR(MATCH($B$4&amp;"|- Lane 4 - "&amp;C$69&amp;"|"&amp;$A77,'Reguler Class Availability'!$L:$L,0),""))</f>
        <v>1827</v>
      </c>
      <c r="AP77" s="30" t="n">
        <f aca="false">IF($A77="","",IFERROR(MATCH($B$4&amp;"|- Lane 4 - "&amp;D$69&amp;"|"&amp;$A77,'Reguler Class Availability'!$L:$L,0),""))</f>
        <v>1839</v>
      </c>
      <c r="AQ77" s="30" t="n">
        <f aca="false">IF($A77="","",IFERROR(MATCH($B$4&amp;"|- Lane 4 - "&amp;E$69&amp;"|"&amp;$A77,'Reguler Class Availability'!$L:$L,0),""))</f>
        <v>1851</v>
      </c>
      <c r="AR77" s="30" t="n">
        <f aca="false">IF($A77="","",IFERROR(MATCH($B$4&amp;"|- Lane 4 - "&amp;F$69&amp;"|"&amp;$A77,'Reguler Class Availability'!$L:$L,0),""))</f>
        <v>1863</v>
      </c>
      <c r="AS77" s="30" t="n">
        <f aca="false">IF($A77="","",IFERROR(MATCH($B$4&amp;"|- Lane 4 - "&amp;G$69&amp;"|"&amp;$A77,'Reguler Class Availability'!$L:$L,0),""))</f>
        <v>1875</v>
      </c>
      <c r="AT77" s="30" t="n">
        <f aca="false">IF($A77="","",IFERROR(MATCH($B$4&amp;"|- Lane 4 - "&amp;H$69&amp;"|"&amp;$A77,'Reguler Class Availability'!$L:$L,0),""))</f>
        <v>1887</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Belum terisi</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Belum terisi</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Belum terisi</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Belum terisi</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Belum terisi</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Belum terisi</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Belum terisi</v>
      </c>
      <c r="BD77" s="30" t="s">
        <v>124</v>
      </c>
      <c r="BE77" s="30" t="n">
        <f aca="false">IF(COUNTIFS('Reguler Class Availability'!$L:$L,$B$4&amp;"|- Lane 2 - *|"&amp;BD77)&gt;0,1,0)</f>
        <v>0</v>
      </c>
      <c r="BF77" s="30" t="n">
        <f aca="false">BE77+BF76</f>
        <v>3</v>
      </c>
    </row>
    <row r="78" customFormat="false" ht="39.75" hidden="false" customHeight="true" outlineLevel="0" collapsed="false">
      <c r="A78" s="66" t="str">
        <f aca="false">IFERROR(INDEX($BD$182:$BD$241,MATCH(9,$BF$182:$BF$241,0)),"")</f>
        <v>15:00</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0/4  (0%)
coach: –</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0/4  (0%)
coach: –</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0/4  (0%)
coach: –</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0/4  (0%)
coach: –</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0/4  (0%)
coach: –</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0/4  (0%)
coach: –</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0/4  (0%)
coach: –</v>
      </c>
      <c r="AN78" s="30" t="n">
        <f aca="false">IF($A78="","",IFERROR(MATCH($B$4&amp;"|- Lane 4 - "&amp;B$69&amp;"|"&amp;$A78,'Reguler Class Availability'!$L:$L,0),""))</f>
        <v>1816</v>
      </c>
      <c r="AO78" s="30" t="n">
        <f aca="false">IF($A78="","",IFERROR(MATCH($B$4&amp;"|- Lane 4 - "&amp;C$69&amp;"|"&amp;$A78,'Reguler Class Availability'!$L:$L,0),""))</f>
        <v>1828</v>
      </c>
      <c r="AP78" s="30" t="n">
        <f aca="false">IF($A78="","",IFERROR(MATCH($B$4&amp;"|- Lane 4 - "&amp;D$69&amp;"|"&amp;$A78,'Reguler Class Availability'!$L:$L,0),""))</f>
        <v>1840</v>
      </c>
      <c r="AQ78" s="30" t="n">
        <f aca="false">IF($A78="","",IFERROR(MATCH($B$4&amp;"|- Lane 4 - "&amp;E$69&amp;"|"&amp;$A78,'Reguler Class Availability'!$L:$L,0),""))</f>
        <v>1852</v>
      </c>
      <c r="AR78" s="30" t="n">
        <f aca="false">IF($A78="","",IFERROR(MATCH($B$4&amp;"|- Lane 4 - "&amp;F$69&amp;"|"&amp;$A78,'Reguler Class Availability'!$L:$L,0),""))</f>
        <v>1864</v>
      </c>
      <c r="AS78" s="30" t="n">
        <f aca="false">IF($A78="","",IFERROR(MATCH($B$4&amp;"|- Lane 4 - "&amp;G$69&amp;"|"&amp;$A78,'Reguler Class Availability'!$L:$L,0),""))</f>
        <v>1876</v>
      </c>
      <c r="AT78" s="30" t="n">
        <f aca="false">IF($A78="","",IFERROR(MATCH($B$4&amp;"|- Lane 4 - "&amp;H$69&amp;"|"&amp;$A78,'Reguler Class Availability'!$L:$L,0),""))</f>
        <v>1888</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Belum terisi</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Belum terisi</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Belum terisi</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Belum terisi</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Belum terisi</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Belum terisi</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Belum terisi</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15:45</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0/4  (0%)
coach: –</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0/4  (0%)
coach: –</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0/4  (0%)
coach: –</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0/4  (0%)
coach: –</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0/4  (0%)
coach: –</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0/4  (0%)
coach: –</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0/4  (0%)
coach: –</v>
      </c>
      <c r="AN79" s="30" t="n">
        <f aca="false">IF($A79="","",IFERROR(MATCH($B$4&amp;"|- Lane 4 - "&amp;B$69&amp;"|"&amp;$A79,'Reguler Class Availability'!$L:$L,0),""))</f>
        <v>1817</v>
      </c>
      <c r="AO79" s="30" t="n">
        <f aca="false">IF($A79="","",IFERROR(MATCH($B$4&amp;"|- Lane 4 - "&amp;C$69&amp;"|"&amp;$A79,'Reguler Class Availability'!$L:$L,0),""))</f>
        <v>1829</v>
      </c>
      <c r="AP79" s="30" t="n">
        <f aca="false">IF($A79="","",IFERROR(MATCH($B$4&amp;"|- Lane 4 - "&amp;D$69&amp;"|"&amp;$A79,'Reguler Class Availability'!$L:$L,0),""))</f>
        <v>1841</v>
      </c>
      <c r="AQ79" s="30" t="n">
        <f aca="false">IF($A79="","",IFERROR(MATCH($B$4&amp;"|- Lane 4 - "&amp;E$69&amp;"|"&amp;$A79,'Reguler Class Availability'!$L:$L,0),""))</f>
        <v>1853</v>
      </c>
      <c r="AR79" s="30" t="n">
        <f aca="false">IF($A79="","",IFERROR(MATCH($B$4&amp;"|- Lane 4 - "&amp;F$69&amp;"|"&amp;$A79,'Reguler Class Availability'!$L:$L,0),""))</f>
        <v>1865</v>
      </c>
      <c r="AS79" s="30" t="n">
        <f aca="false">IF($A79="","",IFERROR(MATCH($B$4&amp;"|- Lane 4 - "&amp;G$69&amp;"|"&amp;$A79,'Reguler Class Availability'!$L:$L,0),""))</f>
        <v>1877</v>
      </c>
      <c r="AT79" s="30" t="n">
        <f aca="false">IF($A79="","",IFERROR(MATCH($B$4&amp;"|- Lane 4 - "&amp;H$69&amp;"|"&amp;$A79,'Reguler Class Availability'!$L:$L,0),""))</f>
        <v>1889</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Belum terisi</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Belum terisi</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Belum terisi</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Belum terisi</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Belum terisi</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Belum terisi</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Belum terisi</v>
      </c>
      <c r="BD79" s="30" t="s">
        <v>126</v>
      </c>
      <c r="BE79" s="30" t="n">
        <f aca="false">IF(COUNTIFS('Reguler Class Availability'!$L:$L,$B$4&amp;"|- Lane 2 - *|"&amp;BD79)&gt;0,1,0)</f>
        <v>1</v>
      </c>
      <c r="BF79" s="30" t="n">
        <f aca="false">BE79+BF78</f>
        <v>4</v>
      </c>
    </row>
    <row r="80" customFormat="false" ht="39.75" hidden="false" customHeight="true" outlineLevel="0" collapsed="false">
      <c r="A80" s="66" t="str">
        <f aca="false">IFERROR(INDEX($BD$182:$BD$241,MATCH(11,$BF$182:$BF$241,0)),"")</f>
        <v>16:30</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0/4  (0%)
coach: –</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0/4  (0%)
coach: –</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0/4  (0%)
coach: –</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0/4  (0%)
coach: –</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0/4  (0%)
coach: –</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0/4  (0%)
coach: –</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0/4  (0%)
coach: –</v>
      </c>
      <c r="AN80" s="30" t="n">
        <f aca="false">IF($A80="","",IFERROR(MATCH($B$4&amp;"|- Lane 4 - "&amp;B$69&amp;"|"&amp;$A80,'Reguler Class Availability'!$L:$L,0),""))</f>
        <v>1818</v>
      </c>
      <c r="AO80" s="30" t="n">
        <f aca="false">IF($A80="","",IFERROR(MATCH($B$4&amp;"|- Lane 4 - "&amp;C$69&amp;"|"&amp;$A80,'Reguler Class Availability'!$L:$L,0),""))</f>
        <v>1830</v>
      </c>
      <c r="AP80" s="30" t="n">
        <f aca="false">IF($A80="","",IFERROR(MATCH($B$4&amp;"|- Lane 4 - "&amp;D$69&amp;"|"&amp;$A80,'Reguler Class Availability'!$L:$L,0),""))</f>
        <v>1842</v>
      </c>
      <c r="AQ80" s="30" t="n">
        <f aca="false">IF($A80="","",IFERROR(MATCH($B$4&amp;"|- Lane 4 - "&amp;E$69&amp;"|"&amp;$A80,'Reguler Class Availability'!$L:$L,0),""))</f>
        <v>1854</v>
      </c>
      <c r="AR80" s="30" t="n">
        <f aca="false">IF($A80="","",IFERROR(MATCH($B$4&amp;"|- Lane 4 - "&amp;F$69&amp;"|"&amp;$A80,'Reguler Class Availability'!$L:$L,0),""))</f>
        <v>1866</v>
      </c>
      <c r="AS80" s="30" t="n">
        <f aca="false">IF($A80="","",IFERROR(MATCH($B$4&amp;"|- Lane 4 - "&amp;G$69&amp;"|"&amp;$A80,'Reguler Class Availability'!$L:$L,0),""))</f>
        <v>1878</v>
      </c>
      <c r="AT80" s="30" t="n">
        <f aca="false">IF($A80="","",IFERROR(MATCH($B$4&amp;"|- Lane 4 - "&amp;H$69&amp;"|"&amp;$A80,'Reguler Class Availability'!$L:$L,0),""))</f>
        <v>1890</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Belum terisi</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Belum terisi</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Belum terisi</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Belum terisi</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Belum terisi</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Belum terisi</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Belum terisi</v>
      </c>
      <c r="BD80" s="30" t="s">
        <v>127</v>
      </c>
      <c r="BE80" s="30" t="n">
        <f aca="false">IF(COUNTIFS('Reguler Class Availability'!$L:$L,$B$4&amp;"|- Lane 2 - *|"&amp;BD80)&gt;0,1,0)</f>
        <v>0</v>
      </c>
      <c r="BF80" s="30" t="n">
        <f aca="false">BE80+BF79</f>
        <v>4</v>
      </c>
    </row>
    <row r="81" customFormat="false" ht="39.75" hidden="false" customHeight="true" outlineLevel="0" collapsed="false">
      <c r="A81" s="66" t="str">
        <f aca="false">IFERROR(INDEX($BD$182:$BD$241,MATCH(12,$BF$182:$BF$241,0)),"")</f>
        <v>17:15</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0/4  (0%)
coach: –</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0/4  (0%)
coach: –</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0/4  (0%)
coach: –</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0/4  (0%)
coach: –</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0/4  (0%)
coach: –</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0/4  (0%)
coach: –</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Kids  0/4  (0%)
coach: –</v>
      </c>
      <c r="AN81" s="30" t="n">
        <f aca="false">IF($A81="","",IFERROR(MATCH($B$4&amp;"|- Lane 4 - "&amp;B$69&amp;"|"&amp;$A81,'Reguler Class Availability'!$L:$L,0),""))</f>
        <v>1819</v>
      </c>
      <c r="AO81" s="30" t="n">
        <f aca="false">IF($A81="","",IFERROR(MATCH($B$4&amp;"|- Lane 4 - "&amp;C$69&amp;"|"&amp;$A81,'Reguler Class Availability'!$L:$L,0),""))</f>
        <v>1831</v>
      </c>
      <c r="AP81" s="30" t="n">
        <f aca="false">IF($A81="","",IFERROR(MATCH($B$4&amp;"|- Lane 4 - "&amp;D$69&amp;"|"&amp;$A81,'Reguler Class Availability'!$L:$L,0),""))</f>
        <v>1843</v>
      </c>
      <c r="AQ81" s="30" t="n">
        <f aca="false">IF($A81="","",IFERROR(MATCH($B$4&amp;"|- Lane 4 - "&amp;E$69&amp;"|"&amp;$A81,'Reguler Class Availability'!$L:$L,0),""))</f>
        <v>1855</v>
      </c>
      <c r="AR81" s="30" t="n">
        <f aca="false">IF($A81="","",IFERROR(MATCH($B$4&amp;"|- Lane 4 - "&amp;F$69&amp;"|"&amp;$A81,'Reguler Class Availability'!$L:$L,0),""))</f>
        <v>1867</v>
      </c>
      <c r="AS81" s="30" t="n">
        <f aca="false">IF($A81="","",IFERROR(MATCH($B$4&amp;"|- Lane 4 - "&amp;G$69&amp;"|"&amp;$A81,'Reguler Class Availability'!$L:$L,0),""))</f>
        <v>1879</v>
      </c>
      <c r="AT81" s="30" t="n">
        <f aca="false">IF($A81="","",IFERROR(MATCH($B$4&amp;"|- Lane 4 - "&amp;H$69&amp;"|"&amp;$A81,'Reguler Class Availability'!$L:$L,0),""))</f>
        <v>1891</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Belum terisi</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Belum terisi</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Belum terisi</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Belum terisi</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Belum terisi</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Belum terisi</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Belum terisi</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1</v>
      </c>
      <c r="BF82" s="30" t="n">
        <f aca="false">BE82+BF81</f>
        <v>5</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0</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0%</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0%</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0%</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0%</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0%</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0%</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0%</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1</v>
      </c>
      <c r="BF85" s="0" t="n">
        <f aca="false">BE85+BF84</f>
        <v>6</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   ·   Belum terisi: 0   ·   Slot kosong: 0</v>
      </c>
      <c r="D86" s="62"/>
      <c r="E86" s="62"/>
      <c r="F86" s="62"/>
      <c r="G86" s="62"/>
      <c r="H86" s="62"/>
      <c r="BD86" s="30" t="s">
        <v>133</v>
      </c>
      <c r="BE86" s="30" t="n">
        <f aca="false">IF(COUNTIFS('Reguler Class Availability'!$L:$L,$B$4&amp;"|- Lane 2 - *|"&amp;BD86)&gt;0,1,0)</f>
        <v>0</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
      </c>
      <c r="AN88" s="0" t="str">
        <f aca="false">IF($A88="","",IFERROR(MATCH($B$4&amp;"|- Lane 5 - "&amp;B$87&amp;"|"&amp;$A88,'Reguler Class Availability'!$L:$L,0),""))</f>
        <v/>
      </c>
      <c r="AO88" s="0" t="str">
        <f aca="false">IF($A88="","",IFERROR(MATCH($B$4&amp;"|- Lane 5 - "&amp;C$87&amp;"|"&amp;$A88,'Reguler Class Availability'!$L:$L,0),""))</f>
        <v/>
      </c>
      <c r="AP88" s="0" t="str">
        <f aca="false">IF($A88="","",IFERROR(MATCH($B$4&amp;"|- Lane 5 - "&amp;D$87&amp;"|"&amp;$A88,'Reguler Class Availability'!$L:$L,0),""))</f>
        <v/>
      </c>
      <c r="AQ88" s="0" t="str">
        <f aca="false">IF($A88="","",IFERROR(MATCH($B$4&amp;"|- Lane 5 - "&amp;E$87&amp;"|"&amp;$A88,'Reguler Class Availability'!$L:$L,0),""))</f>
        <v/>
      </c>
      <c r="AR88" s="0" t="str">
        <f aca="false">IF($A88="","",IFERROR(MATCH($B$4&amp;"|- Lane 5 - "&amp;F$87&amp;"|"&amp;$A88,'Reguler Class Availability'!$L:$L,0),""))</f>
        <v/>
      </c>
      <c r="AS88" s="0" t="str">
        <f aca="false">IF($A88="","",IFERROR(MATCH($B$4&amp;"|- Lane 5 - "&amp;G$87&amp;"|"&amp;$A88,'Reguler Class Availability'!$L:$L,0),""))</f>
        <v/>
      </c>
      <c r="AT88" s="0" t="str">
        <f aca="false">IF($A88="","",IFERROR(MATCH($B$4&amp;"|- Lane 5 - "&amp;H$87&amp;"|"&amp;$A88,'Reguler Class Availability'!$L:$L,0),""))</f>
        <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
      </c>
      <c r="AN89" s="0" t="str">
        <f aca="false">IF($A89="","",IFERROR(MATCH($B$4&amp;"|- Lane 5 - "&amp;B$87&amp;"|"&amp;$A89,'Reguler Class Availability'!$L:$L,0),""))</f>
        <v/>
      </c>
      <c r="AO89" s="0" t="str">
        <f aca="false">IF($A89="","",IFERROR(MATCH($B$4&amp;"|- Lane 5 - "&amp;C$87&amp;"|"&amp;$A89,'Reguler Class Availability'!$L:$L,0),""))</f>
        <v/>
      </c>
      <c r="AP89" s="0" t="str">
        <f aca="false">IF($A89="","",IFERROR(MATCH($B$4&amp;"|- Lane 5 - "&amp;D$87&amp;"|"&amp;$A89,'Reguler Class Availability'!$L:$L,0),""))</f>
        <v/>
      </c>
      <c r="AQ89" s="0" t="str">
        <f aca="false">IF($A89="","",IFERROR(MATCH($B$4&amp;"|- Lane 5 - "&amp;E$87&amp;"|"&amp;$A89,'Reguler Class Availability'!$L:$L,0),""))</f>
        <v/>
      </c>
      <c r="AR89" s="0" t="str">
        <f aca="false">IF($A89="","",IFERROR(MATCH($B$4&amp;"|- Lane 5 - "&amp;F$87&amp;"|"&amp;$A89,'Reguler Class Availability'!$L:$L,0),""))</f>
        <v/>
      </c>
      <c r="AS89" s="0" t="str">
        <f aca="false">IF($A89="","",IFERROR(MATCH($B$4&amp;"|- Lane 5 - "&amp;G$87&amp;"|"&amp;$A89,'Reguler Class Availability'!$L:$L,0),""))</f>
        <v/>
      </c>
      <c r="AT89" s="0" t="str">
        <f aca="false">IF($A89="","",IFERROR(MATCH($B$4&amp;"|- Lane 5 - "&amp;H$87&amp;"|"&amp;$A89,'Reguler Class Availability'!$L:$L,0),""))</f>
        <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
      </c>
      <c r="AN90" s="0" t="str">
        <f aca="false">IF($A90="","",IFERROR(MATCH($B$4&amp;"|- Lane 5 - "&amp;B$87&amp;"|"&amp;$A90,'Reguler Class Availability'!$L:$L,0),""))</f>
        <v/>
      </c>
      <c r="AO90" s="0" t="str">
        <f aca="false">IF($A90="","",IFERROR(MATCH($B$4&amp;"|- Lane 5 - "&amp;C$87&amp;"|"&amp;$A90,'Reguler Class Availability'!$L:$L,0),""))</f>
        <v/>
      </c>
      <c r="AP90" s="0" t="str">
        <f aca="false">IF($A90="","",IFERROR(MATCH($B$4&amp;"|- Lane 5 - "&amp;D$87&amp;"|"&amp;$A90,'Reguler Class Availability'!$L:$L,0),""))</f>
        <v/>
      </c>
      <c r="AQ90" s="0" t="str">
        <f aca="false">IF($A90="","",IFERROR(MATCH($B$4&amp;"|- Lane 5 - "&amp;E$87&amp;"|"&amp;$A90,'Reguler Class Availability'!$L:$L,0),""))</f>
        <v/>
      </c>
      <c r="AR90" s="0" t="str">
        <f aca="false">IF($A90="","",IFERROR(MATCH($B$4&amp;"|- Lane 5 - "&amp;F$87&amp;"|"&amp;$A90,'Reguler Class Availability'!$L:$L,0),""))</f>
        <v/>
      </c>
      <c r="AS90" s="0" t="str">
        <f aca="false">IF($A90="","",IFERROR(MATCH($B$4&amp;"|- Lane 5 - "&amp;G$87&amp;"|"&amp;$A90,'Reguler Class Availability'!$L:$L,0),""))</f>
        <v/>
      </c>
      <c r="AT90" s="0" t="str">
        <f aca="false">IF($A90="","",IFERROR(MATCH($B$4&amp;"|- Lane 5 - "&amp;H$87&amp;"|"&amp;$A90,'Reguler Class Availability'!$L:$L,0),""))</f>
        <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
      </c>
      <c r="AN91" s="0" t="str">
        <f aca="false">IF($A91="","",IFERROR(MATCH($B$4&amp;"|- Lane 5 - "&amp;B$87&amp;"|"&amp;$A91,'Reguler Class Availability'!$L:$L,0),""))</f>
        <v/>
      </c>
      <c r="AO91" s="0" t="str">
        <f aca="false">IF($A91="","",IFERROR(MATCH($B$4&amp;"|- Lane 5 - "&amp;C$87&amp;"|"&amp;$A91,'Reguler Class Availability'!$L:$L,0),""))</f>
        <v/>
      </c>
      <c r="AP91" s="0" t="str">
        <f aca="false">IF($A91="","",IFERROR(MATCH($B$4&amp;"|- Lane 5 - "&amp;D$87&amp;"|"&amp;$A91,'Reguler Class Availability'!$L:$L,0),""))</f>
        <v/>
      </c>
      <c r="AQ91" s="0" t="str">
        <f aca="false">IF($A91="","",IFERROR(MATCH($B$4&amp;"|- Lane 5 - "&amp;E$87&amp;"|"&amp;$A91,'Reguler Class Availability'!$L:$L,0),""))</f>
        <v/>
      </c>
      <c r="AR91" s="0" t="str">
        <f aca="false">IF($A91="","",IFERROR(MATCH($B$4&amp;"|- Lane 5 - "&amp;F$87&amp;"|"&amp;$A91,'Reguler Class Availability'!$L:$L,0),""))</f>
        <v/>
      </c>
      <c r="AS91" s="0" t="str">
        <f aca="false">IF($A91="","",IFERROR(MATCH($B$4&amp;"|- Lane 5 - "&amp;G$87&amp;"|"&amp;$A91,'Reguler Class Availability'!$L:$L,0),""))</f>
        <v/>
      </c>
      <c r="AT91" s="0" t="str">
        <f aca="false">IF($A91="","",IFERROR(MATCH($B$4&amp;"|- Lane 5 - "&amp;H$87&amp;"|"&amp;$A91,'Reguler Class Availability'!$L:$L,0),""))</f>
        <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
      </c>
      <c r="BD91" s="30" t="s">
        <v>139</v>
      </c>
      <c r="BE91" s="30" t="n">
        <f aca="false">IF(COUNTIFS('Reguler Class Availability'!$L:$L,$B$4&amp;"|- Lane 2 - *|"&amp;BD91)&gt;0,1,0)</f>
        <v>1</v>
      </c>
      <c r="BF91" s="30" t="n">
        <f aca="false">BE91+BF90</f>
        <v>7</v>
      </c>
    </row>
    <row r="92" customFormat="false" ht="39.75" hidden="false" customHeight="true" outlineLevel="0" collapsed="false">
      <c r="A92" s="66" t="str">
        <f aca="false">IFERROR(INDEX($BD$242:$BD$301,MATCH(5,$BF$242:$BF$301,0)),"")</f>
        <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
      </c>
      <c r="AN92" s="0" t="str">
        <f aca="false">IF($A92="","",IFERROR(MATCH($B$4&amp;"|- Lane 5 - "&amp;B$87&amp;"|"&amp;$A92,'Reguler Class Availability'!$L:$L,0),""))</f>
        <v/>
      </c>
      <c r="AO92" s="0" t="str">
        <f aca="false">IF($A92="","",IFERROR(MATCH($B$4&amp;"|- Lane 5 - "&amp;C$87&amp;"|"&amp;$A92,'Reguler Class Availability'!$L:$L,0),""))</f>
        <v/>
      </c>
      <c r="AP92" s="0" t="str">
        <f aca="false">IF($A92="","",IFERROR(MATCH($B$4&amp;"|- Lane 5 - "&amp;D$87&amp;"|"&amp;$A92,'Reguler Class Availability'!$L:$L,0),""))</f>
        <v/>
      </c>
      <c r="AQ92" s="0" t="str">
        <f aca="false">IF($A92="","",IFERROR(MATCH($B$4&amp;"|- Lane 5 - "&amp;E$87&amp;"|"&amp;$A92,'Reguler Class Availability'!$L:$L,0),""))</f>
        <v/>
      </c>
      <c r="AR92" s="0" t="str">
        <f aca="false">IF($A92="","",IFERROR(MATCH($B$4&amp;"|- Lane 5 - "&amp;F$87&amp;"|"&amp;$A92,'Reguler Class Availability'!$L:$L,0),""))</f>
        <v/>
      </c>
      <c r="AS92" s="0" t="str">
        <f aca="false">IF($A92="","",IFERROR(MATCH($B$4&amp;"|- Lane 5 - "&amp;G$87&amp;"|"&amp;$A92,'Reguler Class Availability'!$L:$L,0),""))</f>
        <v/>
      </c>
      <c r="AT92" s="0" t="str">
        <f aca="false">IF($A92="","",IFERROR(MATCH($B$4&amp;"|- Lane 5 - "&amp;H$87&amp;"|"&amp;$A92,'Reguler Class Availability'!$L:$L,0),""))</f>
        <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
      </c>
      <c r="BD92" s="30" t="s">
        <v>141</v>
      </c>
      <c r="BE92" s="30" t="n">
        <f aca="false">IF(COUNTIFS('Reguler Class Availability'!$L:$L,$B$4&amp;"|- Lane 2 - *|"&amp;BD92)&gt;0,1,0)</f>
        <v>0</v>
      </c>
      <c r="BF92" s="30" t="n">
        <f aca="false">BE92+BF91</f>
        <v>7</v>
      </c>
    </row>
    <row r="93" customFormat="false" ht="39.75" hidden="false" customHeight="true" outlineLevel="0" collapsed="false">
      <c r="A93" s="66" t="str">
        <f aca="false">IFERROR(INDEX($BD$242:$BD$301,MATCH(6,$BF$242:$BF$301,0)),"")</f>
        <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
      </c>
      <c r="AN93" s="0" t="str">
        <f aca="false">IF($A93="","",IFERROR(MATCH($B$4&amp;"|- Lane 5 - "&amp;B$87&amp;"|"&amp;$A93,'Reguler Class Availability'!$L:$L,0),""))</f>
        <v/>
      </c>
      <c r="AO93" s="0" t="str">
        <f aca="false">IF($A93="","",IFERROR(MATCH($B$4&amp;"|- Lane 5 - "&amp;C$87&amp;"|"&amp;$A93,'Reguler Class Availability'!$L:$L,0),""))</f>
        <v/>
      </c>
      <c r="AP93" s="0" t="str">
        <f aca="false">IF($A93="","",IFERROR(MATCH($B$4&amp;"|- Lane 5 - "&amp;D$87&amp;"|"&amp;$A93,'Reguler Class Availability'!$L:$L,0),""))</f>
        <v/>
      </c>
      <c r="AQ93" s="0" t="str">
        <f aca="false">IF($A93="","",IFERROR(MATCH($B$4&amp;"|- Lane 5 - "&amp;E$87&amp;"|"&amp;$A93,'Reguler Class Availability'!$L:$L,0),""))</f>
        <v/>
      </c>
      <c r="AR93" s="0" t="str">
        <f aca="false">IF($A93="","",IFERROR(MATCH($B$4&amp;"|- Lane 5 - "&amp;F$87&amp;"|"&amp;$A93,'Reguler Class Availability'!$L:$L,0),""))</f>
        <v/>
      </c>
      <c r="AS93" s="0" t="str">
        <f aca="false">IF($A93="","",IFERROR(MATCH($B$4&amp;"|- Lane 5 - "&amp;G$87&amp;"|"&amp;$A93,'Reguler Class Availability'!$L:$L,0),""))</f>
        <v/>
      </c>
      <c r="AT93" s="0" t="str">
        <f aca="false">IF($A93="","",IFERROR(MATCH($B$4&amp;"|- Lane 5 - "&amp;H$87&amp;"|"&amp;$A93,'Reguler Class Availability'!$L:$L,0),""))</f>
        <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
      </c>
      <c r="AN94" s="0" t="str">
        <f aca="false">IF($A94="","",IFERROR(MATCH($B$4&amp;"|- Lane 5 - "&amp;B$87&amp;"|"&amp;$A94,'Reguler Class Availability'!$L:$L,0),""))</f>
        <v/>
      </c>
      <c r="AO94" s="0" t="str">
        <f aca="false">IF($A94="","",IFERROR(MATCH($B$4&amp;"|- Lane 5 - "&amp;C$87&amp;"|"&amp;$A94,'Reguler Class Availability'!$L:$L,0),""))</f>
        <v/>
      </c>
      <c r="AP94" s="0" t="str">
        <f aca="false">IF($A94="","",IFERROR(MATCH($B$4&amp;"|- Lane 5 - "&amp;D$87&amp;"|"&amp;$A94,'Reguler Class Availability'!$L:$L,0),""))</f>
        <v/>
      </c>
      <c r="AQ94" s="0" t="str">
        <f aca="false">IF($A94="","",IFERROR(MATCH($B$4&amp;"|- Lane 5 - "&amp;E$87&amp;"|"&amp;$A94,'Reguler Class Availability'!$L:$L,0),""))</f>
        <v/>
      </c>
      <c r="AR94" s="0" t="str">
        <f aca="false">IF($A94="","",IFERROR(MATCH($B$4&amp;"|- Lane 5 - "&amp;F$87&amp;"|"&amp;$A94,'Reguler Class Availability'!$L:$L,0),""))</f>
        <v/>
      </c>
      <c r="AS94" s="0" t="str">
        <f aca="false">IF($A94="","",IFERROR(MATCH($B$4&amp;"|- Lane 5 - "&amp;G$87&amp;"|"&amp;$A94,'Reguler Class Availability'!$L:$L,0),""))</f>
        <v/>
      </c>
      <c r="AT94" s="0" t="str">
        <f aca="false">IF($A94="","",IFERROR(MATCH($B$4&amp;"|- Lane 5 - "&amp;H$87&amp;"|"&amp;$A94,'Reguler Class Availability'!$L:$L,0),""))</f>
        <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
      </c>
      <c r="BD94" s="30" t="s">
        <v>143</v>
      </c>
      <c r="BE94" s="30" t="n">
        <f aca="false">IF(COUNTIFS('Reguler Class Availability'!$L:$L,$B$4&amp;"|- Lane 2 - *|"&amp;BD94)&gt;0,1,0)</f>
        <v>1</v>
      </c>
      <c r="BF94" s="30" t="n">
        <f aca="false">BE94+BF93</f>
        <v>8</v>
      </c>
    </row>
    <row r="95" customFormat="false" ht="39.75" hidden="false" customHeight="true" outlineLevel="0" collapsed="false">
      <c r="A95" s="66" t="str">
        <f aca="false">IFERROR(INDEX($BD$242:$BD$301,MATCH(8,$BF$242:$BF$301,0)),"")</f>
        <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
      </c>
      <c r="AN95" s="0" t="str">
        <f aca="false">IF($A95="","",IFERROR(MATCH($B$4&amp;"|- Lane 5 - "&amp;B$87&amp;"|"&amp;$A95,'Reguler Class Availability'!$L:$L,0),""))</f>
        <v/>
      </c>
      <c r="AO95" s="0" t="str">
        <f aca="false">IF($A95="","",IFERROR(MATCH($B$4&amp;"|- Lane 5 - "&amp;C$87&amp;"|"&amp;$A95,'Reguler Class Availability'!$L:$L,0),""))</f>
        <v/>
      </c>
      <c r="AP95" s="0" t="str">
        <f aca="false">IF($A95="","",IFERROR(MATCH($B$4&amp;"|- Lane 5 - "&amp;D$87&amp;"|"&amp;$A95,'Reguler Class Availability'!$L:$L,0),""))</f>
        <v/>
      </c>
      <c r="AQ95" s="0" t="str">
        <f aca="false">IF($A95="","",IFERROR(MATCH($B$4&amp;"|- Lane 5 - "&amp;E$87&amp;"|"&amp;$A95,'Reguler Class Availability'!$L:$L,0),""))</f>
        <v/>
      </c>
      <c r="AR95" s="0" t="str">
        <f aca="false">IF($A95="","",IFERROR(MATCH($B$4&amp;"|- Lane 5 - "&amp;F$87&amp;"|"&amp;$A95,'Reguler Class Availability'!$L:$L,0),""))</f>
        <v/>
      </c>
      <c r="AS95" s="0" t="str">
        <f aca="false">IF($A95="","",IFERROR(MATCH($B$4&amp;"|- Lane 5 - "&amp;G$87&amp;"|"&amp;$A95,'Reguler Class Availability'!$L:$L,0),""))</f>
        <v/>
      </c>
      <c r="AT95" s="0" t="str">
        <f aca="false">IF($A95="","",IFERROR(MATCH($B$4&amp;"|- Lane 5 - "&amp;H$87&amp;"|"&amp;$A95,'Reguler Class Availability'!$L:$L,0),""))</f>
        <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
      </c>
      <c r="BD95" s="30" t="s">
        <v>144</v>
      </c>
      <c r="BE95" s="30" t="n">
        <f aca="false">IF(COUNTIFS('Reguler Class Availability'!$L:$L,$B$4&amp;"|- Lane 2 - *|"&amp;BD95)&gt;0,1,0)</f>
        <v>0</v>
      </c>
      <c r="BF95" s="30" t="n">
        <f aca="false">BE95+BF94</f>
        <v>8</v>
      </c>
    </row>
    <row r="96" customFormat="false" ht="39.75" hidden="false" customHeight="true" outlineLevel="0" collapsed="false">
      <c r="A96" s="66" t="str">
        <f aca="false">IFERROR(INDEX($BD$242:$BD$301,MATCH(9,$BF$242:$BF$301,0)),"")</f>
        <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
      </c>
      <c r="AN96" s="0" t="str">
        <f aca="false">IF($A96="","",IFERROR(MATCH($B$4&amp;"|- Lane 5 - "&amp;B$87&amp;"|"&amp;$A96,'Reguler Class Availability'!$L:$L,0),""))</f>
        <v/>
      </c>
      <c r="AO96" s="0" t="str">
        <f aca="false">IF($A96="","",IFERROR(MATCH($B$4&amp;"|- Lane 5 - "&amp;C$87&amp;"|"&amp;$A96,'Reguler Class Availability'!$L:$L,0),""))</f>
        <v/>
      </c>
      <c r="AP96" s="0" t="str">
        <f aca="false">IF($A96="","",IFERROR(MATCH($B$4&amp;"|- Lane 5 - "&amp;D$87&amp;"|"&amp;$A96,'Reguler Class Availability'!$L:$L,0),""))</f>
        <v/>
      </c>
      <c r="AQ96" s="0" t="str">
        <f aca="false">IF($A96="","",IFERROR(MATCH($B$4&amp;"|- Lane 5 - "&amp;E$87&amp;"|"&amp;$A96,'Reguler Class Availability'!$L:$L,0),""))</f>
        <v/>
      </c>
      <c r="AR96" s="0" t="str">
        <f aca="false">IF($A96="","",IFERROR(MATCH($B$4&amp;"|- Lane 5 - "&amp;F$87&amp;"|"&amp;$A96,'Reguler Class Availability'!$L:$L,0),""))</f>
        <v/>
      </c>
      <c r="AS96" s="0" t="str">
        <f aca="false">IF($A96="","",IFERROR(MATCH($B$4&amp;"|- Lane 5 - "&amp;G$87&amp;"|"&amp;$A96,'Reguler Class Availability'!$L:$L,0),""))</f>
        <v/>
      </c>
      <c r="AT96" s="0" t="str">
        <f aca="false">IF($A96="","",IFERROR(MATCH($B$4&amp;"|- Lane 5 - "&amp;H$87&amp;"|"&amp;$A96,'Reguler Class Availability'!$L:$L,0),""))</f>
        <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
      </c>
      <c r="AN97" s="0" t="str">
        <f aca="false">IF($A97="","",IFERROR(MATCH($B$4&amp;"|- Lane 5 - "&amp;B$87&amp;"|"&amp;$A97,'Reguler Class Availability'!$L:$L,0),""))</f>
        <v/>
      </c>
      <c r="AO97" s="0" t="str">
        <f aca="false">IF($A97="","",IFERROR(MATCH($B$4&amp;"|- Lane 5 - "&amp;C$87&amp;"|"&amp;$A97,'Reguler Class Availability'!$L:$L,0),""))</f>
        <v/>
      </c>
      <c r="AP97" s="0" t="str">
        <f aca="false">IF($A97="","",IFERROR(MATCH($B$4&amp;"|- Lane 5 - "&amp;D$87&amp;"|"&amp;$A97,'Reguler Class Availability'!$L:$L,0),""))</f>
        <v/>
      </c>
      <c r="AQ97" s="0" t="str">
        <f aca="false">IF($A97="","",IFERROR(MATCH($B$4&amp;"|- Lane 5 - "&amp;E$87&amp;"|"&amp;$A97,'Reguler Class Availability'!$L:$L,0),""))</f>
        <v/>
      </c>
      <c r="AR97" s="0" t="str">
        <f aca="false">IF($A97="","",IFERROR(MATCH($B$4&amp;"|- Lane 5 - "&amp;F$87&amp;"|"&amp;$A97,'Reguler Class Availability'!$L:$L,0),""))</f>
        <v/>
      </c>
      <c r="AS97" s="0" t="str">
        <f aca="false">IF($A97="","",IFERROR(MATCH($B$4&amp;"|- Lane 5 - "&amp;G$87&amp;"|"&amp;$A97,'Reguler Class Availability'!$L:$L,0),""))</f>
        <v/>
      </c>
      <c r="AT97" s="0" t="str">
        <f aca="false">IF($A97="","",IFERROR(MATCH($B$4&amp;"|- Lane 5 - "&amp;H$87&amp;"|"&amp;$A97,'Reguler Class Availability'!$L:$L,0),""))</f>
        <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
      </c>
      <c r="BD97" s="30" t="s">
        <v>146</v>
      </c>
      <c r="BE97" s="30" t="n">
        <f aca="false">IF(COUNTIFS('Reguler Class Availability'!$L:$L,$B$4&amp;"|- Lane 2 - *|"&amp;BD97)&gt;0,1,0)</f>
        <v>1</v>
      </c>
      <c r="BF97" s="30" t="n">
        <f aca="false">BE97+BF96</f>
        <v>9</v>
      </c>
    </row>
    <row r="98" customFormat="false" ht="39.75" hidden="false" customHeight="true" outlineLevel="0" collapsed="false">
      <c r="A98" s="66" t="str">
        <f aca="false">IFERROR(INDEX($BD$242:$BD$301,MATCH(11,$BF$242:$BF$301,0)),"")</f>
        <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
      </c>
      <c r="AN98" s="0" t="str">
        <f aca="false">IF($A98="","",IFERROR(MATCH($B$4&amp;"|- Lane 5 - "&amp;B$87&amp;"|"&amp;$A98,'Reguler Class Availability'!$L:$L,0),""))</f>
        <v/>
      </c>
      <c r="AO98" s="0" t="str">
        <f aca="false">IF($A98="","",IFERROR(MATCH($B$4&amp;"|- Lane 5 - "&amp;C$87&amp;"|"&amp;$A98,'Reguler Class Availability'!$L:$L,0),""))</f>
        <v/>
      </c>
      <c r="AP98" s="0" t="str">
        <f aca="false">IF($A98="","",IFERROR(MATCH($B$4&amp;"|- Lane 5 - "&amp;D$87&amp;"|"&amp;$A98,'Reguler Class Availability'!$L:$L,0),""))</f>
        <v/>
      </c>
      <c r="AQ98" s="0" t="str">
        <f aca="false">IF($A98="","",IFERROR(MATCH($B$4&amp;"|- Lane 5 - "&amp;E$87&amp;"|"&amp;$A98,'Reguler Class Availability'!$L:$L,0),""))</f>
        <v/>
      </c>
      <c r="AR98" s="0" t="str">
        <f aca="false">IF($A98="","",IFERROR(MATCH($B$4&amp;"|- Lane 5 - "&amp;F$87&amp;"|"&amp;$A98,'Reguler Class Availability'!$L:$L,0),""))</f>
        <v/>
      </c>
      <c r="AS98" s="0" t="str">
        <f aca="false">IF($A98="","",IFERROR(MATCH($B$4&amp;"|- Lane 5 - "&amp;G$87&amp;"|"&amp;$A98,'Reguler Class Availability'!$L:$L,0),""))</f>
        <v/>
      </c>
      <c r="AT98" s="0" t="str">
        <f aca="false">IF($A98="","",IFERROR(MATCH($B$4&amp;"|- Lane 5 - "&amp;H$87&amp;"|"&amp;$A98,'Reguler Class Availability'!$L:$L,0),""))</f>
        <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
      </c>
      <c r="BD98" s="30" t="s">
        <v>147</v>
      </c>
      <c r="BE98" s="30" t="n">
        <f aca="false">IF(COUNTIFS('Reguler Class Availability'!$L:$L,$B$4&amp;"|- Lane 2 - *|"&amp;BD98)&gt;0,1,0)</f>
        <v>0</v>
      </c>
      <c r="BF98" s="30" t="n">
        <f aca="false">BE98+BF97</f>
        <v>9</v>
      </c>
    </row>
    <row r="99" customFormat="false" ht="39.75" hidden="false" customHeight="true" outlineLevel="0" collapsed="false">
      <c r="A99" s="66" t="str">
        <f aca="false">IFERROR(INDEX($BD$242:$BD$301,MATCH(12,$BF$242:$BF$301,0)),"")</f>
        <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
      </c>
      <c r="AN99" s="0" t="str">
        <f aca="false">IF($A99="","",IFERROR(MATCH($B$4&amp;"|- Lane 5 - "&amp;B$87&amp;"|"&amp;$A99,'Reguler Class Availability'!$L:$L,0),""))</f>
        <v/>
      </c>
      <c r="AO99" s="0" t="str">
        <f aca="false">IF($A99="","",IFERROR(MATCH($B$4&amp;"|- Lane 5 - "&amp;C$87&amp;"|"&amp;$A99,'Reguler Class Availability'!$L:$L,0),""))</f>
        <v/>
      </c>
      <c r="AP99" s="0" t="str">
        <f aca="false">IF($A99="","",IFERROR(MATCH($B$4&amp;"|- Lane 5 - "&amp;D$87&amp;"|"&amp;$A99,'Reguler Class Availability'!$L:$L,0),""))</f>
        <v/>
      </c>
      <c r="AQ99" s="0" t="str">
        <f aca="false">IF($A99="","",IFERROR(MATCH($B$4&amp;"|- Lane 5 - "&amp;E$87&amp;"|"&amp;$A99,'Reguler Class Availability'!$L:$L,0),""))</f>
        <v/>
      </c>
      <c r="AR99" s="0" t="str">
        <f aca="false">IF($A99="","",IFERROR(MATCH($B$4&amp;"|- Lane 5 - "&amp;F$87&amp;"|"&amp;$A99,'Reguler Class Availability'!$L:$L,0),""))</f>
        <v/>
      </c>
      <c r="AS99" s="0" t="str">
        <f aca="false">IF($A99="","",IFERROR(MATCH($B$4&amp;"|- Lane 5 - "&amp;G$87&amp;"|"&amp;$A99,'Reguler Class Availability'!$L:$L,0),""))</f>
        <v/>
      </c>
      <c r="AT99" s="0" t="str">
        <f aca="false">IF($A99="","",IFERROR(MATCH($B$4&amp;"|- Lane 5 - "&amp;H$87&amp;"|"&amp;$A99,'Reguler Class Availability'!$L:$L,0),""))</f>
        <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1</v>
      </c>
      <c r="BF100" s="30" t="n">
        <f aca="false">BE100+BF99</f>
        <v>10</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0</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1</v>
      </c>
      <c r="BF103" s="0" t="n">
        <f aca="false">BE103+BF102</f>
        <v>11</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0</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
      </c>
      <c r="AN106" s="0" t="str">
        <f aca="false">IF($A106="","",IFERROR(MATCH($B$4&amp;"|- Lane 6 - "&amp;B$105&amp;"|"&amp;$A106,'Reguler Class Availability'!$L:$L,0),""))</f>
        <v/>
      </c>
      <c r="AO106" s="0" t="str">
        <f aca="false">IF($A106="","",IFERROR(MATCH($B$4&amp;"|- Lane 6 - "&amp;C$105&amp;"|"&amp;$A106,'Reguler Class Availability'!$L:$L,0),""))</f>
        <v/>
      </c>
      <c r="AP106" s="0" t="str">
        <f aca="false">IF($A106="","",IFERROR(MATCH($B$4&amp;"|- Lane 6 - "&amp;D$105&amp;"|"&amp;$A106,'Reguler Class Availability'!$L:$L,0),""))</f>
        <v/>
      </c>
      <c r="AQ106" s="0" t="str">
        <f aca="false">IF($A106="","",IFERROR(MATCH($B$4&amp;"|- Lane 6 - "&amp;E$105&amp;"|"&amp;$A106,'Reguler Class Availability'!$L:$L,0),""))</f>
        <v/>
      </c>
      <c r="AR106" s="0" t="str">
        <f aca="false">IF($A106="","",IFERROR(MATCH($B$4&amp;"|- Lane 6 - "&amp;F$105&amp;"|"&amp;$A106,'Reguler Class Availability'!$L:$L,0),""))</f>
        <v/>
      </c>
      <c r="AS106" s="0" t="str">
        <f aca="false">IF($A106="","",IFERROR(MATCH($B$4&amp;"|- Lane 6 - "&amp;G$105&amp;"|"&amp;$A106,'Reguler Class Availability'!$L:$L,0),""))</f>
        <v/>
      </c>
      <c r="AT106" s="0" t="str">
        <f aca="false">IF($A106="","",IFERROR(MATCH($B$4&amp;"|- Lane 6 - "&amp;H$105&amp;"|"&amp;$A106,'Reguler Class Availability'!$L:$L,0),""))</f>
        <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
      </c>
      <c r="BD106" s="30" t="s">
        <v>155</v>
      </c>
      <c r="BE106" s="30" t="n">
        <f aca="false">IF(COUNTIFS('Reguler Class Availability'!$L:$L,$B$4&amp;"|- Lane 2 - *|"&amp;BD106)&gt;0,1,0)</f>
        <v>1</v>
      </c>
      <c r="BF106" s="30" t="n">
        <f aca="false">BE106+BF105</f>
        <v>12</v>
      </c>
    </row>
    <row r="107" customFormat="false" ht="39.75" hidden="false" customHeight="true" outlineLevel="0" collapsed="false">
      <c r="A107" s="66" t="str">
        <f aca="false">IFERROR(INDEX($BD$302:$BD$361,MATCH(2,$BF$302:$BF$361,0)),"")</f>
        <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
      </c>
      <c r="AN107" s="0" t="str">
        <f aca="false">IF($A107="","",IFERROR(MATCH($B$4&amp;"|- Lane 6 - "&amp;B$105&amp;"|"&amp;$A107,'Reguler Class Availability'!$L:$L,0),""))</f>
        <v/>
      </c>
      <c r="AO107" s="0" t="str">
        <f aca="false">IF($A107="","",IFERROR(MATCH($B$4&amp;"|- Lane 6 - "&amp;C$105&amp;"|"&amp;$A107,'Reguler Class Availability'!$L:$L,0),""))</f>
        <v/>
      </c>
      <c r="AP107" s="0" t="str">
        <f aca="false">IF($A107="","",IFERROR(MATCH($B$4&amp;"|- Lane 6 - "&amp;D$105&amp;"|"&amp;$A107,'Reguler Class Availability'!$L:$L,0),""))</f>
        <v/>
      </c>
      <c r="AQ107" s="0" t="str">
        <f aca="false">IF($A107="","",IFERROR(MATCH($B$4&amp;"|- Lane 6 - "&amp;E$105&amp;"|"&amp;$A107,'Reguler Class Availability'!$L:$L,0),""))</f>
        <v/>
      </c>
      <c r="AR107" s="0" t="str">
        <f aca="false">IF($A107="","",IFERROR(MATCH($B$4&amp;"|- Lane 6 - "&amp;F$105&amp;"|"&amp;$A107,'Reguler Class Availability'!$L:$L,0),""))</f>
        <v/>
      </c>
      <c r="AS107" s="0" t="str">
        <f aca="false">IF($A107="","",IFERROR(MATCH($B$4&amp;"|- Lane 6 - "&amp;G$105&amp;"|"&amp;$A107,'Reguler Class Availability'!$L:$L,0),""))</f>
        <v/>
      </c>
      <c r="AT107" s="0" t="str">
        <f aca="false">IF($A107="","",IFERROR(MATCH($B$4&amp;"|- Lane 6 - "&amp;H$105&amp;"|"&amp;$A107,'Reguler Class Availability'!$L:$L,0),""))</f>
        <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
      </c>
      <c r="BD107" s="30" t="s">
        <v>156</v>
      </c>
      <c r="BE107" s="30" t="n">
        <f aca="false">IF(COUNTIFS('Reguler Class Availability'!$L:$L,$B$4&amp;"|- Lane 2 - *|"&amp;BD107)&gt;0,1,0)</f>
        <v>0</v>
      </c>
      <c r="BF107" s="30" t="n">
        <f aca="false">BE107+BF106</f>
        <v>12</v>
      </c>
    </row>
    <row r="108" customFormat="false" ht="39.75" hidden="false" customHeight="true" outlineLevel="0" collapsed="false">
      <c r="A108" s="66" t="str">
        <f aca="false">IFERROR(INDEX($BD$302:$BD$361,MATCH(3,$BF$302:$BF$361,0)),"")</f>
        <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
      </c>
      <c r="AN108" s="0" t="str">
        <f aca="false">IF($A108="","",IFERROR(MATCH($B$4&amp;"|- Lane 6 - "&amp;B$105&amp;"|"&amp;$A108,'Reguler Class Availability'!$L:$L,0),""))</f>
        <v/>
      </c>
      <c r="AO108" s="0" t="str">
        <f aca="false">IF($A108="","",IFERROR(MATCH($B$4&amp;"|- Lane 6 - "&amp;C$105&amp;"|"&amp;$A108,'Reguler Class Availability'!$L:$L,0),""))</f>
        <v/>
      </c>
      <c r="AP108" s="0" t="str">
        <f aca="false">IF($A108="","",IFERROR(MATCH($B$4&amp;"|- Lane 6 - "&amp;D$105&amp;"|"&amp;$A108,'Reguler Class Availability'!$L:$L,0),""))</f>
        <v/>
      </c>
      <c r="AQ108" s="0" t="str">
        <f aca="false">IF($A108="","",IFERROR(MATCH($B$4&amp;"|- Lane 6 - "&amp;E$105&amp;"|"&amp;$A108,'Reguler Class Availability'!$L:$L,0),""))</f>
        <v/>
      </c>
      <c r="AR108" s="0" t="str">
        <f aca="false">IF($A108="","",IFERROR(MATCH($B$4&amp;"|- Lane 6 - "&amp;F$105&amp;"|"&amp;$A108,'Reguler Class Availability'!$L:$L,0),""))</f>
        <v/>
      </c>
      <c r="AS108" s="0" t="str">
        <f aca="false">IF($A108="","",IFERROR(MATCH($B$4&amp;"|- Lane 6 - "&amp;G$105&amp;"|"&amp;$A108,'Reguler Class Availability'!$L:$L,0),""))</f>
        <v/>
      </c>
      <c r="AT108" s="0" t="str">
        <f aca="false">IF($A108="","",IFERROR(MATCH($B$4&amp;"|- Lane 6 - "&amp;H$105&amp;"|"&amp;$A108,'Reguler Class Availability'!$L:$L,0),""))</f>
        <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
      </c>
      <c r="AN109" s="0" t="str">
        <f aca="false">IF($A109="","",IFERROR(MATCH($B$4&amp;"|- Lane 6 - "&amp;B$105&amp;"|"&amp;$A109,'Reguler Class Availability'!$L:$L,0),""))</f>
        <v/>
      </c>
      <c r="AO109" s="0" t="str">
        <f aca="false">IF($A109="","",IFERROR(MATCH($B$4&amp;"|- Lane 6 - "&amp;C$105&amp;"|"&amp;$A109,'Reguler Class Availability'!$L:$L,0),""))</f>
        <v/>
      </c>
      <c r="AP109" s="0" t="str">
        <f aca="false">IF($A109="","",IFERROR(MATCH($B$4&amp;"|- Lane 6 - "&amp;D$105&amp;"|"&amp;$A109,'Reguler Class Availability'!$L:$L,0),""))</f>
        <v/>
      </c>
      <c r="AQ109" s="0" t="str">
        <f aca="false">IF($A109="","",IFERROR(MATCH($B$4&amp;"|- Lane 6 - "&amp;E$105&amp;"|"&amp;$A109,'Reguler Class Availability'!$L:$L,0),""))</f>
        <v/>
      </c>
      <c r="AR109" s="0" t="str">
        <f aca="false">IF($A109="","",IFERROR(MATCH($B$4&amp;"|- Lane 6 - "&amp;F$105&amp;"|"&amp;$A109,'Reguler Class Availability'!$L:$L,0),""))</f>
        <v/>
      </c>
      <c r="AS109" s="0" t="str">
        <f aca="false">IF($A109="","",IFERROR(MATCH($B$4&amp;"|- Lane 6 - "&amp;G$105&amp;"|"&amp;$A109,'Reguler Class Availability'!$L:$L,0),""))</f>
        <v/>
      </c>
      <c r="AT109" s="0" t="str">
        <f aca="false">IF($A109="","",IFERROR(MATCH($B$4&amp;"|- Lane 6 - "&amp;H$105&amp;"|"&amp;$A109,'Reguler Class Availability'!$L:$L,0),""))</f>
        <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
      </c>
      <c r="AN110" s="0" t="str">
        <f aca="false">IF($A110="","",IFERROR(MATCH($B$4&amp;"|- Lane 6 - "&amp;B$105&amp;"|"&amp;$A110,'Reguler Class Availability'!$L:$L,0),""))</f>
        <v/>
      </c>
      <c r="AO110" s="0" t="str">
        <f aca="false">IF($A110="","",IFERROR(MATCH($B$4&amp;"|- Lane 6 - "&amp;C$105&amp;"|"&amp;$A110,'Reguler Class Availability'!$L:$L,0),""))</f>
        <v/>
      </c>
      <c r="AP110" s="0" t="str">
        <f aca="false">IF($A110="","",IFERROR(MATCH($B$4&amp;"|- Lane 6 - "&amp;D$105&amp;"|"&amp;$A110,'Reguler Class Availability'!$L:$L,0),""))</f>
        <v/>
      </c>
      <c r="AQ110" s="0" t="str">
        <f aca="false">IF($A110="","",IFERROR(MATCH($B$4&amp;"|- Lane 6 - "&amp;E$105&amp;"|"&amp;$A110,'Reguler Class Availability'!$L:$L,0),""))</f>
        <v/>
      </c>
      <c r="AR110" s="0" t="str">
        <f aca="false">IF($A110="","",IFERROR(MATCH($B$4&amp;"|- Lane 6 - "&amp;F$105&amp;"|"&amp;$A110,'Reguler Class Availability'!$L:$L,0),""))</f>
        <v/>
      </c>
      <c r="AS110" s="0" t="str">
        <f aca="false">IF($A110="","",IFERROR(MATCH($B$4&amp;"|- Lane 6 - "&amp;G$105&amp;"|"&amp;$A110,'Reguler Class Availability'!$L:$L,0),""))</f>
        <v/>
      </c>
      <c r="AT110" s="0" t="str">
        <f aca="false">IF($A110="","",IFERROR(MATCH($B$4&amp;"|- Lane 6 - "&amp;H$105&amp;"|"&amp;$A110,'Reguler Class Availability'!$L:$L,0),""))</f>
        <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
      </c>
      <c r="AN111" s="0" t="str">
        <f aca="false">IF($A111="","",IFERROR(MATCH($B$4&amp;"|- Lane 6 - "&amp;B$105&amp;"|"&amp;$A111,'Reguler Class Availability'!$L:$L,0),""))</f>
        <v/>
      </c>
      <c r="AO111" s="0" t="str">
        <f aca="false">IF($A111="","",IFERROR(MATCH($B$4&amp;"|- Lane 6 - "&amp;C$105&amp;"|"&amp;$A111,'Reguler Class Availability'!$L:$L,0),""))</f>
        <v/>
      </c>
      <c r="AP111" s="0" t="str">
        <f aca="false">IF($A111="","",IFERROR(MATCH($B$4&amp;"|- Lane 6 - "&amp;D$105&amp;"|"&amp;$A111,'Reguler Class Availability'!$L:$L,0),""))</f>
        <v/>
      </c>
      <c r="AQ111" s="0" t="str">
        <f aca="false">IF($A111="","",IFERROR(MATCH($B$4&amp;"|- Lane 6 - "&amp;E$105&amp;"|"&amp;$A111,'Reguler Class Availability'!$L:$L,0),""))</f>
        <v/>
      </c>
      <c r="AR111" s="0" t="str">
        <f aca="false">IF($A111="","",IFERROR(MATCH($B$4&amp;"|- Lane 6 - "&amp;F$105&amp;"|"&amp;$A111,'Reguler Class Availability'!$L:$L,0),""))</f>
        <v/>
      </c>
      <c r="AS111" s="0" t="str">
        <f aca="false">IF($A111="","",IFERROR(MATCH($B$4&amp;"|- Lane 6 - "&amp;G$105&amp;"|"&amp;$A111,'Reguler Class Availability'!$L:$L,0),""))</f>
        <v/>
      </c>
      <c r="AT111" s="0" t="str">
        <f aca="false">IF($A111="","",IFERROR(MATCH($B$4&amp;"|- Lane 6 - "&amp;H$105&amp;"|"&amp;$A111,'Reguler Class Availability'!$L:$L,0),""))</f>
        <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
      </c>
      <c r="AN112" s="0" t="str">
        <f aca="false">IF($A112="","",IFERROR(MATCH($B$4&amp;"|- Lane 6 - "&amp;B$105&amp;"|"&amp;$A112,'Reguler Class Availability'!$L:$L,0),""))</f>
        <v/>
      </c>
      <c r="AO112" s="0" t="str">
        <f aca="false">IF($A112="","",IFERROR(MATCH($B$4&amp;"|- Lane 6 - "&amp;C$105&amp;"|"&amp;$A112,'Reguler Class Availability'!$L:$L,0),""))</f>
        <v/>
      </c>
      <c r="AP112" s="0" t="str">
        <f aca="false">IF($A112="","",IFERROR(MATCH($B$4&amp;"|- Lane 6 - "&amp;D$105&amp;"|"&amp;$A112,'Reguler Class Availability'!$L:$L,0),""))</f>
        <v/>
      </c>
      <c r="AQ112" s="0" t="str">
        <f aca="false">IF($A112="","",IFERROR(MATCH($B$4&amp;"|- Lane 6 - "&amp;E$105&amp;"|"&amp;$A112,'Reguler Class Availability'!$L:$L,0),""))</f>
        <v/>
      </c>
      <c r="AR112" s="0" t="str">
        <f aca="false">IF($A112="","",IFERROR(MATCH($B$4&amp;"|- Lane 6 - "&amp;F$105&amp;"|"&amp;$A112,'Reguler Class Availability'!$L:$L,0),""))</f>
        <v/>
      </c>
      <c r="AS112" s="0" t="str">
        <f aca="false">IF($A112="","",IFERROR(MATCH($B$4&amp;"|- Lane 6 - "&amp;G$105&amp;"|"&amp;$A112,'Reguler Class Availability'!$L:$L,0),""))</f>
        <v/>
      </c>
      <c r="AT112" s="0" t="str">
        <f aca="false">IF($A112="","",IFERROR(MATCH($B$4&amp;"|- Lane 6 - "&amp;H$105&amp;"|"&amp;$A112,'Reguler Class Availability'!$L:$L,0),""))</f>
        <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
      </c>
      <c r="AN113" s="0" t="str">
        <f aca="false">IF($A113="","",IFERROR(MATCH($B$4&amp;"|- Lane 6 - "&amp;B$105&amp;"|"&amp;$A113,'Reguler Class Availability'!$L:$L,0),""))</f>
        <v/>
      </c>
      <c r="AO113" s="0" t="str">
        <f aca="false">IF($A113="","",IFERROR(MATCH($B$4&amp;"|- Lane 6 - "&amp;C$105&amp;"|"&amp;$A113,'Reguler Class Availability'!$L:$L,0),""))</f>
        <v/>
      </c>
      <c r="AP113" s="0" t="str">
        <f aca="false">IF($A113="","",IFERROR(MATCH($B$4&amp;"|- Lane 6 - "&amp;D$105&amp;"|"&amp;$A113,'Reguler Class Availability'!$L:$L,0),""))</f>
        <v/>
      </c>
      <c r="AQ113" s="0" t="str">
        <f aca="false">IF($A113="","",IFERROR(MATCH($B$4&amp;"|- Lane 6 - "&amp;E$105&amp;"|"&amp;$A113,'Reguler Class Availability'!$L:$L,0),""))</f>
        <v/>
      </c>
      <c r="AR113" s="0" t="str">
        <f aca="false">IF($A113="","",IFERROR(MATCH($B$4&amp;"|- Lane 6 - "&amp;F$105&amp;"|"&amp;$A113,'Reguler Class Availability'!$L:$L,0),""))</f>
        <v/>
      </c>
      <c r="AS113" s="0" t="str">
        <f aca="false">IF($A113="","",IFERROR(MATCH($B$4&amp;"|- Lane 6 - "&amp;G$105&amp;"|"&amp;$A113,'Reguler Class Availability'!$L:$L,0),""))</f>
        <v/>
      </c>
      <c r="AT113" s="0" t="str">
        <f aca="false">IF($A113="","",IFERROR(MATCH($B$4&amp;"|- Lane 6 - "&amp;H$105&amp;"|"&amp;$A113,'Reguler Class Availability'!$L:$L,0),""))</f>
        <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
      </c>
      <c r="AN114" s="0" t="str">
        <f aca="false">IF($A114="","",IFERROR(MATCH($B$4&amp;"|- Lane 6 - "&amp;B$105&amp;"|"&amp;$A114,'Reguler Class Availability'!$L:$L,0),""))</f>
        <v/>
      </c>
      <c r="AO114" s="0" t="str">
        <f aca="false">IF($A114="","",IFERROR(MATCH($B$4&amp;"|- Lane 6 - "&amp;C$105&amp;"|"&amp;$A114,'Reguler Class Availability'!$L:$L,0),""))</f>
        <v/>
      </c>
      <c r="AP114" s="0" t="str">
        <f aca="false">IF($A114="","",IFERROR(MATCH($B$4&amp;"|- Lane 6 - "&amp;D$105&amp;"|"&amp;$A114,'Reguler Class Availability'!$L:$L,0),""))</f>
        <v/>
      </c>
      <c r="AQ114" s="0" t="str">
        <f aca="false">IF($A114="","",IFERROR(MATCH($B$4&amp;"|- Lane 6 - "&amp;E$105&amp;"|"&amp;$A114,'Reguler Class Availability'!$L:$L,0),""))</f>
        <v/>
      </c>
      <c r="AR114" s="0" t="str">
        <f aca="false">IF($A114="","",IFERROR(MATCH($B$4&amp;"|- Lane 6 - "&amp;F$105&amp;"|"&amp;$A114,'Reguler Class Availability'!$L:$L,0),""))</f>
        <v/>
      </c>
      <c r="AS114" s="0" t="str">
        <f aca="false">IF($A114="","",IFERROR(MATCH($B$4&amp;"|- Lane 6 - "&amp;G$105&amp;"|"&amp;$A114,'Reguler Class Availability'!$L:$L,0),""))</f>
        <v/>
      </c>
      <c r="AT114" s="0" t="str">
        <f aca="false">IF($A114="","",IFERROR(MATCH($B$4&amp;"|- Lane 6 - "&amp;H$105&amp;"|"&amp;$A114,'Reguler Class Availability'!$L:$L,0),""))</f>
        <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
      </c>
      <c r="AN115" s="0" t="str">
        <f aca="false">IF($A115="","",IFERROR(MATCH($B$4&amp;"|- Lane 6 - "&amp;B$105&amp;"|"&amp;$A115,'Reguler Class Availability'!$L:$L,0),""))</f>
        <v/>
      </c>
      <c r="AO115" s="0" t="str">
        <f aca="false">IF($A115="","",IFERROR(MATCH($B$4&amp;"|- Lane 6 - "&amp;C$105&amp;"|"&amp;$A115,'Reguler Class Availability'!$L:$L,0),""))</f>
        <v/>
      </c>
      <c r="AP115" s="0" t="str">
        <f aca="false">IF($A115="","",IFERROR(MATCH($B$4&amp;"|- Lane 6 - "&amp;D$105&amp;"|"&amp;$A115,'Reguler Class Availability'!$L:$L,0),""))</f>
        <v/>
      </c>
      <c r="AQ115" s="0" t="str">
        <f aca="false">IF($A115="","",IFERROR(MATCH($B$4&amp;"|- Lane 6 - "&amp;E$105&amp;"|"&amp;$A115,'Reguler Class Availability'!$L:$L,0),""))</f>
        <v/>
      </c>
      <c r="AR115" s="0" t="str">
        <f aca="false">IF($A115="","",IFERROR(MATCH($B$4&amp;"|- Lane 6 - "&amp;F$105&amp;"|"&amp;$A115,'Reguler Class Availability'!$L:$L,0),""))</f>
        <v/>
      </c>
      <c r="AS115" s="0" t="str">
        <f aca="false">IF($A115="","",IFERROR(MATCH($B$4&amp;"|- Lane 6 - "&amp;G$105&amp;"|"&amp;$A115,'Reguler Class Availability'!$L:$L,0),""))</f>
        <v/>
      </c>
      <c r="AT115" s="0" t="str">
        <f aca="false">IF($A115="","",IFERROR(MATCH($B$4&amp;"|- Lane 6 - "&amp;H$105&amp;"|"&amp;$A115,'Reguler Class Availability'!$L:$L,0),""))</f>
        <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
      </c>
      <c r="AN116" s="0" t="str">
        <f aca="false">IF($A116="","",IFERROR(MATCH($B$4&amp;"|- Lane 6 - "&amp;B$105&amp;"|"&amp;$A116,'Reguler Class Availability'!$L:$L,0),""))</f>
        <v/>
      </c>
      <c r="AO116" s="0" t="str">
        <f aca="false">IF($A116="","",IFERROR(MATCH($B$4&amp;"|- Lane 6 - "&amp;C$105&amp;"|"&amp;$A116,'Reguler Class Availability'!$L:$L,0),""))</f>
        <v/>
      </c>
      <c r="AP116" s="0" t="str">
        <f aca="false">IF($A116="","",IFERROR(MATCH($B$4&amp;"|- Lane 6 - "&amp;D$105&amp;"|"&amp;$A116,'Reguler Class Availability'!$L:$L,0),""))</f>
        <v/>
      </c>
      <c r="AQ116" s="0" t="str">
        <f aca="false">IF($A116="","",IFERROR(MATCH($B$4&amp;"|- Lane 6 - "&amp;E$105&amp;"|"&amp;$A116,'Reguler Class Availability'!$L:$L,0),""))</f>
        <v/>
      </c>
      <c r="AR116" s="0" t="str">
        <f aca="false">IF($A116="","",IFERROR(MATCH($B$4&amp;"|- Lane 6 - "&amp;F$105&amp;"|"&amp;$A116,'Reguler Class Availability'!$L:$L,0),""))</f>
        <v/>
      </c>
      <c r="AS116" s="0" t="str">
        <f aca="false">IF($A116="","",IFERROR(MATCH($B$4&amp;"|- Lane 6 - "&amp;G$105&amp;"|"&amp;$A116,'Reguler Class Availability'!$L:$L,0),""))</f>
        <v/>
      </c>
      <c r="AT116" s="0" t="str">
        <f aca="false">IF($A116="","",IFERROR(MATCH($B$4&amp;"|- Lane 6 - "&amp;H$105&amp;"|"&amp;$A116,'Reguler Class Availability'!$L:$L,0),""))</f>
        <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
      </c>
      <c r="AN117" s="0" t="str">
        <f aca="false">IF($A117="","",IFERROR(MATCH($B$4&amp;"|- Lane 6 - "&amp;B$105&amp;"|"&amp;$A117,'Reguler Class Availability'!$L:$L,0),""))</f>
        <v/>
      </c>
      <c r="AO117" s="0" t="str">
        <f aca="false">IF($A117="","",IFERROR(MATCH($B$4&amp;"|- Lane 6 - "&amp;C$105&amp;"|"&amp;$A117,'Reguler Class Availability'!$L:$L,0),""))</f>
        <v/>
      </c>
      <c r="AP117" s="0" t="str">
        <f aca="false">IF($A117="","",IFERROR(MATCH($B$4&amp;"|- Lane 6 - "&amp;D$105&amp;"|"&amp;$A117,'Reguler Class Availability'!$L:$L,0),""))</f>
        <v/>
      </c>
      <c r="AQ117" s="0" t="str">
        <f aca="false">IF($A117="","",IFERROR(MATCH($B$4&amp;"|- Lane 6 - "&amp;E$105&amp;"|"&amp;$A117,'Reguler Class Availability'!$L:$L,0),""))</f>
        <v/>
      </c>
      <c r="AR117" s="0" t="str">
        <f aca="false">IF($A117="","",IFERROR(MATCH($B$4&amp;"|- Lane 6 - "&amp;F$105&amp;"|"&amp;$A117,'Reguler Class Availability'!$L:$L,0),""))</f>
        <v/>
      </c>
      <c r="AS117" s="0" t="str">
        <f aca="false">IF($A117="","",IFERROR(MATCH($B$4&amp;"|- Lane 6 - "&amp;G$105&amp;"|"&amp;$A117,'Reguler Class Availability'!$L:$L,0),""))</f>
        <v/>
      </c>
      <c r="AT117" s="0" t="str">
        <f aca="false">IF($A117="","",IFERROR(MATCH($B$4&amp;"|- Lane 6 - "&amp;H$105&amp;"|"&amp;$A117,'Reguler Class Availability'!$L:$L,0),""))</f>
        <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27.75" hidden="false" customHeight="true" outlineLevel="0" collapsed="false">
      <c r="A127" s="76" t="n">
        <v>1</v>
      </c>
      <c r="B127" s="77" t="s">
        <v>114</v>
      </c>
      <c r="C127" s="76" t="s">
        <v>105</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Tiny</v>
      </c>
      <c r="G127" s="76" t="n">
        <f aca="false">IF($Q127="","",IFERROR(--(INDEX('Reguler Class Availability'!$F:$F,$Q127)&amp;""),0))</f>
        <v>5</v>
      </c>
      <c r="H127" s="77" t="str">
        <f aca="false">IF($Q127="","",PROPER(INDEX('Reguler Class Availability'!$I:$I,$Q127)&amp;"")&amp;IF(INDEX('Reguler Class Availability'!$J:$J,$Q127)&amp;""="",""," + asst "&amp;PROPER(INDEX('Reguler Class Availability'!$J:$J,$Q127)&amp;"")))</f>
        <v/>
      </c>
      <c r="I127" s="77" t="s">
        <v>410</v>
      </c>
      <c r="J127" s="77" t="s">
        <v>188</v>
      </c>
      <c r="K127" s="78"/>
      <c r="L127" s="78"/>
      <c r="M127" s="78"/>
      <c r="N127" s="79"/>
      <c r="O127" s="78"/>
      <c r="Q127" s="30" t="n">
        <f aca="false">IFERROR(MATCH($B$4&amp;"|- Lane "&amp;D127&amp;" - "&amp;B127&amp;"|"&amp;C127,'Reguler Class Availability'!$L:$L,0),"")</f>
        <v>1556</v>
      </c>
      <c r="BD127" s="30" t="s">
        <v>90</v>
      </c>
      <c r="BE127" s="30" t="n">
        <f aca="false">IF(COUNTIFS('Reguler Class Availability'!$L:$L,$B$4&amp;"|- Lane 3 - *|"&amp;BD127)&gt;0,1,0)</f>
        <v>0</v>
      </c>
      <c r="BF127" s="30" t="n">
        <f aca="false">BE127+BF126</f>
        <v>0</v>
      </c>
    </row>
    <row r="128" customFormat="false" ht="27.75" hidden="false" customHeight="true" outlineLevel="0" collapsed="false">
      <c r="A128" s="76" t="n">
        <v>2</v>
      </c>
      <c r="B128" s="77" t="s">
        <v>114</v>
      </c>
      <c r="C128" s="76" t="s">
        <v>105</v>
      </c>
      <c r="D128" s="76" t="n">
        <v>2</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Belum terisi</v>
      </c>
      <c r="F128" s="77" t="str">
        <f aca="false">IF($Q128="","",PROPER(INDEX('Reguler Class Availability'!$B:$B,$Q128)&amp;""))</f>
        <v>Little</v>
      </c>
      <c r="G128" s="76" t="n">
        <f aca="false">IF($Q128="","",IFERROR(--(INDEX('Reguler Class Availability'!$F:$F,$Q128)&amp;""),0))</f>
        <v>5</v>
      </c>
      <c r="H128" s="77" t="str">
        <f aca="false">IF($Q128="","",PROPER(INDEX('Reguler Class Availability'!$I:$I,$Q128)&amp;"")&amp;IF(INDEX('Reguler Class Availability'!$J:$J,$Q128)&amp;""="",""," + asst "&amp;PROPER(INDEX('Reguler Class Availability'!$J:$J,$Q128)&amp;"")))</f>
        <v/>
      </c>
      <c r="I128" s="77" t="s">
        <v>410</v>
      </c>
      <c r="J128" s="77" t="s">
        <v>188</v>
      </c>
      <c r="K128" s="78"/>
      <c r="L128" s="78"/>
      <c r="M128" s="78"/>
      <c r="N128" s="79"/>
      <c r="O128" s="78"/>
      <c r="Q128" s="30" t="n">
        <f aca="false">IFERROR(MATCH($B$4&amp;"|- Lane "&amp;D128&amp;" - "&amp;B128&amp;"|"&amp;C128,'Reguler Class Availability'!$L:$L,0),"")</f>
        <v>1640</v>
      </c>
      <c r="BD128" s="30" t="s">
        <v>91</v>
      </c>
      <c r="BE128" s="30" t="n">
        <f aca="false">IF(COUNTIFS('Reguler Class Availability'!$L:$L,$B$4&amp;"|- Lane 3 - *|"&amp;BD128)&gt;0,1,0)</f>
        <v>0</v>
      </c>
      <c r="BF128" s="30" t="n">
        <f aca="false">BE128+BF127</f>
        <v>0</v>
      </c>
    </row>
    <row r="129" customFormat="false" ht="27.75" hidden="false" customHeight="true" outlineLevel="0" collapsed="false">
      <c r="A129" s="76" t="n">
        <v>3</v>
      </c>
      <c r="B129" s="77" t="s">
        <v>114</v>
      </c>
      <c r="C129" s="76" t="s">
        <v>110</v>
      </c>
      <c r="D129" s="76" t="n">
        <v>3</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Belum terisi</v>
      </c>
      <c r="F129" s="77" t="str">
        <f aca="false">IF($Q129="","",PROPER(INDEX('Reguler Class Availability'!$B:$B,$Q129)&amp;""))</f>
        <v>Kids</v>
      </c>
      <c r="G129" s="76" t="n">
        <f aca="false">IF($Q129="","",IFERROR(--(INDEX('Reguler Class Availability'!$F:$F,$Q129)&amp;""),0))</f>
        <v>4</v>
      </c>
      <c r="H129" s="77" t="str">
        <f aca="false">IF($Q129="","",PROPER(INDEX('Reguler Class Availability'!$I:$I,$Q129)&amp;"")&amp;IF(INDEX('Reguler Class Availability'!$J:$J,$Q129)&amp;""="",""," + asst "&amp;PROPER(INDEX('Reguler Class Availability'!$J:$J,$Q129)&amp;"")))</f>
        <v/>
      </c>
      <c r="I129" s="77" t="s">
        <v>410</v>
      </c>
      <c r="J129" s="77" t="s">
        <v>188</v>
      </c>
      <c r="K129" s="78"/>
      <c r="L129" s="78"/>
      <c r="M129" s="78"/>
      <c r="N129" s="79"/>
      <c r="O129" s="78"/>
      <c r="Q129" s="30" t="n">
        <f aca="false">IFERROR(MATCH($B$4&amp;"|- Lane "&amp;D129&amp;" - "&amp;B129&amp;"|"&amp;C129,'Reguler Class Availability'!$L:$L,0),"")</f>
        <v>1724</v>
      </c>
      <c r="BD129" s="30" t="s">
        <v>98</v>
      </c>
      <c r="BE129" s="30" t="n">
        <f aca="false">IF(COUNTIFS('Reguler Class Availability'!$L:$L,$B$4&amp;"|- Lane 3 - *|"&amp;BD129)&gt;0,1,0)</f>
        <v>0</v>
      </c>
      <c r="BF129" s="30" t="n">
        <f aca="false">BE129+BF128</f>
        <v>0</v>
      </c>
    </row>
    <row r="130" customFormat="false" ht="27.75" hidden="false" customHeight="true" outlineLevel="0" collapsed="false">
      <c r="A130" s="76" t="n">
        <v>4</v>
      </c>
      <c r="B130" s="77" t="s">
        <v>114</v>
      </c>
      <c r="C130" s="76" t="s">
        <v>110</v>
      </c>
      <c r="D130" s="76" t="n">
        <v>4</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Belum terisi</v>
      </c>
      <c r="F130" s="77" t="str">
        <f aca="false">IF($Q130="","",PROPER(INDEX('Reguler Class Availability'!$B:$B,$Q130)&amp;""))</f>
        <v>Kids</v>
      </c>
      <c r="G130" s="76" t="n">
        <f aca="false">IF($Q130="","",IFERROR(--(INDEX('Reguler Class Availability'!$F:$F,$Q130)&amp;""),0))</f>
        <v>4</v>
      </c>
      <c r="H130" s="77" t="str">
        <f aca="false">IF($Q130="","",PROPER(INDEX('Reguler Class Availability'!$I:$I,$Q130)&amp;"")&amp;IF(INDEX('Reguler Class Availability'!$J:$J,$Q130)&amp;""="",""," + asst "&amp;PROPER(INDEX('Reguler Class Availability'!$J:$J,$Q130)&amp;"")))</f>
        <v/>
      </c>
      <c r="I130" s="77" t="s">
        <v>410</v>
      </c>
      <c r="J130" s="77" t="s">
        <v>188</v>
      </c>
      <c r="K130" s="78"/>
      <c r="L130" s="78"/>
      <c r="M130" s="78"/>
      <c r="N130" s="79"/>
      <c r="O130" s="78"/>
      <c r="Q130" s="30" t="n">
        <f aca="false">IFERROR(MATCH($B$4&amp;"|- Lane "&amp;D130&amp;" - "&amp;B130&amp;"|"&amp;C130,'Reguler Class Availability'!$L:$L,0),"")</f>
        <v>1808</v>
      </c>
      <c r="BD130" s="30" t="s">
        <v>105</v>
      </c>
      <c r="BE130" s="30" t="n">
        <f aca="false">IF(COUNTIFS('Reguler Class Availability'!$L:$L,$B$4&amp;"|- Lane 3 - *|"&amp;BD130)&gt;0,1,0)</f>
        <v>0</v>
      </c>
      <c r="BF130" s="30" t="n">
        <f aca="false">BE130+BF129</f>
        <v>0</v>
      </c>
    </row>
    <row r="131" customFormat="false" ht="27.75" hidden="false" customHeight="true" outlineLevel="0" collapsed="false">
      <c r="A131" s="76" t="n">
        <v>5</v>
      </c>
      <c r="B131" s="77" t="s">
        <v>114</v>
      </c>
      <c r="C131" s="76" t="s">
        <v>120</v>
      </c>
      <c r="D131" s="76" t="n">
        <v>1</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Baby</v>
      </c>
      <c r="G131" s="76" t="n">
        <f aca="false">IF($Q131="","",IFERROR(--(INDEX('Reguler Class Availability'!$F:$F,$Q131)&amp;""),0))</f>
        <v>5</v>
      </c>
      <c r="H131" s="77" t="str">
        <f aca="false">IF($Q131="","",PROPER(INDEX('Reguler Class Availability'!$I:$I,$Q131)&amp;"")&amp;IF(INDEX('Reguler Class Availability'!$J:$J,$Q131)&amp;""="",""," + asst "&amp;PROPER(INDEX('Reguler Class Availability'!$J:$J,$Q131)&amp;"")))</f>
        <v/>
      </c>
      <c r="I131" s="77" t="s">
        <v>410</v>
      </c>
      <c r="J131" s="77" t="s">
        <v>188</v>
      </c>
      <c r="K131" s="78"/>
      <c r="L131" s="78"/>
      <c r="M131" s="78"/>
      <c r="N131" s="79"/>
      <c r="O131" s="78"/>
      <c r="Q131" s="30" t="n">
        <f aca="false">IFERROR(MATCH($B$4&amp;"|- Lane "&amp;D131&amp;" - "&amp;B131&amp;"|"&amp;C131,'Reguler Class Availability'!$L:$L,0),"")</f>
        <v>1557</v>
      </c>
      <c r="BD131" s="30" t="s">
        <v>110</v>
      </c>
      <c r="BE131" s="30" t="n">
        <f aca="false">IF(COUNTIFS('Reguler Class Availability'!$L:$L,$B$4&amp;"|- Lane 3 - *|"&amp;BD131)&gt;0,1,0)</f>
        <v>1</v>
      </c>
      <c r="BF131" s="30" t="n">
        <f aca="false">BE131+BF130</f>
        <v>1</v>
      </c>
    </row>
    <row r="132" customFormat="false" ht="27.75" hidden="false" customHeight="true" outlineLevel="0" collapsed="false">
      <c r="A132" s="76" t="n">
        <v>6</v>
      </c>
      <c r="B132" s="77" t="s">
        <v>114</v>
      </c>
      <c r="C132" s="76" t="s">
        <v>120</v>
      </c>
      <c r="D132" s="76" t="n">
        <v>2</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Little</v>
      </c>
      <c r="G132" s="76" t="n">
        <f aca="false">IF($Q132="","",IFERROR(--(INDEX('Reguler Class Availability'!$F:$F,$Q132)&amp;""),0))</f>
        <v>5</v>
      </c>
      <c r="H132" s="77" t="str">
        <f aca="false">IF($Q132="","",PROPER(INDEX('Reguler Class Availability'!$I:$I,$Q132)&amp;"")&amp;IF(INDEX('Reguler Class Availability'!$J:$J,$Q132)&amp;""="",""," + asst "&amp;PROPER(INDEX('Reguler Class Availability'!$J:$J,$Q132)&amp;"")))</f>
        <v/>
      </c>
      <c r="I132" s="77" t="s">
        <v>410</v>
      </c>
      <c r="J132" s="77" t="s">
        <v>188</v>
      </c>
      <c r="K132" s="78"/>
      <c r="L132" s="78"/>
      <c r="M132" s="78"/>
      <c r="N132" s="79"/>
      <c r="O132" s="78"/>
      <c r="Q132" s="30" t="n">
        <f aca="false">IFERROR(MATCH($B$4&amp;"|- Lane "&amp;D132&amp;" - "&amp;B132&amp;"|"&amp;C132,'Reguler Class Availability'!$L:$L,0),"")</f>
        <v>1641</v>
      </c>
      <c r="BD132" s="30" t="s">
        <v>112</v>
      </c>
      <c r="BE132" s="30" t="n">
        <f aca="false">IF(COUNTIFS('Reguler Class Availability'!$L:$L,$B$4&amp;"|- Lane 3 - *|"&amp;BD132)&gt;0,1,0)</f>
        <v>0</v>
      </c>
      <c r="BF132" s="30" t="n">
        <f aca="false">BE132+BF131</f>
        <v>1</v>
      </c>
    </row>
    <row r="133" customFormat="false" ht="27.75" hidden="false" customHeight="true" outlineLevel="0" collapsed="false">
      <c r="A133" s="76" t="n">
        <v>7</v>
      </c>
      <c r="B133" s="77" t="s">
        <v>114</v>
      </c>
      <c r="C133" s="76" t="s">
        <v>121</v>
      </c>
      <c r="D133" s="76" t="n">
        <v>3</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Belum terisi</v>
      </c>
      <c r="F133" s="77" t="str">
        <f aca="false">IF($Q133="","",PROPER(INDEX('Reguler Class Availability'!$B:$B,$Q133)&amp;""))</f>
        <v>Kids</v>
      </c>
      <c r="G133" s="76" t="n">
        <f aca="false">IF($Q133="","",IFERROR(--(INDEX('Reguler Class Availability'!$F:$F,$Q133)&amp;""),0))</f>
        <v>4</v>
      </c>
      <c r="H133" s="77" t="str">
        <f aca="false">IF($Q133="","",PROPER(INDEX('Reguler Class Availability'!$I:$I,$Q133)&amp;"")&amp;IF(INDEX('Reguler Class Availability'!$J:$J,$Q133)&amp;""="",""," + asst "&amp;PROPER(INDEX('Reguler Class Availability'!$J:$J,$Q133)&amp;"")))</f>
        <v/>
      </c>
      <c r="I133" s="77" t="s">
        <v>410</v>
      </c>
      <c r="J133" s="77" t="s">
        <v>188</v>
      </c>
      <c r="K133" s="78"/>
      <c r="L133" s="78"/>
      <c r="M133" s="78"/>
      <c r="N133" s="79"/>
      <c r="O133" s="78"/>
      <c r="Q133" s="30" t="n">
        <f aca="false">IFERROR(MATCH($B$4&amp;"|- Lane "&amp;D133&amp;" - "&amp;B133&amp;"|"&amp;C133,'Reguler Class Availability'!$L:$L,0),"")</f>
        <v>1725</v>
      </c>
      <c r="BD133" s="30" t="s">
        <v>120</v>
      </c>
      <c r="BE133" s="30" t="n">
        <f aca="false">IF(COUNTIFS('Reguler Class Availability'!$L:$L,$B$4&amp;"|- Lane 3 - *|"&amp;BD133)&gt;0,1,0)</f>
        <v>0</v>
      </c>
      <c r="BF133" s="30" t="n">
        <f aca="false">BE133+BF132</f>
        <v>1</v>
      </c>
    </row>
    <row r="134" customFormat="false" ht="27.75" hidden="false" customHeight="true" outlineLevel="0" collapsed="false">
      <c r="A134" s="76" t="n">
        <v>8</v>
      </c>
      <c r="B134" s="77" t="s">
        <v>114</v>
      </c>
      <c r="C134" s="76" t="s">
        <v>121</v>
      </c>
      <c r="D134" s="76" t="n">
        <v>4</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Belum terisi</v>
      </c>
      <c r="F134" s="77" t="str">
        <f aca="false">IF($Q134="","",PROPER(INDEX('Reguler Class Availability'!$B:$B,$Q134)&amp;""))</f>
        <v>Kids</v>
      </c>
      <c r="G134" s="76" t="n">
        <f aca="false">IF($Q134="","",IFERROR(--(INDEX('Reguler Class Availability'!$F:$F,$Q134)&amp;""),0))</f>
        <v>4</v>
      </c>
      <c r="H134" s="77" t="str">
        <f aca="false">IF($Q134="","",PROPER(INDEX('Reguler Class Availability'!$I:$I,$Q134)&amp;"")&amp;IF(INDEX('Reguler Class Availability'!$J:$J,$Q134)&amp;""="",""," + asst "&amp;PROPER(INDEX('Reguler Class Availability'!$J:$J,$Q134)&amp;"")))</f>
        <v/>
      </c>
      <c r="I134" s="77" t="s">
        <v>410</v>
      </c>
      <c r="J134" s="77" t="s">
        <v>188</v>
      </c>
      <c r="K134" s="78"/>
      <c r="L134" s="78"/>
      <c r="M134" s="78"/>
      <c r="N134" s="79"/>
      <c r="O134" s="78"/>
      <c r="Q134" s="30" t="n">
        <f aca="false">IFERROR(MATCH($B$4&amp;"|- Lane "&amp;D134&amp;" - "&amp;B134&amp;"|"&amp;C134,'Reguler Class Availability'!$L:$L,0),"")</f>
        <v>1809</v>
      </c>
      <c r="BD134" s="30" t="s">
        <v>121</v>
      </c>
      <c r="BE134" s="30" t="n">
        <f aca="false">IF(COUNTIFS('Reguler Class Availability'!$L:$L,$B$4&amp;"|- Lane 3 - *|"&amp;BD134)&gt;0,1,0)</f>
        <v>1</v>
      </c>
      <c r="BF134" s="30" t="n">
        <f aca="false">BE134+BF133</f>
        <v>2</v>
      </c>
    </row>
    <row r="135" customFormat="false" ht="27.75" hidden="false" customHeight="true" outlineLevel="0" collapsed="false">
      <c r="A135" s="76" t="n">
        <v>9</v>
      </c>
      <c r="B135" s="77" t="s">
        <v>114</v>
      </c>
      <c r="C135" s="76" t="s">
        <v>123</v>
      </c>
      <c r="D135" s="76" t="n">
        <v>1</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Belum terisi</v>
      </c>
      <c r="F135" s="77" t="str">
        <f aca="false">IF($Q135="","",PROPER(INDEX('Reguler Class Availability'!$B:$B,$Q135)&amp;""))</f>
        <v>Tiny</v>
      </c>
      <c r="G135" s="76" t="n">
        <f aca="false">IF($Q135="","",IFERROR(--(INDEX('Reguler Class Availability'!$F:$F,$Q135)&amp;""),0))</f>
        <v>5</v>
      </c>
      <c r="H135" s="77" t="str">
        <f aca="false">IF($Q135="","",PROPER(INDEX('Reguler Class Availability'!$I:$I,$Q135)&amp;"")&amp;IF(INDEX('Reguler Class Availability'!$J:$J,$Q135)&amp;""="",""," + asst "&amp;PROPER(INDEX('Reguler Class Availability'!$J:$J,$Q135)&amp;"")))</f>
        <v/>
      </c>
      <c r="I135" s="77" t="s">
        <v>410</v>
      </c>
      <c r="J135" s="77" t="s">
        <v>188</v>
      </c>
      <c r="K135" s="78"/>
      <c r="L135" s="78"/>
      <c r="M135" s="78"/>
      <c r="N135" s="79"/>
      <c r="O135" s="78"/>
      <c r="Q135" s="30" t="n">
        <f aca="false">IFERROR(MATCH($B$4&amp;"|- Lane "&amp;D135&amp;" - "&amp;B135&amp;"|"&amp;C135,'Reguler Class Availability'!$L:$L,0),"")</f>
        <v>1558</v>
      </c>
      <c r="BD135" s="30" t="s">
        <v>122</v>
      </c>
      <c r="BE135" s="30" t="n">
        <f aca="false">IF(COUNTIFS('Reguler Class Availability'!$L:$L,$B$4&amp;"|- Lane 3 - *|"&amp;BD135)&gt;0,1,0)</f>
        <v>0</v>
      </c>
      <c r="BF135" s="30" t="n">
        <f aca="false">BE135+BF134</f>
        <v>2</v>
      </c>
    </row>
    <row r="136" customFormat="false" ht="27.75" hidden="false" customHeight="true" outlineLevel="0" collapsed="false">
      <c r="A136" s="76" t="n">
        <v>10</v>
      </c>
      <c r="B136" s="77" t="s">
        <v>114</v>
      </c>
      <c r="C136" s="76" t="s">
        <v>123</v>
      </c>
      <c r="D136" s="76" t="n">
        <v>2</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Belum terisi</v>
      </c>
      <c r="F136" s="77" t="str">
        <f aca="false">IF($Q136="","",PROPER(INDEX('Reguler Class Availability'!$B:$B,$Q136)&amp;""))</f>
        <v>Little</v>
      </c>
      <c r="G136" s="76" t="n">
        <f aca="false">IF($Q136="","",IFERROR(--(INDEX('Reguler Class Availability'!$F:$F,$Q136)&amp;""),0))</f>
        <v>5</v>
      </c>
      <c r="H136" s="77" t="str">
        <f aca="false">IF($Q136="","",PROPER(INDEX('Reguler Class Availability'!$I:$I,$Q136)&amp;"")&amp;IF(INDEX('Reguler Class Availability'!$J:$J,$Q136)&amp;""="",""," + asst "&amp;PROPER(INDEX('Reguler Class Availability'!$J:$J,$Q136)&amp;"")))</f>
        <v/>
      </c>
      <c r="I136" s="77" t="s">
        <v>410</v>
      </c>
      <c r="J136" s="77" t="s">
        <v>188</v>
      </c>
      <c r="K136" s="78"/>
      <c r="L136" s="78"/>
      <c r="M136" s="78"/>
      <c r="N136" s="79"/>
      <c r="O136" s="78"/>
      <c r="Q136" s="30" t="n">
        <f aca="false">IFERROR(MATCH($B$4&amp;"|- Lane "&amp;D136&amp;" - "&amp;B136&amp;"|"&amp;C136,'Reguler Class Availability'!$L:$L,0),"")</f>
        <v>1642</v>
      </c>
      <c r="BD136" s="30" t="s">
        <v>123</v>
      </c>
      <c r="BE136" s="30" t="n">
        <f aca="false">IF(COUNTIFS('Reguler Class Availability'!$L:$L,$B$4&amp;"|- Lane 3 - *|"&amp;BD136)&gt;0,1,0)</f>
        <v>0</v>
      </c>
      <c r="BF136" s="30" t="n">
        <f aca="false">BE136+BF135</f>
        <v>2</v>
      </c>
    </row>
    <row r="137" customFormat="false" ht="27.75" hidden="false" customHeight="true" outlineLevel="0" collapsed="false">
      <c r="A137" s="76" t="n">
        <v>11</v>
      </c>
      <c r="B137" s="77" t="s">
        <v>114</v>
      </c>
      <c r="C137" s="76" t="s">
        <v>124</v>
      </c>
      <c r="D137" s="76" t="n">
        <v>3</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Belum terisi</v>
      </c>
      <c r="F137" s="77" t="str">
        <f aca="false">IF($Q137="","",PROPER(INDEX('Reguler Class Availability'!$B:$B,$Q137)&amp;""))</f>
        <v>Kids</v>
      </c>
      <c r="G137" s="76" t="n">
        <f aca="false">IF($Q137="","",IFERROR(--(INDEX('Reguler Class Availability'!$F:$F,$Q137)&amp;""),0))</f>
        <v>4</v>
      </c>
      <c r="H137" s="77" t="str">
        <f aca="false">IF($Q137="","",PROPER(INDEX('Reguler Class Availability'!$I:$I,$Q137)&amp;"")&amp;IF(INDEX('Reguler Class Availability'!$J:$J,$Q137)&amp;""="",""," + asst "&amp;PROPER(INDEX('Reguler Class Availability'!$J:$J,$Q137)&amp;"")))</f>
        <v/>
      </c>
      <c r="I137" s="77" t="s">
        <v>410</v>
      </c>
      <c r="J137" s="77" t="s">
        <v>188</v>
      </c>
      <c r="K137" s="78"/>
      <c r="L137" s="78"/>
      <c r="M137" s="78"/>
      <c r="N137" s="79"/>
      <c r="O137" s="78"/>
      <c r="Q137" s="30" t="n">
        <f aca="false">IFERROR(MATCH($B$4&amp;"|- Lane "&amp;D137&amp;" - "&amp;B137&amp;"|"&amp;C137,'Reguler Class Availability'!$L:$L,0),"")</f>
        <v>1726</v>
      </c>
      <c r="BD137" s="30" t="s">
        <v>124</v>
      </c>
      <c r="BE137" s="30" t="n">
        <f aca="false">IF(COUNTIFS('Reguler Class Availability'!$L:$L,$B$4&amp;"|- Lane 3 - *|"&amp;BD137)&gt;0,1,0)</f>
        <v>1</v>
      </c>
      <c r="BF137" s="30" t="n">
        <f aca="false">BE137+BF136</f>
        <v>3</v>
      </c>
    </row>
    <row r="138" customFormat="false" ht="27.75" hidden="false" customHeight="true" outlineLevel="0" collapsed="false">
      <c r="A138" s="76" t="n">
        <v>12</v>
      </c>
      <c r="B138" s="77" t="s">
        <v>114</v>
      </c>
      <c r="C138" s="76" t="s">
        <v>124</v>
      </c>
      <c r="D138" s="76" t="n">
        <v>4</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Kids</v>
      </c>
      <c r="G138" s="76" t="n">
        <f aca="false">IF($Q138="","",IFERROR(--(INDEX('Reguler Class Availability'!$F:$F,$Q138)&amp;""),0))</f>
        <v>4</v>
      </c>
      <c r="H138" s="77" t="str">
        <f aca="false">IF($Q138="","",PROPER(INDEX('Reguler Class Availability'!$I:$I,$Q138)&amp;"")&amp;IF(INDEX('Reguler Class Availability'!$J:$J,$Q138)&amp;""="",""," + asst "&amp;PROPER(INDEX('Reguler Class Availability'!$J:$J,$Q138)&amp;"")))</f>
        <v/>
      </c>
      <c r="I138" s="77" t="s">
        <v>410</v>
      </c>
      <c r="J138" s="77" t="s">
        <v>188</v>
      </c>
      <c r="K138" s="78"/>
      <c r="L138" s="78"/>
      <c r="M138" s="78"/>
      <c r="N138" s="79"/>
      <c r="O138" s="78"/>
      <c r="Q138" s="30" t="n">
        <f aca="false">IFERROR(MATCH($B$4&amp;"|- Lane "&amp;D138&amp;" - "&amp;B138&amp;"|"&amp;C138,'Reguler Class Availability'!$L:$L,0),"")</f>
        <v>1810</v>
      </c>
      <c r="BD138" s="30" t="s">
        <v>125</v>
      </c>
      <c r="BE138" s="30" t="n">
        <f aca="false">IF(COUNTIFS('Reguler Class Availability'!$L:$L,$B$4&amp;"|- Lane 3 - *|"&amp;BD138)&gt;0,1,0)</f>
        <v>0</v>
      </c>
      <c r="BF138" s="30" t="n">
        <f aca="false">BE138+BF137</f>
        <v>3</v>
      </c>
    </row>
    <row r="139" customFormat="false" ht="27.75" hidden="false" customHeight="true" outlineLevel="0" collapsed="false">
      <c r="A139" s="76" t="n">
        <v>13</v>
      </c>
      <c r="B139" s="77" t="s">
        <v>114</v>
      </c>
      <c r="C139" s="76" t="s">
        <v>126</v>
      </c>
      <c r="D139" s="76" t="n">
        <v>1</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Belum terisi</v>
      </c>
      <c r="F139" s="77" t="str">
        <f aca="false">IF($Q139="","",PROPER(INDEX('Reguler Class Availability'!$B:$B,$Q139)&amp;""))</f>
        <v>Baby</v>
      </c>
      <c r="G139" s="76" t="n">
        <f aca="false">IF($Q139="","",IFERROR(--(INDEX('Reguler Class Availability'!$F:$F,$Q139)&amp;""),0))</f>
        <v>5</v>
      </c>
      <c r="H139" s="77" t="str">
        <f aca="false">IF($Q139="","",PROPER(INDEX('Reguler Class Availability'!$I:$I,$Q139)&amp;"")&amp;IF(INDEX('Reguler Class Availability'!$J:$J,$Q139)&amp;""="",""," + asst "&amp;PROPER(INDEX('Reguler Class Availability'!$J:$J,$Q139)&amp;"")))</f>
        <v/>
      </c>
      <c r="I139" s="77" t="s">
        <v>410</v>
      </c>
      <c r="J139" s="77" t="s">
        <v>188</v>
      </c>
      <c r="K139" s="78"/>
      <c r="L139" s="78"/>
      <c r="M139" s="78"/>
      <c r="N139" s="79"/>
      <c r="O139" s="78"/>
      <c r="Q139" s="30" t="n">
        <f aca="false">IFERROR(MATCH($B$4&amp;"|- Lane "&amp;D139&amp;" - "&amp;B139&amp;"|"&amp;C139,'Reguler Class Availability'!$L:$L,0),"")</f>
        <v>1559</v>
      </c>
      <c r="BD139" s="30" t="s">
        <v>126</v>
      </c>
      <c r="BE139" s="30" t="n">
        <f aca="false">IF(COUNTIFS('Reguler Class Availability'!$L:$L,$B$4&amp;"|- Lane 3 - *|"&amp;BD139)&gt;0,1,0)</f>
        <v>0</v>
      </c>
      <c r="BF139" s="30" t="n">
        <f aca="false">BE139+BF138</f>
        <v>3</v>
      </c>
    </row>
    <row r="140" customFormat="false" ht="27.75" hidden="false" customHeight="true" outlineLevel="0" collapsed="false">
      <c r="A140" s="76" t="n">
        <v>14</v>
      </c>
      <c r="B140" s="77" t="s">
        <v>114</v>
      </c>
      <c r="C140" s="76" t="s">
        <v>126</v>
      </c>
      <c r="D140" s="76" t="n">
        <v>2</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Belum terisi</v>
      </c>
      <c r="F140" s="77" t="str">
        <f aca="false">IF($Q140="","",PROPER(INDEX('Reguler Class Availability'!$B:$B,$Q140)&amp;""))</f>
        <v>Little</v>
      </c>
      <c r="G140" s="76" t="n">
        <f aca="false">IF($Q140="","",IFERROR(--(INDEX('Reguler Class Availability'!$F:$F,$Q140)&amp;""),0))</f>
        <v>5</v>
      </c>
      <c r="H140" s="77" t="str">
        <f aca="false">IF($Q140="","",PROPER(INDEX('Reguler Class Availability'!$I:$I,$Q140)&amp;"")&amp;IF(INDEX('Reguler Class Availability'!$J:$J,$Q140)&amp;""="",""," + asst "&amp;PROPER(INDEX('Reguler Class Availability'!$J:$J,$Q140)&amp;"")))</f>
        <v/>
      </c>
      <c r="I140" s="77" t="s">
        <v>410</v>
      </c>
      <c r="J140" s="77" t="s">
        <v>188</v>
      </c>
      <c r="K140" s="78"/>
      <c r="L140" s="78"/>
      <c r="M140" s="78"/>
      <c r="N140" s="79"/>
      <c r="O140" s="78"/>
      <c r="Q140" s="30" t="n">
        <f aca="false">IFERROR(MATCH($B$4&amp;"|- Lane "&amp;D140&amp;" - "&amp;B140&amp;"|"&amp;C140,'Reguler Class Availability'!$L:$L,0),"")</f>
        <v>1643</v>
      </c>
      <c r="BD140" s="30" t="s">
        <v>127</v>
      </c>
      <c r="BE140" s="30" t="n">
        <f aca="false">IF(COUNTIFS('Reguler Class Availability'!$L:$L,$B$4&amp;"|- Lane 3 - *|"&amp;BD140)&gt;0,1,0)</f>
        <v>1</v>
      </c>
      <c r="BF140" s="30" t="n">
        <f aca="false">BE140+BF139</f>
        <v>4</v>
      </c>
    </row>
    <row r="141" customFormat="false" ht="27.75" hidden="false" customHeight="true" outlineLevel="0" collapsed="false">
      <c r="A141" s="76" t="n">
        <v>15</v>
      </c>
      <c r="B141" s="77" t="s">
        <v>114</v>
      </c>
      <c r="C141" s="76" t="s">
        <v>127</v>
      </c>
      <c r="D141" s="76" t="n">
        <v>3</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Belum terisi</v>
      </c>
      <c r="F141" s="77" t="str">
        <f aca="false">IF($Q141="","",PROPER(INDEX('Reguler Class Availability'!$B:$B,$Q141)&amp;""))</f>
        <v>Kids</v>
      </c>
      <c r="G141" s="76" t="n">
        <f aca="false">IF($Q141="","",IFERROR(--(INDEX('Reguler Class Availability'!$F:$F,$Q141)&amp;""),0))</f>
        <v>4</v>
      </c>
      <c r="H141" s="77" t="str">
        <f aca="false">IF($Q141="","",PROPER(INDEX('Reguler Class Availability'!$I:$I,$Q141)&amp;"")&amp;IF(INDEX('Reguler Class Availability'!$J:$J,$Q141)&amp;""="",""," + asst "&amp;PROPER(INDEX('Reguler Class Availability'!$J:$J,$Q141)&amp;"")))</f>
        <v/>
      </c>
      <c r="I141" s="77" t="s">
        <v>410</v>
      </c>
      <c r="J141" s="77" t="s">
        <v>188</v>
      </c>
      <c r="K141" s="78"/>
      <c r="L141" s="78"/>
      <c r="M141" s="78"/>
      <c r="N141" s="79"/>
      <c r="O141" s="78"/>
      <c r="Q141" s="30" t="n">
        <f aca="false">IFERROR(MATCH($B$4&amp;"|- Lane "&amp;D141&amp;" - "&amp;B141&amp;"|"&amp;C141,'Reguler Class Availability'!$L:$L,0),"")</f>
        <v>1727</v>
      </c>
      <c r="BD141" s="30" t="s">
        <v>128</v>
      </c>
      <c r="BE141" s="30" t="n">
        <f aca="false">IF(COUNTIFS('Reguler Class Availability'!$L:$L,$B$4&amp;"|- Lane 3 - *|"&amp;BD141)&gt;0,1,0)</f>
        <v>0</v>
      </c>
      <c r="BF141" s="30" t="n">
        <f aca="false">BE141+BF140</f>
        <v>4</v>
      </c>
    </row>
    <row r="142" customFormat="false" ht="27.75" hidden="false" customHeight="true" outlineLevel="0" collapsed="false">
      <c r="A142" s="76" t="n">
        <v>16</v>
      </c>
      <c r="B142" s="77" t="s">
        <v>114</v>
      </c>
      <c r="C142" s="76" t="s">
        <v>127</v>
      </c>
      <c r="D142" s="76" t="n">
        <v>4</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Kids</v>
      </c>
      <c r="G142" s="76" t="n">
        <f aca="false">IF($Q142="","",IFERROR(--(INDEX('Reguler Class Availability'!$F:$F,$Q142)&amp;""),0))</f>
        <v>4</v>
      </c>
      <c r="H142" s="77" t="str">
        <f aca="false">IF($Q142="","",PROPER(INDEX('Reguler Class Availability'!$I:$I,$Q142)&amp;"")&amp;IF(INDEX('Reguler Class Availability'!$J:$J,$Q142)&amp;""="",""," + asst "&amp;PROPER(INDEX('Reguler Class Availability'!$J:$J,$Q142)&amp;"")))</f>
        <v/>
      </c>
      <c r="I142" s="77" t="s">
        <v>410</v>
      </c>
      <c r="J142" s="77" t="s">
        <v>188</v>
      </c>
      <c r="K142" s="78"/>
      <c r="L142" s="78"/>
      <c r="M142" s="78"/>
      <c r="N142" s="79"/>
      <c r="O142" s="78"/>
      <c r="Q142" s="30" t="n">
        <f aca="false">IFERROR(MATCH($B$4&amp;"|- Lane "&amp;D142&amp;" - "&amp;B142&amp;"|"&amp;C142,'Reguler Class Availability'!$L:$L,0),"")</f>
        <v>1811</v>
      </c>
      <c r="BD142" s="30" t="s">
        <v>129</v>
      </c>
      <c r="BE142" s="30" t="n">
        <f aca="false">IF(COUNTIFS('Reguler Class Availability'!$L:$L,$B$4&amp;"|- Lane 3 - *|"&amp;BD142)&gt;0,1,0)</f>
        <v>0</v>
      </c>
      <c r="BF142" s="30" t="n">
        <f aca="false">BE142+BF141</f>
        <v>4</v>
      </c>
    </row>
    <row r="143" customFormat="false" ht="27.75" hidden="false" customHeight="true" outlineLevel="0" collapsed="false">
      <c r="A143" s="76" t="n">
        <v>17</v>
      </c>
      <c r="B143" s="77" t="s">
        <v>114</v>
      </c>
      <c r="C143" s="76" t="s">
        <v>129</v>
      </c>
      <c r="D143" s="76" t="n">
        <v>1</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Belum terisi</v>
      </c>
      <c r="F143" s="77" t="str">
        <f aca="false">IF($Q143="","",PROPER(INDEX('Reguler Class Availability'!$B:$B,$Q143)&amp;""))</f>
        <v>Tiny</v>
      </c>
      <c r="G143" s="76" t="n">
        <f aca="false">IF($Q143="","",IFERROR(--(INDEX('Reguler Class Availability'!$F:$F,$Q143)&amp;""),0))</f>
        <v>5</v>
      </c>
      <c r="H143" s="77" t="str">
        <f aca="false">IF($Q143="","",PROPER(INDEX('Reguler Class Availability'!$I:$I,$Q143)&amp;"")&amp;IF(INDEX('Reguler Class Availability'!$J:$J,$Q143)&amp;""="",""," + asst "&amp;PROPER(INDEX('Reguler Class Availability'!$J:$J,$Q143)&amp;"")))</f>
        <v/>
      </c>
      <c r="I143" s="77" t="s">
        <v>410</v>
      </c>
      <c r="J143" s="77" t="s">
        <v>188</v>
      </c>
      <c r="K143" s="78"/>
      <c r="L143" s="78"/>
      <c r="M143" s="78"/>
      <c r="N143" s="79"/>
      <c r="O143" s="78"/>
      <c r="Q143" s="30" t="n">
        <f aca="false">IFERROR(MATCH($B$4&amp;"|- Lane "&amp;D143&amp;" - "&amp;B143&amp;"|"&amp;C143,'Reguler Class Availability'!$L:$L,0),"")</f>
        <v>1560</v>
      </c>
      <c r="BD143" s="30" t="s">
        <v>130</v>
      </c>
      <c r="BE143" s="30" t="n">
        <f aca="false">IF(COUNTIFS('Reguler Class Availability'!$L:$L,$B$4&amp;"|- Lane 3 - *|"&amp;BD143)&gt;0,1,0)</f>
        <v>1</v>
      </c>
      <c r="BF143" s="30" t="n">
        <f aca="false">BE143+BF142</f>
        <v>5</v>
      </c>
    </row>
    <row r="144" customFormat="false" ht="27.75" hidden="false" customHeight="true" outlineLevel="0" collapsed="false">
      <c r="A144" s="76" t="n">
        <v>18</v>
      </c>
      <c r="B144" s="77" t="s">
        <v>114</v>
      </c>
      <c r="C144" s="76" t="s">
        <v>129</v>
      </c>
      <c r="D144" s="76" t="n">
        <v>2</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Belum terisi</v>
      </c>
      <c r="F144" s="77" t="str">
        <f aca="false">IF($Q144="","",PROPER(INDEX('Reguler Class Availability'!$B:$B,$Q144)&amp;""))</f>
        <v>Little</v>
      </c>
      <c r="G144" s="76" t="n">
        <f aca="false">IF($Q144="","",IFERROR(--(INDEX('Reguler Class Availability'!$F:$F,$Q144)&amp;""),0))</f>
        <v>5</v>
      </c>
      <c r="H144" s="77" t="str">
        <f aca="false">IF($Q144="","",PROPER(INDEX('Reguler Class Availability'!$I:$I,$Q144)&amp;"")&amp;IF(INDEX('Reguler Class Availability'!$J:$J,$Q144)&amp;""="",""," + asst "&amp;PROPER(INDEX('Reguler Class Availability'!$J:$J,$Q144)&amp;"")))</f>
        <v/>
      </c>
      <c r="I144" s="77" t="s">
        <v>410</v>
      </c>
      <c r="J144" s="77" t="s">
        <v>188</v>
      </c>
      <c r="K144" s="78"/>
      <c r="L144" s="78"/>
      <c r="M144" s="78"/>
      <c r="N144" s="79"/>
      <c r="O144" s="78"/>
      <c r="Q144" s="30" t="n">
        <f aca="false">IFERROR(MATCH($B$4&amp;"|- Lane "&amp;D144&amp;" - "&amp;B144&amp;"|"&amp;C144,'Reguler Class Availability'!$L:$L,0),"")</f>
        <v>1644</v>
      </c>
      <c r="BD144" s="30" t="s">
        <v>131</v>
      </c>
      <c r="BE144" s="30" t="n">
        <f aca="false">IF(COUNTIFS('Reguler Class Availability'!$L:$L,$B$4&amp;"|- Lane 3 - *|"&amp;BD144)&gt;0,1,0)</f>
        <v>0</v>
      </c>
      <c r="BF144" s="30" t="n">
        <f aca="false">BE144+BF143</f>
        <v>5</v>
      </c>
    </row>
    <row r="145" customFormat="false" ht="27.75" hidden="false" customHeight="true" outlineLevel="0" collapsed="false">
      <c r="A145" s="76" t="n">
        <v>19</v>
      </c>
      <c r="B145" s="77" t="s">
        <v>114</v>
      </c>
      <c r="C145" s="76" t="s">
        <v>130</v>
      </c>
      <c r="D145" s="76" t="n">
        <v>3</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Belum terisi</v>
      </c>
      <c r="F145" s="77" t="str">
        <f aca="false">IF($Q145="","",PROPER(INDEX('Reguler Class Availability'!$B:$B,$Q145)&amp;""))</f>
        <v>Kids</v>
      </c>
      <c r="G145" s="76" t="n">
        <f aca="false">IF($Q145="","",IFERROR(--(INDEX('Reguler Class Availability'!$F:$F,$Q145)&amp;""),0))</f>
        <v>4</v>
      </c>
      <c r="H145" s="77" t="str">
        <f aca="false">IF($Q145="","",PROPER(INDEX('Reguler Class Availability'!$I:$I,$Q145)&amp;"")&amp;IF(INDEX('Reguler Class Availability'!$J:$J,$Q145)&amp;""="",""," + asst "&amp;PROPER(INDEX('Reguler Class Availability'!$J:$J,$Q145)&amp;"")))</f>
        <v/>
      </c>
      <c r="I145" s="77" t="s">
        <v>410</v>
      </c>
      <c r="J145" s="77" t="s">
        <v>188</v>
      </c>
      <c r="K145" s="78"/>
      <c r="L145" s="78"/>
      <c r="M145" s="78"/>
      <c r="N145" s="79"/>
      <c r="O145" s="78"/>
      <c r="Q145" s="30" t="n">
        <f aca="false">IFERROR(MATCH($B$4&amp;"|- Lane "&amp;D145&amp;" - "&amp;B145&amp;"|"&amp;C145,'Reguler Class Availability'!$L:$L,0),"")</f>
        <v>1728</v>
      </c>
      <c r="BD145" s="30" t="s">
        <v>132</v>
      </c>
      <c r="BE145" s="30" t="n">
        <f aca="false">IF(COUNTIFS('Reguler Class Availability'!$L:$L,$B$4&amp;"|- Lane 3 - *|"&amp;BD145)&gt;0,1,0)</f>
        <v>0</v>
      </c>
      <c r="BF145" s="30" t="n">
        <f aca="false">BE145+BF144</f>
        <v>5</v>
      </c>
    </row>
    <row r="146" customFormat="false" ht="27.75" hidden="false" customHeight="true" outlineLevel="0" collapsed="false">
      <c r="A146" s="76" t="n">
        <v>20</v>
      </c>
      <c r="B146" s="77" t="s">
        <v>114</v>
      </c>
      <c r="C146" s="76" t="s">
        <v>130</v>
      </c>
      <c r="D146" s="76" t="n">
        <v>4</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Belum terisi</v>
      </c>
      <c r="F146" s="77" t="str">
        <f aca="false">IF($Q146="","",PROPER(INDEX('Reguler Class Availability'!$B:$B,$Q146)&amp;""))</f>
        <v>Kids</v>
      </c>
      <c r="G146" s="76" t="n">
        <f aca="false">IF($Q146="","",IFERROR(--(INDEX('Reguler Class Availability'!$F:$F,$Q146)&amp;""),0))</f>
        <v>4</v>
      </c>
      <c r="H146" s="77" t="str">
        <f aca="false">IF($Q146="","",PROPER(INDEX('Reguler Class Availability'!$I:$I,$Q146)&amp;"")&amp;IF(INDEX('Reguler Class Availability'!$J:$J,$Q146)&amp;""="",""," + asst "&amp;PROPER(INDEX('Reguler Class Availability'!$J:$J,$Q146)&amp;"")))</f>
        <v/>
      </c>
      <c r="I146" s="77" t="s">
        <v>410</v>
      </c>
      <c r="J146" s="77" t="s">
        <v>188</v>
      </c>
      <c r="K146" s="78"/>
      <c r="L146" s="78"/>
      <c r="M146" s="78"/>
      <c r="N146" s="79"/>
      <c r="O146" s="78"/>
      <c r="Q146" s="30" t="n">
        <f aca="false">IFERROR(MATCH($B$4&amp;"|- Lane "&amp;D146&amp;" - "&amp;B146&amp;"|"&amp;C146,'Reguler Class Availability'!$L:$L,0),"")</f>
        <v>1812</v>
      </c>
      <c r="BD146" s="30" t="s">
        <v>133</v>
      </c>
      <c r="BE146" s="30" t="n">
        <f aca="false">IF(COUNTIFS('Reguler Class Availability'!$L:$L,$B$4&amp;"|- Lane 3 - *|"&amp;BD146)&gt;0,1,0)</f>
        <v>1</v>
      </c>
      <c r="BF146" s="30" t="n">
        <f aca="false">BE146+BF145</f>
        <v>6</v>
      </c>
    </row>
    <row r="147" customFormat="false" ht="27.75" hidden="false" customHeight="true" outlineLevel="0" collapsed="false">
      <c r="A147" s="76" t="n">
        <v>21</v>
      </c>
      <c r="B147" s="77" t="s">
        <v>114</v>
      </c>
      <c r="C147" s="76" t="s">
        <v>132</v>
      </c>
      <c r="D147" s="76" t="n">
        <v>1</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Belum terisi</v>
      </c>
      <c r="F147" s="77" t="str">
        <f aca="false">IF($Q147="","",PROPER(INDEX('Reguler Class Availability'!$B:$B,$Q147)&amp;""))</f>
        <v>Baby</v>
      </c>
      <c r="G147" s="76" t="n">
        <f aca="false">IF($Q147="","",IFERROR(--(INDEX('Reguler Class Availability'!$F:$F,$Q147)&amp;""),0))</f>
        <v>5</v>
      </c>
      <c r="H147" s="77" t="str">
        <f aca="false">IF($Q147="","",PROPER(INDEX('Reguler Class Availability'!$I:$I,$Q147)&amp;"")&amp;IF(INDEX('Reguler Class Availability'!$J:$J,$Q147)&amp;""="",""," + asst "&amp;PROPER(INDEX('Reguler Class Availability'!$J:$J,$Q147)&amp;"")))</f>
        <v/>
      </c>
      <c r="I147" s="77" t="s">
        <v>410</v>
      </c>
      <c r="J147" s="77" t="s">
        <v>188</v>
      </c>
      <c r="K147" s="78"/>
      <c r="L147" s="78"/>
      <c r="M147" s="78"/>
      <c r="N147" s="79"/>
      <c r="O147" s="78"/>
      <c r="Q147" s="30" t="n">
        <f aca="false">IFERROR(MATCH($B$4&amp;"|- Lane "&amp;D147&amp;" - "&amp;B147&amp;"|"&amp;C147,'Reguler Class Availability'!$L:$L,0),"")</f>
        <v>1561</v>
      </c>
      <c r="BD147" s="30" t="s">
        <v>134</v>
      </c>
      <c r="BE147" s="30" t="n">
        <f aca="false">IF(COUNTIFS('Reguler Class Availability'!$L:$L,$B$4&amp;"|- Lane 3 - *|"&amp;BD147)&gt;0,1,0)</f>
        <v>0</v>
      </c>
      <c r="BF147" s="30" t="n">
        <f aca="false">BE147+BF146</f>
        <v>6</v>
      </c>
    </row>
    <row r="148" customFormat="false" ht="27.75" hidden="false" customHeight="true" outlineLevel="0" collapsed="false">
      <c r="A148" s="76" t="n">
        <v>22</v>
      </c>
      <c r="B148" s="77" t="s">
        <v>114</v>
      </c>
      <c r="C148" s="76" t="s">
        <v>132</v>
      </c>
      <c r="D148" s="76" t="n">
        <v>2</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Little</v>
      </c>
      <c r="G148" s="76" t="n">
        <f aca="false">IF($Q148="","",IFERROR(--(INDEX('Reguler Class Availability'!$F:$F,$Q148)&amp;""),0))</f>
        <v>5</v>
      </c>
      <c r="H148" s="77" t="str">
        <f aca="false">IF($Q148="","",PROPER(INDEX('Reguler Class Availability'!$I:$I,$Q148)&amp;"")&amp;IF(INDEX('Reguler Class Availability'!$J:$J,$Q148)&amp;""="",""," + asst "&amp;PROPER(INDEX('Reguler Class Availability'!$J:$J,$Q148)&amp;"")))</f>
        <v/>
      </c>
      <c r="I148" s="77" t="s">
        <v>410</v>
      </c>
      <c r="J148" s="77" t="s">
        <v>188</v>
      </c>
      <c r="K148" s="78"/>
      <c r="L148" s="78"/>
      <c r="M148" s="78"/>
      <c r="N148" s="79"/>
      <c r="O148" s="78"/>
      <c r="Q148" s="30" t="n">
        <f aca="false">IFERROR(MATCH($B$4&amp;"|- Lane "&amp;D148&amp;" - "&amp;B148&amp;"|"&amp;C148,'Reguler Class Availability'!$L:$L,0),"")</f>
        <v>1645</v>
      </c>
      <c r="BD148" s="30" t="s">
        <v>135</v>
      </c>
      <c r="BE148" s="30" t="n">
        <f aca="false">IF(COUNTIFS('Reguler Class Availability'!$L:$L,$B$4&amp;"|- Lane 3 - *|"&amp;BD148)&gt;0,1,0)</f>
        <v>0</v>
      </c>
      <c r="BF148" s="30" t="n">
        <f aca="false">BE148+BF147</f>
        <v>6</v>
      </c>
    </row>
    <row r="149" customFormat="false" ht="27.75" hidden="false" customHeight="true" outlineLevel="0" collapsed="false">
      <c r="A149" s="76" t="n">
        <v>23</v>
      </c>
      <c r="B149" s="77" t="s">
        <v>114</v>
      </c>
      <c r="C149" s="76" t="s">
        <v>133</v>
      </c>
      <c r="D149" s="76" t="n">
        <v>3</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Belum terisi</v>
      </c>
      <c r="F149" s="77" t="str">
        <f aca="false">IF($Q149="","",PROPER(INDEX('Reguler Class Availability'!$B:$B,$Q149)&amp;""))</f>
        <v>Kids</v>
      </c>
      <c r="G149" s="76" t="n">
        <f aca="false">IF($Q149="","",IFERROR(--(INDEX('Reguler Class Availability'!$F:$F,$Q149)&amp;""),0))</f>
        <v>4</v>
      </c>
      <c r="H149" s="77" t="str">
        <f aca="false">IF($Q149="","",PROPER(INDEX('Reguler Class Availability'!$I:$I,$Q149)&amp;"")&amp;IF(INDEX('Reguler Class Availability'!$J:$J,$Q149)&amp;""="",""," + asst "&amp;PROPER(INDEX('Reguler Class Availability'!$J:$J,$Q149)&amp;"")))</f>
        <v/>
      </c>
      <c r="I149" s="77" t="s">
        <v>410</v>
      </c>
      <c r="J149" s="77" t="s">
        <v>188</v>
      </c>
      <c r="K149" s="78"/>
      <c r="L149" s="78"/>
      <c r="M149" s="78"/>
      <c r="N149" s="79"/>
      <c r="O149" s="78"/>
      <c r="Q149" s="30" t="n">
        <f aca="false">IFERROR(MATCH($B$4&amp;"|- Lane "&amp;D149&amp;" - "&amp;B149&amp;"|"&amp;C149,'Reguler Class Availability'!$L:$L,0),"")</f>
        <v>1729</v>
      </c>
      <c r="BD149" s="30" t="s">
        <v>136</v>
      </c>
      <c r="BE149" s="30" t="n">
        <f aca="false">IF(COUNTIFS('Reguler Class Availability'!$L:$L,$B$4&amp;"|- Lane 3 - *|"&amp;BD149)&gt;0,1,0)</f>
        <v>0</v>
      </c>
      <c r="BF149" s="30" t="n">
        <f aca="false">BE149+BF148</f>
        <v>6</v>
      </c>
    </row>
    <row r="150" customFormat="false" ht="27.75" hidden="false" customHeight="true" outlineLevel="0" collapsed="false">
      <c r="A150" s="76" t="n">
        <v>24</v>
      </c>
      <c r="B150" s="77" t="s">
        <v>114</v>
      </c>
      <c r="C150" s="76" t="s">
        <v>133</v>
      </c>
      <c r="D150" s="76" t="n">
        <v>4</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Belum terisi</v>
      </c>
      <c r="F150" s="77" t="str">
        <f aca="false">IF($Q150="","",PROPER(INDEX('Reguler Class Availability'!$B:$B,$Q150)&amp;""))</f>
        <v>Kids</v>
      </c>
      <c r="G150" s="76" t="n">
        <f aca="false">IF($Q150="","",IFERROR(--(INDEX('Reguler Class Availability'!$F:$F,$Q150)&amp;""),0))</f>
        <v>4</v>
      </c>
      <c r="H150" s="77" t="str">
        <f aca="false">IF($Q150="","",PROPER(INDEX('Reguler Class Availability'!$I:$I,$Q150)&amp;"")&amp;IF(INDEX('Reguler Class Availability'!$J:$J,$Q150)&amp;""="",""," + asst "&amp;PROPER(INDEX('Reguler Class Availability'!$J:$J,$Q150)&amp;"")))</f>
        <v/>
      </c>
      <c r="I150" s="77" t="s">
        <v>410</v>
      </c>
      <c r="J150" s="77" t="s">
        <v>188</v>
      </c>
      <c r="K150" s="78"/>
      <c r="L150" s="78"/>
      <c r="M150" s="78"/>
      <c r="N150" s="79"/>
      <c r="O150" s="78"/>
      <c r="Q150" s="30" t="n">
        <f aca="false">IFERROR(MATCH($B$4&amp;"|- Lane "&amp;D150&amp;" - "&amp;B150&amp;"|"&amp;C150,'Reguler Class Availability'!$L:$L,0),"")</f>
        <v>1813</v>
      </c>
      <c r="BD150" s="30" t="s">
        <v>138</v>
      </c>
      <c r="BE150" s="30" t="n">
        <f aca="false">IF(COUNTIFS('Reguler Class Availability'!$L:$L,$B$4&amp;"|- Lane 3 - *|"&amp;BD150)&gt;0,1,0)</f>
        <v>0</v>
      </c>
      <c r="BF150" s="30" t="n">
        <f aca="false">BE150+BF149</f>
        <v>6</v>
      </c>
    </row>
    <row r="151" customFormat="false" ht="27.75" hidden="false" customHeight="true" outlineLevel="0" collapsed="false">
      <c r="A151" s="76" t="n">
        <v>25</v>
      </c>
      <c r="B151" s="77" t="s">
        <v>114</v>
      </c>
      <c r="C151" s="76" t="s">
        <v>139</v>
      </c>
      <c r="D151" s="76" t="n">
        <v>1</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Belum terisi</v>
      </c>
      <c r="F151" s="77" t="str">
        <f aca="false">IF($Q151="","",PROPER(INDEX('Reguler Class Availability'!$B:$B,$Q151)&amp;""))</f>
        <v>Tiny</v>
      </c>
      <c r="G151" s="76" t="n">
        <f aca="false">IF($Q151="","",IFERROR(--(INDEX('Reguler Class Availability'!$F:$F,$Q151)&amp;""),0))</f>
        <v>5</v>
      </c>
      <c r="H151" s="77" t="str">
        <f aca="false">IF($Q151="","",PROPER(INDEX('Reguler Class Availability'!$I:$I,$Q151)&amp;"")&amp;IF(INDEX('Reguler Class Availability'!$J:$J,$Q151)&amp;""="",""," + asst "&amp;PROPER(INDEX('Reguler Class Availability'!$J:$J,$Q151)&amp;"")))</f>
        <v/>
      </c>
      <c r="I151" s="77" t="s">
        <v>410</v>
      </c>
      <c r="J151" s="77" t="s">
        <v>188</v>
      </c>
      <c r="K151" s="78"/>
      <c r="L151" s="78"/>
      <c r="M151" s="78"/>
      <c r="N151" s="79"/>
      <c r="O151" s="78"/>
      <c r="Q151" s="30" t="n">
        <f aca="false">IFERROR(MATCH($B$4&amp;"|- Lane "&amp;D151&amp;" - "&amp;B151&amp;"|"&amp;C151,'Reguler Class Availability'!$L:$L,0),"")</f>
        <v>1562</v>
      </c>
      <c r="BD151" s="30" t="s">
        <v>139</v>
      </c>
      <c r="BE151" s="30" t="n">
        <f aca="false">IF(COUNTIFS('Reguler Class Availability'!$L:$L,$B$4&amp;"|- Lane 3 - *|"&amp;BD151)&gt;0,1,0)</f>
        <v>0</v>
      </c>
      <c r="BF151" s="30" t="n">
        <f aca="false">BE151+BF150</f>
        <v>6</v>
      </c>
    </row>
    <row r="152" customFormat="false" ht="27.75" hidden="false" customHeight="true" outlineLevel="0" collapsed="false">
      <c r="A152" s="76" t="n">
        <v>26</v>
      </c>
      <c r="B152" s="77" t="s">
        <v>114</v>
      </c>
      <c r="C152" s="76" t="s">
        <v>139</v>
      </c>
      <c r="D152" s="76" t="n">
        <v>2</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Belum terisi</v>
      </c>
      <c r="F152" s="77" t="str">
        <f aca="false">IF($Q152="","",PROPER(INDEX('Reguler Class Availability'!$B:$B,$Q152)&amp;""))</f>
        <v>Little</v>
      </c>
      <c r="G152" s="76" t="n">
        <f aca="false">IF($Q152="","",IFERROR(--(INDEX('Reguler Class Availability'!$F:$F,$Q152)&amp;""),0))</f>
        <v>5</v>
      </c>
      <c r="H152" s="77" t="str">
        <f aca="false">IF($Q152="","",PROPER(INDEX('Reguler Class Availability'!$I:$I,$Q152)&amp;"")&amp;IF(INDEX('Reguler Class Availability'!$J:$J,$Q152)&amp;""="",""," + asst "&amp;PROPER(INDEX('Reguler Class Availability'!$J:$J,$Q152)&amp;"")))</f>
        <v/>
      </c>
      <c r="I152" s="77" t="s">
        <v>410</v>
      </c>
      <c r="J152" s="77" t="s">
        <v>188</v>
      </c>
      <c r="K152" s="78"/>
      <c r="L152" s="78"/>
      <c r="M152" s="78"/>
      <c r="N152" s="79"/>
      <c r="O152" s="78"/>
      <c r="Q152" s="30" t="n">
        <f aca="false">IFERROR(MATCH($B$4&amp;"|- Lane "&amp;D152&amp;" - "&amp;B152&amp;"|"&amp;C152,'Reguler Class Availability'!$L:$L,0),"")</f>
        <v>1646</v>
      </c>
      <c r="BD152" s="30" t="s">
        <v>141</v>
      </c>
      <c r="BE152" s="30" t="n">
        <f aca="false">IF(COUNTIFS('Reguler Class Availability'!$L:$L,$B$4&amp;"|- Lane 3 - *|"&amp;BD152)&gt;0,1,0)</f>
        <v>1</v>
      </c>
      <c r="BF152" s="30" t="n">
        <f aca="false">BE152+BF151</f>
        <v>7</v>
      </c>
    </row>
    <row r="153" customFormat="false" ht="27.75" hidden="false" customHeight="true" outlineLevel="0" collapsed="false">
      <c r="A153" s="76" t="n">
        <v>27</v>
      </c>
      <c r="B153" s="77" t="s">
        <v>114</v>
      </c>
      <c r="C153" s="76" t="s">
        <v>141</v>
      </c>
      <c r="D153" s="76" t="n">
        <v>3</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Kids</v>
      </c>
      <c r="G153" s="76" t="n">
        <f aca="false">IF($Q153="","",IFERROR(--(INDEX('Reguler Class Availability'!$F:$F,$Q153)&amp;""),0))</f>
        <v>4</v>
      </c>
      <c r="H153" s="77" t="str">
        <f aca="false">IF($Q153="","",PROPER(INDEX('Reguler Class Availability'!$I:$I,$Q153)&amp;"")&amp;IF(INDEX('Reguler Class Availability'!$J:$J,$Q153)&amp;""="",""," + asst "&amp;PROPER(INDEX('Reguler Class Availability'!$J:$J,$Q153)&amp;"")))</f>
        <v/>
      </c>
      <c r="I153" s="77" t="s">
        <v>410</v>
      </c>
      <c r="J153" s="77" t="s">
        <v>188</v>
      </c>
      <c r="K153" s="78"/>
      <c r="L153" s="78"/>
      <c r="M153" s="78"/>
      <c r="N153" s="79"/>
      <c r="O153" s="78"/>
      <c r="Q153" s="30" t="n">
        <f aca="false">IFERROR(MATCH($B$4&amp;"|- Lane "&amp;D153&amp;" - "&amp;B153&amp;"|"&amp;C153,'Reguler Class Availability'!$L:$L,0),"")</f>
        <v>1730</v>
      </c>
      <c r="BD153" s="30" t="s">
        <v>142</v>
      </c>
      <c r="BE153" s="30" t="n">
        <f aca="false">IF(COUNTIFS('Reguler Class Availability'!$L:$L,$B$4&amp;"|- Lane 3 - *|"&amp;BD153)&gt;0,1,0)</f>
        <v>0</v>
      </c>
      <c r="BF153" s="30" t="n">
        <f aca="false">BE153+BF152</f>
        <v>7</v>
      </c>
    </row>
    <row r="154" customFormat="false" ht="27.75" hidden="false" customHeight="true" outlineLevel="0" collapsed="false">
      <c r="A154" s="76" t="n">
        <v>28</v>
      </c>
      <c r="B154" s="77" t="s">
        <v>114</v>
      </c>
      <c r="C154" s="76" t="s">
        <v>141</v>
      </c>
      <c r="D154" s="76" t="n">
        <v>4</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Belum terisi</v>
      </c>
      <c r="F154" s="77" t="str">
        <f aca="false">IF($Q154="","",PROPER(INDEX('Reguler Class Availability'!$B:$B,$Q154)&amp;""))</f>
        <v>Kids</v>
      </c>
      <c r="G154" s="76" t="n">
        <f aca="false">IF($Q154="","",IFERROR(--(INDEX('Reguler Class Availability'!$F:$F,$Q154)&amp;""),0))</f>
        <v>4</v>
      </c>
      <c r="H154" s="77" t="str">
        <f aca="false">IF($Q154="","",PROPER(INDEX('Reguler Class Availability'!$I:$I,$Q154)&amp;"")&amp;IF(INDEX('Reguler Class Availability'!$J:$J,$Q154)&amp;""="",""," + asst "&amp;PROPER(INDEX('Reguler Class Availability'!$J:$J,$Q154)&amp;"")))</f>
        <v/>
      </c>
      <c r="I154" s="77" t="s">
        <v>410</v>
      </c>
      <c r="J154" s="77" t="s">
        <v>188</v>
      </c>
      <c r="K154" s="78"/>
      <c r="L154" s="78"/>
      <c r="M154" s="78"/>
      <c r="N154" s="79"/>
      <c r="O154" s="78"/>
      <c r="Q154" s="30" t="n">
        <f aca="false">IFERROR(MATCH($B$4&amp;"|- Lane "&amp;D154&amp;" - "&amp;B154&amp;"|"&amp;C154,'Reguler Class Availability'!$L:$L,0),"")</f>
        <v>1814</v>
      </c>
      <c r="BD154" s="30" t="s">
        <v>143</v>
      </c>
      <c r="BE154" s="30" t="n">
        <f aca="false">IF(COUNTIFS('Reguler Class Availability'!$L:$L,$B$4&amp;"|- Lane 3 - *|"&amp;BD154)&gt;0,1,0)</f>
        <v>0</v>
      </c>
      <c r="BF154" s="30" t="n">
        <f aca="false">BE154+BF153</f>
        <v>7</v>
      </c>
    </row>
    <row r="155" customFormat="false" ht="15.75" hidden="false" customHeight="true" outlineLevel="0" collapsed="false">
      <c r="A155" s="76" t="n">
        <v>29</v>
      </c>
      <c r="B155" s="77" t="s">
        <v>114</v>
      </c>
      <c r="C155" s="76" t="s">
        <v>143</v>
      </c>
      <c r="D155" s="76" t="n">
        <v>1</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Belum terisi</v>
      </c>
      <c r="F155" s="77" t="str">
        <f aca="false">IF($Q155="","",PROPER(INDEX('Reguler Class Availability'!$B:$B,$Q155)&amp;""))</f>
        <v>Baby</v>
      </c>
      <c r="G155" s="76" t="n">
        <f aca="false">IF($Q155="","",IFERROR(--(INDEX('Reguler Class Availability'!$F:$F,$Q155)&amp;""),0))</f>
        <v>5</v>
      </c>
      <c r="H155" s="77" t="str">
        <f aca="false">IF($Q155="","",PROPER(INDEX('Reguler Class Availability'!$I:$I,$Q155)&amp;"")&amp;IF(INDEX('Reguler Class Availability'!$J:$J,$Q155)&amp;""="",""," + asst "&amp;PROPER(INDEX('Reguler Class Availability'!$J:$J,$Q155)&amp;"")))</f>
        <v/>
      </c>
      <c r="I155" s="77" t="s">
        <v>411</v>
      </c>
      <c r="J155" s="77" t="s">
        <v>288</v>
      </c>
      <c r="K155" s="78"/>
      <c r="L155" s="78"/>
      <c r="M155" s="78"/>
      <c r="N155" s="79"/>
      <c r="O155" s="78"/>
      <c r="Q155" s="30" t="n">
        <f aca="false">IFERROR(MATCH($B$4&amp;"|- Lane "&amp;D155&amp;" - "&amp;B155&amp;"|"&amp;C155,'Reguler Class Availability'!$L:$L,0),"")</f>
        <v>1563</v>
      </c>
      <c r="BD155" s="30" t="s">
        <v>144</v>
      </c>
      <c r="BE155" s="30" t="n">
        <f aca="false">IF(COUNTIFS('Reguler Class Availability'!$L:$L,$B$4&amp;"|- Lane 3 - *|"&amp;BD155)&gt;0,1,0)</f>
        <v>1</v>
      </c>
      <c r="BF155" s="30" t="n">
        <f aca="false">BE155+BF154</f>
        <v>8</v>
      </c>
    </row>
    <row r="156" customFormat="false" ht="15.75" hidden="false" customHeight="true" outlineLevel="0" collapsed="false">
      <c r="A156" s="76" t="n">
        <v>30</v>
      </c>
      <c r="B156" s="77" t="s">
        <v>114</v>
      </c>
      <c r="C156" s="76" t="s">
        <v>143</v>
      </c>
      <c r="D156" s="76" t="n">
        <v>2</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Belum terisi</v>
      </c>
      <c r="F156" s="77" t="str">
        <f aca="false">IF($Q156="","",PROPER(INDEX('Reguler Class Availability'!$B:$B,$Q156)&amp;""))</f>
        <v>Little</v>
      </c>
      <c r="G156" s="76" t="n">
        <f aca="false">IF($Q156="","",IFERROR(--(INDEX('Reguler Class Availability'!$F:$F,$Q156)&amp;""),0))</f>
        <v>5</v>
      </c>
      <c r="H156" s="77" t="str">
        <f aca="false">IF($Q156="","",PROPER(INDEX('Reguler Class Availability'!$I:$I,$Q156)&amp;"")&amp;IF(INDEX('Reguler Class Availability'!$J:$J,$Q156)&amp;""="",""," + asst "&amp;PROPER(INDEX('Reguler Class Availability'!$J:$J,$Q156)&amp;"")))</f>
        <v/>
      </c>
      <c r="I156" s="77" t="s">
        <v>411</v>
      </c>
      <c r="J156" s="77" t="s">
        <v>260</v>
      </c>
      <c r="K156" s="78"/>
      <c r="L156" s="78"/>
      <c r="M156" s="78"/>
      <c r="N156" s="79"/>
      <c r="O156" s="78"/>
      <c r="Q156" s="30" t="n">
        <f aca="false">IFERROR(MATCH($B$4&amp;"|- Lane "&amp;D156&amp;" - "&amp;B156&amp;"|"&amp;C156,'Reguler Class Availability'!$L:$L,0),"")</f>
        <v>1647</v>
      </c>
      <c r="BD156" s="30" t="s">
        <v>145</v>
      </c>
      <c r="BE156" s="30" t="n">
        <f aca="false">IF(COUNTIFS('Reguler Class Availability'!$L:$L,$B$4&amp;"|- Lane 3 - *|"&amp;BD156)&gt;0,1,0)</f>
        <v>0</v>
      </c>
      <c r="BF156" s="30" t="n">
        <f aca="false">BE156+BF155</f>
        <v>8</v>
      </c>
    </row>
    <row r="157" customFormat="false" ht="15.75" hidden="false" customHeight="true" outlineLevel="0" collapsed="false">
      <c r="A157" s="76" t="n">
        <v>31</v>
      </c>
      <c r="B157" s="77" t="s">
        <v>114</v>
      </c>
      <c r="C157" s="76" t="s">
        <v>144</v>
      </c>
      <c r="D157" s="76" t="n">
        <v>4</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Belum terisi</v>
      </c>
      <c r="F157" s="77" t="str">
        <f aca="false">IF($Q157="","",PROPER(INDEX('Reguler Class Availability'!$B:$B,$Q157)&amp;""))</f>
        <v>Kids</v>
      </c>
      <c r="G157" s="76" t="n">
        <f aca="false">IF($Q157="","",IFERROR(--(INDEX('Reguler Class Availability'!$F:$F,$Q157)&amp;""),0))</f>
        <v>4</v>
      </c>
      <c r="H157" s="77" t="str">
        <f aca="false">IF($Q157="","",PROPER(INDEX('Reguler Class Availability'!$I:$I,$Q157)&amp;"")&amp;IF(INDEX('Reguler Class Availability'!$J:$J,$Q157)&amp;""="",""," + asst "&amp;PROPER(INDEX('Reguler Class Availability'!$J:$J,$Q157)&amp;"")))</f>
        <v/>
      </c>
      <c r="I157" s="77" t="s">
        <v>411</v>
      </c>
      <c r="J157" s="77" t="s">
        <v>260</v>
      </c>
      <c r="K157" s="78"/>
      <c r="L157" s="78"/>
      <c r="M157" s="78"/>
      <c r="N157" s="79"/>
      <c r="O157" s="78"/>
      <c r="Q157" s="30" t="n">
        <f aca="false">IFERROR(MATCH($B$4&amp;"|- Lane "&amp;D157&amp;" - "&amp;B157&amp;"|"&amp;C157,'Reguler Class Availability'!$L:$L,0),"")</f>
        <v>1815</v>
      </c>
      <c r="BD157" s="30" t="s">
        <v>146</v>
      </c>
      <c r="BE157" s="30" t="n">
        <f aca="false">IF(COUNTIFS('Reguler Class Availability'!$L:$L,$B$4&amp;"|- Lane 3 - *|"&amp;BD157)&gt;0,1,0)</f>
        <v>0</v>
      </c>
      <c r="BF157" s="30" t="n">
        <f aca="false">BE157+BF156</f>
        <v>8</v>
      </c>
    </row>
    <row r="158" customFormat="false" ht="15.75" hidden="false" customHeight="true" outlineLevel="0" collapsed="false">
      <c r="A158" s="76" t="n">
        <v>32</v>
      </c>
      <c r="B158" s="77" t="s">
        <v>114</v>
      </c>
      <c r="C158" s="76" t="s">
        <v>146</v>
      </c>
      <c r="D158" s="76" t="n">
        <v>1</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Tiny</v>
      </c>
      <c r="G158" s="76" t="n">
        <f aca="false">IF($Q158="","",IFERROR(--(INDEX('Reguler Class Availability'!$F:$F,$Q158)&amp;""),0))</f>
        <v>5</v>
      </c>
      <c r="H158" s="77" t="str">
        <f aca="false">IF($Q158="","",PROPER(INDEX('Reguler Class Availability'!$I:$I,$Q158)&amp;"")&amp;IF(INDEX('Reguler Class Availability'!$J:$J,$Q158)&amp;""="",""," + asst "&amp;PROPER(INDEX('Reguler Class Availability'!$J:$J,$Q158)&amp;"")))</f>
        <v/>
      </c>
      <c r="I158" s="80" t="s">
        <v>199</v>
      </c>
      <c r="J158" s="77" t="s">
        <v>42</v>
      </c>
      <c r="K158" s="78"/>
      <c r="L158" s="78"/>
      <c r="M158" s="78"/>
      <c r="N158" s="79"/>
      <c r="O158" s="78"/>
      <c r="Q158" s="30" t="n">
        <f aca="false">IFERROR(MATCH($B$4&amp;"|- Lane "&amp;D158&amp;" - "&amp;B158&amp;"|"&amp;C158,'Reguler Class Availability'!$L:$L,0),"")</f>
        <v>1564</v>
      </c>
      <c r="BD158" s="30" t="s">
        <v>147</v>
      </c>
      <c r="BE158" s="30" t="n">
        <f aca="false">IF(COUNTIFS('Reguler Class Availability'!$L:$L,$B$4&amp;"|- Lane 3 - *|"&amp;BD158)&gt;0,1,0)</f>
        <v>1</v>
      </c>
      <c r="BF158" s="30" t="n">
        <f aca="false">BE158+BF157</f>
        <v>9</v>
      </c>
    </row>
    <row r="159" customFormat="false" ht="15.75" hidden="false" customHeight="true" outlineLevel="0" collapsed="false">
      <c r="A159" s="76" t="n">
        <v>33</v>
      </c>
      <c r="B159" s="77" t="s">
        <v>114</v>
      </c>
      <c r="C159" s="76" t="s">
        <v>146</v>
      </c>
      <c r="D159" s="76" t="n">
        <v>2</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Belum terisi</v>
      </c>
      <c r="F159" s="77" t="str">
        <f aca="false">IF($Q159="","",PROPER(INDEX('Reguler Class Availability'!$B:$B,$Q159)&amp;""))</f>
        <v>Little</v>
      </c>
      <c r="G159" s="76" t="n">
        <f aca="false">IF($Q159="","",IFERROR(--(INDEX('Reguler Class Availability'!$F:$F,$Q159)&amp;""),0))</f>
        <v>5</v>
      </c>
      <c r="H159" s="77" t="str">
        <f aca="false">IF($Q159="","",PROPER(INDEX('Reguler Class Availability'!$I:$I,$Q159)&amp;"")&amp;IF(INDEX('Reguler Class Availability'!$J:$J,$Q159)&amp;""="",""," + asst "&amp;PROPER(INDEX('Reguler Class Availability'!$J:$J,$Q159)&amp;"")))</f>
        <v/>
      </c>
      <c r="I159" s="80" t="s">
        <v>199</v>
      </c>
      <c r="J159" s="77" t="s">
        <v>345</v>
      </c>
      <c r="K159" s="78"/>
      <c r="L159" s="78"/>
      <c r="M159" s="78"/>
      <c r="N159" s="79"/>
      <c r="O159" s="78"/>
      <c r="Q159" s="30" t="n">
        <f aca="false">IFERROR(MATCH($B$4&amp;"|- Lane "&amp;D159&amp;" - "&amp;B159&amp;"|"&amp;C159,'Reguler Class Availability'!$L:$L,0),"")</f>
        <v>1648</v>
      </c>
      <c r="BD159" s="30" t="s">
        <v>148</v>
      </c>
      <c r="BE159" s="30" t="n">
        <f aca="false">IF(COUNTIFS('Reguler Class Availability'!$L:$L,$B$4&amp;"|- Lane 3 - *|"&amp;BD159)&gt;0,1,0)</f>
        <v>0</v>
      </c>
      <c r="BF159" s="30" t="n">
        <f aca="false">BE159+BF158</f>
        <v>9</v>
      </c>
    </row>
    <row r="160" customFormat="false" ht="15.75" hidden="false" customHeight="true" outlineLevel="0" collapsed="false">
      <c r="A160" s="76" t="n">
        <v>34</v>
      </c>
      <c r="B160" s="77" t="s">
        <v>114</v>
      </c>
      <c r="C160" s="76" t="s">
        <v>147</v>
      </c>
      <c r="D160" s="76" t="n">
        <v>4</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Belum terisi</v>
      </c>
      <c r="F160" s="77" t="str">
        <f aca="false">IF($Q160="","",PROPER(INDEX('Reguler Class Availability'!$B:$B,$Q160)&amp;""))</f>
        <v>Kids</v>
      </c>
      <c r="G160" s="76" t="n">
        <f aca="false">IF($Q160="","",IFERROR(--(INDEX('Reguler Class Availability'!$F:$F,$Q160)&amp;""),0))</f>
        <v>4</v>
      </c>
      <c r="H160" s="77" t="str">
        <f aca="false">IF($Q160="","",PROPER(INDEX('Reguler Class Availability'!$I:$I,$Q160)&amp;"")&amp;IF(INDEX('Reguler Class Availability'!$J:$J,$Q160)&amp;""="",""," + asst "&amp;PROPER(INDEX('Reguler Class Availability'!$J:$J,$Q160)&amp;"")))</f>
        <v/>
      </c>
      <c r="I160" s="77" t="s">
        <v>412</v>
      </c>
      <c r="J160" s="77" t="s">
        <v>188</v>
      </c>
      <c r="K160" s="78"/>
      <c r="L160" s="78"/>
      <c r="M160" s="78"/>
      <c r="N160" s="79"/>
      <c r="O160" s="78"/>
      <c r="Q160" s="30" t="n">
        <f aca="false">IFERROR(MATCH($B$4&amp;"|- Lane "&amp;D160&amp;" - "&amp;B160&amp;"|"&amp;C160,'Reguler Class Availability'!$L:$L,0),"")</f>
        <v>1816</v>
      </c>
      <c r="BD160" s="30" t="s">
        <v>149</v>
      </c>
      <c r="BE160" s="30" t="n">
        <f aca="false">IF(COUNTIFS('Reguler Class Availability'!$L:$L,$B$4&amp;"|- Lane 3 - *|"&amp;BD160)&gt;0,1,0)</f>
        <v>0</v>
      </c>
      <c r="BF160" s="30" t="n">
        <f aca="false">BE160+BF159</f>
        <v>9</v>
      </c>
    </row>
    <row r="161" customFormat="false" ht="15.75" hidden="false" customHeight="true" outlineLevel="0" collapsed="false">
      <c r="A161" s="76" t="n">
        <v>35</v>
      </c>
      <c r="B161" s="77" t="s">
        <v>114</v>
      </c>
      <c r="C161" s="76" t="s">
        <v>149</v>
      </c>
      <c r="D161" s="76" t="n">
        <v>1</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Baby</v>
      </c>
      <c r="G161" s="76" t="n">
        <f aca="false">IF($Q161="","",IFERROR(--(INDEX('Reguler Class Availability'!$F:$F,$Q161)&amp;""),0))</f>
        <v>5</v>
      </c>
      <c r="H161" s="77" t="str">
        <f aca="false">IF($Q161="","",PROPER(INDEX('Reguler Class Availability'!$I:$I,$Q161)&amp;"")&amp;IF(INDEX('Reguler Class Availability'!$J:$J,$Q161)&amp;""="",""," + asst "&amp;PROPER(INDEX('Reguler Class Availability'!$J:$J,$Q161)&amp;"")))</f>
        <v/>
      </c>
      <c r="I161" s="80" t="s">
        <v>199</v>
      </c>
      <c r="J161" s="77" t="s">
        <v>303</v>
      </c>
      <c r="K161" s="78"/>
      <c r="L161" s="78"/>
      <c r="M161" s="78"/>
      <c r="N161" s="79"/>
      <c r="O161" s="78"/>
      <c r="Q161" s="30" t="n">
        <f aca="false">IFERROR(MATCH($B$4&amp;"|- Lane "&amp;D161&amp;" - "&amp;B161&amp;"|"&amp;C161,'Reguler Class Availability'!$L:$L,0),"")</f>
        <v>1565</v>
      </c>
      <c r="BD161" s="30" t="s">
        <v>150</v>
      </c>
      <c r="BE161" s="30" t="n">
        <f aca="false">IF(COUNTIFS('Reguler Class Availability'!$L:$L,$B$4&amp;"|- Lane 3 - *|"&amp;BD161)&gt;0,1,0)</f>
        <v>1</v>
      </c>
      <c r="BF161" s="30" t="n">
        <f aca="false">BE161+BF160</f>
        <v>10</v>
      </c>
    </row>
    <row r="162" customFormat="false" ht="15.75" hidden="false" customHeight="true" outlineLevel="0" collapsed="false">
      <c r="A162" s="76" t="n">
        <v>36</v>
      </c>
      <c r="B162" s="77" t="s">
        <v>114</v>
      </c>
      <c r="C162" s="76" t="s">
        <v>149</v>
      </c>
      <c r="D162" s="76" t="n">
        <v>2</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Belum terisi</v>
      </c>
      <c r="F162" s="77" t="str">
        <f aca="false">IF($Q162="","",PROPER(INDEX('Reguler Class Availability'!$B:$B,$Q162)&amp;""))</f>
        <v>Little</v>
      </c>
      <c r="G162" s="76" t="n">
        <f aca="false">IF($Q162="","",IFERROR(--(INDEX('Reguler Class Availability'!$F:$F,$Q162)&amp;""),0))</f>
        <v>5</v>
      </c>
      <c r="H162" s="77" t="str">
        <f aca="false">IF($Q162="","",PROPER(INDEX('Reguler Class Availability'!$I:$I,$Q162)&amp;"")&amp;IF(INDEX('Reguler Class Availability'!$J:$J,$Q162)&amp;""="",""," + asst "&amp;PROPER(INDEX('Reguler Class Availability'!$J:$J,$Q162)&amp;"")))</f>
        <v/>
      </c>
      <c r="I162" s="80" t="s">
        <v>199</v>
      </c>
      <c r="J162" s="77" t="s">
        <v>345</v>
      </c>
      <c r="K162" s="78"/>
      <c r="L162" s="78"/>
      <c r="M162" s="78"/>
      <c r="N162" s="79"/>
      <c r="O162" s="78"/>
      <c r="Q162" s="30" t="n">
        <f aca="false">IFERROR(MATCH($B$4&amp;"|- Lane "&amp;D162&amp;" - "&amp;B162&amp;"|"&amp;C162,'Reguler Class Availability'!$L:$L,0),"")</f>
        <v>1649</v>
      </c>
      <c r="BD162" s="30" t="s">
        <v>151</v>
      </c>
      <c r="BE162" s="30" t="n">
        <f aca="false">IF(COUNTIFS('Reguler Class Availability'!$L:$L,$B$4&amp;"|- Lane 3 - *|"&amp;BD162)&gt;0,1,0)</f>
        <v>0</v>
      </c>
      <c r="BF162" s="30" t="n">
        <f aca="false">BE162+BF161</f>
        <v>10</v>
      </c>
    </row>
    <row r="163" customFormat="false" ht="15.75" hidden="false" customHeight="true" outlineLevel="0" collapsed="false">
      <c r="A163" s="76" t="n">
        <v>37</v>
      </c>
      <c r="B163" s="77" t="s">
        <v>114</v>
      </c>
      <c r="C163" s="76" t="s">
        <v>150</v>
      </c>
      <c r="D163" s="76" t="n">
        <v>4</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Belum terisi</v>
      </c>
      <c r="F163" s="77" t="str">
        <f aca="false">IF($Q163="","",PROPER(INDEX('Reguler Class Availability'!$B:$B,$Q163)&amp;""))</f>
        <v>Kids</v>
      </c>
      <c r="G163" s="76" t="n">
        <f aca="false">IF($Q163="","",IFERROR(--(INDEX('Reguler Class Availability'!$F:$F,$Q163)&amp;""),0))</f>
        <v>4</v>
      </c>
      <c r="H163" s="77" t="str">
        <f aca="false">IF($Q163="","",PROPER(INDEX('Reguler Class Availability'!$I:$I,$Q163)&amp;"")&amp;IF(INDEX('Reguler Class Availability'!$J:$J,$Q163)&amp;""="",""," + asst "&amp;PROPER(INDEX('Reguler Class Availability'!$J:$J,$Q163)&amp;"")))</f>
        <v/>
      </c>
      <c r="I163" s="77" t="s">
        <v>411</v>
      </c>
      <c r="J163" s="77" t="s">
        <v>260</v>
      </c>
      <c r="K163" s="78"/>
      <c r="L163" s="78"/>
      <c r="M163" s="78"/>
      <c r="N163" s="79"/>
      <c r="O163" s="78"/>
      <c r="Q163" s="30" t="n">
        <f aca="false">IFERROR(MATCH($B$4&amp;"|- Lane "&amp;D163&amp;" - "&amp;B163&amp;"|"&amp;C163,'Reguler Class Availability'!$L:$L,0),"")</f>
        <v>1817</v>
      </c>
      <c r="BD163" s="30" t="s">
        <v>152</v>
      </c>
      <c r="BE163" s="30" t="n">
        <f aca="false">IF(COUNTIFS('Reguler Class Availability'!$L:$L,$B$4&amp;"|- Lane 3 - *|"&amp;BD163)&gt;0,1,0)</f>
        <v>0</v>
      </c>
      <c r="BF163" s="30" t="n">
        <f aca="false">BE163+BF162</f>
        <v>10</v>
      </c>
    </row>
    <row r="164" customFormat="false" ht="15.75" hidden="false" customHeight="true" outlineLevel="0" collapsed="false">
      <c r="A164" s="76" t="n">
        <v>38</v>
      </c>
      <c r="B164" s="77" t="s">
        <v>114</v>
      </c>
      <c r="C164" s="76" t="s">
        <v>152</v>
      </c>
      <c r="D164" s="76" t="n">
        <v>1</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Belum terisi</v>
      </c>
      <c r="F164" s="77" t="str">
        <f aca="false">IF($Q164="","",PROPER(INDEX('Reguler Class Availability'!$B:$B,$Q164)&amp;""))</f>
        <v>Tiny</v>
      </c>
      <c r="G164" s="76" t="n">
        <f aca="false">IF($Q164="","",IFERROR(--(INDEX('Reguler Class Availability'!$F:$F,$Q164)&amp;""),0))</f>
        <v>5</v>
      </c>
      <c r="H164" s="77" t="str">
        <f aca="false">IF($Q164="","",PROPER(INDEX('Reguler Class Availability'!$I:$I,$Q164)&amp;"")&amp;IF(INDEX('Reguler Class Availability'!$J:$J,$Q164)&amp;""="",""," + asst "&amp;PROPER(INDEX('Reguler Class Availability'!$J:$J,$Q164)&amp;"")))</f>
        <v/>
      </c>
      <c r="I164" s="77" t="s">
        <v>411</v>
      </c>
      <c r="J164" s="77" t="s">
        <v>198</v>
      </c>
      <c r="K164" s="78"/>
      <c r="L164" s="78"/>
      <c r="M164" s="78"/>
      <c r="N164" s="79"/>
      <c r="O164" s="78"/>
      <c r="Q164" s="30" t="n">
        <f aca="false">IFERROR(MATCH($B$4&amp;"|- Lane "&amp;D164&amp;" - "&amp;B164&amp;"|"&amp;C164,'Reguler Class Availability'!$L:$L,0),"")</f>
        <v>1566</v>
      </c>
      <c r="BD164" s="30" t="s">
        <v>153</v>
      </c>
      <c r="BE164" s="30" t="n">
        <f aca="false">IF(COUNTIFS('Reguler Class Availability'!$L:$L,$B$4&amp;"|- Lane 3 - *|"&amp;BD164)&gt;0,1,0)</f>
        <v>1</v>
      </c>
      <c r="BF164" s="30" t="n">
        <f aca="false">BE164+BF163</f>
        <v>11</v>
      </c>
    </row>
    <row r="165" customFormat="false" ht="15.75" hidden="false" customHeight="true" outlineLevel="0" collapsed="false">
      <c r="A165" s="76" t="n">
        <v>39</v>
      </c>
      <c r="B165" s="77" t="s">
        <v>114</v>
      </c>
      <c r="C165" s="76" t="s">
        <v>152</v>
      </c>
      <c r="D165" s="76" t="n">
        <v>2</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Belum terisi</v>
      </c>
      <c r="F165" s="77" t="str">
        <f aca="false">IF($Q165="","",PROPER(INDEX('Reguler Class Availability'!$B:$B,$Q165)&amp;""))</f>
        <v>Little</v>
      </c>
      <c r="G165" s="76" t="n">
        <f aca="false">IF($Q165="","",IFERROR(--(INDEX('Reguler Class Availability'!$F:$F,$Q165)&amp;""),0))</f>
        <v>5</v>
      </c>
      <c r="H165" s="77" t="str">
        <f aca="false">IF($Q165="","",PROPER(INDEX('Reguler Class Availability'!$I:$I,$Q165)&amp;"")&amp;IF(INDEX('Reguler Class Availability'!$J:$J,$Q165)&amp;""="",""," + asst "&amp;PROPER(INDEX('Reguler Class Availability'!$J:$J,$Q165)&amp;"")))</f>
        <v/>
      </c>
      <c r="I165" s="77" t="s">
        <v>411</v>
      </c>
      <c r="J165" s="77" t="s">
        <v>260</v>
      </c>
      <c r="K165" s="78"/>
      <c r="L165" s="78"/>
      <c r="M165" s="78"/>
      <c r="N165" s="79"/>
      <c r="O165" s="78"/>
      <c r="Q165" s="30" t="n">
        <f aca="false">IFERROR(MATCH($B$4&amp;"|- Lane "&amp;D165&amp;" - "&amp;B165&amp;"|"&amp;C165,'Reguler Class Availability'!$L:$L,0),"")</f>
        <v>1650</v>
      </c>
      <c r="BD165" s="30" t="s">
        <v>154</v>
      </c>
      <c r="BE165" s="30" t="n">
        <f aca="false">IF(COUNTIFS('Reguler Class Availability'!$L:$L,$B$4&amp;"|- Lane 3 - *|"&amp;BD165)&gt;0,1,0)</f>
        <v>0</v>
      </c>
      <c r="BF165" s="30" t="n">
        <f aca="false">BE165+BF164</f>
        <v>11</v>
      </c>
    </row>
    <row r="166" customFormat="false" ht="15.75" hidden="false" customHeight="true" outlineLevel="0" collapsed="false">
      <c r="A166" s="76" t="n">
        <v>40</v>
      </c>
      <c r="B166" s="77" t="s">
        <v>114</v>
      </c>
      <c r="C166" s="76" t="s">
        <v>153</v>
      </c>
      <c r="D166" s="76" t="n">
        <v>4</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Belum terisi</v>
      </c>
      <c r="F166" s="77" t="str">
        <f aca="false">IF($Q166="","",PROPER(INDEX('Reguler Class Availability'!$B:$B,$Q166)&amp;""))</f>
        <v>Kids</v>
      </c>
      <c r="G166" s="76" t="n">
        <f aca="false">IF($Q166="","",IFERROR(--(INDEX('Reguler Class Availability'!$F:$F,$Q166)&amp;""),0))</f>
        <v>4</v>
      </c>
      <c r="H166" s="77" t="str">
        <f aca="false">IF($Q166="","",PROPER(INDEX('Reguler Class Availability'!$I:$I,$Q166)&amp;"")&amp;IF(INDEX('Reguler Class Availability'!$J:$J,$Q166)&amp;""="",""," + asst "&amp;PROPER(INDEX('Reguler Class Availability'!$J:$J,$Q166)&amp;"")))</f>
        <v/>
      </c>
      <c r="I166" s="77" t="s">
        <v>411</v>
      </c>
      <c r="J166" s="77" t="s">
        <v>260</v>
      </c>
      <c r="K166" s="78"/>
      <c r="L166" s="78"/>
      <c r="M166" s="78"/>
      <c r="N166" s="79"/>
      <c r="O166" s="78"/>
      <c r="Q166" s="30" t="n">
        <f aca="false">IFERROR(MATCH($B$4&amp;"|- Lane "&amp;D166&amp;" - "&amp;B166&amp;"|"&amp;C166,'Reguler Class Availability'!$L:$L,0),"")</f>
        <v>1818</v>
      </c>
      <c r="BD166" s="30" t="s">
        <v>155</v>
      </c>
      <c r="BE166" s="30" t="n">
        <f aca="false">IF(COUNTIFS('Reguler Class Availability'!$L:$L,$B$4&amp;"|- Lane 3 - *|"&amp;BD166)&gt;0,1,0)</f>
        <v>0</v>
      </c>
      <c r="BF166" s="30" t="n">
        <f aca="false">BE166+BF165</f>
        <v>11</v>
      </c>
    </row>
    <row r="167" customFormat="false" ht="15.75" hidden="false" customHeight="true" outlineLevel="0" collapsed="false">
      <c r="A167" s="76" t="n">
        <v>41</v>
      </c>
      <c r="B167" s="77" t="s">
        <v>114</v>
      </c>
      <c r="C167" s="76" t="s">
        <v>155</v>
      </c>
      <c r="D167" s="76" t="n">
        <v>1</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Belum terisi</v>
      </c>
      <c r="F167" s="77" t="str">
        <f aca="false">IF($Q167="","",PROPER(INDEX('Reguler Class Availability'!$B:$B,$Q167)&amp;""))</f>
        <v>Baby</v>
      </c>
      <c r="G167" s="76" t="n">
        <f aca="false">IF($Q167="","",IFERROR(--(INDEX('Reguler Class Availability'!$F:$F,$Q167)&amp;""),0))</f>
        <v>5</v>
      </c>
      <c r="H167" s="77" t="str">
        <f aca="false">IF($Q167="","",PROPER(INDEX('Reguler Class Availability'!$I:$I,$Q167)&amp;"")&amp;IF(INDEX('Reguler Class Availability'!$J:$J,$Q167)&amp;""="",""," + asst "&amp;PROPER(INDEX('Reguler Class Availability'!$J:$J,$Q167)&amp;"")))</f>
        <v/>
      </c>
      <c r="I167" s="77" t="s">
        <v>411</v>
      </c>
      <c r="J167" s="77" t="s">
        <v>288</v>
      </c>
      <c r="K167" s="78"/>
      <c r="L167" s="78"/>
      <c r="M167" s="78"/>
      <c r="N167" s="79"/>
      <c r="O167" s="78"/>
      <c r="Q167" s="30" t="n">
        <f aca="false">IFERROR(MATCH($B$4&amp;"|- Lane "&amp;D167&amp;" - "&amp;B167&amp;"|"&amp;C167,'Reguler Class Availability'!$L:$L,0),"")</f>
        <v>1567</v>
      </c>
      <c r="BD167" s="30" t="s">
        <v>156</v>
      </c>
      <c r="BE167" s="30" t="n">
        <f aca="false">IF(COUNTIFS('Reguler Class Availability'!$L:$L,$B$4&amp;"|- Lane 3 - *|"&amp;BD167)&gt;0,1,0)</f>
        <v>1</v>
      </c>
      <c r="BF167" s="30" t="n">
        <f aca="false">BE167+BF166</f>
        <v>12</v>
      </c>
    </row>
    <row r="168" customFormat="false" ht="15.75" hidden="false" customHeight="true" outlineLevel="0" collapsed="false">
      <c r="A168" s="76" t="n">
        <v>42</v>
      </c>
      <c r="B168" s="77" t="s">
        <v>114</v>
      </c>
      <c r="C168" s="76" t="s">
        <v>155</v>
      </c>
      <c r="D168" s="76" t="n">
        <v>2</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Belum terisi</v>
      </c>
      <c r="F168" s="77" t="str">
        <f aca="false">IF($Q168="","",PROPER(INDEX('Reguler Class Availability'!$B:$B,$Q168)&amp;""))</f>
        <v>Little</v>
      </c>
      <c r="G168" s="76" t="n">
        <f aca="false">IF($Q168="","",IFERROR(--(INDEX('Reguler Class Availability'!$F:$F,$Q168)&amp;""),0))</f>
        <v>5</v>
      </c>
      <c r="H168" s="77" t="str">
        <f aca="false">IF($Q168="","",PROPER(INDEX('Reguler Class Availability'!$I:$I,$Q168)&amp;"")&amp;IF(INDEX('Reguler Class Availability'!$J:$J,$Q168)&amp;""="",""," + asst "&amp;PROPER(INDEX('Reguler Class Availability'!$J:$J,$Q168)&amp;"")))</f>
        <v/>
      </c>
      <c r="I168" s="77" t="s">
        <v>411</v>
      </c>
      <c r="J168" s="77" t="s">
        <v>260</v>
      </c>
      <c r="K168" s="78"/>
      <c r="L168" s="78"/>
      <c r="M168" s="78"/>
      <c r="N168" s="79"/>
      <c r="O168" s="78"/>
      <c r="Q168" s="30" t="n">
        <f aca="false">IFERROR(MATCH($B$4&amp;"|- Lane "&amp;D168&amp;" - "&amp;B168&amp;"|"&amp;C168,'Reguler Class Availability'!$L:$L,0),"")</f>
        <v>1651</v>
      </c>
      <c r="BD168" s="30" t="s">
        <v>157</v>
      </c>
      <c r="BE168" s="30" t="n">
        <f aca="false">IF(COUNTIFS('Reguler Class Availability'!$L:$L,$B$4&amp;"|- Lane 3 - *|"&amp;BD168)&gt;0,1,0)</f>
        <v>0</v>
      </c>
      <c r="BF168" s="30" t="n">
        <f aca="false">BE168+BF167</f>
        <v>12</v>
      </c>
    </row>
    <row r="169" customFormat="false" ht="27.75" hidden="false" customHeight="true" outlineLevel="0" collapsed="false">
      <c r="A169" s="76" t="n">
        <v>43</v>
      </c>
      <c r="B169" s="77" t="s">
        <v>114</v>
      </c>
      <c r="C169" s="76" t="s">
        <v>156</v>
      </c>
      <c r="D169" s="76" t="n">
        <v>3</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Belum terisi</v>
      </c>
      <c r="F169" s="77" t="str">
        <f aca="false">IF($Q169="","",PROPER(INDEX('Reguler Class Availability'!$B:$B,$Q169)&amp;""))</f>
        <v>Kids</v>
      </c>
      <c r="G169" s="76" t="n">
        <f aca="false">IF($Q169="","",IFERROR(--(INDEX('Reguler Class Availability'!$F:$F,$Q169)&amp;""),0))</f>
        <v>4</v>
      </c>
      <c r="H169" s="77" t="str">
        <f aca="false">IF($Q169="","",PROPER(INDEX('Reguler Class Availability'!$I:$I,$Q169)&amp;"")&amp;IF(INDEX('Reguler Class Availability'!$J:$J,$Q169)&amp;""="",""," + asst "&amp;PROPER(INDEX('Reguler Class Availability'!$J:$J,$Q169)&amp;"")))</f>
        <v/>
      </c>
      <c r="I169" s="77" t="s">
        <v>410</v>
      </c>
      <c r="J169" s="77" t="s">
        <v>188</v>
      </c>
      <c r="K169" s="78"/>
      <c r="L169" s="78"/>
      <c r="M169" s="78"/>
      <c r="N169" s="79"/>
      <c r="O169" s="78"/>
      <c r="Q169" s="30" t="n">
        <f aca="false">IFERROR(MATCH($B$4&amp;"|- Lane "&amp;D169&amp;" - "&amp;B169&amp;"|"&amp;C169,'Reguler Class Availability'!$L:$L,0),"")</f>
        <v>1735</v>
      </c>
      <c r="BD169" s="30" t="s">
        <v>158</v>
      </c>
      <c r="BE169" s="30" t="n">
        <f aca="false">IF(COUNTIFS('Reguler Class Availability'!$L:$L,$B$4&amp;"|- Lane 3 - *|"&amp;BD169)&gt;0,1,0)</f>
        <v>0</v>
      </c>
      <c r="BF169" s="30" t="n">
        <f aca="false">BE169+BF168</f>
        <v>12</v>
      </c>
    </row>
    <row r="170" customFormat="false" ht="27.75" hidden="false" customHeight="true" outlineLevel="0" collapsed="false">
      <c r="A170" s="76" t="n">
        <v>44</v>
      </c>
      <c r="B170" s="77" t="s">
        <v>114</v>
      </c>
      <c r="C170" s="76" t="s">
        <v>156</v>
      </c>
      <c r="D170" s="76" t="n">
        <v>4</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Belum terisi</v>
      </c>
      <c r="F170" s="77" t="str">
        <f aca="false">IF($Q170="","",PROPER(INDEX('Reguler Class Availability'!$B:$B,$Q170)&amp;""))</f>
        <v>Kids</v>
      </c>
      <c r="G170" s="76" t="n">
        <f aca="false">IF($Q170="","",IFERROR(--(INDEX('Reguler Class Availability'!$F:$F,$Q170)&amp;""),0))</f>
        <v>4</v>
      </c>
      <c r="H170" s="77" t="str">
        <f aca="false">IF($Q170="","",PROPER(INDEX('Reguler Class Availability'!$I:$I,$Q170)&amp;"")&amp;IF(INDEX('Reguler Class Availability'!$J:$J,$Q170)&amp;""="",""," + asst "&amp;PROPER(INDEX('Reguler Class Availability'!$J:$J,$Q170)&amp;"")))</f>
        <v/>
      </c>
      <c r="I170" s="77" t="s">
        <v>410</v>
      </c>
      <c r="J170" s="77" t="s">
        <v>188</v>
      </c>
      <c r="K170" s="78"/>
      <c r="L170" s="78"/>
      <c r="M170" s="78"/>
      <c r="N170" s="79"/>
      <c r="O170" s="78"/>
      <c r="Q170" s="30" t="n">
        <f aca="false">IFERROR(MATCH($B$4&amp;"|- Lane "&amp;D170&amp;" - "&amp;B170&amp;"|"&amp;C170,'Reguler Class Availability'!$L:$L,0),"")</f>
        <v>1819</v>
      </c>
      <c r="BD170" s="30" t="s">
        <v>160</v>
      </c>
      <c r="BE170" s="30" t="n">
        <f aca="false">IF(COUNTIFS('Reguler Class Availability'!$L:$L,$B$4&amp;"|- Lane 3 - *|"&amp;BD170)&gt;0,1,0)</f>
        <v>0</v>
      </c>
      <c r="BF170" s="30" t="n">
        <f aca="false">BE170+BF169</f>
        <v>12</v>
      </c>
    </row>
    <row r="171" customFormat="false" ht="27.75" hidden="false" customHeight="true" outlineLevel="0" collapsed="false">
      <c r="A171" s="76" t="n">
        <v>45</v>
      </c>
      <c r="B171" s="77" t="s">
        <v>115</v>
      </c>
      <c r="C171" s="76" t="s">
        <v>105</v>
      </c>
      <c r="D171" s="76" t="n">
        <v>1</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Belum terisi</v>
      </c>
      <c r="F171" s="77" t="str">
        <f aca="false">IF($Q171="","",PROPER(INDEX('Reguler Class Availability'!$B:$B,$Q171)&amp;""))</f>
        <v>Tiny</v>
      </c>
      <c r="G171" s="76" t="n">
        <f aca="false">IF($Q171="","",IFERROR(--(INDEX('Reguler Class Availability'!$F:$F,$Q171)&amp;""),0))</f>
        <v>5</v>
      </c>
      <c r="H171" s="77" t="str">
        <f aca="false">IF($Q171="","",PROPER(INDEX('Reguler Class Availability'!$I:$I,$Q171)&amp;"")&amp;IF(INDEX('Reguler Class Availability'!$J:$J,$Q171)&amp;""="",""," + asst "&amp;PROPER(INDEX('Reguler Class Availability'!$J:$J,$Q171)&amp;"")))</f>
        <v/>
      </c>
      <c r="I171" s="77" t="s">
        <v>413</v>
      </c>
      <c r="J171" s="77" t="s">
        <v>188</v>
      </c>
      <c r="K171" s="78"/>
      <c r="L171" s="78"/>
      <c r="M171" s="78"/>
      <c r="N171" s="79"/>
      <c r="O171" s="78"/>
      <c r="Q171" s="30" t="n">
        <f aca="false">IFERROR(MATCH($B$4&amp;"|- Lane "&amp;D171&amp;" - "&amp;B171&amp;"|"&amp;C171,'Reguler Class Availability'!$L:$L,0),"")</f>
        <v>1568</v>
      </c>
      <c r="BD171" s="30" t="s">
        <v>161</v>
      </c>
      <c r="BE171" s="30" t="n">
        <f aca="false">IF(COUNTIFS('Reguler Class Availability'!$L:$L,$B$4&amp;"|- Lane 3 - *|"&amp;BD171)&gt;0,1,0)</f>
        <v>0</v>
      </c>
      <c r="BF171" s="30" t="n">
        <f aca="false">BE171+BF170</f>
        <v>12</v>
      </c>
    </row>
    <row r="172" customFormat="false" ht="27.75" hidden="false" customHeight="true" outlineLevel="0" collapsed="false">
      <c r="A172" s="76" t="n">
        <v>46</v>
      </c>
      <c r="B172" s="77" t="s">
        <v>115</v>
      </c>
      <c r="C172" s="76" t="s">
        <v>105</v>
      </c>
      <c r="D172" s="76" t="n">
        <v>2</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Little</v>
      </c>
      <c r="G172" s="76" t="n">
        <f aca="false">IF($Q172="","",IFERROR(--(INDEX('Reguler Class Availability'!$F:$F,$Q172)&amp;""),0))</f>
        <v>5</v>
      </c>
      <c r="H172" s="77" t="str">
        <f aca="false">IF($Q172="","",PROPER(INDEX('Reguler Class Availability'!$I:$I,$Q172)&amp;"")&amp;IF(INDEX('Reguler Class Availability'!$J:$J,$Q172)&amp;""="",""," + asst "&amp;PROPER(INDEX('Reguler Class Availability'!$J:$J,$Q172)&amp;"")))</f>
        <v/>
      </c>
      <c r="I172" s="77" t="s">
        <v>413</v>
      </c>
      <c r="J172" s="77" t="s">
        <v>188</v>
      </c>
      <c r="K172" s="78"/>
      <c r="L172" s="78"/>
      <c r="M172" s="78"/>
      <c r="N172" s="79"/>
      <c r="O172" s="78"/>
      <c r="Q172" s="30" t="n">
        <f aca="false">IFERROR(MATCH($B$4&amp;"|- Lane "&amp;D172&amp;" - "&amp;B172&amp;"|"&amp;C172,'Reguler Class Availability'!$L:$L,0),"")</f>
        <v>1652</v>
      </c>
      <c r="BD172" s="30" t="s">
        <v>162</v>
      </c>
      <c r="BE172" s="30" t="n">
        <f aca="false">IF(COUNTIFS('Reguler Class Availability'!$L:$L,$B$4&amp;"|- Lane 3 - *|"&amp;BD172)&gt;0,1,0)</f>
        <v>0</v>
      </c>
      <c r="BF172" s="30" t="n">
        <f aca="false">BE172+BF171</f>
        <v>12</v>
      </c>
    </row>
    <row r="173" customFormat="false" ht="27.75" hidden="false" customHeight="true" outlineLevel="0" collapsed="false">
      <c r="A173" s="76" t="n">
        <v>47</v>
      </c>
      <c r="B173" s="77" t="s">
        <v>115</v>
      </c>
      <c r="C173" s="76" t="s">
        <v>110</v>
      </c>
      <c r="D173" s="76" t="n">
        <v>3</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Belum terisi</v>
      </c>
      <c r="F173" s="77" t="str">
        <f aca="false">IF($Q173="","",PROPER(INDEX('Reguler Class Availability'!$B:$B,$Q173)&amp;""))</f>
        <v>Kids</v>
      </c>
      <c r="G173" s="76" t="n">
        <f aca="false">IF($Q173="","",IFERROR(--(INDEX('Reguler Class Availability'!$F:$F,$Q173)&amp;""),0))</f>
        <v>4</v>
      </c>
      <c r="H173" s="77" t="str">
        <f aca="false">IF($Q173="","",PROPER(INDEX('Reguler Class Availability'!$I:$I,$Q173)&amp;"")&amp;IF(INDEX('Reguler Class Availability'!$J:$J,$Q173)&amp;""="",""," + asst "&amp;PROPER(INDEX('Reguler Class Availability'!$J:$J,$Q173)&amp;"")))</f>
        <v/>
      </c>
      <c r="I173" s="77" t="s">
        <v>413</v>
      </c>
      <c r="J173" s="77" t="s">
        <v>188</v>
      </c>
      <c r="K173" s="78"/>
      <c r="L173" s="78"/>
      <c r="M173" s="78"/>
      <c r="N173" s="79"/>
      <c r="O173" s="78"/>
      <c r="Q173" s="30" t="n">
        <f aca="false">IFERROR(MATCH($B$4&amp;"|- Lane "&amp;D173&amp;" - "&amp;B173&amp;"|"&amp;C173,'Reguler Class Availability'!$L:$L,0),"")</f>
        <v>1736</v>
      </c>
      <c r="BD173" s="30" t="s">
        <v>163</v>
      </c>
      <c r="BE173" s="30" t="n">
        <f aca="false">IF(COUNTIFS('Reguler Class Availability'!$L:$L,$B$4&amp;"|- Lane 3 - *|"&amp;BD173)&gt;0,1,0)</f>
        <v>0</v>
      </c>
      <c r="BF173" s="30" t="n">
        <f aca="false">BE173+BF172</f>
        <v>12</v>
      </c>
    </row>
    <row r="174" customFormat="false" ht="27.75" hidden="false" customHeight="true" outlineLevel="0" collapsed="false">
      <c r="A174" s="76" t="n">
        <v>48</v>
      </c>
      <c r="B174" s="77" t="s">
        <v>115</v>
      </c>
      <c r="C174" s="76" t="s">
        <v>110</v>
      </c>
      <c r="D174" s="76" t="n">
        <v>4</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Belum terisi</v>
      </c>
      <c r="F174" s="77" t="str">
        <f aca="false">IF($Q174="","",PROPER(INDEX('Reguler Class Availability'!$B:$B,$Q174)&amp;""))</f>
        <v>Kids</v>
      </c>
      <c r="G174" s="76" t="n">
        <f aca="false">IF($Q174="","",IFERROR(--(INDEX('Reguler Class Availability'!$F:$F,$Q174)&amp;""),0))</f>
        <v>4</v>
      </c>
      <c r="H174" s="77" t="str">
        <f aca="false">IF($Q174="","",PROPER(INDEX('Reguler Class Availability'!$I:$I,$Q174)&amp;"")&amp;IF(INDEX('Reguler Class Availability'!$J:$J,$Q174)&amp;""="",""," + asst "&amp;PROPER(INDEX('Reguler Class Availability'!$J:$J,$Q174)&amp;"")))</f>
        <v/>
      </c>
      <c r="I174" s="77" t="s">
        <v>413</v>
      </c>
      <c r="J174" s="77" t="s">
        <v>188</v>
      </c>
      <c r="K174" s="78"/>
      <c r="L174" s="78"/>
      <c r="M174" s="78"/>
      <c r="N174" s="79"/>
      <c r="O174" s="78"/>
      <c r="Q174" s="30" t="n">
        <f aca="false">IFERROR(MATCH($B$4&amp;"|- Lane "&amp;D174&amp;" - "&amp;B174&amp;"|"&amp;C174,'Reguler Class Availability'!$L:$L,0),"")</f>
        <v>1820</v>
      </c>
      <c r="BD174" s="30" t="s">
        <v>164</v>
      </c>
      <c r="BE174" s="30" t="n">
        <f aca="false">IF(COUNTIFS('Reguler Class Availability'!$L:$L,$B$4&amp;"|- Lane 3 - *|"&amp;BD174)&gt;0,1,0)</f>
        <v>0</v>
      </c>
      <c r="BF174" s="30" t="n">
        <f aca="false">BE174+BF173</f>
        <v>12</v>
      </c>
    </row>
    <row r="175" customFormat="false" ht="27.75" hidden="false" customHeight="true" outlineLevel="0" collapsed="false">
      <c r="A175" s="76" t="n">
        <v>49</v>
      </c>
      <c r="B175" s="77" t="s">
        <v>115</v>
      </c>
      <c r="C175" s="76" t="s">
        <v>120</v>
      </c>
      <c r="D175" s="76" t="n">
        <v>1</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Belum terisi</v>
      </c>
      <c r="F175" s="77" t="str">
        <f aca="false">IF($Q175="","",PROPER(INDEX('Reguler Class Availability'!$B:$B,$Q175)&amp;""))</f>
        <v>Baby</v>
      </c>
      <c r="G175" s="76" t="n">
        <f aca="false">IF($Q175="","",IFERROR(--(INDEX('Reguler Class Availability'!$F:$F,$Q175)&amp;""),0))</f>
        <v>5</v>
      </c>
      <c r="H175" s="77" t="str">
        <f aca="false">IF($Q175="","",PROPER(INDEX('Reguler Class Availability'!$I:$I,$Q175)&amp;"")&amp;IF(INDEX('Reguler Class Availability'!$J:$J,$Q175)&amp;""="",""," + asst "&amp;PROPER(INDEX('Reguler Class Availability'!$J:$J,$Q175)&amp;"")))</f>
        <v/>
      </c>
      <c r="I175" s="77" t="s">
        <v>413</v>
      </c>
      <c r="J175" s="77" t="s">
        <v>188</v>
      </c>
      <c r="K175" s="78"/>
      <c r="L175" s="78"/>
      <c r="M175" s="78"/>
      <c r="N175" s="79"/>
      <c r="O175" s="78"/>
      <c r="Q175" s="30" t="n">
        <f aca="false">IFERROR(MATCH($B$4&amp;"|- Lane "&amp;D175&amp;" - "&amp;B175&amp;"|"&amp;C175,'Reguler Class Availability'!$L:$L,0),"")</f>
        <v>1569</v>
      </c>
      <c r="BD175" s="30" t="s">
        <v>165</v>
      </c>
      <c r="BE175" s="30" t="n">
        <f aca="false">IF(COUNTIFS('Reguler Class Availability'!$L:$L,$B$4&amp;"|- Lane 3 - *|"&amp;BD175)&gt;0,1,0)</f>
        <v>0</v>
      </c>
      <c r="BF175" s="30" t="n">
        <f aca="false">BE175+BF174</f>
        <v>12</v>
      </c>
    </row>
    <row r="176" customFormat="false" ht="27.75" hidden="false" customHeight="true" outlineLevel="0" collapsed="false">
      <c r="A176" s="76" t="n">
        <v>50</v>
      </c>
      <c r="B176" s="77" t="s">
        <v>115</v>
      </c>
      <c r="C176" s="76" t="s">
        <v>120</v>
      </c>
      <c r="D176" s="76" t="n">
        <v>2</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Belum terisi</v>
      </c>
      <c r="F176" s="77" t="str">
        <f aca="false">IF($Q176="","",PROPER(INDEX('Reguler Class Availability'!$B:$B,$Q176)&amp;""))</f>
        <v>Little</v>
      </c>
      <c r="G176" s="76" t="n">
        <f aca="false">IF($Q176="","",IFERROR(--(INDEX('Reguler Class Availability'!$F:$F,$Q176)&amp;""),0))</f>
        <v>5</v>
      </c>
      <c r="H176" s="77" t="str">
        <f aca="false">IF($Q176="","",PROPER(INDEX('Reguler Class Availability'!$I:$I,$Q176)&amp;"")&amp;IF(INDEX('Reguler Class Availability'!$J:$J,$Q176)&amp;""="",""," + asst "&amp;PROPER(INDEX('Reguler Class Availability'!$J:$J,$Q176)&amp;"")))</f>
        <v/>
      </c>
      <c r="I176" s="77" t="s">
        <v>413</v>
      </c>
      <c r="J176" s="77" t="s">
        <v>188</v>
      </c>
      <c r="K176" s="78"/>
      <c r="L176" s="78"/>
      <c r="M176" s="78"/>
      <c r="N176" s="79"/>
      <c r="O176" s="78"/>
      <c r="Q176" s="30" t="n">
        <f aca="false">IFERROR(MATCH($B$4&amp;"|- Lane "&amp;D176&amp;" - "&amp;B176&amp;"|"&amp;C176,'Reguler Class Availability'!$L:$L,0),"")</f>
        <v>1653</v>
      </c>
      <c r="BD176" s="30" t="s">
        <v>166</v>
      </c>
      <c r="BE176" s="30" t="n">
        <f aca="false">IF(COUNTIFS('Reguler Class Availability'!$L:$L,$B$4&amp;"|- Lane 3 - *|"&amp;BD176)&gt;0,1,0)</f>
        <v>0</v>
      </c>
      <c r="BF176" s="30" t="n">
        <f aca="false">BE176+BF175</f>
        <v>12</v>
      </c>
    </row>
    <row r="177" customFormat="false" ht="27.75" hidden="false" customHeight="true" outlineLevel="0" collapsed="false">
      <c r="A177" s="76" t="n">
        <v>51</v>
      </c>
      <c r="B177" s="77" t="s">
        <v>115</v>
      </c>
      <c r="C177" s="76" t="s">
        <v>121</v>
      </c>
      <c r="D177" s="76" t="n">
        <v>3</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Belum terisi</v>
      </c>
      <c r="F177" s="77" t="str">
        <f aca="false">IF($Q177="","",PROPER(INDEX('Reguler Class Availability'!$B:$B,$Q177)&amp;""))</f>
        <v>Kids</v>
      </c>
      <c r="G177" s="76" t="n">
        <f aca="false">IF($Q177="","",IFERROR(--(INDEX('Reguler Class Availability'!$F:$F,$Q177)&amp;""),0))</f>
        <v>4</v>
      </c>
      <c r="H177" s="77" t="str">
        <f aca="false">IF($Q177="","",PROPER(INDEX('Reguler Class Availability'!$I:$I,$Q177)&amp;"")&amp;IF(INDEX('Reguler Class Availability'!$J:$J,$Q177)&amp;""="",""," + asst "&amp;PROPER(INDEX('Reguler Class Availability'!$J:$J,$Q177)&amp;"")))</f>
        <v/>
      </c>
      <c r="I177" s="77" t="s">
        <v>414</v>
      </c>
      <c r="J177" s="77" t="s">
        <v>188</v>
      </c>
      <c r="K177" s="78"/>
      <c r="L177" s="78"/>
      <c r="M177" s="78"/>
      <c r="N177" s="79"/>
      <c r="O177" s="78"/>
      <c r="Q177" s="30" t="n">
        <f aca="false">IFERROR(MATCH($B$4&amp;"|- Lane "&amp;D177&amp;" - "&amp;B177&amp;"|"&amp;C177,'Reguler Class Availability'!$L:$L,0),"")</f>
        <v>1737</v>
      </c>
      <c r="BD177" s="30" t="s">
        <v>167</v>
      </c>
      <c r="BE177" s="30" t="n">
        <f aca="false">IF(COUNTIFS('Reguler Class Availability'!$L:$L,$B$4&amp;"|- Lane 3 - *|"&amp;BD177)&gt;0,1,0)</f>
        <v>0</v>
      </c>
      <c r="BF177" s="30" t="n">
        <f aca="false">BE177+BF176</f>
        <v>12</v>
      </c>
    </row>
    <row r="178" customFormat="false" ht="27.75" hidden="false" customHeight="true" outlineLevel="0" collapsed="false">
      <c r="A178" s="76" t="n">
        <v>52</v>
      </c>
      <c r="B178" s="77" t="s">
        <v>115</v>
      </c>
      <c r="C178" s="76" t="s">
        <v>121</v>
      </c>
      <c r="D178" s="76" t="n">
        <v>4</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Belum terisi</v>
      </c>
      <c r="F178" s="77" t="str">
        <f aca="false">IF($Q178="","",PROPER(INDEX('Reguler Class Availability'!$B:$B,$Q178)&amp;""))</f>
        <v>Kids</v>
      </c>
      <c r="G178" s="76" t="n">
        <f aca="false">IF($Q178="","",IFERROR(--(INDEX('Reguler Class Availability'!$F:$F,$Q178)&amp;""),0))</f>
        <v>4</v>
      </c>
      <c r="H178" s="77" t="str">
        <f aca="false">IF($Q178="","",PROPER(INDEX('Reguler Class Availability'!$I:$I,$Q178)&amp;"")&amp;IF(INDEX('Reguler Class Availability'!$J:$J,$Q178)&amp;""="",""," + asst "&amp;PROPER(INDEX('Reguler Class Availability'!$J:$J,$Q178)&amp;"")))</f>
        <v/>
      </c>
      <c r="I178" s="77" t="s">
        <v>414</v>
      </c>
      <c r="J178" s="77" t="s">
        <v>188</v>
      </c>
      <c r="K178" s="78"/>
      <c r="L178" s="78"/>
      <c r="M178" s="78"/>
      <c r="N178" s="79"/>
      <c r="O178" s="78"/>
      <c r="Q178" s="30" t="n">
        <f aca="false">IFERROR(MATCH($B$4&amp;"|- Lane "&amp;D178&amp;" - "&amp;B178&amp;"|"&amp;C178,'Reguler Class Availability'!$L:$L,0),"")</f>
        <v>1821</v>
      </c>
      <c r="BD178" s="30" t="s">
        <v>168</v>
      </c>
      <c r="BE178" s="30" t="n">
        <f aca="false">IF(COUNTIFS('Reguler Class Availability'!$L:$L,$B$4&amp;"|- Lane 3 - *|"&amp;BD178)&gt;0,1,0)</f>
        <v>0</v>
      </c>
      <c r="BF178" s="30" t="n">
        <f aca="false">BE178+BF177</f>
        <v>12</v>
      </c>
    </row>
    <row r="179" customFormat="false" ht="27.75" hidden="false" customHeight="true" outlineLevel="0" collapsed="false">
      <c r="A179" s="76" t="n">
        <v>53</v>
      </c>
      <c r="B179" s="77" t="s">
        <v>115</v>
      </c>
      <c r="C179" s="76" t="s">
        <v>123</v>
      </c>
      <c r="D179" s="76" t="n">
        <v>1</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Tiny</v>
      </c>
      <c r="G179" s="76" t="n">
        <f aca="false">IF($Q179="","",IFERROR(--(INDEX('Reguler Class Availability'!$F:$F,$Q179)&amp;""),0))</f>
        <v>5</v>
      </c>
      <c r="H179" s="77" t="str">
        <f aca="false">IF($Q179="","",PROPER(INDEX('Reguler Class Availability'!$I:$I,$Q179)&amp;"")&amp;IF(INDEX('Reguler Class Availability'!$J:$J,$Q179)&amp;""="",""," + asst "&amp;PROPER(INDEX('Reguler Class Availability'!$J:$J,$Q179)&amp;"")))</f>
        <v/>
      </c>
      <c r="I179" s="77" t="s">
        <v>414</v>
      </c>
      <c r="J179" s="77" t="s">
        <v>188</v>
      </c>
      <c r="K179" s="78"/>
      <c r="L179" s="78"/>
      <c r="M179" s="78"/>
      <c r="N179" s="79"/>
      <c r="O179" s="78"/>
      <c r="Q179" s="30" t="n">
        <f aca="false">IFERROR(MATCH($B$4&amp;"|- Lane "&amp;D179&amp;" - "&amp;B179&amp;"|"&amp;C179,'Reguler Class Availability'!$L:$L,0),"")</f>
        <v>1570</v>
      </c>
      <c r="BD179" s="30" t="s">
        <v>169</v>
      </c>
      <c r="BE179" s="30" t="n">
        <f aca="false">IF(COUNTIFS('Reguler Class Availability'!$L:$L,$B$4&amp;"|- Lane 3 - *|"&amp;BD179)&gt;0,1,0)</f>
        <v>0</v>
      </c>
      <c r="BF179" s="30" t="n">
        <f aca="false">BE179+BF178</f>
        <v>12</v>
      </c>
    </row>
    <row r="180" customFormat="false" ht="15.75" hidden="false" customHeight="true" outlineLevel="0" collapsed="false">
      <c r="A180" s="76" t="n">
        <v>54</v>
      </c>
      <c r="B180" s="77" t="s">
        <v>115</v>
      </c>
      <c r="C180" s="76" t="s">
        <v>124</v>
      </c>
      <c r="D180" s="76" t="n">
        <v>3</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Belum terisi</v>
      </c>
      <c r="F180" s="77" t="str">
        <f aca="false">IF($Q180="","",PROPER(INDEX('Reguler Class Availability'!$B:$B,$Q180)&amp;""))</f>
        <v>Kids</v>
      </c>
      <c r="G180" s="76" t="n">
        <f aca="false">IF($Q180="","",IFERROR(--(INDEX('Reguler Class Availability'!$F:$F,$Q180)&amp;""),0))</f>
        <v>4</v>
      </c>
      <c r="H180" s="77" t="str">
        <f aca="false">IF($Q180="","",PROPER(INDEX('Reguler Class Availability'!$I:$I,$Q180)&amp;"")&amp;IF(INDEX('Reguler Class Availability'!$J:$J,$Q180)&amp;""="",""," + asst "&amp;PROPER(INDEX('Reguler Class Availability'!$J:$J,$Q180)&amp;"")))</f>
        <v/>
      </c>
      <c r="I180" s="77" t="s">
        <v>415</v>
      </c>
      <c r="J180" s="77" t="s">
        <v>266</v>
      </c>
      <c r="K180" s="78"/>
      <c r="L180" s="78"/>
      <c r="M180" s="78"/>
      <c r="N180" s="79"/>
      <c r="O180" s="78"/>
      <c r="Q180" s="30" t="n">
        <f aca="false">IFERROR(MATCH($B$4&amp;"|- Lane "&amp;D180&amp;" - "&amp;B180&amp;"|"&amp;C180,'Reguler Class Availability'!$L:$L,0),"")</f>
        <v>1738</v>
      </c>
      <c r="BD180" s="30" t="s">
        <v>170</v>
      </c>
      <c r="BE180" s="30" t="n">
        <f aca="false">IF(COUNTIFS('Reguler Class Availability'!$L:$L,$B$4&amp;"|- Lane 3 - *|"&amp;BD180)&gt;0,1,0)</f>
        <v>0</v>
      </c>
      <c r="BF180" s="30" t="n">
        <f aca="false">BE180+BF179</f>
        <v>12</v>
      </c>
    </row>
    <row r="181" customFormat="false" ht="15.75" hidden="false" customHeight="true" outlineLevel="0" collapsed="false">
      <c r="A181" s="76" t="n">
        <v>55</v>
      </c>
      <c r="B181" s="77" t="s">
        <v>115</v>
      </c>
      <c r="C181" s="76" t="s">
        <v>124</v>
      </c>
      <c r="D181" s="76" t="n">
        <v>4</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Kids</v>
      </c>
      <c r="G181" s="76" t="n">
        <f aca="false">IF($Q181="","",IFERROR(--(INDEX('Reguler Class Availability'!$F:$F,$Q181)&amp;""),0))</f>
        <v>4</v>
      </c>
      <c r="H181" s="77" t="str">
        <f aca="false">IF($Q181="","",PROPER(INDEX('Reguler Class Availability'!$I:$I,$Q181)&amp;"")&amp;IF(INDEX('Reguler Class Availability'!$J:$J,$Q181)&amp;""="",""," + asst "&amp;PROPER(INDEX('Reguler Class Availability'!$J:$J,$Q181)&amp;"")))</f>
        <v/>
      </c>
      <c r="I181" s="77" t="s">
        <v>415</v>
      </c>
      <c r="J181" s="77" t="s">
        <v>266</v>
      </c>
      <c r="K181" s="78"/>
      <c r="L181" s="78"/>
      <c r="M181" s="78"/>
      <c r="N181" s="79"/>
      <c r="O181" s="78"/>
      <c r="Q181" s="30" t="n">
        <f aca="false">IFERROR(MATCH($B$4&amp;"|- Lane "&amp;D181&amp;" - "&amp;B181&amp;"|"&amp;C181,'Reguler Class Availability'!$L:$L,0),"")</f>
        <v>1822</v>
      </c>
      <c r="BD181" s="30" t="s">
        <v>171</v>
      </c>
      <c r="BE181" s="30" t="n">
        <f aca="false">IF(COUNTIFS('Reguler Class Availability'!$L:$L,$B$4&amp;"|- Lane 3 - *|"&amp;BD181)&gt;0,1,0)</f>
        <v>0</v>
      </c>
      <c r="BF181" s="30" t="n">
        <f aca="false">BE181+BF180</f>
        <v>12</v>
      </c>
    </row>
    <row r="182" customFormat="false" ht="27.75" hidden="false" customHeight="true" outlineLevel="0" collapsed="false">
      <c r="A182" s="76" t="n">
        <v>56</v>
      </c>
      <c r="B182" s="77" t="s">
        <v>115</v>
      </c>
      <c r="C182" s="76" t="s">
        <v>126</v>
      </c>
      <c r="D182" s="76" t="n">
        <v>2</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Belum terisi</v>
      </c>
      <c r="F182" s="77" t="str">
        <f aca="false">IF($Q182="","",PROPER(INDEX('Reguler Class Availability'!$B:$B,$Q182)&amp;""))</f>
        <v>Little</v>
      </c>
      <c r="G182" s="76" t="n">
        <f aca="false">IF($Q182="","",IFERROR(--(INDEX('Reguler Class Availability'!$F:$F,$Q182)&amp;""),0))</f>
        <v>5</v>
      </c>
      <c r="H182" s="77" t="str">
        <f aca="false">IF($Q182="","",PROPER(INDEX('Reguler Class Availability'!$I:$I,$Q182)&amp;"")&amp;IF(INDEX('Reguler Class Availability'!$J:$J,$Q182)&amp;""="",""," + asst "&amp;PROPER(INDEX('Reguler Class Availability'!$J:$J,$Q182)&amp;"")))</f>
        <v/>
      </c>
      <c r="I182" s="77" t="s">
        <v>416</v>
      </c>
      <c r="J182" s="77" t="s">
        <v>260</v>
      </c>
      <c r="K182" s="78"/>
      <c r="L182" s="78"/>
      <c r="M182" s="78"/>
      <c r="N182" s="79"/>
      <c r="O182" s="78"/>
      <c r="Q182" s="30" t="n">
        <f aca="false">IFERROR(MATCH($B$4&amp;"|- Lane "&amp;D182&amp;" - "&amp;B182&amp;"|"&amp;C182,'Reguler Class Availability'!$L:$L,0),"")</f>
        <v>1655</v>
      </c>
      <c r="BD182" s="30" t="s">
        <v>78</v>
      </c>
      <c r="BE182" s="30" t="n">
        <f aca="false">IF(COUNTIFS('Reguler Class Availability'!$L:$L,$B$4&amp;"|- Lane 4 - *|"&amp;BD182)&gt;0,1,0)</f>
        <v>0</v>
      </c>
      <c r="BF182" s="30" t="n">
        <f aca="false">BE182</f>
        <v>0</v>
      </c>
    </row>
    <row r="183" customFormat="false" ht="27.75" hidden="false" customHeight="true" outlineLevel="0" collapsed="false">
      <c r="A183" s="76" t="n">
        <v>57</v>
      </c>
      <c r="B183" s="77" t="s">
        <v>115</v>
      </c>
      <c r="C183" s="76" t="s">
        <v>127</v>
      </c>
      <c r="D183" s="76" t="n">
        <v>3</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Kids</v>
      </c>
      <c r="G183" s="76" t="n">
        <f aca="false">IF($Q183="","",IFERROR(--(INDEX('Reguler Class Availability'!$F:$F,$Q183)&amp;""),0))</f>
        <v>4</v>
      </c>
      <c r="H183" s="77" t="str">
        <f aca="false">IF($Q183="","",PROPER(INDEX('Reguler Class Availability'!$I:$I,$Q183)&amp;"")&amp;IF(INDEX('Reguler Class Availability'!$J:$J,$Q183)&amp;""="",""," + asst "&amp;PROPER(INDEX('Reguler Class Availability'!$J:$J,$Q183)&amp;"")))</f>
        <v/>
      </c>
      <c r="I183" s="77" t="s">
        <v>416</v>
      </c>
      <c r="J183" s="77" t="s">
        <v>260</v>
      </c>
      <c r="K183" s="78"/>
      <c r="L183" s="78"/>
      <c r="M183" s="78"/>
      <c r="N183" s="79"/>
      <c r="O183" s="78"/>
      <c r="Q183" s="30" t="n">
        <f aca="false">IFERROR(MATCH($B$4&amp;"|- Lane "&amp;D183&amp;" - "&amp;B183&amp;"|"&amp;C183,'Reguler Class Availability'!$L:$L,0),"")</f>
        <v>1739</v>
      </c>
      <c r="BD183" s="30" t="s">
        <v>79</v>
      </c>
      <c r="BE183" s="30" t="n">
        <f aca="false">IF(COUNTIFS('Reguler Class Availability'!$L:$L,$B$4&amp;"|- Lane 4 - *|"&amp;BD183)&gt;0,1,0)</f>
        <v>0</v>
      </c>
      <c r="BF183" s="30" t="n">
        <f aca="false">BE183+BF182</f>
        <v>0</v>
      </c>
    </row>
    <row r="184" customFormat="false" ht="27.75" hidden="false" customHeight="true" outlineLevel="0" collapsed="false">
      <c r="A184" s="76" t="n">
        <v>58</v>
      </c>
      <c r="B184" s="77" t="s">
        <v>115</v>
      </c>
      <c r="C184" s="76" t="s">
        <v>127</v>
      </c>
      <c r="D184" s="76" t="n">
        <v>4</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Belum terisi</v>
      </c>
      <c r="F184" s="77" t="str">
        <f aca="false">IF($Q184="","",PROPER(INDEX('Reguler Class Availability'!$B:$B,$Q184)&amp;""))</f>
        <v>Kids</v>
      </c>
      <c r="G184" s="76" t="n">
        <f aca="false">IF($Q184="","",IFERROR(--(INDEX('Reguler Class Availability'!$F:$F,$Q184)&amp;""),0))</f>
        <v>4</v>
      </c>
      <c r="H184" s="77" t="str">
        <f aca="false">IF($Q184="","",PROPER(INDEX('Reguler Class Availability'!$I:$I,$Q184)&amp;"")&amp;IF(INDEX('Reguler Class Availability'!$J:$J,$Q184)&amp;""="",""," + asst "&amp;PROPER(INDEX('Reguler Class Availability'!$J:$J,$Q184)&amp;"")))</f>
        <v/>
      </c>
      <c r="I184" s="77" t="s">
        <v>416</v>
      </c>
      <c r="J184" s="77" t="s">
        <v>260</v>
      </c>
      <c r="K184" s="78"/>
      <c r="L184" s="78"/>
      <c r="M184" s="78"/>
      <c r="N184" s="79"/>
      <c r="O184" s="78"/>
      <c r="Q184" s="30" t="n">
        <f aca="false">IFERROR(MATCH($B$4&amp;"|- Lane "&amp;D184&amp;" - "&amp;B184&amp;"|"&amp;C184,'Reguler Class Availability'!$L:$L,0),"")</f>
        <v>1823</v>
      </c>
      <c r="BD184" s="30" t="s">
        <v>84</v>
      </c>
      <c r="BE184" s="30" t="n">
        <f aca="false">IF(COUNTIFS('Reguler Class Availability'!$L:$L,$B$4&amp;"|- Lane 4 - *|"&amp;BD184)&gt;0,1,0)</f>
        <v>0</v>
      </c>
      <c r="BF184" s="30" t="n">
        <f aca="false">BE184+BF183</f>
        <v>0</v>
      </c>
    </row>
    <row r="185" customFormat="false" ht="15.75" hidden="false" customHeight="true" outlineLevel="0" collapsed="false">
      <c r="A185" s="76" t="n">
        <v>59</v>
      </c>
      <c r="B185" s="77" t="s">
        <v>115</v>
      </c>
      <c r="C185" s="76" t="s">
        <v>129</v>
      </c>
      <c r="D185" s="76" t="n">
        <v>1</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Belum terisi</v>
      </c>
      <c r="F185" s="77" t="str">
        <f aca="false">IF($Q185="","",PROPER(INDEX('Reguler Class Availability'!$B:$B,$Q185)&amp;""))</f>
        <v>Tiny</v>
      </c>
      <c r="G185" s="76" t="n">
        <f aca="false">IF($Q185="","",IFERROR(--(INDEX('Reguler Class Availability'!$F:$F,$Q185)&amp;""),0))</f>
        <v>5</v>
      </c>
      <c r="H185" s="77" t="str">
        <f aca="false">IF($Q185="","",PROPER(INDEX('Reguler Class Availability'!$I:$I,$Q185)&amp;"")&amp;IF(INDEX('Reguler Class Availability'!$J:$J,$Q185)&amp;""="",""," + asst "&amp;PROPER(INDEX('Reguler Class Availability'!$J:$J,$Q185)&amp;"")))</f>
        <v/>
      </c>
      <c r="I185" s="77" t="s">
        <v>411</v>
      </c>
      <c r="J185" s="77" t="s">
        <v>198</v>
      </c>
      <c r="K185" s="78"/>
      <c r="L185" s="78"/>
      <c r="M185" s="78"/>
      <c r="N185" s="79"/>
      <c r="O185" s="78"/>
      <c r="Q185" s="30" t="n">
        <f aca="false">IFERROR(MATCH($B$4&amp;"|- Lane "&amp;D185&amp;" - "&amp;B185&amp;"|"&amp;C185,'Reguler Class Availability'!$L:$L,0),"")</f>
        <v>1572</v>
      </c>
      <c r="BD185" s="30" t="s">
        <v>85</v>
      </c>
      <c r="BE185" s="30" t="n">
        <f aca="false">IF(COUNTIFS('Reguler Class Availability'!$L:$L,$B$4&amp;"|- Lane 4 - *|"&amp;BD185)&gt;0,1,0)</f>
        <v>0</v>
      </c>
      <c r="BF185" s="30" t="n">
        <f aca="false">BE185+BF184</f>
        <v>0</v>
      </c>
    </row>
    <row r="186" customFormat="false" ht="15.75" hidden="false" customHeight="true" outlineLevel="0" collapsed="false">
      <c r="A186" s="76" t="n">
        <v>60</v>
      </c>
      <c r="B186" s="77" t="s">
        <v>115</v>
      </c>
      <c r="C186" s="76" t="s">
        <v>130</v>
      </c>
      <c r="D186" s="76" t="n">
        <v>3</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Belum terisi</v>
      </c>
      <c r="F186" s="77" t="str">
        <f aca="false">IF($Q186="","",PROPER(INDEX('Reguler Class Availability'!$B:$B,$Q186)&amp;""))</f>
        <v>Kids</v>
      </c>
      <c r="G186" s="76" t="n">
        <f aca="false">IF($Q186="","",IFERROR(--(INDEX('Reguler Class Availability'!$F:$F,$Q186)&amp;""),0))</f>
        <v>4</v>
      </c>
      <c r="H186" s="77" t="str">
        <f aca="false">IF($Q186="","",PROPER(INDEX('Reguler Class Availability'!$I:$I,$Q186)&amp;"")&amp;IF(INDEX('Reguler Class Availability'!$J:$J,$Q186)&amp;""="",""," + asst "&amp;PROPER(INDEX('Reguler Class Availability'!$J:$J,$Q186)&amp;"")))</f>
        <v>Soon Book Coach Irvan</v>
      </c>
      <c r="I186" s="77" t="s">
        <v>411</v>
      </c>
      <c r="J186" s="77" t="s">
        <v>260</v>
      </c>
      <c r="K186" s="78"/>
      <c r="L186" s="78"/>
      <c r="M186" s="78"/>
      <c r="N186" s="79"/>
      <c r="O186" s="78"/>
      <c r="Q186" s="30" t="n">
        <f aca="false">IFERROR(MATCH($B$4&amp;"|- Lane "&amp;D186&amp;" - "&amp;B186&amp;"|"&amp;C186,'Reguler Class Availability'!$L:$L,0),"")</f>
        <v>1740</v>
      </c>
      <c r="BD186" s="30" t="s">
        <v>89</v>
      </c>
      <c r="BE186" s="30" t="n">
        <f aca="false">IF(COUNTIFS('Reguler Class Availability'!$L:$L,$B$4&amp;"|- Lane 4 - *|"&amp;BD186)&gt;0,1,0)</f>
        <v>0</v>
      </c>
      <c r="BF186" s="30" t="n">
        <f aca="false">BE186+BF185</f>
        <v>0</v>
      </c>
    </row>
    <row r="187" customFormat="false" ht="15.75" hidden="false" customHeight="true" outlineLevel="0" collapsed="false">
      <c r="A187" s="76" t="n">
        <v>61</v>
      </c>
      <c r="B187" s="77" t="s">
        <v>115</v>
      </c>
      <c r="C187" s="76" t="s">
        <v>130</v>
      </c>
      <c r="D187" s="76" t="n">
        <v>4</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Belum terisi</v>
      </c>
      <c r="F187" s="77" t="str">
        <f aca="false">IF($Q187="","",PROPER(INDEX('Reguler Class Availability'!$B:$B,$Q187)&amp;""))</f>
        <v>Kids</v>
      </c>
      <c r="G187" s="76" t="n">
        <f aca="false">IF($Q187="","",IFERROR(--(INDEX('Reguler Class Availability'!$F:$F,$Q187)&amp;""),0))</f>
        <v>4</v>
      </c>
      <c r="H187" s="77" t="str">
        <f aca="false">IF($Q187="","",PROPER(INDEX('Reguler Class Availability'!$I:$I,$Q187)&amp;"")&amp;IF(INDEX('Reguler Class Availability'!$J:$J,$Q187)&amp;""="",""," + asst "&amp;PROPER(INDEX('Reguler Class Availability'!$J:$J,$Q187)&amp;"")))</f>
        <v/>
      </c>
      <c r="I187" s="77" t="s">
        <v>411</v>
      </c>
      <c r="J187" s="77" t="s">
        <v>260</v>
      </c>
      <c r="K187" s="78"/>
      <c r="L187" s="78"/>
      <c r="M187" s="78"/>
      <c r="N187" s="79"/>
      <c r="O187" s="78"/>
      <c r="Q187" s="30" t="n">
        <f aca="false">IFERROR(MATCH($B$4&amp;"|- Lane "&amp;D187&amp;" - "&amp;B187&amp;"|"&amp;C187,'Reguler Class Availability'!$L:$L,0),"")</f>
        <v>1824</v>
      </c>
      <c r="BD187" s="30" t="s">
        <v>90</v>
      </c>
      <c r="BE187" s="30" t="n">
        <f aca="false">IF(COUNTIFS('Reguler Class Availability'!$L:$L,$B$4&amp;"|- Lane 4 - *|"&amp;BD187)&gt;0,1,0)</f>
        <v>0</v>
      </c>
      <c r="BF187" s="30" t="n">
        <f aca="false">BE187+BF186</f>
        <v>0</v>
      </c>
    </row>
    <row r="188" customFormat="false" ht="27.75" hidden="false" customHeight="true" outlineLevel="0" collapsed="false">
      <c r="A188" s="76" t="n">
        <v>62</v>
      </c>
      <c r="B188" s="77" t="s">
        <v>115</v>
      </c>
      <c r="C188" s="76" t="s">
        <v>132</v>
      </c>
      <c r="D188" s="76" t="n">
        <v>1</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Belum terisi</v>
      </c>
      <c r="F188" s="77" t="str">
        <f aca="false">IF($Q188="","",PROPER(INDEX('Reguler Class Availability'!$B:$B,$Q188)&amp;""))</f>
        <v>Baby</v>
      </c>
      <c r="G188" s="76" t="n">
        <f aca="false">IF($Q188="","",IFERROR(--(INDEX('Reguler Class Availability'!$F:$F,$Q188)&amp;""),0))</f>
        <v>5</v>
      </c>
      <c r="H188" s="77" t="str">
        <f aca="false">IF($Q188="","",PROPER(INDEX('Reguler Class Availability'!$I:$I,$Q188)&amp;"")&amp;IF(INDEX('Reguler Class Availability'!$J:$J,$Q188)&amp;""="",""," + asst "&amp;PROPER(INDEX('Reguler Class Availability'!$J:$J,$Q188)&amp;"")))</f>
        <v/>
      </c>
      <c r="I188" s="77" t="s">
        <v>410</v>
      </c>
      <c r="J188" s="77" t="s">
        <v>188</v>
      </c>
      <c r="K188" s="78"/>
      <c r="L188" s="78"/>
      <c r="M188" s="78"/>
      <c r="N188" s="79"/>
      <c r="O188" s="78"/>
      <c r="Q188" s="30" t="n">
        <f aca="false">IFERROR(MATCH($B$4&amp;"|- Lane "&amp;D188&amp;" - "&amp;B188&amp;"|"&amp;C188,'Reguler Class Availability'!$L:$L,0),"")</f>
        <v>1573</v>
      </c>
      <c r="BD188" s="30" t="s">
        <v>91</v>
      </c>
      <c r="BE188" s="30" t="n">
        <f aca="false">IF(COUNTIFS('Reguler Class Availability'!$L:$L,$B$4&amp;"|- Lane 4 - *|"&amp;BD188)&gt;0,1,0)</f>
        <v>0</v>
      </c>
      <c r="BF188" s="30" t="n">
        <f aca="false">BE188+BF187</f>
        <v>0</v>
      </c>
    </row>
    <row r="189" customFormat="false" ht="27.75" hidden="false" customHeight="true" outlineLevel="0" collapsed="false">
      <c r="A189" s="76" t="n">
        <v>63</v>
      </c>
      <c r="B189" s="77" t="s">
        <v>115</v>
      </c>
      <c r="C189" s="76" t="s">
        <v>132</v>
      </c>
      <c r="D189" s="76" t="n">
        <v>2</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Belum terisi</v>
      </c>
      <c r="F189" s="77" t="str">
        <f aca="false">IF($Q189="","",PROPER(INDEX('Reguler Class Availability'!$B:$B,$Q189)&amp;""))</f>
        <v>Little</v>
      </c>
      <c r="G189" s="76" t="n">
        <f aca="false">IF($Q189="","",IFERROR(--(INDEX('Reguler Class Availability'!$F:$F,$Q189)&amp;""),0))</f>
        <v>5</v>
      </c>
      <c r="H189" s="77" t="str">
        <f aca="false">IF($Q189="","",PROPER(INDEX('Reguler Class Availability'!$I:$I,$Q189)&amp;"")&amp;IF(INDEX('Reguler Class Availability'!$J:$J,$Q189)&amp;""="",""," + asst "&amp;PROPER(INDEX('Reguler Class Availability'!$J:$J,$Q189)&amp;"")))</f>
        <v/>
      </c>
      <c r="I189" s="77" t="s">
        <v>410</v>
      </c>
      <c r="J189" s="77" t="s">
        <v>188</v>
      </c>
      <c r="K189" s="78"/>
      <c r="L189" s="78"/>
      <c r="M189" s="78"/>
      <c r="N189" s="79"/>
      <c r="O189" s="78"/>
      <c r="Q189" s="30" t="n">
        <f aca="false">IFERROR(MATCH($B$4&amp;"|- Lane "&amp;D189&amp;" - "&amp;B189&amp;"|"&amp;C189,'Reguler Class Availability'!$L:$L,0),"")</f>
        <v>1657</v>
      </c>
      <c r="BD189" s="30" t="s">
        <v>98</v>
      </c>
      <c r="BE189" s="30" t="n">
        <f aca="false">IF(COUNTIFS('Reguler Class Availability'!$L:$L,$B$4&amp;"|- Lane 4 - *|"&amp;BD189)&gt;0,1,0)</f>
        <v>0</v>
      </c>
      <c r="BF189" s="30" t="n">
        <f aca="false">BE189+BF188</f>
        <v>0</v>
      </c>
    </row>
    <row r="190" customFormat="false" ht="27.75" hidden="false" customHeight="true" outlineLevel="0" collapsed="false">
      <c r="A190" s="76" t="n">
        <v>64</v>
      </c>
      <c r="B190" s="77" t="s">
        <v>115</v>
      </c>
      <c r="C190" s="76" t="s">
        <v>133</v>
      </c>
      <c r="D190" s="76" t="n">
        <v>3</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Belum terisi</v>
      </c>
      <c r="F190" s="77" t="str">
        <f aca="false">IF($Q190="","",PROPER(INDEX('Reguler Class Availability'!$B:$B,$Q190)&amp;""))</f>
        <v>Kids</v>
      </c>
      <c r="G190" s="76" t="n">
        <f aca="false">IF($Q190="","",IFERROR(--(INDEX('Reguler Class Availability'!$F:$F,$Q190)&amp;""),0))</f>
        <v>4</v>
      </c>
      <c r="H190" s="77" t="str">
        <f aca="false">IF($Q190="","",PROPER(INDEX('Reguler Class Availability'!$I:$I,$Q190)&amp;"")&amp;IF(INDEX('Reguler Class Availability'!$J:$J,$Q190)&amp;""="",""," + asst "&amp;PROPER(INDEX('Reguler Class Availability'!$J:$J,$Q190)&amp;"")))</f>
        <v/>
      </c>
      <c r="I190" s="77" t="s">
        <v>413</v>
      </c>
      <c r="J190" s="77" t="s">
        <v>188</v>
      </c>
      <c r="K190" s="78"/>
      <c r="L190" s="78"/>
      <c r="M190" s="78"/>
      <c r="N190" s="79"/>
      <c r="O190" s="78"/>
      <c r="Q190" s="30" t="n">
        <f aca="false">IFERROR(MATCH($B$4&amp;"|- Lane "&amp;D190&amp;" - "&amp;B190&amp;"|"&amp;C190,'Reguler Class Availability'!$L:$L,0),"")</f>
        <v>1741</v>
      </c>
      <c r="BD190" s="30" t="s">
        <v>105</v>
      </c>
      <c r="BE190" s="30" t="n">
        <f aca="false">IF(COUNTIFS('Reguler Class Availability'!$L:$L,$B$4&amp;"|- Lane 4 - *|"&amp;BD190)&gt;0,1,0)</f>
        <v>0</v>
      </c>
      <c r="BF190" s="30" t="n">
        <f aca="false">BE190+BF189</f>
        <v>0</v>
      </c>
    </row>
    <row r="191" customFormat="false" ht="27.75" hidden="false" customHeight="true" outlineLevel="0" collapsed="false">
      <c r="A191" s="76" t="n">
        <v>65</v>
      </c>
      <c r="B191" s="77" t="s">
        <v>115</v>
      </c>
      <c r="C191" s="76" t="s">
        <v>133</v>
      </c>
      <c r="D191" s="76" t="n">
        <v>4</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Belum terisi</v>
      </c>
      <c r="F191" s="77" t="str">
        <f aca="false">IF($Q191="","",PROPER(INDEX('Reguler Class Availability'!$B:$B,$Q191)&amp;""))</f>
        <v>Kids</v>
      </c>
      <c r="G191" s="76" t="n">
        <f aca="false">IF($Q191="","",IFERROR(--(INDEX('Reguler Class Availability'!$F:$F,$Q191)&amp;""),0))</f>
        <v>4</v>
      </c>
      <c r="H191" s="77" t="str">
        <f aca="false">IF($Q191="","",PROPER(INDEX('Reguler Class Availability'!$I:$I,$Q191)&amp;"")&amp;IF(INDEX('Reguler Class Availability'!$J:$J,$Q191)&amp;""="",""," + asst "&amp;PROPER(INDEX('Reguler Class Availability'!$J:$J,$Q191)&amp;"")))</f>
        <v/>
      </c>
      <c r="I191" s="77" t="s">
        <v>413</v>
      </c>
      <c r="J191" s="77" t="s">
        <v>188</v>
      </c>
      <c r="K191" s="78"/>
      <c r="L191" s="78"/>
      <c r="M191" s="78"/>
      <c r="N191" s="79"/>
      <c r="O191" s="78"/>
      <c r="Q191" s="30" t="n">
        <f aca="false">IFERROR(MATCH($B$4&amp;"|- Lane "&amp;D191&amp;" - "&amp;B191&amp;"|"&amp;C191,'Reguler Class Availability'!$L:$L,0),"")</f>
        <v>1825</v>
      </c>
      <c r="BD191" s="30" t="s">
        <v>110</v>
      </c>
      <c r="BE191" s="30" t="n">
        <f aca="false">IF(COUNTIFS('Reguler Class Availability'!$L:$L,$B$4&amp;"|- Lane 4 - *|"&amp;BD191)&gt;0,1,0)</f>
        <v>1</v>
      </c>
      <c r="BF191" s="30" t="n">
        <f aca="false">BE191+BF190</f>
        <v>1</v>
      </c>
    </row>
    <row r="192" customFormat="false" ht="27.75" hidden="false" customHeight="true" outlineLevel="0" collapsed="false">
      <c r="A192" s="76" t="n">
        <v>66</v>
      </c>
      <c r="B192" s="77" t="s">
        <v>115</v>
      </c>
      <c r="C192" s="76" t="s">
        <v>139</v>
      </c>
      <c r="D192" s="76" t="n">
        <v>1</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Belum terisi</v>
      </c>
      <c r="F192" s="77" t="str">
        <f aca="false">IF($Q192="","",PROPER(INDEX('Reguler Class Availability'!$B:$B,$Q192)&amp;""))</f>
        <v>Tiny</v>
      </c>
      <c r="G192" s="76" t="n">
        <f aca="false">IF($Q192="","",IFERROR(--(INDEX('Reguler Class Availability'!$F:$F,$Q192)&amp;""),0))</f>
        <v>5</v>
      </c>
      <c r="H192" s="77" t="str">
        <f aca="false">IF($Q192="","",PROPER(INDEX('Reguler Class Availability'!$I:$I,$Q192)&amp;"")&amp;IF(INDEX('Reguler Class Availability'!$J:$J,$Q192)&amp;""="",""," + asst "&amp;PROPER(INDEX('Reguler Class Availability'!$J:$J,$Q192)&amp;"")))</f>
        <v/>
      </c>
      <c r="I192" s="77" t="s">
        <v>413</v>
      </c>
      <c r="J192" s="77" t="s">
        <v>188</v>
      </c>
      <c r="K192" s="78"/>
      <c r="L192" s="78"/>
      <c r="M192" s="78"/>
      <c r="N192" s="79"/>
      <c r="O192" s="78"/>
      <c r="Q192" s="30" t="n">
        <f aca="false">IFERROR(MATCH($B$4&amp;"|- Lane "&amp;D192&amp;" - "&amp;B192&amp;"|"&amp;C192,'Reguler Class Availability'!$L:$L,0),"")</f>
        <v>1574</v>
      </c>
      <c r="BD192" s="30" t="s">
        <v>112</v>
      </c>
      <c r="BE192" s="30" t="n">
        <f aca="false">IF(COUNTIFS('Reguler Class Availability'!$L:$L,$B$4&amp;"|- Lane 4 - *|"&amp;BD192)&gt;0,1,0)</f>
        <v>0</v>
      </c>
      <c r="BF192" s="30" t="n">
        <f aca="false">BE192+BF191</f>
        <v>1</v>
      </c>
    </row>
    <row r="193" customFormat="false" ht="27.75" hidden="false" customHeight="true" outlineLevel="0" collapsed="false">
      <c r="A193" s="76" t="n">
        <v>67</v>
      </c>
      <c r="B193" s="77" t="s">
        <v>115</v>
      </c>
      <c r="C193" s="76" t="s">
        <v>139</v>
      </c>
      <c r="D193" s="76" t="n">
        <v>2</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Belum terisi</v>
      </c>
      <c r="F193" s="77" t="str">
        <f aca="false">IF($Q193="","",PROPER(INDEX('Reguler Class Availability'!$B:$B,$Q193)&amp;""))</f>
        <v>Little</v>
      </c>
      <c r="G193" s="76" t="n">
        <f aca="false">IF($Q193="","",IFERROR(--(INDEX('Reguler Class Availability'!$F:$F,$Q193)&amp;""),0))</f>
        <v>5</v>
      </c>
      <c r="H193" s="77" t="str">
        <f aca="false">IF($Q193="","",PROPER(INDEX('Reguler Class Availability'!$I:$I,$Q193)&amp;"")&amp;IF(INDEX('Reguler Class Availability'!$J:$J,$Q193)&amp;""="",""," + asst "&amp;PROPER(INDEX('Reguler Class Availability'!$J:$J,$Q193)&amp;"")))</f>
        <v/>
      </c>
      <c r="I193" s="77" t="s">
        <v>413</v>
      </c>
      <c r="J193" s="77" t="s">
        <v>188</v>
      </c>
      <c r="K193" s="78"/>
      <c r="L193" s="78"/>
      <c r="M193" s="78"/>
      <c r="N193" s="79"/>
      <c r="O193" s="78"/>
      <c r="Q193" s="30" t="n">
        <f aca="false">IFERROR(MATCH($B$4&amp;"|- Lane "&amp;D193&amp;" - "&amp;B193&amp;"|"&amp;C193,'Reguler Class Availability'!$L:$L,0),"")</f>
        <v>1658</v>
      </c>
      <c r="BD193" s="30" t="s">
        <v>120</v>
      </c>
      <c r="BE193" s="30" t="n">
        <f aca="false">IF(COUNTIFS('Reguler Class Availability'!$L:$L,$B$4&amp;"|- Lane 4 - *|"&amp;BD193)&gt;0,1,0)</f>
        <v>0</v>
      </c>
      <c r="BF193" s="30" t="n">
        <f aca="false">BE193+BF192</f>
        <v>1</v>
      </c>
    </row>
    <row r="194" customFormat="false" ht="27.75" hidden="false" customHeight="true" outlineLevel="0" collapsed="false">
      <c r="A194" s="76" t="n">
        <v>68</v>
      </c>
      <c r="B194" s="77" t="s">
        <v>115</v>
      </c>
      <c r="C194" s="76" t="s">
        <v>141</v>
      </c>
      <c r="D194" s="76" t="n">
        <v>3</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Belum terisi</v>
      </c>
      <c r="F194" s="77" t="str">
        <f aca="false">IF($Q194="","",PROPER(INDEX('Reguler Class Availability'!$B:$B,$Q194)&amp;""))</f>
        <v>Kids</v>
      </c>
      <c r="G194" s="76" t="n">
        <f aca="false">IF($Q194="","",IFERROR(--(INDEX('Reguler Class Availability'!$F:$F,$Q194)&amp;""),0))</f>
        <v>4</v>
      </c>
      <c r="H194" s="77" t="str">
        <f aca="false">IF($Q194="","",PROPER(INDEX('Reguler Class Availability'!$I:$I,$Q194)&amp;"")&amp;IF(INDEX('Reguler Class Availability'!$J:$J,$Q194)&amp;""="",""," + asst "&amp;PROPER(INDEX('Reguler Class Availability'!$J:$J,$Q194)&amp;"")))</f>
        <v/>
      </c>
      <c r="I194" s="77" t="s">
        <v>413</v>
      </c>
      <c r="J194" s="77" t="s">
        <v>188</v>
      </c>
      <c r="K194" s="78"/>
      <c r="L194" s="78"/>
      <c r="M194" s="78"/>
      <c r="N194" s="79"/>
      <c r="O194" s="78"/>
      <c r="Q194" s="30" t="n">
        <f aca="false">IFERROR(MATCH($B$4&amp;"|- Lane "&amp;D194&amp;" - "&amp;B194&amp;"|"&amp;C194,'Reguler Class Availability'!$L:$L,0),"")</f>
        <v>1742</v>
      </c>
      <c r="BD194" s="30" t="s">
        <v>121</v>
      </c>
      <c r="BE194" s="30" t="n">
        <f aca="false">IF(COUNTIFS('Reguler Class Availability'!$L:$L,$B$4&amp;"|- Lane 4 - *|"&amp;BD194)&gt;0,1,0)</f>
        <v>1</v>
      </c>
      <c r="BF194" s="30" t="n">
        <f aca="false">BE194+BF193</f>
        <v>2</v>
      </c>
    </row>
    <row r="195" customFormat="false" ht="27.75" hidden="false" customHeight="true" outlineLevel="0" collapsed="false">
      <c r="A195" s="76" t="n">
        <v>69</v>
      </c>
      <c r="B195" s="77" t="s">
        <v>115</v>
      </c>
      <c r="C195" s="76" t="s">
        <v>141</v>
      </c>
      <c r="D195" s="76" t="n">
        <v>4</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Belum terisi</v>
      </c>
      <c r="F195" s="77" t="str">
        <f aca="false">IF($Q195="","",PROPER(INDEX('Reguler Class Availability'!$B:$B,$Q195)&amp;""))</f>
        <v>Kids</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413</v>
      </c>
      <c r="J195" s="77" t="s">
        <v>188</v>
      </c>
      <c r="K195" s="78"/>
      <c r="L195" s="78"/>
      <c r="M195" s="78"/>
      <c r="N195" s="79"/>
      <c r="O195" s="78"/>
      <c r="Q195" s="30" t="n">
        <f aca="false">IFERROR(MATCH($B$4&amp;"|- Lane "&amp;D195&amp;" - "&amp;B195&amp;"|"&amp;C195,'Reguler Class Availability'!$L:$L,0),"")</f>
        <v>1826</v>
      </c>
      <c r="BD195" s="30" t="s">
        <v>122</v>
      </c>
      <c r="BE195" s="30" t="n">
        <f aca="false">IF(COUNTIFS('Reguler Class Availability'!$L:$L,$B$4&amp;"|- Lane 4 - *|"&amp;BD195)&gt;0,1,0)</f>
        <v>0</v>
      </c>
      <c r="BF195" s="30" t="n">
        <f aca="false">BE195+BF194</f>
        <v>2</v>
      </c>
    </row>
    <row r="196" customFormat="false" ht="27.75" hidden="false" customHeight="true" outlineLevel="0" collapsed="false">
      <c r="A196" s="76" t="n">
        <v>70</v>
      </c>
      <c r="B196" s="77" t="s">
        <v>115</v>
      </c>
      <c r="C196" s="76" t="s">
        <v>143</v>
      </c>
      <c r="D196" s="76" t="n">
        <v>1</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Belum terisi</v>
      </c>
      <c r="F196" s="77" t="str">
        <f aca="false">IF($Q196="","",PROPER(INDEX('Reguler Class Availability'!$B:$B,$Q196)&amp;""))</f>
        <v>Baby</v>
      </c>
      <c r="G196" s="76" t="n">
        <f aca="false">IF($Q196="","",IFERROR(--(INDEX('Reguler Class Availability'!$F:$F,$Q196)&amp;""),0))</f>
        <v>5</v>
      </c>
      <c r="H196" s="77" t="str">
        <f aca="false">IF($Q196="","",PROPER(INDEX('Reguler Class Availability'!$I:$I,$Q196)&amp;"")&amp;IF(INDEX('Reguler Class Availability'!$J:$J,$Q196)&amp;""="",""," + asst "&amp;PROPER(INDEX('Reguler Class Availability'!$J:$J,$Q196)&amp;"")))</f>
        <v/>
      </c>
      <c r="I196" s="77" t="s">
        <v>416</v>
      </c>
      <c r="J196" s="77" t="s">
        <v>288</v>
      </c>
      <c r="K196" s="78"/>
      <c r="L196" s="78"/>
      <c r="M196" s="78"/>
      <c r="N196" s="79"/>
      <c r="O196" s="78"/>
      <c r="Q196" s="30" t="n">
        <f aca="false">IFERROR(MATCH($B$4&amp;"|- Lane "&amp;D196&amp;" - "&amp;B196&amp;"|"&amp;C196,'Reguler Class Availability'!$L:$L,0),"")</f>
        <v>1575</v>
      </c>
      <c r="BD196" s="30" t="s">
        <v>123</v>
      </c>
      <c r="BE196" s="30" t="n">
        <f aca="false">IF(COUNTIFS('Reguler Class Availability'!$L:$L,$B$4&amp;"|- Lane 4 - *|"&amp;BD196)&gt;0,1,0)</f>
        <v>0</v>
      </c>
      <c r="BF196" s="30" t="n">
        <f aca="false">BE196+BF195</f>
        <v>2</v>
      </c>
    </row>
    <row r="197" customFormat="false" ht="27.75" hidden="false" customHeight="true" outlineLevel="0" collapsed="false">
      <c r="A197" s="76" t="n">
        <v>71</v>
      </c>
      <c r="B197" s="77" t="s">
        <v>115</v>
      </c>
      <c r="C197" s="76" t="s">
        <v>143</v>
      </c>
      <c r="D197" s="76" t="n">
        <v>2</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Belum terisi</v>
      </c>
      <c r="F197" s="77" t="str">
        <f aca="false">IF($Q197="","",PROPER(INDEX('Reguler Class Availability'!$B:$B,$Q197)&amp;""))</f>
        <v>Little</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416</v>
      </c>
      <c r="J197" s="77" t="s">
        <v>260</v>
      </c>
      <c r="K197" s="78"/>
      <c r="L197" s="78"/>
      <c r="M197" s="78"/>
      <c r="N197" s="79"/>
      <c r="O197" s="78"/>
      <c r="Q197" s="30" t="n">
        <f aca="false">IFERROR(MATCH($B$4&amp;"|- Lane "&amp;D197&amp;" - "&amp;B197&amp;"|"&amp;C197,'Reguler Class Availability'!$L:$L,0),"")</f>
        <v>1659</v>
      </c>
      <c r="BD197" s="30" t="s">
        <v>124</v>
      </c>
      <c r="BE197" s="30" t="n">
        <f aca="false">IF(COUNTIFS('Reguler Class Availability'!$L:$L,$B$4&amp;"|- Lane 4 - *|"&amp;BD197)&gt;0,1,0)</f>
        <v>1</v>
      </c>
      <c r="BF197" s="30" t="n">
        <f aca="false">BE197+BF196</f>
        <v>3</v>
      </c>
    </row>
    <row r="198" customFormat="false" ht="27.75" hidden="false" customHeight="true" outlineLevel="0" collapsed="false">
      <c r="A198" s="76" t="n">
        <v>72</v>
      </c>
      <c r="B198" s="77" t="s">
        <v>115</v>
      </c>
      <c r="C198" s="76" t="s">
        <v>144</v>
      </c>
      <c r="D198" s="76" t="n">
        <v>4</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Belum terisi</v>
      </c>
      <c r="F198" s="77" t="str">
        <f aca="false">IF($Q198="","",PROPER(INDEX('Reguler Class Availability'!$B:$B,$Q198)&amp;""))</f>
        <v>Kids</v>
      </c>
      <c r="G198" s="76" t="n">
        <f aca="false">IF($Q198="","",IFERROR(--(INDEX('Reguler Class Availability'!$F:$F,$Q198)&amp;""),0))</f>
        <v>4</v>
      </c>
      <c r="H198" s="77" t="str">
        <f aca="false">IF($Q198="","",PROPER(INDEX('Reguler Class Availability'!$I:$I,$Q198)&amp;"")&amp;IF(INDEX('Reguler Class Availability'!$J:$J,$Q198)&amp;""="",""," + asst "&amp;PROPER(INDEX('Reguler Class Availability'!$J:$J,$Q198)&amp;"")))</f>
        <v/>
      </c>
      <c r="I198" s="77" t="s">
        <v>416</v>
      </c>
      <c r="J198" s="77" t="s">
        <v>260</v>
      </c>
      <c r="K198" s="78"/>
      <c r="L198" s="78"/>
      <c r="M198" s="78"/>
      <c r="N198" s="79"/>
      <c r="O198" s="78"/>
      <c r="Q198" s="30" t="n">
        <f aca="false">IFERROR(MATCH($B$4&amp;"|- Lane "&amp;D198&amp;" - "&amp;B198&amp;"|"&amp;C198,'Reguler Class Availability'!$L:$L,0),"")</f>
        <v>1827</v>
      </c>
      <c r="BD198" s="30" t="s">
        <v>125</v>
      </c>
      <c r="BE198" s="30" t="n">
        <f aca="false">IF(COUNTIFS('Reguler Class Availability'!$L:$L,$B$4&amp;"|- Lane 4 - *|"&amp;BD198)&gt;0,1,0)</f>
        <v>0</v>
      </c>
      <c r="BF198" s="30" t="n">
        <f aca="false">BE198+BF197</f>
        <v>3</v>
      </c>
    </row>
    <row r="199" customFormat="false" ht="27.75" hidden="false" customHeight="true" outlineLevel="0" collapsed="false">
      <c r="A199" s="76" t="n">
        <v>73</v>
      </c>
      <c r="B199" s="77" t="s">
        <v>115</v>
      </c>
      <c r="C199" s="76" t="s">
        <v>146</v>
      </c>
      <c r="D199" s="76" t="n">
        <v>1</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Belum terisi</v>
      </c>
      <c r="F199" s="77" t="str">
        <f aca="false">IF($Q199="","",PROPER(INDEX('Reguler Class Availability'!$B:$B,$Q199)&amp;""))</f>
        <v>Tiny</v>
      </c>
      <c r="G199" s="76" t="n">
        <f aca="false">IF($Q199="","",IFERROR(--(INDEX('Reguler Class Availability'!$F:$F,$Q199)&amp;""),0))</f>
        <v>5</v>
      </c>
      <c r="H199" s="77" t="str">
        <f aca="false">IF($Q199="","",PROPER(INDEX('Reguler Class Availability'!$I:$I,$Q199)&amp;"")&amp;IF(INDEX('Reguler Class Availability'!$J:$J,$Q199)&amp;""="",""," + asst "&amp;PROPER(INDEX('Reguler Class Availability'!$J:$J,$Q199)&amp;"")))</f>
        <v/>
      </c>
      <c r="I199" s="77" t="s">
        <v>416</v>
      </c>
      <c r="J199" s="77" t="s">
        <v>198</v>
      </c>
      <c r="K199" s="78"/>
      <c r="L199" s="78"/>
      <c r="M199" s="78"/>
      <c r="N199" s="79"/>
      <c r="O199" s="78"/>
      <c r="Q199" s="30" t="n">
        <f aca="false">IFERROR(MATCH($B$4&amp;"|- Lane "&amp;D199&amp;" - "&amp;B199&amp;"|"&amp;C199,'Reguler Class Availability'!$L:$L,0),"")</f>
        <v>1576</v>
      </c>
      <c r="BD199" s="30" t="s">
        <v>126</v>
      </c>
      <c r="BE199" s="30" t="n">
        <f aca="false">IF(COUNTIFS('Reguler Class Availability'!$L:$L,$B$4&amp;"|- Lane 4 - *|"&amp;BD199)&gt;0,1,0)</f>
        <v>0</v>
      </c>
      <c r="BF199" s="30" t="n">
        <f aca="false">BE199+BF198</f>
        <v>3</v>
      </c>
    </row>
    <row r="200" customFormat="false" ht="27.75" hidden="false" customHeight="true" outlineLevel="0" collapsed="false">
      <c r="A200" s="76" t="n">
        <v>74</v>
      </c>
      <c r="B200" s="77" t="s">
        <v>115</v>
      </c>
      <c r="C200" s="76" t="s">
        <v>146</v>
      </c>
      <c r="D200" s="76" t="n">
        <v>2</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Belum terisi</v>
      </c>
      <c r="F200" s="77" t="str">
        <f aca="false">IF($Q200="","",PROPER(INDEX('Reguler Class Availability'!$B:$B,$Q200)&amp;""))</f>
        <v>Little</v>
      </c>
      <c r="G200" s="76" t="n">
        <f aca="false">IF($Q200="","",IFERROR(--(INDEX('Reguler Class Availability'!$F:$F,$Q200)&amp;""),0))</f>
        <v>5</v>
      </c>
      <c r="H200" s="77" t="str">
        <f aca="false">IF($Q200="","",PROPER(INDEX('Reguler Class Availability'!$I:$I,$Q200)&amp;"")&amp;IF(INDEX('Reguler Class Availability'!$J:$J,$Q200)&amp;""="",""," + asst "&amp;PROPER(INDEX('Reguler Class Availability'!$J:$J,$Q200)&amp;"")))</f>
        <v/>
      </c>
      <c r="I200" s="77" t="s">
        <v>416</v>
      </c>
      <c r="J200" s="77" t="s">
        <v>260</v>
      </c>
      <c r="K200" s="78"/>
      <c r="L200" s="78"/>
      <c r="M200" s="78"/>
      <c r="N200" s="79"/>
      <c r="O200" s="78"/>
      <c r="Q200" s="30" t="n">
        <f aca="false">IFERROR(MATCH($B$4&amp;"|- Lane "&amp;D200&amp;" - "&amp;B200&amp;"|"&amp;C200,'Reguler Class Availability'!$L:$L,0),"")</f>
        <v>1660</v>
      </c>
      <c r="BD200" s="30" t="s">
        <v>127</v>
      </c>
      <c r="BE200" s="30" t="n">
        <f aca="false">IF(COUNTIFS('Reguler Class Availability'!$L:$L,$B$4&amp;"|- Lane 4 - *|"&amp;BD200)&gt;0,1,0)</f>
        <v>1</v>
      </c>
      <c r="BF200" s="30" t="n">
        <f aca="false">BE200+BF199</f>
        <v>4</v>
      </c>
    </row>
    <row r="201" customFormat="false" ht="27.75" hidden="false" customHeight="true" outlineLevel="0" collapsed="false">
      <c r="A201" s="76" t="n">
        <v>75</v>
      </c>
      <c r="B201" s="77" t="s">
        <v>115</v>
      </c>
      <c r="C201" s="76" t="s">
        <v>147</v>
      </c>
      <c r="D201" s="76" t="n">
        <v>4</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Belum terisi</v>
      </c>
      <c r="F201" s="77" t="str">
        <f aca="false">IF($Q201="","",PROPER(INDEX('Reguler Class Availability'!$B:$B,$Q201)&amp;""))</f>
        <v>Kids</v>
      </c>
      <c r="G201" s="76" t="n">
        <f aca="false">IF($Q201="","",IFERROR(--(INDEX('Reguler Class Availability'!$F:$F,$Q201)&amp;""),0))</f>
        <v>4</v>
      </c>
      <c r="H201" s="77" t="str">
        <f aca="false">IF($Q201="","",PROPER(INDEX('Reguler Class Availability'!$I:$I,$Q201)&amp;"")&amp;IF(INDEX('Reguler Class Availability'!$J:$J,$Q201)&amp;""="",""," + asst "&amp;PROPER(INDEX('Reguler Class Availability'!$J:$J,$Q201)&amp;"")))</f>
        <v/>
      </c>
      <c r="I201" s="77" t="s">
        <v>416</v>
      </c>
      <c r="J201" s="77" t="s">
        <v>260</v>
      </c>
      <c r="K201" s="78"/>
      <c r="L201" s="78"/>
      <c r="M201" s="78"/>
      <c r="N201" s="79"/>
      <c r="O201" s="78"/>
      <c r="Q201" s="30" t="n">
        <f aca="false">IFERROR(MATCH($B$4&amp;"|- Lane "&amp;D201&amp;" - "&amp;B201&amp;"|"&amp;C201,'Reguler Class Availability'!$L:$L,0),"")</f>
        <v>1828</v>
      </c>
      <c r="BD201" s="30" t="s">
        <v>128</v>
      </c>
      <c r="BE201" s="30" t="n">
        <f aca="false">IF(COUNTIFS('Reguler Class Availability'!$L:$L,$B$4&amp;"|- Lane 4 - *|"&amp;BD201)&gt;0,1,0)</f>
        <v>0</v>
      </c>
      <c r="BF201" s="30" t="n">
        <f aca="false">BE201+BF200</f>
        <v>4</v>
      </c>
    </row>
    <row r="202" customFormat="false" ht="27.75" hidden="false" customHeight="true" outlineLevel="0" collapsed="false">
      <c r="A202" s="76" t="n">
        <v>76</v>
      </c>
      <c r="B202" s="77" t="s">
        <v>115</v>
      </c>
      <c r="C202" s="76" t="s">
        <v>149</v>
      </c>
      <c r="D202" s="76" t="n">
        <v>1</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Belum terisi</v>
      </c>
      <c r="F202" s="77" t="str">
        <f aca="false">IF($Q202="","",PROPER(INDEX('Reguler Class Availability'!$B:$B,$Q202)&amp;""))</f>
        <v>Baby</v>
      </c>
      <c r="G202" s="76" t="n">
        <f aca="false">IF($Q202="","",IFERROR(--(INDEX('Reguler Class Availability'!$F:$F,$Q202)&amp;""),0))</f>
        <v>5</v>
      </c>
      <c r="H202" s="77" t="str">
        <f aca="false">IF($Q202="","",PROPER(INDEX('Reguler Class Availability'!$I:$I,$Q202)&amp;"")&amp;IF(INDEX('Reguler Class Availability'!$J:$J,$Q202)&amp;""="",""," + asst "&amp;PROPER(INDEX('Reguler Class Availability'!$J:$J,$Q202)&amp;"")))</f>
        <v/>
      </c>
      <c r="I202" s="77" t="s">
        <v>416</v>
      </c>
      <c r="J202" s="77" t="s">
        <v>288</v>
      </c>
      <c r="K202" s="78"/>
      <c r="L202" s="78"/>
      <c r="M202" s="78"/>
      <c r="N202" s="79"/>
      <c r="O202" s="78"/>
      <c r="Q202" s="30" t="n">
        <f aca="false">IFERROR(MATCH($B$4&amp;"|- Lane "&amp;D202&amp;" - "&amp;B202&amp;"|"&amp;C202,'Reguler Class Availability'!$L:$L,0),"")</f>
        <v>1577</v>
      </c>
      <c r="BD202" s="30" t="s">
        <v>129</v>
      </c>
      <c r="BE202" s="30" t="n">
        <f aca="false">IF(COUNTIFS('Reguler Class Availability'!$L:$L,$B$4&amp;"|- Lane 4 - *|"&amp;BD202)&gt;0,1,0)</f>
        <v>0</v>
      </c>
      <c r="BF202" s="30" t="n">
        <f aca="false">BE202+BF201</f>
        <v>4</v>
      </c>
    </row>
    <row r="203" customFormat="false" ht="27.75" hidden="false" customHeight="true" outlineLevel="0" collapsed="false">
      <c r="A203" s="76" t="n">
        <v>77</v>
      </c>
      <c r="B203" s="77" t="s">
        <v>115</v>
      </c>
      <c r="C203" s="76" t="s">
        <v>149</v>
      </c>
      <c r="D203" s="76" t="n">
        <v>2</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Belum terisi</v>
      </c>
      <c r="F203" s="77" t="str">
        <f aca="false">IF($Q203="","",PROPER(INDEX('Reguler Class Availability'!$B:$B,$Q203)&amp;""))</f>
        <v>Little</v>
      </c>
      <c r="G203" s="76" t="n">
        <f aca="false">IF($Q203="","",IFERROR(--(INDEX('Reguler Class Availability'!$F:$F,$Q203)&amp;""),0))</f>
        <v>5</v>
      </c>
      <c r="H203" s="77" t="str">
        <f aca="false">IF($Q203="","",PROPER(INDEX('Reguler Class Availability'!$I:$I,$Q203)&amp;"")&amp;IF(INDEX('Reguler Class Availability'!$J:$J,$Q203)&amp;""="",""," + asst "&amp;PROPER(INDEX('Reguler Class Availability'!$J:$J,$Q203)&amp;"")))</f>
        <v/>
      </c>
      <c r="I203" s="77" t="s">
        <v>416</v>
      </c>
      <c r="J203" s="77" t="s">
        <v>260</v>
      </c>
      <c r="K203" s="78"/>
      <c r="L203" s="78"/>
      <c r="M203" s="78"/>
      <c r="N203" s="79"/>
      <c r="O203" s="78"/>
      <c r="Q203" s="30" t="n">
        <f aca="false">IFERROR(MATCH($B$4&amp;"|- Lane "&amp;D203&amp;" - "&amp;B203&amp;"|"&amp;C203,'Reguler Class Availability'!$L:$L,0),"")</f>
        <v>1661</v>
      </c>
      <c r="BD203" s="30" t="s">
        <v>130</v>
      </c>
      <c r="BE203" s="30" t="n">
        <f aca="false">IF(COUNTIFS('Reguler Class Availability'!$L:$L,$B$4&amp;"|- Lane 4 - *|"&amp;BD203)&gt;0,1,0)</f>
        <v>1</v>
      </c>
      <c r="BF203" s="30" t="n">
        <f aca="false">BE203+BF202</f>
        <v>5</v>
      </c>
    </row>
    <row r="204" customFormat="false" ht="27.75" hidden="false" customHeight="true" outlineLevel="0" collapsed="false">
      <c r="A204" s="76" t="n">
        <v>78</v>
      </c>
      <c r="B204" s="77" t="s">
        <v>115</v>
      </c>
      <c r="C204" s="76" t="s">
        <v>150</v>
      </c>
      <c r="D204" s="76" t="n">
        <v>3</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Kids</v>
      </c>
      <c r="G204" s="76" t="n">
        <f aca="false">IF($Q204="","",IFERROR(--(INDEX('Reguler Class Availability'!$F:$F,$Q204)&amp;""),0))</f>
        <v>4</v>
      </c>
      <c r="H204" s="77" t="str">
        <f aca="false">IF($Q204="","",PROPER(INDEX('Reguler Class Availability'!$I:$I,$Q204)&amp;"")&amp;IF(INDEX('Reguler Class Availability'!$J:$J,$Q204)&amp;""="",""," + asst "&amp;PROPER(INDEX('Reguler Class Availability'!$J:$J,$Q204)&amp;"")))</f>
        <v/>
      </c>
      <c r="I204" s="77" t="s">
        <v>414</v>
      </c>
      <c r="J204" s="77" t="s">
        <v>188</v>
      </c>
      <c r="K204" s="78"/>
      <c r="L204" s="78"/>
      <c r="M204" s="78"/>
      <c r="N204" s="79"/>
      <c r="O204" s="78"/>
      <c r="Q204" s="30" t="n">
        <f aca="false">IFERROR(MATCH($B$4&amp;"|- Lane "&amp;D204&amp;" - "&amp;B204&amp;"|"&amp;C204,'Reguler Class Availability'!$L:$L,0),"")</f>
        <v>1745</v>
      </c>
      <c r="BD204" s="30" t="s">
        <v>131</v>
      </c>
      <c r="BE204" s="30" t="n">
        <f aca="false">IF(COUNTIFS('Reguler Class Availability'!$L:$L,$B$4&amp;"|- Lane 4 - *|"&amp;BD204)&gt;0,1,0)</f>
        <v>0</v>
      </c>
      <c r="BF204" s="30" t="n">
        <f aca="false">BE204+BF203</f>
        <v>5</v>
      </c>
    </row>
    <row r="205" customFormat="false" ht="27.75" hidden="false" customHeight="true" outlineLevel="0" collapsed="false">
      <c r="A205" s="76" t="n">
        <v>79</v>
      </c>
      <c r="B205" s="77" t="s">
        <v>115</v>
      </c>
      <c r="C205" s="76" t="s">
        <v>150</v>
      </c>
      <c r="D205" s="76" t="n">
        <v>4</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Belum terisi</v>
      </c>
      <c r="F205" s="77" t="str">
        <f aca="false">IF($Q205="","",PROPER(INDEX('Reguler Class Availability'!$B:$B,$Q205)&amp;""))</f>
        <v>Kids</v>
      </c>
      <c r="G205" s="76" t="n">
        <f aca="false">IF($Q205="","",IFERROR(--(INDEX('Reguler Class Availability'!$F:$F,$Q205)&amp;""),0))</f>
        <v>4</v>
      </c>
      <c r="H205" s="77" t="str">
        <f aca="false">IF($Q205="","",PROPER(INDEX('Reguler Class Availability'!$I:$I,$Q205)&amp;"")&amp;IF(INDEX('Reguler Class Availability'!$J:$J,$Q205)&amp;""="",""," + asst "&amp;PROPER(INDEX('Reguler Class Availability'!$J:$J,$Q205)&amp;"")))</f>
        <v/>
      </c>
      <c r="I205" s="77" t="s">
        <v>414</v>
      </c>
      <c r="J205" s="77" t="s">
        <v>188</v>
      </c>
      <c r="K205" s="78"/>
      <c r="L205" s="78"/>
      <c r="M205" s="78"/>
      <c r="N205" s="79"/>
      <c r="O205" s="78"/>
      <c r="Q205" s="30" t="n">
        <f aca="false">IFERROR(MATCH($B$4&amp;"|- Lane "&amp;D205&amp;" - "&amp;B205&amp;"|"&amp;C205,'Reguler Class Availability'!$L:$L,0),"")</f>
        <v>1829</v>
      </c>
      <c r="BD205" s="30" t="s">
        <v>132</v>
      </c>
      <c r="BE205" s="30" t="n">
        <f aca="false">IF(COUNTIFS('Reguler Class Availability'!$L:$L,$B$4&amp;"|- Lane 4 - *|"&amp;BD205)&gt;0,1,0)</f>
        <v>0</v>
      </c>
      <c r="BF205" s="30" t="n">
        <f aca="false">BE205+BF204</f>
        <v>5</v>
      </c>
    </row>
    <row r="206" customFormat="false" ht="27.75" hidden="false" customHeight="true" outlineLevel="0" collapsed="false">
      <c r="A206" s="76" t="n">
        <v>80</v>
      </c>
      <c r="B206" s="77" t="s">
        <v>115</v>
      </c>
      <c r="C206" s="76" t="s">
        <v>152</v>
      </c>
      <c r="D206" s="76" t="n">
        <v>1</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Belum terisi</v>
      </c>
      <c r="F206" s="77" t="str">
        <f aca="false">IF($Q206="","",PROPER(INDEX('Reguler Class Availability'!$B:$B,$Q206)&amp;""))</f>
        <v>Tiny</v>
      </c>
      <c r="G206" s="76" t="n">
        <f aca="false">IF($Q206="","",IFERROR(--(INDEX('Reguler Class Availability'!$F:$F,$Q206)&amp;""),0))</f>
        <v>5</v>
      </c>
      <c r="H206" s="77" t="str">
        <f aca="false">IF($Q206="","",PROPER(INDEX('Reguler Class Availability'!$I:$I,$Q206)&amp;"")&amp;IF(INDEX('Reguler Class Availability'!$J:$J,$Q206)&amp;""="",""," + asst "&amp;PROPER(INDEX('Reguler Class Availability'!$J:$J,$Q206)&amp;"")))</f>
        <v/>
      </c>
      <c r="I206" s="77" t="s">
        <v>414</v>
      </c>
      <c r="J206" s="77" t="s">
        <v>188</v>
      </c>
      <c r="K206" s="78"/>
      <c r="L206" s="78"/>
      <c r="M206" s="78"/>
      <c r="N206" s="79"/>
      <c r="O206" s="78"/>
      <c r="Q206" s="30" t="n">
        <f aca="false">IFERROR(MATCH($B$4&amp;"|- Lane "&amp;D206&amp;" - "&amp;B206&amp;"|"&amp;C206,'Reguler Class Availability'!$L:$L,0),"")</f>
        <v>1578</v>
      </c>
      <c r="BD206" s="30" t="s">
        <v>133</v>
      </c>
      <c r="BE206" s="30" t="n">
        <f aca="false">IF(COUNTIFS('Reguler Class Availability'!$L:$L,$B$4&amp;"|- Lane 4 - *|"&amp;BD206)&gt;0,1,0)</f>
        <v>1</v>
      </c>
      <c r="BF206" s="30" t="n">
        <f aca="false">BE206+BF205</f>
        <v>6</v>
      </c>
    </row>
    <row r="207" customFormat="false" ht="27.75" hidden="false" customHeight="true" outlineLevel="0" collapsed="false">
      <c r="A207" s="76" t="n">
        <v>81</v>
      </c>
      <c r="B207" s="77" t="s">
        <v>115</v>
      </c>
      <c r="C207" s="76" t="s">
        <v>153</v>
      </c>
      <c r="D207" s="76" t="n">
        <v>3</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Belum terisi</v>
      </c>
      <c r="F207" s="77" t="str">
        <f aca="false">IF($Q207="","",PROPER(INDEX('Reguler Class Availability'!$B:$B,$Q207)&amp;""))</f>
        <v>Kids</v>
      </c>
      <c r="G207" s="76" t="n">
        <f aca="false">IF($Q207="","",IFERROR(--(INDEX('Reguler Class Availability'!$F:$F,$Q207)&amp;""),0))</f>
        <v>4</v>
      </c>
      <c r="H207" s="77" t="str">
        <f aca="false">IF($Q207="","",PROPER(INDEX('Reguler Class Availability'!$I:$I,$Q207)&amp;"")&amp;IF(INDEX('Reguler Class Availability'!$J:$J,$Q207)&amp;""="",""," + asst "&amp;PROPER(INDEX('Reguler Class Availability'!$J:$J,$Q207)&amp;"")))</f>
        <v/>
      </c>
      <c r="I207" s="77" t="s">
        <v>414</v>
      </c>
      <c r="J207" s="77" t="s">
        <v>188</v>
      </c>
      <c r="K207" s="78"/>
      <c r="L207" s="78"/>
      <c r="M207" s="78"/>
      <c r="N207" s="79"/>
      <c r="O207" s="78"/>
      <c r="Q207" s="30" t="n">
        <f aca="false">IFERROR(MATCH($B$4&amp;"|- Lane "&amp;D207&amp;" - "&amp;B207&amp;"|"&amp;C207,'Reguler Class Availability'!$L:$L,0),"")</f>
        <v>1746</v>
      </c>
      <c r="BD207" s="30" t="s">
        <v>134</v>
      </c>
      <c r="BE207" s="30" t="n">
        <f aca="false">IF(COUNTIFS('Reguler Class Availability'!$L:$L,$B$4&amp;"|- Lane 4 - *|"&amp;BD207)&gt;0,1,0)</f>
        <v>0</v>
      </c>
      <c r="BF207" s="30" t="n">
        <f aca="false">BE207+BF206</f>
        <v>6</v>
      </c>
    </row>
    <row r="208" customFormat="false" ht="27.75" hidden="false" customHeight="true" outlineLevel="0" collapsed="false">
      <c r="A208" s="76" t="n">
        <v>82</v>
      </c>
      <c r="B208" s="77" t="s">
        <v>115</v>
      </c>
      <c r="C208" s="76" t="s">
        <v>153</v>
      </c>
      <c r="D208" s="76" t="n">
        <v>4</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Belum terisi</v>
      </c>
      <c r="F208" s="77" t="str">
        <f aca="false">IF($Q208="","",PROPER(INDEX('Reguler Class Availability'!$B:$B,$Q208)&amp;""))</f>
        <v>Kids</v>
      </c>
      <c r="G208" s="76" t="n">
        <f aca="false">IF($Q208="","",IFERROR(--(INDEX('Reguler Class Availability'!$F:$F,$Q208)&amp;""),0))</f>
        <v>4</v>
      </c>
      <c r="H208" s="77" t="str">
        <f aca="false">IF($Q208="","",PROPER(INDEX('Reguler Class Availability'!$I:$I,$Q208)&amp;"")&amp;IF(INDEX('Reguler Class Availability'!$J:$J,$Q208)&amp;""="",""," + asst "&amp;PROPER(INDEX('Reguler Class Availability'!$J:$J,$Q208)&amp;"")))</f>
        <v/>
      </c>
      <c r="I208" s="77" t="s">
        <v>414</v>
      </c>
      <c r="J208" s="77" t="s">
        <v>188</v>
      </c>
      <c r="K208" s="78"/>
      <c r="L208" s="78"/>
      <c r="M208" s="78"/>
      <c r="N208" s="79"/>
      <c r="O208" s="78"/>
      <c r="Q208" s="30" t="n">
        <f aca="false">IFERROR(MATCH($B$4&amp;"|- Lane "&amp;D208&amp;" - "&amp;B208&amp;"|"&amp;C208,'Reguler Class Availability'!$L:$L,0),"")</f>
        <v>1830</v>
      </c>
      <c r="BD208" s="30" t="s">
        <v>135</v>
      </c>
      <c r="BE208" s="30" t="n">
        <f aca="false">IF(COUNTIFS('Reguler Class Availability'!$L:$L,$B$4&amp;"|- Lane 4 - *|"&amp;BD208)&gt;0,1,0)</f>
        <v>0</v>
      </c>
      <c r="BF208" s="30" t="n">
        <f aca="false">BE208+BF207</f>
        <v>6</v>
      </c>
    </row>
    <row r="209" customFormat="false" ht="27.75" hidden="false" customHeight="true" outlineLevel="0" collapsed="false">
      <c r="A209" s="76" t="n">
        <v>83</v>
      </c>
      <c r="B209" s="77" t="s">
        <v>115</v>
      </c>
      <c r="C209" s="76" t="s">
        <v>155</v>
      </c>
      <c r="D209" s="76" t="n">
        <v>1</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Baby</v>
      </c>
      <c r="G209" s="76" t="n">
        <f aca="false">IF($Q209="","",IFERROR(--(INDEX('Reguler Class Availability'!$F:$F,$Q209)&amp;""),0))</f>
        <v>5</v>
      </c>
      <c r="H209" s="77" t="str">
        <f aca="false">IF($Q209="","",PROPER(INDEX('Reguler Class Availability'!$I:$I,$Q209)&amp;"")&amp;IF(INDEX('Reguler Class Availability'!$J:$J,$Q209)&amp;""="",""," + asst "&amp;PROPER(INDEX('Reguler Class Availability'!$J:$J,$Q209)&amp;"")))</f>
        <v/>
      </c>
      <c r="I209" s="77" t="s">
        <v>414</v>
      </c>
      <c r="J209" s="77" t="s">
        <v>188</v>
      </c>
      <c r="K209" s="78"/>
      <c r="L209" s="78"/>
      <c r="M209" s="78"/>
      <c r="N209" s="79"/>
      <c r="O209" s="78"/>
      <c r="Q209" s="30" t="n">
        <f aca="false">IFERROR(MATCH($B$4&amp;"|- Lane "&amp;D209&amp;" - "&amp;B209&amp;"|"&amp;C209,'Reguler Class Availability'!$L:$L,0),"")</f>
        <v>1579</v>
      </c>
      <c r="BD209" s="30" t="s">
        <v>136</v>
      </c>
      <c r="BE209" s="30" t="n">
        <f aca="false">IF(COUNTIFS('Reguler Class Availability'!$L:$L,$B$4&amp;"|- Lane 4 - *|"&amp;BD209)&gt;0,1,0)</f>
        <v>0</v>
      </c>
      <c r="BF209" s="30" t="n">
        <f aca="false">BE209+BF208</f>
        <v>6</v>
      </c>
    </row>
    <row r="210" customFormat="false" ht="27.75" hidden="false" customHeight="true" outlineLevel="0" collapsed="false">
      <c r="A210" s="76" t="n">
        <v>84</v>
      </c>
      <c r="B210" s="77" t="s">
        <v>115</v>
      </c>
      <c r="C210" s="76" t="s">
        <v>155</v>
      </c>
      <c r="D210" s="76" t="n">
        <v>2</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Belum terisi</v>
      </c>
      <c r="F210" s="77" t="str">
        <f aca="false">IF($Q210="","",PROPER(INDEX('Reguler Class Availability'!$B:$B,$Q210)&amp;""))</f>
        <v>Little</v>
      </c>
      <c r="G210" s="76" t="n">
        <f aca="false">IF($Q210="","",IFERROR(--(INDEX('Reguler Class Availability'!$F:$F,$Q210)&amp;""),0))</f>
        <v>5</v>
      </c>
      <c r="H210" s="77" t="str">
        <f aca="false">IF($Q210="","",PROPER(INDEX('Reguler Class Availability'!$I:$I,$Q210)&amp;"")&amp;IF(INDEX('Reguler Class Availability'!$J:$J,$Q210)&amp;""="",""," + asst "&amp;PROPER(INDEX('Reguler Class Availability'!$J:$J,$Q210)&amp;"")))</f>
        <v/>
      </c>
      <c r="I210" s="77" t="s">
        <v>414</v>
      </c>
      <c r="J210" s="77" t="s">
        <v>188</v>
      </c>
      <c r="K210" s="78"/>
      <c r="L210" s="78"/>
      <c r="M210" s="78"/>
      <c r="N210" s="79"/>
      <c r="O210" s="78"/>
      <c r="Q210" s="30" t="n">
        <f aca="false">IFERROR(MATCH($B$4&amp;"|- Lane "&amp;D210&amp;" - "&amp;B210&amp;"|"&amp;C210,'Reguler Class Availability'!$L:$L,0),"")</f>
        <v>1663</v>
      </c>
      <c r="BD210" s="30" t="s">
        <v>138</v>
      </c>
      <c r="BE210" s="30" t="n">
        <f aca="false">IF(COUNTIFS('Reguler Class Availability'!$L:$L,$B$4&amp;"|- Lane 4 - *|"&amp;BD210)&gt;0,1,0)</f>
        <v>0</v>
      </c>
      <c r="BF210" s="30" t="n">
        <f aca="false">BE210+BF209</f>
        <v>6</v>
      </c>
    </row>
    <row r="211" customFormat="false" ht="27.75" hidden="false" customHeight="true" outlineLevel="0" collapsed="false">
      <c r="A211" s="76" t="n">
        <v>85</v>
      </c>
      <c r="B211" s="77" t="s">
        <v>115</v>
      </c>
      <c r="C211" s="76" t="s">
        <v>156</v>
      </c>
      <c r="D211" s="76" t="n">
        <v>4</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Belum terisi</v>
      </c>
      <c r="F211" s="77" t="str">
        <f aca="false">IF($Q211="","",PROPER(INDEX('Reguler Class Availability'!$B:$B,$Q211)&amp;""))</f>
        <v>Kids</v>
      </c>
      <c r="G211" s="76" t="n">
        <f aca="false">IF($Q211="","",IFERROR(--(INDEX('Reguler Class Availability'!$F:$F,$Q211)&amp;""),0))</f>
        <v>4</v>
      </c>
      <c r="H211" s="77" t="str">
        <f aca="false">IF($Q211="","",PROPER(INDEX('Reguler Class Availability'!$I:$I,$Q211)&amp;"")&amp;IF(INDEX('Reguler Class Availability'!$J:$J,$Q211)&amp;""="",""," + asst "&amp;PROPER(INDEX('Reguler Class Availability'!$J:$J,$Q211)&amp;"")))</f>
        <v/>
      </c>
      <c r="I211" s="77" t="s">
        <v>414</v>
      </c>
      <c r="J211" s="77" t="s">
        <v>188</v>
      </c>
      <c r="K211" s="78"/>
      <c r="L211" s="78"/>
      <c r="M211" s="78"/>
      <c r="N211" s="79"/>
      <c r="O211" s="78"/>
      <c r="Q211" s="30" t="n">
        <f aca="false">IFERROR(MATCH($B$4&amp;"|- Lane "&amp;D211&amp;" - "&amp;B211&amp;"|"&amp;C211,'Reguler Class Availability'!$L:$L,0),"")</f>
        <v>1831</v>
      </c>
      <c r="BD211" s="30" t="s">
        <v>139</v>
      </c>
      <c r="BE211" s="30" t="n">
        <f aca="false">IF(COUNTIFS('Reguler Class Availability'!$L:$L,$B$4&amp;"|- Lane 4 - *|"&amp;BD211)&gt;0,1,0)</f>
        <v>0</v>
      </c>
      <c r="BF211" s="30" t="n">
        <f aca="false">BE211+BF210</f>
        <v>6</v>
      </c>
    </row>
    <row r="212" customFormat="false" ht="27.75" hidden="false" customHeight="true" outlineLevel="0" collapsed="false">
      <c r="A212" s="76" t="n">
        <v>86</v>
      </c>
      <c r="B212" s="77" t="s">
        <v>116</v>
      </c>
      <c r="C212" s="76" t="s">
        <v>105</v>
      </c>
      <c r="D212" s="76" t="n">
        <v>1</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Belum terisi</v>
      </c>
      <c r="F212" s="77" t="str">
        <f aca="false">IF($Q212="","",PROPER(INDEX('Reguler Class Availability'!$B:$B,$Q212)&amp;""))</f>
        <v>Tiny</v>
      </c>
      <c r="G212" s="76" t="n">
        <f aca="false">IF($Q212="","",IFERROR(--(INDEX('Reguler Class Availability'!$F:$F,$Q212)&amp;""),0))</f>
        <v>5</v>
      </c>
      <c r="H212" s="77" t="str">
        <f aca="false">IF($Q212="","",PROPER(INDEX('Reguler Class Availability'!$I:$I,$Q212)&amp;"")&amp;IF(INDEX('Reguler Class Availability'!$J:$J,$Q212)&amp;""="",""," + asst "&amp;PROPER(INDEX('Reguler Class Availability'!$J:$J,$Q212)&amp;"")))</f>
        <v/>
      </c>
      <c r="I212" s="77" t="s">
        <v>417</v>
      </c>
      <c r="J212" s="77" t="s">
        <v>188</v>
      </c>
      <c r="K212" s="78"/>
      <c r="L212" s="78"/>
      <c r="M212" s="78"/>
      <c r="N212" s="79"/>
      <c r="O212" s="78"/>
      <c r="Q212" s="30" t="n">
        <f aca="false">IFERROR(MATCH($B$4&amp;"|- Lane "&amp;D212&amp;" - "&amp;B212&amp;"|"&amp;C212,'Reguler Class Availability'!$L:$L,0),"")</f>
        <v>1580</v>
      </c>
      <c r="BD212" s="30" t="s">
        <v>141</v>
      </c>
      <c r="BE212" s="30" t="n">
        <f aca="false">IF(COUNTIFS('Reguler Class Availability'!$L:$L,$B$4&amp;"|- Lane 4 - *|"&amp;BD212)&gt;0,1,0)</f>
        <v>1</v>
      </c>
      <c r="BF212" s="30" t="n">
        <f aca="false">BE212+BF211</f>
        <v>7</v>
      </c>
    </row>
    <row r="213" customFormat="false" ht="27.75" hidden="false" customHeight="true" outlineLevel="0" collapsed="false">
      <c r="A213" s="76" t="n">
        <v>87</v>
      </c>
      <c r="B213" s="77" t="s">
        <v>116</v>
      </c>
      <c r="C213" s="76" t="s">
        <v>105</v>
      </c>
      <c r="D213" s="76" t="n">
        <v>2</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Belum terisi</v>
      </c>
      <c r="F213" s="77" t="str">
        <f aca="false">IF($Q213="","",PROPER(INDEX('Reguler Class Availability'!$B:$B,$Q213)&amp;""))</f>
        <v>Little</v>
      </c>
      <c r="G213" s="76" t="n">
        <f aca="false">IF($Q213="","",IFERROR(--(INDEX('Reguler Class Availability'!$F:$F,$Q213)&amp;""),0))</f>
        <v>5</v>
      </c>
      <c r="H213" s="77" t="str">
        <f aca="false">IF($Q213="","",PROPER(INDEX('Reguler Class Availability'!$I:$I,$Q213)&amp;"")&amp;IF(INDEX('Reguler Class Availability'!$J:$J,$Q213)&amp;""="",""," + asst "&amp;PROPER(INDEX('Reguler Class Availability'!$J:$J,$Q213)&amp;"")))</f>
        <v/>
      </c>
      <c r="I213" s="77" t="s">
        <v>417</v>
      </c>
      <c r="J213" s="77" t="s">
        <v>188</v>
      </c>
      <c r="K213" s="78"/>
      <c r="L213" s="78"/>
      <c r="M213" s="78"/>
      <c r="N213" s="79"/>
      <c r="O213" s="78"/>
      <c r="Q213" s="30" t="n">
        <f aca="false">IFERROR(MATCH($B$4&amp;"|- Lane "&amp;D213&amp;" - "&amp;B213&amp;"|"&amp;C213,'Reguler Class Availability'!$L:$L,0),"")</f>
        <v>1664</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116</v>
      </c>
      <c r="C214" s="76" t="s">
        <v>110</v>
      </c>
      <c r="D214" s="76" t="n">
        <v>3</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Belum terisi</v>
      </c>
      <c r="F214" s="77" t="str">
        <f aca="false">IF($Q214="","",PROPER(INDEX('Reguler Class Availability'!$B:$B,$Q214)&amp;""))</f>
        <v>Kids</v>
      </c>
      <c r="G214" s="76" t="n">
        <f aca="false">IF($Q214="","",IFERROR(--(INDEX('Reguler Class Availability'!$F:$F,$Q214)&amp;""),0))</f>
        <v>4</v>
      </c>
      <c r="H214" s="77" t="str">
        <f aca="false">IF($Q214="","",PROPER(INDEX('Reguler Class Availability'!$I:$I,$Q214)&amp;"")&amp;IF(INDEX('Reguler Class Availability'!$J:$J,$Q214)&amp;""="",""," + asst "&amp;PROPER(INDEX('Reguler Class Availability'!$J:$J,$Q214)&amp;"")))</f>
        <v/>
      </c>
      <c r="I214" s="77" t="s">
        <v>418</v>
      </c>
      <c r="J214" s="77" t="s">
        <v>188</v>
      </c>
      <c r="K214" s="78"/>
      <c r="L214" s="78"/>
      <c r="M214" s="78"/>
      <c r="N214" s="79"/>
      <c r="O214" s="78"/>
      <c r="Q214" s="30" t="n">
        <f aca="false">IFERROR(MATCH($B$4&amp;"|- Lane "&amp;D214&amp;" - "&amp;B214&amp;"|"&amp;C214,'Reguler Class Availability'!$L:$L,0),"")</f>
        <v>1748</v>
      </c>
      <c r="BD214" s="30" t="s">
        <v>143</v>
      </c>
      <c r="BE214" s="30" t="n">
        <f aca="false">IF(COUNTIFS('Reguler Class Availability'!$L:$L,$B$4&amp;"|- Lane 4 - *|"&amp;BD214)&gt;0,1,0)</f>
        <v>0</v>
      </c>
      <c r="BF214" s="30" t="n">
        <f aca="false">BE214+BF213</f>
        <v>7</v>
      </c>
    </row>
    <row r="215" customFormat="false" ht="27.75" hidden="false" customHeight="true" outlineLevel="0" collapsed="false">
      <c r="A215" s="76" t="n">
        <v>89</v>
      </c>
      <c r="B215" s="77" t="s">
        <v>116</v>
      </c>
      <c r="C215" s="76" t="s">
        <v>110</v>
      </c>
      <c r="D215" s="76" t="n">
        <v>4</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Belum terisi</v>
      </c>
      <c r="F215" s="77" t="str">
        <f aca="false">IF($Q215="","",PROPER(INDEX('Reguler Class Availability'!$B:$B,$Q215)&amp;""))</f>
        <v>Kids</v>
      </c>
      <c r="G215" s="76" t="n">
        <f aca="false">IF($Q215="","",IFERROR(--(INDEX('Reguler Class Availability'!$F:$F,$Q215)&amp;""),0))</f>
        <v>4</v>
      </c>
      <c r="H215" s="77" t="str">
        <f aca="false">IF($Q215="","",PROPER(INDEX('Reguler Class Availability'!$I:$I,$Q215)&amp;"")&amp;IF(INDEX('Reguler Class Availability'!$J:$J,$Q215)&amp;""="",""," + asst "&amp;PROPER(INDEX('Reguler Class Availability'!$J:$J,$Q215)&amp;"")))</f>
        <v/>
      </c>
      <c r="I215" s="77" t="s">
        <v>418</v>
      </c>
      <c r="J215" s="77" t="s">
        <v>188</v>
      </c>
      <c r="K215" s="78"/>
      <c r="L215" s="78"/>
      <c r="M215" s="78"/>
      <c r="N215" s="79"/>
      <c r="O215" s="78"/>
      <c r="Q215" s="30" t="n">
        <f aca="false">IFERROR(MATCH($B$4&amp;"|- Lane "&amp;D215&amp;" - "&amp;B215&amp;"|"&amp;C215,'Reguler Class Availability'!$L:$L,0),"")</f>
        <v>1832</v>
      </c>
      <c r="BD215" s="30" t="s">
        <v>144</v>
      </c>
      <c r="BE215" s="30" t="n">
        <f aca="false">IF(COUNTIFS('Reguler Class Availability'!$L:$L,$B$4&amp;"|- Lane 4 - *|"&amp;BD215)&gt;0,1,0)</f>
        <v>1</v>
      </c>
      <c r="BF215" s="30" t="n">
        <f aca="false">BE215+BF214</f>
        <v>8</v>
      </c>
    </row>
    <row r="216" customFormat="false" ht="27.75" hidden="false" customHeight="true" outlineLevel="0" collapsed="false">
      <c r="A216" s="76" t="n">
        <v>90</v>
      </c>
      <c r="B216" s="77" t="s">
        <v>116</v>
      </c>
      <c r="C216" s="76" t="s">
        <v>120</v>
      </c>
      <c r="D216" s="76" t="n">
        <v>2</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Belum terisi</v>
      </c>
      <c r="F216" s="77" t="str">
        <f aca="false">IF($Q216="","",PROPER(INDEX('Reguler Class Availability'!$B:$B,$Q216)&amp;""))</f>
        <v>Little</v>
      </c>
      <c r="G216" s="76" t="n">
        <f aca="false">IF($Q216="","",IFERROR(--(INDEX('Reguler Class Availability'!$F:$F,$Q216)&amp;""),0))</f>
        <v>5</v>
      </c>
      <c r="H216" s="77" t="str">
        <f aca="false">IF($Q216="","",PROPER(INDEX('Reguler Class Availability'!$I:$I,$Q216)&amp;"")&amp;IF(INDEX('Reguler Class Availability'!$J:$J,$Q216)&amp;""="",""," + asst "&amp;PROPER(INDEX('Reguler Class Availability'!$J:$J,$Q216)&amp;"")))</f>
        <v/>
      </c>
      <c r="I216" s="77" t="s">
        <v>418</v>
      </c>
      <c r="J216" s="77" t="s">
        <v>188</v>
      </c>
      <c r="K216" s="78"/>
      <c r="L216" s="78"/>
      <c r="M216" s="78"/>
      <c r="N216" s="79"/>
      <c r="O216" s="78"/>
      <c r="Q216" s="30" t="n">
        <f aca="false">IFERROR(MATCH($B$4&amp;"|- Lane "&amp;D216&amp;" - "&amp;B216&amp;"|"&amp;C216,'Reguler Class Availability'!$L:$L,0),"")</f>
        <v>1665</v>
      </c>
      <c r="BD216" s="30" t="s">
        <v>145</v>
      </c>
      <c r="BE216" s="30" t="n">
        <f aca="false">IF(COUNTIFS('Reguler Class Availability'!$L:$L,$B$4&amp;"|- Lane 4 - *|"&amp;BD216)&gt;0,1,0)</f>
        <v>0</v>
      </c>
      <c r="BF216" s="30" t="n">
        <f aca="false">BE216+BF215</f>
        <v>8</v>
      </c>
    </row>
    <row r="217" customFormat="false" ht="27.75" hidden="false" customHeight="true" outlineLevel="0" collapsed="false">
      <c r="A217" s="76" t="n">
        <v>91</v>
      </c>
      <c r="B217" s="77" t="s">
        <v>116</v>
      </c>
      <c r="C217" s="76" t="s">
        <v>121</v>
      </c>
      <c r="D217" s="76" t="n">
        <v>3</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Belum terisi</v>
      </c>
      <c r="F217" s="77" t="str">
        <f aca="false">IF($Q217="","",PROPER(INDEX('Reguler Class Availability'!$B:$B,$Q217)&amp;""))</f>
        <v>Kids</v>
      </c>
      <c r="G217" s="76" t="n">
        <f aca="false">IF($Q217="","",IFERROR(--(INDEX('Reguler Class Availability'!$F:$F,$Q217)&amp;""),0))</f>
        <v>4</v>
      </c>
      <c r="H217" s="77" t="str">
        <f aca="false">IF($Q217="","",PROPER(INDEX('Reguler Class Availability'!$I:$I,$Q217)&amp;"")&amp;IF(INDEX('Reguler Class Availability'!$J:$J,$Q217)&amp;""="",""," + asst "&amp;PROPER(INDEX('Reguler Class Availability'!$J:$J,$Q217)&amp;"")))</f>
        <v/>
      </c>
      <c r="I217" s="77" t="s">
        <v>418</v>
      </c>
      <c r="J217" s="77" t="s">
        <v>188</v>
      </c>
      <c r="K217" s="78"/>
      <c r="L217" s="78"/>
      <c r="M217" s="78"/>
      <c r="N217" s="79"/>
      <c r="O217" s="78"/>
      <c r="Q217" s="30" t="n">
        <f aca="false">IFERROR(MATCH($B$4&amp;"|- Lane "&amp;D217&amp;" - "&amp;B217&amp;"|"&amp;C217,'Reguler Class Availability'!$L:$L,0),"")</f>
        <v>1749</v>
      </c>
      <c r="BD217" s="30" t="s">
        <v>146</v>
      </c>
      <c r="BE217" s="30" t="n">
        <f aca="false">IF(COUNTIFS('Reguler Class Availability'!$L:$L,$B$4&amp;"|- Lane 4 - *|"&amp;BD217)&gt;0,1,0)</f>
        <v>0</v>
      </c>
      <c r="BF217" s="30" t="n">
        <f aca="false">BE217+BF216</f>
        <v>8</v>
      </c>
    </row>
    <row r="218" customFormat="false" ht="27.75" hidden="false" customHeight="true" outlineLevel="0" collapsed="false">
      <c r="A218" s="76" t="n">
        <v>92</v>
      </c>
      <c r="B218" s="77" t="s">
        <v>116</v>
      </c>
      <c r="C218" s="76" t="s">
        <v>121</v>
      </c>
      <c r="D218" s="76" t="n">
        <v>4</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Belum terisi</v>
      </c>
      <c r="F218" s="77" t="str">
        <f aca="false">IF($Q218="","",PROPER(INDEX('Reguler Class Availability'!$B:$B,$Q218)&amp;""))</f>
        <v>Kids</v>
      </c>
      <c r="G218" s="76" t="n">
        <f aca="false">IF($Q218="","",IFERROR(--(INDEX('Reguler Class Availability'!$F:$F,$Q218)&amp;""),0))</f>
        <v>4</v>
      </c>
      <c r="H218" s="77" t="str">
        <f aca="false">IF($Q218="","",PROPER(INDEX('Reguler Class Availability'!$I:$I,$Q218)&amp;"")&amp;IF(INDEX('Reguler Class Availability'!$J:$J,$Q218)&amp;""="",""," + asst "&amp;PROPER(INDEX('Reguler Class Availability'!$J:$J,$Q218)&amp;"")))</f>
        <v/>
      </c>
      <c r="I218" s="77" t="s">
        <v>418</v>
      </c>
      <c r="J218" s="77" t="s">
        <v>188</v>
      </c>
      <c r="K218" s="78"/>
      <c r="L218" s="78"/>
      <c r="M218" s="78"/>
      <c r="N218" s="79"/>
      <c r="O218" s="78"/>
      <c r="Q218" s="30" t="n">
        <f aca="false">IFERROR(MATCH($B$4&amp;"|- Lane "&amp;D218&amp;" - "&amp;B218&amp;"|"&amp;C218,'Reguler Class Availability'!$L:$L,0),"")</f>
        <v>1833</v>
      </c>
      <c r="BD218" s="30" t="s">
        <v>147</v>
      </c>
      <c r="BE218" s="30" t="n">
        <f aca="false">IF(COUNTIFS('Reguler Class Availability'!$L:$L,$B$4&amp;"|- Lane 4 - *|"&amp;BD218)&gt;0,1,0)</f>
        <v>1</v>
      </c>
      <c r="BF218" s="30" t="n">
        <f aca="false">BE218+BF217</f>
        <v>9</v>
      </c>
    </row>
    <row r="219" customFormat="false" ht="27.75" hidden="false" customHeight="true" outlineLevel="0" collapsed="false">
      <c r="A219" s="76" t="n">
        <v>93</v>
      </c>
      <c r="B219" s="77" t="s">
        <v>116</v>
      </c>
      <c r="C219" s="76" t="s">
        <v>123</v>
      </c>
      <c r="D219" s="76" t="n">
        <v>2</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Belum terisi</v>
      </c>
      <c r="F219" s="77" t="str">
        <f aca="false">IF($Q219="","",PROPER(INDEX('Reguler Class Availability'!$B:$B,$Q219)&amp;""))</f>
        <v>Little</v>
      </c>
      <c r="G219" s="76" t="n">
        <f aca="false">IF($Q219="","",IFERROR(--(INDEX('Reguler Class Availability'!$F:$F,$Q219)&amp;""),0))</f>
        <v>5</v>
      </c>
      <c r="H219" s="77" t="str">
        <f aca="false">IF($Q219="","",PROPER(INDEX('Reguler Class Availability'!$I:$I,$Q219)&amp;"")&amp;IF(INDEX('Reguler Class Availability'!$J:$J,$Q219)&amp;""="",""," + asst "&amp;PROPER(INDEX('Reguler Class Availability'!$J:$J,$Q219)&amp;"")))</f>
        <v/>
      </c>
      <c r="I219" s="77" t="s">
        <v>418</v>
      </c>
      <c r="J219" s="77" t="s">
        <v>188</v>
      </c>
      <c r="K219" s="78"/>
      <c r="L219" s="78"/>
      <c r="M219" s="78"/>
      <c r="N219" s="79"/>
      <c r="O219" s="78"/>
      <c r="Q219" s="30" t="n">
        <f aca="false">IFERROR(MATCH($B$4&amp;"|- Lane "&amp;D219&amp;" - "&amp;B219&amp;"|"&amp;C219,'Reguler Class Availability'!$L:$L,0),"")</f>
        <v>1666</v>
      </c>
      <c r="BD219" s="30" t="s">
        <v>148</v>
      </c>
      <c r="BE219" s="30" t="n">
        <f aca="false">IF(COUNTIFS('Reguler Class Availability'!$L:$L,$B$4&amp;"|- Lane 4 - *|"&amp;BD219)&gt;0,1,0)</f>
        <v>0</v>
      </c>
      <c r="BF219" s="30" t="n">
        <f aca="false">BE219+BF218</f>
        <v>9</v>
      </c>
    </row>
    <row r="220" customFormat="false" ht="27.75" hidden="false" customHeight="true" outlineLevel="0" collapsed="false">
      <c r="A220" s="76" t="n">
        <v>94</v>
      </c>
      <c r="B220" s="77" t="s">
        <v>116</v>
      </c>
      <c r="C220" s="76" t="s">
        <v>124</v>
      </c>
      <c r="D220" s="76" t="n">
        <v>3</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Belum terisi</v>
      </c>
      <c r="F220" s="77" t="str">
        <f aca="false">IF($Q220="","",PROPER(INDEX('Reguler Class Availability'!$B:$B,$Q220)&amp;""))</f>
        <v>Kids</v>
      </c>
      <c r="G220" s="76" t="n">
        <f aca="false">IF($Q220="","",IFERROR(--(INDEX('Reguler Class Availability'!$F:$F,$Q220)&amp;""),0))</f>
        <v>4</v>
      </c>
      <c r="H220" s="77" t="str">
        <f aca="false">IF($Q220="","",PROPER(INDEX('Reguler Class Availability'!$I:$I,$Q220)&amp;"")&amp;IF(INDEX('Reguler Class Availability'!$J:$J,$Q220)&amp;""="",""," + asst "&amp;PROPER(INDEX('Reguler Class Availability'!$J:$J,$Q220)&amp;"")))</f>
        <v/>
      </c>
      <c r="I220" s="77" t="s">
        <v>418</v>
      </c>
      <c r="J220" s="77" t="s">
        <v>188</v>
      </c>
      <c r="K220" s="78"/>
      <c r="L220" s="78"/>
      <c r="M220" s="78"/>
      <c r="N220" s="79"/>
      <c r="O220" s="78"/>
      <c r="Q220" s="30" t="n">
        <f aca="false">IFERROR(MATCH($B$4&amp;"|- Lane "&amp;D220&amp;" - "&amp;B220&amp;"|"&amp;C220,'Reguler Class Availability'!$L:$L,0),"")</f>
        <v>1750</v>
      </c>
      <c r="BD220" s="30" t="s">
        <v>149</v>
      </c>
      <c r="BE220" s="30" t="n">
        <f aca="false">IF(COUNTIFS('Reguler Class Availability'!$L:$L,$B$4&amp;"|- Lane 4 - *|"&amp;BD220)&gt;0,1,0)</f>
        <v>0</v>
      </c>
      <c r="BF220" s="30" t="n">
        <f aca="false">BE220+BF219</f>
        <v>9</v>
      </c>
    </row>
    <row r="221" customFormat="false" ht="27.75" hidden="false" customHeight="true" outlineLevel="0" collapsed="false">
      <c r="A221" s="76" t="n">
        <v>95</v>
      </c>
      <c r="B221" s="77" t="s">
        <v>116</v>
      </c>
      <c r="C221" s="76" t="s">
        <v>124</v>
      </c>
      <c r="D221" s="76" t="n">
        <v>4</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Belum terisi</v>
      </c>
      <c r="F221" s="77" t="str">
        <f aca="false">IF($Q221="","",PROPER(INDEX('Reguler Class Availability'!$B:$B,$Q221)&amp;""))</f>
        <v>Kids</v>
      </c>
      <c r="G221" s="76" t="n">
        <f aca="false">IF($Q221="","",IFERROR(--(INDEX('Reguler Class Availability'!$F:$F,$Q221)&amp;""),0))</f>
        <v>4</v>
      </c>
      <c r="H221" s="77" t="str">
        <f aca="false">IF($Q221="","",PROPER(INDEX('Reguler Class Availability'!$I:$I,$Q221)&amp;"")&amp;IF(INDEX('Reguler Class Availability'!$J:$J,$Q221)&amp;""="",""," + asst "&amp;PROPER(INDEX('Reguler Class Availability'!$J:$J,$Q221)&amp;"")))</f>
        <v/>
      </c>
      <c r="I221" s="77" t="s">
        <v>418</v>
      </c>
      <c r="J221" s="77" t="s">
        <v>188</v>
      </c>
      <c r="K221" s="78"/>
      <c r="L221" s="78"/>
      <c r="M221" s="78"/>
      <c r="N221" s="79"/>
      <c r="O221" s="78"/>
      <c r="Q221" s="30" t="n">
        <f aca="false">IFERROR(MATCH($B$4&amp;"|- Lane "&amp;D221&amp;" - "&amp;B221&amp;"|"&amp;C221,'Reguler Class Availability'!$L:$L,0),"")</f>
        <v>1834</v>
      </c>
      <c r="BD221" s="30" t="s">
        <v>150</v>
      </c>
      <c r="BE221" s="30" t="n">
        <f aca="false">IF(COUNTIFS('Reguler Class Availability'!$L:$L,$B$4&amp;"|- Lane 4 - *|"&amp;BD221)&gt;0,1,0)</f>
        <v>1</v>
      </c>
      <c r="BF221" s="30" t="n">
        <f aca="false">BE221+BF220</f>
        <v>10</v>
      </c>
    </row>
    <row r="222" customFormat="false" ht="27.75" hidden="false" customHeight="true" outlineLevel="0" collapsed="false">
      <c r="A222" s="76" t="n">
        <v>96</v>
      </c>
      <c r="B222" s="77" t="s">
        <v>116</v>
      </c>
      <c r="C222" s="76" t="s">
        <v>126</v>
      </c>
      <c r="D222" s="76" t="n">
        <v>1</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Belum terisi</v>
      </c>
      <c r="F222" s="77" t="str">
        <f aca="false">IF($Q222="","",PROPER(INDEX('Reguler Class Availability'!$B:$B,$Q222)&amp;""))</f>
        <v>Baby</v>
      </c>
      <c r="G222" s="76" t="n">
        <f aca="false">IF($Q222="","",IFERROR(--(INDEX('Reguler Class Availability'!$F:$F,$Q222)&amp;""),0))</f>
        <v>5</v>
      </c>
      <c r="H222" s="77" t="str">
        <f aca="false">IF($Q222="","",PROPER(INDEX('Reguler Class Availability'!$I:$I,$Q222)&amp;"")&amp;IF(INDEX('Reguler Class Availability'!$J:$J,$Q222)&amp;""="",""," + asst "&amp;PROPER(INDEX('Reguler Class Availability'!$J:$J,$Q222)&amp;"")))</f>
        <v/>
      </c>
      <c r="I222" s="77" t="s">
        <v>417</v>
      </c>
      <c r="J222" s="77" t="s">
        <v>188</v>
      </c>
      <c r="K222" s="78"/>
      <c r="L222" s="78"/>
      <c r="M222" s="78"/>
      <c r="N222" s="79"/>
      <c r="O222" s="78"/>
      <c r="Q222" s="30" t="n">
        <f aca="false">IFERROR(MATCH($B$4&amp;"|- Lane "&amp;D222&amp;" - "&amp;B222&amp;"|"&amp;C222,'Reguler Class Availability'!$L:$L,0),"")</f>
        <v>1583</v>
      </c>
      <c r="BD222" s="30" t="s">
        <v>151</v>
      </c>
      <c r="BE222" s="30" t="n">
        <f aca="false">IF(COUNTIFS('Reguler Class Availability'!$L:$L,$B$4&amp;"|- Lane 4 - *|"&amp;BD222)&gt;0,1,0)</f>
        <v>0</v>
      </c>
      <c r="BF222" s="30" t="n">
        <f aca="false">BE222+BF221</f>
        <v>10</v>
      </c>
    </row>
    <row r="223" customFormat="false" ht="27.75" hidden="false" customHeight="true" outlineLevel="0" collapsed="false">
      <c r="A223" s="76" t="n">
        <v>97</v>
      </c>
      <c r="B223" s="77" t="s">
        <v>116</v>
      </c>
      <c r="C223" s="76" t="s">
        <v>126</v>
      </c>
      <c r="D223" s="76" t="n">
        <v>2</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Belum terisi</v>
      </c>
      <c r="F223" s="77" t="str">
        <f aca="false">IF($Q223="","",PROPER(INDEX('Reguler Class Availability'!$B:$B,$Q223)&amp;""))</f>
        <v>Little</v>
      </c>
      <c r="G223" s="76" t="n">
        <f aca="false">IF($Q223="","",IFERROR(--(INDEX('Reguler Class Availability'!$F:$F,$Q223)&amp;""),0))</f>
        <v>5</v>
      </c>
      <c r="H223" s="77" t="str">
        <f aca="false">IF($Q223="","",PROPER(INDEX('Reguler Class Availability'!$I:$I,$Q223)&amp;"")&amp;IF(INDEX('Reguler Class Availability'!$J:$J,$Q223)&amp;""="",""," + asst "&amp;PROPER(INDEX('Reguler Class Availability'!$J:$J,$Q223)&amp;"")))</f>
        <v/>
      </c>
      <c r="I223" s="77" t="s">
        <v>417</v>
      </c>
      <c r="J223" s="77" t="s">
        <v>188</v>
      </c>
      <c r="K223" s="78"/>
      <c r="L223" s="78"/>
      <c r="M223" s="78"/>
      <c r="N223" s="79"/>
      <c r="O223" s="78"/>
      <c r="Q223" s="30" t="n">
        <f aca="false">IFERROR(MATCH($B$4&amp;"|- Lane "&amp;D223&amp;" - "&amp;B223&amp;"|"&amp;C223,'Reguler Class Availability'!$L:$L,0),"")</f>
        <v>1667</v>
      </c>
      <c r="BD223" s="30" t="s">
        <v>152</v>
      </c>
      <c r="BE223" s="30" t="n">
        <f aca="false">IF(COUNTIFS('Reguler Class Availability'!$L:$L,$B$4&amp;"|- Lane 4 - *|"&amp;BD223)&gt;0,1,0)</f>
        <v>0</v>
      </c>
      <c r="BF223" s="30" t="n">
        <f aca="false">BE223+BF222</f>
        <v>10</v>
      </c>
    </row>
    <row r="224" customFormat="false" ht="27.75" hidden="false" customHeight="true" outlineLevel="0" collapsed="false">
      <c r="A224" s="76" t="n">
        <v>98</v>
      </c>
      <c r="B224" s="77" t="s">
        <v>116</v>
      </c>
      <c r="C224" s="76" t="s">
        <v>127</v>
      </c>
      <c r="D224" s="76" t="n">
        <v>3</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Belum terisi</v>
      </c>
      <c r="F224" s="77" t="str">
        <f aca="false">IF($Q224="","",PROPER(INDEX('Reguler Class Availability'!$B:$B,$Q224)&amp;""))</f>
        <v>Kids</v>
      </c>
      <c r="G224" s="76" t="n">
        <f aca="false">IF($Q224="","",IFERROR(--(INDEX('Reguler Class Availability'!$F:$F,$Q224)&amp;""),0))</f>
        <v>4</v>
      </c>
      <c r="H224" s="77" t="str">
        <f aca="false">IF($Q224="","",PROPER(INDEX('Reguler Class Availability'!$I:$I,$Q224)&amp;"")&amp;IF(INDEX('Reguler Class Availability'!$J:$J,$Q224)&amp;""="",""," + asst "&amp;PROPER(INDEX('Reguler Class Availability'!$J:$J,$Q224)&amp;"")))</f>
        <v/>
      </c>
      <c r="I224" s="77" t="s">
        <v>419</v>
      </c>
      <c r="J224" s="77" t="s">
        <v>188</v>
      </c>
      <c r="K224" s="78"/>
      <c r="L224" s="78"/>
      <c r="M224" s="78"/>
      <c r="N224" s="79"/>
      <c r="O224" s="78"/>
      <c r="Q224" s="30" t="n">
        <f aca="false">IFERROR(MATCH($B$4&amp;"|- Lane "&amp;D224&amp;" - "&amp;B224&amp;"|"&amp;C224,'Reguler Class Availability'!$L:$L,0),"")</f>
        <v>1751</v>
      </c>
      <c r="BD224" s="30" t="s">
        <v>153</v>
      </c>
      <c r="BE224" s="30" t="n">
        <f aca="false">IF(COUNTIFS('Reguler Class Availability'!$L:$L,$B$4&amp;"|- Lane 4 - *|"&amp;BD224)&gt;0,1,0)</f>
        <v>1</v>
      </c>
      <c r="BF224" s="30" t="n">
        <f aca="false">BE224+BF223</f>
        <v>11</v>
      </c>
    </row>
    <row r="225" customFormat="false" ht="27.75" hidden="false" customHeight="true" outlineLevel="0" collapsed="false">
      <c r="A225" s="76" t="n">
        <v>99</v>
      </c>
      <c r="B225" s="77" t="s">
        <v>116</v>
      </c>
      <c r="C225" s="76" t="s">
        <v>127</v>
      </c>
      <c r="D225" s="76" t="n">
        <v>4</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Belum terisi</v>
      </c>
      <c r="F225" s="77" t="str">
        <f aca="false">IF($Q225="","",PROPER(INDEX('Reguler Class Availability'!$B:$B,$Q225)&amp;""))</f>
        <v>Kids</v>
      </c>
      <c r="G225" s="76" t="n">
        <f aca="false">IF($Q225="","",IFERROR(--(INDEX('Reguler Class Availability'!$F:$F,$Q225)&amp;""),0))</f>
        <v>4</v>
      </c>
      <c r="H225" s="77" t="str">
        <f aca="false">IF($Q225="","",PROPER(INDEX('Reguler Class Availability'!$I:$I,$Q225)&amp;"")&amp;IF(INDEX('Reguler Class Availability'!$J:$J,$Q225)&amp;""="",""," + asst "&amp;PROPER(INDEX('Reguler Class Availability'!$J:$J,$Q225)&amp;"")))</f>
        <v/>
      </c>
      <c r="I225" s="77" t="s">
        <v>419</v>
      </c>
      <c r="J225" s="77" t="s">
        <v>188</v>
      </c>
      <c r="K225" s="78"/>
      <c r="L225" s="78"/>
      <c r="M225" s="78"/>
      <c r="N225" s="79"/>
      <c r="O225" s="78"/>
      <c r="Q225" s="30" t="n">
        <f aca="false">IFERROR(MATCH($B$4&amp;"|- Lane "&amp;D225&amp;" - "&amp;B225&amp;"|"&amp;C225,'Reguler Class Availability'!$L:$L,0),"")</f>
        <v>1835</v>
      </c>
      <c r="BD225" s="30" t="s">
        <v>154</v>
      </c>
      <c r="BE225" s="30" t="n">
        <f aca="false">IF(COUNTIFS('Reguler Class Availability'!$L:$L,$B$4&amp;"|- Lane 4 - *|"&amp;BD225)&gt;0,1,0)</f>
        <v>0</v>
      </c>
      <c r="BF225" s="30" t="n">
        <f aca="false">BE225+BF224</f>
        <v>11</v>
      </c>
    </row>
    <row r="226" customFormat="false" ht="27.75" hidden="false" customHeight="true" outlineLevel="0" collapsed="false">
      <c r="A226" s="76" t="n">
        <v>100</v>
      </c>
      <c r="B226" s="77" t="s">
        <v>116</v>
      </c>
      <c r="C226" s="76" t="s">
        <v>129</v>
      </c>
      <c r="D226" s="76" t="n">
        <v>1</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Belum terisi</v>
      </c>
      <c r="F226" s="77" t="str">
        <f aca="false">IF($Q226="","",PROPER(INDEX('Reguler Class Availability'!$B:$B,$Q226)&amp;""))</f>
        <v>Tiny</v>
      </c>
      <c r="G226" s="76" t="n">
        <f aca="false">IF($Q226="","",IFERROR(--(INDEX('Reguler Class Availability'!$F:$F,$Q226)&amp;""),0))</f>
        <v>5</v>
      </c>
      <c r="H226" s="77" t="str">
        <f aca="false">IF($Q226="","",PROPER(INDEX('Reguler Class Availability'!$I:$I,$Q226)&amp;"")&amp;IF(INDEX('Reguler Class Availability'!$J:$J,$Q226)&amp;""="",""," + asst "&amp;PROPER(INDEX('Reguler Class Availability'!$J:$J,$Q226)&amp;"")))</f>
        <v/>
      </c>
      <c r="I226" s="77" t="s">
        <v>419</v>
      </c>
      <c r="J226" s="77" t="s">
        <v>188</v>
      </c>
      <c r="K226" s="78"/>
      <c r="L226" s="78"/>
      <c r="M226" s="78"/>
      <c r="N226" s="79"/>
      <c r="O226" s="78"/>
      <c r="Q226" s="30" t="n">
        <f aca="false">IFERROR(MATCH($B$4&amp;"|- Lane "&amp;D226&amp;" - "&amp;B226&amp;"|"&amp;C226,'Reguler Class Availability'!$L:$L,0),"")</f>
        <v>1584</v>
      </c>
      <c r="BD226" s="30" t="s">
        <v>155</v>
      </c>
      <c r="BE226" s="30" t="n">
        <f aca="false">IF(COUNTIFS('Reguler Class Availability'!$L:$L,$B$4&amp;"|- Lane 4 - *|"&amp;BD226)&gt;0,1,0)</f>
        <v>0</v>
      </c>
      <c r="BF226" s="30" t="n">
        <f aca="false">BE226+BF225</f>
        <v>11</v>
      </c>
    </row>
    <row r="227" customFormat="false" ht="27.75" hidden="false" customHeight="true" outlineLevel="0" collapsed="false">
      <c r="A227" s="76" t="n">
        <v>101</v>
      </c>
      <c r="B227" s="77" t="s">
        <v>116</v>
      </c>
      <c r="C227" s="76" t="s">
        <v>130</v>
      </c>
      <c r="D227" s="76" t="n">
        <v>3</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Kids</v>
      </c>
      <c r="G227" s="76" t="n">
        <f aca="false">IF($Q227="","",IFERROR(--(INDEX('Reguler Class Availability'!$F:$F,$Q227)&amp;""),0))</f>
        <v>4</v>
      </c>
      <c r="H227" s="77" t="str">
        <f aca="false">IF($Q227="","",PROPER(INDEX('Reguler Class Availability'!$I:$I,$Q227)&amp;"")&amp;IF(INDEX('Reguler Class Availability'!$J:$J,$Q227)&amp;""="",""," + asst "&amp;PROPER(INDEX('Reguler Class Availability'!$J:$J,$Q227)&amp;"")))</f>
        <v/>
      </c>
      <c r="I227" s="77" t="s">
        <v>419</v>
      </c>
      <c r="J227" s="77" t="s">
        <v>188</v>
      </c>
      <c r="K227" s="78"/>
      <c r="L227" s="78"/>
      <c r="M227" s="78"/>
      <c r="N227" s="79"/>
      <c r="O227" s="78"/>
      <c r="Q227" s="30" t="n">
        <f aca="false">IFERROR(MATCH($B$4&amp;"|- Lane "&amp;D227&amp;" - "&amp;B227&amp;"|"&amp;C227,'Reguler Class Availability'!$L:$L,0),"")</f>
        <v>1752</v>
      </c>
      <c r="BD227" s="30" t="s">
        <v>156</v>
      </c>
      <c r="BE227" s="30" t="n">
        <f aca="false">IF(COUNTIFS('Reguler Class Availability'!$L:$L,$B$4&amp;"|- Lane 4 - *|"&amp;BD227)&gt;0,1,0)</f>
        <v>1</v>
      </c>
      <c r="BF227" s="30" t="n">
        <f aca="false">BE227+BF226</f>
        <v>12</v>
      </c>
    </row>
    <row r="228" customFormat="false" ht="27.75" hidden="false" customHeight="true" outlineLevel="0" collapsed="false">
      <c r="A228" s="76" t="n">
        <v>102</v>
      </c>
      <c r="B228" s="77" t="s">
        <v>116</v>
      </c>
      <c r="C228" s="76" t="s">
        <v>130</v>
      </c>
      <c r="D228" s="76" t="n">
        <v>4</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Belum terisi</v>
      </c>
      <c r="F228" s="77" t="str">
        <f aca="false">IF($Q228="","",PROPER(INDEX('Reguler Class Availability'!$B:$B,$Q228)&amp;""))</f>
        <v>Kids</v>
      </c>
      <c r="G228" s="76" t="n">
        <f aca="false">IF($Q228="","",IFERROR(--(INDEX('Reguler Class Availability'!$F:$F,$Q228)&amp;""),0))</f>
        <v>4</v>
      </c>
      <c r="H228" s="77" t="str">
        <f aca="false">IF($Q228="","",PROPER(INDEX('Reguler Class Availability'!$I:$I,$Q228)&amp;"")&amp;IF(INDEX('Reguler Class Availability'!$J:$J,$Q228)&amp;""="",""," + asst "&amp;PROPER(INDEX('Reguler Class Availability'!$J:$J,$Q228)&amp;"")))</f>
        <v/>
      </c>
      <c r="I228" s="77" t="s">
        <v>419</v>
      </c>
      <c r="J228" s="77" t="s">
        <v>188</v>
      </c>
      <c r="K228" s="78"/>
      <c r="L228" s="78"/>
      <c r="M228" s="78"/>
      <c r="N228" s="79"/>
      <c r="O228" s="78"/>
      <c r="Q228" s="30" t="n">
        <f aca="false">IFERROR(MATCH($B$4&amp;"|- Lane "&amp;D228&amp;" - "&amp;B228&amp;"|"&amp;C228,'Reguler Class Availability'!$L:$L,0),"")</f>
        <v>1836</v>
      </c>
      <c r="BD228" s="30" t="s">
        <v>157</v>
      </c>
      <c r="BE228" s="30" t="n">
        <f aca="false">IF(COUNTIFS('Reguler Class Availability'!$L:$L,$B$4&amp;"|- Lane 4 - *|"&amp;BD228)&gt;0,1,0)</f>
        <v>0</v>
      </c>
      <c r="BF228" s="30" t="n">
        <f aca="false">BE228+BF227</f>
        <v>12</v>
      </c>
    </row>
    <row r="229" customFormat="false" ht="27.75" hidden="false" customHeight="true" outlineLevel="0" collapsed="false">
      <c r="A229" s="76" t="n">
        <v>103</v>
      </c>
      <c r="B229" s="77" t="s">
        <v>116</v>
      </c>
      <c r="C229" s="76" t="s">
        <v>132</v>
      </c>
      <c r="D229" s="76" t="n">
        <v>1</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Belum terisi</v>
      </c>
      <c r="F229" s="77" t="str">
        <f aca="false">IF($Q229="","",PROPER(INDEX('Reguler Class Availability'!$B:$B,$Q229)&amp;""))</f>
        <v>Baby</v>
      </c>
      <c r="G229" s="76" t="n">
        <f aca="false">IF($Q229="","",IFERROR(--(INDEX('Reguler Class Availability'!$F:$F,$Q229)&amp;""),0))</f>
        <v>5</v>
      </c>
      <c r="H229" s="77" t="str">
        <f aca="false">IF($Q229="","",PROPER(INDEX('Reguler Class Availability'!$I:$I,$Q229)&amp;"")&amp;IF(INDEX('Reguler Class Availability'!$J:$J,$Q229)&amp;""="",""," + asst "&amp;PROPER(INDEX('Reguler Class Availability'!$J:$J,$Q229)&amp;"")))</f>
        <v/>
      </c>
      <c r="I229" s="77" t="s">
        <v>417</v>
      </c>
      <c r="J229" s="77" t="s">
        <v>188</v>
      </c>
      <c r="K229" s="78"/>
      <c r="L229" s="78"/>
      <c r="M229" s="78"/>
      <c r="N229" s="79"/>
      <c r="O229" s="78"/>
      <c r="Q229" s="30" t="n">
        <f aca="false">IFERROR(MATCH($B$4&amp;"|- Lane "&amp;D229&amp;" - "&amp;B229&amp;"|"&amp;C229,'Reguler Class Availability'!$L:$L,0),"")</f>
        <v>1585</v>
      </c>
      <c r="BD229" s="30" t="s">
        <v>158</v>
      </c>
      <c r="BE229" s="30" t="n">
        <f aca="false">IF(COUNTIFS('Reguler Class Availability'!$L:$L,$B$4&amp;"|- Lane 4 - *|"&amp;BD229)&gt;0,1,0)</f>
        <v>0</v>
      </c>
      <c r="BF229" s="30" t="n">
        <f aca="false">BE229+BF228</f>
        <v>12</v>
      </c>
    </row>
    <row r="230" customFormat="false" ht="27.75" hidden="false" customHeight="true" outlineLevel="0" collapsed="false">
      <c r="A230" s="76" t="n">
        <v>104</v>
      </c>
      <c r="B230" s="77" t="s">
        <v>116</v>
      </c>
      <c r="C230" s="76" t="s">
        <v>132</v>
      </c>
      <c r="D230" s="76" t="n">
        <v>2</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Belum terisi</v>
      </c>
      <c r="F230" s="77" t="str">
        <f aca="false">IF($Q230="","",PROPER(INDEX('Reguler Class Availability'!$B:$B,$Q230)&amp;""))</f>
        <v>Little</v>
      </c>
      <c r="G230" s="76" t="n">
        <f aca="false">IF($Q230="","",IFERROR(--(INDEX('Reguler Class Availability'!$F:$F,$Q230)&amp;""),0))</f>
        <v>5</v>
      </c>
      <c r="H230" s="77" t="str">
        <f aca="false">IF($Q230="","",PROPER(INDEX('Reguler Class Availability'!$I:$I,$Q230)&amp;"")&amp;IF(INDEX('Reguler Class Availability'!$J:$J,$Q230)&amp;""="",""," + asst "&amp;PROPER(INDEX('Reguler Class Availability'!$J:$J,$Q230)&amp;"")))</f>
        <v/>
      </c>
      <c r="I230" s="77" t="s">
        <v>417</v>
      </c>
      <c r="J230" s="77" t="s">
        <v>188</v>
      </c>
      <c r="K230" s="78"/>
      <c r="L230" s="78"/>
      <c r="M230" s="78"/>
      <c r="N230" s="79"/>
      <c r="O230" s="78"/>
      <c r="Q230" s="30" t="n">
        <f aca="false">IFERROR(MATCH($B$4&amp;"|- Lane "&amp;D230&amp;" - "&amp;B230&amp;"|"&amp;C230,'Reguler Class Availability'!$L:$L,0),"")</f>
        <v>1669</v>
      </c>
      <c r="BD230" s="30" t="s">
        <v>160</v>
      </c>
      <c r="BE230" s="30" t="n">
        <f aca="false">IF(COUNTIFS('Reguler Class Availability'!$L:$L,$B$4&amp;"|- Lane 4 - *|"&amp;BD230)&gt;0,1,0)</f>
        <v>0</v>
      </c>
      <c r="BF230" s="30" t="n">
        <f aca="false">BE230+BF229</f>
        <v>12</v>
      </c>
    </row>
    <row r="231" customFormat="false" ht="27.75" hidden="false" customHeight="true" outlineLevel="0" collapsed="false">
      <c r="A231" s="76" t="n">
        <v>105</v>
      </c>
      <c r="B231" s="77" t="s">
        <v>116</v>
      </c>
      <c r="C231" s="76" t="s">
        <v>133</v>
      </c>
      <c r="D231" s="76" t="n">
        <v>3</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Belum terisi</v>
      </c>
      <c r="F231" s="77" t="str">
        <f aca="false">IF($Q231="","",PROPER(INDEX('Reguler Class Availability'!$B:$B,$Q231)&amp;""))</f>
        <v>Kids</v>
      </c>
      <c r="G231" s="76" t="n">
        <f aca="false">IF($Q231="","",IFERROR(--(INDEX('Reguler Class Availability'!$F:$F,$Q231)&amp;""),0))</f>
        <v>4</v>
      </c>
      <c r="H231" s="77" t="str">
        <f aca="false">IF($Q231="","",PROPER(INDEX('Reguler Class Availability'!$I:$I,$Q231)&amp;"")&amp;IF(INDEX('Reguler Class Availability'!$J:$J,$Q231)&amp;""="",""," + asst "&amp;PROPER(INDEX('Reguler Class Availability'!$J:$J,$Q231)&amp;"")))</f>
        <v/>
      </c>
      <c r="I231" s="77" t="s">
        <v>417</v>
      </c>
      <c r="J231" s="77" t="s">
        <v>188</v>
      </c>
      <c r="K231" s="78"/>
      <c r="L231" s="78"/>
      <c r="M231" s="78"/>
      <c r="N231" s="79"/>
      <c r="O231" s="78"/>
      <c r="Q231" s="30" t="n">
        <f aca="false">IFERROR(MATCH($B$4&amp;"|- Lane "&amp;D231&amp;" - "&amp;B231&amp;"|"&amp;C231,'Reguler Class Availability'!$L:$L,0),"")</f>
        <v>1753</v>
      </c>
      <c r="BD231" s="30" t="s">
        <v>161</v>
      </c>
      <c r="BE231" s="30" t="n">
        <f aca="false">IF(COUNTIFS('Reguler Class Availability'!$L:$L,$B$4&amp;"|- Lane 4 - *|"&amp;BD231)&gt;0,1,0)</f>
        <v>0</v>
      </c>
      <c r="BF231" s="30" t="n">
        <f aca="false">BE231+BF230</f>
        <v>12</v>
      </c>
    </row>
    <row r="232" customFormat="false" ht="27.75" hidden="false" customHeight="true" outlineLevel="0" collapsed="false">
      <c r="A232" s="76" t="n">
        <v>106</v>
      </c>
      <c r="B232" s="77" t="s">
        <v>116</v>
      </c>
      <c r="C232" s="76" t="s">
        <v>133</v>
      </c>
      <c r="D232" s="76" t="n">
        <v>4</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Belum terisi</v>
      </c>
      <c r="F232" s="77" t="str">
        <f aca="false">IF($Q232="","",PROPER(INDEX('Reguler Class Availability'!$B:$B,$Q232)&amp;""))</f>
        <v>Kids</v>
      </c>
      <c r="G232" s="76" t="n">
        <f aca="false">IF($Q232="","",IFERROR(--(INDEX('Reguler Class Availability'!$F:$F,$Q232)&amp;""),0))</f>
        <v>4</v>
      </c>
      <c r="H232" s="77" t="str">
        <f aca="false">IF($Q232="","",PROPER(INDEX('Reguler Class Availability'!$I:$I,$Q232)&amp;"")&amp;IF(INDEX('Reguler Class Availability'!$J:$J,$Q232)&amp;""="",""," + asst "&amp;PROPER(INDEX('Reguler Class Availability'!$J:$J,$Q232)&amp;"")))</f>
        <v/>
      </c>
      <c r="I232" s="77" t="s">
        <v>417</v>
      </c>
      <c r="J232" s="77" t="s">
        <v>188</v>
      </c>
      <c r="K232" s="78"/>
      <c r="L232" s="78"/>
      <c r="M232" s="78"/>
      <c r="N232" s="79"/>
      <c r="O232" s="78"/>
      <c r="Q232" s="30" t="n">
        <f aca="false">IFERROR(MATCH($B$4&amp;"|- Lane "&amp;D232&amp;" - "&amp;B232&amp;"|"&amp;C232,'Reguler Class Availability'!$L:$L,0),"")</f>
        <v>1837</v>
      </c>
      <c r="BD232" s="30" t="s">
        <v>162</v>
      </c>
      <c r="BE232" s="30" t="n">
        <f aca="false">IF(COUNTIFS('Reguler Class Availability'!$L:$L,$B$4&amp;"|- Lane 4 - *|"&amp;BD232)&gt;0,1,0)</f>
        <v>0</v>
      </c>
      <c r="BF232" s="30" t="n">
        <f aca="false">BE232+BF231</f>
        <v>12</v>
      </c>
    </row>
    <row r="233" customFormat="false" ht="27.75" hidden="false" customHeight="true" outlineLevel="0" collapsed="false">
      <c r="A233" s="76" t="n">
        <v>107</v>
      </c>
      <c r="B233" s="77" t="s">
        <v>116</v>
      </c>
      <c r="C233" s="76" t="s">
        <v>139</v>
      </c>
      <c r="D233" s="76" t="n">
        <v>1</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Belum terisi</v>
      </c>
      <c r="F233" s="77" t="str">
        <f aca="false">IF($Q233="","",PROPER(INDEX('Reguler Class Availability'!$B:$B,$Q233)&amp;""))</f>
        <v>Tiny</v>
      </c>
      <c r="G233" s="76" t="n">
        <f aca="false">IF($Q233="","",IFERROR(--(INDEX('Reguler Class Availability'!$F:$F,$Q233)&amp;""),0))</f>
        <v>5</v>
      </c>
      <c r="H233" s="77" t="str">
        <f aca="false">IF($Q233="","",PROPER(INDEX('Reguler Class Availability'!$I:$I,$Q233)&amp;"")&amp;IF(INDEX('Reguler Class Availability'!$J:$J,$Q233)&amp;""="",""," + asst "&amp;PROPER(INDEX('Reguler Class Availability'!$J:$J,$Q233)&amp;"")))</f>
        <v/>
      </c>
      <c r="I233" s="77" t="s">
        <v>419</v>
      </c>
      <c r="J233" s="77" t="s">
        <v>188</v>
      </c>
      <c r="K233" s="78"/>
      <c r="L233" s="78"/>
      <c r="M233" s="78"/>
      <c r="N233" s="79"/>
      <c r="O233" s="78"/>
      <c r="Q233" s="30" t="n">
        <f aca="false">IFERROR(MATCH($B$4&amp;"|- Lane "&amp;D233&amp;" - "&amp;B233&amp;"|"&amp;C233,'Reguler Class Availability'!$L:$L,0),"")</f>
        <v>1586</v>
      </c>
      <c r="BD233" s="30" t="s">
        <v>163</v>
      </c>
      <c r="BE233" s="30" t="n">
        <f aca="false">IF(COUNTIFS('Reguler Class Availability'!$L:$L,$B$4&amp;"|- Lane 4 - *|"&amp;BD233)&gt;0,1,0)</f>
        <v>0</v>
      </c>
      <c r="BF233" s="30" t="n">
        <f aca="false">BE233+BF232</f>
        <v>12</v>
      </c>
    </row>
    <row r="234" customFormat="false" ht="27.75" hidden="false" customHeight="true" outlineLevel="0" collapsed="false">
      <c r="A234" s="76" t="n">
        <v>108</v>
      </c>
      <c r="B234" s="77" t="s">
        <v>116</v>
      </c>
      <c r="C234" s="76" t="s">
        <v>141</v>
      </c>
      <c r="D234" s="76" t="n">
        <v>3</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Belum terisi</v>
      </c>
      <c r="F234" s="77" t="str">
        <f aca="false">IF($Q234="","",PROPER(INDEX('Reguler Class Availability'!$B:$B,$Q234)&amp;""))</f>
        <v>Kids</v>
      </c>
      <c r="G234" s="76" t="n">
        <f aca="false">IF($Q234="","",IFERROR(--(INDEX('Reguler Class Availability'!$F:$F,$Q234)&amp;""),0))</f>
        <v>4</v>
      </c>
      <c r="H234" s="77" t="str">
        <f aca="false">IF($Q234="","",PROPER(INDEX('Reguler Class Availability'!$I:$I,$Q234)&amp;"")&amp;IF(INDEX('Reguler Class Availability'!$J:$J,$Q234)&amp;""="",""," + asst "&amp;PROPER(INDEX('Reguler Class Availability'!$J:$J,$Q234)&amp;"")))</f>
        <v/>
      </c>
      <c r="I234" s="77" t="s">
        <v>419</v>
      </c>
      <c r="J234" s="77" t="s">
        <v>188</v>
      </c>
      <c r="K234" s="78"/>
      <c r="L234" s="78"/>
      <c r="M234" s="78"/>
      <c r="N234" s="79"/>
      <c r="O234" s="78"/>
      <c r="Q234" s="30" t="n">
        <f aca="false">IFERROR(MATCH($B$4&amp;"|- Lane "&amp;D234&amp;" - "&amp;B234&amp;"|"&amp;C234,'Reguler Class Availability'!$L:$L,0),"")</f>
        <v>1754</v>
      </c>
      <c r="BD234" s="30" t="s">
        <v>164</v>
      </c>
      <c r="BE234" s="30" t="n">
        <f aca="false">IF(COUNTIFS('Reguler Class Availability'!$L:$L,$B$4&amp;"|- Lane 4 - *|"&amp;BD234)&gt;0,1,0)</f>
        <v>0</v>
      </c>
      <c r="BF234" s="30" t="n">
        <f aca="false">BE234+BF233</f>
        <v>12</v>
      </c>
    </row>
    <row r="235" customFormat="false" ht="27.75" hidden="false" customHeight="true" outlineLevel="0" collapsed="false">
      <c r="A235" s="76" t="n">
        <v>109</v>
      </c>
      <c r="B235" s="77" t="s">
        <v>116</v>
      </c>
      <c r="C235" s="76" t="s">
        <v>141</v>
      </c>
      <c r="D235" s="76" t="n">
        <v>4</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Belum terisi</v>
      </c>
      <c r="F235" s="77" t="str">
        <f aca="false">IF($Q235="","",PROPER(INDEX('Reguler Class Availability'!$B:$B,$Q235)&amp;""))</f>
        <v>Kids</v>
      </c>
      <c r="G235" s="76" t="n">
        <f aca="false">IF($Q235="","",IFERROR(--(INDEX('Reguler Class Availability'!$F:$F,$Q235)&amp;""),0))</f>
        <v>4</v>
      </c>
      <c r="H235" s="77" t="str">
        <f aca="false">IF($Q235="","",PROPER(INDEX('Reguler Class Availability'!$I:$I,$Q235)&amp;"")&amp;IF(INDEX('Reguler Class Availability'!$J:$J,$Q235)&amp;""="",""," + asst "&amp;PROPER(INDEX('Reguler Class Availability'!$J:$J,$Q235)&amp;"")))</f>
        <v/>
      </c>
      <c r="I235" s="77" t="s">
        <v>419</v>
      </c>
      <c r="J235" s="77" t="s">
        <v>188</v>
      </c>
      <c r="K235" s="78"/>
      <c r="L235" s="78"/>
      <c r="M235" s="78"/>
      <c r="N235" s="79"/>
      <c r="O235" s="78"/>
      <c r="Q235" s="30" t="n">
        <f aca="false">IFERROR(MATCH($B$4&amp;"|- Lane "&amp;D235&amp;" - "&amp;B235&amp;"|"&amp;C235,'Reguler Class Availability'!$L:$L,0),"")</f>
        <v>1838</v>
      </c>
      <c r="BD235" s="30" t="s">
        <v>165</v>
      </c>
      <c r="BE235" s="30" t="n">
        <f aca="false">IF(COUNTIFS('Reguler Class Availability'!$L:$L,$B$4&amp;"|- Lane 4 - *|"&amp;BD235)&gt;0,1,0)</f>
        <v>0</v>
      </c>
      <c r="BF235" s="30" t="n">
        <f aca="false">BE235+BF234</f>
        <v>12</v>
      </c>
    </row>
    <row r="236" customFormat="false" ht="27.75" hidden="false" customHeight="true" outlineLevel="0" collapsed="false">
      <c r="A236" s="76" t="n">
        <v>110</v>
      </c>
      <c r="B236" s="77" t="s">
        <v>116</v>
      </c>
      <c r="C236" s="76" t="s">
        <v>143</v>
      </c>
      <c r="D236" s="76" t="n">
        <v>1</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Baby</v>
      </c>
      <c r="G236" s="76" t="n">
        <f aca="false">IF($Q236="","",IFERROR(--(INDEX('Reguler Class Availability'!$F:$F,$Q236)&amp;""),0))</f>
        <v>5</v>
      </c>
      <c r="H236" s="77" t="str">
        <f aca="false">IF($Q236="","",PROPER(INDEX('Reguler Class Availability'!$I:$I,$Q236)&amp;"")&amp;IF(INDEX('Reguler Class Availability'!$J:$J,$Q236)&amp;""="",""," + asst "&amp;PROPER(INDEX('Reguler Class Availability'!$J:$J,$Q236)&amp;"")))</f>
        <v/>
      </c>
      <c r="I236" s="77" t="s">
        <v>417</v>
      </c>
      <c r="J236" s="77" t="s">
        <v>188</v>
      </c>
      <c r="K236" s="78"/>
      <c r="L236" s="78"/>
      <c r="M236" s="78"/>
      <c r="N236" s="79"/>
      <c r="O236" s="78"/>
      <c r="Q236" s="30" t="n">
        <f aca="false">IFERROR(MATCH($B$4&amp;"|- Lane "&amp;D236&amp;" - "&amp;B236&amp;"|"&amp;C236,'Reguler Class Availability'!$L:$L,0),"")</f>
        <v>1587</v>
      </c>
      <c r="BD236" s="30" t="s">
        <v>166</v>
      </c>
      <c r="BE236" s="30" t="n">
        <f aca="false">IF(COUNTIFS('Reguler Class Availability'!$L:$L,$B$4&amp;"|- Lane 4 - *|"&amp;BD236)&gt;0,1,0)</f>
        <v>0</v>
      </c>
      <c r="BF236" s="30" t="n">
        <f aca="false">BE236+BF235</f>
        <v>12</v>
      </c>
    </row>
    <row r="237" customFormat="false" ht="27.75" hidden="false" customHeight="true" outlineLevel="0" collapsed="false">
      <c r="A237" s="76" t="n">
        <v>111</v>
      </c>
      <c r="B237" s="77" t="s">
        <v>116</v>
      </c>
      <c r="C237" s="76" t="s">
        <v>143</v>
      </c>
      <c r="D237" s="76" t="n">
        <v>2</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Belum terisi</v>
      </c>
      <c r="F237" s="77" t="str">
        <f aca="false">IF($Q237="","",PROPER(INDEX('Reguler Class Availability'!$B:$B,$Q237)&amp;""))</f>
        <v>Little</v>
      </c>
      <c r="G237" s="76" t="n">
        <f aca="false">IF($Q237="","",IFERROR(--(INDEX('Reguler Class Availability'!$F:$F,$Q237)&amp;""),0))</f>
        <v>5</v>
      </c>
      <c r="H237" s="77" t="str">
        <f aca="false">IF($Q237="","",PROPER(INDEX('Reguler Class Availability'!$I:$I,$Q237)&amp;"")&amp;IF(INDEX('Reguler Class Availability'!$J:$J,$Q237)&amp;""="",""," + asst "&amp;PROPER(INDEX('Reguler Class Availability'!$J:$J,$Q237)&amp;"")))</f>
        <v/>
      </c>
      <c r="I237" s="77" t="s">
        <v>417</v>
      </c>
      <c r="J237" s="77" t="s">
        <v>188</v>
      </c>
      <c r="K237" s="78"/>
      <c r="L237" s="78"/>
      <c r="M237" s="78"/>
      <c r="N237" s="79"/>
      <c r="O237" s="78"/>
      <c r="Q237" s="30" t="n">
        <f aca="false">IFERROR(MATCH($B$4&amp;"|- Lane "&amp;D237&amp;" - "&amp;B237&amp;"|"&amp;C237,'Reguler Class Availability'!$L:$L,0),"")</f>
        <v>1671</v>
      </c>
      <c r="BD237" s="30" t="s">
        <v>167</v>
      </c>
      <c r="BE237" s="30" t="n">
        <f aca="false">IF(COUNTIFS('Reguler Class Availability'!$L:$L,$B$4&amp;"|- Lane 4 - *|"&amp;BD237)&gt;0,1,0)</f>
        <v>0</v>
      </c>
      <c r="BF237" s="30" t="n">
        <f aca="false">BE237+BF236</f>
        <v>12</v>
      </c>
    </row>
    <row r="238" customFormat="false" ht="27.75" hidden="false" customHeight="true" outlineLevel="0" collapsed="false">
      <c r="A238" s="76" t="n">
        <v>112</v>
      </c>
      <c r="B238" s="77" t="s">
        <v>116</v>
      </c>
      <c r="C238" s="76" t="s">
        <v>144</v>
      </c>
      <c r="D238" s="76" t="n">
        <v>3</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Kids</v>
      </c>
      <c r="G238" s="76" t="n">
        <f aca="false">IF($Q238="","",IFERROR(--(INDEX('Reguler Class Availability'!$F:$F,$Q238)&amp;""),0))</f>
        <v>4</v>
      </c>
      <c r="H238" s="77" t="str">
        <f aca="false">IF($Q238="","",PROPER(INDEX('Reguler Class Availability'!$I:$I,$Q238)&amp;"")&amp;IF(INDEX('Reguler Class Availability'!$J:$J,$Q238)&amp;""="",""," + asst "&amp;PROPER(INDEX('Reguler Class Availability'!$J:$J,$Q238)&amp;"")))</f>
        <v/>
      </c>
      <c r="I238" s="77" t="s">
        <v>420</v>
      </c>
      <c r="J238" s="77" t="s">
        <v>188</v>
      </c>
      <c r="K238" s="78"/>
      <c r="L238" s="78"/>
      <c r="M238" s="78"/>
      <c r="N238" s="79"/>
      <c r="O238" s="78"/>
      <c r="Q238" s="30" t="n">
        <f aca="false">IFERROR(MATCH($B$4&amp;"|- Lane "&amp;D238&amp;" - "&amp;B238&amp;"|"&amp;C238,'Reguler Class Availability'!$L:$L,0),"")</f>
        <v>1755</v>
      </c>
      <c r="BD238" s="30" t="s">
        <v>168</v>
      </c>
      <c r="BE238" s="30" t="n">
        <f aca="false">IF(COUNTIFS('Reguler Class Availability'!$L:$L,$B$4&amp;"|- Lane 4 - *|"&amp;BD238)&gt;0,1,0)</f>
        <v>0</v>
      </c>
      <c r="BF238" s="30" t="n">
        <f aca="false">BE238+BF237</f>
        <v>12</v>
      </c>
    </row>
    <row r="239" customFormat="false" ht="27.75" hidden="false" customHeight="true" outlineLevel="0" collapsed="false">
      <c r="A239" s="76" t="n">
        <v>113</v>
      </c>
      <c r="B239" s="77" t="s">
        <v>116</v>
      </c>
      <c r="C239" s="76" t="s">
        <v>144</v>
      </c>
      <c r="D239" s="76" t="n">
        <v>4</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Belum terisi</v>
      </c>
      <c r="F239" s="77" t="str">
        <f aca="false">IF($Q239="","",PROPER(INDEX('Reguler Class Availability'!$B:$B,$Q239)&amp;""))</f>
        <v>Kids</v>
      </c>
      <c r="G239" s="76" t="n">
        <f aca="false">IF($Q239="","",IFERROR(--(INDEX('Reguler Class Availability'!$F:$F,$Q239)&amp;""),0))</f>
        <v>4</v>
      </c>
      <c r="H239" s="77" t="str">
        <f aca="false">IF($Q239="","",PROPER(INDEX('Reguler Class Availability'!$I:$I,$Q239)&amp;"")&amp;IF(INDEX('Reguler Class Availability'!$J:$J,$Q239)&amp;""="",""," + asst "&amp;PROPER(INDEX('Reguler Class Availability'!$J:$J,$Q239)&amp;"")))</f>
        <v/>
      </c>
      <c r="I239" s="77" t="s">
        <v>420</v>
      </c>
      <c r="J239" s="77" t="s">
        <v>188</v>
      </c>
      <c r="K239" s="78"/>
      <c r="L239" s="78"/>
      <c r="M239" s="78"/>
      <c r="N239" s="79"/>
      <c r="O239" s="78"/>
      <c r="Q239" s="30" t="n">
        <f aca="false">IFERROR(MATCH($B$4&amp;"|- Lane "&amp;D239&amp;" - "&amp;B239&amp;"|"&amp;C239,'Reguler Class Availability'!$L:$L,0),"")</f>
        <v>1839</v>
      </c>
      <c r="BD239" s="30" t="s">
        <v>169</v>
      </c>
      <c r="BE239" s="30" t="n">
        <f aca="false">IF(COUNTIFS('Reguler Class Availability'!$L:$L,$B$4&amp;"|- Lane 4 - *|"&amp;BD239)&gt;0,1,0)</f>
        <v>0</v>
      </c>
      <c r="BF239" s="30" t="n">
        <f aca="false">BE239+BF238</f>
        <v>12</v>
      </c>
    </row>
    <row r="240" customFormat="false" ht="27.75" hidden="false" customHeight="true" outlineLevel="0" collapsed="false">
      <c r="A240" s="76" t="n">
        <v>114</v>
      </c>
      <c r="B240" s="77" t="s">
        <v>116</v>
      </c>
      <c r="C240" s="76" t="s">
        <v>146</v>
      </c>
      <c r="D240" s="76" t="n">
        <v>1</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Belum terisi</v>
      </c>
      <c r="F240" s="77" t="str">
        <f aca="false">IF($Q240="","",PROPER(INDEX('Reguler Class Availability'!$B:$B,$Q240)&amp;""))</f>
        <v>Tiny</v>
      </c>
      <c r="G240" s="76" t="n">
        <f aca="false">IF($Q240="","",IFERROR(--(INDEX('Reguler Class Availability'!$F:$F,$Q240)&amp;""),0))</f>
        <v>5</v>
      </c>
      <c r="H240" s="77" t="str">
        <f aca="false">IF($Q240="","",PROPER(INDEX('Reguler Class Availability'!$I:$I,$Q240)&amp;"")&amp;IF(INDEX('Reguler Class Availability'!$J:$J,$Q240)&amp;""="",""," + asst "&amp;PROPER(INDEX('Reguler Class Availability'!$J:$J,$Q240)&amp;"")))</f>
        <v/>
      </c>
      <c r="I240" s="77" t="s">
        <v>420</v>
      </c>
      <c r="J240" s="77" t="s">
        <v>188</v>
      </c>
      <c r="K240" s="78"/>
      <c r="L240" s="78"/>
      <c r="M240" s="78"/>
      <c r="N240" s="79"/>
      <c r="O240" s="78"/>
      <c r="Q240" s="30" t="n">
        <f aca="false">IFERROR(MATCH($B$4&amp;"|- Lane "&amp;D240&amp;" - "&amp;B240&amp;"|"&amp;C240,'Reguler Class Availability'!$L:$L,0),"")</f>
        <v>1588</v>
      </c>
      <c r="BD240" s="30" t="s">
        <v>170</v>
      </c>
      <c r="BE240" s="30" t="n">
        <f aca="false">IF(COUNTIFS('Reguler Class Availability'!$L:$L,$B$4&amp;"|- Lane 4 - *|"&amp;BD240)&gt;0,1,0)</f>
        <v>0</v>
      </c>
      <c r="BF240" s="30" t="n">
        <f aca="false">BE240+BF239</f>
        <v>12</v>
      </c>
    </row>
    <row r="241" customFormat="false" ht="27.75" hidden="false" customHeight="true" outlineLevel="0" collapsed="false">
      <c r="A241" s="76" t="n">
        <v>115</v>
      </c>
      <c r="B241" s="77" t="s">
        <v>116</v>
      </c>
      <c r="C241" s="76" t="s">
        <v>147</v>
      </c>
      <c r="D241" s="76" t="n">
        <v>3</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Belum terisi</v>
      </c>
      <c r="F241" s="77" t="str">
        <f aca="false">IF($Q241="","",PROPER(INDEX('Reguler Class Availability'!$B:$B,$Q241)&amp;""))</f>
        <v>Kids</v>
      </c>
      <c r="G241" s="76" t="n">
        <f aca="false">IF($Q241="","",IFERROR(--(INDEX('Reguler Class Availability'!$F:$F,$Q241)&amp;""),0))</f>
        <v>4</v>
      </c>
      <c r="H241" s="77" t="str">
        <f aca="false">IF($Q241="","",PROPER(INDEX('Reguler Class Availability'!$I:$I,$Q241)&amp;"")&amp;IF(INDEX('Reguler Class Availability'!$J:$J,$Q241)&amp;""="",""," + asst "&amp;PROPER(INDEX('Reguler Class Availability'!$J:$J,$Q241)&amp;"")))</f>
        <v/>
      </c>
      <c r="I241" s="77" t="s">
        <v>420</v>
      </c>
      <c r="J241" s="77" t="s">
        <v>188</v>
      </c>
      <c r="K241" s="78"/>
      <c r="L241" s="78"/>
      <c r="M241" s="78"/>
      <c r="N241" s="79"/>
      <c r="O241" s="78"/>
      <c r="Q241" s="30" t="n">
        <f aca="false">IFERROR(MATCH($B$4&amp;"|- Lane "&amp;D241&amp;" - "&amp;B241&amp;"|"&amp;C241,'Reguler Class Availability'!$L:$L,0),"")</f>
        <v>1756</v>
      </c>
      <c r="BD241" s="30" t="s">
        <v>171</v>
      </c>
      <c r="BE241" s="30" t="n">
        <f aca="false">IF(COUNTIFS('Reguler Class Availability'!$L:$L,$B$4&amp;"|- Lane 4 - *|"&amp;BD241)&gt;0,1,0)</f>
        <v>0</v>
      </c>
      <c r="BF241" s="30" t="n">
        <f aca="false">BE241+BF240</f>
        <v>12</v>
      </c>
    </row>
    <row r="242" customFormat="false" ht="27.75" hidden="false" customHeight="true" outlineLevel="0" collapsed="false">
      <c r="A242" s="76" t="n">
        <v>116</v>
      </c>
      <c r="B242" s="77" t="s">
        <v>116</v>
      </c>
      <c r="C242" s="76" t="s">
        <v>147</v>
      </c>
      <c r="D242" s="76" t="n">
        <v>4</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Belum terisi</v>
      </c>
      <c r="F242" s="77" t="str">
        <f aca="false">IF($Q242="","",PROPER(INDEX('Reguler Class Availability'!$B:$B,$Q242)&amp;""))</f>
        <v>Kids</v>
      </c>
      <c r="G242" s="76" t="n">
        <f aca="false">IF($Q242="","",IFERROR(--(INDEX('Reguler Class Availability'!$F:$F,$Q242)&amp;""),0))</f>
        <v>4</v>
      </c>
      <c r="H242" s="77" t="str">
        <f aca="false">IF($Q242="","",PROPER(INDEX('Reguler Class Availability'!$I:$I,$Q242)&amp;"")&amp;IF(INDEX('Reguler Class Availability'!$J:$J,$Q242)&amp;""="",""," + asst "&amp;PROPER(INDEX('Reguler Class Availability'!$J:$J,$Q242)&amp;"")))</f>
        <v/>
      </c>
      <c r="I242" s="77" t="s">
        <v>420</v>
      </c>
      <c r="J242" s="77" t="s">
        <v>188</v>
      </c>
      <c r="K242" s="78"/>
      <c r="L242" s="78"/>
      <c r="M242" s="78"/>
      <c r="N242" s="79"/>
      <c r="O242" s="78"/>
      <c r="Q242" s="30" t="n">
        <f aca="false">IFERROR(MATCH($B$4&amp;"|- Lane "&amp;D242&amp;" - "&amp;B242&amp;"|"&amp;C242,'Reguler Class Availability'!$L:$L,0),"")</f>
        <v>1840</v>
      </c>
      <c r="BD242" s="30" t="s">
        <v>78</v>
      </c>
      <c r="BE242" s="30" t="n">
        <f aca="false">IF(COUNTIFS('Reguler Class Availability'!$L:$L,$B$4&amp;"|- Lane 5 - *|"&amp;BD242)&gt;0,1,0)</f>
        <v>0</v>
      </c>
      <c r="BF242" s="30" t="n">
        <f aca="false">BE242</f>
        <v>0</v>
      </c>
    </row>
    <row r="243" customFormat="false" ht="27.75" hidden="false" customHeight="true" outlineLevel="0" collapsed="false">
      <c r="A243" s="76" t="n">
        <v>117</v>
      </c>
      <c r="B243" s="77" t="s">
        <v>116</v>
      </c>
      <c r="C243" s="76" t="s">
        <v>149</v>
      </c>
      <c r="D243" s="76" t="n">
        <v>1</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Baby</v>
      </c>
      <c r="G243" s="76" t="n">
        <f aca="false">IF($Q243="","",IFERROR(--(INDEX('Reguler Class Availability'!$F:$F,$Q243)&amp;""),0))</f>
        <v>5</v>
      </c>
      <c r="H243" s="77" t="str">
        <f aca="false">IF($Q243="","",PROPER(INDEX('Reguler Class Availability'!$I:$I,$Q243)&amp;"")&amp;IF(INDEX('Reguler Class Availability'!$J:$J,$Q243)&amp;""="",""," + asst "&amp;PROPER(INDEX('Reguler Class Availability'!$J:$J,$Q243)&amp;"")))</f>
        <v/>
      </c>
      <c r="I243" s="77" t="s">
        <v>420</v>
      </c>
      <c r="J243" s="77" t="s">
        <v>188</v>
      </c>
      <c r="K243" s="78"/>
      <c r="L243" s="78"/>
      <c r="M243" s="78"/>
      <c r="N243" s="79"/>
      <c r="O243" s="78"/>
      <c r="Q243" s="30" t="n">
        <f aca="false">IFERROR(MATCH($B$4&amp;"|- Lane "&amp;D243&amp;" - "&amp;B243&amp;"|"&amp;C243,'Reguler Class Availability'!$L:$L,0),"")</f>
        <v>1589</v>
      </c>
      <c r="BD243" s="30" t="s">
        <v>79</v>
      </c>
      <c r="BE243" s="30" t="n">
        <f aca="false">IF(COUNTIFS('Reguler Class Availability'!$L:$L,$B$4&amp;"|- Lane 5 - *|"&amp;BD243)&gt;0,1,0)</f>
        <v>0</v>
      </c>
      <c r="BF243" s="30" t="n">
        <f aca="false">BE243+BF242</f>
        <v>0</v>
      </c>
    </row>
    <row r="244" customFormat="false" ht="27.75" hidden="false" customHeight="true" outlineLevel="0" collapsed="false">
      <c r="A244" s="76" t="n">
        <v>118</v>
      </c>
      <c r="B244" s="77" t="s">
        <v>116</v>
      </c>
      <c r="C244" s="76" t="s">
        <v>149</v>
      </c>
      <c r="D244" s="76" t="n">
        <v>2</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Belum terisi</v>
      </c>
      <c r="F244" s="77" t="str">
        <f aca="false">IF($Q244="","",PROPER(INDEX('Reguler Class Availability'!$B:$B,$Q244)&amp;""))</f>
        <v>Little</v>
      </c>
      <c r="G244" s="76" t="n">
        <f aca="false">IF($Q244="","",IFERROR(--(INDEX('Reguler Class Availability'!$F:$F,$Q244)&amp;""),0))</f>
        <v>5</v>
      </c>
      <c r="H244" s="77" t="str">
        <f aca="false">IF($Q244="","",PROPER(INDEX('Reguler Class Availability'!$I:$I,$Q244)&amp;"")&amp;IF(INDEX('Reguler Class Availability'!$J:$J,$Q244)&amp;""="",""," + asst "&amp;PROPER(INDEX('Reguler Class Availability'!$J:$J,$Q244)&amp;"")))</f>
        <v/>
      </c>
      <c r="I244" s="77" t="s">
        <v>420</v>
      </c>
      <c r="J244" s="77" t="s">
        <v>188</v>
      </c>
      <c r="K244" s="78"/>
      <c r="L244" s="78"/>
      <c r="M244" s="78"/>
      <c r="N244" s="79"/>
      <c r="O244" s="78"/>
      <c r="Q244" s="30" t="n">
        <f aca="false">IFERROR(MATCH($B$4&amp;"|- Lane "&amp;D244&amp;" - "&amp;B244&amp;"|"&amp;C244,'Reguler Class Availability'!$L:$L,0),"")</f>
        <v>1673</v>
      </c>
      <c r="BD244" s="30" t="s">
        <v>84</v>
      </c>
      <c r="BE244" s="30" t="n">
        <f aca="false">IF(COUNTIFS('Reguler Class Availability'!$L:$L,$B$4&amp;"|- Lane 5 - *|"&amp;BD244)&gt;0,1,0)</f>
        <v>0</v>
      </c>
      <c r="BF244" s="30" t="n">
        <f aca="false">BE244+BF243</f>
        <v>0</v>
      </c>
    </row>
    <row r="245" customFormat="false" ht="15.75" hidden="false" customHeight="true" outlineLevel="0" collapsed="false">
      <c r="A245" s="76" t="n">
        <v>119</v>
      </c>
      <c r="B245" s="77" t="s">
        <v>116</v>
      </c>
      <c r="C245" s="76" t="s">
        <v>150</v>
      </c>
      <c r="D245" s="76" t="n">
        <v>4</v>
      </c>
      <c r="E245" s="77" t="str">
        <f aca="false">IF($Q245="","Tidak ada di data",IF(AND(IFERROR(--(INDEX('Reguler Class Availability'!$F:$F,$Q245)&amp;""),0)=0,IFERROR(--(INDEX('Reguler Class Availability'!$G:$G,$Q245)&amp;""),0)=0),"Tutup",IF(IFERROR(--(INDEX('Reguler Class Availability'!$G:$G,$Q245)&amp;""),0)&gt;IFERROR(--(INDEX('Reguler Class Availability'!$F:$F,$Q245)&amp;""),0),"Lebih",IF(IFERROR(--(INDEX('Reguler Class Availability'!$G:$G,$Q245)&amp;""),0)=IFERROR(--(INDEX('Reguler Class Availability'!$F:$F,$Q245)&amp;""),0),"Penuh",IF(IFERROR(--(INDEX('Reguler Class Availability'!$G:$G,$Q245)&amp;""),0)=0,IF(INDEX('Reguler Class Availability'!$B:$B,$Q245)&amp;""="","Kosong","Belum terisi"),IF(IFERROR(--(INDEX('Reguler Class Availability'!$G:$G,$Q245)&amp;""),0)/IFERROR(--(INDEX('Reguler Class Availability'!$F:$F,$Q245)&amp;""),0)&gt;=0.6,"Tinggi","Sebagian"))))))</f>
        <v>Belum terisi</v>
      </c>
      <c r="F245" s="77" t="str">
        <f aca="false">IF($Q245="","",PROPER(INDEX('Reguler Class Availability'!$B:$B,$Q245)&amp;""))</f>
        <v>Kids</v>
      </c>
      <c r="G245" s="76" t="n">
        <f aca="false">IF($Q245="","",IFERROR(--(INDEX('Reguler Class Availability'!$F:$F,$Q245)&amp;""),0))</f>
        <v>4</v>
      </c>
      <c r="H245" s="77" t="str">
        <f aca="false">IF($Q245="","",PROPER(INDEX('Reguler Class Availability'!$I:$I,$Q245)&amp;"")&amp;IF(INDEX('Reguler Class Availability'!$J:$J,$Q245)&amp;""="",""," + asst "&amp;PROPER(INDEX('Reguler Class Availability'!$J:$J,$Q245)&amp;"")))</f>
        <v/>
      </c>
      <c r="I245" s="80" t="s">
        <v>199</v>
      </c>
      <c r="J245" s="77" t="s">
        <v>266</v>
      </c>
      <c r="K245" s="78"/>
      <c r="L245" s="78"/>
      <c r="M245" s="78"/>
      <c r="N245" s="79"/>
      <c r="O245" s="78"/>
      <c r="Q245" s="30" t="n">
        <f aca="false">IFERROR(MATCH($B$4&amp;"|- Lane "&amp;D245&amp;" - "&amp;B245&amp;"|"&amp;C245,'Reguler Class Availability'!$L:$L,0),"")</f>
        <v>1841</v>
      </c>
      <c r="BD245" s="30" t="s">
        <v>85</v>
      </c>
      <c r="BE245" s="30" t="n">
        <f aca="false">IF(COUNTIFS('Reguler Class Availability'!$L:$L,$B$4&amp;"|- Lane 5 - *|"&amp;BD245)&gt;0,1,0)</f>
        <v>0</v>
      </c>
      <c r="BF245" s="30" t="n">
        <f aca="false">BE245+BF244</f>
        <v>0</v>
      </c>
    </row>
    <row r="246" customFormat="false" ht="15.75" hidden="false" customHeight="true" outlineLevel="0" collapsed="false">
      <c r="A246" s="76" t="n">
        <v>120</v>
      </c>
      <c r="B246" s="77" t="s">
        <v>116</v>
      </c>
      <c r="C246" s="76" t="s">
        <v>153</v>
      </c>
      <c r="D246" s="76" t="n">
        <v>3</v>
      </c>
      <c r="E246" s="77" t="str">
        <f aca="false">IF($Q246="","Tidak ada di data",IF(AND(IFERROR(--(INDEX('Reguler Class Availability'!$F:$F,$Q246)&amp;""),0)=0,IFERROR(--(INDEX('Reguler Class Availability'!$G:$G,$Q246)&amp;""),0)=0),"Tutup",IF(IFERROR(--(INDEX('Reguler Class Availability'!$G:$G,$Q246)&amp;""),0)&gt;IFERROR(--(INDEX('Reguler Class Availability'!$F:$F,$Q246)&amp;""),0),"Lebih",IF(IFERROR(--(INDEX('Reguler Class Availability'!$G:$G,$Q246)&amp;""),0)=IFERROR(--(INDEX('Reguler Class Availability'!$F:$F,$Q246)&amp;""),0),"Penuh",IF(IFERROR(--(INDEX('Reguler Class Availability'!$G:$G,$Q246)&amp;""),0)=0,IF(INDEX('Reguler Class Availability'!$B:$B,$Q246)&amp;""="","Kosong","Belum terisi"),IF(IFERROR(--(INDEX('Reguler Class Availability'!$G:$G,$Q246)&amp;""),0)/IFERROR(--(INDEX('Reguler Class Availability'!$F:$F,$Q246)&amp;""),0)&gt;=0.6,"Tinggi","Sebagian"))))))</f>
        <v>Belum terisi</v>
      </c>
      <c r="F246" s="77" t="str">
        <f aca="false">IF($Q246="","",PROPER(INDEX('Reguler Class Availability'!$B:$B,$Q246)&amp;""))</f>
        <v>Kids</v>
      </c>
      <c r="G246" s="76" t="n">
        <f aca="false">IF($Q246="","",IFERROR(--(INDEX('Reguler Class Availability'!$F:$F,$Q246)&amp;""),0))</f>
        <v>4</v>
      </c>
      <c r="H246" s="77" t="str">
        <f aca="false">IF($Q246="","",PROPER(INDEX('Reguler Class Availability'!$I:$I,$Q246)&amp;"")&amp;IF(INDEX('Reguler Class Availability'!$J:$J,$Q246)&amp;""="",""," + asst "&amp;PROPER(INDEX('Reguler Class Availability'!$J:$J,$Q246)&amp;"")))</f>
        <v/>
      </c>
      <c r="I246" s="77" t="s">
        <v>421</v>
      </c>
      <c r="J246" s="77" t="s">
        <v>260</v>
      </c>
      <c r="K246" s="78"/>
      <c r="L246" s="78"/>
      <c r="M246" s="78"/>
      <c r="N246" s="79"/>
      <c r="O246" s="78"/>
      <c r="Q246" s="30" t="n">
        <f aca="false">IFERROR(MATCH($B$4&amp;"|- Lane "&amp;D246&amp;" - "&amp;B246&amp;"|"&amp;C246,'Reguler Class Availability'!$L:$L,0),"")</f>
        <v>1758</v>
      </c>
      <c r="BD246" s="30" t="s">
        <v>89</v>
      </c>
      <c r="BE246" s="30" t="n">
        <f aca="false">IF(COUNTIFS('Reguler Class Availability'!$L:$L,$B$4&amp;"|- Lane 5 - *|"&amp;BD246)&gt;0,1,0)</f>
        <v>0</v>
      </c>
      <c r="BF246" s="30" t="n">
        <f aca="false">BE246+BF245</f>
        <v>0</v>
      </c>
    </row>
    <row r="247" customFormat="false" ht="15.75" hidden="false" customHeight="true" outlineLevel="0" collapsed="false">
      <c r="A247" s="76" t="n">
        <v>121</v>
      </c>
      <c r="B247" s="77" t="s">
        <v>116</v>
      </c>
      <c r="C247" s="76" t="s">
        <v>153</v>
      </c>
      <c r="D247" s="76" t="n">
        <v>4</v>
      </c>
      <c r="E247" s="77" t="str">
        <f aca="false">IF($Q247="","Tidak ada di data",IF(AND(IFERROR(--(INDEX('Reguler Class Availability'!$F:$F,$Q247)&amp;""),0)=0,IFERROR(--(INDEX('Reguler Class Availability'!$G:$G,$Q247)&amp;""),0)=0),"Tutup",IF(IFERROR(--(INDEX('Reguler Class Availability'!$G:$G,$Q247)&amp;""),0)&gt;IFERROR(--(INDEX('Reguler Class Availability'!$F:$F,$Q247)&amp;""),0),"Lebih",IF(IFERROR(--(INDEX('Reguler Class Availability'!$G:$G,$Q247)&amp;""),0)=IFERROR(--(INDEX('Reguler Class Availability'!$F:$F,$Q247)&amp;""),0),"Penuh",IF(IFERROR(--(INDEX('Reguler Class Availability'!$G:$G,$Q247)&amp;""),0)=0,IF(INDEX('Reguler Class Availability'!$B:$B,$Q247)&amp;""="","Kosong","Belum terisi"),IF(IFERROR(--(INDEX('Reguler Class Availability'!$G:$G,$Q247)&amp;""),0)/IFERROR(--(INDEX('Reguler Class Availability'!$F:$F,$Q247)&amp;""),0)&gt;=0.6,"Tinggi","Sebagian"))))))</f>
        <v>Belum terisi</v>
      </c>
      <c r="F247" s="77" t="str">
        <f aca="false">IF($Q247="","",PROPER(INDEX('Reguler Class Availability'!$B:$B,$Q247)&amp;""))</f>
        <v>Kids</v>
      </c>
      <c r="G247" s="76" t="n">
        <f aca="false">IF($Q247="","",IFERROR(--(INDEX('Reguler Class Availability'!$F:$F,$Q247)&amp;""),0))</f>
        <v>4</v>
      </c>
      <c r="H247" s="77" t="str">
        <f aca="false">IF($Q247="","",PROPER(INDEX('Reguler Class Availability'!$I:$I,$Q247)&amp;"")&amp;IF(INDEX('Reguler Class Availability'!$J:$J,$Q247)&amp;""="",""," + asst "&amp;PROPER(INDEX('Reguler Class Availability'!$J:$J,$Q247)&amp;"")))</f>
        <v/>
      </c>
      <c r="I247" s="77" t="s">
        <v>421</v>
      </c>
      <c r="J247" s="77" t="s">
        <v>260</v>
      </c>
      <c r="K247" s="78"/>
      <c r="L247" s="78"/>
      <c r="M247" s="78"/>
      <c r="N247" s="79"/>
      <c r="O247" s="78"/>
      <c r="Q247" s="30" t="n">
        <f aca="false">IFERROR(MATCH($B$4&amp;"|- Lane "&amp;D247&amp;" - "&amp;B247&amp;"|"&amp;C247,'Reguler Class Availability'!$L:$L,0),"")</f>
        <v>1842</v>
      </c>
      <c r="BD247" s="30" t="s">
        <v>90</v>
      </c>
      <c r="BE247" s="30" t="n">
        <f aca="false">IF(COUNTIFS('Reguler Class Availability'!$L:$L,$B$4&amp;"|- Lane 5 - *|"&amp;BD247)&gt;0,1,0)</f>
        <v>0</v>
      </c>
      <c r="BF247" s="30" t="n">
        <f aca="false">BE247+BF246</f>
        <v>0</v>
      </c>
    </row>
    <row r="248" customFormat="false" ht="27.75" hidden="false" customHeight="true" outlineLevel="0" collapsed="false">
      <c r="A248" s="76" t="n">
        <v>122</v>
      </c>
      <c r="B248" s="77" t="s">
        <v>116</v>
      </c>
      <c r="C248" s="76" t="s">
        <v>155</v>
      </c>
      <c r="D248" s="76" t="n">
        <v>1</v>
      </c>
      <c r="E248" s="77" t="str">
        <f aca="false">IF($Q248="","Tidak ada di data",IF(AND(IFERROR(--(INDEX('Reguler Class Availability'!$F:$F,$Q248)&amp;""),0)=0,IFERROR(--(INDEX('Reguler Class Availability'!$G:$G,$Q248)&amp;""),0)=0),"Tutup",IF(IFERROR(--(INDEX('Reguler Class Availability'!$G:$G,$Q248)&amp;""),0)&gt;IFERROR(--(INDEX('Reguler Class Availability'!$F:$F,$Q248)&amp;""),0),"Lebih",IF(IFERROR(--(INDEX('Reguler Class Availability'!$G:$G,$Q248)&amp;""),0)=IFERROR(--(INDEX('Reguler Class Availability'!$F:$F,$Q248)&amp;""),0),"Penuh",IF(IFERROR(--(INDEX('Reguler Class Availability'!$G:$G,$Q248)&amp;""),0)=0,IF(INDEX('Reguler Class Availability'!$B:$B,$Q248)&amp;""="","Kosong","Belum terisi"),IF(IFERROR(--(INDEX('Reguler Class Availability'!$G:$G,$Q248)&amp;""),0)/IFERROR(--(INDEX('Reguler Class Availability'!$F:$F,$Q248)&amp;""),0)&gt;=0.6,"Tinggi","Sebagian"))))))</f>
        <v>Belum terisi</v>
      </c>
      <c r="F248" s="77" t="str">
        <f aca="false">IF($Q248="","",PROPER(INDEX('Reguler Class Availability'!$B:$B,$Q248)&amp;""))</f>
        <v>Baby</v>
      </c>
      <c r="G248" s="76" t="n">
        <f aca="false">IF($Q248="","",IFERROR(--(INDEX('Reguler Class Availability'!$F:$F,$Q248)&amp;""),0))</f>
        <v>5</v>
      </c>
      <c r="H248" s="77" t="str">
        <f aca="false">IF($Q248="","",PROPER(INDEX('Reguler Class Availability'!$I:$I,$Q248)&amp;"")&amp;IF(INDEX('Reguler Class Availability'!$J:$J,$Q248)&amp;""="",""," + asst "&amp;PROPER(INDEX('Reguler Class Availability'!$J:$J,$Q248)&amp;"")))</f>
        <v/>
      </c>
      <c r="I248" s="77" t="s">
        <v>419</v>
      </c>
      <c r="J248" s="77" t="s">
        <v>188</v>
      </c>
      <c r="K248" s="78"/>
      <c r="L248" s="78"/>
      <c r="M248" s="78"/>
      <c r="N248" s="79"/>
      <c r="O248" s="78"/>
      <c r="Q248" s="30" t="n">
        <f aca="false">IFERROR(MATCH($B$4&amp;"|- Lane "&amp;D248&amp;" - "&amp;B248&amp;"|"&amp;C248,'Reguler Class Availability'!$L:$L,0),"")</f>
        <v>1591</v>
      </c>
      <c r="BD248" s="30" t="s">
        <v>91</v>
      </c>
      <c r="BE248" s="30" t="n">
        <f aca="false">IF(COUNTIFS('Reguler Class Availability'!$L:$L,$B$4&amp;"|- Lane 5 - *|"&amp;BD248)&gt;0,1,0)</f>
        <v>0</v>
      </c>
      <c r="BF248" s="30" t="n">
        <f aca="false">BE248+BF247</f>
        <v>0</v>
      </c>
    </row>
    <row r="249" customFormat="false" ht="27.75" hidden="false" customHeight="true" outlineLevel="0" collapsed="false">
      <c r="A249" s="76" t="n">
        <v>123</v>
      </c>
      <c r="B249" s="77" t="s">
        <v>116</v>
      </c>
      <c r="C249" s="76" t="s">
        <v>155</v>
      </c>
      <c r="D249" s="76" t="n">
        <v>2</v>
      </c>
      <c r="E249" s="77" t="str">
        <f aca="false">IF($Q249="","Tidak ada di data",IF(AND(IFERROR(--(INDEX('Reguler Class Availability'!$F:$F,$Q249)&amp;""),0)=0,IFERROR(--(INDEX('Reguler Class Availability'!$G:$G,$Q249)&amp;""),0)=0),"Tutup",IF(IFERROR(--(INDEX('Reguler Class Availability'!$G:$G,$Q249)&amp;""),0)&gt;IFERROR(--(INDEX('Reguler Class Availability'!$F:$F,$Q249)&amp;""),0),"Lebih",IF(IFERROR(--(INDEX('Reguler Class Availability'!$G:$G,$Q249)&amp;""),0)=IFERROR(--(INDEX('Reguler Class Availability'!$F:$F,$Q249)&amp;""),0),"Penuh",IF(IFERROR(--(INDEX('Reguler Class Availability'!$G:$G,$Q249)&amp;""),0)=0,IF(INDEX('Reguler Class Availability'!$B:$B,$Q249)&amp;""="","Kosong","Belum terisi"),IF(IFERROR(--(INDEX('Reguler Class Availability'!$G:$G,$Q249)&amp;""),0)/IFERROR(--(INDEX('Reguler Class Availability'!$F:$F,$Q249)&amp;""),0)&gt;=0.6,"Tinggi","Sebagian"))))))</f>
        <v>Belum terisi</v>
      </c>
      <c r="F249" s="77" t="str">
        <f aca="false">IF($Q249="","",PROPER(INDEX('Reguler Class Availability'!$B:$B,$Q249)&amp;""))</f>
        <v>Little</v>
      </c>
      <c r="G249" s="76" t="n">
        <f aca="false">IF($Q249="","",IFERROR(--(INDEX('Reguler Class Availability'!$F:$F,$Q249)&amp;""),0))</f>
        <v>5</v>
      </c>
      <c r="H249" s="77" t="str">
        <f aca="false">IF($Q249="","",PROPER(INDEX('Reguler Class Availability'!$I:$I,$Q249)&amp;"")&amp;IF(INDEX('Reguler Class Availability'!$J:$J,$Q249)&amp;""="",""," + asst "&amp;PROPER(INDEX('Reguler Class Availability'!$J:$J,$Q249)&amp;"")))</f>
        <v/>
      </c>
      <c r="I249" s="77" t="s">
        <v>419</v>
      </c>
      <c r="J249" s="77" t="s">
        <v>188</v>
      </c>
      <c r="K249" s="78"/>
      <c r="L249" s="78"/>
      <c r="M249" s="78"/>
      <c r="N249" s="79"/>
      <c r="O249" s="78"/>
      <c r="Q249" s="30" t="n">
        <f aca="false">IFERROR(MATCH($B$4&amp;"|- Lane "&amp;D249&amp;" - "&amp;B249&amp;"|"&amp;C249,'Reguler Class Availability'!$L:$L,0),"")</f>
        <v>1675</v>
      </c>
      <c r="BD249" s="30" t="s">
        <v>98</v>
      </c>
      <c r="BE249" s="30" t="n">
        <f aca="false">IF(COUNTIFS('Reguler Class Availability'!$L:$L,$B$4&amp;"|- Lane 5 - *|"&amp;BD249)&gt;0,1,0)</f>
        <v>0</v>
      </c>
      <c r="BF249" s="30" t="n">
        <f aca="false">BE249+BF248</f>
        <v>0</v>
      </c>
    </row>
    <row r="250" customFormat="false" ht="27.75" hidden="false" customHeight="true" outlineLevel="0" collapsed="false">
      <c r="A250" s="76" t="n">
        <v>124</v>
      </c>
      <c r="B250" s="77" t="s">
        <v>116</v>
      </c>
      <c r="C250" s="76" t="s">
        <v>156</v>
      </c>
      <c r="D250" s="76" t="n">
        <v>4</v>
      </c>
      <c r="E250" s="77" t="str">
        <f aca="false">IF($Q250="","Tidak ada di data",IF(AND(IFERROR(--(INDEX('Reguler Class Availability'!$F:$F,$Q250)&amp;""),0)=0,IFERROR(--(INDEX('Reguler Class Availability'!$G:$G,$Q250)&amp;""),0)=0),"Tutup",IF(IFERROR(--(INDEX('Reguler Class Availability'!$G:$G,$Q250)&amp;""),0)&gt;IFERROR(--(INDEX('Reguler Class Availability'!$F:$F,$Q250)&amp;""),0),"Lebih",IF(IFERROR(--(INDEX('Reguler Class Availability'!$G:$G,$Q250)&amp;""),0)=IFERROR(--(INDEX('Reguler Class Availability'!$F:$F,$Q250)&amp;""),0),"Penuh",IF(IFERROR(--(INDEX('Reguler Class Availability'!$G:$G,$Q250)&amp;""),0)=0,IF(INDEX('Reguler Class Availability'!$B:$B,$Q250)&amp;""="","Kosong","Belum terisi"),IF(IFERROR(--(INDEX('Reguler Class Availability'!$G:$G,$Q250)&amp;""),0)/IFERROR(--(INDEX('Reguler Class Availability'!$F:$F,$Q250)&amp;""),0)&gt;=0.6,"Tinggi","Sebagian"))))))</f>
        <v>Belum terisi</v>
      </c>
      <c r="F250" s="77" t="str">
        <f aca="false">IF($Q250="","",PROPER(INDEX('Reguler Class Availability'!$B:$B,$Q250)&amp;""))</f>
        <v>Kids</v>
      </c>
      <c r="G250" s="76" t="n">
        <f aca="false">IF($Q250="","",IFERROR(--(INDEX('Reguler Class Availability'!$F:$F,$Q250)&amp;""),0))</f>
        <v>4</v>
      </c>
      <c r="H250" s="77" t="str">
        <f aca="false">IF($Q250="","",PROPER(INDEX('Reguler Class Availability'!$I:$I,$Q250)&amp;"")&amp;IF(INDEX('Reguler Class Availability'!$J:$J,$Q250)&amp;""="",""," + asst "&amp;PROPER(INDEX('Reguler Class Availability'!$J:$J,$Q250)&amp;"")))</f>
        <v/>
      </c>
      <c r="I250" s="77" t="s">
        <v>419</v>
      </c>
      <c r="J250" s="77" t="s">
        <v>188</v>
      </c>
      <c r="K250" s="78"/>
      <c r="L250" s="78"/>
      <c r="M250" s="78"/>
      <c r="N250" s="79"/>
      <c r="O250" s="78"/>
      <c r="Q250" s="30" t="n">
        <f aca="false">IFERROR(MATCH($B$4&amp;"|- Lane "&amp;D250&amp;" - "&amp;B250&amp;"|"&amp;C250,'Reguler Class Availability'!$L:$L,0),"")</f>
        <v>1843</v>
      </c>
      <c r="BD250" s="30" t="s">
        <v>105</v>
      </c>
      <c r="BE250" s="30" t="n">
        <f aca="false">IF(COUNTIFS('Reguler Class Availability'!$L:$L,$B$4&amp;"|- Lane 5 - *|"&amp;BD250)&gt;0,1,0)</f>
        <v>0</v>
      </c>
      <c r="BF250" s="30" t="n">
        <f aca="false">BE250+BF249</f>
        <v>0</v>
      </c>
    </row>
    <row r="251" customFormat="false" ht="27.75" hidden="false" customHeight="true" outlineLevel="0" collapsed="false">
      <c r="A251" s="76" t="n">
        <v>125</v>
      </c>
      <c r="B251" s="77" t="s">
        <v>117</v>
      </c>
      <c r="C251" s="76" t="s">
        <v>105</v>
      </c>
      <c r="D251" s="76" t="n">
        <v>1</v>
      </c>
      <c r="E251" s="77" t="str">
        <f aca="false">IF($Q251="","Tidak ada di data",IF(AND(IFERROR(--(INDEX('Reguler Class Availability'!$F:$F,$Q251)&amp;""),0)=0,IFERROR(--(INDEX('Reguler Class Availability'!$G:$G,$Q251)&amp;""),0)=0),"Tutup",IF(IFERROR(--(INDEX('Reguler Class Availability'!$G:$G,$Q251)&amp;""),0)&gt;IFERROR(--(INDEX('Reguler Class Availability'!$F:$F,$Q251)&amp;""),0),"Lebih",IF(IFERROR(--(INDEX('Reguler Class Availability'!$G:$G,$Q251)&amp;""),0)=IFERROR(--(INDEX('Reguler Class Availability'!$F:$F,$Q251)&amp;""),0),"Penuh",IF(IFERROR(--(INDEX('Reguler Class Availability'!$G:$G,$Q251)&amp;""),0)=0,IF(INDEX('Reguler Class Availability'!$B:$B,$Q251)&amp;""="","Kosong","Belum terisi"),IF(IFERROR(--(INDEX('Reguler Class Availability'!$G:$G,$Q251)&amp;""),0)/IFERROR(--(INDEX('Reguler Class Availability'!$F:$F,$Q251)&amp;""),0)&gt;=0.6,"Tinggi","Sebagian"))))))</f>
        <v>Belum terisi</v>
      </c>
      <c r="F251" s="77" t="str">
        <f aca="false">IF($Q251="","",PROPER(INDEX('Reguler Class Availability'!$B:$B,$Q251)&amp;""))</f>
        <v>Tiny</v>
      </c>
      <c r="G251" s="76" t="n">
        <f aca="false">IF($Q251="","",IFERROR(--(INDEX('Reguler Class Availability'!$F:$F,$Q251)&amp;""),0))</f>
        <v>5</v>
      </c>
      <c r="H251" s="77" t="str">
        <f aca="false">IF($Q251="","",PROPER(INDEX('Reguler Class Availability'!$I:$I,$Q251)&amp;"")&amp;IF(INDEX('Reguler Class Availability'!$J:$J,$Q251)&amp;""="",""," + asst "&amp;PROPER(INDEX('Reguler Class Availability'!$J:$J,$Q251)&amp;"")))</f>
        <v/>
      </c>
      <c r="I251" s="77" t="s">
        <v>422</v>
      </c>
      <c r="J251" s="77" t="s">
        <v>188</v>
      </c>
      <c r="K251" s="78"/>
      <c r="L251" s="78"/>
      <c r="M251" s="78"/>
      <c r="N251" s="79"/>
      <c r="O251" s="78"/>
      <c r="Q251" s="30" t="n">
        <f aca="false">IFERROR(MATCH($B$4&amp;"|- Lane "&amp;D251&amp;" - "&amp;B251&amp;"|"&amp;C251,'Reguler Class Availability'!$L:$L,0),"")</f>
        <v>1592</v>
      </c>
      <c r="BD251" s="30" t="s">
        <v>110</v>
      </c>
      <c r="BE251" s="30" t="n">
        <f aca="false">IF(COUNTIFS('Reguler Class Availability'!$L:$L,$B$4&amp;"|- Lane 5 - *|"&amp;BD251)&gt;0,1,0)</f>
        <v>0</v>
      </c>
      <c r="BF251" s="30" t="n">
        <f aca="false">BE251+BF250</f>
        <v>0</v>
      </c>
    </row>
    <row r="252" customFormat="false" ht="27.75" hidden="false" customHeight="true" outlineLevel="0" collapsed="false">
      <c r="A252" s="76" t="n">
        <v>126</v>
      </c>
      <c r="B252" s="77" t="s">
        <v>117</v>
      </c>
      <c r="C252" s="76" t="s">
        <v>105</v>
      </c>
      <c r="D252" s="76" t="n">
        <v>2</v>
      </c>
      <c r="E252" s="77" t="str">
        <f aca="false">IF($Q252="","Tidak ada di data",IF(AND(IFERROR(--(INDEX('Reguler Class Availability'!$F:$F,$Q252)&amp;""),0)=0,IFERROR(--(INDEX('Reguler Class Availability'!$G:$G,$Q252)&amp;""),0)=0),"Tutup",IF(IFERROR(--(INDEX('Reguler Class Availability'!$G:$G,$Q252)&amp;""),0)&gt;IFERROR(--(INDEX('Reguler Class Availability'!$F:$F,$Q252)&amp;""),0),"Lebih",IF(IFERROR(--(INDEX('Reguler Class Availability'!$G:$G,$Q252)&amp;""),0)=IFERROR(--(INDEX('Reguler Class Availability'!$F:$F,$Q252)&amp;""),0),"Penuh",IF(IFERROR(--(INDEX('Reguler Class Availability'!$G:$G,$Q252)&amp;""),0)=0,IF(INDEX('Reguler Class Availability'!$B:$B,$Q252)&amp;""="","Kosong","Belum terisi"),IF(IFERROR(--(INDEX('Reguler Class Availability'!$G:$G,$Q252)&amp;""),0)/IFERROR(--(INDEX('Reguler Class Availability'!$F:$F,$Q252)&amp;""),0)&gt;=0.6,"Tinggi","Sebagian"))))))</f>
        <v>Belum terisi</v>
      </c>
      <c r="F252" s="77" t="str">
        <f aca="false">IF($Q252="","",PROPER(INDEX('Reguler Class Availability'!$B:$B,$Q252)&amp;""))</f>
        <v>Little</v>
      </c>
      <c r="G252" s="76" t="n">
        <f aca="false">IF($Q252="","",IFERROR(--(INDEX('Reguler Class Availability'!$F:$F,$Q252)&amp;""),0))</f>
        <v>5</v>
      </c>
      <c r="H252" s="77" t="str">
        <f aca="false">IF($Q252="","",PROPER(INDEX('Reguler Class Availability'!$I:$I,$Q252)&amp;"")&amp;IF(INDEX('Reguler Class Availability'!$J:$J,$Q252)&amp;""="",""," + asst "&amp;PROPER(INDEX('Reguler Class Availability'!$J:$J,$Q252)&amp;"")))</f>
        <v/>
      </c>
      <c r="I252" s="77" t="s">
        <v>422</v>
      </c>
      <c r="J252" s="77" t="s">
        <v>188</v>
      </c>
      <c r="K252" s="78"/>
      <c r="L252" s="78"/>
      <c r="M252" s="78"/>
      <c r="N252" s="79"/>
      <c r="O252" s="78"/>
      <c r="Q252" s="30" t="n">
        <f aca="false">IFERROR(MATCH($B$4&amp;"|- Lane "&amp;D252&amp;" - "&amp;B252&amp;"|"&amp;C252,'Reguler Class Availability'!$L:$L,0),"")</f>
        <v>1676</v>
      </c>
      <c r="BD252" s="30" t="s">
        <v>112</v>
      </c>
      <c r="BE252" s="30" t="n">
        <f aca="false">IF(COUNTIFS('Reguler Class Availability'!$L:$L,$B$4&amp;"|- Lane 5 - *|"&amp;BD252)&gt;0,1,0)</f>
        <v>0</v>
      </c>
      <c r="BF252" s="30" t="n">
        <f aca="false">BE252+BF251</f>
        <v>0</v>
      </c>
    </row>
    <row r="253" customFormat="false" ht="27.75" hidden="false" customHeight="true" outlineLevel="0" collapsed="false">
      <c r="A253" s="76" t="n">
        <v>127</v>
      </c>
      <c r="B253" s="77" t="s">
        <v>117</v>
      </c>
      <c r="C253" s="76" t="s">
        <v>110</v>
      </c>
      <c r="D253" s="76" t="n">
        <v>3</v>
      </c>
      <c r="E253" s="77" t="str">
        <f aca="false">IF($Q253="","Tidak ada di data",IF(AND(IFERROR(--(INDEX('Reguler Class Availability'!$F:$F,$Q253)&amp;""),0)=0,IFERROR(--(INDEX('Reguler Class Availability'!$G:$G,$Q253)&amp;""),0)=0),"Tutup",IF(IFERROR(--(INDEX('Reguler Class Availability'!$G:$G,$Q253)&amp;""),0)&gt;IFERROR(--(INDEX('Reguler Class Availability'!$F:$F,$Q253)&amp;""),0),"Lebih",IF(IFERROR(--(INDEX('Reguler Class Availability'!$G:$G,$Q253)&amp;""),0)=IFERROR(--(INDEX('Reguler Class Availability'!$F:$F,$Q253)&amp;""),0),"Penuh",IF(IFERROR(--(INDEX('Reguler Class Availability'!$G:$G,$Q253)&amp;""),0)=0,IF(INDEX('Reguler Class Availability'!$B:$B,$Q253)&amp;""="","Kosong","Belum terisi"),IF(IFERROR(--(INDEX('Reguler Class Availability'!$G:$G,$Q253)&amp;""),0)/IFERROR(--(INDEX('Reguler Class Availability'!$F:$F,$Q253)&amp;""),0)&gt;=0.6,"Tinggi","Sebagian"))))))</f>
        <v>Belum terisi</v>
      </c>
      <c r="F253" s="77" t="str">
        <f aca="false">IF($Q253="","",PROPER(INDEX('Reguler Class Availability'!$B:$B,$Q253)&amp;""))</f>
        <v>Kids</v>
      </c>
      <c r="G253" s="76" t="n">
        <f aca="false">IF($Q253="","",IFERROR(--(INDEX('Reguler Class Availability'!$F:$F,$Q253)&amp;""),0))</f>
        <v>4</v>
      </c>
      <c r="H253" s="77" t="str">
        <f aca="false">IF($Q253="","",PROPER(INDEX('Reguler Class Availability'!$I:$I,$Q253)&amp;"")&amp;IF(INDEX('Reguler Class Availability'!$J:$J,$Q253)&amp;""="",""," + asst "&amp;PROPER(INDEX('Reguler Class Availability'!$J:$J,$Q253)&amp;"")))</f>
        <v/>
      </c>
      <c r="I253" s="77" t="s">
        <v>422</v>
      </c>
      <c r="J253" s="77" t="s">
        <v>188</v>
      </c>
      <c r="K253" s="78"/>
      <c r="L253" s="78"/>
      <c r="M253" s="78"/>
      <c r="N253" s="79"/>
      <c r="O253" s="78"/>
      <c r="Q253" s="30" t="n">
        <f aca="false">IFERROR(MATCH($B$4&amp;"|- Lane "&amp;D253&amp;" - "&amp;B253&amp;"|"&amp;C253,'Reguler Class Availability'!$L:$L,0),"")</f>
        <v>1760</v>
      </c>
      <c r="BD253" s="30" t="s">
        <v>120</v>
      </c>
      <c r="BE253" s="30" t="n">
        <f aca="false">IF(COUNTIFS('Reguler Class Availability'!$L:$L,$B$4&amp;"|- Lane 5 - *|"&amp;BD253)&gt;0,1,0)</f>
        <v>0</v>
      </c>
      <c r="BF253" s="30" t="n">
        <f aca="false">BE253+BF252</f>
        <v>0</v>
      </c>
    </row>
    <row r="254" customFormat="false" ht="27.75" hidden="false" customHeight="true" outlineLevel="0" collapsed="false">
      <c r="A254" s="76" t="n">
        <v>128</v>
      </c>
      <c r="B254" s="77" t="s">
        <v>117</v>
      </c>
      <c r="C254" s="76" t="s">
        <v>110</v>
      </c>
      <c r="D254" s="76" t="n">
        <v>4</v>
      </c>
      <c r="E254" s="77" t="str">
        <f aca="false">IF($Q254="","Tidak ada di data",IF(AND(IFERROR(--(INDEX('Reguler Class Availability'!$F:$F,$Q254)&amp;""),0)=0,IFERROR(--(INDEX('Reguler Class Availability'!$G:$G,$Q254)&amp;""),0)=0),"Tutup",IF(IFERROR(--(INDEX('Reguler Class Availability'!$G:$G,$Q254)&amp;""),0)&gt;IFERROR(--(INDEX('Reguler Class Availability'!$F:$F,$Q254)&amp;""),0),"Lebih",IF(IFERROR(--(INDEX('Reguler Class Availability'!$G:$G,$Q254)&amp;""),0)=IFERROR(--(INDEX('Reguler Class Availability'!$F:$F,$Q254)&amp;""),0),"Penuh",IF(IFERROR(--(INDEX('Reguler Class Availability'!$G:$G,$Q254)&amp;""),0)=0,IF(INDEX('Reguler Class Availability'!$B:$B,$Q254)&amp;""="","Kosong","Belum terisi"),IF(IFERROR(--(INDEX('Reguler Class Availability'!$G:$G,$Q254)&amp;""),0)/IFERROR(--(INDEX('Reguler Class Availability'!$F:$F,$Q254)&amp;""),0)&gt;=0.6,"Tinggi","Sebagian"))))))</f>
        <v>Belum terisi</v>
      </c>
      <c r="F254" s="77" t="str">
        <f aca="false">IF($Q254="","",PROPER(INDEX('Reguler Class Availability'!$B:$B,$Q254)&amp;""))</f>
        <v>Kids</v>
      </c>
      <c r="G254" s="76" t="n">
        <f aca="false">IF($Q254="","",IFERROR(--(INDEX('Reguler Class Availability'!$F:$F,$Q254)&amp;""),0))</f>
        <v>4</v>
      </c>
      <c r="H254" s="77" t="str">
        <f aca="false">IF($Q254="","",PROPER(INDEX('Reguler Class Availability'!$I:$I,$Q254)&amp;"")&amp;IF(INDEX('Reguler Class Availability'!$J:$J,$Q254)&amp;""="",""," + asst "&amp;PROPER(INDEX('Reguler Class Availability'!$J:$J,$Q254)&amp;"")))</f>
        <v/>
      </c>
      <c r="I254" s="77" t="s">
        <v>422</v>
      </c>
      <c r="J254" s="77" t="s">
        <v>188</v>
      </c>
      <c r="K254" s="78"/>
      <c r="L254" s="78"/>
      <c r="M254" s="78"/>
      <c r="N254" s="79"/>
      <c r="O254" s="78"/>
      <c r="Q254" s="30" t="n">
        <f aca="false">IFERROR(MATCH($B$4&amp;"|- Lane "&amp;D254&amp;" - "&amp;B254&amp;"|"&amp;C254,'Reguler Class Availability'!$L:$L,0),"")</f>
        <v>1844</v>
      </c>
      <c r="BD254" s="30" t="s">
        <v>121</v>
      </c>
      <c r="BE254" s="30" t="n">
        <f aca="false">IF(COUNTIFS('Reguler Class Availability'!$L:$L,$B$4&amp;"|- Lane 5 - *|"&amp;BD254)&gt;0,1,0)</f>
        <v>0</v>
      </c>
      <c r="BF254" s="30" t="n">
        <f aca="false">BE254+BF253</f>
        <v>0</v>
      </c>
    </row>
    <row r="255" customFormat="false" ht="27.75" hidden="false" customHeight="true" outlineLevel="0" collapsed="false">
      <c r="A255" s="76" t="n">
        <v>129</v>
      </c>
      <c r="B255" s="77" t="s">
        <v>117</v>
      </c>
      <c r="C255" s="76" t="s">
        <v>120</v>
      </c>
      <c r="D255" s="76" t="n">
        <v>1</v>
      </c>
      <c r="E255" s="77" t="str">
        <f aca="false">IF($Q255="","Tidak ada di data",IF(AND(IFERROR(--(INDEX('Reguler Class Availability'!$F:$F,$Q255)&amp;""),0)=0,IFERROR(--(INDEX('Reguler Class Availability'!$G:$G,$Q255)&amp;""),0)=0),"Tutup",IF(IFERROR(--(INDEX('Reguler Class Availability'!$G:$G,$Q255)&amp;""),0)&gt;IFERROR(--(INDEX('Reguler Class Availability'!$F:$F,$Q255)&amp;""),0),"Lebih",IF(IFERROR(--(INDEX('Reguler Class Availability'!$G:$G,$Q255)&amp;""),0)=IFERROR(--(INDEX('Reguler Class Availability'!$F:$F,$Q255)&amp;""),0),"Penuh",IF(IFERROR(--(INDEX('Reguler Class Availability'!$G:$G,$Q255)&amp;""),0)=0,IF(INDEX('Reguler Class Availability'!$B:$B,$Q255)&amp;""="","Kosong","Belum terisi"),IF(IFERROR(--(INDEX('Reguler Class Availability'!$G:$G,$Q255)&amp;""),0)/IFERROR(--(INDEX('Reguler Class Availability'!$F:$F,$Q255)&amp;""),0)&gt;=0.6,"Tinggi","Sebagian"))))))</f>
        <v>Belum terisi</v>
      </c>
      <c r="F255" s="77" t="str">
        <f aca="false">IF($Q255="","",PROPER(INDEX('Reguler Class Availability'!$B:$B,$Q255)&amp;""))</f>
        <v>Baby</v>
      </c>
      <c r="G255" s="76" t="n">
        <f aca="false">IF($Q255="","",IFERROR(--(INDEX('Reguler Class Availability'!$F:$F,$Q255)&amp;""),0))</f>
        <v>5</v>
      </c>
      <c r="H255" s="77" t="str">
        <f aca="false">IF($Q255="","",PROPER(INDEX('Reguler Class Availability'!$I:$I,$Q255)&amp;"")&amp;IF(INDEX('Reguler Class Availability'!$J:$J,$Q255)&amp;""="",""," + asst "&amp;PROPER(INDEX('Reguler Class Availability'!$J:$J,$Q255)&amp;"")))</f>
        <v/>
      </c>
      <c r="I255" s="77" t="s">
        <v>422</v>
      </c>
      <c r="J255" s="77" t="s">
        <v>188</v>
      </c>
      <c r="K255" s="78"/>
      <c r="L255" s="78"/>
      <c r="M255" s="78"/>
      <c r="N255" s="79"/>
      <c r="O255" s="78"/>
      <c r="Q255" s="30" t="n">
        <f aca="false">IFERROR(MATCH($B$4&amp;"|- Lane "&amp;D255&amp;" - "&amp;B255&amp;"|"&amp;C255,'Reguler Class Availability'!$L:$L,0),"")</f>
        <v>1593</v>
      </c>
      <c r="BD255" s="30" t="s">
        <v>122</v>
      </c>
      <c r="BE255" s="30" t="n">
        <f aca="false">IF(COUNTIFS('Reguler Class Availability'!$L:$L,$B$4&amp;"|- Lane 5 - *|"&amp;BD255)&gt;0,1,0)</f>
        <v>0</v>
      </c>
      <c r="BF255" s="30" t="n">
        <f aca="false">BE255+BF254</f>
        <v>0</v>
      </c>
    </row>
    <row r="256" customFormat="false" ht="27.75" hidden="false" customHeight="true" outlineLevel="0" collapsed="false">
      <c r="A256" s="76" t="n">
        <v>130</v>
      </c>
      <c r="B256" s="77" t="s">
        <v>117</v>
      </c>
      <c r="C256" s="76" t="s">
        <v>120</v>
      </c>
      <c r="D256" s="76" t="n">
        <v>2</v>
      </c>
      <c r="E256" s="77" t="str">
        <f aca="false">IF($Q256="","Tidak ada di data",IF(AND(IFERROR(--(INDEX('Reguler Class Availability'!$F:$F,$Q256)&amp;""),0)=0,IFERROR(--(INDEX('Reguler Class Availability'!$G:$G,$Q256)&amp;""),0)=0),"Tutup",IF(IFERROR(--(INDEX('Reguler Class Availability'!$G:$G,$Q256)&amp;""),0)&gt;IFERROR(--(INDEX('Reguler Class Availability'!$F:$F,$Q256)&amp;""),0),"Lebih",IF(IFERROR(--(INDEX('Reguler Class Availability'!$G:$G,$Q256)&amp;""),0)=IFERROR(--(INDEX('Reguler Class Availability'!$F:$F,$Q256)&amp;""),0),"Penuh",IF(IFERROR(--(INDEX('Reguler Class Availability'!$G:$G,$Q256)&amp;""),0)=0,IF(INDEX('Reguler Class Availability'!$B:$B,$Q256)&amp;""="","Kosong","Belum terisi"),IF(IFERROR(--(INDEX('Reguler Class Availability'!$G:$G,$Q256)&amp;""),0)/IFERROR(--(INDEX('Reguler Class Availability'!$F:$F,$Q256)&amp;""),0)&gt;=0.6,"Tinggi","Sebagian"))))))</f>
        <v>Belum terisi</v>
      </c>
      <c r="F256" s="77" t="str">
        <f aca="false">IF($Q256="","",PROPER(INDEX('Reguler Class Availability'!$B:$B,$Q256)&amp;""))</f>
        <v>Little</v>
      </c>
      <c r="G256" s="76" t="n">
        <f aca="false">IF($Q256="","",IFERROR(--(INDEX('Reguler Class Availability'!$F:$F,$Q256)&amp;""),0))</f>
        <v>5</v>
      </c>
      <c r="H256" s="77" t="str">
        <f aca="false">IF($Q256="","",PROPER(INDEX('Reguler Class Availability'!$I:$I,$Q256)&amp;"")&amp;IF(INDEX('Reguler Class Availability'!$J:$J,$Q256)&amp;""="",""," + asst "&amp;PROPER(INDEX('Reguler Class Availability'!$J:$J,$Q256)&amp;"")))</f>
        <v/>
      </c>
      <c r="I256" s="77" t="s">
        <v>422</v>
      </c>
      <c r="J256" s="77" t="s">
        <v>188</v>
      </c>
      <c r="K256" s="78"/>
      <c r="L256" s="78"/>
      <c r="M256" s="78"/>
      <c r="N256" s="79"/>
      <c r="O256" s="78"/>
      <c r="Q256" s="30" t="n">
        <f aca="false">IFERROR(MATCH($B$4&amp;"|- Lane "&amp;D256&amp;" - "&amp;B256&amp;"|"&amp;C256,'Reguler Class Availability'!$L:$L,0),"")</f>
        <v>1677</v>
      </c>
      <c r="BD256" s="30" t="s">
        <v>123</v>
      </c>
      <c r="BE256" s="30" t="n">
        <f aca="false">IF(COUNTIFS('Reguler Class Availability'!$L:$L,$B$4&amp;"|- Lane 5 - *|"&amp;BD256)&gt;0,1,0)</f>
        <v>0</v>
      </c>
      <c r="BF256" s="30" t="n">
        <f aca="false">BE256+BF255</f>
        <v>0</v>
      </c>
    </row>
    <row r="257" customFormat="false" ht="27.75" hidden="false" customHeight="true" outlineLevel="0" collapsed="false">
      <c r="A257" s="76" t="n">
        <v>131</v>
      </c>
      <c r="B257" s="77" t="s">
        <v>117</v>
      </c>
      <c r="C257" s="76" t="s">
        <v>121</v>
      </c>
      <c r="D257" s="76" t="n">
        <v>3</v>
      </c>
      <c r="E257" s="77" t="str">
        <f aca="false">IF($Q257="","Tidak ada di data",IF(AND(IFERROR(--(INDEX('Reguler Class Availability'!$F:$F,$Q257)&amp;""),0)=0,IFERROR(--(INDEX('Reguler Class Availability'!$G:$G,$Q257)&amp;""),0)=0),"Tutup",IF(IFERROR(--(INDEX('Reguler Class Availability'!$G:$G,$Q257)&amp;""),0)&gt;IFERROR(--(INDEX('Reguler Class Availability'!$F:$F,$Q257)&amp;""),0),"Lebih",IF(IFERROR(--(INDEX('Reguler Class Availability'!$G:$G,$Q257)&amp;""),0)=IFERROR(--(INDEX('Reguler Class Availability'!$F:$F,$Q257)&amp;""),0),"Penuh",IF(IFERROR(--(INDEX('Reguler Class Availability'!$G:$G,$Q257)&amp;""),0)=0,IF(INDEX('Reguler Class Availability'!$B:$B,$Q257)&amp;""="","Kosong","Belum terisi"),IF(IFERROR(--(INDEX('Reguler Class Availability'!$G:$G,$Q257)&amp;""),0)/IFERROR(--(INDEX('Reguler Class Availability'!$F:$F,$Q257)&amp;""),0)&gt;=0.6,"Tinggi","Sebagian"))))))</f>
        <v>Belum terisi</v>
      </c>
      <c r="F257" s="77" t="str">
        <f aca="false">IF($Q257="","",PROPER(INDEX('Reguler Class Availability'!$B:$B,$Q257)&amp;""))</f>
        <v>Kids</v>
      </c>
      <c r="G257" s="76" t="n">
        <f aca="false">IF($Q257="","",IFERROR(--(INDEX('Reguler Class Availability'!$F:$F,$Q257)&amp;""),0))</f>
        <v>4</v>
      </c>
      <c r="H257" s="77" t="str">
        <f aca="false">IF($Q257="","",PROPER(INDEX('Reguler Class Availability'!$I:$I,$Q257)&amp;"")&amp;IF(INDEX('Reguler Class Availability'!$J:$J,$Q257)&amp;""="",""," + asst "&amp;PROPER(INDEX('Reguler Class Availability'!$J:$J,$Q257)&amp;"")))</f>
        <v/>
      </c>
      <c r="I257" s="77" t="s">
        <v>422</v>
      </c>
      <c r="J257" s="77" t="s">
        <v>188</v>
      </c>
      <c r="K257" s="78"/>
      <c r="L257" s="78"/>
      <c r="M257" s="78"/>
      <c r="N257" s="79"/>
      <c r="O257" s="78"/>
      <c r="Q257" s="30" t="n">
        <f aca="false">IFERROR(MATCH($B$4&amp;"|- Lane "&amp;D257&amp;" - "&amp;B257&amp;"|"&amp;C257,'Reguler Class Availability'!$L:$L,0),"")</f>
        <v>1761</v>
      </c>
      <c r="BD257" s="30" t="s">
        <v>124</v>
      </c>
      <c r="BE257" s="30" t="n">
        <f aca="false">IF(COUNTIFS('Reguler Class Availability'!$L:$L,$B$4&amp;"|- Lane 5 - *|"&amp;BD257)&gt;0,1,0)</f>
        <v>0</v>
      </c>
      <c r="BF257" s="30" t="n">
        <f aca="false">BE257+BF256</f>
        <v>0</v>
      </c>
    </row>
    <row r="258" customFormat="false" ht="27.75" hidden="false" customHeight="true" outlineLevel="0" collapsed="false">
      <c r="A258" s="76" t="n">
        <v>132</v>
      </c>
      <c r="B258" s="77" t="s">
        <v>117</v>
      </c>
      <c r="C258" s="76" t="s">
        <v>121</v>
      </c>
      <c r="D258" s="76" t="n">
        <v>4</v>
      </c>
      <c r="E258" s="77" t="str">
        <f aca="false">IF($Q258="","Tidak ada di data",IF(AND(IFERROR(--(INDEX('Reguler Class Availability'!$F:$F,$Q258)&amp;""),0)=0,IFERROR(--(INDEX('Reguler Class Availability'!$G:$G,$Q258)&amp;""),0)=0),"Tutup",IF(IFERROR(--(INDEX('Reguler Class Availability'!$G:$G,$Q258)&amp;""),0)&gt;IFERROR(--(INDEX('Reguler Class Availability'!$F:$F,$Q258)&amp;""),0),"Lebih",IF(IFERROR(--(INDEX('Reguler Class Availability'!$G:$G,$Q258)&amp;""),0)=IFERROR(--(INDEX('Reguler Class Availability'!$F:$F,$Q258)&amp;""),0),"Penuh",IF(IFERROR(--(INDEX('Reguler Class Availability'!$G:$G,$Q258)&amp;""),0)=0,IF(INDEX('Reguler Class Availability'!$B:$B,$Q258)&amp;""="","Kosong","Belum terisi"),IF(IFERROR(--(INDEX('Reguler Class Availability'!$G:$G,$Q258)&amp;""),0)/IFERROR(--(INDEX('Reguler Class Availability'!$F:$F,$Q258)&amp;""),0)&gt;=0.6,"Tinggi","Sebagian"))))))</f>
        <v>Belum terisi</v>
      </c>
      <c r="F258" s="77" t="str">
        <f aca="false">IF($Q258="","",PROPER(INDEX('Reguler Class Availability'!$B:$B,$Q258)&amp;""))</f>
        <v>Kids</v>
      </c>
      <c r="G258" s="76" t="n">
        <f aca="false">IF($Q258="","",IFERROR(--(INDEX('Reguler Class Availability'!$F:$F,$Q258)&amp;""),0))</f>
        <v>4</v>
      </c>
      <c r="H258" s="77" t="str">
        <f aca="false">IF($Q258="","",PROPER(INDEX('Reguler Class Availability'!$I:$I,$Q258)&amp;"")&amp;IF(INDEX('Reguler Class Availability'!$J:$J,$Q258)&amp;""="",""," + asst "&amp;PROPER(INDEX('Reguler Class Availability'!$J:$J,$Q258)&amp;"")))</f>
        <v/>
      </c>
      <c r="I258" s="77" t="s">
        <v>422</v>
      </c>
      <c r="J258" s="77" t="s">
        <v>188</v>
      </c>
      <c r="K258" s="78"/>
      <c r="L258" s="78"/>
      <c r="M258" s="78"/>
      <c r="N258" s="79"/>
      <c r="O258" s="78"/>
      <c r="Q258" s="30" t="n">
        <f aca="false">IFERROR(MATCH($B$4&amp;"|- Lane "&amp;D258&amp;" - "&amp;B258&amp;"|"&amp;C258,'Reguler Class Availability'!$L:$L,0),"")</f>
        <v>1845</v>
      </c>
      <c r="BD258" s="30" t="s">
        <v>125</v>
      </c>
      <c r="BE258" s="30" t="n">
        <f aca="false">IF(COUNTIFS('Reguler Class Availability'!$L:$L,$B$4&amp;"|- Lane 5 - *|"&amp;BD258)&gt;0,1,0)</f>
        <v>0</v>
      </c>
      <c r="BF258" s="30" t="n">
        <f aca="false">BE258+BF257</f>
        <v>0</v>
      </c>
    </row>
    <row r="259" customFormat="false" ht="27.75" hidden="false" customHeight="true" outlineLevel="0" collapsed="false">
      <c r="A259" s="76" t="n">
        <v>133</v>
      </c>
      <c r="B259" s="77" t="s">
        <v>117</v>
      </c>
      <c r="C259" s="76" t="s">
        <v>123</v>
      </c>
      <c r="D259" s="76" t="n">
        <v>1</v>
      </c>
      <c r="E259" s="77" t="str">
        <f aca="false">IF($Q259="","Tidak ada di data",IF(AND(IFERROR(--(INDEX('Reguler Class Availability'!$F:$F,$Q259)&amp;""),0)=0,IFERROR(--(INDEX('Reguler Class Availability'!$G:$G,$Q259)&amp;""),0)=0),"Tutup",IF(IFERROR(--(INDEX('Reguler Class Availability'!$G:$G,$Q259)&amp;""),0)&gt;IFERROR(--(INDEX('Reguler Class Availability'!$F:$F,$Q259)&amp;""),0),"Lebih",IF(IFERROR(--(INDEX('Reguler Class Availability'!$G:$G,$Q259)&amp;""),0)=IFERROR(--(INDEX('Reguler Class Availability'!$F:$F,$Q259)&amp;""),0),"Penuh",IF(IFERROR(--(INDEX('Reguler Class Availability'!$G:$G,$Q259)&amp;""),0)=0,IF(INDEX('Reguler Class Availability'!$B:$B,$Q259)&amp;""="","Kosong","Belum terisi"),IF(IFERROR(--(INDEX('Reguler Class Availability'!$G:$G,$Q259)&amp;""),0)/IFERROR(--(INDEX('Reguler Class Availability'!$F:$F,$Q259)&amp;""),0)&gt;=0.6,"Tinggi","Sebagian"))))))</f>
        <v>Belum terisi</v>
      </c>
      <c r="F259" s="77" t="str">
        <f aca="false">IF($Q259="","",PROPER(INDEX('Reguler Class Availability'!$B:$B,$Q259)&amp;""))</f>
        <v>Tiny</v>
      </c>
      <c r="G259" s="76" t="n">
        <f aca="false">IF($Q259="","",IFERROR(--(INDEX('Reguler Class Availability'!$F:$F,$Q259)&amp;""),0))</f>
        <v>5</v>
      </c>
      <c r="H259" s="77" t="str">
        <f aca="false">IF($Q259="","",PROPER(INDEX('Reguler Class Availability'!$I:$I,$Q259)&amp;"")&amp;IF(INDEX('Reguler Class Availability'!$J:$J,$Q259)&amp;""="",""," + asst "&amp;PROPER(INDEX('Reguler Class Availability'!$J:$J,$Q259)&amp;"")))</f>
        <v/>
      </c>
      <c r="I259" s="77" t="s">
        <v>422</v>
      </c>
      <c r="J259" s="77" t="s">
        <v>188</v>
      </c>
      <c r="K259" s="78"/>
      <c r="L259" s="78"/>
      <c r="M259" s="78"/>
      <c r="N259" s="79"/>
      <c r="O259" s="78"/>
      <c r="Q259" s="30" t="n">
        <f aca="false">IFERROR(MATCH($B$4&amp;"|- Lane "&amp;D259&amp;" - "&amp;B259&amp;"|"&amp;C259,'Reguler Class Availability'!$L:$L,0),"")</f>
        <v>1594</v>
      </c>
      <c r="BD259" s="30" t="s">
        <v>126</v>
      </c>
      <c r="BE259" s="30" t="n">
        <f aca="false">IF(COUNTIFS('Reguler Class Availability'!$L:$L,$B$4&amp;"|- Lane 5 - *|"&amp;BD259)&gt;0,1,0)</f>
        <v>0</v>
      </c>
      <c r="BF259" s="30" t="n">
        <f aca="false">BE259+BF258</f>
        <v>0</v>
      </c>
    </row>
    <row r="260" customFormat="false" ht="27.75" hidden="false" customHeight="true" outlineLevel="0" collapsed="false">
      <c r="A260" s="76" t="n">
        <v>134</v>
      </c>
      <c r="B260" s="77" t="s">
        <v>117</v>
      </c>
      <c r="C260" s="76" t="s">
        <v>123</v>
      </c>
      <c r="D260" s="76" t="n">
        <v>2</v>
      </c>
      <c r="E260" s="77" t="str">
        <f aca="false">IF($Q260="","Tidak ada di data",IF(AND(IFERROR(--(INDEX('Reguler Class Availability'!$F:$F,$Q260)&amp;""),0)=0,IFERROR(--(INDEX('Reguler Class Availability'!$G:$G,$Q260)&amp;""),0)=0),"Tutup",IF(IFERROR(--(INDEX('Reguler Class Availability'!$G:$G,$Q260)&amp;""),0)&gt;IFERROR(--(INDEX('Reguler Class Availability'!$F:$F,$Q260)&amp;""),0),"Lebih",IF(IFERROR(--(INDEX('Reguler Class Availability'!$G:$G,$Q260)&amp;""),0)=IFERROR(--(INDEX('Reguler Class Availability'!$F:$F,$Q260)&amp;""),0),"Penuh",IF(IFERROR(--(INDEX('Reguler Class Availability'!$G:$G,$Q260)&amp;""),0)=0,IF(INDEX('Reguler Class Availability'!$B:$B,$Q260)&amp;""="","Kosong","Belum terisi"),IF(IFERROR(--(INDEX('Reguler Class Availability'!$G:$G,$Q260)&amp;""),0)/IFERROR(--(INDEX('Reguler Class Availability'!$F:$F,$Q260)&amp;""),0)&gt;=0.6,"Tinggi","Sebagian"))))))</f>
        <v>Belum terisi</v>
      </c>
      <c r="F260" s="77" t="str">
        <f aca="false">IF($Q260="","",PROPER(INDEX('Reguler Class Availability'!$B:$B,$Q260)&amp;""))</f>
        <v>Little</v>
      </c>
      <c r="G260" s="76" t="n">
        <f aca="false">IF($Q260="","",IFERROR(--(INDEX('Reguler Class Availability'!$F:$F,$Q260)&amp;""),0))</f>
        <v>5</v>
      </c>
      <c r="H260" s="77" t="str">
        <f aca="false">IF($Q260="","",PROPER(INDEX('Reguler Class Availability'!$I:$I,$Q260)&amp;"")&amp;IF(INDEX('Reguler Class Availability'!$J:$J,$Q260)&amp;""="",""," + asst "&amp;PROPER(INDEX('Reguler Class Availability'!$J:$J,$Q260)&amp;"")))</f>
        <v/>
      </c>
      <c r="I260" s="77" t="s">
        <v>422</v>
      </c>
      <c r="J260" s="77" t="s">
        <v>188</v>
      </c>
      <c r="K260" s="78"/>
      <c r="L260" s="78"/>
      <c r="M260" s="78"/>
      <c r="N260" s="79"/>
      <c r="O260" s="78"/>
      <c r="Q260" s="30" t="n">
        <f aca="false">IFERROR(MATCH($B$4&amp;"|- Lane "&amp;D260&amp;" - "&amp;B260&amp;"|"&amp;C260,'Reguler Class Availability'!$L:$L,0),"")</f>
        <v>1678</v>
      </c>
      <c r="BD260" s="30" t="s">
        <v>127</v>
      </c>
      <c r="BE260" s="30" t="n">
        <f aca="false">IF(COUNTIFS('Reguler Class Availability'!$L:$L,$B$4&amp;"|- Lane 5 - *|"&amp;BD260)&gt;0,1,0)</f>
        <v>0</v>
      </c>
      <c r="BF260" s="30" t="n">
        <f aca="false">BE260+BF259</f>
        <v>0</v>
      </c>
    </row>
    <row r="261" customFormat="false" ht="15.75" hidden="false" customHeight="true" outlineLevel="0" collapsed="false">
      <c r="A261" s="76" t="n">
        <v>135</v>
      </c>
      <c r="B261" s="77" t="s">
        <v>117</v>
      </c>
      <c r="C261" s="76" t="s">
        <v>124</v>
      </c>
      <c r="D261" s="76" t="n">
        <v>3</v>
      </c>
      <c r="E261" s="77" t="str">
        <f aca="false">IF($Q261="","Tidak ada di data",IF(AND(IFERROR(--(INDEX('Reguler Class Availability'!$F:$F,$Q261)&amp;""),0)=0,IFERROR(--(INDEX('Reguler Class Availability'!$G:$G,$Q261)&amp;""),0)=0),"Tutup",IF(IFERROR(--(INDEX('Reguler Class Availability'!$G:$G,$Q261)&amp;""),0)&gt;IFERROR(--(INDEX('Reguler Class Availability'!$F:$F,$Q261)&amp;""),0),"Lebih",IF(IFERROR(--(INDEX('Reguler Class Availability'!$G:$G,$Q261)&amp;""),0)=IFERROR(--(INDEX('Reguler Class Availability'!$F:$F,$Q261)&amp;""),0),"Penuh",IF(IFERROR(--(INDEX('Reguler Class Availability'!$G:$G,$Q261)&amp;""),0)=0,IF(INDEX('Reguler Class Availability'!$B:$B,$Q261)&amp;""="","Kosong","Belum terisi"),IF(IFERROR(--(INDEX('Reguler Class Availability'!$G:$G,$Q261)&amp;""),0)/IFERROR(--(INDEX('Reguler Class Availability'!$F:$F,$Q261)&amp;""),0)&gt;=0.6,"Tinggi","Sebagian"))))))</f>
        <v>Belum terisi</v>
      </c>
      <c r="F261" s="77" t="str">
        <f aca="false">IF($Q261="","",PROPER(INDEX('Reguler Class Availability'!$B:$B,$Q261)&amp;""))</f>
        <v>Kids</v>
      </c>
      <c r="G261" s="76" t="n">
        <f aca="false">IF($Q261="","",IFERROR(--(INDEX('Reguler Class Availability'!$F:$F,$Q261)&amp;""),0))</f>
        <v>4</v>
      </c>
      <c r="H261" s="77" t="str">
        <f aca="false">IF($Q261="","",PROPER(INDEX('Reguler Class Availability'!$I:$I,$Q261)&amp;"")&amp;IF(INDEX('Reguler Class Availability'!$J:$J,$Q261)&amp;""="",""," + asst "&amp;PROPER(INDEX('Reguler Class Availability'!$J:$J,$Q261)&amp;"")))</f>
        <v/>
      </c>
      <c r="I261" s="77" t="s">
        <v>423</v>
      </c>
      <c r="J261" s="77" t="s">
        <v>188</v>
      </c>
      <c r="K261" s="78"/>
      <c r="L261" s="78"/>
      <c r="M261" s="78"/>
      <c r="N261" s="79"/>
      <c r="O261" s="78"/>
      <c r="Q261" s="30" t="n">
        <f aca="false">IFERROR(MATCH($B$4&amp;"|- Lane "&amp;D261&amp;" - "&amp;B261&amp;"|"&amp;C261,'Reguler Class Availability'!$L:$L,0),"")</f>
        <v>1762</v>
      </c>
      <c r="BD261" s="30" t="s">
        <v>128</v>
      </c>
      <c r="BE261" s="30" t="n">
        <f aca="false">IF(COUNTIFS('Reguler Class Availability'!$L:$L,$B$4&amp;"|- Lane 5 - *|"&amp;BD261)&gt;0,1,0)</f>
        <v>0</v>
      </c>
      <c r="BF261" s="30" t="n">
        <f aca="false">BE261+BF260</f>
        <v>0</v>
      </c>
    </row>
    <row r="262" customFormat="false" ht="15.75" hidden="false" customHeight="true" outlineLevel="0" collapsed="false">
      <c r="A262" s="76" t="n">
        <v>136</v>
      </c>
      <c r="B262" s="77" t="s">
        <v>117</v>
      </c>
      <c r="C262" s="76" t="s">
        <v>124</v>
      </c>
      <c r="D262" s="76" t="n">
        <v>4</v>
      </c>
      <c r="E262" s="77" t="str">
        <f aca="false">IF($Q262="","Tidak ada di data",IF(AND(IFERROR(--(INDEX('Reguler Class Availability'!$F:$F,$Q262)&amp;""),0)=0,IFERROR(--(INDEX('Reguler Class Availability'!$G:$G,$Q262)&amp;""),0)=0),"Tutup",IF(IFERROR(--(INDEX('Reguler Class Availability'!$G:$G,$Q262)&amp;""),0)&gt;IFERROR(--(INDEX('Reguler Class Availability'!$F:$F,$Q262)&amp;""),0),"Lebih",IF(IFERROR(--(INDEX('Reguler Class Availability'!$G:$G,$Q262)&amp;""),0)=IFERROR(--(INDEX('Reguler Class Availability'!$F:$F,$Q262)&amp;""),0),"Penuh",IF(IFERROR(--(INDEX('Reguler Class Availability'!$G:$G,$Q262)&amp;""),0)=0,IF(INDEX('Reguler Class Availability'!$B:$B,$Q262)&amp;""="","Kosong","Belum terisi"),IF(IFERROR(--(INDEX('Reguler Class Availability'!$G:$G,$Q262)&amp;""),0)/IFERROR(--(INDEX('Reguler Class Availability'!$F:$F,$Q262)&amp;""),0)&gt;=0.6,"Tinggi","Sebagian"))))))</f>
        <v>Belum terisi</v>
      </c>
      <c r="F262" s="77" t="str">
        <f aca="false">IF($Q262="","",PROPER(INDEX('Reguler Class Availability'!$B:$B,$Q262)&amp;""))</f>
        <v>Kids</v>
      </c>
      <c r="G262" s="76" t="n">
        <f aca="false">IF($Q262="","",IFERROR(--(INDEX('Reguler Class Availability'!$F:$F,$Q262)&amp;""),0))</f>
        <v>4</v>
      </c>
      <c r="H262" s="77" t="str">
        <f aca="false">IF($Q262="","",PROPER(INDEX('Reguler Class Availability'!$I:$I,$Q262)&amp;"")&amp;IF(INDEX('Reguler Class Availability'!$J:$J,$Q262)&amp;""="",""," + asst "&amp;PROPER(INDEX('Reguler Class Availability'!$J:$J,$Q262)&amp;"")))</f>
        <v/>
      </c>
      <c r="I262" s="77" t="s">
        <v>423</v>
      </c>
      <c r="J262" s="77" t="s">
        <v>188</v>
      </c>
      <c r="K262" s="78"/>
      <c r="L262" s="78"/>
      <c r="M262" s="78"/>
      <c r="N262" s="79"/>
      <c r="O262" s="78"/>
      <c r="Q262" s="30" t="n">
        <f aca="false">IFERROR(MATCH($B$4&amp;"|- Lane "&amp;D262&amp;" - "&amp;B262&amp;"|"&amp;C262,'Reguler Class Availability'!$L:$L,0),"")</f>
        <v>1846</v>
      </c>
      <c r="BD262" s="30" t="s">
        <v>129</v>
      </c>
      <c r="BE262" s="30" t="n">
        <f aca="false">IF(COUNTIFS('Reguler Class Availability'!$L:$L,$B$4&amp;"|- Lane 5 - *|"&amp;BD262)&gt;0,1,0)</f>
        <v>0</v>
      </c>
      <c r="BF262" s="30" t="n">
        <f aca="false">BE262+BF261</f>
        <v>0</v>
      </c>
    </row>
    <row r="263" customFormat="false" ht="15.75" hidden="false" customHeight="true" outlineLevel="0" collapsed="false">
      <c r="A263" s="76" t="n">
        <v>137</v>
      </c>
      <c r="B263" s="77" t="s">
        <v>117</v>
      </c>
      <c r="C263" s="76" t="s">
        <v>126</v>
      </c>
      <c r="D263" s="76" t="n">
        <v>1</v>
      </c>
      <c r="E263" s="77" t="str">
        <f aca="false">IF($Q263="","Tidak ada di data",IF(AND(IFERROR(--(INDEX('Reguler Class Availability'!$F:$F,$Q263)&amp;""),0)=0,IFERROR(--(INDEX('Reguler Class Availability'!$G:$G,$Q263)&amp;""),0)=0),"Tutup",IF(IFERROR(--(INDEX('Reguler Class Availability'!$G:$G,$Q263)&amp;""),0)&gt;IFERROR(--(INDEX('Reguler Class Availability'!$F:$F,$Q263)&amp;""),0),"Lebih",IF(IFERROR(--(INDEX('Reguler Class Availability'!$G:$G,$Q263)&amp;""),0)=IFERROR(--(INDEX('Reguler Class Availability'!$F:$F,$Q263)&amp;""),0),"Penuh",IF(IFERROR(--(INDEX('Reguler Class Availability'!$G:$G,$Q263)&amp;""),0)=0,IF(INDEX('Reguler Class Availability'!$B:$B,$Q263)&amp;""="","Kosong","Belum terisi"),IF(IFERROR(--(INDEX('Reguler Class Availability'!$G:$G,$Q263)&amp;""),0)/IFERROR(--(INDEX('Reguler Class Availability'!$F:$F,$Q263)&amp;""),0)&gt;=0.6,"Tinggi","Sebagian"))))))</f>
        <v>Belum terisi</v>
      </c>
      <c r="F263" s="77" t="str">
        <f aca="false">IF($Q263="","",PROPER(INDEX('Reguler Class Availability'!$B:$B,$Q263)&amp;""))</f>
        <v>Baby</v>
      </c>
      <c r="G263" s="76" t="n">
        <f aca="false">IF($Q263="","",IFERROR(--(INDEX('Reguler Class Availability'!$F:$F,$Q263)&amp;""),0))</f>
        <v>5</v>
      </c>
      <c r="H263" s="77" t="str">
        <f aca="false">IF($Q263="","",PROPER(INDEX('Reguler Class Availability'!$I:$I,$Q263)&amp;"")&amp;IF(INDEX('Reguler Class Availability'!$J:$J,$Q263)&amp;""="",""," + asst "&amp;PROPER(INDEX('Reguler Class Availability'!$J:$J,$Q263)&amp;"")))</f>
        <v/>
      </c>
      <c r="I263" s="77" t="s">
        <v>423</v>
      </c>
      <c r="J263" s="77" t="s">
        <v>188</v>
      </c>
      <c r="K263" s="78"/>
      <c r="L263" s="78"/>
      <c r="M263" s="78"/>
      <c r="N263" s="79"/>
      <c r="O263" s="78"/>
      <c r="Q263" s="30" t="n">
        <f aca="false">IFERROR(MATCH($B$4&amp;"|- Lane "&amp;D263&amp;" - "&amp;B263&amp;"|"&amp;C263,'Reguler Class Availability'!$L:$L,0),"")</f>
        <v>1595</v>
      </c>
      <c r="BD263" s="30" t="s">
        <v>130</v>
      </c>
      <c r="BE263" s="30" t="n">
        <f aca="false">IF(COUNTIFS('Reguler Class Availability'!$L:$L,$B$4&amp;"|- Lane 5 - *|"&amp;BD263)&gt;0,1,0)</f>
        <v>0</v>
      </c>
      <c r="BF263" s="30" t="n">
        <f aca="false">BE263+BF262</f>
        <v>0</v>
      </c>
    </row>
    <row r="264" customFormat="false" ht="15.75" hidden="false" customHeight="true" outlineLevel="0" collapsed="false">
      <c r="A264" s="76" t="n">
        <v>138</v>
      </c>
      <c r="B264" s="77" t="s">
        <v>117</v>
      </c>
      <c r="C264" s="76" t="s">
        <v>127</v>
      </c>
      <c r="D264" s="76" t="n">
        <v>3</v>
      </c>
      <c r="E264" s="77" t="str">
        <f aca="false">IF($Q264="","Tidak ada di data",IF(AND(IFERROR(--(INDEX('Reguler Class Availability'!$F:$F,$Q264)&amp;""),0)=0,IFERROR(--(INDEX('Reguler Class Availability'!$G:$G,$Q264)&amp;""),0)=0),"Tutup",IF(IFERROR(--(INDEX('Reguler Class Availability'!$G:$G,$Q264)&amp;""),0)&gt;IFERROR(--(INDEX('Reguler Class Availability'!$F:$F,$Q264)&amp;""),0),"Lebih",IF(IFERROR(--(INDEX('Reguler Class Availability'!$G:$G,$Q264)&amp;""),0)=IFERROR(--(INDEX('Reguler Class Availability'!$F:$F,$Q264)&amp;""),0),"Penuh",IF(IFERROR(--(INDEX('Reguler Class Availability'!$G:$G,$Q264)&amp;""),0)=0,IF(INDEX('Reguler Class Availability'!$B:$B,$Q264)&amp;""="","Kosong","Belum terisi"),IF(IFERROR(--(INDEX('Reguler Class Availability'!$G:$G,$Q264)&amp;""),0)/IFERROR(--(INDEX('Reguler Class Availability'!$F:$F,$Q264)&amp;""),0)&gt;=0.6,"Tinggi","Sebagian"))))))</f>
        <v>Belum terisi</v>
      </c>
      <c r="F264" s="77" t="str">
        <f aca="false">IF($Q264="","",PROPER(INDEX('Reguler Class Availability'!$B:$B,$Q264)&amp;""))</f>
        <v>Kids</v>
      </c>
      <c r="G264" s="76" t="n">
        <f aca="false">IF($Q264="","",IFERROR(--(INDEX('Reguler Class Availability'!$F:$F,$Q264)&amp;""),0))</f>
        <v>4</v>
      </c>
      <c r="H264" s="77" t="str">
        <f aca="false">IF($Q264="","",PROPER(INDEX('Reguler Class Availability'!$I:$I,$Q264)&amp;"")&amp;IF(INDEX('Reguler Class Availability'!$J:$J,$Q264)&amp;""="",""," + asst "&amp;PROPER(INDEX('Reguler Class Availability'!$J:$J,$Q264)&amp;"")))</f>
        <v/>
      </c>
      <c r="I264" s="80" t="s">
        <v>199</v>
      </c>
      <c r="J264" s="77" t="s">
        <v>266</v>
      </c>
      <c r="K264" s="78"/>
      <c r="L264" s="78"/>
      <c r="M264" s="78"/>
      <c r="N264" s="79"/>
      <c r="O264" s="78"/>
      <c r="Q264" s="30" t="n">
        <f aca="false">IFERROR(MATCH($B$4&amp;"|- Lane "&amp;D264&amp;" - "&amp;B264&amp;"|"&amp;C264,'Reguler Class Availability'!$L:$L,0),"")</f>
        <v>1763</v>
      </c>
      <c r="BD264" s="30" t="s">
        <v>131</v>
      </c>
      <c r="BE264" s="30" t="n">
        <f aca="false">IF(COUNTIFS('Reguler Class Availability'!$L:$L,$B$4&amp;"|- Lane 5 - *|"&amp;BD264)&gt;0,1,0)</f>
        <v>0</v>
      </c>
      <c r="BF264" s="30" t="n">
        <f aca="false">BE264+BF263</f>
        <v>0</v>
      </c>
    </row>
    <row r="265" customFormat="false" ht="15.75" hidden="false" customHeight="true" outlineLevel="0" collapsed="false">
      <c r="A265" s="76" t="n">
        <v>139</v>
      </c>
      <c r="B265" s="77" t="s">
        <v>117</v>
      </c>
      <c r="C265" s="76" t="s">
        <v>127</v>
      </c>
      <c r="D265" s="76" t="n">
        <v>4</v>
      </c>
      <c r="E265" s="77" t="str">
        <f aca="false">IF($Q265="","Tidak ada di data",IF(AND(IFERROR(--(INDEX('Reguler Class Availability'!$F:$F,$Q265)&amp;""),0)=0,IFERROR(--(INDEX('Reguler Class Availability'!$G:$G,$Q265)&amp;""),0)=0),"Tutup",IF(IFERROR(--(INDEX('Reguler Class Availability'!$G:$G,$Q265)&amp;""),0)&gt;IFERROR(--(INDEX('Reguler Class Availability'!$F:$F,$Q265)&amp;""),0),"Lebih",IF(IFERROR(--(INDEX('Reguler Class Availability'!$G:$G,$Q265)&amp;""),0)=IFERROR(--(INDEX('Reguler Class Availability'!$F:$F,$Q265)&amp;""),0),"Penuh",IF(IFERROR(--(INDEX('Reguler Class Availability'!$G:$G,$Q265)&amp;""),0)=0,IF(INDEX('Reguler Class Availability'!$B:$B,$Q265)&amp;""="","Kosong","Belum terisi"),IF(IFERROR(--(INDEX('Reguler Class Availability'!$G:$G,$Q265)&amp;""),0)/IFERROR(--(INDEX('Reguler Class Availability'!$F:$F,$Q265)&amp;""),0)&gt;=0.6,"Tinggi","Sebagian"))))))</f>
        <v>Belum terisi</v>
      </c>
      <c r="F265" s="77" t="str">
        <f aca="false">IF($Q265="","",PROPER(INDEX('Reguler Class Availability'!$B:$B,$Q265)&amp;""))</f>
        <v>Kids</v>
      </c>
      <c r="G265" s="76" t="n">
        <f aca="false">IF($Q265="","",IFERROR(--(INDEX('Reguler Class Availability'!$F:$F,$Q265)&amp;""),0))</f>
        <v>4</v>
      </c>
      <c r="H265" s="77" t="str">
        <f aca="false">IF($Q265="","",PROPER(INDEX('Reguler Class Availability'!$I:$I,$Q265)&amp;"")&amp;IF(INDEX('Reguler Class Availability'!$J:$J,$Q265)&amp;""="",""," + asst "&amp;PROPER(INDEX('Reguler Class Availability'!$J:$J,$Q265)&amp;"")))</f>
        <v/>
      </c>
      <c r="I265" s="80" t="s">
        <v>199</v>
      </c>
      <c r="J265" s="77" t="s">
        <v>266</v>
      </c>
      <c r="K265" s="78"/>
      <c r="L265" s="78"/>
      <c r="M265" s="78"/>
      <c r="N265" s="79"/>
      <c r="O265" s="78"/>
      <c r="Q265" s="30" t="n">
        <f aca="false">IFERROR(MATCH($B$4&amp;"|- Lane "&amp;D265&amp;" - "&amp;B265&amp;"|"&amp;C265,'Reguler Class Availability'!$L:$L,0),"")</f>
        <v>1847</v>
      </c>
      <c r="BD265" s="30" t="s">
        <v>132</v>
      </c>
      <c r="BE265" s="30" t="n">
        <f aca="false">IF(COUNTIFS('Reguler Class Availability'!$L:$L,$B$4&amp;"|- Lane 5 - *|"&amp;BD265)&gt;0,1,0)</f>
        <v>0</v>
      </c>
      <c r="BF265" s="30" t="n">
        <f aca="false">BE265+BF264</f>
        <v>0</v>
      </c>
    </row>
    <row r="266" customFormat="false" ht="15.75" hidden="false" customHeight="true" outlineLevel="0" collapsed="false">
      <c r="A266" s="76" t="n">
        <v>140</v>
      </c>
      <c r="B266" s="77" t="s">
        <v>117</v>
      </c>
      <c r="C266" s="76" t="s">
        <v>129</v>
      </c>
      <c r="D266" s="76" t="n">
        <v>2</v>
      </c>
      <c r="E266" s="77" t="str">
        <f aca="false">IF($Q266="","Tidak ada di data",IF(AND(IFERROR(--(INDEX('Reguler Class Availability'!$F:$F,$Q266)&amp;""),0)=0,IFERROR(--(INDEX('Reguler Class Availability'!$G:$G,$Q266)&amp;""),0)=0),"Tutup",IF(IFERROR(--(INDEX('Reguler Class Availability'!$G:$G,$Q266)&amp;""),0)&gt;IFERROR(--(INDEX('Reguler Class Availability'!$F:$F,$Q266)&amp;""),0),"Lebih",IF(IFERROR(--(INDEX('Reguler Class Availability'!$G:$G,$Q266)&amp;""),0)=IFERROR(--(INDEX('Reguler Class Availability'!$F:$F,$Q266)&amp;""),0),"Penuh",IF(IFERROR(--(INDEX('Reguler Class Availability'!$G:$G,$Q266)&amp;""),0)=0,IF(INDEX('Reguler Class Availability'!$B:$B,$Q266)&amp;""="","Kosong","Belum terisi"),IF(IFERROR(--(INDEX('Reguler Class Availability'!$G:$G,$Q266)&amp;""),0)/IFERROR(--(INDEX('Reguler Class Availability'!$F:$F,$Q266)&amp;""),0)&gt;=0.6,"Tinggi","Sebagian"))))))</f>
        <v>Belum terisi</v>
      </c>
      <c r="F266" s="77" t="str">
        <f aca="false">IF($Q266="","",PROPER(INDEX('Reguler Class Availability'!$B:$B,$Q266)&amp;""))</f>
        <v>Little</v>
      </c>
      <c r="G266" s="76" t="n">
        <f aca="false">IF($Q266="","",IFERROR(--(INDEX('Reguler Class Availability'!$F:$F,$Q266)&amp;""),0))</f>
        <v>5</v>
      </c>
      <c r="H266" s="77" t="str">
        <f aca="false">IF($Q266="","",PROPER(INDEX('Reguler Class Availability'!$I:$I,$Q266)&amp;"")&amp;IF(INDEX('Reguler Class Availability'!$J:$J,$Q266)&amp;""="",""," + asst "&amp;PROPER(INDEX('Reguler Class Availability'!$J:$J,$Q266)&amp;"")))</f>
        <v/>
      </c>
      <c r="I266" s="77" t="s">
        <v>424</v>
      </c>
      <c r="J266" s="77" t="s">
        <v>425</v>
      </c>
      <c r="K266" s="78"/>
      <c r="L266" s="78"/>
      <c r="M266" s="78"/>
      <c r="N266" s="79"/>
      <c r="O266" s="78"/>
      <c r="Q266" s="30" t="n">
        <f aca="false">IFERROR(MATCH($B$4&amp;"|- Lane "&amp;D266&amp;" - "&amp;B266&amp;"|"&amp;C266,'Reguler Class Availability'!$L:$L,0),"")</f>
        <v>1680</v>
      </c>
      <c r="BD266" s="30" t="s">
        <v>133</v>
      </c>
      <c r="BE266" s="30" t="n">
        <f aca="false">IF(COUNTIFS('Reguler Class Availability'!$L:$L,$B$4&amp;"|- Lane 5 - *|"&amp;BD266)&gt;0,1,0)</f>
        <v>0</v>
      </c>
      <c r="BF266" s="30" t="n">
        <f aca="false">BE266+BF265</f>
        <v>0</v>
      </c>
    </row>
    <row r="267" customFormat="false" ht="15.75" hidden="false" customHeight="true" outlineLevel="0" collapsed="false">
      <c r="A267" s="76" t="n">
        <v>141</v>
      </c>
      <c r="B267" s="77" t="s">
        <v>117</v>
      </c>
      <c r="C267" s="76" t="s">
        <v>130</v>
      </c>
      <c r="D267" s="76" t="n">
        <v>3</v>
      </c>
      <c r="E267" s="77" t="str">
        <f aca="false">IF($Q267="","Tidak ada di data",IF(AND(IFERROR(--(INDEX('Reguler Class Availability'!$F:$F,$Q267)&amp;""),0)=0,IFERROR(--(INDEX('Reguler Class Availability'!$G:$G,$Q267)&amp;""),0)=0),"Tutup",IF(IFERROR(--(INDEX('Reguler Class Availability'!$G:$G,$Q267)&amp;""),0)&gt;IFERROR(--(INDEX('Reguler Class Availability'!$F:$F,$Q267)&amp;""),0),"Lebih",IF(IFERROR(--(INDEX('Reguler Class Availability'!$G:$G,$Q267)&amp;""),0)=IFERROR(--(INDEX('Reguler Class Availability'!$F:$F,$Q267)&amp;""),0),"Penuh",IF(IFERROR(--(INDEX('Reguler Class Availability'!$G:$G,$Q267)&amp;""),0)=0,IF(INDEX('Reguler Class Availability'!$B:$B,$Q267)&amp;""="","Kosong","Belum terisi"),IF(IFERROR(--(INDEX('Reguler Class Availability'!$G:$G,$Q267)&amp;""),0)/IFERROR(--(INDEX('Reguler Class Availability'!$F:$F,$Q267)&amp;""),0)&gt;=0.6,"Tinggi","Sebagian"))))))</f>
        <v>Belum terisi</v>
      </c>
      <c r="F267" s="77" t="str">
        <f aca="false">IF($Q267="","",PROPER(INDEX('Reguler Class Availability'!$B:$B,$Q267)&amp;""))</f>
        <v>Kids</v>
      </c>
      <c r="G267" s="76" t="n">
        <f aca="false">IF($Q267="","",IFERROR(--(INDEX('Reguler Class Availability'!$F:$F,$Q267)&amp;""),0))</f>
        <v>4</v>
      </c>
      <c r="H267" s="77" t="str">
        <f aca="false">IF($Q267="","",PROPER(INDEX('Reguler Class Availability'!$I:$I,$Q267)&amp;"")&amp;IF(INDEX('Reguler Class Availability'!$J:$J,$Q267)&amp;""="",""," + asst "&amp;PROPER(INDEX('Reguler Class Availability'!$J:$J,$Q267)&amp;"")))</f>
        <v/>
      </c>
      <c r="I267" s="77" t="s">
        <v>424</v>
      </c>
      <c r="J267" s="77" t="s">
        <v>198</v>
      </c>
      <c r="K267" s="78"/>
      <c r="L267" s="78"/>
      <c r="M267" s="78"/>
      <c r="N267" s="79"/>
      <c r="O267" s="78"/>
      <c r="Q267" s="30" t="n">
        <f aca="false">IFERROR(MATCH($B$4&amp;"|- Lane "&amp;D267&amp;" - "&amp;B267&amp;"|"&amp;C267,'Reguler Class Availability'!$L:$L,0),"")</f>
        <v>1764</v>
      </c>
      <c r="BD267" s="30" t="s">
        <v>134</v>
      </c>
      <c r="BE267" s="30" t="n">
        <f aca="false">IF(COUNTIFS('Reguler Class Availability'!$L:$L,$B$4&amp;"|- Lane 5 - *|"&amp;BD267)&gt;0,1,0)</f>
        <v>0</v>
      </c>
      <c r="BF267" s="30" t="n">
        <f aca="false">BE267+BF266</f>
        <v>0</v>
      </c>
    </row>
    <row r="268" customFormat="false" ht="15.75" hidden="false" customHeight="true" outlineLevel="0" collapsed="false">
      <c r="A268" s="76" t="n">
        <v>142</v>
      </c>
      <c r="B268" s="77" t="s">
        <v>117</v>
      </c>
      <c r="C268" s="76" t="s">
        <v>130</v>
      </c>
      <c r="D268" s="76" t="n">
        <v>4</v>
      </c>
      <c r="E268" s="77" t="str">
        <f aca="false">IF($Q268="","Tidak ada di data",IF(AND(IFERROR(--(INDEX('Reguler Class Availability'!$F:$F,$Q268)&amp;""),0)=0,IFERROR(--(INDEX('Reguler Class Availability'!$G:$G,$Q268)&amp;""),0)=0),"Tutup",IF(IFERROR(--(INDEX('Reguler Class Availability'!$G:$G,$Q268)&amp;""),0)&gt;IFERROR(--(INDEX('Reguler Class Availability'!$F:$F,$Q268)&amp;""),0),"Lebih",IF(IFERROR(--(INDEX('Reguler Class Availability'!$G:$G,$Q268)&amp;""),0)=IFERROR(--(INDEX('Reguler Class Availability'!$F:$F,$Q268)&amp;""),0),"Penuh",IF(IFERROR(--(INDEX('Reguler Class Availability'!$G:$G,$Q268)&amp;""),0)=0,IF(INDEX('Reguler Class Availability'!$B:$B,$Q268)&amp;""="","Kosong","Belum terisi"),IF(IFERROR(--(INDEX('Reguler Class Availability'!$G:$G,$Q268)&amp;""),0)/IFERROR(--(INDEX('Reguler Class Availability'!$F:$F,$Q268)&amp;""),0)&gt;=0.6,"Tinggi","Sebagian"))))))</f>
        <v>Belum terisi</v>
      </c>
      <c r="F268" s="77" t="str">
        <f aca="false">IF($Q268="","",PROPER(INDEX('Reguler Class Availability'!$B:$B,$Q268)&amp;""))</f>
        <v>Kids</v>
      </c>
      <c r="G268" s="76" t="n">
        <f aca="false">IF($Q268="","",IFERROR(--(INDEX('Reguler Class Availability'!$F:$F,$Q268)&amp;""),0))</f>
        <v>4</v>
      </c>
      <c r="H268" s="77" t="str">
        <f aca="false">IF($Q268="","",PROPER(INDEX('Reguler Class Availability'!$I:$I,$Q268)&amp;"")&amp;IF(INDEX('Reguler Class Availability'!$J:$J,$Q268)&amp;""="",""," + asst "&amp;PROPER(INDEX('Reguler Class Availability'!$J:$J,$Q268)&amp;"")))</f>
        <v/>
      </c>
      <c r="I268" s="77" t="s">
        <v>424</v>
      </c>
      <c r="J268" s="77" t="s">
        <v>198</v>
      </c>
      <c r="K268" s="78"/>
      <c r="L268" s="78"/>
      <c r="M268" s="78"/>
      <c r="N268" s="79"/>
      <c r="O268" s="78"/>
      <c r="Q268" s="30" t="n">
        <f aca="false">IFERROR(MATCH($B$4&amp;"|- Lane "&amp;D268&amp;" - "&amp;B268&amp;"|"&amp;C268,'Reguler Class Availability'!$L:$L,0),"")</f>
        <v>1848</v>
      </c>
      <c r="BD268" s="30" t="s">
        <v>135</v>
      </c>
      <c r="BE268" s="30" t="n">
        <f aca="false">IF(COUNTIFS('Reguler Class Availability'!$L:$L,$B$4&amp;"|- Lane 5 - *|"&amp;BD268)&gt;0,1,0)</f>
        <v>0</v>
      </c>
      <c r="BF268" s="30" t="n">
        <f aca="false">BE268+BF267</f>
        <v>0</v>
      </c>
    </row>
    <row r="269" customFormat="false" ht="27.75" hidden="false" customHeight="true" outlineLevel="0" collapsed="false">
      <c r="A269" s="76" t="n">
        <v>143</v>
      </c>
      <c r="B269" s="77" t="s">
        <v>117</v>
      </c>
      <c r="C269" s="76" t="s">
        <v>132</v>
      </c>
      <c r="D269" s="76" t="n">
        <v>1</v>
      </c>
      <c r="E269" s="77" t="str">
        <f aca="false">IF($Q269="","Tidak ada di data",IF(AND(IFERROR(--(INDEX('Reguler Class Availability'!$F:$F,$Q269)&amp;""),0)=0,IFERROR(--(INDEX('Reguler Class Availability'!$G:$G,$Q269)&amp;""),0)=0),"Tutup",IF(IFERROR(--(INDEX('Reguler Class Availability'!$G:$G,$Q269)&amp;""),0)&gt;IFERROR(--(INDEX('Reguler Class Availability'!$F:$F,$Q269)&amp;""),0),"Lebih",IF(IFERROR(--(INDEX('Reguler Class Availability'!$G:$G,$Q269)&amp;""),0)=IFERROR(--(INDEX('Reguler Class Availability'!$F:$F,$Q269)&amp;""),0),"Penuh",IF(IFERROR(--(INDEX('Reguler Class Availability'!$G:$G,$Q269)&amp;""),0)=0,IF(INDEX('Reguler Class Availability'!$B:$B,$Q269)&amp;""="","Kosong","Belum terisi"),IF(IFERROR(--(INDEX('Reguler Class Availability'!$G:$G,$Q269)&amp;""),0)/IFERROR(--(INDEX('Reguler Class Availability'!$F:$F,$Q269)&amp;""),0)&gt;=0.6,"Tinggi","Sebagian"))))))</f>
        <v>Belum terisi</v>
      </c>
      <c r="F269" s="77" t="str">
        <f aca="false">IF($Q269="","",PROPER(INDEX('Reguler Class Availability'!$B:$B,$Q269)&amp;""))</f>
        <v>Baby</v>
      </c>
      <c r="G269" s="76" t="n">
        <f aca="false">IF($Q269="","",IFERROR(--(INDEX('Reguler Class Availability'!$F:$F,$Q269)&amp;""),0))</f>
        <v>5</v>
      </c>
      <c r="H269" s="77" t="str">
        <f aca="false">IF($Q269="","",PROPER(INDEX('Reguler Class Availability'!$I:$I,$Q269)&amp;"")&amp;IF(INDEX('Reguler Class Availability'!$J:$J,$Q269)&amp;""="",""," + asst "&amp;PROPER(INDEX('Reguler Class Availability'!$J:$J,$Q269)&amp;"")))</f>
        <v/>
      </c>
      <c r="I269" s="77" t="s">
        <v>422</v>
      </c>
      <c r="J269" s="77" t="s">
        <v>188</v>
      </c>
      <c r="K269" s="78"/>
      <c r="L269" s="78"/>
      <c r="M269" s="78"/>
      <c r="N269" s="79"/>
      <c r="O269" s="78"/>
      <c r="Q269" s="30" t="n">
        <f aca="false">IFERROR(MATCH($B$4&amp;"|- Lane "&amp;D269&amp;" - "&amp;B269&amp;"|"&amp;C269,'Reguler Class Availability'!$L:$L,0),"")</f>
        <v>1597</v>
      </c>
      <c r="BD269" s="30" t="s">
        <v>136</v>
      </c>
      <c r="BE269" s="30" t="n">
        <f aca="false">IF(COUNTIFS('Reguler Class Availability'!$L:$L,$B$4&amp;"|- Lane 5 - *|"&amp;BD269)&gt;0,1,0)</f>
        <v>0</v>
      </c>
      <c r="BF269" s="30" t="n">
        <f aca="false">BE269+BF268</f>
        <v>0</v>
      </c>
    </row>
    <row r="270" customFormat="false" ht="27.75" hidden="false" customHeight="true" outlineLevel="0" collapsed="false">
      <c r="A270" s="76" t="n">
        <v>144</v>
      </c>
      <c r="B270" s="77" t="s">
        <v>117</v>
      </c>
      <c r="C270" s="76" t="s">
        <v>132</v>
      </c>
      <c r="D270" s="76" t="n">
        <v>2</v>
      </c>
      <c r="E270" s="77" t="str">
        <f aca="false">IF($Q270="","Tidak ada di data",IF(AND(IFERROR(--(INDEX('Reguler Class Availability'!$F:$F,$Q270)&amp;""),0)=0,IFERROR(--(INDEX('Reguler Class Availability'!$G:$G,$Q270)&amp;""),0)=0),"Tutup",IF(IFERROR(--(INDEX('Reguler Class Availability'!$G:$G,$Q270)&amp;""),0)&gt;IFERROR(--(INDEX('Reguler Class Availability'!$F:$F,$Q270)&amp;""),0),"Lebih",IF(IFERROR(--(INDEX('Reguler Class Availability'!$G:$G,$Q270)&amp;""),0)=IFERROR(--(INDEX('Reguler Class Availability'!$F:$F,$Q270)&amp;""),0),"Penuh",IF(IFERROR(--(INDEX('Reguler Class Availability'!$G:$G,$Q270)&amp;""),0)=0,IF(INDEX('Reguler Class Availability'!$B:$B,$Q270)&amp;""="","Kosong","Belum terisi"),IF(IFERROR(--(INDEX('Reguler Class Availability'!$G:$G,$Q270)&amp;""),0)/IFERROR(--(INDEX('Reguler Class Availability'!$F:$F,$Q270)&amp;""),0)&gt;=0.6,"Tinggi","Sebagian"))))))</f>
        <v>Belum terisi</v>
      </c>
      <c r="F270" s="77" t="str">
        <f aca="false">IF($Q270="","",PROPER(INDEX('Reguler Class Availability'!$B:$B,$Q270)&amp;""))</f>
        <v>Little</v>
      </c>
      <c r="G270" s="76" t="n">
        <f aca="false">IF($Q270="","",IFERROR(--(INDEX('Reguler Class Availability'!$F:$F,$Q270)&amp;""),0))</f>
        <v>5</v>
      </c>
      <c r="H270" s="77" t="str">
        <f aca="false">IF($Q270="","",PROPER(INDEX('Reguler Class Availability'!$I:$I,$Q270)&amp;"")&amp;IF(INDEX('Reguler Class Availability'!$J:$J,$Q270)&amp;""="",""," + asst "&amp;PROPER(INDEX('Reguler Class Availability'!$J:$J,$Q270)&amp;"")))</f>
        <v/>
      </c>
      <c r="I270" s="77" t="s">
        <v>422</v>
      </c>
      <c r="J270" s="77" t="s">
        <v>188</v>
      </c>
      <c r="K270" s="78"/>
      <c r="L270" s="78"/>
      <c r="M270" s="78"/>
      <c r="N270" s="79"/>
      <c r="O270" s="78"/>
      <c r="Q270" s="30" t="n">
        <f aca="false">IFERROR(MATCH($B$4&amp;"|- Lane "&amp;D270&amp;" - "&amp;B270&amp;"|"&amp;C270,'Reguler Class Availability'!$L:$L,0),"")</f>
        <v>1681</v>
      </c>
      <c r="BD270" s="30" t="s">
        <v>138</v>
      </c>
      <c r="BE270" s="30" t="n">
        <f aca="false">IF(COUNTIFS('Reguler Class Availability'!$L:$L,$B$4&amp;"|- Lane 5 - *|"&amp;BD270)&gt;0,1,0)</f>
        <v>0</v>
      </c>
      <c r="BF270" s="30" t="n">
        <f aca="false">BE270+BF269</f>
        <v>0</v>
      </c>
    </row>
    <row r="271" customFormat="false" ht="27.75" hidden="false" customHeight="true" outlineLevel="0" collapsed="false">
      <c r="A271" s="76" t="n">
        <v>145</v>
      </c>
      <c r="B271" s="77" t="s">
        <v>117</v>
      </c>
      <c r="C271" s="76" t="s">
        <v>133</v>
      </c>
      <c r="D271" s="76" t="n">
        <v>3</v>
      </c>
      <c r="E271" s="77" t="str">
        <f aca="false">IF($Q271="","Tidak ada di data",IF(AND(IFERROR(--(INDEX('Reguler Class Availability'!$F:$F,$Q271)&amp;""),0)=0,IFERROR(--(INDEX('Reguler Class Availability'!$G:$G,$Q271)&amp;""),0)=0),"Tutup",IF(IFERROR(--(INDEX('Reguler Class Availability'!$G:$G,$Q271)&amp;""),0)&gt;IFERROR(--(INDEX('Reguler Class Availability'!$F:$F,$Q271)&amp;""),0),"Lebih",IF(IFERROR(--(INDEX('Reguler Class Availability'!$G:$G,$Q271)&amp;""),0)=IFERROR(--(INDEX('Reguler Class Availability'!$F:$F,$Q271)&amp;""),0),"Penuh",IF(IFERROR(--(INDEX('Reguler Class Availability'!$G:$G,$Q271)&amp;""),0)=0,IF(INDEX('Reguler Class Availability'!$B:$B,$Q271)&amp;""="","Kosong","Belum terisi"),IF(IFERROR(--(INDEX('Reguler Class Availability'!$G:$G,$Q271)&amp;""),0)/IFERROR(--(INDEX('Reguler Class Availability'!$F:$F,$Q271)&amp;""),0)&gt;=0.6,"Tinggi","Sebagian"))))))</f>
        <v>Belum terisi</v>
      </c>
      <c r="F271" s="77" t="str">
        <f aca="false">IF($Q271="","",PROPER(INDEX('Reguler Class Availability'!$B:$B,$Q271)&amp;""))</f>
        <v>Kids</v>
      </c>
      <c r="G271" s="76" t="n">
        <f aca="false">IF($Q271="","",IFERROR(--(INDEX('Reguler Class Availability'!$F:$F,$Q271)&amp;""),0))</f>
        <v>4</v>
      </c>
      <c r="H271" s="77" t="str">
        <f aca="false">IF($Q271="","",PROPER(INDEX('Reguler Class Availability'!$I:$I,$Q271)&amp;"")&amp;IF(INDEX('Reguler Class Availability'!$J:$J,$Q271)&amp;""="",""," + asst "&amp;PROPER(INDEX('Reguler Class Availability'!$J:$J,$Q271)&amp;"")))</f>
        <v/>
      </c>
      <c r="I271" s="77" t="s">
        <v>422</v>
      </c>
      <c r="J271" s="77" t="s">
        <v>188</v>
      </c>
      <c r="K271" s="78"/>
      <c r="L271" s="78"/>
      <c r="M271" s="78"/>
      <c r="N271" s="79"/>
      <c r="O271" s="78"/>
      <c r="Q271" s="30" t="n">
        <f aca="false">IFERROR(MATCH($B$4&amp;"|- Lane "&amp;D271&amp;" - "&amp;B271&amp;"|"&amp;C271,'Reguler Class Availability'!$L:$L,0),"")</f>
        <v>1765</v>
      </c>
      <c r="BD271" s="30" t="s">
        <v>139</v>
      </c>
      <c r="BE271" s="30" t="n">
        <f aca="false">IF(COUNTIFS('Reguler Class Availability'!$L:$L,$B$4&amp;"|- Lane 5 - *|"&amp;BD271)&gt;0,1,0)</f>
        <v>0</v>
      </c>
      <c r="BF271" s="30" t="n">
        <f aca="false">BE271+BF270</f>
        <v>0</v>
      </c>
    </row>
    <row r="272" customFormat="false" ht="27.75" hidden="false" customHeight="true" outlineLevel="0" collapsed="false">
      <c r="A272" s="76" t="n">
        <v>146</v>
      </c>
      <c r="B272" s="77" t="s">
        <v>117</v>
      </c>
      <c r="C272" s="76" t="s">
        <v>133</v>
      </c>
      <c r="D272" s="76" t="n">
        <v>4</v>
      </c>
      <c r="E272" s="77" t="str">
        <f aca="false">IF($Q272="","Tidak ada di data",IF(AND(IFERROR(--(INDEX('Reguler Class Availability'!$F:$F,$Q272)&amp;""),0)=0,IFERROR(--(INDEX('Reguler Class Availability'!$G:$G,$Q272)&amp;""),0)=0),"Tutup",IF(IFERROR(--(INDEX('Reguler Class Availability'!$G:$G,$Q272)&amp;""),0)&gt;IFERROR(--(INDEX('Reguler Class Availability'!$F:$F,$Q272)&amp;""),0),"Lebih",IF(IFERROR(--(INDEX('Reguler Class Availability'!$G:$G,$Q272)&amp;""),0)=IFERROR(--(INDEX('Reguler Class Availability'!$F:$F,$Q272)&amp;""),0),"Penuh",IF(IFERROR(--(INDEX('Reguler Class Availability'!$G:$G,$Q272)&amp;""),0)=0,IF(INDEX('Reguler Class Availability'!$B:$B,$Q272)&amp;""="","Kosong","Belum terisi"),IF(IFERROR(--(INDEX('Reguler Class Availability'!$G:$G,$Q272)&amp;""),0)/IFERROR(--(INDEX('Reguler Class Availability'!$F:$F,$Q272)&amp;""),0)&gt;=0.6,"Tinggi","Sebagian"))))))</f>
        <v>Belum terisi</v>
      </c>
      <c r="F272" s="77" t="str">
        <f aca="false">IF($Q272="","",PROPER(INDEX('Reguler Class Availability'!$B:$B,$Q272)&amp;""))</f>
        <v>Kids</v>
      </c>
      <c r="G272" s="76" t="n">
        <f aca="false">IF($Q272="","",IFERROR(--(INDEX('Reguler Class Availability'!$F:$F,$Q272)&amp;""),0))</f>
        <v>4</v>
      </c>
      <c r="H272" s="77" t="str">
        <f aca="false">IF($Q272="","",PROPER(INDEX('Reguler Class Availability'!$I:$I,$Q272)&amp;"")&amp;IF(INDEX('Reguler Class Availability'!$J:$J,$Q272)&amp;""="",""," + asst "&amp;PROPER(INDEX('Reguler Class Availability'!$J:$J,$Q272)&amp;"")))</f>
        <v/>
      </c>
      <c r="I272" s="77" t="s">
        <v>422</v>
      </c>
      <c r="J272" s="77" t="s">
        <v>188</v>
      </c>
      <c r="K272" s="78"/>
      <c r="L272" s="78"/>
      <c r="M272" s="78"/>
      <c r="N272" s="79"/>
      <c r="O272" s="78"/>
      <c r="Q272" s="30" t="n">
        <f aca="false">IFERROR(MATCH($B$4&amp;"|- Lane "&amp;D272&amp;" - "&amp;B272&amp;"|"&amp;C272,'Reguler Class Availability'!$L:$L,0),"")</f>
        <v>1849</v>
      </c>
      <c r="BD272" s="30" t="s">
        <v>141</v>
      </c>
      <c r="BE272" s="30" t="n">
        <f aca="false">IF(COUNTIFS('Reguler Class Availability'!$L:$L,$B$4&amp;"|- Lane 5 - *|"&amp;BD272)&gt;0,1,0)</f>
        <v>0</v>
      </c>
      <c r="BF272" s="30" t="n">
        <f aca="false">BE272+BF271</f>
        <v>0</v>
      </c>
    </row>
    <row r="273" customFormat="false" ht="15.75" hidden="false" customHeight="true" outlineLevel="0" collapsed="false">
      <c r="A273" s="76" t="n">
        <v>147</v>
      </c>
      <c r="B273" s="77" t="s">
        <v>117</v>
      </c>
      <c r="C273" s="76" t="s">
        <v>139</v>
      </c>
      <c r="D273" s="76" t="n">
        <v>1</v>
      </c>
      <c r="E273" s="77" t="str">
        <f aca="false">IF($Q273="","Tidak ada di data",IF(AND(IFERROR(--(INDEX('Reguler Class Availability'!$F:$F,$Q273)&amp;""),0)=0,IFERROR(--(INDEX('Reguler Class Availability'!$G:$G,$Q273)&amp;""),0)=0),"Tutup",IF(IFERROR(--(INDEX('Reguler Class Availability'!$G:$G,$Q273)&amp;""),0)&gt;IFERROR(--(INDEX('Reguler Class Availability'!$F:$F,$Q273)&amp;""),0),"Lebih",IF(IFERROR(--(INDEX('Reguler Class Availability'!$G:$G,$Q273)&amp;""),0)=IFERROR(--(INDEX('Reguler Class Availability'!$F:$F,$Q273)&amp;""),0),"Penuh",IF(IFERROR(--(INDEX('Reguler Class Availability'!$G:$G,$Q273)&amp;""),0)=0,IF(INDEX('Reguler Class Availability'!$B:$B,$Q273)&amp;""="","Kosong","Belum terisi"),IF(IFERROR(--(INDEX('Reguler Class Availability'!$G:$G,$Q273)&amp;""),0)/IFERROR(--(INDEX('Reguler Class Availability'!$F:$F,$Q273)&amp;""),0)&gt;=0.6,"Tinggi","Sebagian"))))))</f>
        <v>Belum terisi</v>
      </c>
      <c r="F273" s="77" t="str">
        <f aca="false">IF($Q273="","",PROPER(INDEX('Reguler Class Availability'!$B:$B,$Q273)&amp;""))</f>
        <v>Tiny</v>
      </c>
      <c r="G273" s="76" t="n">
        <f aca="false">IF($Q273="","",IFERROR(--(INDEX('Reguler Class Availability'!$F:$F,$Q273)&amp;""),0))</f>
        <v>5</v>
      </c>
      <c r="H273" s="77" t="str">
        <f aca="false">IF($Q273="","",PROPER(INDEX('Reguler Class Availability'!$I:$I,$Q273)&amp;"")&amp;IF(INDEX('Reguler Class Availability'!$J:$J,$Q273)&amp;""="",""," + asst "&amp;PROPER(INDEX('Reguler Class Availability'!$J:$J,$Q273)&amp;"")))</f>
        <v/>
      </c>
      <c r="I273" s="77" t="s">
        <v>424</v>
      </c>
      <c r="J273" s="77" t="s">
        <v>425</v>
      </c>
      <c r="K273" s="78"/>
      <c r="L273" s="78"/>
      <c r="M273" s="78"/>
      <c r="N273" s="79"/>
      <c r="O273" s="78"/>
      <c r="Q273" s="30" t="n">
        <f aca="false">IFERROR(MATCH($B$4&amp;"|- Lane "&amp;D273&amp;" - "&amp;B273&amp;"|"&amp;C273,'Reguler Class Availability'!$L:$L,0),"")</f>
        <v>1598</v>
      </c>
      <c r="BD273" s="30" t="s">
        <v>142</v>
      </c>
      <c r="BE273" s="30" t="n">
        <f aca="false">IF(COUNTIFS('Reguler Class Availability'!$L:$L,$B$4&amp;"|- Lane 5 - *|"&amp;BD273)&gt;0,1,0)</f>
        <v>0</v>
      </c>
      <c r="BF273" s="30" t="n">
        <f aca="false">BE273+BF272</f>
        <v>0</v>
      </c>
    </row>
    <row r="274" customFormat="false" ht="15.75" hidden="false" customHeight="true" outlineLevel="0" collapsed="false">
      <c r="A274" s="76" t="n">
        <v>148</v>
      </c>
      <c r="B274" s="77" t="s">
        <v>117</v>
      </c>
      <c r="C274" s="76" t="s">
        <v>139</v>
      </c>
      <c r="D274" s="76" t="n">
        <v>2</v>
      </c>
      <c r="E274" s="77" t="str">
        <f aca="false">IF($Q274="","Tidak ada di data",IF(AND(IFERROR(--(INDEX('Reguler Class Availability'!$F:$F,$Q274)&amp;""),0)=0,IFERROR(--(INDEX('Reguler Class Availability'!$G:$G,$Q274)&amp;""),0)=0),"Tutup",IF(IFERROR(--(INDEX('Reguler Class Availability'!$G:$G,$Q274)&amp;""),0)&gt;IFERROR(--(INDEX('Reguler Class Availability'!$F:$F,$Q274)&amp;""),0),"Lebih",IF(IFERROR(--(INDEX('Reguler Class Availability'!$G:$G,$Q274)&amp;""),0)=IFERROR(--(INDEX('Reguler Class Availability'!$F:$F,$Q274)&amp;""),0),"Penuh",IF(IFERROR(--(INDEX('Reguler Class Availability'!$G:$G,$Q274)&amp;""),0)=0,IF(INDEX('Reguler Class Availability'!$B:$B,$Q274)&amp;""="","Kosong","Belum terisi"),IF(IFERROR(--(INDEX('Reguler Class Availability'!$G:$G,$Q274)&amp;""),0)/IFERROR(--(INDEX('Reguler Class Availability'!$F:$F,$Q274)&amp;""),0)&gt;=0.6,"Tinggi","Sebagian"))))))</f>
        <v>Belum terisi</v>
      </c>
      <c r="F274" s="77" t="str">
        <f aca="false">IF($Q274="","",PROPER(INDEX('Reguler Class Availability'!$B:$B,$Q274)&amp;""))</f>
        <v>Little</v>
      </c>
      <c r="G274" s="76" t="n">
        <f aca="false">IF($Q274="","",IFERROR(--(INDEX('Reguler Class Availability'!$F:$F,$Q274)&amp;""),0))</f>
        <v>5</v>
      </c>
      <c r="H274" s="77" t="str">
        <f aca="false">IF($Q274="","",PROPER(INDEX('Reguler Class Availability'!$I:$I,$Q274)&amp;"")&amp;IF(INDEX('Reguler Class Availability'!$J:$J,$Q274)&amp;""="",""," + asst "&amp;PROPER(INDEX('Reguler Class Availability'!$J:$J,$Q274)&amp;"")))</f>
        <v/>
      </c>
      <c r="I274" s="77" t="s">
        <v>424</v>
      </c>
      <c r="J274" s="77" t="s">
        <v>425</v>
      </c>
      <c r="K274" s="78"/>
      <c r="L274" s="78"/>
      <c r="M274" s="78"/>
      <c r="N274" s="79"/>
      <c r="O274" s="78"/>
      <c r="Q274" s="30" t="n">
        <f aca="false">IFERROR(MATCH($B$4&amp;"|- Lane "&amp;D274&amp;" - "&amp;B274&amp;"|"&amp;C274,'Reguler Class Availability'!$L:$L,0),"")</f>
        <v>1682</v>
      </c>
      <c r="BD274" s="30" t="s">
        <v>143</v>
      </c>
      <c r="BE274" s="30" t="n">
        <f aca="false">IF(COUNTIFS('Reguler Class Availability'!$L:$L,$B$4&amp;"|- Lane 5 - *|"&amp;BD274)&gt;0,1,0)</f>
        <v>0</v>
      </c>
      <c r="BF274" s="30" t="n">
        <f aca="false">BE274+BF273</f>
        <v>0</v>
      </c>
    </row>
    <row r="275" customFormat="false" ht="15.75" hidden="false" customHeight="true" outlineLevel="0" collapsed="false">
      <c r="A275" s="76" t="n">
        <v>149</v>
      </c>
      <c r="B275" s="77" t="s">
        <v>117</v>
      </c>
      <c r="C275" s="76" t="s">
        <v>141</v>
      </c>
      <c r="D275" s="76" t="n">
        <v>4</v>
      </c>
      <c r="E275" s="77" t="str">
        <f aca="false">IF($Q275="","Tidak ada di data",IF(AND(IFERROR(--(INDEX('Reguler Class Availability'!$F:$F,$Q275)&amp;""),0)=0,IFERROR(--(INDEX('Reguler Class Availability'!$G:$G,$Q275)&amp;""),0)=0),"Tutup",IF(IFERROR(--(INDEX('Reguler Class Availability'!$G:$G,$Q275)&amp;""),0)&gt;IFERROR(--(INDEX('Reguler Class Availability'!$F:$F,$Q275)&amp;""),0),"Lebih",IF(IFERROR(--(INDEX('Reguler Class Availability'!$G:$G,$Q275)&amp;""),0)=IFERROR(--(INDEX('Reguler Class Availability'!$F:$F,$Q275)&amp;""),0),"Penuh",IF(IFERROR(--(INDEX('Reguler Class Availability'!$G:$G,$Q275)&amp;""),0)=0,IF(INDEX('Reguler Class Availability'!$B:$B,$Q275)&amp;""="","Kosong","Belum terisi"),IF(IFERROR(--(INDEX('Reguler Class Availability'!$G:$G,$Q275)&amp;""),0)/IFERROR(--(INDEX('Reguler Class Availability'!$F:$F,$Q275)&amp;""),0)&gt;=0.6,"Tinggi","Sebagian"))))))</f>
        <v>Belum terisi</v>
      </c>
      <c r="F275" s="77" t="str">
        <f aca="false">IF($Q275="","",PROPER(INDEX('Reguler Class Availability'!$B:$B,$Q275)&amp;""))</f>
        <v>Kids</v>
      </c>
      <c r="G275" s="76" t="n">
        <f aca="false">IF($Q275="","",IFERROR(--(INDEX('Reguler Class Availability'!$F:$F,$Q275)&amp;""),0))</f>
        <v>4</v>
      </c>
      <c r="H275" s="77" t="str">
        <f aca="false">IF($Q275="","",PROPER(INDEX('Reguler Class Availability'!$I:$I,$Q275)&amp;"")&amp;IF(INDEX('Reguler Class Availability'!$J:$J,$Q275)&amp;""="",""," + asst "&amp;PROPER(INDEX('Reguler Class Availability'!$J:$J,$Q275)&amp;"")))</f>
        <v/>
      </c>
      <c r="I275" s="77" t="s">
        <v>424</v>
      </c>
      <c r="J275" s="77" t="s">
        <v>198</v>
      </c>
      <c r="K275" s="78"/>
      <c r="L275" s="78"/>
      <c r="M275" s="78"/>
      <c r="N275" s="79"/>
      <c r="O275" s="78"/>
      <c r="Q275" s="30" t="n">
        <f aca="false">IFERROR(MATCH($B$4&amp;"|- Lane "&amp;D275&amp;" - "&amp;B275&amp;"|"&amp;C275,'Reguler Class Availability'!$L:$L,0),"")</f>
        <v>1850</v>
      </c>
      <c r="BD275" s="30" t="s">
        <v>144</v>
      </c>
      <c r="BE275" s="30" t="n">
        <f aca="false">IF(COUNTIFS('Reguler Class Availability'!$L:$L,$B$4&amp;"|- Lane 5 - *|"&amp;BD275)&gt;0,1,0)</f>
        <v>0</v>
      </c>
      <c r="BF275" s="30" t="n">
        <f aca="false">BE275+BF274</f>
        <v>0</v>
      </c>
    </row>
    <row r="276" customFormat="false" ht="15.75" hidden="false" customHeight="true" outlineLevel="0" collapsed="false">
      <c r="A276" s="76" t="n">
        <v>150</v>
      </c>
      <c r="B276" s="77" t="s">
        <v>117</v>
      </c>
      <c r="C276" s="76" t="s">
        <v>143</v>
      </c>
      <c r="D276" s="76" t="n">
        <v>1</v>
      </c>
      <c r="E276" s="77" t="str">
        <f aca="false">IF($Q276="","Tidak ada di data",IF(AND(IFERROR(--(INDEX('Reguler Class Availability'!$F:$F,$Q276)&amp;""),0)=0,IFERROR(--(INDEX('Reguler Class Availability'!$G:$G,$Q276)&amp;""),0)=0),"Tutup",IF(IFERROR(--(INDEX('Reguler Class Availability'!$G:$G,$Q276)&amp;""),0)&gt;IFERROR(--(INDEX('Reguler Class Availability'!$F:$F,$Q276)&amp;""),0),"Lebih",IF(IFERROR(--(INDEX('Reguler Class Availability'!$G:$G,$Q276)&amp;""),0)=IFERROR(--(INDEX('Reguler Class Availability'!$F:$F,$Q276)&amp;""),0),"Penuh",IF(IFERROR(--(INDEX('Reguler Class Availability'!$G:$G,$Q276)&amp;""),0)=0,IF(INDEX('Reguler Class Availability'!$B:$B,$Q276)&amp;""="","Kosong","Belum terisi"),IF(IFERROR(--(INDEX('Reguler Class Availability'!$G:$G,$Q276)&amp;""),0)/IFERROR(--(INDEX('Reguler Class Availability'!$F:$F,$Q276)&amp;""),0)&gt;=0.6,"Tinggi","Sebagian"))))))</f>
        <v>Belum terisi</v>
      </c>
      <c r="F276" s="77" t="str">
        <f aca="false">IF($Q276="","",PROPER(INDEX('Reguler Class Availability'!$B:$B,$Q276)&amp;""))</f>
        <v>Baby</v>
      </c>
      <c r="G276" s="76" t="n">
        <f aca="false">IF($Q276="","",IFERROR(--(INDEX('Reguler Class Availability'!$F:$F,$Q276)&amp;""),0))</f>
        <v>5</v>
      </c>
      <c r="H276" s="77" t="str">
        <f aca="false">IF($Q276="","",PROPER(INDEX('Reguler Class Availability'!$I:$I,$Q276)&amp;"")&amp;IF(INDEX('Reguler Class Availability'!$J:$J,$Q276)&amp;""="",""," + asst "&amp;PROPER(INDEX('Reguler Class Availability'!$J:$J,$Q276)&amp;"")))</f>
        <v/>
      </c>
      <c r="I276" s="77" t="s">
        <v>424</v>
      </c>
      <c r="J276" s="77" t="s">
        <v>426</v>
      </c>
      <c r="K276" s="78"/>
      <c r="L276" s="78"/>
      <c r="M276" s="78"/>
      <c r="N276" s="79"/>
      <c r="O276" s="78"/>
      <c r="Q276" s="30" t="n">
        <f aca="false">IFERROR(MATCH($B$4&amp;"|- Lane "&amp;D276&amp;" - "&amp;B276&amp;"|"&amp;C276,'Reguler Class Availability'!$L:$L,0),"")</f>
        <v>1599</v>
      </c>
      <c r="BD276" s="30" t="s">
        <v>145</v>
      </c>
      <c r="BE276" s="30" t="n">
        <f aca="false">IF(COUNTIFS('Reguler Class Availability'!$L:$L,$B$4&amp;"|- Lane 5 - *|"&amp;BD276)&gt;0,1,0)</f>
        <v>0</v>
      </c>
      <c r="BF276" s="30" t="n">
        <f aca="false">BE276+BF275</f>
        <v>0</v>
      </c>
    </row>
    <row r="277" customFormat="false" ht="15.75" hidden="false" customHeight="true" outlineLevel="0" collapsed="false">
      <c r="A277" s="76" t="n">
        <v>151</v>
      </c>
      <c r="B277" s="77" t="s">
        <v>117</v>
      </c>
      <c r="C277" s="76" t="s">
        <v>143</v>
      </c>
      <c r="D277" s="76" t="n">
        <v>2</v>
      </c>
      <c r="E277" s="77" t="str">
        <f aca="false">IF($Q277="","Tidak ada di data",IF(AND(IFERROR(--(INDEX('Reguler Class Availability'!$F:$F,$Q277)&amp;""),0)=0,IFERROR(--(INDEX('Reguler Class Availability'!$G:$G,$Q277)&amp;""),0)=0),"Tutup",IF(IFERROR(--(INDEX('Reguler Class Availability'!$G:$G,$Q277)&amp;""),0)&gt;IFERROR(--(INDEX('Reguler Class Availability'!$F:$F,$Q277)&amp;""),0),"Lebih",IF(IFERROR(--(INDEX('Reguler Class Availability'!$G:$G,$Q277)&amp;""),0)=IFERROR(--(INDEX('Reguler Class Availability'!$F:$F,$Q277)&amp;""),0),"Penuh",IF(IFERROR(--(INDEX('Reguler Class Availability'!$G:$G,$Q277)&amp;""),0)=0,IF(INDEX('Reguler Class Availability'!$B:$B,$Q277)&amp;""="","Kosong","Belum terisi"),IF(IFERROR(--(INDEX('Reguler Class Availability'!$G:$G,$Q277)&amp;""),0)/IFERROR(--(INDEX('Reguler Class Availability'!$F:$F,$Q277)&amp;""),0)&gt;=0.6,"Tinggi","Sebagian"))))))</f>
        <v>Belum terisi</v>
      </c>
      <c r="F277" s="77" t="str">
        <f aca="false">IF($Q277="","",PROPER(INDEX('Reguler Class Availability'!$B:$B,$Q277)&amp;""))</f>
        <v>Little</v>
      </c>
      <c r="G277" s="76" t="n">
        <f aca="false">IF($Q277="","",IFERROR(--(INDEX('Reguler Class Availability'!$F:$F,$Q277)&amp;""),0))</f>
        <v>5</v>
      </c>
      <c r="H277" s="77" t="str">
        <f aca="false">IF($Q277="","",PROPER(INDEX('Reguler Class Availability'!$I:$I,$Q277)&amp;"")&amp;IF(INDEX('Reguler Class Availability'!$J:$J,$Q277)&amp;""="",""," + asst "&amp;PROPER(INDEX('Reguler Class Availability'!$J:$J,$Q277)&amp;"")))</f>
        <v/>
      </c>
      <c r="I277" s="77" t="s">
        <v>424</v>
      </c>
      <c r="J277" s="77" t="s">
        <v>425</v>
      </c>
      <c r="K277" s="78"/>
      <c r="L277" s="78"/>
      <c r="M277" s="78"/>
      <c r="N277" s="79"/>
      <c r="O277" s="78"/>
      <c r="Q277" s="30" t="n">
        <f aca="false">IFERROR(MATCH($B$4&amp;"|- Lane "&amp;D277&amp;" - "&amp;B277&amp;"|"&amp;C277,'Reguler Class Availability'!$L:$L,0),"")</f>
        <v>1683</v>
      </c>
      <c r="BD277" s="30" t="s">
        <v>146</v>
      </c>
      <c r="BE277" s="30" t="n">
        <f aca="false">IF(COUNTIFS('Reguler Class Availability'!$L:$L,$B$4&amp;"|- Lane 5 - *|"&amp;BD277)&gt;0,1,0)</f>
        <v>0</v>
      </c>
      <c r="BF277" s="30" t="n">
        <f aca="false">BE277+BF276</f>
        <v>0</v>
      </c>
    </row>
    <row r="278" customFormat="false" ht="15.75" hidden="false" customHeight="true" outlineLevel="0" collapsed="false">
      <c r="A278" s="76" t="n">
        <v>152</v>
      </c>
      <c r="B278" s="77" t="s">
        <v>117</v>
      </c>
      <c r="C278" s="76" t="s">
        <v>144</v>
      </c>
      <c r="D278" s="76" t="n">
        <v>4</v>
      </c>
      <c r="E278" s="77" t="str">
        <f aca="false">IF($Q278="","Tidak ada di data",IF(AND(IFERROR(--(INDEX('Reguler Class Availability'!$F:$F,$Q278)&amp;""),0)=0,IFERROR(--(INDEX('Reguler Class Availability'!$G:$G,$Q278)&amp;""),0)=0),"Tutup",IF(IFERROR(--(INDEX('Reguler Class Availability'!$G:$G,$Q278)&amp;""),0)&gt;IFERROR(--(INDEX('Reguler Class Availability'!$F:$F,$Q278)&amp;""),0),"Lebih",IF(IFERROR(--(INDEX('Reguler Class Availability'!$G:$G,$Q278)&amp;""),0)=IFERROR(--(INDEX('Reguler Class Availability'!$F:$F,$Q278)&amp;""),0),"Penuh",IF(IFERROR(--(INDEX('Reguler Class Availability'!$G:$G,$Q278)&amp;""),0)=0,IF(INDEX('Reguler Class Availability'!$B:$B,$Q278)&amp;""="","Kosong","Belum terisi"),IF(IFERROR(--(INDEX('Reguler Class Availability'!$G:$G,$Q278)&amp;""),0)/IFERROR(--(INDEX('Reguler Class Availability'!$F:$F,$Q278)&amp;""),0)&gt;=0.6,"Tinggi","Sebagian"))))))</f>
        <v>Belum terisi</v>
      </c>
      <c r="F278" s="77" t="str">
        <f aca="false">IF($Q278="","",PROPER(INDEX('Reguler Class Availability'!$B:$B,$Q278)&amp;""))</f>
        <v>Kids</v>
      </c>
      <c r="G278" s="76" t="n">
        <f aca="false">IF($Q278="","",IFERROR(--(INDEX('Reguler Class Availability'!$F:$F,$Q278)&amp;""),0))</f>
        <v>4</v>
      </c>
      <c r="H278" s="77" t="str">
        <f aca="false">IF($Q278="","",PROPER(INDEX('Reguler Class Availability'!$I:$I,$Q278)&amp;"")&amp;IF(INDEX('Reguler Class Availability'!$J:$J,$Q278)&amp;""="",""," + asst "&amp;PROPER(INDEX('Reguler Class Availability'!$J:$J,$Q278)&amp;"")))</f>
        <v/>
      </c>
      <c r="I278" s="77" t="s">
        <v>424</v>
      </c>
      <c r="J278" s="77" t="s">
        <v>198</v>
      </c>
      <c r="K278" s="78"/>
      <c r="L278" s="78"/>
      <c r="M278" s="78"/>
      <c r="N278" s="79"/>
      <c r="O278" s="78"/>
      <c r="Q278" s="30" t="n">
        <f aca="false">IFERROR(MATCH($B$4&amp;"|- Lane "&amp;D278&amp;" - "&amp;B278&amp;"|"&amp;C278,'Reguler Class Availability'!$L:$L,0),"")</f>
        <v>1851</v>
      </c>
      <c r="BD278" s="30" t="s">
        <v>147</v>
      </c>
      <c r="BE278" s="30" t="n">
        <f aca="false">IF(COUNTIFS('Reguler Class Availability'!$L:$L,$B$4&amp;"|- Lane 5 - *|"&amp;BD278)&gt;0,1,0)</f>
        <v>0</v>
      </c>
      <c r="BF278" s="30" t="n">
        <f aca="false">BE278+BF277</f>
        <v>0</v>
      </c>
    </row>
    <row r="279" customFormat="false" ht="15.75" hidden="false" customHeight="true" outlineLevel="0" collapsed="false">
      <c r="A279" s="76" t="n">
        <v>153</v>
      </c>
      <c r="B279" s="77" t="s">
        <v>117</v>
      </c>
      <c r="C279" s="76" t="s">
        <v>146</v>
      </c>
      <c r="D279" s="76" t="n">
        <v>1</v>
      </c>
      <c r="E279" s="77" t="str">
        <f aca="false">IF($Q279="","Tidak ada di data",IF(AND(IFERROR(--(INDEX('Reguler Class Availability'!$F:$F,$Q279)&amp;""),0)=0,IFERROR(--(INDEX('Reguler Class Availability'!$G:$G,$Q279)&amp;""),0)=0),"Tutup",IF(IFERROR(--(INDEX('Reguler Class Availability'!$G:$G,$Q279)&amp;""),0)&gt;IFERROR(--(INDEX('Reguler Class Availability'!$F:$F,$Q279)&amp;""),0),"Lebih",IF(IFERROR(--(INDEX('Reguler Class Availability'!$G:$G,$Q279)&amp;""),0)=IFERROR(--(INDEX('Reguler Class Availability'!$F:$F,$Q279)&amp;""),0),"Penuh",IF(IFERROR(--(INDEX('Reguler Class Availability'!$G:$G,$Q279)&amp;""),0)=0,IF(INDEX('Reguler Class Availability'!$B:$B,$Q279)&amp;""="","Kosong","Belum terisi"),IF(IFERROR(--(INDEX('Reguler Class Availability'!$G:$G,$Q279)&amp;""),0)/IFERROR(--(INDEX('Reguler Class Availability'!$F:$F,$Q279)&amp;""),0)&gt;=0.6,"Tinggi","Sebagian"))))))</f>
        <v>Belum terisi</v>
      </c>
      <c r="F279" s="77" t="str">
        <f aca="false">IF($Q279="","",PROPER(INDEX('Reguler Class Availability'!$B:$B,$Q279)&amp;""))</f>
        <v>Tiny</v>
      </c>
      <c r="G279" s="76" t="n">
        <f aca="false">IF($Q279="","",IFERROR(--(INDEX('Reguler Class Availability'!$F:$F,$Q279)&amp;""),0))</f>
        <v>5</v>
      </c>
      <c r="H279" s="77" t="str">
        <f aca="false">IF($Q279="","",PROPER(INDEX('Reguler Class Availability'!$I:$I,$Q279)&amp;"")&amp;IF(INDEX('Reguler Class Availability'!$J:$J,$Q279)&amp;""="",""," + asst "&amp;PROPER(INDEX('Reguler Class Availability'!$J:$J,$Q279)&amp;"")))</f>
        <v/>
      </c>
      <c r="I279" s="77" t="s">
        <v>424</v>
      </c>
      <c r="J279" s="77" t="s">
        <v>425</v>
      </c>
      <c r="K279" s="78"/>
      <c r="L279" s="78"/>
      <c r="M279" s="78"/>
      <c r="N279" s="79"/>
      <c r="O279" s="78"/>
      <c r="Q279" s="30" t="n">
        <f aca="false">IFERROR(MATCH($B$4&amp;"|- Lane "&amp;D279&amp;" - "&amp;B279&amp;"|"&amp;C279,'Reguler Class Availability'!$L:$L,0),"")</f>
        <v>1600</v>
      </c>
      <c r="BD279" s="30" t="s">
        <v>148</v>
      </c>
      <c r="BE279" s="30" t="n">
        <f aca="false">IF(COUNTIFS('Reguler Class Availability'!$L:$L,$B$4&amp;"|- Lane 5 - *|"&amp;BD279)&gt;0,1,0)</f>
        <v>0</v>
      </c>
      <c r="BF279" s="30" t="n">
        <f aca="false">BE279+BF278</f>
        <v>0</v>
      </c>
    </row>
    <row r="280" customFormat="false" ht="15.75" hidden="false" customHeight="true" outlineLevel="0" collapsed="false">
      <c r="A280" s="76" t="n">
        <v>154</v>
      </c>
      <c r="B280" s="77" t="s">
        <v>117</v>
      </c>
      <c r="C280" s="76" t="s">
        <v>146</v>
      </c>
      <c r="D280" s="76" t="n">
        <v>2</v>
      </c>
      <c r="E280" s="77" t="str">
        <f aca="false">IF($Q280="","Tidak ada di data",IF(AND(IFERROR(--(INDEX('Reguler Class Availability'!$F:$F,$Q280)&amp;""),0)=0,IFERROR(--(INDEX('Reguler Class Availability'!$G:$G,$Q280)&amp;""),0)=0),"Tutup",IF(IFERROR(--(INDEX('Reguler Class Availability'!$G:$G,$Q280)&amp;""),0)&gt;IFERROR(--(INDEX('Reguler Class Availability'!$F:$F,$Q280)&amp;""),0),"Lebih",IF(IFERROR(--(INDEX('Reguler Class Availability'!$G:$G,$Q280)&amp;""),0)=IFERROR(--(INDEX('Reguler Class Availability'!$F:$F,$Q280)&amp;""),0),"Penuh",IF(IFERROR(--(INDEX('Reguler Class Availability'!$G:$G,$Q280)&amp;""),0)=0,IF(INDEX('Reguler Class Availability'!$B:$B,$Q280)&amp;""="","Kosong","Belum terisi"),IF(IFERROR(--(INDEX('Reguler Class Availability'!$G:$G,$Q280)&amp;""),0)/IFERROR(--(INDEX('Reguler Class Availability'!$F:$F,$Q280)&amp;""),0)&gt;=0.6,"Tinggi","Sebagian"))))))</f>
        <v>Belum terisi</v>
      </c>
      <c r="F280" s="77" t="str">
        <f aca="false">IF($Q280="","",PROPER(INDEX('Reguler Class Availability'!$B:$B,$Q280)&amp;""))</f>
        <v>Little</v>
      </c>
      <c r="G280" s="76" t="n">
        <f aca="false">IF($Q280="","",IFERROR(--(INDEX('Reguler Class Availability'!$F:$F,$Q280)&amp;""),0))</f>
        <v>5</v>
      </c>
      <c r="H280" s="77" t="str">
        <f aca="false">IF($Q280="","",PROPER(INDEX('Reguler Class Availability'!$I:$I,$Q280)&amp;"")&amp;IF(INDEX('Reguler Class Availability'!$J:$J,$Q280)&amp;""="",""," + asst "&amp;PROPER(INDEX('Reguler Class Availability'!$J:$J,$Q280)&amp;"")))</f>
        <v/>
      </c>
      <c r="I280" s="77" t="s">
        <v>424</v>
      </c>
      <c r="J280" s="77" t="s">
        <v>425</v>
      </c>
      <c r="K280" s="78"/>
      <c r="L280" s="78"/>
      <c r="M280" s="78"/>
      <c r="N280" s="79"/>
      <c r="O280" s="78"/>
      <c r="Q280" s="30" t="n">
        <f aca="false">IFERROR(MATCH($B$4&amp;"|- Lane "&amp;D280&amp;" - "&amp;B280&amp;"|"&amp;C280,'Reguler Class Availability'!$L:$L,0),"")</f>
        <v>1684</v>
      </c>
      <c r="BD280" s="30" t="s">
        <v>149</v>
      </c>
      <c r="BE280" s="30" t="n">
        <f aca="false">IF(COUNTIFS('Reguler Class Availability'!$L:$L,$B$4&amp;"|- Lane 5 - *|"&amp;BD280)&gt;0,1,0)</f>
        <v>0</v>
      </c>
      <c r="BF280" s="30" t="n">
        <f aca="false">BE280+BF279</f>
        <v>0</v>
      </c>
    </row>
    <row r="281" customFormat="false" ht="27.75" hidden="false" customHeight="true" outlineLevel="0" collapsed="false">
      <c r="A281" s="76" t="n">
        <v>155</v>
      </c>
      <c r="B281" s="77" t="s">
        <v>117</v>
      </c>
      <c r="C281" s="76" t="s">
        <v>147</v>
      </c>
      <c r="D281" s="76" t="n">
        <v>3</v>
      </c>
      <c r="E281" s="77" t="str">
        <f aca="false">IF($Q281="","Tidak ada di data",IF(AND(IFERROR(--(INDEX('Reguler Class Availability'!$F:$F,$Q281)&amp;""),0)=0,IFERROR(--(INDEX('Reguler Class Availability'!$G:$G,$Q281)&amp;""),0)=0),"Tutup",IF(IFERROR(--(INDEX('Reguler Class Availability'!$G:$G,$Q281)&amp;""),0)&gt;IFERROR(--(INDEX('Reguler Class Availability'!$F:$F,$Q281)&amp;""),0),"Lebih",IF(IFERROR(--(INDEX('Reguler Class Availability'!$G:$G,$Q281)&amp;""),0)=IFERROR(--(INDEX('Reguler Class Availability'!$F:$F,$Q281)&amp;""),0),"Penuh",IF(IFERROR(--(INDEX('Reguler Class Availability'!$G:$G,$Q281)&amp;""),0)=0,IF(INDEX('Reguler Class Availability'!$B:$B,$Q281)&amp;""="","Kosong","Belum terisi"),IF(IFERROR(--(INDEX('Reguler Class Availability'!$G:$G,$Q281)&amp;""),0)/IFERROR(--(INDEX('Reguler Class Availability'!$F:$F,$Q281)&amp;""),0)&gt;=0.6,"Tinggi","Sebagian"))))))</f>
        <v>Belum terisi</v>
      </c>
      <c r="F281" s="77" t="str">
        <f aca="false">IF($Q281="","",PROPER(INDEX('Reguler Class Availability'!$B:$B,$Q281)&amp;""))</f>
        <v>Kids</v>
      </c>
      <c r="G281" s="76" t="n">
        <f aca="false">IF($Q281="","",IFERROR(--(INDEX('Reguler Class Availability'!$F:$F,$Q281)&amp;""),0))</f>
        <v>4</v>
      </c>
      <c r="H281" s="77" t="str">
        <f aca="false">IF($Q281="","",PROPER(INDEX('Reguler Class Availability'!$I:$I,$Q281)&amp;"")&amp;IF(INDEX('Reguler Class Availability'!$J:$J,$Q281)&amp;""="",""," + asst "&amp;PROPER(INDEX('Reguler Class Availability'!$J:$J,$Q281)&amp;"")))</f>
        <v/>
      </c>
      <c r="I281" s="77" t="s">
        <v>422</v>
      </c>
      <c r="J281" s="77" t="s">
        <v>188</v>
      </c>
      <c r="K281" s="78"/>
      <c r="L281" s="78"/>
      <c r="M281" s="78"/>
      <c r="N281" s="79"/>
      <c r="O281" s="78"/>
      <c r="Q281" s="30" t="n">
        <f aca="false">IFERROR(MATCH($B$4&amp;"|- Lane "&amp;D281&amp;" - "&amp;B281&amp;"|"&amp;C281,'Reguler Class Availability'!$L:$L,0),"")</f>
        <v>1768</v>
      </c>
      <c r="BD281" s="30" t="s">
        <v>150</v>
      </c>
      <c r="BE281" s="30" t="n">
        <f aca="false">IF(COUNTIFS('Reguler Class Availability'!$L:$L,$B$4&amp;"|- Lane 5 - *|"&amp;BD281)&gt;0,1,0)</f>
        <v>0</v>
      </c>
      <c r="BF281" s="30" t="n">
        <f aca="false">BE281+BF280</f>
        <v>0</v>
      </c>
    </row>
    <row r="282" customFormat="false" ht="27.75" hidden="false" customHeight="true" outlineLevel="0" collapsed="false">
      <c r="A282" s="76" t="n">
        <v>156</v>
      </c>
      <c r="B282" s="77" t="s">
        <v>117</v>
      </c>
      <c r="C282" s="76" t="s">
        <v>147</v>
      </c>
      <c r="D282" s="76" t="n">
        <v>4</v>
      </c>
      <c r="E282" s="77" t="str">
        <f aca="false">IF($Q282="","Tidak ada di data",IF(AND(IFERROR(--(INDEX('Reguler Class Availability'!$F:$F,$Q282)&amp;""),0)=0,IFERROR(--(INDEX('Reguler Class Availability'!$G:$G,$Q282)&amp;""),0)=0),"Tutup",IF(IFERROR(--(INDEX('Reguler Class Availability'!$G:$G,$Q282)&amp;""),0)&gt;IFERROR(--(INDEX('Reguler Class Availability'!$F:$F,$Q282)&amp;""),0),"Lebih",IF(IFERROR(--(INDEX('Reguler Class Availability'!$G:$G,$Q282)&amp;""),0)=IFERROR(--(INDEX('Reguler Class Availability'!$F:$F,$Q282)&amp;""),0),"Penuh",IF(IFERROR(--(INDEX('Reguler Class Availability'!$G:$G,$Q282)&amp;""),0)=0,IF(INDEX('Reguler Class Availability'!$B:$B,$Q282)&amp;""="","Kosong","Belum terisi"),IF(IFERROR(--(INDEX('Reguler Class Availability'!$G:$G,$Q282)&amp;""),0)/IFERROR(--(INDEX('Reguler Class Availability'!$F:$F,$Q282)&amp;""),0)&gt;=0.6,"Tinggi","Sebagian"))))))</f>
        <v>Belum terisi</v>
      </c>
      <c r="F282" s="77" t="str">
        <f aca="false">IF($Q282="","",PROPER(INDEX('Reguler Class Availability'!$B:$B,$Q282)&amp;""))</f>
        <v>Kids</v>
      </c>
      <c r="G282" s="76" t="n">
        <f aca="false">IF($Q282="","",IFERROR(--(INDEX('Reguler Class Availability'!$F:$F,$Q282)&amp;""),0))</f>
        <v>4</v>
      </c>
      <c r="H282" s="77" t="str">
        <f aca="false">IF($Q282="","",PROPER(INDEX('Reguler Class Availability'!$I:$I,$Q282)&amp;"")&amp;IF(INDEX('Reguler Class Availability'!$J:$J,$Q282)&amp;""="",""," + asst "&amp;PROPER(INDEX('Reguler Class Availability'!$J:$J,$Q282)&amp;"")))</f>
        <v/>
      </c>
      <c r="I282" s="77" t="s">
        <v>422</v>
      </c>
      <c r="J282" s="77" t="s">
        <v>188</v>
      </c>
      <c r="K282" s="78"/>
      <c r="L282" s="78"/>
      <c r="M282" s="78"/>
      <c r="N282" s="79"/>
      <c r="O282" s="78"/>
      <c r="Q282" s="30" t="n">
        <f aca="false">IFERROR(MATCH($B$4&amp;"|- Lane "&amp;D282&amp;" - "&amp;B282&amp;"|"&amp;C282,'Reguler Class Availability'!$L:$L,0),"")</f>
        <v>1852</v>
      </c>
      <c r="BD282" s="30" t="s">
        <v>151</v>
      </c>
      <c r="BE282" s="30" t="n">
        <f aca="false">IF(COUNTIFS('Reguler Class Availability'!$L:$L,$B$4&amp;"|- Lane 5 - *|"&amp;BD282)&gt;0,1,0)</f>
        <v>0</v>
      </c>
      <c r="BF282" s="30" t="n">
        <f aca="false">BE282+BF281</f>
        <v>0</v>
      </c>
    </row>
    <row r="283" customFormat="false" ht="27.75" hidden="false" customHeight="true" outlineLevel="0" collapsed="false">
      <c r="A283" s="76" t="n">
        <v>157</v>
      </c>
      <c r="B283" s="77" t="s">
        <v>117</v>
      </c>
      <c r="C283" s="76" t="s">
        <v>149</v>
      </c>
      <c r="D283" s="76" t="n">
        <v>1</v>
      </c>
      <c r="E283" s="77" t="str">
        <f aca="false">IF($Q283="","Tidak ada di data",IF(AND(IFERROR(--(INDEX('Reguler Class Availability'!$F:$F,$Q283)&amp;""),0)=0,IFERROR(--(INDEX('Reguler Class Availability'!$G:$G,$Q283)&amp;""),0)=0),"Tutup",IF(IFERROR(--(INDEX('Reguler Class Availability'!$G:$G,$Q283)&amp;""),0)&gt;IFERROR(--(INDEX('Reguler Class Availability'!$F:$F,$Q283)&amp;""),0),"Lebih",IF(IFERROR(--(INDEX('Reguler Class Availability'!$G:$G,$Q283)&amp;""),0)=IFERROR(--(INDEX('Reguler Class Availability'!$F:$F,$Q283)&amp;""),0),"Penuh",IF(IFERROR(--(INDEX('Reguler Class Availability'!$G:$G,$Q283)&amp;""),0)=0,IF(INDEX('Reguler Class Availability'!$B:$B,$Q283)&amp;""="","Kosong","Belum terisi"),IF(IFERROR(--(INDEX('Reguler Class Availability'!$G:$G,$Q283)&amp;""),0)/IFERROR(--(INDEX('Reguler Class Availability'!$F:$F,$Q283)&amp;""),0)&gt;=0.6,"Tinggi","Sebagian"))))))</f>
        <v>Belum terisi</v>
      </c>
      <c r="F283" s="77" t="str">
        <f aca="false">IF($Q283="","",PROPER(INDEX('Reguler Class Availability'!$B:$B,$Q283)&amp;""))</f>
        <v>Baby</v>
      </c>
      <c r="G283" s="76" t="n">
        <f aca="false">IF($Q283="","",IFERROR(--(INDEX('Reguler Class Availability'!$F:$F,$Q283)&amp;""),0))</f>
        <v>5</v>
      </c>
      <c r="H283" s="77" t="str">
        <f aca="false">IF($Q283="","",PROPER(INDEX('Reguler Class Availability'!$I:$I,$Q283)&amp;"")&amp;IF(INDEX('Reguler Class Availability'!$J:$J,$Q283)&amp;""="",""," + asst "&amp;PROPER(INDEX('Reguler Class Availability'!$J:$J,$Q283)&amp;"")))</f>
        <v/>
      </c>
      <c r="I283" s="77" t="s">
        <v>422</v>
      </c>
      <c r="J283" s="77" t="s">
        <v>188</v>
      </c>
      <c r="K283" s="78"/>
      <c r="L283" s="78"/>
      <c r="M283" s="78"/>
      <c r="N283" s="79"/>
      <c r="O283" s="78"/>
      <c r="Q283" s="30" t="n">
        <f aca="false">IFERROR(MATCH($B$4&amp;"|- Lane "&amp;D283&amp;" - "&amp;B283&amp;"|"&amp;C283,'Reguler Class Availability'!$L:$L,0),"")</f>
        <v>1601</v>
      </c>
      <c r="BD283" s="30" t="s">
        <v>152</v>
      </c>
      <c r="BE283" s="30" t="n">
        <f aca="false">IF(COUNTIFS('Reguler Class Availability'!$L:$L,$B$4&amp;"|- Lane 5 - *|"&amp;BD283)&gt;0,1,0)</f>
        <v>0</v>
      </c>
      <c r="BF283" s="30" t="n">
        <f aca="false">BE283+BF282</f>
        <v>0</v>
      </c>
    </row>
    <row r="284" customFormat="false" ht="27.75" hidden="false" customHeight="true" outlineLevel="0" collapsed="false">
      <c r="A284" s="76" t="n">
        <v>158</v>
      </c>
      <c r="B284" s="77" t="s">
        <v>117</v>
      </c>
      <c r="C284" s="76" t="s">
        <v>149</v>
      </c>
      <c r="D284" s="76" t="n">
        <v>2</v>
      </c>
      <c r="E284" s="77" t="str">
        <f aca="false">IF($Q284="","Tidak ada di data",IF(AND(IFERROR(--(INDEX('Reguler Class Availability'!$F:$F,$Q284)&amp;""),0)=0,IFERROR(--(INDEX('Reguler Class Availability'!$G:$G,$Q284)&amp;""),0)=0),"Tutup",IF(IFERROR(--(INDEX('Reguler Class Availability'!$G:$G,$Q284)&amp;""),0)&gt;IFERROR(--(INDEX('Reguler Class Availability'!$F:$F,$Q284)&amp;""),0),"Lebih",IF(IFERROR(--(INDEX('Reguler Class Availability'!$G:$G,$Q284)&amp;""),0)=IFERROR(--(INDEX('Reguler Class Availability'!$F:$F,$Q284)&amp;""),0),"Penuh",IF(IFERROR(--(INDEX('Reguler Class Availability'!$G:$G,$Q284)&amp;""),0)=0,IF(INDEX('Reguler Class Availability'!$B:$B,$Q284)&amp;""="","Kosong","Belum terisi"),IF(IFERROR(--(INDEX('Reguler Class Availability'!$G:$G,$Q284)&amp;""),0)/IFERROR(--(INDEX('Reguler Class Availability'!$F:$F,$Q284)&amp;""),0)&gt;=0.6,"Tinggi","Sebagian"))))))</f>
        <v>Belum terisi</v>
      </c>
      <c r="F284" s="77" t="str">
        <f aca="false">IF($Q284="","",PROPER(INDEX('Reguler Class Availability'!$B:$B,$Q284)&amp;""))</f>
        <v>Little</v>
      </c>
      <c r="G284" s="76" t="n">
        <f aca="false">IF($Q284="","",IFERROR(--(INDEX('Reguler Class Availability'!$F:$F,$Q284)&amp;""),0))</f>
        <v>5</v>
      </c>
      <c r="H284" s="77" t="str">
        <f aca="false">IF($Q284="","",PROPER(INDEX('Reguler Class Availability'!$I:$I,$Q284)&amp;"")&amp;IF(INDEX('Reguler Class Availability'!$J:$J,$Q284)&amp;""="",""," + asst "&amp;PROPER(INDEX('Reguler Class Availability'!$J:$J,$Q284)&amp;"")))</f>
        <v/>
      </c>
      <c r="I284" s="77" t="s">
        <v>422</v>
      </c>
      <c r="J284" s="77" t="s">
        <v>188</v>
      </c>
      <c r="K284" s="78"/>
      <c r="L284" s="78"/>
      <c r="M284" s="78"/>
      <c r="N284" s="79"/>
      <c r="O284" s="78"/>
      <c r="Q284" s="30" t="n">
        <f aca="false">IFERROR(MATCH($B$4&amp;"|- Lane "&amp;D284&amp;" - "&amp;B284&amp;"|"&amp;C284,'Reguler Class Availability'!$L:$L,0),"")</f>
        <v>1685</v>
      </c>
      <c r="BD284" s="30" t="s">
        <v>153</v>
      </c>
      <c r="BE284" s="30" t="n">
        <f aca="false">IF(COUNTIFS('Reguler Class Availability'!$L:$L,$B$4&amp;"|- Lane 5 - *|"&amp;BD284)&gt;0,1,0)</f>
        <v>0</v>
      </c>
      <c r="BF284" s="30" t="n">
        <f aca="false">BE284+BF283</f>
        <v>0</v>
      </c>
    </row>
    <row r="285" customFormat="false" ht="15.75" hidden="false" customHeight="true" outlineLevel="0" collapsed="false">
      <c r="A285" s="76" t="n">
        <v>159</v>
      </c>
      <c r="B285" s="77" t="s">
        <v>117</v>
      </c>
      <c r="C285" s="76" t="s">
        <v>150</v>
      </c>
      <c r="D285" s="76" t="n">
        <v>3</v>
      </c>
      <c r="E285" s="77" t="str">
        <f aca="false">IF($Q285="","Tidak ada di data",IF(AND(IFERROR(--(INDEX('Reguler Class Availability'!$F:$F,$Q285)&amp;""),0)=0,IFERROR(--(INDEX('Reguler Class Availability'!$G:$G,$Q285)&amp;""),0)=0),"Tutup",IF(IFERROR(--(INDEX('Reguler Class Availability'!$G:$G,$Q285)&amp;""),0)&gt;IFERROR(--(INDEX('Reguler Class Availability'!$F:$F,$Q285)&amp;""),0),"Lebih",IF(IFERROR(--(INDEX('Reguler Class Availability'!$G:$G,$Q285)&amp;""),0)=IFERROR(--(INDEX('Reguler Class Availability'!$F:$F,$Q285)&amp;""),0),"Penuh",IF(IFERROR(--(INDEX('Reguler Class Availability'!$G:$G,$Q285)&amp;""),0)=0,IF(INDEX('Reguler Class Availability'!$B:$B,$Q285)&amp;""="","Kosong","Belum terisi"),IF(IFERROR(--(INDEX('Reguler Class Availability'!$G:$G,$Q285)&amp;""),0)/IFERROR(--(INDEX('Reguler Class Availability'!$F:$F,$Q285)&amp;""),0)&gt;=0.6,"Tinggi","Sebagian"))))))</f>
        <v>Belum terisi</v>
      </c>
      <c r="F285" s="77" t="str">
        <f aca="false">IF($Q285="","",PROPER(INDEX('Reguler Class Availability'!$B:$B,$Q285)&amp;""))</f>
        <v>Kids</v>
      </c>
      <c r="G285" s="76" t="n">
        <f aca="false">IF($Q285="","",IFERROR(--(INDEX('Reguler Class Availability'!$F:$F,$Q285)&amp;""),0))</f>
        <v>4</v>
      </c>
      <c r="H285" s="77" t="str">
        <f aca="false">IF($Q285="","",PROPER(INDEX('Reguler Class Availability'!$I:$I,$Q285)&amp;"")&amp;IF(INDEX('Reguler Class Availability'!$J:$J,$Q285)&amp;""="",""," + asst "&amp;PROPER(INDEX('Reguler Class Availability'!$J:$J,$Q285)&amp;"")))</f>
        <v/>
      </c>
      <c r="I285" s="77" t="s">
        <v>424</v>
      </c>
      <c r="J285" s="77" t="s">
        <v>198</v>
      </c>
      <c r="K285" s="78"/>
      <c r="L285" s="78"/>
      <c r="M285" s="78"/>
      <c r="N285" s="79"/>
      <c r="O285" s="78"/>
      <c r="Q285" s="30" t="n">
        <f aca="false">IFERROR(MATCH($B$4&amp;"|- Lane "&amp;D285&amp;" - "&amp;B285&amp;"|"&amp;C285,'Reguler Class Availability'!$L:$L,0),"")</f>
        <v>1769</v>
      </c>
      <c r="BD285" s="30" t="s">
        <v>154</v>
      </c>
      <c r="BE285" s="30" t="n">
        <f aca="false">IF(COUNTIFS('Reguler Class Availability'!$L:$L,$B$4&amp;"|- Lane 5 - *|"&amp;BD285)&gt;0,1,0)</f>
        <v>0</v>
      </c>
      <c r="BF285" s="30" t="n">
        <f aca="false">BE285+BF284</f>
        <v>0</v>
      </c>
    </row>
    <row r="286" customFormat="false" ht="15.75" hidden="false" customHeight="true" outlineLevel="0" collapsed="false">
      <c r="A286" s="76" t="n">
        <v>160</v>
      </c>
      <c r="B286" s="77" t="s">
        <v>117</v>
      </c>
      <c r="C286" s="76" t="s">
        <v>150</v>
      </c>
      <c r="D286" s="76" t="n">
        <v>4</v>
      </c>
      <c r="E286" s="77" t="str">
        <f aca="false">IF($Q286="","Tidak ada di data",IF(AND(IFERROR(--(INDEX('Reguler Class Availability'!$F:$F,$Q286)&amp;""),0)=0,IFERROR(--(INDEX('Reguler Class Availability'!$G:$G,$Q286)&amp;""),0)=0),"Tutup",IF(IFERROR(--(INDEX('Reguler Class Availability'!$G:$G,$Q286)&amp;""),0)&gt;IFERROR(--(INDEX('Reguler Class Availability'!$F:$F,$Q286)&amp;""),0),"Lebih",IF(IFERROR(--(INDEX('Reguler Class Availability'!$G:$G,$Q286)&amp;""),0)=IFERROR(--(INDEX('Reguler Class Availability'!$F:$F,$Q286)&amp;""),0),"Penuh",IF(IFERROR(--(INDEX('Reguler Class Availability'!$G:$G,$Q286)&amp;""),0)=0,IF(INDEX('Reguler Class Availability'!$B:$B,$Q286)&amp;""="","Kosong","Belum terisi"),IF(IFERROR(--(INDEX('Reguler Class Availability'!$G:$G,$Q286)&amp;""),0)/IFERROR(--(INDEX('Reguler Class Availability'!$F:$F,$Q286)&amp;""),0)&gt;=0.6,"Tinggi","Sebagian"))))))</f>
        <v>Belum terisi</v>
      </c>
      <c r="F286" s="77" t="str">
        <f aca="false">IF($Q286="","",PROPER(INDEX('Reguler Class Availability'!$B:$B,$Q286)&amp;""))</f>
        <v>Kids</v>
      </c>
      <c r="G286" s="76" t="n">
        <f aca="false">IF($Q286="","",IFERROR(--(INDEX('Reguler Class Availability'!$F:$F,$Q286)&amp;""),0))</f>
        <v>4</v>
      </c>
      <c r="H286" s="77" t="str">
        <f aca="false">IF($Q286="","",PROPER(INDEX('Reguler Class Availability'!$I:$I,$Q286)&amp;"")&amp;IF(INDEX('Reguler Class Availability'!$J:$J,$Q286)&amp;""="",""," + asst "&amp;PROPER(INDEX('Reguler Class Availability'!$J:$J,$Q286)&amp;"")))</f>
        <v/>
      </c>
      <c r="I286" s="77" t="s">
        <v>424</v>
      </c>
      <c r="J286" s="77" t="s">
        <v>198</v>
      </c>
      <c r="K286" s="78"/>
      <c r="L286" s="78"/>
      <c r="M286" s="78"/>
      <c r="N286" s="79"/>
      <c r="O286" s="78"/>
      <c r="Q286" s="30" t="n">
        <f aca="false">IFERROR(MATCH($B$4&amp;"|- Lane "&amp;D286&amp;" - "&amp;B286&amp;"|"&amp;C286,'Reguler Class Availability'!$L:$L,0),"")</f>
        <v>1853</v>
      </c>
      <c r="BD286" s="30" t="s">
        <v>155</v>
      </c>
      <c r="BE286" s="30" t="n">
        <f aca="false">IF(COUNTIFS('Reguler Class Availability'!$L:$L,$B$4&amp;"|- Lane 5 - *|"&amp;BD286)&gt;0,1,0)</f>
        <v>0</v>
      </c>
      <c r="BF286" s="30" t="n">
        <f aca="false">BE286+BF285</f>
        <v>0</v>
      </c>
    </row>
    <row r="287" customFormat="false" ht="15.75" hidden="false" customHeight="true" outlineLevel="0" collapsed="false">
      <c r="A287" s="76" t="n">
        <v>161</v>
      </c>
      <c r="B287" s="77" t="s">
        <v>117</v>
      </c>
      <c r="C287" s="76" t="s">
        <v>152</v>
      </c>
      <c r="D287" s="76" t="n">
        <v>1</v>
      </c>
      <c r="E287" s="77" t="str">
        <f aca="false">IF($Q287="","Tidak ada di data",IF(AND(IFERROR(--(INDEX('Reguler Class Availability'!$F:$F,$Q287)&amp;""),0)=0,IFERROR(--(INDEX('Reguler Class Availability'!$G:$G,$Q287)&amp;""),0)=0),"Tutup",IF(IFERROR(--(INDEX('Reguler Class Availability'!$G:$G,$Q287)&amp;""),0)&gt;IFERROR(--(INDEX('Reguler Class Availability'!$F:$F,$Q287)&amp;""),0),"Lebih",IF(IFERROR(--(INDEX('Reguler Class Availability'!$G:$G,$Q287)&amp;""),0)=IFERROR(--(INDEX('Reguler Class Availability'!$F:$F,$Q287)&amp;""),0),"Penuh",IF(IFERROR(--(INDEX('Reguler Class Availability'!$G:$G,$Q287)&amp;""),0)=0,IF(INDEX('Reguler Class Availability'!$B:$B,$Q287)&amp;""="","Kosong","Belum terisi"),IF(IFERROR(--(INDEX('Reguler Class Availability'!$G:$G,$Q287)&amp;""),0)/IFERROR(--(INDEX('Reguler Class Availability'!$F:$F,$Q287)&amp;""),0)&gt;=0.6,"Tinggi","Sebagian"))))))</f>
        <v>Belum terisi</v>
      </c>
      <c r="F287" s="77" t="str">
        <f aca="false">IF($Q287="","",PROPER(INDEX('Reguler Class Availability'!$B:$B,$Q287)&amp;""))</f>
        <v>Tiny</v>
      </c>
      <c r="G287" s="76" t="n">
        <f aca="false">IF($Q287="","",IFERROR(--(INDEX('Reguler Class Availability'!$F:$F,$Q287)&amp;""),0))</f>
        <v>5</v>
      </c>
      <c r="H287" s="77" t="str">
        <f aca="false">IF($Q287="","",PROPER(INDEX('Reguler Class Availability'!$I:$I,$Q287)&amp;"")&amp;IF(INDEX('Reguler Class Availability'!$J:$J,$Q287)&amp;""="",""," + asst "&amp;PROPER(INDEX('Reguler Class Availability'!$J:$J,$Q287)&amp;"")))</f>
        <v/>
      </c>
      <c r="I287" s="77" t="s">
        <v>424</v>
      </c>
      <c r="J287" s="77" t="s">
        <v>425</v>
      </c>
      <c r="K287" s="78"/>
      <c r="L287" s="78"/>
      <c r="M287" s="78"/>
      <c r="N287" s="79"/>
      <c r="O287" s="78"/>
      <c r="Q287" s="30" t="n">
        <f aca="false">IFERROR(MATCH($B$4&amp;"|- Lane "&amp;D287&amp;" - "&amp;B287&amp;"|"&amp;C287,'Reguler Class Availability'!$L:$L,0),"")</f>
        <v>1602</v>
      </c>
      <c r="BD287" s="30" t="s">
        <v>156</v>
      </c>
      <c r="BE287" s="30" t="n">
        <f aca="false">IF(COUNTIFS('Reguler Class Availability'!$L:$L,$B$4&amp;"|- Lane 5 - *|"&amp;BD287)&gt;0,1,0)</f>
        <v>0</v>
      </c>
      <c r="BF287" s="30" t="n">
        <f aca="false">BE287+BF286</f>
        <v>0</v>
      </c>
    </row>
    <row r="288" customFormat="false" ht="15.75" hidden="false" customHeight="true" outlineLevel="0" collapsed="false">
      <c r="A288" s="76" t="n">
        <v>162</v>
      </c>
      <c r="B288" s="77" t="s">
        <v>117</v>
      </c>
      <c r="C288" s="76" t="s">
        <v>153</v>
      </c>
      <c r="D288" s="76" t="n">
        <v>3</v>
      </c>
      <c r="E288" s="77" t="str">
        <f aca="false">IF($Q288="","Tidak ada di data",IF(AND(IFERROR(--(INDEX('Reguler Class Availability'!$F:$F,$Q288)&amp;""),0)=0,IFERROR(--(INDEX('Reguler Class Availability'!$G:$G,$Q288)&amp;""),0)=0),"Tutup",IF(IFERROR(--(INDEX('Reguler Class Availability'!$G:$G,$Q288)&amp;""),0)&gt;IFERROR(--(INDEX('Reguler Class Availability'!$F:$F,$Q288)&amp;""),0),"Lebih",IF(IFERROR(--(INDEX('Reguler Class Availability'!$G:$G,$Q288)&amp;""),0)=IFERROR(--(INDEX('Reguler Class Availability'!$F:$F,$Q288)&amp;""),0),"Penuh",IF(IFERROR(--(INDEX('Reguler Class Availability'!$G:$G,$Q288)&amp;""),0)=0,IF(INDEX('Reguler Class Availability'!$B:$B,$Q288)&amp;""="","Kosong","Belum terisi"),IF(IFERROR(--(INDEX('Reguler Class Availability'!$G:$G,$Q288)&amp;""),0)/IFERROR(--(INDEX('Reguler Class Availability'!$F:$F,$Q288)&amp;""),0)&gt;=0.6,"Tinggi","Sebagian"))))))</f>
        <v>Belum terisi</v>
      </c>
      <c r="F288" s="77" t="str">
        <f aca="false">IF($Q288="","",PROPER(INDEX('Reguler Class Availability'!$B:$B,$Q288)&amp;""))</f>
        <v>Kids</v>
      </c>
      <c r="G288" s="76" t="n">
        <f aca="false">IF($Q288="","",IFERROR(--(INDEX('Reguler Class Availability'!$F:$F,$Q288)&amp;""),0))</f>
        <v>4</v>
      </c>
      <c r="H288" s="77" t="str">
        <f aca="false">IF($Q288="","",PROPER(INDEX('Reguler Class Availability'!$I:$I,$Q288)&amp;"")&amp;IF(INDEX('Reguler Class Availability'!$J:$J,$Q288)&amp;""="",""," + asst "&amp;PROPER(INDEX('Reguler Class Availability'!$J:$J,$Q288)&amp;"")))</f>
        <v/>
      </c>
      <c r="I288" s="77" t="s">
        <v>424</v>
      </c>
      <c r="J288" s="77" t="s">
        <v>198</v>
      </c>
      <c r="K288" s="78"/>
      <c r="L288" s="78"/>
      <c r="M288" s="78"/>
      <c r="N288" s="79"/>
      <c r="O288" s="78"/>
      <c r="Q288" s="30" t="n">
        <f aca="false">IFERROR(MATCH($B$4&amp;"|- Lane "&amp;D288&amp;" - "&amp;B288&amp;"|"&amp;C288,'Reguler Class Availability'!$L:$L,0),"")</f>
        <v>1770</v>
      </c>
      <c r="BD288" s="30" t="s">
        <v>157</v>
      </c>
      <c r="BE288" s="30" t="n">
        <f aca="false">IF(COUNTIFS('Reguler Class Availability'!$L:$L,$B$4&amp;"|- Lane 5 - *|"&amp;BD288)&gt;0,1,0)</f>
        <v>0</v>
      </c>
      <c r="BF288" s="30" t="n">
        <f aca="false">BE288+BF287</f>
        <v>0</v>
      </c>
    </row>
    <row r="289" customFormat="false" ht="15.75" hidden="false" customHeight="true" outlineLevel="0" collapsed="false">
      <c r="A289" s="76" t="n">
        <v>163</v>
      </c>
      <c r="B289" s="77" t="s">
        <v>117</v>
      </c>
      <c r="C289" s="76" t="s">
        <v>153</v>
      </c>
      <c r="D289" s="76" t="n">
        <v>4</v>
      </c>
      <c r="E289" s="77" t="str">
        <f aca="false">IF($Q289="","Tidak ada di data",IF(AND(IFERROR(--(INDEX('Reguler Class Availability'!$F:$F,$Q289)&amp;""),0)=0,IFERROR(--(INDEX('Reguler Class Availability'!$G:$G,$Q289)&amp;""),0)=0),"Tutup",IF(IFERROR(--(INDEX('Reguler Class Availability'!$G:$G,$Q289)&amp;""),0)&gt;IFERROR(--(INDEX('Reguler Class Availability'!$F:$F,$Q289)&amp;""),0),"Lebih",IF(IFERROR(--(INDEX('Reguler Class Availability'!$G:$G,$Q289)&amp;""),0)=IFERROR(--(INDEX('Reguler Class Availability'!$F:$F,$Q289)&amp;""),0),"Penuh",IF(IFERROR(--(INDEX('Reguler Class Availability'!$G:$G,$Q289)&amp;""),0)=0,IF(INDEX('Reguler Class Availability'!$B:$B,$Q289)&amp;""="","Kosong","Belum terisi"),IF(IFERROR(--(INDEX('Reguler Class Availability'!$G:$G,$Q289)&amp;""),0)/IFERROR(--(INDEX('Reguler Class Availability'!$F:$F,$Q289)&amp;""),0)&gt;=0.6,"Tinggi","Sebagian"))))))</f>
        <v>Belum terisi</v>
      </c>
      <c r="F289" s="77" t="str">
        <f aca="false">IF($Q289="","",PROPER(INDEX('Reguler Class Availability'!$B:$B,$Q289)&amp;""))</f>
        <v>Kids</v>
      </c>
      <c r="G289" s="76" t="n">
        <f aca="false">IF($Q289="","",IFERROR(--(INDEX('Reguler Class Availability'!$F:$F,$Q289)&amp;""),0))</f>
        <v>4</v>
      </c>
      <c r="H289" s="77" t="str">
        <f aca="false">IF($Q289="","",PROPER(INDEX('Reguler Class Availability'!$I:$I,$Q289)&amp;"")&amp;IF(INDEX('Reguler Class Availability'!$J:$J,$Q289)&amp;""="",""," + asst "&amp;PROPER(INDEX('Reguler Class Availability'!$J:$J,$Q289)&amp;"")))</f>
        <v/>
      </c>
      <c r="I289" s="77" t="s">
        <v>424</v>
      </c>
      <c r="J289" s="77" t="s">
        <v>198</v>
      </c>
      <c r="K289" s="78"/>
      <c r="L289" s="78"/>
      <c r="M289" s="78"/>
      <c r="N289" s="79"/>
      <c r="O289" s="78"/>
      <c r="Q289" s="30" t="n">
        <f aca="false">IFERROR(MATCH($B$4&amp;"|- Lane "&amp;D289&amp;" - "&amp;B289&amp;"|"&amp;C289,'Reguler Class Availability'!$L:$L,0),"")</f>
        <v>1854</v>
      </c>
      <c r="BD289" s="30" t="s">
        <v>158</v>
      </c>
      <c r="BE289" s="30" t="n">
        <f aca="false">IF(COUNTIFS('Reguler Class Availability'!$L:$L,$B$4&amp;"|- Lane 5 - *|"&amp;BD289)&gt;0,1,0)</f>
        <v>0</v>
      </c>
      <c r="BF289" s="30" t="n">
        <f aca="false">BE289+BF288</f>
        <v>0</v>
      </c>
    </row>
    <row r="290" customFormat="false" ht="15.75" hidden="false" customHeight="true" outlineLevel="0" collapsed="false">
      <c r="A290" s="76" t="n">
        <v>164</v>
      </c>
      <c r="B290" s="77" t="s">
        <v>117</v>
      </c>
      <c r="C290" s="76" t="s">
        <v>155</v>
      </c>
      <c r="D290" s="76" t="n">
        <v>1</v>
      </c>
      <c r="E290" s="77" t="str">
        <f aca="false">IF($Q290="","Tidak ada di data",IF(AND(IFERROR(--(INDEX('Reguler Class Availability'!$F:$F,$Q290)&amp;""),0)=0,IFERROR(--(INDEX('Reguler Class Availability'!$G:$G,$Q290)&amp;""),0)=0),"Tutup",IF(IFERROR(--(INDEX('Reguler Class Availability'!$G:$G,$Q290)&amp;""),0)&gt;IFERROR(--(INDEX('Reguler Class Availability'!$F:$F,$Q290)&amp;""),0),"Lebih",IF(IFERROR(--(INDEX('Reguler Class Availability'!$G:$G,$Q290)&amp;""),0)=IFERROR(--(INDEX('Reguler Class Availability'!$F:$F,$Q290)&amp;""),0),"Penuh",IF(IFERROR(--(INDEX('Reguler Class Availability'!$G:$G,$Q290)&amp;""),0)=0,IF(INDEX('Reguler Class Availability'!$B:$B,$Q290)&amp;""="","Kosong","Belum terisi"),IF(IFERROR(--(INDEX('Reguler Class Availability'!$G:$G,$Q290)&amp;""),0)/IFERROR(--(INDEX('Reguler Class Availability'!$F:$F,$Q290)&amp;""),0)&gt;=0.6,"Tinggi","Sebagian"))))))</f>
        <v>Belum terisi</v>
      </c>
      <c r="F290" s="77" t="str">
        <f aca="false">IF($Q290="","",PROPER(INDEX('Reguler Class Availability'!$B:$B,$Q290)&amp;""))</f>
        <v>Baby</v>
      </c>
      <c r="G290" s="76" t="n">
        <f aca="false">IF($Q290="","",IFERROR(--(INDEX('Reguler Class Availability'!$F:$F,$Q290)&amp;""),0))</f>
        <v>5</v>
      </c>
      <c r="H290" s="77" t="str">
        <f aca="false">IF($Q290="","",PROPER(INDEX('Reguler Class Availability'!$I:$I,$Q290)&amp;"")&amp;IF(INDEX('Reguler Class Availability'!$J:$J,$Q290)&amp;""="",""," + asst "&amp;PROPER(INDEX('Reguler Class Availability'!$J:$J,$Q290)&amp;"")))</f>
        <v/>
      </c>
      <c r="I290" s="77" t="s">
        <v>424</v>
      </c>
      <c r="J290" s="77" t="s">
        <v>426</v>
      </c>
      <c r="K290" s="78"/>
      <c r="L290" s="78"/>
      <c r="M290" s="78"/>
      <c r="N290" s="79"/>
      <c r="O290" s="78"/>
      <c r="Q290" s="30" t="n">
        <f aca="false">IFERROR(MATCH($B$4&amp;"|- Lane "&amp;D290&amp;" - "&amp;B290&amp;"|"&amp;C290,'Reguler Class Availability'!$L:$L,0),"")</f>
        <v>1603</v>
      </c>
      <c r="BD290" s="30" t="s">
        <v>160</v>
      </c>
      <c r="BE290" s="30" t="n">
        <f aca="false">IF(COUNTIFS('Reguler Class Availability'!$L:$L,$B$4&amp;"|- Lane 5 - *|"&amp;BD290)&gt;0,1,0)</f>
        <v>0</v>
      </c>
      <c r="BF290" s="30" t="n">
        <f aca="false">BE290+BF289</f>
        <v>0</v>
      </c>
    </row>
    <row r="291" customFormat="false" ht="15.75" hidden="false" customHeight="true" outlineLevel="0" collapsed="false">
      <c r="A291" s="76" t="n">
        <v>165</v>
      </c>
      <c r="B291" s="77" t="s">
        <v>117</v>
      </c>
      <c r="C291" s="76" t="s">
        <v>155</v>
      </c>
      <c r="D291" s="76" t="n">
        <v>2</v>
      </c>
      <c r="E291" s="77" t="str">
        <f aca="false">IF($Q291="","Tidak ada di data",IF(AND(IFERROR(--(INDEX('Reguler Class Availability'!$F:$F,$Q291)&amp;""),0)=0,IFERROR(--(INDEX('Reguler Class Availability'!$G:$G,$Q291)&amp;""),0)=0),"Tutup",IF(IFERROR(--(INDEX('Reguler Class Availability'!$G:$G,$Q291)&amp;""),0)&gt;IFERROR(--(INDEX('Reguler Class Availability'!$F:$F,$Q291)&amp;""),0),"Lebih",IF(IFERROR(--(INDEX('Reguler Class Availability'!$G:$G,$Q291)&amp;""),0)=IFERROR(--(INDEX('Reguler Class Availability'!$F:$F,$Q291)&amp;""),0),"Penuh",IF(IFERROR(--(INDEX('Reguler Class Availability'!$G:$G,$Q291)&amp;""),0)=0,IF(INDEX('Reguler Class Availability'!$B:$B,$Q291)&amp;""="","Kosong","Belum terisi"),IF(IFERROR(--(INDEX('Reguler Class Availability'!$G:$G,$Q291)&amp;""),0)/IFERROR(--(INDEX('Reguler Class Availability'!$F:$F,$Q291)&amp;""),0)&gt;=0.6,"Tinggi","Sebagian"))))))</f>
        <v>Belum terisi</v>
      </c>
      <c r="F291" s="77" t="str">
        <f aca="false">IF($Q291="","",PROPER(INDEX('Reguler Class Availability'!$B:$B,$Q291)&amp;""))</f>
        <v>Little</v>
      </c>
      <c r="G291" s="76" t="n">
        <f aca="false">IF($Q291="","",IFERROR(--(INDEX('Reguler Class Availability'!$F:$F,$Q291)&amp;""),0))</f>
        <v>5</v>
      </c>
      <c r="H291" s="77" t="str">
        <f aca="false">IF($Q291="","",PROPER(INDEX('Reguler Class Availability'!$I:$I,$Q291)&amp;"")&amp;IF(INDEX('Reguler Class Availability'!$J:$J,$Q291)&amp;""="",""," + asst "&amp;PROPER(INDEX('Reguler Class Availability'!$J:$J,$Q291)&amp;"")))</f>
        <v/>
      </c>
      <c r="I291" s="77" t="s">
        <v>424</v>
      </c>
      <c r="J291" s="77" t="s">
        <v>425</v>
      </c>
      <c r="K291" s="78"/>
      <c r="L291" s="78"/>
      <c r="M291" s="78"/>
      <c r="N291" s="79"/>
      <c r="O291" s="78"/>
      <c r="Q291" s="30" t="n">
        <f aca="false">IFERROR(MATCH($B$4&amp;"|- Lane "&amp;D291&amp;" - "&amp;B291&amp;"|"&amp;C291,'Reguler Class Availability'!$L:$L,0),"")</f>
        <v>1687</v>
      </c>
      <c r="BD291" s="30" t="s">
        <v>161</v>
      </c>
      <c r="BE291" s="30" t="n">
        <f aca="false">IF(COUNTIFS('Reguler Class Availability'!$L:$L,$B$4&amp;"|- Lane 5 - *|"&amp;BD291)&gt;0,1,0)</f>
        <v>0</v>
      </c>
      <c r="BF291" s="30" t="n">
        <f aca="false">BE291+BF290</f>
        <v>0</v>
      </c>
    </row>
    <row r="292" customFormat="false" ht="15.75" hidden="false" customHeight="true" outlineLevel="0" collapsed="false">
      <c r="A292" s="76" t="n">
        <v>166</v>
      </c>
      <c r="B292" s="77" t="s">
        <v>117</v>
      </c>
      <c r="C292" s="76" t="s">
        <v>156</v>
      </c>
      <c r="D292" s="76" t="n">
        <v>4</v>
      </c>
      <c r="E292" s="77" t="str">
        <f aca="false">IF($Q292="","Tidak ada di data",IF(AND(IFERROR(--(INDEX('Reguler Class Availability'!$F:$F,$Q292)&amp;""),0)=0,IFERROR(--(INDEX('Reguler Class Availability'!$G:$G,$Q292)&amp;""),0)=0),"Tutup",IF(IFERROR(--(INDEX('Reguler Class Availability'!$G:$G,$Q292)&amp;""),0)&gt;IFERROR(--(INDEX('Reguler Class Availability'!$F:$F,$Q292)&amp;""),0),"Lebih",IF(IFERROR(--(INDEX('Reguler Class Availability'!$G:$G,$Q292)&amp;""),0)=IFERROR(--(INDEX('Reguler Class Availability'!$F:$F,$Q292)&amp;""),0),"Penuh",IF(IFERROR(--(INDEX('Reguler Class Availability'!$G:$G,$Q292)&amp;""),0)=0,IF(INDEX('Reguler Class Availability'!$B:$B,$Q292)&amp;""="","Kosong","Belum terisi"),IF(IFERROR(--(INDEX('Reguler Class Availability'!$G:$G,$Q292)&amp;""),0)/IFERROR(--(INDEX('Reguler Class Availability'!$F:$F,$Q292)&amp;""),0)&gt;=0.6,"Tinggi","Sebagian"))))))</f>
        <v>Belum terisi</v>
      </c>
      <c r="F292" s="77" t="str">
        <f aca="false">IF($Q292="","",PROPER(INDEX('Reguler Class Availability'!$B:$B,$Q292)&amp;""))</f>
        <v>Kids</v>
      </c>
      <c r="G292" s="76" t="n">
        <f aca="false">IF($Q292="","",IFERROR(--(INDEX('Reguler Class Availability'!$F:$F,$Q292)&amp;""),0))</f>
        <v>4</v>
      </c>
      <c r="H292" s="77" t="str">
        <f aca="false">IF($Q292="","",PROPER(INDEX('Reguler Class Availability'!$I:$I,$Q292)&amp;"")&amp;IF(INDEX('Reguler Class Availability'!$J:$J,$Q292)&amp;""="",""," + asst "&amp;PROPER(INDEX('Reguler Class Availability'!$J:$J,$Q292)&amp;"")))</f>
        <v/>
      </c>
      <c r="I292" s="77" t="s">
        <v>424</v>
      </c>
      <c r="J292" s="77" t="s">
        <v>198</v>
      </c>
      <c r="K292" s="78"/>
      <c r="L292" s="78"/>
      <c r="M292" s="78"/>
      <c r="N292" s="79"/>
      <c r="O292" s="78"/>
      <c r="Q292" s="30" t="n">
        <f aca="false">IFERROR(MATCH($B$4&amp;"|- Lane "&amp;D292&amp;" - "&amp;B292&amp;"|"&amp;C292,'Reguler Class Availability'!$L:$L,0),"")</f>
        <v>1855</v>
      </c>
      <c r="BD292" s="30" t="s">
        <v>162</v>
      </c>
      <c r="BE292" s="30" t="n">
        <f aca="false">IF(COUNTIFS('Reguler Class Availability'!$L:$L,$B$4&amp;"|- Lane 5 - *|"&amp;BD292)&gt;0,1,0)</f>
        <v>0</v>
      </c>
      <c r="BF292" s="30" t="n">
        <f aca="false">BE292+BF291</f>
        <v>0</v>
      </c>
    </row>
    <row r="293" customFormat="false" ht="27.75" hidden="false" customHeight="true" outlineLevel="0" collapsed="false">
      <c r="A293" s="76" t="n">
        <v>167</v>
      </c>
      <c r="B293" s="77" t="s">
        <v>118</v>
      </c>
      <c r="C293" s="76" t="s">
        <v>105</v>
      </c>
      <c r="D293" s="76" t="n">
        <v>1</v>
      </c>
      <c r="E293" s="77" t="str">
        <f aca="false">IF($Q293="","Tidak ada di data",IF(AND(IFERROR(--(INDEX('Reguler Class Availability'!$F:$F,$Q293)&amp;""),0)=0,IFERROR(--(INDEX('Reguler Class Availability'!$G:$G,$Q293)&amp;""),0)=0),"Tutup",IF(IFERROR(--(INDEX('Reguler Class Availability'!$G:$G,$Q293)&amp;""),0)&gt;IFERROR(--(INDEX('Reguler Class Availability'!$F:$F,$Q293)&amp;""),0),"Lebih",IF(IFERROR(--(INDEX('Reguler Class Availability'!$G:$G,$Q293)&amp;""),0)=IFERROR(--(INDEX('Reguler Class Availability'!$F:$F,$Q293)&amp;""),0),"Penuh",IF(IFERROR(--(INDEX('Reguler Class Availability'!$G:$G,$Q293)&amp;""),0)=0,IF(INDEX('Reguler Class Availability'!$B:$B,$Q293)&amp;""="","Kosong","Belum terisi"),IF(IFERROR(--(INDEX('Reguler Class Availability'!$G:$G,$Q293)&amp;""),0)/IFERROR(--(INDEX('Reguler Class Availability'!$F:$F,$Q293)&amp;""),0)&gt;=0.6,"Tinggi","Sebagian"))))))</f>
        <v>Belum terisi</v>
      </c>
      <c r="F293" s="77" t="str">
        <f aca="false">IF($Q293="","",PROPER(INDEX('Reguler Class Availability'!$B:$B,$Q293)&amp;""))</f>
        <v>Tiny</v>
      </c>
      <c r="G293" s="76" t="n">
        <f aca="false">IF($Q293="","",IFERROR(--(INDEX('Reguler Class Availability'!$F:$F,$Q293)&amp;""),0))</f>
        <v>5</v>
      </c>
      <c r="H293" s="77" t="str">
        <f aca="false">IF($Q293="","",PROPER(INDEX('Reguler Class Availability'!$I:$I,$Q293)&amp;"")&amp;IF(INDEX('Reguler Class Availability'!$J:$J,$Q293)&amp;""="",""," + asst "&amp;PROPER(INDEX('Reguler Class Availability'!$J:$J,$Q293)&amp;"")))</f>
        <v/>
      </c>
      <c r="I293" s="77" t="s">
        <v>427</v>
      </c>
      <c r="J293" s="77" t="s">
        <v>188</v>
      </c>
      <c r="K293" s="78"/>
      <c r="L293" s="78"/>
      <c r="M293" s="78"/>
      <c r="N293" s="79"/>
      <c r="O293" s="78"/>
      <c r="Q293" s="30" t="n">
        <f aca="false">IFERROR(MATCH($B$4&amp;"|- Lane "&amp;D293&amp;" - "&amp;B293&amp;"|"&amp;C293,'Reguler Class Availability'!$L:$L,0),"")</f>
        <v>1604</v>
      </c>
      <c r="BD293" s="30" t="s">
        <v>163</v>
      </c>
      <c r="BE293" s="30" t="n">
        <f aca="false">IF(COUNTIFS('Reguler Class Availability'!$L:$L,$B$4&amp;"|- Lane 5 - *|"&amp;BD293)&gt;0,1,0)</f>
        <v>0</v>
      </c>
      <c r="BF293" s="30" t="n">
        <f aca="false">BE293+BF292</f>
        <v>0</v>
      </c>
    </row>
    <row r="294" customFormat="false" ht="27.75" hidden="false" customHeight="true" outlineLevel="0" collapsed="false">
      <c r="A294" s="76" t="n">
        <v>168</v>
      </c>
      <c r="B294" s="77" t="s">
        <v>118</v>
      </c>
      <c r="C294" s="76" t="s">
        <v>105</v>
      </c>
      <c r="D294" s="76" t="n">
        <v>2</v>
      </c>
      <c r="E294" s="77" t="str">
        <f aca="false">IF($Q294="","Tidak ada di data",IF(AND(IFERROR(--(INDEX('Reguler Class Availability'!$F:$F,$Q294)&amp;""),0)=0,IFERROR(--(INDEX('Reguler Class Availability'!$G:$G,$Q294)&amp;""),0)=0),"Tutup",IF(IFERROR(--(INDEX('Reguler Class Availability'!$G:$G,$Q294)&amp;""),0)&gt;IFERROR(--(INDEX('Reguler Class Availability'!$F:$F,$Q294)&amp;""),0),"Lebih",IF(IFERROR(--(INDEX('Reguler Class Availability'!$G:$G,$Q294)&amp;""),0)=IFERROR(--(INDEX('Reguler Class Availability'!$F:$F,$Q294)&amp;""),0),"Penuh",IF(IFERROR(--(INDEX('Reguler Class Availability'!$G:$G,$Q294)&amp;""),0)=0,IF(INDEX('Reguler Class Availability'!$B:$B,$Q294)&amp;""="","Kosong","Belum terisi"),IF(IFERROR(--(INDEX('Reguler Class Availability'!$G:$G,$Q294)&amp;""),0)/IFERROR(--(INDEX('Reguler Class Availability'!$F:$F,$Q294)&amp;""),0)&gt;=0.6,"Tinggi","Sebagian"))))))</f>
        <v>Belum terisi</v>
      </c>
      <c r="F294" s="77" t="str">
        <f aca="false">IF($Q294="","",PROPER(INDEX('Reguler Class Availability'!$B:$B,$Q294)&amp;""))</f>
        <v>Little</v>
      </c>
      <c r="G294" s="76" t="n">
        <f aca="false">IF($Q294="","",IFERROR(--(INDEX('Reguler Class Availability'!$F:$F,$Q294)&amp;""),0))</f>
        <v>5</v>
      </c>
      <c r="H294" s="77" t="str">
        <f aca="false">IF($Q294="","",PROPER(INDEX('Reguler Class Availability'!$I:$I,$Q294)&amp;"")&amp;IF(INDEX('Reguler Class Availability'!$J:$J,$Q294)&amp;""="",""," + asst "&amp;PROPER(INDEX('Reguler Class Availability'!$J:$J,$Q294)&amp;"")))</f>
        <v/>
      </c>
      <c r="I294" s="77" t="s">
        <v>427</v>
      </c>
      <c r="J294" s="77" t="s">
        <v>188</v>
      </c>
      <c r="K294" s="78"/>
      <c r="L294" s="78"/>
      <c r="M294" s="78"/>
      <c r="N294" s="79"/>
      <c r="O294" s="78"/>
      <c r="Q294" s="30" t="n">
        <f aca="false">IFERROR(MATCH($B$4&amp;"|- Lane "&amp;D294&amp;" - "&amp;B294&amp;"|"&amp;C294,'Reguler Class Availability'!$L:$L,0),"")</f>
        <v>1688</v>
      </c>
      <c r="BD294" s="30" t="s">
        <v>164</v>
      </c>
      <c r="BE294" s="30" t="n">
        <f aca="false">IF(COUNTIFS('Reguler Class Availability'!$L:$L,$B$4&amp;"|- Lane 5 - *|"&amp;BD294)&gt;0,1,0)</f>
        <v>0</v>
      </c>
      <c r="BF294" s="30" t="n">
        <f aca="false">BE294+BF293</f>
        <v>0</v>
      </c>
    </row>
    <row r="295" customFormat="false" ht="15.75" hidden="false" customHeight="true" outlineLevel="0" collapsed="false">
      <c r="A295" s="76" t="n">
        <v>169</v>
      </c>
      <c r="B295" s="77" t="s">
        <v>118</v>
      </c>
      <c r="C295" s="76" t="s">
        <v>110</v>
      </c>
      <c r="D295" s="76" t="n">
        <v>3</v>
      </c>
      <c r="E295" s="77" t="str">
        <f aca="false">IF($Q295="","Tidak ada di data",IF(AND(IFERROR(--(INDEX('Reguler Class Availability'!$F:$F,$Q295)&amp;""),0)=0,IFERROR(--(INDEX('Reguler Class Availability'!$G:$G,$Q295)&amp;""),0)=0),"Tutup",IF(IFERROR(--(INDEX('Reguler Class Availability'!$G:$G,$Q295)&amp;""),0)&gt;IFERROR(--(INDEX('Reguler Class Availability'!$F:$F,$Q295)&amp;""),0),"Lebih",IF(IFERROR(--(INDEX('Reguler Class Availability'!$G:$G,$Q295)&amp;""),0)=IFERROR(--(INDEX('Reguler Class Availability'!$F:$F,$Q295)&amp;""),0),"Penuh",IF(IFERROR(--(INDEX('Reguler Class Availability'!$G:$G,$Q295)&amp;""),0)=0,IF(INDEX('Reguler Class Availability'!$B:$B,$Q295)&amp;""="","Kosong","Belum terisi"),IF(IFERROR(--(INDEX('Reguler Class Availability'!$G:$G,$Q295)&amp;""),0)/IFERROR(--(INDEX('Reguler Class Availability'!$F:$F,$Q295)&amp;""),0)&gt;=0.6,"Tinggi","Sebagian"))))))</f>
        <v>Belum terisi</v>
      </c>
      <c r="F295" s="77" t="str">
        <f aca="false">IF($Q295="","",PROPER(INDEX('Reguler Class Availability'!$B:$B,$Q295)&amp;""))</f>
        <v>Kids</v>
      </c>
      <c r="G295" s="76" t="n">
        <f aca="false">IF($Q295="","",IFERROR(--(INDEX('Reguler Class Availability'!$F:$F,$Q295)&amp;""),0))</f>
        <v>4</v>
      </c>
      <c r="H295" s="77" t="str">
        <f aca="false">IF($Q295="","",PROPER(INDEX('Reguler Class Availability'!$I:$I,$Q295)&amp;"")&amp;IF(INDEX('Reguler Class Availability'!$J:$J,$Q295)&amp;""="",""," + asst "&amp;PROPER(INDEX('Reguler Class Availability'!$J:$J,$Q295)&amp;"")))</f>
        <v/>
      </c>
      <c r="I295" s="77" t="s">
        <v>428</v>
      </c>
      <c r="J295" s="77" t="s">
        <v>198</v>
      </c>
      <c r="K295" s="78"/>
      <c r="L295" s="78"/>
      <c r="M295" s="78"/>
      <c r="N295" s="79"/>
      <c r="O295" s="78"/>
      <c r="Q295" s="30" t="n">
        <f aca="false">IFERROR(MATCH($B$4&amp;"|- Lane "&amp;D295&amp;" - "&amp;B295&amp;"|"&amp;C295,'Reguler Class Availability'!$L:$L,0),"")</f>
        <v>1772</v>
      </c>
      <c r="BD295" s="30" t="s">
        <v>165</v>
      </c>
      <c r="BE295" s="30" t="n">
        <f aca="false">IF(COUNTIFS('Reguler Class Availability'!$L:$L,$B$4&amp;"|- Lane 5 - *|"&amp;BD295)&gt;0,1,0)</f>
        <v>0</v>
      </c>
      <c r="BF295" s="30" t="n">
        <f aca="false">BE295+BF294</f>
        <v>0</v>
      </c>
    </row>
    <row r="296" customFormat="false" ht="15.75" hidden="false" customHeight="true" outlineLevel="0" collapsed="false">
      <c r="A296" s="76" t="n">
        <v>170</v>
      </c>
      <c r="B296" s="77" t="s">
        <v>118</v>
      </c>
      <c r="C296" s="76" t="s">
        <v>110</v>
      </c>
      <c r="D296" s="76" t="n">
        <v>4</v>
      </c>
      <c r="E296" s="77" t="str">
        <f aca="false">IF($Q296="","Tidak ada di data",IF(AND(IFERROR(--(INDEX('Reguler Class Availability'!$F:$F,$Q296)&amp;""),0)=0,IFERROR(--(INDEX('Reguler Class Availability'!$G:$G,$Q296)&amp;""),0)=0),"Tutup",IF(IFERROR(--(INDEX('Reguler Class Availability'!$G:$G,$Q296)&amp;""),0)&gt;IFERROR(--(INDEX('Reguler Class Availability'!$F:$F,$Q296)&amp;""),0),"Lebih",IF(IFERROR(--(INDEX('Reguler Class Availability'!$G:$G,$Q296)&amp;""),0)=IFERROR(--(INDEX('Reguler Class Availability'!$F:$F,$Q296)&amp;""),0),"Penuh",IF(IFERROR(--(INDEX('Reguler Class Availability'!$G:$G,$Q296)&amp;""),0)=0,IF(INDEX('Reguler Class Availability'!$B:$B,$Q296)&amp;""="","Kosong","Belum terisi"),IF(IFERROR(--(INDEX('Reguler Class Availability'!$G:$G,$Q296)&amp;""),0)/IFERROR(--(INDEX('Reguler Class Availability'!$F:$F,$Q296)&amp;""),0)&gt;=0.6,"Tinggi","Sebagian"))))))</f>
        <v>Belum terisi</v>
      </c>
      <c r="F296" s="77" t="str">
        <f aca="false">IF($Q296="","",PROPER(INDEX('Reguler Class Availability'!$B:$B,$Q296)&amp;""))</f>
        <v>Kids</v>
      </c>
      <c r="G296" s="76" t="n">
        <f aca="false">IF($Q296="","",IFERROR(--(INDEX('Reguler Class Availability'!$F:$F,$Q296)&amp;""),0))</f>
        <v>4</v>
      </c>
      <c r="H296" s="77" t="str">
        <f aca="false">IF($Q296="","",PROPER(INDEX('Reguler Class Availability'!$I:$I,$Q296)&amp;"")&amp;IF(INDEX('Reguler Class Availability'!$J:$J,$Q296)&amp;""="",""," + asst "&amp;PROPER(INDEX('Reguler Class Availability'!$J:$J,$Q296)&amp;"")))</f>
        <v/>
      </c>
      <c r="I296" s="77" t="s">
        <v>428</v>
      </c>
      <c r="J296" s="77" t="s">
        <v>198</v>
      </c>
      <c r="K296" s="78"/>
      <c r="L296" s="78"/>
      <c r="M296" s="78"/>
      <c r="N296" s="79"/>
      <c r="O296" s="78"/>
      <c r="Q296" s="30" t="n">
        <f aca="false">IFERROR(MATCH($B$4&amp;"|- Lane "&amp;D296&amp;" - "&amp;B296&amp;"|"&amp;C296,'Reguler Class Availability'!$L:$L,0),"")</f>
        <v>1856</v>
      </c>
      <c r="BD296" s="30" t="s">
        <v>166</v>
      </c>
      <c r="BE296" s="30" t="n">
        <f aca="false">IF(COUNTIFS('Reguler Class Availability'!$L:$L,$B$4&amp;"|- Lane 5 - *|"&amp;BD296)&gt;0,1,0)</f>
        <v>0</v>
      </c>
      <c r="BF296" s="30" t="n">
        <f aca="false">BE296+BF295</f>
        <v>0</v>
      </c>
    </row>
    <row r="297" customFormat="false" ht="15.75" hidden="false" customHeight="true" outlineLevel="0" collapsed="false">
      <c r="A297" s="76" t="n">
        <v>171</v>
      </c>
      <c r="B297" s="77" t="s">
        <v>118</v>
      </c>
      <c r="C297" s="76" t="s">
        <v>120</v>
      </c>
      <c r="D297" s="76" t="n">
        <v>2</v>
      </c>
      <c r="E297" s="77" t="str">
        <f aca="false">IF($Q297="","Tidak ada di data",IF(AND(IFERROR(--(INDEX('Reguler Class Availability'!$F:$F,$Q297)&amp;""),0)=0,IFERROR(--(INDEX('Reguler Class Availability'!$G:$G,$Q297)&amp;""),0)=0),"Tutup",IF(IFERROR(--(INDEX('Reguler Class Availability'!$G:$G,$Q297)&amp;""),0)&gt;IFERROR(--(INDEX('Reguler Class Availability'!$F:$F,$Q297)&amp;""),0),"Lebih",IF(IFERROR(--(INDEX('Reguler Class Availability'!$G:$G,$Q297)&amp;""),0)=IFERROR(--(INDEX('Reguler Class Availability'!$F:$F,$Q297)&amp;""),0),"Penuh",IF(IFERROR(--(INDEX('Reguler Class Availability'!$G:$G,$Q297)&amp;""),0)=0,IF(INDEX('Reguler Class Availability'!$B:$B,$Q297)&amp;""="","Kosong","Belum terisi"),IF(IFERROR(--(INDEX('Reguler Class Availability'!$G:$G,$Q297)&amp;""),0)/IFERROR(--(INDEX('Reguler Class Availability'!$F:$F,$Q297)&amp;""),0)&gt;=0.6,"Tinggi","Sebagian"))))))</f>
        <v>Belum terisi</v>
      </c>
      <c r="F297" s="77" t="str">
        <f aca="false">IF($Q297="","",PROPER(INDEX('Reguler Class Availability'!$B:$B,$Q297)&amp;""))</f>
        <v>Little</v>
      </c>
      <c r="G297" s="76" t="n">
        <f aca="false">IF($Q297="","",IFERROR(--(INDEX('Reguler Class Availability'!$F:$F,$Q297)&amp;""),0))</f>
        <v>5</v>
      </c>
      <c r="H297" s="77" t="str">
        <f aca="false">IF($Q297="","",PROPER(INDEX('Reguler Class Availability'!$I:$I,$Q297)&amp;"")&amp;IF(INDEX('Reguler Class Availability'!$J:$J,$Q297)&amp;""="",""," + asst "&amp;PROPER(INDEX('Reguler Class Availability'!$J:$J,$Q297)&amp;"")))</f>
        <v/>
      </c>
      <c r="I297" s="77" t="s">
        <v>428</v>
      </c>
      <c r="J297" s="77" t="s">
        <v>198</v>
      </c>
      <c r="K297" s="78"/>
      <c r="L297" s="78"/>
      <c r="M297" s="78"/>
      <c r="N297" s="79"/>
      <c r="O297" s="78"/>
      <c r="Q297" s="30" t="n">
        <f aca="false">IFERROR(MATCH($B$4&amp;"|- Lane "&amp;D297&amp;" - "&amp;B297&amp;"|"&amp;C297,'Reguler Class Availability'!$L:$L,0),"")</f>
        <v>1689</v>
      </c>
      <c r="BD297" s="30" t="s">
        <v>167</v>
      </c>
      <c r="BE297" s="30" t="n">
        <f aca="false">IF(COUNTIFS('Reguler Class Availability'!$L:$L,$B$4&amp;"|- Lane 5 - *|"&amp;BD297)&gt;0,1,0)</f>
        <v>0</v>
      </c>
      <c r="BF297" s="30" t="n">
        <f aca="false">BE297+BF296</f>
        <v>0</v>
      </c>
    </row>
    <row r="298" customFormat="false" ht="15.75" hidden="false" customHeight="true" outlineLevel="0" collapsed="false">
      <c r="A298" s="76" t="n">
        <v>172</v>
      </c>
      <c r="B298" s="77" t="s">
        <v>118</v>
      </c>
      <c r="C298" s="76" t="s">
        <v>121</v>
      </c>
      <c r="D298" s="76" t="n">
        <v>3</v>
      </c>
      <c r="E298" s="77" t="str">
        <f aca="false">IF($Q298="","Tidak ada di data",IF(AND(IFERROR(--(INDEX('Reguler Class Availability'!$F:$F,$Q298)&amp;""),0)=0,IFERROR(--(INDEX('Reguler Class Availability'!$G:$G,$Q298)&amp;""),0)=0),"Tutup",IF(IFERROR(--(INDEX('Reguler Class Availability'!$G:$G,$Q298)&amp;""),0)&gt;IFERROR(--(INDEX('Reguler Class Availability'!$F:$F,$Q298)&amp;""),0),"Lebih",IF(IFERROR(--(INDEX('Reguler Class Availability'!$G:$G,$Q298)&amp;""),0)=IFERROR(--(INDEX('Reguler Class Availability'!$F:$F,$Q298)&amp;""),0),"Penuh",IF(IFERROR(--(INDEX('Reguler Class Availability'!$G:$G,$Q298)&amp;""),0)=0,IF(INDEX('Reguler Class Availability'!$B:$B,$Q298)&amp;""="","Kosong","Belum terisi"),IF(IFERROR(--(INDEX('Reguler Class Availability'!$G:$G,$Q298)&amp;""),0)/IFERROR(--(INDEX('Reguler Class Availability'!$F:$F,$Q298)&amp;""),0)&gt;=0.6,"Tinggi","Sebagian"))))))</f>
        <v>Belum terisi</v>
      </c>
      <c r="F298" s="77" t="str">
        <f aca="false">IF($Q298="","",PROPER(INDEX('Reguler Class Availability'!$B:$B,$Q298)&amp;""))</f>
        <v>Kids</v>
      </c>
      <c r="G298" s="76" t="n">
        <f aca="false">IF($Q298="","",IFERROR(--(INDEX('Reguler Class Availability'!$F:$F,$Q298)&amp;""),0))</f>
        <v>4</v>
      </c>
      <c r="H298" s="77" t="str">
        <f aca="false">IF($Q298="","",PROPER(INDEX('Reguler Class Availability'!$I:$I,$Q298)&amp;"")&amp;IF(INDEX('Reguler Class Availability'!$J:$J,$Q298)&amp;""="",""," + asst "&amp;PROPER(INDEX('Reguler Class Availability'!$J:$J,$Q298)&amp;"")))</f>
        <v/>
      </c>
      <c r="I298" s="77" t="s">
        <v>428</v>
      </c>
      <c r="J298" s="77" t="s">
        <v>198</v>
      </c>
      <c r="K298" s="78"/>
      <c r="L298" s="78"/>
      <c r="M298" s="78"/>
      <c r="N298" s="79"/>
      <c r="O298" s="78"/>
      <c r="Q298" s="30" t="n">
        <f aca="false">IFERROR(MATCH($B$4&amp;"|- Lane "&amp;D298&amp;" - "&amp;B298&amp;"|"&amp;C298,'Reguler Class Availability'!$L:$L,0),"")</f>
        <v>1773</v>
      </c>
      <c r="BD298" s="30" t="s">
        <v>168</v>
      </c>
      <c r="BE298" s="30" t="n">
        <f aca="false">IF(COUNTIFS('Reguler Class Availability'!$L:$L,$B$4&amp;"|- Lane 5 - *|"&amp;BD298)&gt;0,1,0)</f>
        <v>0</v>
      </c>
      <c r="BF298" s="30" t="n">
        <f aca="false">BE298+BF297</f>
        <v>0</v>
      </c>
    </row>
    <row r="299" customFormat="false" ht="15.75" hidden="false" customHeight="true" outlineLevel="0" collapsed="false">
      <c r="A299" s="76" t="n">
        <v>173</v>
      </c>
      <c r="B299" s="77" t="s">
        <v>118</v>
      </c>
      <c r="C299" s="76" t="s">
        <v>121</v>
      </c>
      <c r="D299" s="76" t="n">
        <v>4</v>
      </c>
      <c r="E299" s="77" t="str">
        <f aca="false">IF($Q299="","Tidak ada di data",IF(AND(IFERROR(--(INDEX('Reguler Class Availability'!$F:$F,$Q299)&amp;""),0)=0,IFERROR(--(INDEX('Reguler Class Availability'!$G:$G,$Q299)&amp;""),0)=0),"Tutup",IF(IFERROR(--(INDEX('Reguler Class Availability'!$G:$G,$Q299)&amp;""),0)&gt;IFERROR(--(INDEX('Reguler Class Availability'!$F:$F,$Q299)&amp;""),0),"Lebih",IF(IFERROR(--(INDEX('Reguler Class Availability'!$G:$G,$Q299)&amp;""),0)=IFERROR(--(INDEX('Reguler Class Availability'!$F:$F,$Q299)&amp;""),0),"Penuh",IF(IFERROR(--(INDEX('Reguler Class Availability'!$G:$G,$Q299)&amp;""),0)=0,IF(INDEX('Reguler Class Availability'!$B:$B,$Q299)&amp;""="","Kosong","Belum terisi"),IF(IFERROR(--(INDEX('Reguler Class Availability'!$G:$G,$Q299)&amp;""),0)/IFERROR(--(INDEX('Reguler Class Availability'!$F:$F,$Q299)&amp;""),0)&gt;=0.6,"Tinggi","Sebagian"))))))</f>
        <v>Belum terisi</v>
      </c>
      <c r="F299" s="77" t="str">
        <f aca="false">IF($Q299="","",PROPER(INDEX('Reguler Class Availability'!$B:$B,$Q299)&amp;""))</f>
        <v>Kids</v>
      </c>
      <c r="G299" s="76" t="n">
        <f aca="false">IF($Q299="","",IFERROR(--(INDEX('Reguler Class Availability'!$F:$F,$Q299)&amp;""),0))</f>
        <v>4</v>
      </c>
      <c r="H299" s="77" t="str">
        <f aca="false">IF($Q299="","",PROPER(INDEX('Reguler Class Availability'!$I:$I,$Q299)&amp;"")&amp;IF(INDEX('Reguler Class Availability'!$J:$J,$Q299)&amp;""="",""," + asst "&amp;PROPER(INDEX('Reguler Class Availability'!$J:$J,$Q299)&amp;"")))</f>
        <v/>
      </c>
      <c r="I299" s="77" t="s">
        <v>428</v>
      </c>
      <c r="J299" s="77" t="s">
        <v>198</v>
      </c>
      <c r="K299" s="78"/>
      <c r="L299" s="78"/>
      <c r="M299" s="78"/>
      <c r="N299" s="79"/>
      <c r="O299" s="78"/>
      <c r="Q299" s="30" t="n">
        <f aca="false">IFERROR(MATCH($B$4&amp;"|- Lane "&amp;D299&amp;" - "&amp;B299&amp;"|"&amp;C299,'Reguler Class Availability'!$L:$L,0),"")</f>
        <v>1857</v>
      </c>
      <c r="BD299" s="30" t="s">
        <v>169</v>
      </c>
      <c r="BE299" s="30" t="n">
        <f aca="false">IF(COUNTIFS('Reguler Class Availability'!$L:$L,$B$4&amp;"|- Lane 5 - *|"&amp;BD299)&gt;0,1,0)</f>
        <v>0</v>
      </c>
      <c r="BF299" s="30" t="n">
        <f aca="false">BE299+BF298</f>
        <v>0</v>
      </c>
    </row>
    <row r="300" customFormat="false" ht="27.75" hidden="false" customHeight="true" outlineLevel="0" collapsed="false">
      <c r="A300" s="76" t="n">
        <v>174</v>
      </c>
      <c r="B300" s="77" t="s">
        <v>118</v>
      </c>
      <c r="C300" s="76" t="s">
        <v>123</v>
      </c>
      <c r="D300" s="76" t="n">
        <v>1</v>
      </c>
      <c r="E300" s="77" t="str">
        <f aca="false">IF($Q300="","Tidak ada di data",IF(AND(IFERROR(--(INDEX('Reguler Class Availability'!$F:$F,$Q300)&amp;""),0)=0,IFERROR(--(INDEX('Reguler Class Availability'!$G:$G,$Q300)&amp;""),0)=0),"Tutup",IF(IFERROR(--(INDEX('Reguler Class Availability'!$G:$G,$Q300)&amp;""),0)&gt;IFERROR(--(INDEX('Reguler Class Availability'!$F:$F,$Q300)&amp;""),0),"Lebih",IF(IFERROR(--(INDEX('Reguler Class Availability'!$G:$G,$Q300)&amp;""),0)=IFERROR(--(INDEX('Reguler Class Availability'!$F:$F,$Q300)&amp;""),0),"Penuh",IF(IFERROR(--(INDEX('Reguler Class Availability'!$G:$G,$Q300)&amp;""),0)=0,IF(INDEX('Reguler Class Availability'!$B:$B,$Q300)&amp;""="","Kosong","Belum terisi"),IF(IFERROR(--(INDEX('Reguler Class Availability'!$G:$G,$Q300)&amp;""),0)/IFERROR(--(INDEX('Reguler Class Availability'!$F:$F,$Q300)&amp;""),0)&gt;=0.6,"Tinggi","Sebagian"))))))</f>
        <v>Belum terisi</v>
      </c>
      <c r="F300" s="77" t="str">
        <f aca="false">IF($Q300="","",PROPER(INDEX('Reguler Class Availability'!$B:$B,$Q300)&amp;""))</f>
        <v>Tiny</v>
      </c>
      <c r="G300" s="76" t="n">
        <f aca="false">IF($Q300="","",IFERROR(--(INDEX('Reguler Class Availability'!$F:$F,$Q300)&amp;""),0))</f>
        <v>5</v>
      </c>
      <c r="H300" s="77" t="str">
        <f aca="false">IF($Q300="","",PROPER(INDEX('Reguler Class Availability'!$I:$I,$Q300)&amp;"")&amp;IF(INDEX('Reguler Class Availability'!$J:$J,$Q300)&amp;""="",""," + asst "&amp;PROPER(INDEX('Reguler Class Availability'!$J:$J,$Q300)&amp;"")))</f>
        <v/>
      </c>
      <c r="I300" s="77" t="s">
        <v>427</v>
      </c>
      <c r="J300" s="77" t="s">
        <v>188</v>
      </c>
      <c r="K300" s="78"/>
      <c r="L300" s="78"/>
      <c r="M300" s="78"/>
      <c r="N300" s="79"/>
      <c r="O300" s="78"/>
      <c r="Q300" s="30" t="n">
        <f aca="false">IFERROR(MATCH($B$4&amp;"|- Lane "&amp;D300&amp;" - "&amp;B300&amp;"|"&amp;C300,'Reguler Class Availability'!$L:$L,0),"")</f>
        <v>1606</v>
      </c>
      <c r="BD300" s="30" t="s">
        <v>170</v>
      </c>
      <c r="BE300" s="30" t="n">
        <f aca="false">IF(COUNTIFS('Reguler Class Availability'!$L:$L,$B$4&amp;"|- Lane 5 - *|"&amp;BD300)&gt;0,1,0)</f>
        <v>0</v>
      </c>
      <c r="BF300" s="30" t="n">
        <f aca="false">BE300+BF299</f>
        <v>0</v>
      </c>
    </row>
    <row r="301" customFormat="false" ht="27.75" hidden="false" customHeight="true" outlineLevel="0" collapsed="false">
      <c r="A301" s="76" t="n">
        <v>175</v>
      </c>
      <c r="B301" s="77" t="s">
        <v>118</v>
      </c>
      <c r="C301" s="76" t="s">
        <v>123</v>
      </c>
      <c r="D301" s="76" t="n">
        <v>2</v>
      </c>
      <c r="E301" s="77" t="str">
        <f aca="false">IF($Q301="","Tidak ada di data",IF(AND(IFERROR(--(INDEX('Reguler Class Availability'!$F:$F,$Q301)&amp;""),0)=0,IFERROR(--(INDEX('Reguler Class Availability'!$G:$G,$Q301)&amp;""),0)=0),"Tutup",IF(IFERROR(--(INDEX('Reguler Class Availability'!$G:$G,$Q301)&amp;""),0)&gt;IFERROR(--(INDEX('Reguler Class Availability'!$F:$F,$Q301)&amp;""),0),"Lebih",IF(IFERROR(--(INDEX('Reguler Class Availability'!$G:$G,$Q301)&amp;""),0)=IFERROR(--(INDEX('Reguler Class Availability'!$F:$F,$Q301)&amp;""),0),"Penuh",IF(IFERROR(--(INDEX('Reguler Class Availability'!$G:$G,$Q301)&amp;""),0)=0,IF(INDEX('Reguler Class Availability'!$B:$B,$Q301)&amp;""="","Kosong","Belum terisi"),IF(IFERROR(--(INDEX('Reguler Class Availability'!$G:$G,$Q301)&amp;""),0)/IFERROR(--(INDEX('Reguler Class Availability'!$F:$F,$Q301)&amp;""),0)&gt;=0.6,"Tinggi","Sebagian"))))))</f>
        <v>Belum terisi</v>
      </c>
      <c r="F301" s="77" t="str">
        <f aca="false">IF($Q301="","",PROPER(INDEX('Reguler Class Availability'!$B:$B,$Q301)&amp;""))</f>
        <v>Little</v>
      </c>
      <c r="G301" s="76" t="n">
        <f aca="false">IF($Q301="","",IFERROR(--(INDEX('Reguler Class Availability'!$F:$F,$Q301)&amp;""),0))</f>
        <v>5</v>
      </c>
      <c r="H301" s="77" t="str">
        <f aca="false">IF($Q301="","",PROPER(INDEX('Reguler Class Availability'!$I:$I,$Q301)&amp;"")&amp;IF(INDEX('Reguler Class Availability'!$J:$J,$Q301)&amp;""="",""," + asst "&amp;PROPER(INDEX('Reguler Class Availability'!$J:$J,$Q301)&amp;"")))</f>
        <v/>
      </c>
      <c r="I301" s="77" t="s">
        <v>427</v>
      </c>
      <c r="J301" s="77" t="s">
        <v>188</v>
      </c>
      <c r="K301" s="78"/>
      <c r="L301" s="78"/>
      <c r="M301" s="78"/>
      <c r="N301" s="79"/>
      <c r="O301" s="78"/>
      <c r="Q301" s="30" t="n">
        <f aca="false">IFERROR(MATCH($B$4&amp;"|- Lane "&amp;D301&amp;" - "&amp;B301&amp;"|"&amp;C301,'Reguler Class Availability'!$L:$L,0),"")</f>
        <v>1690</v>
      </c>
      <c r="BD301" s="30" t="s">
        <v>171</v>
      </c>
      <c r="BE301" s="30" t="n">
        <f aca="false">IF(COUNTIFS('Reguler Class Availability'!$L:$L,$B$4&amp;"|- Lane 5 - *|"&amp;BD301)&gt;0,1,0)</f>
        <v>0</v>
      </c>
      <c r="BF301" s="30" t="n">
        <f aca="false">BE301+BF300</f>
        <v>0</v>
      </c>
    </row>
    <row r="302" customFormat="false" ht="15.75" hidden="false" customHeight="true" outlineLevel="0" collapsed="false">
      <c r="A302" s="76" t="n">
        <v>176</v>
      </c>
      <c r="B302" s="77" t="s">
        <v>118</v>
      </c>
      <c r="C302" s="76" t="s">
        <v>124</v>
      </c>
      <c r="D302" s="76" t="n">
        <v>3</v>
      </c>
      <c r="E302" s="77" t="str">
        <f aca="false">IF($Q302="","Tidak ada di data",IF(AND(IFERROR(--(INDEX('Reguler Class Availability'!$F:$F,$Q302)&amp;""),0)=0,IFERROR(--(INDEX('Reguler Class Availability'!$G:$G,$Q302)&amp;""),0)=0),"Tutup",IF(IFERROR(--(INDEX('Reguler Class Availability'!$G:$G,$Q302)&amp;""),0)&gt;IFERROR(--(INDEX('Reguler Class Availability'!$F:$F,$Q302)&amp;""),0),"Lebih",IF(IFERROR(--(INDEX('Reguler Class Availability'!$G:$G,$Q302)&amp;""),0)=IFERROR(--(INDEX('Reguler Class Availability'!$F:$F,$Q302)&amp;""),0),"Penuh",IF(IFERROR(--(INDEX('Reguler Class Availability'!$G:$G,$Q302)&amp;""),0)=0,IF(INDEX('Reguler Class Availability'!$B:$B,$Q302)&amp;""="","Kosong","Belum terisi"),IF(IFERROR(--(INDEX('Reguler Class Availability'!$G:$G,$Q302)&amp;""),0)/IFERROR(--(INDEX('Reguler Class Availability'!$F:$F,$Q302)&amp;""),0)&gt;=0.6,"Tinggi","Sebagian"))))))</f>
        <v>Belum terisi</v>
      </c>
      <c r="F302" s="77" t="str">
        <f aca="false">IF($Q302="","",PROPER(INDEX('Reguler Class Availability'!$B:$B,$Q302)&amp;""))</f>
        <v>Kids</v>
      </c>
      <c r="G302" s="76" t="n">
        <f aca="false">IF($Q302="","",IFERROR(--(INDEX('Reguler Class Availability'!$F:$F,$Q302)&amp;""),0))</f>
        <v>4</v>
      </c>
      <c r="H302" s="77" t="str">
        <f aca="false">IF($Q302="","",PROPER(INDEX('Reguler Class Availability'!$I:$I,$Q302)&amp;"")&amp;IF(INDEX('Reguler Class Availability'!$J:$J,$Q302)&amp;""="",""," + asst "&amp;PROPER(INDEX('Reguler Class Availability'!$J:$J,$Q302)&amp;"")))</f>
        <v/>
      </c>
      <c r="I302" s="77" t="s">
        <v>428</v>
      </c>
      <c r="J302" s="77" t="s">
        <v>198</v>
      </c>
      <c r="K302" s="78"/>
      <c r="L302" s="78"/>
      <c r="M302" s="78"/>
      <c r="N302" s="79"/>
      <c r="O302" s="78"/>
      <c r="Q302" s="30" t="n">
        <f aca="false">IFERROR(MATCH($B$4&amp;"|- Lane "&amp;D302&amp;" - "&amp;B302&amp;"|"&amp;C302,'Reguler Class Availability'!$L:$L,0),"")</f>
        <v>1774</v>
      </c>
      <c r="BD302" s="30" t="s">
        <v>78</v>
      </c>
      <c r="BE302" s="30" t="n">
        <f aca="false">IF(COUNTIFS('Reguler Class Availability'!$L:$L,$B$4&amp;"|- Lane 6 - *|"&amp;BD302)&gt;0,1,0)</f>
        <v>0</v>
      </c>
      <c r="BF302" s="30" t="n">
        <f aca="false">BE302</f>
        <v>0</v>
      </c>
    </row>
    <row r="303" customFormat="false" ht="15.75" hidden="false" customHeight="true" outlineLevel="0" collapsed="false">
      <c r="A303" s="76" t="n">
        <v>177</v>
      </c>
      <c r="B303" s="77" t="s">
        <v>118</v>
      </c>
      <c r="C303" s="76" t="s">
        <v>124</v>
      </c>
      <c r="D303" s="76" t="n">
        <v>4</v>
      </c>
      <c r="E303" s="77" t="str">
        <f aca="false">IF($Q303="","Tidak ada di data",IF(AND(IFERROR(--(INDEX('Reguler Class Availability'!$F:$F,$Q303)&amp;""),0)=0,IFERROR(--(INDEX('Reguler Class Availability'!$G:$G,$Q303)&amp;""),0)=0),"Tutup",IF(IFERROR(--(INDEX('Reguler Class Availability'!$G:$G,$Q303)&amp;""),0)&gt;IFERROR(--(INDEX('Reguler Class Availability'!$F:$F,$Q303)&amp;""),0),"Lebih",IF(IFERROR(--(INDEX('Reguler Class Availability'!$G:$G,$Q303)&amp;""),0)=IFERROR(--(INDEX('Reguler Class Availability'!$F:$F,$Q303)&amp;""),0),"Penuh",IF(IFERROR(--(INDEX('Reguler Class Availability'!$G:$G,$Q303)&amp;""),0)=0,IF(INDEX('Reguler Class Availability'!$B:$B,$Q303)&amp;""="","Kosong","Belum terisi"),IF(IFERROR(--(INDEX('Reguler Class Availability'!$G:$G,$Q303)&amp;""),0)/IFERROR(--(INDEX('Reguler Class Availability'!$F:$F,$Q303)&amp;""),0)&gt;=0.6,"Tinggi","Sebagian"))))))</f>
        <v>Belum terisi</v>
      </c>
      <c r="F303" s="77" t="str">
        <f aca="false">IF($Q303="","",PROPER(INDEX('Reguler Class Availability'!$B:$B,$Q303)&amp;""))</f>
        <v>Kids</v>
      </c>
      <c r="G303" s="76" t="n">
        <f aca="false">IF($Q303="","",IFERROR(--(INDEX('Reguler Class Availability'!$F:$F,$Q303)&amp;""),0))</f>
        <v>4</v>
      </c>
      <c r="H303" s="77" t="str">
        <f aca="false">IF($Q303="","",PROPER(INDEX('Reguler Class Availability'!$I:$I,$Q303)&amp;"")&amp;IF(INDEX('Reguler Class Availability'!$J:$J,$Q303)&amp;""="",""," + asst "&amp;PROPER(INDEX('Reguler Class Availability'!$J:$J,$Q303)&amp;"")))</f>
        <v/>
      </c>
      <c r="I303" s="77" t="s">
        <v>428</v>
      </c>
      <c r="J303" s="77" t="s">
        <v>198</v>
      </c>
      <c r="K303" s="78"/>
      <c r="L303" s="78"/>
      <c r="M303" s="78"/>
      <c r="N303" s="79"/>
      <c r="O303" s="78"/>
      <c r="Q303" s="30" t="n">
        <f aca="false">IFERROR(MATCH($B$4&amp;"|- Lane "&amp;D303&amp;" - "&amp;B303&amp;"|"&amp;C303,'Reguler Class Availability'!$L:$L,0),"")</f>
        <v>1858</v>
      </c>
      <c r="BD303" s="30" t="s">
        <v>79</v>
      </c>
      <c r="BE303" s="30" t="n">
        <f aca="false">IF(COUNTIFS('Reguler Class Availability'!$L:$L,$B$4&amp;"|- Lane 6 - *|"&amp;BD303)&gt;0,1,0)</f>
        <v>0</v>
      </c>
      <c r="BF303" s="30" t="n">
        <f aca="false">BE303+BF302</f>
        <v>0</v>
      </c>
    </row>
    <row r="304" customFormat="false" ht="15.75" hidden="false" customHeight="true" outlineLevel="0" collapsed="false">
      <c r="A304" s="76" t="n">
        <v>178</v>
      </c>
      <c r="B304" s="77" t="s">
        <v>118</v>
      </c>
      <c r="C304" s="76" t="s">
        <v>126</v>
      </c>
      <c r="D304" s="76" t="n">
        <v>2</v>
      </c>
      <c r="E304" s="77" t="str">
        <f aca="false">IF($Q304="","Tidak ada di data",IF(AND(IFERROR(--(INDEX('Reguler Class Availability'!$F:$F,$Q304)&amp;""),0)=0,IFERROR(--(INDEX('Reguler Class Availability'!$G:$G,$Q304)&amp;""),0)=0),"Tutup",IF(IFERROR(--(INDEX('Reguler Class Availability'!$G:$G,$Q304)&amp;""),0)&gt;IFERROR(--(INDEX('Reguler Class Availability'!$F:$F,$Q304)&amp;""),0),"Lebih",IF(IFERROR(--(INDEX('Reguler Class Availability'!$G:$G,$Q304)&amp;""),0)=IFERROR(--(INDEX('Reguler Class Availability'!$F:$F,$Q304)&amp;""),0),"Penuh",IF(IFERROR(--(INDEX('Reguler Class Availability'!$G:$G,$Q304)&amp;""),0)=0,IF(INDEX('Reguler Class Availability'!$B:$B,$Q304)&amp;""="","Kosong","Belum terisi"),IF(IFERROR(--(INDEX('Reguler Class Availability'!$G:$G,$Q304)&amp;""),0)/IFERROR(--(INDEX('Reguler Class Availability'!$F:$F,$Q304)&amp;""),0)&gt;=0.6,"Tinggi","Sebagian"))))))</f>
        <v>Belum terisi</v>
      </c>
      <c r="F304" s="77" t="str">
        <f aca="false">IF($Q304="","",PROPER(INDEX('Reguler Class Availability'!$B:$B,$Q304)&amp;""))</f>
        <v>Little</v>
      </c>
      <c r="G304" s="76" t="n">
        <f aca="false">IF($Q304="","",IFERROR(--(INDEX('Reguler Class Availability'!$F:$F,$Q304)&amp;""),0))</f>
        <v>5</v>
      </c>
      <c r="H304" s="77" t="str">
        <f aca="false">IF($Q304="","",PROPER(INDEX('Reguler Class Availability'!$I:$I,$Q304)&amp;"")&amp;IF(INDEX('Reguler Class Availability'!$J:$J,$Q304)&amp;""="",""," + asst "&amp;PROPER(INDEX('Reguler Class Availability'!$J:$J,$Q304)&amp;"")))</f>
        <v/>
      </c>
      <c r="I304" s="77" t="s">
        <v>428</v>
      </c>
      <c r="J304" s="77" t="s">
        <v>198</v>
      </c>
      <c r="K304" s="78"/>
      <c r="L304" s="78"/>
      <c r="M304" s="78"/>
      <c r="N304" s="79"/>
      <c r="O304" s="78"/>
      <c r="Q304" s="30" t="n">
        <f aca="false">IFERROR(MATCH($B$4&amp;"|- Lane "&amp;D304&amp;" - "&amp;B304&amp;"|"&amp;C304,'Reguler Class Availability'!$L:$L,0),"")</f>
        <v>1691</v>
      </c>
      <c r="BD304" s="30" t="s">
        <v>84</v>
      </c>
      <c r="BE304" s="30" t="n">
        <f aca="false">IF(COUNTIFS('Reguler Class Availability'!$L:$L,$B$4&amp;"|- Lane 6 - *|"&amp;BD304)&gt;0,1,0)</f>
        <v>0</v>
      </c>
      <c r="BF304" s="30" t="n">
        <f aca="false">BE304+BF303</f>
        <v>0</v>
      </c>
    </row>
    <row r="305" customFormat="false" ht="15.75" hidden="false" customHeight="true" outlineLevel="0" collapsed="false">
      <c r="A305" s="76" t="n">
        <v>179</v>
      </c>
      <c r="B305" s="77" t="s">
        <v>118</v>
      </c>
      <c r="C305" s="76" t="s">
        <v>127</v>
      </c>
      <c r="D305" s="76" t="n">
        <v>3</v>
      </c>
      <c r="E305" s="77" t="str">
        <f aca="false">IF($Q305="","Tidak ada di data",IF(AND(IFERROR(--(INDEX('Reguler Class Availability'!$F:$F,$Q305)&amp;""),0)=0,IFERROR(--(INDEX('Reguler Class Availability'!$G:$G,$Q305)&amp;""),0)=0),"Tutup",IF(IFERROR(--(INDEX('Reguler Class Availability'!$G:$G,$Q305)&amp;""),0)&gt;IFERROR(--(INDEX('Reguler Class Availability'!$F:$F,$Q305)&amp;""),0),"Lebih",IF(IFERROR(--(INDEX('Reguler Class Availability'!$G:$G,$Q305)&amp;""),0)=IFERROR(--(INDEX('Reguler Class Availability'!$F:$F,$Q305)&amp;""),0),"Penuh",IF(IFERROR(--(INDEX('Reguler Class Availability'!$G:$G,$Q305)&amp;""),0)=0,IF(INDEX('Reguler Class Availability'!$B:$B,$Q305)&amp;""="","Kosong","Belum terisi"),IF(IFERROR(--(INDEX('Reguler Class Availability'!$G:$G,$Q305)&amp;""),0)/IFERROR(--(INDEX('Reguler Class Availability'!$F:$F,$Q305)&amp;""),0)&gt;=0.6,"Tinggi","Sebagian"))))))</f>
        <v>Belum terisi</v>
      </c>
      <c r="F305" s="77" t="str">
        <f aca="false">IF($Q305="","",PROPER(INDEX('Reguler Class Availability'!$B:$B,$Q305)&amp;""))</f>
        <v>Kids</v>
      </c>
      <c r="G305" s="76" t="n">
        <f aca="false">IF($Q305="","",IFERROR(--(INDEX('Reguler Class Availability'!$F:$F,$Q305)&amp;""),0))</f>
        <v>4</v>
      </c>
      <c r="H305" s="77" t="str">
        <f aca="false">IF($Q305="","",PROPER(INDEX('Reguler Class Availability'!$I:$I,$Q305)&amp;"")&amp;IF(INDEX('Reguler Class Availability'!$J:$J,$Q305)&amp;""="",""," + asst "&amp;PROPER(INDEX('Reguler Class Availability'!$J:$J,$Q305)&amp;"")))</f>
        <v/>
      </c>
      <c r="I305" s="77" t="s">
        <v>428</v>
      </c>
      <c r="J305" s="77" t="s">
        <v>198</v>
      </c>
      <c r="K305" s="78"/>
      <c r="L305" s="78"/>
      <c r="M305" s="78"/>
      <c r="N305" s="79"/>
      <c r="O305" s="78"/>
      <c r="Q305" s="30" t="n">
        <f aca="false">IFERROR(MATCH($B$4&amp;"|- Lane "&amp;D305&amp;" - "&amp;B305&amp;"|"&amp;C305,'Reguler Class Availability'!$L:$L,0),"")</f>
        <v>1775</v>
      </c>
      <c r="BD305" s="30" t="s">
        <v>85</v>
      </c>
      <c r="BE305" s="30" t="n">
        <f aca="false">IF(COUNTIFS('Reguler Class Availability'!$L:$L,$B$4&amp;"|- Lane 6 - *|"&amp;BD305)&gt;0,1,0)</f>
        <v>0</v>
      </c>
      <c r="BF305" s="30" t="n">
        <f aca="false">BE305+BF304</f>
        <v>0</v>
      </c>
    </row>
    <row r="306" customFormat="false" ht="15.75" hidden="false" customHeight="true" outlineLevel="0" collapsed="false">
      <c r="A306" s="76" t="n">
        <v>180</v>
      </c>
      <c r="B306" s="77" t="s">
        <v>118</v>
      </c>
      <c r="C306" s="76" t="s">
        <v>127</v>
      </c>
      <c r="D306" s="76" t="n">
        <v>4</v>
      </c>
      <c r="E306" s="77" t="str">
        <f aca="false">IF($Q306="","Tidak ada di data",IF(AND(IFERROR(--(INDEX('Reguler Class Availability'!$F:$F,$Q306)&amp;""),0)=0,IFERROR(--(INDEX('Reguler Class Availability'!$G:$G,$Q306)&amp;""),0)=0),"Tutup",IF(IFERROR(--(INDEX('Reguler Class Availability'!$G:$G,$Q306)&amp;""),0)&gt;IFERROR(--(INDEX('Reguler Class Availability'!$F:$F,$Q306)&amp;""),0),"Lebih",IF(IFERROR(--(INDEX('Reguler Class Availability'!$G:$G,$Q306)&amp;""),0)=IFERROR(--(INDEX('Reguler Class Availability'!$F:$F,$Q306)&amp;""),0),"Penuh",IF(IFERROR(--(INDEX('Reguler Class Availability'!$G:$G,$Q306)&amp;""),0)=0,IF(INDEX('Reguler Class Availability'!$B:$B,$Q306)&amp;""="","Kosong","Belum terisi"),IF(IFERROR(--(INDEX('Reguler Class Availability'!$G:$G,$Q306)&amp;""),0)/IFERROR(--(INDEX('Reguler Class Availability'!$F:$F,$Q306)&amp;""),0)&gt;=0.6,"Tinggi","Sebagian"))))))</f>
        <v>Belum terisi</v>
      </c>
      <c r="F306" s="77" t="str">
        <f aca="false">IF($Q306="","",PROPER(INDEX('Reguler Class Availability'!$B:$B,$Q306)&amp;""))</f>
        <v>Kids</v>
      </c>
      <c r="G306" s="76" t="n">
        <f aca="false">IF($Q306="","",IFERROR(--(INDEX('Reguler Class Availability'!$F:$F,$Q306)&amp;""),0))</f>
        <v>4</v>
      </c>
      <c r="H306" s="77" t="str">
        <f aca="false">IF($Q306="","",PROPER(INDEX('Reguler Class Availability'!$I:$I,$Q306)&amp;"")&amp;IF(INDEX('Reguler Class Availability'!$J:$J,$Q306)&amp;""="",""," + asst "&amp;PROPER(INDEX('Reguler Class Availability'!$J:$J,$Q306)&amp;"")))</f>
        <v/>
      </c>
      <c r="I306" s="77" t="s">
        <v>428</v>
      </c>
      <c r="J306" s="77" t="s">
        <v>198</v>
      </c>
      <c r="K306" s="78"/>
      <c r="L306" s="78"/>
      <c r="M306" s="78"/>
      <c r="N306" s="79"/>
      <c r="O306" s="78"/>
      <c r="Q306" s="30" t="n">
        <f aca="false">IFERROR(MATCH($B$4&amp;"|- Lane "&amp;D306&amp;" - "&amp;B306&amp;"|"&amp;C306,'Reguler Class Availability'!$L:$L,0),"")</f>
        <v>1859</v>
      </c>
      <c r="BD306" s="30" t="s">
        <v>89</v>
      </c>
      <c r="BE306" s="30" t="n">
        <f aca="false">IF(COUNTIFS('Reguler Class Availability'!$L:$L,$B$4&amp;"|- Lane 6 - *|"&amp;BD306)&gt;0,1,0)</f>
        <v>0</v>
      </c>
      <c r="BF306" s="30" t="n">
        <f aca="false">BE306+BF305</f>
        <v>0</v>
      </c>
    </row>
    <row r="307" customFormat="false" ht="27.75" hidden="false" customHeight="true" outlineLevel="0" collapsed="false">
      <c r="A307" s="76" t="n">
        <v>181</v>
      </c>
      <c r="B307" s="77" t="s">
        <v>118</v>
      </c>
      <c r="C307" s="76" t="s">
        <v>129</v>
      </c>
      <c r="D307" s="76" t="n">
        <v>1</v>
      </c>
      <c r="E307" s="77" t="str">
        <f aca="false">IF($Q307="","Tidak ada di data",IF(AND(IFERROR(--(INDEX('Reguler Class Availability'!$F:$F,$Q307)&amp;""),0)=0,IFERROR(--(INDEX('Reguler Class Availability'!$G:$G,$Q307)&amp;""),0)=0),"Tutup",IF(IFERROR(--(INDEX('Reguler Class Availability'!$G:$G,$Q307)&amp;""),0)&gt;IFERROR(--(INDEX('Reguler Class Availability'!$F:$F,$Q307)&amp;""),0),"Lebih",IF(IFERROR(--(INDEX('Reguler Class Availability'!$G:$G,$Q307)&amp;""),0)=IFERROR(--(INDEX('Reguler Class Availability'!$F:$F,$Q307)&amp;""),0),"Penuh",IF(IFERROR(--(INDEX('Reguler Class Availability'!$G:$G,$Q307)&amp;""),0)=0,IF(INDEX('Reguler Class Availability'!$B:$B,$Q307)&amp;""="","Kosong","Belum terisi"),IF(IFERROR(--(INDEX('Reguler Class Availability'!$G:$G,$Q307)&amp;""),0)/IFERROR(--(INDEX('Reguler Class Availability'!$F:$F,$Q307)&amp;""),0)&gt;=0.6,"Tinggi","Sebagian"))))))</f>
        <v>Belum terisi</v>
      </c>
      <c r="F307" s="77" t="str">
        <f aca="false">IF($Q307="","",PROPER(INDEX('Reguler Class Availability'!$B:$B,$Q307)&amp;""))</f>
        <v>Tiny</v>
      </c>
      <c r="G307" s="76" t="n">
        <f aca="false">IF($Q307="","",IFERROR(--(INDEX('Reguler Class Availability'!$F:$F,$Q307)&amp;""),0))</f>
        <v>5</v>
      </c>
      <c r="H307" s="77" t="str">
        <f aca="false">IF($Q307="","",PROPER(INDEX('Reguler Class Availability'!$I:$I,$Q307)&amp;"")&amp;IF(INDEX('Reguler Class Availability'!$J:$J,$Q307)&amp;""="",""," + asst "&amp;PROPER(INDEX('Reguler Class Availability'!$J:$J,$Q307)&amp;"")))</f>
        <v/>
      </c>
      <c r="I307" s="77" t="s">
        <v>427</v>
      </c>
      <c r="J307" s="77" t="s">
        <v>188</v>
      </c>
      <c r="K307" s="78"/>
      <c r="L307" s="78"/>
      <c r="M307" s="78"/>
      <c r="N307" s="79"/>
      <c r="O307" s="78"/>
      <c r="Q307" s="30" t="n">
        <f aca="false">IFERROR(MATCH($B$4&amp;"|- Lane "&amp;D307&amp;" - "&amp;B307&amp;"|"&amp;C307,'Reguler Class Availability'!$L:$L,0),"")</f>
        <v>1608</v>
      </c>
      <c r="BD307" s="30" t="s">
        <v>90</v>
      </c>
      <c r="BE307" s="30" t="n">
        <f aca="false">IF(COUNTIFS('Reguler Class Availability'!$L:$L,$B$4&amp;"|- Lane 6 - *|"&amp;BD307)&gt;0,1,0)</f>
        <v>0</v>
      </c>
      <c r="BF307" s="30" t="n">
        <f aca="false">BE307+BF306</f>
        <v>0</v>
      </c>
    </row>
    <row r="308" customFormat="false" ht="27.75" hidden="false" customHeight="true" outlineLevel="0" collapsed="false">
      <c r="A308" s="76" t="n">
        <v>182</v>
      </c>
      <c r="B308" s="77" t="s">
        <v>118</v>
      </c>
      <c r="C308" s="76" t="s">
        <v>129</v>
      </c>
      <c r="D308" s="76" t="n">
        <v>2</v>
      </c>
      <c r="E308" s="77" t="str">
        <f aca="false">IF($Q308="","Tidak ada di data",IF(AND(IFERROR(--(INDEX('Reguler Class Availability'!$F:$F,$Q308)&amp;""),0)=0,IFERROR(--(INDEX('Reguler Class Availability'!$G:$G,$Q308)&amp;""),0)=0),"Tutup",IF(IFERROR(--(INDEX('Reguler Class Availability'!$G:$G,$Q308)&amp;""),0)&gt;IFERROR(--(INDEX('Reguler Class Availability'!$F:$F,$Q308)&amp;""),0),"Lebih",IF(IFERROR(--(INDEX('Reguler Class Availability'!$G:$G,$Q308)&amp;""),0)=IFERROR(--(INDEX('Reguler Class Availability'!$F:$F,$Q308)&amp;""),0),"Penuh",IF(IFERROR(--(INDEX('Reguler Class Availability'!$G:$G,$Q308)&amp;""),0)=0,IF(INDEX('Reguler Class Availability'!$B:$B,$Q308)&amp;""="","Kosong","Belum terisi"),IF(IFERROR(--(INDEX('Reguler Class Availability'!$G:$G,$Q308)&amp;""),0)/IFERROR(--(INDEX('Reguler Class Availability'!$F:$F,$Q308)&amp;""),0)&gt;=0.6,"Tinggi","Sebagian"))))))</f>
        <v>Belum terisi</v>
      </c>
      <c r="F308" s="77" t="str">
        <f aca="false">IF($Q308="","",PROPER(INDEX('Reguler Class Availability'!$B:$B,$Q308)&amp;""))</f>
        <v>Little</v>
      </c>
      <c r="G308" s="76" t="n">
        <f aca="false">IF($Q308="","",IFERROR(--(INDEX('Reguler Class Availability'!$F:$F,$Q308)&amp;""),0))</f>
        <v>5</v>
      </c>
      <c r="H308" s="77" t="str">
        <f aca="false">IF($Q308="","",PROPER(INDEX('Reguler Class Availability'!$I:$I,$Q308)&amp;"")&amp;IF(INDEX('Reguler Class Availability'!$J:$J,$Q308)&amp;""="",""," + asst "&amp;PROPER(INDEX('Reguler Class Availability'!$J:$J,$Q308)&amp;"")))</f>
        <v/>
      </c>
      <c r="I308" s="77" t="s">
        <v>427</v>
      </c>
      <c r="J308" s="77" t="s">
        <v>188</v>
      </c>
      <c r="K308" s="78"/>
      <c r="L308" s="78"/>
      <c r="M308" s="78"/>
      <c r="N308" s="79"/>
      <c r="O308" s="78"/>
      <c r="Q308" s="30" t="n">
        <f aca="false">IFERROR(MATCH($B$4&amp;"|- Lane "&amp;D308&amp;" - "&amp;B308&amp;"|"&amp;C308,'Reguler Class Availability'!$L:$L,0),"")</f>
        <v>1692</v>
      </c>
      <c r="BD308" s="30" t="s">
        <v>91</v>
      </c>
      <c r="BE308" s="30" t="n">
        <f aca="false">IF(COUNTIFS('Reguler Class Availability'!$L:$L,$B$4&amp;"|- Lane 6 - *|"&amp;BD308)&gt;0,1,0)</f>
        <v>0</v>
      </c>
      <c r="BF308" s="30" t="n">
        <f aca="false">BE308+BF307</f>
        <v>0</v>
      </c>
    </row>
    <row r="309" customFormat="false" ht="27.75" hidden="false" customHeight="true" outlineLevel="0" collapsed="false">
      <c r="A309" s="76" t="n">
        <v>183</v>
      </c>
      <c r="B309" s="77" t="s">
        <v>118</v>
      </c>
      <c r="C309" s="76" t="s">
        <v>130</v>
      </c>
      <c r="D309" s="76" t="n">
        <v>3</v>
      </c>
      <c r="E309" s="77" t="str">
        <f aca="false">IF($Q309="","Tidak ada di data",IF(AND(IFERROR(--(INDEX('Reguler Class Availability'!$F:$F,$Q309)&amp;""),0)=0,IFERROR(--(INDEX('Reguler Class Availability'!$G:$G,$Q309)&amp;""),0)=0),"Tutup",IF(IFERROR(--(INDEX('Reguler Class Availability'!$G:$G,$Q309)&amp;""),0)&gt;IFERROR(--(INDEX('Reguler Class Availability'!$F:$F,$Q309)&amp;""),0),"Lebih",IF(IFERROR(--(INDEX('Reguler Class Availability'!$G:$G,$Q309)&amp;""),0)=IFERROR(--(INDEX('Reguler Class Availability'!$F:$F,$Q309)&amp;""),0),"Penuh",IF(IFERROR(--(INDEX('Reguler Class Availability'!$G:$G,$Q309)&amp;""),0)=0,IF(INDEX('Reguler Class Availability'!$B:$B,$Q309)&amp;""="","Kosong","Belum terisi"),IF(IFERROR(--(INDEX('Reguler Class Availability'!$G:$G,$Q309)&amp;""),0)/IFERROR(--(INDEX('Reguler Class Availability'!$F:$F,$Q309)&amp;""),0)&gt;=0.6,"Tinggi","Sebagian"))))))</f>
        <v>Belum terisi</v>
      </c>
      <c r="F309" s="77" t="str">
        <f aca="false">IF($Q309="","",PROPER(INDEX('Reguler Class Availability'!$B:$B,$Q309)&amp;""))</f>
        <v>Kids</v>
      </c>
      <c r="G309" s="76" t="n">
        <f aca="false">IF($Q309="","",IFERROR(--(INDEX('Reguler Class Availability'!$F:$F,$Q309)&amp;""),0))</f>
        <v>4</v>
      </c>
      <c r="H309" s="77" t="str">
        <f aca="false">IF($Q309="","",PROPER(INDEX('Reguler Class Availability'!$I:$I,$Q309)&amp;"")&amp;IF(INDEX('Reguler Class Availability'!$J:$J,$Q309)&amp;""="",""," + asst "&amp;PROPER(INDEX('Reguler Class Availability'!$J:$J,$Q309)&amp;"")))</f>
        <v/>
      </c>
      <c r="I309" s="77" t="s">
        <v>427</v>
      </c>
      <c r="J309" s="77" t="s">
        <v>188</v>
      </c>
      <c r="K309" s="78"/>
      <c r="L309" s="78"/>
      <c r="M309" s="78"/>
      <c r="N309" s="79"/>
      <c r="O309" s="78"/>
      <c r="Q309" s="30" t="n">
        <f aca="false">IFERROR(MATCH($B$4&amp;"|- Lane "&amp;D309&amp;" - "&amp;B309&amp;"|"&amp;C309,'Reguler Class Availability'!$L:$L,0),"")</f>
        <v>1776</v>
      </c>
      <c r="BD309" s="30" t="s">
        <v>98</v>
      </c>
      <c r="BE309" s="30" t="n">
        <f aca="false">IF(COUNTIFS('Reguler Class Availability'!$L:$L,$B$4&amp;"|- Lane 6 - *|"&amp;BD309)&gt;0,1,0)</f>
        <v>0</v>
      </c>
      <c r="BF309" s="30" t="n">
        <f aca="false">BE309+BF308</f>
        <v>0</v>
      </c>
    </row>
    <row r="310" customFormat="false" ht="27.75" hidden="false" customHeight="true" outlineLevel="0" collapsed="false">
      <c r="A310" s="76" t="n">
        <v>184</v>
      </c>
      <c r="B310" s="77" t="s">
        <v>118</v>
      </c>
      <c r="C310" s="76" t="s">
        <v>130</v>
      </c>
      <c r="D310" s="76" t="n">
        <v>4</v>
      </c>
      <c r="E310" s="77" t="str">
        <f aca="false">IF($Q310="","Tidak ada di data",IF(AND(IFERROR(--(INDEX('Reguler Class Availability'!$F:$F,$Q310)&amp;""),0)=0,IFERROR(--(INDEX('Reguler Class Availability'!$G:$G,$Q310)&amp;""),0)=0),"Tutup",IF(IFERROR(--(INDEX('Reguler Class Availability'!$G:$G,$Q310)&amp;""),0)&gt;IFERROR(--(INDEX('Reguler Class Availability'!$F:$F,$Q310)&amp;""),0),"Lebih",IF(IFERROR(--(INDEX('Reguler Class Availability'!$G:$G,$Q310)&amp;""),0)=IFERROR(--(INDEX('Reguler Class Availability'!$F:$F,$Q310)&amp;""),0),"Penuh",IF(IFERROR(--(INDEX('Reguler Class Availability'!$G:$G,$Q310)&amp;""),0)=0,IF(INDEX('Reguler Class Availability'!$B:$B,$Q310)&amp;""="","Kosong","Belum terisi"),IF(IFERROR(--(INDEX('Reguler Class Availability'!$G:$G,$Q310)&amp;""),0)/IFERROR(--(INDEX('Reguler Class Availability'!$F:$F,$Q310)&amp;""),0)&gt;=0.6,"Tinggi","Sebagian"))))))</f>
        <v>Belum terisi</v>
      </c>
      <c r="F310" s="77" t="str">
        <f aca="false">IF($Q310="","",PROPER(INDEX('Reguler Class Availability'!$B:$B,$Q310)&amp;""))</f>
        <v>Kids</v>
      </c>
      <c r="G310" s="76" t="n">
        <f aca="false">IF($Q310="","",IFERROR(--(INDEX('Reguler Class Availability'!$F:$F,$Q310)&amp;""),0))</f>
        <v>4</v>
      </c>
      <c r="H310" s="77" t="str">
        <f aca="false">IF($Q310="","",PROPER(INDEX('Reguler Class Availability'!$I:$I,$Q310)&amp;"")&amp;IF(INDEX('Reguler Class Availability'!$J:$J,$Q310)&amp;""="",""," + asst "&amp;PROPER(INDEX('Reguler Class Availability'!$J:$J,$Q310)&amp;"")))</f>
        <v/>
      </c>
      <c r="I310" s="77" t="s">
        <v>427</v>
      </c>
      <c r="J310" s="77" t="s">
        <v>188</v>
      </c>
      <c r="K310" s="78"/>
      <c r="L310" s="78"/>
      <c r="M310" s="78"/>
      <c r="N310" s="79"/>
      <c r="O310" s="78"/>
      <c r="Q310" s="30" t="n">
        <f aca="false">IFERROR(MATCH($B$4&amp;"|- Lane "&amp;D310&amp;" - "&amp;B310&amp;"|"&amp;C310,'Reguler Class Availability'!$L:$L,0),"")</f>
        <v>1860</v>
      </c>
      <c r="BD310" s="30" t="s">
        <v>105</v>
      </c>
      <c r="BE310" s="30" t="n">
        <f aca="false">IF(COUNTIFS('Reguler Class Availability'!$L:$L,$B$4&amp;"|- Lane 6 - *|"&amp;BD310)&gt;0,1,0)</f>
        <v>0</v>
      </c>
      <c r="BF310" s="30" t="n">
        <f aca="false">BE310+BF309</f>
        <v>0</v>
      </c>
    </row>
    <row r="311" customFormat="false" ht="27.75" hidden="false" customHeight="true" outlineLevel="0" collapsed="false">
      <c r="A311" s="76" t="n">
        <v>185</v>
      </c>
      <c r="B311" s="77" t="s">
        <v>118</v>
      </c>
      <c r="C311" s="76" t="s">
        <v>132</v>
      </c>
      <c r="D311" s="76" t="n">
        <v>1</v>
      </c>
      <c r="E311" s="77" t="str">
        <f aca="false">IF($Q311="","Tidak ada di data",IF(AND(IFERROR(--(INDEX('Reguler Class Availability'!$F:$F,$Q311)&amp;""),0)=0,IFERROR(--(INDEX('Reguler Class Availability'!$G:$G,$Q311)&amp;""),0)=0),"Tutup",IF(IFERROR(--(INDEX('Reguler Class Availability'!$G:$G,$Q311)&amp;""),0)&gt;IFERROR(--(INDEX('Reguler Class Availability'!$F:$F,$Q311)&amp;""),0),"Lebih",IF(IFERROR(--(INDEX('Reguler Class Availability'!$G:$G,$Q311)&amp;""),0)=IFERROR(--(INDEX('Reguler Class Availability'!$F:$F,$Q311)&amp;""),0),"Penuh",IF(IFERROR(--(INDEX('Reguler Class Availability'!$G:$G,$Q311)&amp;""),0)=0,IF(INDEX('Reguler Class Availability'!$B:$B,$Q311)&amp;""="","Kosong","Belum terisi"),IF(IFERROR(--(INDEX('Reguler Class Availability'!$G:$G,$Q311)&amp;""),0)/IFERROR(--(INDEX('Reguler Class Availability'!$F:$F,$Q311)&amp;""),0)&gt;=0.6,"Tinggi","Sebagian"))))))</f>
        <v>Belum terisi</v>
      </c>
      <c r="F311" s="77" t="str">
        <f aca="false">IF($Q311="","",PROPER(INDEX('Reguler Class Availability'!$B:$B,$Q311)&amp;""))</f>
        <v>Baby</v>
      </c>
      <c r="G311" s="76" t="n">
        <f aca="false">IF($Q311="","",IFERROR(--(INDEX('Reguler Class Availability'!$F:$F,$Q311)&amp;""),0))</f>
        <v>5</v>
      </c>
      <c r="H311" s="77" t="str">
        <f aca="false">IF($Q311="","",PROPER(INDEX('Reguler Class Availability'!$I:$I,$Q311)&amp;"")&amp;IF(INDEX('Reguler Class Availability'!$J:$J,$Q311)&amp;""="",""," + asst "&amp;PROPER(INDEX('Reguler Class Availability'!$J:$J,$Q311)&amp;"")))</f>
        <v/>
      </c>
      <c r="I311" s="77" t="s">
        <v>427</v>
      </c>
      <c r="J311" s="77" t="s">
        <v>188</v>
      </c>
      <c r="K311" s="78"/>
      <c r="L311" s="78"/>
      <c r="M311" s="78"/>
      <c r="N311" s="79"/>
      <c r="O311" s="78"/>
      <c r="Q311" s="30" t="n">
        <f aca="false">IFERROR(MATCH($B$4&amp;"|- Lane "&amp;D311&amp;" - "&amp;B311&amp;"|"&amp;C311,'Reguler Class Availability'!$L:$L,0),"")</f>
        <v>1609</v>
      </c>
      <c r="BD311" s="30" t="s">
        <v>110</v>
      </c>
      <c r="BE311" s="30" t="n">
        <f aca="false">IF(COUNTIFS('Reguler Class Availability'!$L:$L,$B$4&amp;"|- Lane 6 - *|"&amp;BD311)&gt;0,1,0)</f>
        <v>0</v>
      </c>
      <c r="BF311" s="30" t="n">
        <f aca="false">BE311+BF310</f>
        <v>0</v>
      </c>
    </row>
    <row r="312" customFormat="false" ht="27.75" hidden="false" customHeight="true" outlineLevel="0" collapsed="false">
      <c r="A312" s="76" t="n">
        <v>186</v>
      </c>
      <c r="B312" s="77" t="s">
        <v>118</v>
      </c>
      <c r="C312" s="76" t="s">
        <v>132</v>
      </c>
      <c r="D312" s="76" t="n">
        <v>2</v>
      </c>
      <c r="E312" s="77" t="str">
        <f aca="false">IF($Q312="","Tidak ada di data",IF(AND(IFERROR(--(INDEX('Reguler Class Availability'!$F:$F,$Q312)&amp;""),0)=0,IFERROR(--(INDEX('Reguler Class Availability'!$G:$G,$Q312)&amp;""),0)=0),"Tutup",IF(IFERROR(--(INDEX('Reguler Class Availability'!$G:$G,$Q312)&amp;""),0)&gt;IFERROR(--(INDEX('Reguler Class Availability'!$F:$F,$Q312)&amp;""),0),"Lebih",IF(IFERROR(--(INDEX('Reguler Class Availability'!$G:$G,$Q312)&amp;""),0)=IFERROR(--(INDEX('Reguler Class Availability'!$F:$F,$Q312)&amp;""),0),"Penuh",IF(IFERROR(--(INDEX('Reguler Class Availability'!$G:$G,$Q312)&amp;""),0)=0,IF(INDEX('Reguler Class Availability'!$B:$B,$Q312)&amp;""="","Kosong","Belum terisi"),IF(IFERROR(--(INDEX('Reguler Class Availability'!$G:$G,$Q312)&amp;""),0)/IFERROR(--(INDEX('Reguler Class Availability'!$F:$F,$Q312)&amp;""),0)&gt;=0.6,"Tinggi","Sebagian"))))))</f>
        <v>Belum terisi</v>
      </c>
      <c r="F312" s="77" t="str">
        <f aca="false">IF($Q312="","",PROPER(INDEX('Reguler Class Availability'!$B:$B,$Q312)&amp;""))</f>
        <v>Little</v>
      </c>
      <c r="G312" s="76" t="n">
        <f aca="false">IF($Q312="","",IFERROR(--(INDEX('Reguler Class Availability'!$F:$F,$Q312)&amp;""),0))</f>
        <v>5</v>
      </c>
      <c r="H312" s="77" t="str">
        <f aca="false">IF($Q312="","",PROPER(INDEX('Reguler Class Availability'!$I:$I,$Q312)&amp;"")&amp;IF(INDEX('Reguler Class Availability'!$J:$J,$Q312)&amp;""="",""," + asst "&amp;PROPER(INDEX('Reguler Class Availability'!$J:$J,$Q312)&amp;"")))</f>
        <v/>
      </c>
      <c r="I312" s="77" t="s">
        <v>427</v>
      </c>
      <c r="J312" s="77" t="s">
        <v>188</v>
      </c>
      <c r="K312" s="78"/>
      <c r="L312" s="78"/>
      <c r="M312" s="78"/>
      <c r="N312" s="79"/>
      <c r="O312" s="78"/>
      <c r="Q312" s="30" t="n">
        <f aca="false">IFERROR(MATCH($B$4&amp;"|- Lane "&amp;D312&amp;" - "&amp;B312&amp;"|"&amp;C312,'Reguler Class Availability'!$L:$L,0),"")</f>
        <v>1693</v>
      </c>
      <c r="BD312" s="30" t="s">
        <v>112</v>
      </c>
      <c r="BE312" s="30" t="n">
        <f aca="false">IF(COUNTIFS('Reguler Class Availability'!$L:$L,$B$4&amp;"|- Lane 6 - *|"&amp;BD312)&gt;0,1,0)</f>
        <v>0</v>
      </c>
      <c r="BF312" s="30" t="n">
        <f aca="false">BE312+BF311</f>
        <v>0</v>
      </c>
    </row>
    <row r="313" customFormat="false" ht="27.75" hidden="false" customHeight="true" outlineLevel="0" collapsed="false">
      <c r="A313" s="76" t="n">
        <v>187</v>
      </c>
      <c r="B313" s="77" t="s">
        <v>118</v>
      </c>
      <c r="C313" s="76" t="s">
        <v>133</v>
      </c>
      <c r="D313" s="76" t="n">
        <v>3</v>
      </c>
      <c r="E313" s="77" t="str">
        <f aca="false">IF($Q313="","Tidak ada di data",IF(AND(IFERROR(--(INDEX('Reguler Class Availability'!$F:$F,$Q313)&amp;""),0)=0,IFERROR(--(INDEX('Reguler Class Availability'!$G:$G,$Q313)&amp;""),0)=0),"Tutup",IF(IFERROR(--(INDEX('Reguler Class Availability'!$G:$G,$Q313)&amp;""),0)&gt;IFERROR(--(INDEX('Reguler Class Availability'!$F:$F,$Q313)&amp;""),0),"Lebih",IF(IFERROR(--(INDEX('Reguler Class Availability'!$G:$G,$Q313)&amp;""),0)=IFERROR(--(INDEX('Reguler Class Availability'!$F:$F,$Q313)&amp;""),0),"Penuh",IF(IFERROR(--(INDEX('Reguler Class Availability'!$G:$G,$Q313)&amp;""),0)=0,IF(INDEX('Reguler Class Availability'!$B:$B,$Q313)&amp;""="","Kosong","Belum terisi"),IF(IFERROR(--(INDEX('Reguler Class Availability'!$G:$G,$Q313)&amp;""),0)/IFERROR(--(INDEX('Reguler Class Availability'!$F:$F,$Q313)&amp;""),0)&gt;=0.6,"Tinggi","Sebagian"))))))</f>
        <v>Belum terisi</v>
      </c>
      <c r="F313" s="77" t="str">
        <f aca="false">IF($Q313="","",PROPER(INDEX('Reguler Class Availability'!$B:$B,$Q313)&amp;""))</f>
        <v>Kids</v>
      </c>
      <c r="G313" s="76" t="n">
        <f aca="false">IF($Q313="","",IFERROR(--(INDEX('Reguler Class Availability'!$F:$F,$Q313)&amp;""),0))</f>
        <v>4</v>
      </c>
      <c r="H313" s="77" t="str">
        <f aca="false">IF($Q313="","",PROPER(INDEX('Reguler Class Availability'!$I:$I,$Q313)&amp;"")&amp;IF(INDEX('Reguler Class Availability'!$J:$J,$Q313)&amp;""="",""," + asst "&amp;PROPER(INDEX('Reguler Class Availability'!$J:$J,$Q313)&amp;"")))</f>
        <v/>
      </c>
      <c r="I313" s="77" t="s">
        <v>427</v>
      </c>
      <c r="J313" s="77" t="s">
        <v>188</v>
      </c>
      <c r="K313" s="78"/>
      <c r="L313" s="78"/>
      <c r="M313" s="78"/>
      <c r="N313" s="79"/>
      <c r="O313" s="78"/>
      <c r="Q313" s="30" t="n">
        <f aca="false">IFERROR(MATCH($B$4&amp;"|- Lane "&amp;D313&amp;" - "&amp;B313&amp;"|"&amp;C313,'Reguler Class Availability'!$L:$L,0),"")</f>
        <v>1777</v>
      </c>
      <c r="BD313" s="30" t="s">
        <v>120</v>
      </c>
      <c r="BE313" s="30" t="n">
        <f aca="false">IF(COUNTIFS('Reguler Class Availability'!$L:$L,$B$4&amp;"|- Lane 6 - *|"&amp;BD313)&gt;0,1,0)</f>
        <v>0</v>
      </c>
      <c r="BF313" s="30" t="n">
        <f aca="false">BE313+BF312</f>
        <v>0</v>
      </c>
    </row>
    <row r="314" customFormat="false" ht="27.75" hidden="false" customHeight="true" outlineLevel="0" collapsed="false">
      <c r="A314" s="76" t="n">
        <v>188</v>
      </c>
      <c r="B314" s="77" t="s">
        <v>118</v>
      </c>
      <c r="C314" s="76" t="s">
        <v>133</v>
      </c>
      <c r="D314" s="76" t="n">
        <v>4</v>
      </c>
      <c r="E314" s="77" t="str">
        <f aca="false">IF($Q314="","Tidak ada di data",IF(AND(IFERROR(--(INDEX('Reguler Class Availability'!$F:$F,$Q314)&amp;""),0)=0,IFERROR(--(INDEX('Reguler Class Availability'!$G:$G,$Q314)&amp;""),0)=0),"Tutup",IF(IFERROR(--(INDEX('Reguler Class Availability'!$G:$G,$Q314)&amp;""),0)&gt;IFERROR(--(INDEX('Reguler Class Availability'!$F:$F,$Q314)&amp;""),0),"Lebih",IF(IFERROR(--(INDEX('Reguler Class Availability'!$G:$G,$Q314)&amp;""),0)=IFERROR(--(INDEX('Reguler Class Availability'!$F:$F,$Q314)&amp;""),0),"Penuh",IF(IFERROR(--(INDEX('Reguler Class Availability'!$G:$G,$Q314)&amp;""),0)=0,IF(INDEX('Reguler Class Availability'!$B:$B,$Q314)&amp;""="","Kosong","Belum terisi"),IF(IFERROR(--(INDEX('Reguler Class Availability'!$G:$G,$Q314)&amp;""),0)/IFERROR(--(INDEX('Reguler Class Availability'!$F:$F,$Q314)&amp;""),0)&gt;=0.6,"Tinggi","Sebagian"))))))</f>
        <v>Belum terisi</v>
      </c>
      <c r="F314" s="77" t="str">
        <f aca="false">IF($Q314="","",PROPER(INDEX('Reguler Class Availability'!$B:$B,$Q314)&amp;""))</f>
        <v>Kids</v>
      </c>
      <c r="G314" s="76" t="n">
        <f aca="false">IF($Q314="","",IFERROR(--(INDEX('Reguler Class Availability'!$F:$F,$Q314)&amp;""),0))</f>
        <v>4</v>
      </c>
      <c r="H314" s="77" t="str">
        <f aca="false">IF($Q314="","",PROPER(INDEX('Reguler Class Availability'!$I:$I,$Q314)&amp;"")&amp;IF(INDEX('Reguler Class Availability'!$J:$J,$Q314)&amp;""="",""," + asst "&amp;PROPER(INDEX('Reguler Class Availability'!$J:$J,$Q314)&amp;"")))</f>
        <v/>
      </c>
      <c r="I314" s="77" t="s">
        <v>427</v>
      </c>
      <c r="J314" s="77" t="s">
        <v>188</v>
      </c>
      <c r="K314" s="78"/>
      <c r="L314" s="78"/>
      <c r="M314" s="78"/>
      <c r="N314" s="79"/>
      <c r="O314" s="78"/>
      <c r="Q314" s="30" t="n">
        <f aca="false">IFERROR(MATCH($B$4&amp;"|- Lane "&amp;D314&amp;" - "&amp;B314&amp;"|"&amp;C314,'Reguler Class Availability'!$L:$L,0),"")</f>
        <v>1861</v>
      </c>
      <c r="BD314" s="30" t="s">
        <v>121</v>
      </c>
      <c r="BE314" s="30" t="n">
        <f aca="false">IF(COUNTIFS('Reguler Class Availability'!$L:$L,$B$4&amp;"|- Lane 6 - *|"&amp;BD314)&gt;0,1,0)</f>
        <v>0</v>
      </c>
      <c r="BF314" s="30" t="n">
        <f aca="false">BE314+BF313</f>
        <v>0</v>
      </c>
    </row>
    <row r="315" customFormat="false" ht="27.75" hidden="false" customHeight="true" outlineLevel="0" collapsed="false">
      <c r="A315" s="76" t="n">
        <v>189</v>
      </c>
      <c r="B315" s="77" t="s">
        <v>118</v>
      </c>
      <c r="C315" s="76" t="s">
        <v>139</v>
      </c>
      <c r="D315" s="76" t="n">
        <v>1</v>
      </c>
      <c r="E315" s="77" t="str">
        <f aca="false">IF($Q315="","Tidak ada di data",IF(AND(IFERROR(--(INDEX('Reguler Class Availability'!$F:$F,$Q315)&amp;""),0)=0,IFERROR(--(INDEX('Reguler Class Availability'!$G:$G,$Q315)&amp;""),0)=0),"Tutup",IF(IFERROR(--(INDEX('Reguler Class Availability'!$G:$G,$Q315)&amp;""),0)&gt;IFERROR(--(INDEX('Reguler Class Availability'!$F:$F,$Q315)&amp;""),0),"Lebih",IF(IFERROR(--(INDEX('Reguler Class Availability'!$G:$G,$Q315)&amp;""),0)=IFERROR(--(INDEX('Reguler Class Availability'!$F:$F,$Q315)&amp;""),0),"Penuh",IF(IFERROR(--(INDEX('Reguler Class Availability'!$G:$G,$Q315)&amp;""),0)=0,IF(INDEX('Reguler Class Availability'!$B:$B,$Q315)&amp;""="","Kosong","Belum terisi"),IF(IFERROR(--(INDEX('Reguler Class Availability'!$G:$G,$Q315)&amp;""),0)/IFERROR(--(INDEX('Reguler Class Availability'!$F:$F,$Q315)&amp;""),0)&gt;=0.6,"Tinggi","Sebagian"))))))</f>
        <v>Belum terisi</v>
      </c>
      <c r="F315" s="77" t="str">
        <f aca="false">IF($Q315="","",PROPER(INDEX('Reguler Class Availability'!$B:$B,$Q315)&amp;""))</f>
        <v>Tiny</v>
      </c>
      <c r="G315" s="76" t="n">
        <f aca="false">IF($Q315="","",IFERROR(--(INDEX('Reguler Class Availability'!$F:$F,$Q315)&amp;""),0))</f>
        <v>5</v>
      </c>
      <c r="H315" s="77" t="str">
        <f aca="false">IF($Q315="","",PROPER(INDEX('Reguler Class Availability'!$I:$I,$Q315)&amp;"")&amp;IF(INDEX('Reguler Class Availability'!$J:$J,$Q315)&amp;""="",""," + asst "&amp;PROPER(INDEX('Reguler Class Availability'!$J:$J,$Q315)&amp;"")))</f>
        <v/>
      </c>
      <c r="I315" s="77" t="s">
        <v>427</v>
      </c>
      <c r="J315" s="77" t="s">
        <v>188</v>
      </c>
      <c r="K315" s="78"/>
      <c r="L315" s="78"/>
      <c r="M315" s="78"/>
      <c r="N315" s="79"/>
      <c r="O315" s="78"/>
      <c r="Q315" s="30" t="n">
        <f aca="false">IFERROR(MATCH($B$4&amp;"|- Lane "&amp;D315&amp;" - "&amp;B315&amp;"|"&amp;C315,'Reguler Class Availability'!$L:$L,0),"")</f>
        <v>1610</v>
      </c>
      <c r="BD315" s="30" t="s">
        <v>122</v>
      </c>
      <c r="BE315" s="30" t="n">
        <f aca="false">IF(COUNTIFS('Reguler Class Availability'!$L:$L,$B$4&amp;"|- Lane 6 - *|"&amp;BD315)&gt;0,1,0)</f>
        <v>0</v>
      </c>
      <c r="BF315" s="30" t="n">
        <f aca="false">BE315+BF314</f>
        <v>0</v>
      </c>
    </row>
    <row r="316" customFormat="false" ht="27.75" hidden="false" customHeight="true" outlineLevel="0" collapsed="false">
      <c r="A316" s="76" t="n">
        <v>190</v>
      </c>
      <c r="B316" s="77" t="s">
        <v>118</v>
      </c>
      <c r="C316" s="76" t="s">
        <v>139</v>
      </c>
      <c r="D316" s="76" t="n">
        <v>2</v>
      </c>
      <c r="E316" s="77" t="str">
        <f aca="false">IF($Q316="","Tidak ada di data",IF(AND(IFERROR(--(INDEX('Reguler Class Availability'!$F:$F,$Q316)&amp;""),0)=0,IFERROR(--(INDEX('Reguler Class Availability'!$G:$G,$Q316)&amp;""),0)=0),"Tutup",IF(IFERROR(--(INDEX('Reguler Class Availability'!$G:$G,$Q316)&amp;""),0)&gt;IFERROR(--(INDEX('Reguler Class Availability'!$F:$F,$Q316)&amp;""),0),"Lebih",IF(IFERROR(--(INDEX('Reguler Class Availability'!$G:$G,$Q316)&amp;""),0)=IFERROR(--(INDEX('Reguler Class Availability'!$F:$F,$Q316)&amp;""),0),"Penuh",IF(IFERROR(--(INDEX('Reguler Class Availability'!$G:$G,$Q316)&amp;""),0)=0,IF(INDEX('Reguler Class Availability'!$B:$B,$Q316)&amp;""="","Kosong","Belum terisi"),IF(IFERROR(--(INDEX('Reguler Class Availability'!$G:$G,$Q316)&amp;""),0)/IFERROR(--(INDEX('Reguler Class Availability'!$F:$F,$Q316)&amp;""),0)&gt;=0.6,"Tinggi","Sebagian"))))))</f>
        <v>Belum terisi</v>
      </c>
      <c r="F316" s="77" t="str">
        <f aca="false">IF($Q316="","",PROPER(INDEX('Reguler Class Availability'!$B:$B,$Q316)&amp;""))</f>
        <v>Little</v>
      </c>
      <c r="G316" s="76" t="n">
        <f aca="false">IF($Q316="","",IFERROR(--(INDEX('Reguler Class Availability'!$F:$F,$Q316)&amp;""),0))</f>
        <v>5</v>
      </c>
      <c r="H316" s="77" t="str">
        <f aca="false">IF($Q316="","",PROPER(INDEX('Reguler Class Availability'!$I:$I,$Q316)&amp;"")&amp;IF(INDEX('Reguler Class Availability'!$J:$J,$Q316)&amp;""="",""," + asst "&amp;PROPER(INDEX('Reguler Class Availability'!$J:$J,$Q316)&amp;"")))</f>
        <v/>
      </c>
      <c r="I316" s="77" t="s">
        <v>427</v>
      </c>
      <c r="J316" s="77" t="s">
        <v>188</v>
      </c>
      <c r="K316" s="78"/>
      <c r="L316" s="78"/>
      <c r="M316" s="78"/>
      <c r="N316" s="79"/>
      <c r="O316" s="78"/>
      <c r="Q316" s="30" t="n">
        <f aca="false">IFERROR(MATCH($B$4&amp;"|- Lane "&amp;D316&amp;" - "&amp;B316&amp;"|"&amp;C316,'Reguler Class Availability'!$L:$L,0),"")</f>
        <v>1694</v>
      </c>
      <c r="BD316" s="30" t="s">
        <v>123</v>
      </c>
      <c r="BE316" s="30" t="n">
        <f aca="false">IF(COUNTIFS('Reguler Class Availability'!$L:$L,$B$4&amp;"|- Lane 6 - *|"&amp;BD316)&gt;0,1,0)</f>
        <v>0</v>
      </c>
      <c r="BF316" s="30" t="n">
        <f aca="false">BE316+BF315</f>
        <v>0</v>
      </c>
    </row>
    <row r="317" customFormat="false" ht="15.75" hidden="false" customHeight="true" outlineLevel="0" collapsed="false">
      <c r="A317" s="76" t="n">
        <v>191</v>
      </c>
      <c r="B317" s="77" t="s">
        <v>118</v>
      </c>
      <c r="C317" s="76" t="s">
        <v>141</v>
      </c>
      <c r="D317" s="76" t="n">
        <v>3</v>
      </c>
      <c r="E317" s="77" t="str">
        <f aca="false">IF($Q317="","Tidak ada di data",IF(AND(IFERROR(--(INDEX('Reguler Class Availability'!$F:$F,$Q317)&amp;""),0)=0,IFERROR(--(INDEX('Reguler Class Availability'!$G:$G,$Q317)&amp;""),0)=0),"Tutup",IF(IFERROR(--(INDEX('Reguler Class Availability'!$G:$G,$Q317)&amp;""),0)&gt;IFERROR(--(INDEX('Reguler Class Availability'!$F:$F,$Q317)&amp;""),0),"Lebih",IF(IFERROR(--(INDEX('Reguler Class Availability'!$G:$G,$Q317)&amp;""),0)=IFERROR(--(INDEX('Reguler Class Availability'!$F:$F,$Q317)&amp;""),0),"Penuh",IF(IFERROR(--(INDEX('Reguler Class Availability'!$G:$G,$Q317)&amp;""),0)=0,IF(INDEX('Reguler Class Availability'!$B:$B,$Q317)&amp;""="","Kosong","Belum terisi"),IF(IFERROR(--(INDEX('Reguler Class Availability'!$G:$G,$Q317)&amp;""),0)/IFERROR(--(INDEX('Reguler Class Availability'!$F:$F,$Q317)&amp;""),0)&gt;=0.6,"Tinggi","Sebagian"))))))</f>
        <v>Belum terisi</v>
      </c>
      <c r="F317" s="77" t="str">
        <f aca="false">IF($Q317="","",PROPER(INDEX('Reguler Class Availability'!$B:$B,$Q317)&amp;""))</f>
        <v>Kids</v>
      </c>
      <c r="G317" s="76" t="n">
        <f aca="false">IF($Q317="","",IFERROR(--(INDEX('Reguler Class Availability'!$F:$F,$Q317)&amp;""),0))</f>
        <v>4</v>
      </c>
      <c r="H317" s="77" t="str">
        <f aca="false">IF($Q317="","",PROPER(INDEX('Reguler Class Availability'!$I:$I,$Q317)&amp;"")&amp;IF(INDEX('Reguler Class Availability'!$J:$J,$Q317)&amp;""="",""," + asst "&amp;PROPER(INDEX('Reguler Class Availability'!$J:$J,$Q317)&amp;"")))</f>
        <v/>
      </c>
      <c r="I317" s="77" t="s">
        <v>428</v>
      </c>
      <c r="J317" s="77" t="s">
        <v>198</v>
      </c>
      <c r="K317" s="78"/>
      <c r="L317" s="78"/>
      <c r="M317" s="78"/>
      <c r="N317" s="79"/>
      <c r="O317" s="78"/>
      <c r="Q317" s="30" t="n">
        <f aca="false">IFERROR(MATCH($B$4&amp;"|- Lane "&amp;D317&amp;" - "&amp;B317&amp;"|"&amp;C317,'Reguler Class Availability'!$L:$L,0),"")</f>
        <v>1778</v>
      </c>
      <c r="BD317" s="30" t="s">
        <v>124</v>
      </c>
      <c r="BE317" s="30" t="n">
        <f aca="false">IF(COUNTIFS('Reguler Class Availability'!$L:$L,$B$4&amp;"|- Lane 6 - *|"&amp;BD317)&gt;0,1,0)</f>
        <v>0</v>
      </c>
      <c r="BF317" s="30" t="n">
        <f aca="false">BE317+BF316</f>
        <v>0</v>
      </c>
    </row>
    <row r="318" customFormat="false" ht="15.75" hidden="false" customHeight="true" outlineLevel="0" collapsed="false">
      <c r="A318" s="76" t="n">
        <v>192</v>
      </c>
      <c r="B318" s="77" t="s">
        <v>118</v>
      </c>
      <c r="C318" s="76" t="s">
        <v>141</v>
      </c>
      <c r="D318" s="76" t="n">
        <v>4</v>
      </c>
      <c r="E318" s="77" t="str">
        <f aca="false">IF($Q318="","Tidak ada di data",IF(AND(IFERROR(--(INDEX('Reguler Class Availability'!$F:$F,$Q318)&amp;""),0)=0,IFERROR(--(INDEX('Reguler Class Availability'!$G:$G,$Q318)&amp;""),0)=0),"Tutup",IF(IFERROR(--(INDEX('Reguler Class Availability'!$G:$G,$Q318)&amp;""),0)&gt;IFERROR(--(INDEX('Reguler Class Availability'!$F:$F,$Q318)&amp;""),0),"Lebih",IF(IFERROR(--(INDEX('Reguler Class Availability'!$G:$G,$Q318)&amp;""),0)=IFERROR(--(INDEX('Reguler Class Availability'!$F:$F,$Q318)&amp;""),0),"Penuh",IF(IFERROR(--(INDEX('Reguler Class Availability'!$G:$G,$Q318)&amp;""),0)=0,IF(INDEX('Reguler Class Availability'!$B:$B,$Q318)&amp;""="","Kosong","Belum terisi"),IF(IFERROR(--(INDEX('Reguler Class Availability'!$G:$G,$Q318)&amp;""),0)/IFERROR(--(INDEX('Reguler Class Availability'!$F:$F,$Q318)&amp;""),0)&gt;=0.6,"Tinggi","Sebagian"))))))</f>
        <v>Belum terisi</v>
      </c>
      <c r="F318" s="77" t="str">
        <f aca="false">IF($Q318="","",PROPER(INDEX('Reguler Class Availability'!$B:$B,$Q318)&amp;""))</f>
        <v>Kids</v>
      </c>
      <c r="G318" s="76" t="n">
        <f aca="false">IF($Q318="","",IFERROR(--(INDEX('Reguler Class Availability'!$F:$F,$Q318)&amp;""),0))</f>
        <v>4</v>
      </c>
      <c r="H318" s="77" t="str">
        <f aca="false">IF($Q318="","",PROPER(INDEX('Reguler Class Availability'!$I:$I,$Q318)&amp;"")&amp;IF(INDEX('Reguler Class Availability'!$J:$J,$Q318)&amp;""="",""," + asst "&amp;PROPER(INDEX('Reguler Class Availability'!$J:$J,$Q318)&amp;"")))</f>
        <v/>
      </c>
      <c r="I318" s="77" t="s">
        <v>428</v>
      </c>
      <c r="J318" s="77" t="s">
        <v>198</v>
      </c>
      <c r="K318" s="78"/>
      <c r="L318" s="78"/>
      <c r="M318" s="78"/>
      <c r="N318" s="79"/>
      <c r="O318" s="78"/>
      <c r="Q318" s="30" t="n">
        <f aca="false">IFERROR(MATCH($B$4&amp;"|- Lane "&amp;D318&amp;" - "&amp;B318&amp;"|"&amp;C318,'Reguler Class Availability'!$L:$L,0),"")</f>
        <v>1862</v>
      </c>
      <c r="BD318" s="30" t="s">
        <v>125</v>
      </c>
      <c r="BE318" s="30" t="n">
        <f aca="false">IF(COUNTIFS('Reguler Class Availability'!$L:$L,$B$4&amp;"|- Lane 6 - *|"&amp;BD318)&gt;0,1,0)</f>
        <v>0</v>
      </c>
      <c r="BF318" s="30" t="n">
        <f aca="false">BE318+BF317</f>
        <v>0</v>
      </c>
    </row>
    <row r="319" customFormat="false" ht="15.75" hidden="false" customHeight="true" outlineLevel="0" collapsed="false">
      <c r="A319" s="76" t="n">
        <v>193</v>
      </c>
      <c r="B319" s="77" t="s">
        <v>118</v>
      </c>
      <c r="C319" s="76" t="s">
        <v>143</v>
      </c>
      <c r="D319" s="76" t="n">
        <v>2</v>
      </c>
      <c r="E319" s="77" t="str">
        <f aca="false">IF($Q319="","Tidak ada di data",IF(AND(IFERROR(--(INDEX('Reguler Class Availability'!$F:$F,$Q319)&amp;""),0)=0,IFERROR(--(INDEX('Reguler Class Availability'!$G:$G,$Q319)&amp;""),0)=0),"Tutup",IF(IFERROR(--(INDEX('Reguler Class Availability'!$G:$G,$Q319)&amp;""),0)&gt;IFERROR(--(INDEX('Reguler Class Availability'!$F:$F,$Q319)&amp;""),0),"Lebih",IF(IFERROR(--(INDEX('Reguler Class Availability'!$G:$G,$Q319)&amp;""),0)=IFERROR(--(INDEX('Reguler Class Availability'!$F:$F,$Q319)&amp;""),0),"Penuh",IF(IFERROR(--(INDEX('Reguler Class Availability'!$G:$G,$Q319)&amp;""),0)=0,IF(INDEX('Reguler Class Availability'!$B:$B,$Q319)&amp;""="","Kosong","Belum terisi"),IF(IFERROR(--(INDEX('Reguler Class Availability'!$G:$G,$Q319)&amp;""),0)/IFERROR(--(INDEX('Reguler Class Availability'!$F:$F,$Q319)&amp;""),0)&gt;=0.6,"Tinggi","Sebagian"))))))</f>
        <v>Belum terisi</v>
      </c>
      <c r="F319" s="77" t="str">
        <f aca="false">IF($Q319="","",PROPER(INDEX('Reguler Class Availability'!$B:$B,$Q319)&amp;""))</f>
        <v>Little</v>
      </c>
      <c r="G319" s="76" t="n">
        <f aca="false">IF($Q319="","",IFERROR(--(INDEX('Reguler Class Availability'!$F:$F,$Q319)&amp;""),0))</f>
        <v>5</v>
      </c>
      <c r="H319" s="77" t="str">
        <f aca="false">IF($Q319="","",PROPER(INDEX('Reguler Class Availability'!$I:$I,$Q319)&amp;"")&amp;IF(INDEX('Reguler Class Availability'!$J:$J,$Q319)&amp;""="",""," + asst "&amp;PROPER(INDEX('Reguler Class Availability'!$J:$J,$Q319)&amp;"")))</f>
        <v/>
      </c>
      <c r="I319" s="77" t="s">
        <v>428</v>
      </c>
      <c r="J319" s="77" t="s">
        <v>198</v>
      </c>
      <c r="K319" s="78"/>
      <c r="L319" s="78"/>
      <c r="M319" s="78"/>
      <c r="N319" s="79"/>
      <c r="O319" s="78"/>
      <c r="Q319" s="30" t="n">
        <f aca="false">IFERROR(MATCH($B$4&amp;"|- Lane "&amp;D319&amp;" - "&amp;B319&amp;"|"&amp;C319,'Reguler Class Availability'!$L:$L,0),"")</f>
        <v>1695</v>
      </c>
      <c r="BD319" s="30" t="s">
        <v>126</v>
      </c>
      <c r="BE319" s="30" t="n">
        <f aca="false">IF(COUNTIFS('Reguler Class Availability'!$L:$L,$B$4&amp;"|- Lane 6 - *|"&amp;BD319)&gt;0,1,0)</f>
        <v>0</v>
      </c>
      <c r="BF319" s="30" t="n">
        <f aca="false">BE319+BF318</f>
        <v>0</v>
      </c>
    </row>
    <row r="320" customFormat="false" ht="15.75" hidden="false" customHeight="true" outlineLevel="0" collapsed="false">
      <c r="A320" s="76" t="n">
        <v>194</v>
      </c>
      <c r="B320" s="77" t="s">
        <v>118</v>
      </c>
      <c r="C320" s="76" t="s">
        <v>144</v>
      </c>
      <c r="D320" s="76" t="n">
        <v>3</v>
      </c>
      <c r="E320" s="77" t="str">
        <f aca="false">IF($Q320="","Tidak ada di data",IF(AND(IFERROR(--(INDEX('Reguler Class Availability'!$F:$F,$Q320)&amp;""),0)=0,IFERROR(--(INDEX('Reguler Class Availability'!$G:$G,$Q320)&amp;""),0)=0),"Tutup",IF(IFERROR(--(INDEX('Reguler Class Availability'!$G:$G,$Q320)&amp;""),0)&gt;IFERROR(--(INDEX('Reguler Class Availability'!$F:$F,$Q320)&amp;""),0),"Lebih",IF(IFERROR(--(INDEX('Reguler Class Availability'!$G:$G,$Q320)&amp;""),0)=IFERROR(--(INDEX('Reguler Class Availability'!$F:$F,$Q320)&amp;""),0),"Penuh",IF(IFERROR(--(INDEX('Reguler Class Availability'!$G:$G,$Q320)&amp;""),0)=0,IF(INDEX('Reguler Class Availability'!$B:$B,$Q320)&amp;""="","Kosong","Belum terisi"),IF(IFERROR(--(INDEX('Reguler Class Availability'!$G:$G,$Q320)&amp;""),0)/IFERROR(--(INDEX('Reguler Class Availability'!$F:$F,$Q320)&amp;""),0)&gt;=0.6,"Tinggi","Sebagian"))))))</f>
        <v>Belum terisi</v>
      </c>
      <c r="F320" s="77" t="str">
        <f aca="false">IF($Q320="","",PROPER(INDEX('Reguler Class Availability'!$B:$B,$Q320)&amp;""))</f>
        <v>Kids</v>
      </c>
      <c r="G320" s="76" t="n">
        <f aca="false">IF($Q320="","",IFERROR(--(INDEX('Reguler Class Availability'!$F:$F,$Q320)&amp;""),0))</f>
        <v>4</v>
      </c>
      <c r="H320" s="77" t="str">
        <f aca="false">IF($Q320="","",PROPER(INDEX('Reguler Class Availability'!$I:$I,$Q320)&amp;"")&amp;IF(INDEX('Reguler Class Availability'!$J:$J,$Q320)&amp;""="",""," + asst "&amp;PROPER(INDEX('Reguler Class Availability'!$J:$J,$Q320)&amp;"")))</f>
        <v/>
      </c>
      <c r="I320" s="77" t="s">
        <v>411</v>
      </c>
      <c r="J320" s="77" t="s">
        <v>260</v>
      </c>
      <c r="K320" s="78"/>
      <c r="L320" s="78"/>
      <c r="M320" s="78"/>
      <c r="N320" s="79"/>
      <c r="O320" s="78"/>
      <c r="Q320" s="30" t="n">
        <f aca="false">IFERROR(MATCH($B$4&amp;"|- Lane "&amp;D320&amp;" - "&amp;B320&amp;"|"&amp;C320,'Reguler Class Availability'!$L:$L,0),"")</f>
        <v>1779</v>
      </c>
      <c r="BD320" s="30" t="s">
        <v>127</v>
      </c>
      <c r="BE320" s="30" t="n">
        <f aca="false">IF(COUNTIFS('Reguler Class Availability'!$L:$L,$B$4&amp;"|- Lane 6 - *|"&amp;BD320)&gt;0,1,0)</f>
        <v>0</v>
      </c>
      <c r="BF320" s="30" t="n">
        <f aca="false">BE320+BF319</f>
        <v>0</v>
      </c>
    </row>
    <row r="321" customFormat="false" ht="15.75" hidden="false" customHeight="true" outlineLevel="0" collapsed="false">
      <c r="A321" s="76" t="n">
        <v>195</v>
      </c>
      <c r="B321" s="77" t="s">
        <v>118</v>
      </c>
      <c r="C321" s="76" t="s">
        <v>144</v>
      </c>
      <c r="D321" s="76" t="n">
        <v>4</v>
      </c>
      <c r="E321" s="77" t="str">
        <f aca="false">IF($Q321="","Tidak ada di data",IF(AND(IFERROR(--(INDEX('Reguler Class Availability'!$F:$F,$Q321)&amp;""),0)=0,IFERROR(--(INDEX('Reguler Class Availability'!$G:$G,$Q321)&amp;""),0)=0),"Tutup",IF(IFERROR(--(INDEX('Reguler Class Availability'!$G:$G,$Q321)&amp;""),0)&gt;IFERROR(--(INDEX('Reguler Class Availability'!$F:$F,$Q321)&amp;""),0),"Lebih",IF(IFERROR(--(INDEX('Reguler Class Availability'!$G:$G,$Q321)&amp;""),0)=IFERROR(--(INDEX('Reguler Class Availability'!$F:$F,$Q321)&amp;""),0),"Penuh",IF(IFERROR(--(INDEX('Reguler Class Availability'!$G:$G,$Q321)&amp;""),0)=0,IF(INDEX('Reguler Class Availability'!$B:$B,$Q321)&amp;""="","Kosong","Belum terisi"),IF(IFERROR(--(INDEX('Reguler Class Availability'!$G:$G,$Q321)&amp;""),0)/IFERROR(--(INDEX('Reguler Class Availability'!$F:$F,$Q321)&amp;""),0)&gt;=0.6,"Tinggi","Sebagian"))))))</f>
        <v>Belum terisi</v>
      </c>
      <c r="F321" s="77" t="str">
        <f aca="false">IF($Q321="","",PROPER(INDEX('Reguler Class Availability'!$B:$B,$Q321)&amp;""))</f>
        <v>Kids</v>
      </c>
      <c r="G321" s="76" t="n">
        <f aca="false">IF($Q321="","",IFERROR(--(INDEX('Reguler Class Availability'!$F:$F,$Q321)&amp;""),0))</f>
        <v>4</v>
      </c>
      <c r="H321" s="77" t="str">
        <f aca="false">IF($Q321="","",PROPER(INDEX('Reguler Class Availability'!$I:$I,$Q321)&amp;"")&amp;IF(INDEX('Reguler Class Availability'!$J:$J,$Q321)&amp;""="",""," + asst "&amp;PROPER(INDEX('Reguler Class Availability'!$J:$J,$Q321)&amp;"")))</f>
        <v/>
      </c>
      <c r="I321" s="77" t="s">
        <v>411</v>
      </c>
      <c r="J321" s="77" t="s">
        <v>260</v>
      </c>
      <c r="K321" s="78"/>
      <c r="L321" s="78"/>
      <c r="M321" s="78"/>
      <c r="N321" s="79"/>
      <c r="O321" s="78"/>
      <c r="Q321" s="30" t="n">
        <f aca="false">IFERROR(MATCH($B$4&amp;"|- Lane "&amp;D321&amp;" - "&amp;B321&amp;"|"&amp;C321,'Reguler Class Availability'!$L:$L,0),"")</f>
        <v>1863</v>
      </c>
      <c r="BD321" s="30" t="s">
        <v>128</v>
      </c>
      <c r="BE321" s="30" t="n">
        <f aca="false">IF(COUNTIFS('Reguler Class Availability'!$L:$L,$B$4&amp;"|- Lane 6 - *|"&amp;BD321)&gt;0,1,0)</f>
        <v>0</v>
      </c>
      <c r="BF321" s="30" t="n">
        <f aca="false">BE321+BF320</f>
        <v>0</v>
      </c>
    </row>
    <row r="322" customFormat="false" ht="15.75" hidden="false" customHeight="true" outlineLevel="0" collapsed="false">
      <c r="A322" s="76" t="n">
        <v>196</v>
      </c>
      <c r="B322" s="77" t="s">
        <v>118</v>
      </c>
      <c r="C322" s="76" t="s">
        <v>147</v>
      </c>
      <c r="D322" s="76" t="n">
        <v>3</v>
      </c>
      <c r="E322" s="77" t="str">
        <f aca="false">IF($Q322="","Tidak ada di data",IF(AND(IFERROR(--(INDEX('Reguler Class Availability'!$F:$F,$Q322)&amp;""),0)=0,IFERROR(--(INDEX('Reguler Class Availability'!$G:$G,$Q322)&amp;""),0)=0),"Tutup",IF(IFERROR(--(INDEX('Reguler Class Availability'!$G:$G,$Q322)&amp;""),0)&gt;IFERROR(--(INDEX('Reguler Class Availability'!$F:$F,$Q322)&amp;""),0),"Lebih",IF(IFERROR(--(INDEX('Reguler Class Availability'!$G:$G,$Q322)&amp;""),0)=IFERROR(--(INDEX('Reguler Class Availability'!$F:$F,$Q322)&amp;""),0),"Penuh",IF(IFERROR(--(INDEX('Reguler Class Availability'!$G:$G,$Q322)&amp;""),0)=0,IF(INDEX('Reguler Class Availability'!$B:$B,$Q322)&amp;""="","Kosong","Belum terisi"),IF(IFERROR(--(INDEX('Reguler Class Availability'!$G:$G,$Q322)&amp;""),0)/IFERROR(--(INDEX('Reguler Class Availability'!$F:$F,$Q322)&amp;""),0)&gt;=0.6,"Tinggi","Sebagian"))))))</f>
        <v>Belum terisi</v>
      </c>
      <c r="F322" s="77" t="str">
        <f aca="false">IF($Q322="","",PROPER(INDEX('Reguler Class Availability'!$B:$B,$Q322)&amp;""))</f>
        <v>Kids</v>
      </c>
      <c r="G322" s="76" t="n">
        <f aca="false">IF($Q322="","",IFERROR(--(INDEX('Reguler Class Availability'!$F:$F,$Q322)&amp;""),0))</f>
        <v>4</v>
      </c>
      <c r="H322" s="77" t="str">
        <f aca="false">IF($Q322="","",PROPER(INDEX('Reguler Class Availability'!$I:$I,$Q322)&amp;"")&amp;IF(INDEX('Reguler Class Availability'!$J:$J,$Q322)&amp;""="",""," + asst "&amp;PROPER(INDEX('Reguler Class Availability'!$J:$J,$Q322)&amp;"")))</f>
        <v/>
      </c>
      <c r="I322" s="77" t="s">
        <v>411</v>
      </c>
      <c r="J322" s="77" t="s">
        <v>260</v>
      </c>
      <c r="K322" s="78"/>
      <c r="L322" s="78"/>
      <c r="M322" s="78"/>
      <c r="N322" s="79"/>
      <c r="O322" s="78"/>
      <c r="Q322" s="30" t="n">
        <f aca="false">IFERROR(MATCH($B$4&amp;"|- Lane "&amp;D322&amp;" - "&amp;B322&amp;"|"&amp;C322,'Reguler Class Availability'!$L:$L,0),"")</f>
        <v>1780</v>
      </c>
      <c r="BD322" s="30" t="s">
        <v>129</v>
      </c>
      <c r="BE322" s="30" t="n">
        <f aca="false">IF(COUNTIFS('Reguler Class Availability'!$L:$L,$B$4&amp;"|- Lane 6 - *|"&amp;BD322)&gt;0,1,0)</f>
        <v>0</v>
      </c>
      <c r="BF322" s="30" t="n">
        <f aca="false">BE322+BF321</f>
        <v>0</v>
      </c>
    </row>
    <row r="323" customFormat="false" ht="15.75" hidden="false" customHeight="true" outlineLevel="0" collapsed="false">
      <c r="A323" s="76" t="n">
        <v>197</v>
      </c>
      <c r="B323" s="77" t="s">
        <v>118</v>
      </c>
      <c r="C323" s="76" t="s">
        <v>147</v>
      </c>
      <c r="D323" s="76" t="n">
        <v>4</v>
      </c>
      <c r="E323" s="77" t="str">
        <f aca="false">IF($Q323="","Tidak ada di data",IF(AND(IFERROR(--(INDEX('Reguler Class Availability'!$F:$F,$Q323)&amp;""),0)=0,IFERROR(--(INDEX('Reguler Class Availability'!$G:$G,$Q323)&amp;""),0)=0),"Tutup",IF(IFERROR(--(INDEX('Reguler Class Availability'!$G:$G,$Q323)&amp;""),0)&gt;IFERROR(--(INDEX('Reguler Class Availability'!$F:$F,$Q323)&amp;""),0),"Lebih",IF(IFERROR(--(INDEX('Reguler Class Availability'!$G:$G,$Q323)&amp;""),0)=IFERROR(--(INDEX('Reguler Class Availability'!$F:$F,$Q323)&amp;""),0),"Penuh",IF(IFERROR(--(INDEX('Reguler Class Availability'!$G:$G,$Q323)&amp;""),0)=0,IF(INDEX('Reguler Class Availability'!$B:$B,$Q323)&amp;""="","Kosong","Belum terisi"),IF(IFERROR(--(INDEX('Reguler Class Availability'!$G:$G,$Q323)&amp;""),0)/IFERROR(--(INDEX('Reguler Class Availability'!$F:$F,$Q323)&amp;""),0)&gt;=0.6,"Tinggi","Sebagian"))))))</f>
        <v>Belum terisi</v>
      </c>
      <c r="F323" s="77" t="str">
        <f aca="false">IF($Q323="","",PROPER(INDEX('Reguler Class Availability'!$B:$B,$Q323)&amp;""))</f>
        <v>Kids</v>
      </c>
      <c r="G323" s="76" t="n">
        <f aca="false">IF($Q323="","",IFERROR(--(INDEX('Reguler Class Availability'!$F:$F,$Q323)&amp;""),0))</f>
        <v>4</v>
      </c>
      <c r="H323" s="77" t="str">
        <f aca="false">IF($Q323="","",PROPER(INDEX('Reguler Class Availability'!$I:$I,$Q323)&amp;"")&amp;IF(INDEX('Reguler Class Availability'!$J:$J,$Q323)&amp;""="",""," + asst "&amp;PROPER(INDEX('Reguler Class Availability'!$J:$J,$Q323)&amp;"")))</f>
        <v/>
      </c>
      <c r="I323" s="77" t="s">
        <v>411</v>
      </c>
      <c r="J323" s="77" t="s">
        <v>260</v>
      </c>
      <c r="K323" s="78"/>
      <c r="L323" s="78"/>
      <c r="M323" s="78"/>
      <c r="N323" s="79"/>
      <c r="O323" s="78"/>
      <c r="Q323" s="30" t="n">
        <f aca="false">IFERROR(MATCH($B$4&amp;"|- Lane "&amp;D323&amp;" - "&amp;B323&amp;"|"&amp;C323,'Reguler Class Availability'!$L:$L,0),"")</f>
        <v>1864</v>
      </c>
      <c r="BD323" s="30" t="s">
        <v>130</v>
      </c>
      <c r="BE323" s="30" t="n">
        <f aca="false">IF(COUNTIFS('Reguler Class Availability'!$L:$L,$B$4&amp;"|- Lane 6 - *|"&amp;BD323)&gt;0,1,0)</f>
        <v>0</v>
      </c>
      <c r="BF323" s="30" t="n">
        <f aca="false">BE323+BF322</f>
        <v>0</v>
      </c>
    </row>
    <row r="324" customFormat="false" ht="27.75" hidden="false" customHeight="true" outlineLevel="0" collapsed="false">
      <c r="A324" s="76" t="n">
        <v>198</v>
      </c>
      <c r="B324" s="77" t="s">
        <v>118</v>
      </c>
      <c r="C324" s="76" t="s">
        <v>149</v>
      </c>
      <c r="D324" s="76" t="n">
        <v>1</v>
      </c>
      <c r="E324" s="77" t="str">
        <f aca="false">IF($Q324="","Tidak ada di data",IF(AND(IFERROR(--(INDEX('Reguler Class Availability'!$F:$F,$Q324)&amp;""),0)=0,IFERROR(--(INDEX('Reguler Class Availability'!$G:$G,$Q324)&amp;""),0)=0),"Tutup",IF(IFERROR(--(INDEX('Reguler Class Availability'!$G:$G,$Q324)&amp;""),0)&gt;IFERROR(--(INDEX('Reguler Class Availability'!$F:$F,$Q324)&amp;""),0),"Lebih",IF(IFERROR(--(INDEX('Reguler Class Availability'!$G:$G,$Q324)&amp;""),0)=IFERROR(--(INDEX('Reguler Class Availability'!$F:$F,$Q324)&amp;""),0),"Penuh",IF(IFERROR(--(INDEX('Reguler Class Availability'!$G:$G,$Q324)&amp;""),0)=0,IF(INDEX('Reguler Class Availability'!$B:$B,$Q324)&amp;""="","Kosong","Belum terisi"),IF(IFERROR(--(INDEX('Reguler Class Availability'!$G:$G,$Q324)&amp;""),0)/IFERROR(--(INDEX('Reguler Class Availability'!$F:$F,$Q324)&amp;""),0)&gt;=0.6,"Tinggi","Sebagian"))))))</f>
        <v>Belum terisi</v>
      </c>
      <c r="F324" s="77" t="str">
        <f aca="false">IF($Q324="","",PROPER(INDEX('Reguler Class Availability'!$B:$B,$Q324)&amp;""))</f>
        <v>Baby</v>
      </c>
      <c r="G324" s="76" t="n">
        <f aca="false">IF($Q324="","",IFERROR(--(INDEX('Reguler Class Availability'!$F:$F,$Q324)&amp;""),0))</f>
        <v>5</v>
      </c>
      <c r="H324" s="77" t="str">
        <f aca="false">IF($Q324="","",PROPER(INDEX('Reguler Class Availability'!$I:$I,$Q324)&amp;"")&amp;IF(INDEX('Reguler Class Availability'!$J:$J,$Q324)&amp;""="",""," + asst "&amp;PROPER(INDEX('Reguler Class Availability'!$J:$J,$Q324)&amp;"")))</f>
        <v/>
      </c>
      <c r="I324" s="77" t="s">
        <v>427</v>
      </c>
      <c r="J324" s="77" t="s">
        <v>188</v>
      </c>
      <c r="K324" s="78"/>
      <c r="L324" s="78"/>
      <c r="M324" s="78"/>
      <c r="N324" s="79"/>
      <c r="O324" s="78"/>
      <c r="Q324" s="30" t="n">
        <f aca="false">IFERROR(MATCH($B$4&amp;"|- Lane "&amp;D324&amp;" - "&amp;B324&amp;"|"&amp;C324,'Reguler Class Availability'!$L:$L,0),"")</f>
        <v>1613</v>
      </c>
      <c r="BD324" s="30" t="s">
        <v>131</v>
      </c>
      <c r="BE324" s="30" t="n">
        <f aca="false">IF(COUNTIFS('Reguler Class Availability'!$L:$L,$B$4&amp;"|- Lane 6 - *|"&amp;BD324)&gt;0,1,0)</f>
        <v>0</v>
      </c>
      <c r="BF324" s="30" t="n">
        <f aca="false">BE324+BF323</f>
        <v>0</v>
      </c>
    </row>
    <row r="325" customFormat="false" ht="27.75" hidden="false" customHeight="true" outlineLevel="0" collapsed="false">
      <c r="A325" s="76" t="n">
        <v>199</v>
      </c>
      <c r="B325" s="77" t="s">
        <v>118</v>
      </c>
      <c r="C325" s="76" t="s">
        <v>149</v>
      </c>
      <c r="D325" s="76" t="n">
        <v>2</v>
      </c>
      <c r="E325" s="77" t="str">
        <f aca="false">IF($Q325="","Tidak ada di data",IF(AND(IFERROR(--(INDEX('Reguler Class Availability'!$F:$F,$Q325)&amp;""),0)=0,IFERROR(--(INDEX('Reguler Class Availability'!$G:$G,$Q325)&amp;""),0)=0),"Tutup",IF(IFERROR(--(INDEX('Reguler Class Availability'!$G:$G,$Q325)&amp;""),0)&gt;IFERROR(--(INDEX('Reguler Class Availability'!$F:$F,$Q325)&amp;""),0),"Lebih",IF(IFERROR(--(INDEX('Reguler Class Availability'!$G:$G,$Q325)&amp;""),0)=IFERROR(--(INDEX('Reguler Class Availability'!$F:$F,$Q325)&amp;""),0),"Penuh",IF(IFERROR(--(INDEX('Reguler Class Availability'!$G:$G,$Q325)&amp;""),0)=0,IF(INDEX('Reguler Class Availability'!$B:$B,$Q325)&amp;""="","Kosong","Belum terisi"),IF(IFERROR(--(INDEX('Reguler Class Availability'!$G:$G,$Q325)&amp;""),0)/IFERROR(--(INDEX('Reguler Class Availability'!$F:$F,$Q325)&amp;""),0)&gt;=0.6,"Tinggi","Sebagian"))))))</f>
        <v>Belum terisi</v>
      </c>
      <c r="F325" s="77" t="str">
        <f aca="false">IF($Q325="","",PROPER(INDEX('Reguler Class Availability'!$B:$B,$Q325)&amp;""))</f>
        <v>Little</v>
      </c>
      <c r="G325" s="76" t="n">
        <f aca="false">IF($Q325="","",IFERROR(--(INDEX('Reguler Class Availability'!$F:$F,$Q325)&amp;""),0))</f>
        <v>5</v>
      </c>
      <c r="H325" s="77" t="str">
        <f aca="false">IF($Q325="","",PROPER(INDEX('Reguler Class Availability'!$I:$I,$Q325)&amp;"")&amp;IF(INDEX('Reguler Class Availability'!$J:$J,$Q325)&amp;""="",""," + asst "&amp;PROPER(INDEX('Reguler Class Availability'!$J:$J,$Q325)&amp;"")))</f>
        <v/>
      </c>
      <c r="I325" s="77" t="s">
        <v>427</v>
      </c>
      <c r="J325" s="77" t="s">
        <v>188</v>
      </c>
      <c r="K325" s="78"/>
      <c r="L325" s="78"/>
      <c r="M325" s="78"/>
      <c r="N325" s="79"/>
      <c r="O325" s="78"/>
      <c r="Q325" s="30" t="n">
        <f aca="false">IFERROR(MATCH($B$4&amp;"|- Lane "&amp;D325&amp;" - "&amp;B325&amp;"|"&amp;C325,'Reguler Class Availability'!$L:$L,0),"")</f>
        <v>1697</v>
      </c>
      <c r="BD325" s="30" t="s">
        <v>132</v>
      </c>
      <c r="BE325" s="30" t="n">
        <f aca="false">IF(COUNTIFS('Reguler Class Availability'!$L:$L,$B$4&amp;"|- Lane 6 - *|"&amp;BD325)&gt;0,1,0)</f>
        <v>0</v>
      </c>
      <c r="BF325" s="30" t="n">
        <f aca="false">BE325+BF324</f>
        <v>0</v>
      </c>
    </row>
    <row r="326" customFormat="false" ht="27.75" hidden="false" customHeight="true" outlineLevel="0" collapsed="false">
      <c r="A326" s="76" t="n">
        <v>200</v>
      </c>
      <c r="B326" s="77" t="s">
        <v>118</v>
      </c>
      <c r="C326" s="76" t="s">
        <v>150</v>
      </c>
      <c r="D326" s="76" t="n">
        <v>3</v>
      </c>
      <c r="E326" s="77" t="str">
        <f aca="false">IF($Q326="","Tidak ada di data",IF(AND(IFERROR(--(INDEX('Reguler Class Availability'!$F:$F,$Q326)&amp;""),0)=0,IFERROR(--(INDEX('Reguler Class Availability'!$G:$G,$Q326)&amp;""),0)=0),"Tutup",IF(IFERROR(--(INDEX('Reguler Class Availability'!$G:$G,$Q326)&amp;""),0)&gt;IFERROR(--(INDEX('Reguler Class Availability'!$F:$F,$Q326)&amp;""),0),"Lebih",IF(IFERROR(--(INDEX('Reguler Class Availability'!$G:$G,$Q326)&amp;""),0)=IFERROR(--(INDEX('Reguler Class Availability'!$F:$F,$Q326)&amp;""),0),"Penuh",IF(IFERROR(--(INDEX('Reguler Class Availability'!$G:$G,$Q326)&amp;""),0)=0,IF(INDEX('Reguler Class Availability'!$B:$B,$Q326)&amp;""="","Kosong","Belum terisi"),IF(IFERROR(--(INDEX('Reguler Class Availability'!$G:$G,$Q326)&amp;""),0)/IFERROR(--(INDEX('Reguler Class Availability'!$F:$F,$Q326)&amp;""),0)&gt;=0.6,"Tinggi","Sebagian"))))))</f>
        <v>Belum terisi</v>
      </c>
      <c r="F326" s="77" t="str">
        <f aca="false">IF($Q326="","",PROPER(INDEX('Reguler Class Availability'!$B:$B,$Q326)&amp;""))</f>
        <v>Kids</v>
      </c>
      <c r="G326" s="76" t="n">
        <f aca="false">IF($Q326="","",IFERROR(--(INDEX('Reguler Class Availability'!$F:$F,$Q326)&amp;""),0))</f>
        <v>4</v>
      </c>
      <c r="H326" s="77" t="str">
        <f aca="false">IF($Q326="","",PROPER(INDEX('Reguler Class Availability'!$I:$I,$Q326)&amp;"")&amp;IF(INDEX('Reguler Class Availability'!$J:$J,$Q326)&amp;""="",""," + asst "&amp;PROPER(INDEX('Reguler Class Availability'!$J:$J,$Q326)&amp;"")))</f>
        <v/>
      </c>
      <c r="I326" s="77" t="s">
        <v>422</v>
      </c>
      <c r="J326" s="77" t="s">
        <v>188</v>
      </c>
      <c r="K326" s="78"/>
      <c r="L326" s="78"/>
      <c r="M326" s="78"/>
      <c r="N326" s="79"/>
      <c r="O326" s="78"/>
      <c r="Q326" s="30" t="n">
        <f aca="false">IFERROR(MATCH($B$4&amp;"|- Lane "&amp;D326&amp;" - "&amp;B326&amp;"|"&amp;C326,'Reguler Class Availability'!$L:$L,0),"")</f>
        <v>1781</v>
      </c>
      <c r="BD326" s="30" t="s">
        <v>133</v>
      </c>
      <c r="BE326" s="30" t="n">
        <f aca="false">IF(COUNTIFS('Reguler Class Availability'!$L:$L,$B$4&amp;"|- Lane 6 - *|"&amp;BD326)&gt;0,1,0)</f>
        <v>0</v>
      </c>
      <c r="BF326" s="30" t="n">
        <f aca="false">BE326+BF325</f>
        <v>0</v>
      </c>
    </row>
    <row r="327" customFormat="false" ht="27.75" hidden="false" customHeight="true" outlineLevel="0" collapsed="false">
      <c r="A327" s="76" t="n">
        <v>201</v>
      </c>
      <c r="B327" s="77" t="s">
        <v>118</v>
      </c>
      <c r="C327" s="76" t="s">
        <v>150</v>
      </c>
      <c r="D327" s="76" t="n">
        <v>4</v>
      </c>
      <c r="E327" s="77" t="str">
        <f aca="false">IF($Q327="","Tidak ada di data",IF(AND(IFERROR(--(INDEX('Reguler Class Availability'!$F:$F,$Q327)&amp;""),0)=0,IFERROR(--(INDEX('Reguler Class Availability'!$G:$G,$Q327)&amp;""),0)=0),"Tutup",IF(IFERROR(--(INDEX('Reguler Class Availability'!$G:$G,$Q327)&amp;""),0)&gt;IFERROR(--(INDEX('Reguler Class Availability'!$F:$F,$Q327)&amp;""),0),"Lebih",IF(IFERROR(--(INDEX('Reguler Class Availability'!$G:$G,$Q327)&amp;""),0)=IFERROR(--(INDEX('Reguler Class Availability'!$F:$F,$Q327)&amp;""),0),"Penuh",IF(IFERROR(--(INDEX('Reguler Class Availability'!$G:$G,$Q327)&amp;""),0)=0,IF(INDEX('Reguler Class Availability'!$B:$B,$Q327)&amp;""="","Kosong","Belum terisi"),IF(IFERROR(--(INDEX('Reguler Class Availability'!$G:$G,$Q327)&amp;""),0)/IFERROR(--(INDEX('Reguler Class Availability'!$F:$F,$Q327)&amp;""),0)&gt;=0.6,"Tinggi","Sebagian"))))))</f>
        <v>Belum terisi</v>
      </c>
      <c r="F327" s="77" t="str">
        <f aca="false">IF($Q327="","",PROPER(INDEX('Reguler Class Availability'!$B:$B,$Q327)&amp;""))</f>
        <v>Kids</v>
      </c>
      <c r="G327" s="76" t="n">
        <f aca="false">IF($Q327="","",IFERROR(--(INDEX('Reguler Class Availability'!$F:$F,$Q327)&amp;""),0))</f>
        <v>4</v>
      </c>
      <c r="H327" s="77" t="str">
        <f aca="false">IF($Q327="","",PROPER(INDEX('Reguler Class Availability'!$I:$I,$Q327)&amp;"")&amp;IF(INDEX('Reguler Class Availability'!$J:$J,$Q327)&amp;""="",""," + asst "&amp;PROPER(INDEX('Reguler Class Availability'!$J:$J,$Q327)&amp;"")))</f>
        <v/>
      </c>
      <c r="I327" s="77" t="s">
        <v>422</v>
      </c>
      <c r="J327" s="77" t="s">
        <v>188</v>
      </c>
      <c r="K327" s="78"/>
      <c r="L327" s="78"/>
      <c r="M327" s="78"/>
      <c r="N327" s="79"/>
      <c r="O327" s="78"/>
      <c r="Q327" s="30" t="n">
        <f aca="false">IFERROR(MATCH($B$4&amp;"|- Lane "&amp;D327&amp;" - "&amp;B327&amp;"|"&amp;C327,'Reguler Class Availability'!$L:$L,0),"")</f>
        <v>1865</v>
      </c>
      <c r="BD327" s="30" t="s">
        <v>134</v>
      </c>
      <c r="BE327" s="30" t="n">
        <f aca="false">IF(COUNTIFS('Reguler Class Availability'!$L:$L,$B$4&amp;"|- Lane 6 - *|"&amp;BD327)&gt;0,1,0)</f>
        <v>0</v>
      </c>
      <c r="BF327" s="30" t="n">
        <f aca="false">BE327+BF326</f>
        <v>0</v>
      </c>
    </row>
    <row r="328" customFormat="false" ht="15.75" hidden="false" customHeight="true" outlineLevel="0" collapsed="false">
      <c r="A328" s="76" t="n">
        <v>202</v>
      </c>
      <c r="B328" s="77" t="s">
        <v>118</v>
      </c>
      <c r="C328" s="76" t="s">
        <v>152</v>
      </c>
      <c r="D328" s="76" t="n">
        <v>1</v>
      </c>
      <c r="E328" s="77" t="str">
        <f aca="false">IF($Q328="","Tidak ada di data",IF(AND(IFERROR(--(INDEX('Reguler Class Availability'!$F:$F,$Q328)&amp;""),0)=0,IFERROR(--(INDEX('Reguler Class Availability'!$G:$G,$Q328)&amp;""),0)=0),"Tutup",IF(IFERROR(--(INDEX('Reguler Class Availability'!$G:$G,$Q328)&amp;""),0)&gt;IFERROR(--(INDEX('Reguler Class Availability'!$F:$F,$Q328)&amp;""),0),"Lebih",IF(IFERROR(--(INDEX('Reguler Class Availability'!$G:$G,$Q328)&amp;""),0)=IFERROR(--(INDEX('Reguler Class Availability'!$F:$F,$Q328)&amp;""),0),"Penuh",IF(IFERROR(--(INDEX('Reguler Class Availability'!$G:$G,$Q328)&amp;""),0)=0,IF(INDEX('Reguler Class Availability'!$B:$B,$Q328)&amp;""="","Kosong","Belum terisi"),IF(IFERROR(--(INDEX('Reguler Class Availability'!$G:$G,$Q328)&amp;""),0)/IFERROR(--(INDEX('Reguler Class Availability'!$F:$F,$Q328)&amp;""),0)&gt;=0.6,"Tinggi","Sebagian"))))))</f>
        <v>Belum terisi</v>
      </c>
      <c r="F328" s="77" t="str">
        <f aca="false">IF($Q328="","",PROPER(INDEX('Reguler Class Availability'!$B:$B,$Q328)&amp;""))</f>
        <v>Tiny</v>
      </c>
      <c r="G328" s="76" t="n">
        <f aca="false">IF($Q328="","",IFERROR(--(INDEX('Reguler Class Availability'!$F:$F,$Q328)&amp;""),0))</f>
        <v>5</v>
      </c>
      <c r="H328" s="77" t="str">
        <f aca="false">IF($Q328="","",PROPER(INDEX('Reguler Class Availability'!$I:$I,$Q328)&amp;"")&amp;IF(INDEX('Reguler Class Availability'!$J:$J,$Q328)&amp;""="",""," + asst "&amp;PROPER(INDEX('Reguler Class Availability'!$J:$J,$Q328)&amp;"")))</f>
        <v/>
      </c>
      <c r="I328" s="77" t="s">
        <v>424</v>
      </c>
      <c r="J328" s="77" t="s">
        <v>425</v>
      </c>
      <c r="K328" s="78"/>
      <c r="L328" s="78"/>
      <c r="M328" s="78"/>
      <c r="N328" s="79"/>
      <c r="O328" s="78"/>
      <c r="Q328" s="30" t="n">
        <f aca="false">IFERROR(MATCH($B$4&amp;"|- Lane "&amp;D328&amp;" - "&amp;B328&amp;"|"&amp;C328,'Reguler Class Availability'!$L:$L,0),"")</f>
        <v>1614</v>
      </c>
      <c r="BD328" s="30" t="s">
        <v>135</v>
      </c>
      <c r="BE328" s="30" t="n">
        <f aca="false">IF(COUNTIFS('Reguler Class Availability'!$L:$L,$B$4&amp;"|- Lane 6 - *|"&amp;BD328)&gt;0,1,0)</f>
        <v>0</v>
      </c>
      <c r="BF328" s="30" t="n">
        <f aca="false">BE328+BF327</f>
        <v>0</v>
      </c>
    </row>
    <row r="329" customFormat="false" ht="15.75" hidden="false" customHeight="true" outlineLevel="0" collapsed="false">
      <c r="A329" s="76" t="n">
        <v>203</v>
      </c>
      <c r="B329" s="77" t="s">
        <v>118</v>
      </c>
      <c r="C329" s="76" t="s">
        <v>153</v>
      </c>
      <c r="D329" s="76" t="n">
        <v>4</v>
      </c>
      <c r="E329" s="77" t="str">
        <f aca="false">IF($Q329="","Tidak ada di data",IF(AND(IFERROR(--(INDEX('Reguler Class Availability'!$F:$F,$Q329)&amp;""),0)=0,IFERROR(--(INDEX('Reguler Class Availability'!$G:$G,$Q329)&amp;""),0)=0),"Tutup",IF(IFERROR(--(INDEX('Reguler Class Availability'!$G:$G,$Q329)&amp;""),0)&gt;IFERROR(--(INDEX('Reguler Class Availability'!$F:$F,$Q329)&amp;""),0),"Lebih",IF(IFERROR(--(INDEX('Reguler Class Availability'!$G:$G,$Q329)&amp;""),0)=IFERROR(--(INDEX('Reguler Class Availability'!$F:$F,$Q329)&amp;""),0),"Penuh",IF(IFERROR(--(INDEX('Reguler Class Availability'!$G:$G,$Q329)&amp;""),0)=0,IF(INDEX('Reguler Class Availability'!$B:$B,$Q329)&amp;""="","Kosong","Belum terisi"),IF(IFERROR(--(INDEX('Reguler Class Availability'!$G:$G,$Q329)&amp;""),0)/IFERROR(--(INDEX('Reguler Class Availability'!$F:$F,$Q329)&amp;""),0)&gt;=0.6,"Tinggi","Sebagian"))))))</f>
        <v>Belum terisi</v>
      </c>
      <c r="F329" s="77" t="str">
        <f aca="false">IF($Q329="","",PROPER(INDEX('Reguler Class Availability'!$B:$B,$Q329)&amp;""))</f>
        <v>Kids</v>
      </c>
      <c r="G329" s="76" t="n">
        <f aca="false">IF($Q329="","",IFERROR(--(INDEX('Reguler Class Availability'!$F:$F,$Q329)&amp;""),0))</f>
        <v>4</v>
      </c>
      <c r="H329" s="77" t="str">
        <f aca="false">IF($Q329="","",PROPER(INDEX('Reguler Class Availability'!$I:$I,$Q329)&amp;"")&amp;IF(INDEX('Reguler Class Availability'!$J:$J,$Q329)&amp;""="",""," + asst "&amp;PROPER(INDEX('Reguler Class Availability'!$J:$J,$Q329)&amp;"")))</f>
        <v/>
      </c>
      <c r="I329" s="80" t="s">
        <v>199</v>
      </c>
      <c r="J329" s="77" t="s">
        <v>266</v>
      </c>
      <c r="K329" s="78"/>
      <c r="L329" s="78"/>
      <c r="M329" s="78"/>
      <c r="N329" s="79"/>
      <c r="O329" s="78"/>
      <c r="Q329" s="30" t="n">
        <f aca="false">IFERROR(MATCH($B$4&amp;"|- Lane "&amp;D329&amp;" - "&amp;B329&amp;"|"&amp;C329,'Reguler Class Availability'!$L:$L,0),"")</f>
        <v>1866</v>
      </c>
      <c r="BD329" s="30" t="s">
        <v>136</v>
      </c>
      <c r="BE329" s="30" t="n">
        <f aca="false">IF(COUNTIFS('Reguler Class Availability'!$L:$L,$B$4&amp;"|- Lane 6 - *|"&amp;BD329)&gt;0,1,0)</f>
        <v>0</v>
      </c>
      <c r="BF329" s="30" t="n">
        <f aca="false">BE329+BF328</f>
        <v>0</v>
      </c>
    </row>
    <row r="330" customFormat="false" ht="15.75" hidden="false" customHeight="true" outlineLevel="0" collapsed="false">
      <c r="A330" s="76" t="n">
        <v>204</v>
      </c>
      <c r="B330" s="77" t="s">
        <v>118</v>
      </c>
      <c r="C330" s="76" t="s">
        <v>155</v>
      </c>
      <c r="D330" s="76" t="n">
        <v>1</v>
      </c>
      <c r="E330" s="77" t="str">
        <f aca="false">IF($Q330="","Tidak ada di data",IF(AND(IFERROR(--(INDEX('Reguler Class Availability'!$F:$F,$Q330)&amp;""),0)=0,IFERROR(--(INDEX('Reguler Class Availability'!$G:$G,$Q330)&amp;""),0)=0),"Tutup",IF(IFERROR(--(INDEX('Reguler Class Availability'!$G:$G,$Q330)&amp;""),0)&gt;IFERROR(--(INDEX('Reguler Class Availability'!$F:$F,$Q330)&amp;""),0),"Lebih",IF(IFERROR(--(INDEX('Reguler Class Availability'!$G:$G,$Q330)&amp;""),0)=IFERROR(--(INDEX('Reguler Class Availability'!$F:$F,$Q330)&amp;""),0),"Penuh",IF(IFERROR(--(INDEX('Reguler Class Availability'!$G:$G,$Q330)&amp;""),0)=0,IF(INDEX('Reguler Class Availability'!$B:$B,$Q330)&amp;""="","Kosong","Belum terisi"),IF(IFERROR(--(INDEX('Reguler Class Availability'!$G:$G,$Q330)&amp;""),0)/IFERROR(--(INDEX('Reguler Class Availability'!$F:$F,$Q330)&amp;""),0)&gt;=0.6,"Tinggi","Sebagian"))))))</f>
        <v>Belum terisi</v>
      </c>
      <c r="F330" s="77" t="str">
        <f aca="false">IF($Q330="","",PROPER(INDEX('Reguler Class Availability'!$B:$B,$Q330)&amp;""))</f>
        <v>Baby</v>
      </c>
      <c r="G330" s="76" t="n">
        <f aca="false">IF($Q330="","",IFERROR(--(INDEX('Reguler Class Availability'!$F:$F,$Q330)&amp;""),0))</f>
        <v>5</v>
      </c>
      <c r="H330" s="77" t="str">
        <f aca="false">IF($Q330="","",PROPER(INDEX('Reguler Class Availability'!$I:$I,$Q330)&amp;"")&amp;IF(INDEX('Reguler Class Availability'!$J:$J,$Q330)&amp;""="",""," + asst "&amp;PROPER(INDEX('Reguler Class Availability'!$J:$J,$Q330)&amp;"")))</f>
        <v/>
      </c>
      <c r="I330" s="80" t="s">
        <v>199</v>
      </c>
      <c r="J330" s="77" t="s">
        <v>303</v>
      </c>
      <c r="K330" s="78"/>
      <c r="L330" s="78"/>
      <c r="M330" s="78"/>
      <c r="N330" s="79"/>
      <c r="O330" s="78"/>
      <c r="Q330" s="30" t="n">
        <f aca="false">IFERROR(MATCH($B$4&amp;"|- Lane "&amp;D330&amp;" - "&amp;B330&amp;"|"&amp;C330,'Reguler Class Availability'!$L:$L,0),"")</f>
        <v>1615</v>
      </c>
      <c r="BD330" s="30" t="s">
        <v>138</v>
      </c>
      <c r="BE330" s="30" t="n">
        <f aca="false">IF(COUNTIFS('Reguler Class Availability'!$L:$L,$B$4&amp;"|- Lane 6 - *|"&amp;BD330)&gt;0,1,0)</f>
        <v>0</v>
      </c>
      <c r="BF330" s="30" t="n">
        <f aca="false">BE330+BF329</f>
        <v>0</v>
      </c>
    </row>
    <row r="331" customFormat="false" ht="15.75" hidden="false" customHeight="true" outlineLevel="0" collapsed="false">
      <c r="A331" s="76" t="n">
        <v>205</v>
      </c>
      <c r="B331" s="77" t="s">
        <v>118</v>
      </c>
      <c r="C331" s="76" t="s">
        <v>156</v>
      </c>
      <c r="D331" s="76" t="n">
        <v>4</v>
      </c>
      <c r="E331" s="77" t="str">
        <f aca="false">IF($Q331="","Tidak ada di data",IF(AND(IFERROR(--(INDEX('Reguler Class Availability'!$F:$F,$Q331)&amp;""),0)=0,IFERROR(--(INDEX('Reguler Class Availability'!$G:$G,$Q331)&amp;""),0)=0),"Tutup",IF(IFERROR(--(INDEX('Reguler Class Availability'!$G:$G,$Q331)&amp;""),0)&gt;IFERROR(--(INDEX('Reguler Class Availability'!$F:$F,$Q331)&amp;""),0),"Lebih",IF(IFERROR(--(INDEX('Reguler Class Availability'!$G:$G,$Q331)&amp;""),0)=IFERROR(--(INDEX('Reguler Class Availability'!$F:$F,$Q331)&amp;""),0),"Penuh",IF(IFERROR(--(INDEX('Reguler Class Availability'!$G:$G,$Q331)&amp;""),0)=0,IF(INDEX('Reguler Class Availability'!$B:$B,$Q331)&amp;""="","Kosong","Belum terisi"),IF(IFERROR(--(INDEX('Reguler Class Availability'!$G:$G,$Q331)&amp;""),0)/IFERROR(--(INDEX('Reguler Class Availability'!$F:$F,$Q331)&amp;""),0)&gt;=0.6,"Tinggi","Sebagian"))))))</f>
        <v>Belum terisi</v>
      </c>
      <c r="F331" s="77" t="str">
        <f aca="false">IF($Q331="","",PROPER(INDEX('Reguler Class Availability'!$B:$B,$Q331)&amp;""))</f>
        <v>Kids</v>
      </c>
      <c r="G331" s="76" t="n">
        <f aca="false">IF($Q331="","",IFERROR(--(INDEX('Reguler Class Availability'!$F:$F,$Q331)&amp;""),0))</f>
        <v>4</v>
      </c>
      <c r="H331" s="77" t="str">
        <f aca="false">IF($Q331="","",PROPER(INDEX('Reguler Class Availability'!$I:$I,$Q331)&amp;"")&amp;IF(INDEX('Reguler Class Availability'!$J:$J,$Q331)&amp;""="",""," + asst "&amp;PROPER(INDEX('Reguler Class Availability'!$J:$J,$Q331)&amp;"")))</f>
        <v/>
      </c>
      <c r="I331" s="77" t="s">
        <v>423</v>
      </c>
      <c r="J331" s="77" t="s">
        <v>188</v>
      </c>
      <c r="K331" s="78"/>
      <c r="L331" s="78"/>
      <c r="M331" s="78"/>
      <c r="N331" s="79"/>
      <c r="O331" s="78"/>
      <c r="Q331" s="30" t="n">
        <f aca="false">IFERROR(MATCH($B$4&amp;"|- Lane "&amp;D331&amp;" - "&amp;B331&amp;"|"&amp;C331,'Reguler Class Availability'!$L:$L,0),"")</f>
        <v>1867</v>
      </c>
      <c r="BD331" s="30" t="s">
        <v>139</v>
      </c>
      <c r="BE331" s="30" t="n">
        <f aca="false">IF(COUNTIFS('Reguler Class Availability'!$L:$L,$B$4&amp;"|- Lane 6 - *|"&amp;BD331)&gt;0,1,0)</f>
        <v>0</v>
      </c>
      <c r="BF331" s="30" t="n">
        <f aca="false">BE331+BF330</f>
        <v>0</v>
      </c>
    </row>
    <row r="332" customFormat="false" ht="40.5" hidden="false" customHeight="true" outlineLevel="0" collapsed="false">
      <c r="A332" s="76" t="n">
        <v>206</v>
      </c>
      <c r="B332" s="77" t="s">
        <v>119</v>
      </c>
      <c r="C332" s="76" t="s">
        <v>105</v>
      </c>
      <c r="D332" s="76" t="n">
        <v>1</v>
      </c>
      <c r="E332" s="77" t="str">
        <f aca="false">IF($Q332="","Tidak ada di data",IF(AND(IFERROR(--(INDEX('Reguler Class Availability'!$F:$F,$Q332)&amp;""),0)=0,IFERROR(--(INDEX('Reguler Class Availability'!$G:$G,$Q332)&amp;""),0)=0),"Tutup",IF(IFERROR(--(INDEX('Reguler Class Availability'!$G:$G,$Q332)&amp;""),0)&gt;IFERROR(--(INDEX('Reguler Class Availability'!$F:$F,$Q332)&amp;""),0),"Lebih",IF(IFERROR(--(INDEX('Reguler Class Availability'!$G:$G,$Q332)&amp;""),0)=IFERROR(--(INDEX('Reguler Class Availability'!$F:$F,$Q332)&amp;""),0),"Penuh",IF(IFERROR(--(INDEX('Reguler Class Availability'!$G:$G,$Q332)&amp;""),0)=0,IF(INDEX('Reguler Class Availability'!$B:$B,$Q332)&amp;""="","Kosong","Belum terisi"),IF(IFERROR(--(INDEX('Reguler Class Availability'!$G:$G,$Q332)&amp;""),0)/IFERROR(--(INDEX('Reguler Class Availability'!$F:$F,$Q332)&amp;""),0)&gt;=0.6,"Tinggi","Sebagian"))))))</f>
        <v>Belum terisi</v>
      </c>
      <c r="F332" s="77" t="str">
        <f aca="false">IF($Q332="","",PROPER(INDEX('Reguler Class Availability'!$B:$B,$Q332)&amp;""))</f>
        <v>Tiny</v>
      </c>
      <c r="G332" s="76" t="n">
        <f aca="false">IF($Q332="","",IFERROR(--(INDEX('Reguler Class Availability'!$F:$F,$Q332)&amp;""),0))</f>
        <v>5</v>
      </c>
      <c r="H332" s="77" t="str">
        <f aca="false">IF($Q332="","",PROPER(INDEX('Reguler Class Availability'!$I:$I,$Q332)&amp;"")&amp;IF(INDEX('Reguler Class Availability'!$J:$J,$Q332)&amp;""="",""," + asst "&amp;PROPER(INDEX('Reguler Class Availability'!$J:$J,$Q332)&amp;"")))</f>
        <v/>
      </c>
      <c r="I332" s="77" t="s">
        <v>429</v>
      </c>
      <c r="J332" s="77" t="s">
        <v>188</v>
      </c>
      <c r="K332" s="78"/>
      <c r="L332" s="78"/>
      <c r="M332" s="78"/>
      <c r="N332" s="79"/>
      <c r="O332" s="78"/>
      <c r="Q332" s="30" t="n">
        <f aca="false">IFERROR(MATCH($B$4&amp;"|- Lane "&amp;D332&amp;" - "&amp;B332&amp;"|"&amp;C332,'Reguler Class Availability'!$L:$L,0),"")</f>
        <v>1616</v>
      </c>
      <c r="BD332" s="30" t="s">
        <v>141</v>
      </c>
      <c r="BE332" s="30" t="n">
        <f aca="false">IF(COUNTIFS('Reguler Class Availability'!$L:$L,$B$4&amp;"|- Lane 6 - *|"&amp;BD332)&gt;0,1,0)</f>
        <v>0</v>
      </c>
      <c r="BF332" s="30" t="n">
        <f aca="false">BE332+BF331</f>
        <v>0</v>
      </c>
    </row>
    <row r="333" customFormat="false" ht="40.5" hidden="false" customHeight="true" outlineLevel="0" collapsed="false">
      <c r="A333" s="76" t="n">
        <v>207</v>
      </c>
      <c r="B333" s="77" t="s">
        <v>119</v>
      </c>
      <c r="C333" s="76" t="s">
        <v>105</v>
      </c>
      <c r="D333" s="76" t="n">
        <v>2</v>
      </c>
      <c r="E333" s="77" t="str">
        <f aca="false">IF($Q333="","Tidak ada di data",IF(AND(IFERROR(--(INDEX('Reguler Class Availability'!$F:$F,$Q333)&amp;""),0)=0,IFERROR(--(INDEX('Reguler Class Availability'!$G:$G,$Q333)&amp;""),0)=0),"Tutup",IF(IFERROR(--(INDEX('Reguler Class Availability'!$G:$G,$Q333)&amp;""),0)&gt;IFERROR(--(INDEX('Reguler Class Availability'!$F:$F,$Q333)&amp;""),0),"Lebih",IF(IFERROR(--(INDEX('Reguler Class Availability'!$G:$G,$Q333)&amp;""),0)=IFERROR(--(INDEX('Reguler Class Availability'!$F:$F,$Q333)&amp;""),0),"Penuh",IF(IFERROR(--(INDEX('Reguler Class Availability'!$G:$G,$Q333)&amp;""),0)=0,IF(INDEX('Reguler Class Availability'!$B:$B,$Q333)&amp;""="","Kosong","Belum terisi"),IF(IFERROR(--(INDEX('Reguler Class Availability'!$G:$G,$Q333)&amp;""),0)/IFERROR(--(INDEX('Reguler Class Availability'!$F:$F,$Q333)&amp;""),0)&gt;=0.6,"Tinggi","Sebagian"))))))</f>
        <v>Belum terisi</v>
      </c>
      <c r="F333" s="77" t="str">
        <f aca="false">IF($Q333="","",PROPER(INDEX('Reguler Class Availability'!$B:$B,$Q333)&amp;""))</f>
        <v>Little</v>
      </c>
      <c r="G333" s="76" t="n">
        <f aca="false">IF($Q333="","",IFERROR(--(INDEX('Reguler Class Availability'!$F:$F,$Q333)&amp;""),0))</f>
        <v>5</v>
      </c>
      <c r="H333" s="77" t="str">
        <f aca="false">IF($Q333="","",PROPER(INDEX('Reguler Class Availability'!$I:$I,$Q333)&amp;"")&amp;IF(INDEX('Reguler Class Availability'!$J:$J,$Q333)&amp;""="",""," + asst "&amp;PROPER(INDEX('Reguler Class Availability'!$J:$J,$Q333)&amp;"")))</f>
        <v/>
      </c>
      <c r="I333" s="77" t="s">
        <v>429</v>
      </c>
      <c r="J333" s="77" t="s">
        <v>188</v>
      </c>
      <c r="K333" s="78"/>
      <c r="L333" s="78"/>
      <c r="M333" s="78"/>
      <c r="N333" s="79"/>
      <c r="O333" s="78"/>
      <c r="Q333" s="30" t="n">
        <f aca="false">IFERROR(MATCH($B$4&amp;"|- Lane "&amp;D333&amp;" - "&amp;B333&amp;"|"&amp;C333,'Reguler Class Availability'!$L:$L,0),"")</f>
        <v>1700</v>
      </c>
      <c r="BD333" s="30" t="s">
        <v>142</v>
      </c>
      <c r="BE333" s="30" t="n">
        <f aca="false">IF(COUNTIFS('Reguler Class Availability'!$L:$L,$B$4&amp;"|- Lane 6 - *|"&amp;BD333)&gt;0,1,0)</f>
        <v>0</v>
      </c>
      <c r="BF333" s="30" t="n">
        <f aca="false">BE333+BF332</f>
        <v>0</v>
      </c>
    </row>
    <row r="334" customFormat="false" ht="40.5" hidden="false" customHeight="true" outlineLevel="0" collapsed="false">
      <c r="A334" s="76" t="n">
        <v>208</v>
      </c>
      <c r="B334" s="77" t="s">
        <v>119</v>
      </c>
      <c r="C334" s="76" t="s">
        <v>110</v>
      </c>
      <c r="D334" s="76" t="n">
        <v>3</v>
      </c>
      <c r="E334" s="77" t="str">
        <f aca="false">IF($Q334="","Tidak ada di data",IF(AND(IFERROR(--(INDEX('Reguler Class Availability'!$F:$F,$Q334)&amp;""),0)=0,IFERROR(--(INDEX('Reguler Class Availability'!$G:$G,$Q334)&amp;""),0)=0),"Tutup",IF(IFERROR(--(INDEX('Reguler Class Availability'!$G:$G,$Q334)&amp;""),0)&gt;IFERROR(--(INDEX('Reguler Class Availability'!$F:$F,$Q334)&amp;""),0),"Lebih",IF(IFERROR(--(INDEX('Reguler Class Availability'!$G:$G,$Q334)&amp;""),0)=IFERROR(--(INDEX('Reguler Class Availability'!$F:$F,$Q334)&amp;""),0),"Penuh",IF(IFERROR(--(INDEX('Reguler Class Availability'!$G:$G,$Q334)&amp;""),0)=0,IF(INDEX('Reguler Class Availability'!$B:$B,$Q334)&amp;""="","Kosong","Belum terisi"),IF(IFERROR(--(INDEX('Reguler Class Availability'!$G:$G,$Q334)&amp;""),0)/IFERROR(--(INDEX('Reguler Class Availability'!$F:$F,$Q334)&amp;""),0)&gt;=0.6,"Tinggi","Sebagian"))))))</f>
        <v>Belum terisi</v>
      </c>
      <c r="F334" s="77" t="str">
        <f aca="false">IF($Q334="","",PROPER(INDEX('Reguler Class Availability'!$B:$B,$Q334)&amp;""))</f>
        <v>Kids</v>
      </c>
      <c r="G334" s="76" t="n">
        <f aca="false">IF($Q334="","",IFERROR(--(INDEX('Reguler Class Availability'!$F:$F,$Q334)&amp;""),0))</f>
        <v>4</v>
      </c>
      <c r="H334" s="77" t="str">
        <f aca="false">IF($Q334="","",PROPER(INDEX('Reguler Class Availability'!$I:$I,$Q334)&amp;"")&amp;IF(INDEX('Reguler Class Availability'!$J:$J,$Q334)&amp;""="",""," + asst "&amp;PROPER(INDEX('Reguler Class Availability'!$J:$J,$Q334)&amp;"")))</f>
        <v/>
      </c>
      <c r="I334" s="77" t="s">
        <v>429</v>
      </c>
      <c r="J334" s="77" t="s">
        <v>188</v>
      </c>
      <c r="K334" s="78"/>
      <c r="L334" s="78"/>
      <c r="M334" s="78"/>
      <c r="N334" s="79"/>
      <c r="O334" s="78"/>
      <c r="Q334" s="30" t="n">
        <f aca="false">IFERROR(MATCH($B$4&amp;"|- Lane "&amp;D334&amp;" - "&amp;B334&amp;"|"&amp;C334,'Reguler Class Availability'!$L:$L,0),"")</f>
        <v>1784</v>
      </c>
      <c r="BD334" s="30" t="s">
        <v>143</v>
      </c>
      <c r="BE334" s="30" t="n">
        <f aca="false">IF(COUNTIFS('Reguler Class Availability'!$L:$L,$B$4&amp;"|- Lane 6 - *|"&amp;BD334)&gt;0,1,0)</f>
        <v>0</v>
      </c>
      <c r="BF334" s="30" t="n">
        <f aca="false">BE334+BF333</f>
        <v>0</v>
      </c>
    </row>
    <row r="335" customFormat="false" ht="40.5" hidden="false" customHeight="true" outlineLevel="0" collapsed="false">
      <c r="A335" s="76" t="n">
        <v>209</v>
      </c>
      <c r="B335" s="77" t="s">
        <v>119</v>
      </c>
      <c r="C335" s="76" t="s">
        <v>110</v>
      </c>
      <c r="D335" s="76" t="n">
        <v>4</v>
      </c>
      <c r="E335" s="77" t="str">
        <f aca="false">IF($Q335="","Tidak ada di data",IF(AND(IFERROR(--(INDEX('Reguler Class Availability'!$F:$F,$Q335)&amp;""),0)=0,IFERROR(--(INDEX('Reguler Class Availability'!$G:$G,$Q335)&amp;""),0)=0),"Tutup",IF(IFERROR(--(INDEX('Reguler Class Availability'!$G:$G,$Q335)&amp;""),0)&gt;IFERROR(--(INDEX('Reguler Class Availability'!$F:$F,$Q335)&amp;""),0),"Lebih",IF(IFERROR(--(INDEX('Reguler Class Availability'!$G:$G,$Q335)&amp;""),0)=IFERROR(--(INDEX('Reguler Class Availability'!$F:$F,$Q335)&amp;""),0),"Penuh",IF(IFERROR(--(INDEX('Reguler Class Availability'!$G:$G,$Q335)&amp;""),0)=0,IF(INDEX('Reguler Class Availability'!$B:$B,$Q335)&amp;""="","Kosong","Belum terisi"),IF(IFERROR(--(INDEX('Reguler Class Availability'!$G:$G,$Q335)&amp;""),0)/IFERROR(--(INDEX('Reguler Class Availability'!$F:$F,$Q335)&amp;""),0)&gt;=0.6,"Tinggi","Sebagian"))))))</f>
        <v>Belum terisi</v>
      </c>
      <c r="F335" s="77" t="str">
        <f aca="false">IF($Q335="","",PROPER(INDEX('Reguler Class Availability'!$B:$B,$Q335)&amp;""))</f>
        <v>Kids</v>
      </c>
      <c r="G335" s="76" t="n">
        <f aca="false">IF($Q335="","",IFERROR(--(INDEX('Reguler Class Availability'!$F:$F,$Q335)&amp;""),0))</f>
        <v>4</v>
      </c>
      <c r="H335" s="77" t="str">
        <f aca="false">IF($Q335="","",PROPER(INDEX('Reguler Class Availability'!$I:$I,$Q335)&amp;"")&amp;IF(INDEX('Reguler Class Availability'!$J:$J,$Q335)&amp;""="",""," + asst "&amp;PROPER(INDEX('Reguler Class Availability'!$J:$J,$Q335)&amp;"")))</f>
        <v/>
      </c>
      <c r="I335" s="77" t="s">
        <v>429</v>
      </c>
      <c r="J335" s="77" t="s">
        <v>188</v>
      </c>
      <c r="K335" s="78"/>
      <c r="L335" s="78"/>
      <c r="M335" s="78"/>
      <c r="N335" s="79"/>
      <c r="O335" s="78"/>
      <c r="Q335" s="30" t="n">
        <f aca="false">IFERROR(MATCH($B$4&amp;"|- Lane "&amp;D335&amp;" - "&amp;B335&amp;"|"&amp;C335,'Reguler Class Availability'!$L:$L,0),"")</f>
        <v>1868</v>
      </c>
      <c r="BD335" s="30" t="s">
        <v>144</v>
      </c>
      <c r="BE335" s="30" t="n">
        <f aca="false">IF(COUNTIFS('Reguler Class Availability'!$L:$L,$B$4&amp;"|- Lane 6 - *|"&amp;BD335)&gt;0,1,0)</f>
        <v>0</v>
      </c>
      <c r="BF335" s="30" t="n">
        <f aca="false">BE335+BF334</f>
        <v>0</v>
      </c>
    </row>
    <row r="336" customFormat="false" ht="27.75" hidden="false" customHeight="true" outlineLevel="0" collapsed="false">
      <c r="A336" s="76" t="n">
        <v>210</v>
      </c>
      <c r="B336" s="77" t="s">
        <v>119</v>
      </c>
      <c r="C336" s="76" t="s">
        <v>120</v>
      </c>
      <c r="D336" s="76" t="n">
        <v>1</v>
      </c>
      <c r="E336" s="77" t="str">
        <f aca="false">IF($Q336="","Tidak ada di data",IF(AND(IFERROR(--(INDEX('Reguler Class Availability'!$F:$F,$Q336)&amp;""),0)=0,IFERROR(--(INDEX('Reguler Class Availability'!$G:$G,$Q336)&amp;""),0)=0),"Tutup",IF(IFERROR(--(INDEX('Reguler Class Availability'!$G:$G,$Q336)&amp;""),0)&gt;IFERROR(--(INDEX('Reguler Class Availability'!$F:$F,$Q336)&amp;""),0),"Lebih",IF(IFERROR(--(INDEX('Reguler Class Availability'!$G:$G,$Q336)&amp;""),0)=IFERROR(--(INDEX('Reguler Class Availability'!$F:$F,$Q336)&amp;""),0),"Penuh",IF(IFERROR(--(INDEX('Reguler Class Availability'!$G:$G,$Q336)&amp;""),0)=0,IF(INDEX('Reguler Class Availability'!$B:$B,$Q336)&amp;""="","Kosong","Belum terisi"),IF(IFERROR(--(INDEX('Reguler Class Availability'!$G:$G,$Q336)&amp;""),0)/IFERROR(--(INDEX('Reguler Class Availability'!$F:$F,$Q336)&amp;""),0)&gt;=0.6,"Tinggi","Sebagian"))))))</f>
        <v>Belum terisi</v>
      </c>
      <c r="F336" s="77" t="str">
        <f aca="false">IF($Q336="","",PROPER(INDEX('Reguler Class Availability'!$B:$B,$Q336)&amp;""))</f>
        <v>Baby</v>
      </c>
      <c r="G336" s="76" t="n">
        <f aca="false">IF($Q336="","",IFERROR(--(INDEX('Reguler Class Availability'!$F:$F,$Q336)&amp;""),0))</f>
        <v>5</v>
      </c>
      <c r="H336" s="77" t="str">
        <f aca="false">IF($Q336="","",PROPER(INDEX('Reguler Class Availability'!$I:$I,$Q336)&amp;"")&amp;IF(INDEX('Reguler Class Availability'!$J:$J,$Q336)&amp;""="",""," + asst "&amp;PROPER(INDEX('Reguler Class Availability'!$J:$J,$Q336)&amp;"")))</f>
        <v/>
      </c>
      <c r="I336" s="77" t="s">
        <v>430</v>
      </c>
      <c r="J336" s="77" t="s">
        <v>188</v>
      </c>
      <c r="K336" s="78"/>
      <c r="L336" s="78"/>
      <c r="M336" s="78"/>
      <c r="N336" s="79"/>
      <c r="O336" s="78"/>
      <c r="Q336" s="30" t="n">
        <f aca="false">IFERROR(MATCH($B$4&amp;"|- Lane "&amp;D336&amp;" - "&amp;B336&amp;"|"&amp;C336,'Reguler Class Availability'!$L:$L,0),"")</f>
        <v>1617</v>
      </c>
      <c r="BD336" s="30" t="s">
        <v>145</v>
      </c>
      <c r="BE336" s="30" t="n">
        <f aca="false">IF(COUNTIFS('Reguler Class Availability'!$L:$L,$B$4&amp;"|- Lane 6 - *|"&amp;BD336)&gt;0,1,0)</f>
        <v>0</v>
      </c>
      <c r="BF336" s="30" t="n">
        <f aca="false">BE336+BF335</f>
        <v>0</v>
      </c>
    </row>
    <row r="337" customFormat="false" ht="27.75" hidden="false" customHeight="true" outlineLevel="0" collapsed="false">
      <c r="A337" s="76" t="n">
        <v>211</v>
      </c>
      <c r="B337" s="77" t="s">
        <v>119</v>
      </c>
      <c r="C337" s="76" t="s">
        <v>120</v>
      </c>
      <c r="D337" s="76" t="n">
        <v>2</v>
      </c>
      <c r="E337" s="77" t="str">
        <f aca="false">IF($Q337="","Tidak ada di data",IF(AND(IFERROR(--(INDEX('Reguler Class Availability'!$F:$F,$Q337)&amp;""),0)=0,IFERROR(--(INDEX('Reguler Class Availability'!$G:$G,$Q337)&amp;""),0)=0),"Tutup",IF(IFERROR(--(INDEX('Reguler Class Availability'!$G:$G,$Q337)&amp;""),0)&gt;IFERROR(--(INDEX('Reguler Class Availability'!$F:$F,$Q337)&amp;""),0),"Lebih",IF(IFERROR(--(INDEX('Reguler Class Availability'!$G:$G,$Q337)&amp;""),0)=IFERROR(--(INDEX('Reguler Class Availability'!$F:$F,$Q337)&amp;""),0),"Penuh",IF(IFERROR(--(INDEX('Reguler Class Availability'!$G:$G,$Q337)&amp;""),0)=0,IF(INDEX('Reguler Class Availability'!$B:$B,$Q337)&amp;""="","Kosong","Belum terisi"),IF(IFERROR(--(INDEX('Reguler Class Availability'!$G:$G,$Q337)&amp;""),0)/IFERROR(--(INDEX('Reguler Class Availability'!$F:$F,$Q337)&amp;""),0)&gt;=0.6,"Tinggi","Sebagian"))))))</f>
        <v>Belum terisi</v>
      </c>
      <c r="F337" s="77" t="str">
        <f aca="false">IF($Q337="","",PROPER(INDEX('Reguler Class Availability'!$B:$B,$Q337)&amp;""))</f>
        <v>Little</v>
      </c>
      <c r="G337" s="76" t="n">
        <f aca="false">IF($Q337="","",IFERROR(--(INDEX('Reguler Class Availability'!$F:$F,$Q337)&amp;""),0))</f>
        <v>5</v>
      </c>
      <c r="H337" s="77" t="str">
        <f aca="false">IF($Q337="","",PROPER(INDEX('Reguler Class Availability'!$I:$I,$Q337)&amp;"")&amp;IF(INDEX('Reguler Class Availability'!$J:$J,$Q337)&amp;""="",""," + asst "&amp;PROPER(INDEX('Reguler Class Availability'!$J:$J,$Q337)&amp;"")))</f>
        <v/>
      </c>
      <c r="I337" s="77" t="s">
        <v>430</v>
      </c>
      <c r="J337" s="77" t="s">
        <v>188</v>
      </c>
      <c r="K337" s="78"/>
      <c r="L337" s="78"/>
      <c r="M337" s="78"/>
      <c r="N337" s="79"/>
      <c r="O337" s="78"/>
      <c r="Q337" s="30" t="n">
        <f aca="false">IFERROR(MATCH($B$4&amp;"|- Lane "&amp;D337&amp;" - "&amp;B337&amp;"|"&amp;C337,'Reguler Class Availability'!$L:$L,0),"")</f>
        <v>1701</v>
      </c>
      <c r="BD337" s="30" t="s">
        <v>146</v>
      </c>
      <c r="BE337" s="30" t="n">
        <f aca="false">IF(COUNTIFS('Reguler Class Availability'!$L:$L,$B$4&amp;"|- Lane 6 - *|"&amp;BD337)&gt;0,1,0)</f>
        <v>0</v>
      </c>
      <c r="BF337" s="30" t="n">
        <f aca="false">BE337+BF336</f>
        <v>0</v>
      </c>
    </row>
    <row r="338" customFormat="false" ht="15.75" hidden="false" customHeight="true" outlineLevel="0" collapsed="false">
      <c r="A338" s="76" t="n">
        <v>212</v>
      </c>
      <c r="B338" s="77" t="s">
        <v>119</v>
      </c>
      <c r="C338" s="76" t="s">
        <v>121</v>
      </c>
      <c r="D338" s="76" t="n">
        <v>4</v>
      </c>
      <c r="E338" s="77" t="str">
        <f aca="false">IF($Q338="","Tidak ada di data",IF(AND(IFERROR(--(INDEX('Reguler Class Availability'!$F:$F,$Q338)&amp;""),0)=0,IFERROR(--(INDEX('Reguler Class Availability'!$G:$G,$Q338)&amp;""),0)=0),"Tutup",IF(IFERROR(--(INDEX('Reguler Class Availability'!$G:$G,$Q338)&amp;""),0)&gt;IFERROR(--(INDEX('Reguler Class Availability'!$F:$F,$Q338)&amp;""),0),"Lebih",IF(IFERROR(--(INDEX('Reguler Class Availability'!$G:$G,$Q338)&amp;""),0)=IFERROR(--(INDEX('Reguler Class Availability'!$F:$F,$Q338)&amp;""),0),"Penuh",IF(IFERROR(--(INDEX('Reguler Class Availability'!$G:$G,$Q338)&amp;""),0)=0,IF(INDEX('Reguler Class Availability'!$B:$B,$Q338)&amp;""="","Kosong","Belum terisi"),IF(IFERROR(--(INDEX('Reguler Class Availability'!$G:$G,$Q338)&amp;""),0)/IFERROR(--(INDEX('Reguler Class Availability'!$F:$F,$Q338)&amp;""),0)&gt;=0.6,"Tinggi","Sebagian"))))))</f>
        <v>Belum terisi</v>
      </c>
      <c r="F338" s="77" t="str">
        <f aca="false">IF($Q338="","",PROPER(INDEX('Reguler Class Availability'!$B:$B,$Q338)&amp;""))</f>
        <v>Kids</v>
      </c>
      <c r="G338" s="76" t="n">
        <f aca="false">IF($Q338="","",IFERROR(--(INDEX('Reguler Class Availability'!$F:$F,$Q338)&amp;""),0))</f>
        <v>4</v>
      </c>
      <c r="H338" s="77" t="str">
        <f aca="false">IF($Q338="","",PROPER(INDEX('Reguler Class Availability'!$I:$I,$Q338)&amp;"")&amp;IF(INDEX('Reguler Class Availability'!$J:$J,$Q338)&amp;""="",""," + asst "&amp;PROPER(INDEX('Reguler Class Availability'!$J:$J,$Q338)&amp;"")))</f>
        <v/>
      </c>
      <c r="I338" s="77" t="s">
        <v>431</v>
      </c>
      <c r="J338" s="77" t="s">
        <v>260</v>
      </c>
      <c r="K338" s="78"/>
      <c r="L338" s="78"/>
      <c r="M338" s="78"/>
      <c r="N338" s="79"/>
      <c r="O338" s="78"/>
      <c r="Q338" s="30" t="n">
        <f aca="false">IFERROR(MATCH($B$4&amp;"|- Lane "&amp;D338&amp;" - "&amp;B338&amp;"|"&amp;C338,'Reguler Class Availability'!$L:$L,0),"")</f>
        <v>1869</v>
      </c>
      <c r="BD338" s="30" t="s">
        <v>147</v>
      </c>
      <c r="BE338" s="30" t="n">
        <f aca="false">IF(COUNTIFS('Reguler Class Availability'!$L:$L,$B$4&amp;"|- Lane 6 - *|"&amp;BD338)&gt;0,1,0)</f>
        <v>0</v>
      </c>
      <c r="BF338" s="30" t="n">
        <f aca="false">BE338+BF337</f>
        <v>0</v>
      </c>
    </row>
    <row r="339" customFormat="false" ht="15.75" hidden="false" customHeight="true" outlineLevel="0" collapsed="false">
      <c r="A339" s="76" t="n">
        <v>213</v>
      </c>
      <c r="B339" s="77" t="s">
        <v>119</v>
      </c>
      <c r="C339" s="76" t="s">
        <v>123</v>
      </c>
      <c r="D339" s="76" t="n">
        <v>2</v>
      </c>
      <c r="E339" s="77" t="str">
        <f aca="false">IF($Q339="","Tidak ada di data",IF(AND(IFERROR(--(INDEX('Reguler Class Availability'!$F:$F,$Q339)&amp;""),0)=0,IFERROR(--(INDEX('Reguler Class Availability'!$G:$G,$Q339)&amp;""),0)=0),"Tutup",IF(IFERROR(--(INDEX('Reguler Class Availability'!$G:$G,$Q339)&amp;""),0)&gt;IFERROR(--(INDEX('Reguler Class Availability'!$F:$F,$Q339)&amp;""),0),"Lebih",IF(IFERROR(--(INDEX('Reguler Class Availability'!$G:$G,$Q339)&amp;""),0)=IFERROR(--(INDEX('Reguler Class Availability'!$F:$F,$Q339)&amp;""),0),"Penuh",IF(IFERROR(--(INDEX('Reguler Class Availability'!$G:$G,$Q339)&amp;""),0)=0,IF(INDEX('Reguler Class Availability'!$B:$B,$Q339)&amp;""="","Kosong","Belum terisi"),IF(IFERROR(--(INDEX('Reguler Class Availability'!$G:$G,$Q339)&amp;""),0)/IFERROR(--(INDEX('Reguler Class Availability'!$F:$F,$Q339)&amp;""),0)&gt;=0.6,"Tinggi","Sebagian"))))))</f>
        <v>Belum terisi</v>
      </c>
      <c r="F339" s="77" t="str">
        <f aca="false">IF($Q339="","",PROPER(INDEX('Reguler Class Availability'!$B:$B,$Q339)&amp;""))</f>
        <v>Little</v>
      </c>
      <c r="G339" s="76" t="n">
        <f aca="false">IF($Q339="","",IFERROR(--(INDEX('Reguler Class Availability'!$F:$F,$Q339)&amp;""),0))</f>
        <v>5</v>
      </c>
      <c r="H339" s="77" t="str">
        <f aca="false">IF($Q339="","",PROPER(INDEX('Reguler Class Availability'!$I:$I,$Q339)&amp;"")&amp;IF(INDEX('Reguler Class Availability'!$J:$J,$Q339)&amp;""="",""," + asst "&amp;PROPER(INDEX('Reguler Class Availability'!$J:$J,$Q339)&amp;"")))</f>
        <v/>
      </c>
      <c r="I339" s="77" t="s">
        <v>431</v>
      </c>
      <c r="J339" s="77" t="s">
        <v>260</v>
      </c>
      <c r="K339" s="78"/>
      <c r="L339" s="78"/>
      <c r="M339" s="78"/>
      <c r="N339" s="79"/>
      <c r="O339" s="78"/>
      <c r="Q339" s="30" t="n">
        <f aca="false">IFERROR(MATCH($B$4&amp;"|- Lane "&amp;D339&amp;" - "&amp;B339&amp;"|"&amp;C339,'Reguler Class Availability'!$L:$L,0),"")</f>
        <v>1702</v>
      </c>
      <c r="BD339" s="30" t="s">
        <v>148</v>
      </c>
      <c r="BE339" s="30" t="n">
        <f aca="false">IF(COUNTIFS('Reguler Class Availability'!$L:$L,$B$4&amp;"|- Lane 6 - *|"&amp;BD339)&gt;0,1,0)</f>
        <v>0</v>
      </c>
      <c r="BF339" s="30" t="n">
        <f aca="false">BE339+BF338</f>
        <v>0</v>
      </c>
    </row>
    <row r="340" customFormat="false" ht="15.75" hidden="false" customHeight="true" outlineLevel="0" collapsed="false">
      <c r="A340" s="76" t="n">
        <v>214</v>
      </c>
      <c r="B340" s="77" t="s">
        <v>119</v>
      </c>
      <c r="C340" s="76" t="s">
        <v>124</v>
      </c>
      <c r="D340" s="76" t="n">
        <v>3</v>
      </c>
      <c r="E340" s="77" t="str">
        <f aca="false">IF($Q340="","Tidak ada di data",IF(AND(IFERROR(--(INDEX('Reguler Class Availability'!$F:$F,$Q340)&amp;""),0)=0,IFERROR(--(INDEX('Reguler Class Availability'!$G:$G,$Q340)&amp;""),0)=0),"Tutup",IF(IFERROR(--(INDEX('Reguler Class Availability'!$G:$G,$Q340)&amp;""),0)&gt;IFERROR(--(INDEX('Reguler Class Availability'!$F:$F,$Q340)&amp;""),0),"Lebih",IF(IFERROR(--(INDEX('Reguler Class Availability'!$G:$G,$Q340)&amp;""),0)=IFERROR(--(INDEX('Reguler Class Availability'!$F:$F,$Q340)&amp;""),0),"Penuh",IF(IFERROR(--(INDEX('Reguler Class Availability'!$G:$G,$Q340)&amp;""),0)=0,IF(INDEX('Reguler Class Availability'!$B:$B,$Q340)&amp;""="","Kosong","Belum terisi"),IF(IFERROR(--(INDEX('Reguler Class Availability'!$G:$G,$Q340)&amp;""),0)/IFERROR(--(INDEX('Reguler Class Availability'!$F:$F,$Q340)&amp;""),0)&gt;=0.6,"Tinggi","Sebagian"))))))</f>
        <v>Belum terisi</v>
      </c>
      <c r="F340" s="77" t="str">
        <f aca="false">IF($Q340="","",PROPER(INDEX('Reguler Class Availability'!$B:$B,$Q340)&amp;""))</f>
        <v>Kids</v>
      </c>
      <c r="G340" s="76" t="n">
        <f aca="false">IF($Q340="","",IFERROR(--(INDEX('Reguler Class Availability'!$F:$F,$Q340)&amp;""),0))</f>
        <v>4</v>
      </c>
      <c r="H340" s="77" t="str">
        <f aca="false">IF($Q340="","",PROPER(INDEX('Reguler Class Availability'!$I:$I,$Q340)&amp;"")&amp;IF(INDEX('Reguler Class Availability'!$J:$J,$Q340)&amp;""="",""," + asst "&amp;PROPER(INDEX('Reguler Class Availability'!$J:$J,$Q340)&amp;"")))</f>
        <v/>
      </c>
      <c r="I340" s="77" t="s">
        <v>431</v>
      </c>
      <c r="J340" s="77" t="s">
        <v>260</v>
      </c>
      <c r="K340" s="78"/>
      <c r="L340" s="78"/>
      <c r="M340" s="78"/>
      <c r="N340" s="79"/>
      <c r="O340" s="78"/>
      <c r="Q340" s="30" t="n">
        <f aca="false">IFERROR(MATCH($B$4&amp;"|- Lane "&amp;D340&amp;" - "&amp;B340&amp;"|"&amp;C340,'Reguler Class Availability'!$L:$L,0),"")</f>
        <v>1786</v>
      </c>
      <c r="BD340" s="30" t="s">
        <v>149</v>
      </c>
      <c r="BE340" s="30" t="n">
        <f aca="false">IF(COUNTIFS('Reguler Class Availability'!$L:$L,$B$4&amp;"|- Lane 6 - *|"&amp;BD340)&gt;0,1,0)</f>
        <v>0</v>
      </c>
      <c r="BF340" s="30" t="n">
        <f aca="false">BE340+BF339</f>
        <v>0</v>
      </c>
    </row>
    <row r="341" customFormat="false" ht="15.75" hidden="false" customHeight="true" outlineLevel="0" collapsed="false">
      <c r="A341" s="76" t="n">
        <v>215</v>
      </c>
      <c r="B341" s="77" t="s">
        <v>119</v>
      </c>
      <c r="C341" s="76" t="s">
        <v>124</v>
      </c>
      <c r="D341" s="76" t="n">
        <v>4</v>
      </c>
      <c r="E341" s="77" t="str">
        <f aca="false">IF($Q341="","Tidak ada di data",IF(AND(IFERROR(--(INDEX('Reguler Class Availability'!$F:$F,$Q341)&amp;""),0)=0,IFERROR(--(INDEX('Reguler Class Availability'!$G:$G,$Q341)&amp;""),0)=0),"Tutup",IF(IFERROR(--(INDEX('Reguler Class Availability'!$G:$G,$Q341)&amp;""),0)&gt;IFERROR(--(INDEX('Reguler Class Availability'!$F:$F,$Q341)&amp;""),0),"Lebih",IF(IFERROR(--(INDEX('Reguler Class Availability'!$G:$G,$Q341)&amp;""),0)=IFERROR(--(INDEX('Reguler Class Availability'!$F:$F,$Q341)&amp;""),0),"Penuh",IF(IFERROR(--(INDEX('Reguler Class Availability'!$G:$G,$Q341)&amp;""),0)=0,IF(INDEX('Reguler Class Availability'!$B:$B,$Q341)&amp;""="","Kosong","Belum terisi"),IF(IFERROR(--(INDEX('Reguler Class Availability'!$G:$G,$Q341)&amp;""),0)/IFERROR(--(INDEX('Reguler Class Availability'!$F:$F,$Q341)&amp;""),0)&gt;=0.6,"Tinggi","Sebagian"))))))</f>
        <v>Belum terisi</v>
      </c>
      <c r="F341" s="77" t="str">
        <f aca="false">IF($Q341="","",PROPER(INDEX('Reguler Class Availability'!$B:$B,$Q341)&amp;""))</f>
        <v>Kids</v>
      </c>
      <c r="G341" s="76" t="n">
        <f aca="false">IF($Q341="","",IFERROR(--(INDEX('Reguler Class Availability'!$F:$F,$Q341)&amp;""),0))</f>
        <v>4</v>
      </c>
      <c r="H341" s="77" t="str">
        <f aca="false">IF($Q341="","",PROPER(INDEX('Reguler Class Availability'!$I:$I,$Q341)&amp;"")&amp;IF(INDEX('Reguler Class Availability'!$J:$J,$Q341)&amp;""="",""," + asst "&amp;PROPER(INDEX('Reguler Class Availability'!$J:$J,$Q341)&amp;"")))</f>
        <v/>
      </c>
      <c r="I341" s="77" t="s">
        <v>431</v>
      </c>
      <c r="J341" s="77" t="s">
        <v>260</v>
      </c>
      <c r="K341" s="78"/>
      <c r="L341" s="78"/>
      <c r="M341" s="78"/>
      <c r="N341" s="79"/>
      <c r="O341" s="78"/>
      <c r="Q341" s="30" t="n">
        <f aca="false">IFERROR(MATCH($B$4&amp;"|- Lane "&amp;D341&amp;" - "&amp;B341&amp;"|"&amp;C341,'Reguler Class Availability'!$L:$L,0),"")</f>
        <v>1870</v>
      </c>
      <c r="BD341" s="30" t="s">
        <v>150</v>
      </c>
      <c r="BE341" s="30" t="n">
        <f aca="false">IF(COUNTIFS('Reguler Class Availability'!$L:$L,$B$4&amp;"|- Lane 6 - *|"&amp;BD341)&gt;0,1,0)</f>
        <v>0</v>
      </c>
      <c r="BF341" s="30" t="n">
        <f aca="false">BE341+BF340</f>
        <v>0</v>
      </c>
    </row>
    <row r="342" customFormat="false" ht="15.75" hidden="false" customHeight="true" outlineLevel="0" collapsed="false">
      <c r="A342" s="76" t="n">
        <v>216</v>
      </c>
      <c r="B342" s="77" t="s">
        <v>119</v>
      </c>
      <c r="C342" s="76" t="s">
        <v>127</v>
      </c>
      <c r="D342" s="76" t="n">
        <v>3</v>
      </c>
      <c r="E342" s="77" t="str">
        <f aca="false">IF($Q342="","Tidak ada di data",IF(AND(IFERROR(--(INDEX('Reguler Class Availability'!$F:$F,$Q342)&amp;""),0)=0,IFERROR(--(INDEX('Reguler Class Availability'!$G:$G,$Q342)&amp;""),0)=0),"Tutup",IF(IFERROR(--(INDEX('Reguler Class Availability'!$G:$G,$Q342)&amp;""),0)&gt;IFERROR(--(INDEX('Reguler Class Availability'!$F:$F,$Q342)&amp;""),0),"Lebih",IF(IFERROR(--(INDEX('Reguler Class Availability'!$G:$G,$Q342)&amp;""),0)=IFERROR(--(INDEX('Reguler Class Availability'!$F:$F,$Q342)&amp;""),0),"Penuh",IF(IFERROR(--(INDEX('Reguler Class Availability'!$G:$G,$Q342)&amp;""),0)=0,IF(INDEX('Reguler Class Availability'!$B:$B,$Q342)&amp;""="","Kosong","Belum terisi"),IF(IFERROR(--(INDEX('Reguler Class Availability'!$G:$G,$Q342)&amp;""),0)/IFERROR(--(INDEX('Reguler Class Availability'!$F:$F,$Q342)&amp;""),0)&gt;=0.6,"Tinggi","Sebagian"))))))</f>
        <v>Belum terisi</v>
      </c>
      <c r="F342" s="77" t="str">
        <f aca="false">IF($Q342="","",PROPER(INDEX('Reguler Class Availability'!$B:$B,$Q342)&amp;""))</f>
        <v>Kids</v>
      </c>
      <c r="G342" s="76" t="n">
        <f aca="false">IF($Q342="","",IFERROR(--(INDEX('Reguler Class Availability'!$F:$F,$Q342)&amp;""),0))</f>
        <v>4</v>
      </c>
      <c r="H342" s="77" t="str">
        <f aca="false">IF($Q342="","",PROPER(INDEX('Reguler Class Availability'!$I:$I,$Q342)&amp;"")&amp;IF(INDEX('Reguler Class Availability'!$J:$J,$Q342)&amp;""="",""," + asst "&amp;PROPER(INDEX('Reguler Class Availability'!$J:$J,$Q342)&amp;"")))</f>
        <v/>
      </c>
      <c r="I342" s="77" t="s">
        <v>431</v>
      </c>
      <c r="J342" s="77" t="s">
        <v>260</v>
      </c>
      <c r="K342" s="78"/>
      <c r="L342" s="78"/>
      <c r="M342" s="78"/>
      <c r="N342" s="79"/>
      <c r="O342" s="78"/>
      <c r="Q342" s="30" t="n">
        <f aca="false">IFERROR(MATCH($B$4&amp;"|- Lane "&amp;D342&amp;" - "&amp;B342&amp;"|"&amp;C342,'Reguler Class Availability'!$L:$L,0),"")</f>
        <v>1787</v>
      </c>
      <c r="BD342" s="30" t="s">
        <v>151</v>
      </c>
      <c r="BE342" s="30" t="n">
        <f aca="false">IF(COUNTIFS('Reguler Class Availability'!$L:$L,$B$4&amp;"|- Lane 6 - *|"&amp;BD342)&gt;0,1,0)</f>
        <v>0</v>
      </c>
      <c r="BF342" s="30" t="n">
        <f aca="false">BE342+BF341</f>
        <v>0</v>
      </c>
    </row>
    <row r="343" customFormat="false" ht="15.75" hidden="false" customHeight="true" outlineLevel="0" collapsed="false">
      <c r="A343" s="76" t="n">
        <v>217</v>
      </c>
      <c r="B343" s="77" t="s">
        <v>119</v>
      </c>
      <c r="C343" s="76" t="s">
        <v>127</v>
      </c>
      <c r="D343" s="76" t="n">
        <v>4</v>
      </c>
      <c r="E343" s="77" t="str">
        <f aca="false">IF($Q343="","Tidak ada di data",IF(AND(IFERROR(--(INDEX('Reguler Class Availability'!$F:$F,$Q343)&amp;""),0)=0,IFERROR(--(INDEX('Reguler Class Availability'!$G:$G,$Q343)&amp;""),0)=0),"Tutup",IF(IFERROR(--(INDEX('Reguler Class Availability'!$G:$G,$Q343)&amp;""),0)&gt;IFERROR(--(INDEX('Reguler Class Availability'!$F:$F,$Q343)&amp;""),0),"Lebih",IF(IFERROR(--(INDEX('Reguler Class Availability'!$G:$G,$Q343)&amp;""),0)=IFERROR(--(INDEX('Reguler Class Availability'!$F:$F,$Q343)&amp;""),0),"Penuh",IF(IFERROR(--(INDEX('Reguler Class Availability'!$G:$G,$Q343)&amp;""),0)=0,IF(INDEX('Reguler Class Availability'!$B:$B,$Q343)&amp;""="","Kosong","Belum terisi"),IF(IFERROR(--(INDEX('Reguler Class Availability'!$G:$G,$Q343)&amp;""),0)/IFERROR(--(INDEX('Reguler Class Availability'!$F:$F,$Q343)&amp;""),0)&gt;=0.6,"Tinggi","Sebagian"))))))</f>
        <v>Belum terisi</v>
      </c>
      <c r="F343" s="77" t="str">
        <f aca="false">IF($Q343="","",PROPER(INDEX('Reguler Class Availability'!$B:$B,$Q343)&amp;""))</f>
        <v>Kids</v>
      </c>
      <c r="G343" s="76" t="n">
        <f aca="false">IF($Q343="","",IFERROR(--(INDEX('Reguler Class Availability'!$F:$F,$Q343)&amp;""),0))</f>
        <v>4</v>
      </c>
      <c r="H343" s="77" t="str">
        <f aca="false">IF($Q343="","",PROPER(INDEX('Reguler Class Availability'!$I:$I,$Q343)&amp;"")&amp;IF(INDEX('Reguler Class Availability'!$J:$J,$Q343)&amp;""="",""," + asst "&amp;PROPER(INDEX('Reguler Class Availability'!$J:$J,$Q343)&amp;"")))</f>
        <v/>
      </c>
      <c r="I343" s="77" t="s">
        <v>431</v>
      </c>
      <c r="J343" s="77" t="s">
        <v>260</v>
      </c>
      <c r="K343" s="78"/>
      <c r="L343" s="78"/>
      <c r="M343" s="78"/>
      <c r="N343" s="79"/>
      <c r="O343" s="78"/>
      <c r="Q343" s="30" t="n">
        <f aca="false">IFERROR(MATCH($B$4&amp;"|- Lane "&amp;D343&amp;" - "&amp;B343&amp;"|"&amp;C343,'Reguler Class Availability'!$L:$L,0),"")</f>
        <v>1871</v>
      </c>
      <c r="BD343" s="30" t="s">
        <v>152</v>
      </c>
      <c r="BE343" s="30" t="n">
        <f aca="false">IF(COUNTIFS('Reguler Class Availability'!$L:$L,$B$4&amp;"|- Lane 6 - *|"&amp;BD343)&gt;0,1,0)</f>
        <v>0</v>
      </c>
      <c r="BF343" s="30" t="n">
        <f aca="false">BE343+BF342</f>
        <v>0</v>
      </c>
    </row>
    <row r="344" customFormat="false" ht="15.75" hidden="false" customHeight="true" outlineLevel="0" collapsed="false">
      <c r="A344" s="76" t="n">
        <v>218</v>
      </c>
      <c r="B344" s="77" t="s">
        <v>119</v>
      </c>
      <c r="C344" s="76" t="s">
        <v>130</v>
      </c>
      <c r="D344" s="76" t="n">
        <v>3</v>
      </c>
      <c r="E344" s="77" t="str">
        <f aca="false">IF($Q344="","Tidak ada di data",IF(AND(IFERROR(--(INDEX('Reguler Class Availability'!$F:$F,$Q344)&amp;""),0)=0,IFERROR(--(INDEX('Reguler Class Availability'!$G:$G,$Q344)&amp;""),0)=0),"Tutup",IF(IFERROR(--(INDEX('Reguler Class Availability'!$G:$G,$Q344)&amp;""),0)&gt;IFERROR(--(INDEX('Reguler Class Availability'!$F:$F,$Q344)&amp;""),0),"Lebih",IF(IFERROR(--(INDEX('Reguler Class Availability'!$G:$G,$Q344)&amp;""),0)=IFERROR(--(INDEX('Reguler Class Availability'!$F:$F,$Q344)&amp;""),0),"Penuh",IF(IFERROR(--(INDEX('Reguler Class Availability'!$G:$G,$Q344)&amp;""),0)=0,IF(INDEX('Reguler Class Availability'!$B:$B,$Q344)&amp;""="","Kosong","Belum terisi"),IF(IFERROR(--(INDEX('Reguler Class Availability'!$G:$G,$Q344)&amp;""),0)/IFERROR(--(INDEX('Reguler Class Availability'!$F:$F,$Q344)&amp;""),0)&gt;=0.6,"Tinggi","Sebagian"))))))</f>
        <v>Belum terisi</v>
      </c>
      <c r="F344" s="77" t="str">
        <f aca="false">IF($Q344="","",PROPER(INDEX('Reguler Class Availability'!$B:$B,$Q344)&amp;""))</f>
        <v>Kids</v>
      </c>
      <c r="G344" s="76" t="n">
        <f aca="false">IF($Q344="","",IFERROR(--(INDEX('Reguler Class Availability'!$F:$F,$Q344)&amp;""),0))</f>
        <v>4</v>
      </c>
      <c r="H344" s="77" t="str">
        <f aca="false">IF($Q344="","",PROPER(INDEX('Reguler Class Availability'!$I:$I,$Q344)&amp;"")&amp;IF(INDEX('Reguler Class Availability'!$J:$J,$Q344)&amp;""="",""," + asst "&amp;PROPER(INDEX('Reguler Class Availability'!$J:$J,$Q344)&amp;"")))</f>
        <v/>
      </c>
      <c r="I344" s="77" t="s">
        <v>431</v>
      </c>
      <c r="J344" s="77" t="s">
        <v>260</v>
      </c>
      <c r="K344" s="78"/>
      <c r="L344" s="78"/>
      <c r="M344" s="78"/>
      <c r="N344" s="79"/>
      <c r="O344" s="78"/>
      <c r="Q344" s="30" t="n">
        <f aca="false">IFERROR(MATCH($B$4&amp;"|- Lane "&amp;D344&amp;" - "&amp;B344&amp;"|"&amp;C344,'Reguler Class Availability'!$L:$L,0),"")</f>
        <v>1788</v>
      </c>
      <c r="BD344" s="30" t="s">
        <v>153</v>
      </c>
      <c r="BE344" s="30" t="n">
        <f aca="false">IF(COUNTIFS('Reguler Class Availability'!$L:$L,$B$4&amp;"|- Lane 6 - *|"&amp;BD344)&gt;0,1,0)</f>
        <v>0</v>
      </c>
      <c r="BF344" s="30" t="n">
        <f aca="false">BE344+BF343</f>
        <v>0</v>
      </c>
    </row>
    <row r="345" customFormat="false" ht="15.75" hidden="false" customHeight="true" outlineLevel="0" collapsed="false">
      <c r="A345" s="76" t="n">
        <v>219</v>
      </c>
      <c r="B345" s="77" t="s">
        <v>119</v>
      </c>
      <c r="C345" s="76" t="s">
        <v>130</v>
      </c>
      <c r="D345" s="76" t="n">
        <v>4</v>
      </c>
      <c r="E345" s="77" t="str">
        <f aca="false">IF($Q345="","Tidak ada di data",IF(AND(IFERROR(--(INDEX('Reguler Class Availability'!$F:$F,$Q345)&amp;""),0)=0,IFERROR(--(INDEX('Reguler Class Availability'!$G:$G,$Q345)&amp;""),0)=0),"Tutup",IF(IFERROR(--(INDEX('Reguler Class Availability'!$G:$G,$Q345)&amp;""),0)&gt;IFERROR(--(INDEX('Reguler Class Availability'!$F:$F,$Q345)&amp;""),0),"Lebih",IF(IFERROR(--(INDEX('Reguler Class Availability'!$G:$G,$Q345)&amp;""),0)=IFERROR(--(INDEX('Reguler Class Availability'!$F:$F,$Q345)&amp;""),0),"Penuh",IF(IFERROR(--(INDEX('Reguler Class Availability'!$G:$G,$Q345)&amp;""),0)=0,IF(INDEX('Reguler Class Availability'!$B:$B,$Q345)&amp;""="","Kosong","Belum terisi"),IF(IFERROR(--(INDEX('Reguler Class Availability'!$G:$G,$Q345)&amp;""),0)/IFERROR(--(INDEX('Reguler Class Availability'!$F:$F,$Q345)&amp;""),0)&gt;=0.6,"Tinggi","Sebagian"))))))</f>
        <v>Belum terisi</v>
      </c>
      <c r="F345" s="77" t="str">
        <f aca="false">IF($Q345="","",PROPER(INDEX('Reguler Class Availability'!$B:$B,$Q345)&amp;""))</f>
        <v>Kids</v>
      </c>
      <c r="G345" s="76" t="n">
        <f aca="false">IF($Q345="","",IFERROR(--(INDEX('Reguler Class Availability'!$F:$F,$Q345)&amp;""),0))</f>
        <v>4</v>
      </c>
      <c r="H345" s="77" t="str">
        <f aca="false">IF($Q345="","",PROPER(INDEX('Reguler Class Availability'!$I:$I,$Q345)&amp;"")&amp;IF(INDEX('Reguler Class Availability'!$J:$J,$Q345)&amp;""="",""," + asst "&amp;PROPER(INDEX('Reguler Class Availability'!$J:$J,$Q345)&amp;"")))</f>
        <v/>
      </c>
      <c r="I345" s="77" t="s">
        <v>431</v>
      </c>
      <c r="J345" s="77" t="s">
        <v>260</v>
      </c>
      <c r="K345" s="78"/>
      <c r="L345" s="78"/>
      <c r="M345" s="78"/>
      <c r="N345" s="79"/>
      <c r="O345" s="78"/>
      <c r="Q345" s="30" t="n">
        <f aca="false">IFERROR(MATCH($B$4&amp;"|- Lane "&amp;D345&amp;" - "&amp;B345&amp;"|"&amp;C345,'Reguler Class Availability'!$L:$L,0),"")</f>
        <v>1872</v>
      </c>
      <c r="BD345" s="30" t="s">
        <v>154</v>
      </c>
      <c r="BE345" s="30" t="n">
        <f aca="false">IF(COUNTIFS('Reguler Class Availability'!$L:$L,$B$4&amp;"|- Lane 6 - *|"&amp;BD345)&gt;0,1,0)</f>
        <v>0</v>
      </c>
      <c r="BF345" s="30" t="n">
        <f aca="false">BE345+BF344</f>
        <v>0</v>
      </c>
    </row>
    <row r="346" customFormat="false" ht="40.5" hidden="false" customHeight="true" outlineLevel="0" collapsed="false">
      <c r="A346" s="76" t="n">
        <v>220</v>
      </c>
      <c r="B346" s="77" t="s">
        <v>119</v>
      </c>
      <c r="C346" s="76" t="s">
        <v>132</v>
      </c>
      <c r="D346" s="76" t="n">
        <v>1</v>
      </c>
      <c r="E346" s="77" t="str">
        <f aca="false">IF($Q346="","Tidak ada di data",IF(AND(IFERROR(--(INDEX('Reguler Class Availability'!$F:$F,$Q346)&amp;""),0)=0,IFERROR(--(INDEX('Reguler Class Availability'!$G:$G,$Q346)&amp;""),0)=0),"Tutup",IF(IFERROR(--(INDEX('Reguler Class Availability'!$G:$G,$Q346)&amp;""),0)&gt;IFERROR(--(INDEX('Reguler Class Availability'!$F:$F,$Q346)&amp;""),0),"Lebih",IF(IFERROR(--(INDEX('Reguler Class Availability'!$G:$G,$Q346)&amp;""),0)=IFERROR(--(INDEX('Reguler Class Availability'!$F:$F,$Q346)&amp;""),0),"Penuh",IF(IFERROR(--(INDEX('Reguler Class Availability'!$G:$G,$Q346)&amp;""),0)=0,IF(INDEX('Reguler Class Availability'!$B:$B,$Q346)&amp;""="","Kosong","Belum terisi"),IF(IFERROR(--(INDEX('Reguler Class Availability'!$G:$G,$Q346)&amp;""),0)/IFERROR(--(INDEX('Reguler Class Availability'!$F:$F,$Q346)&amp;""),0)&gt;=0.6,"Tinggi","Sebagian"))))))</f>
        <v>Belum terisi</v>
      </c>
      <c r="F346" s="77" t="str">
        <f aca="false">IF($Q346="","",PROPER(INDEX('Reguler Class Availability'!$B:$B,$Q346)&amp;""))</f>
        <v>Baby</v>
      </c>
      <c r="G346" s="76" t="n">
        <f aca="false">IF($Q346="","",IFERROR(--(INDEX('Reguler Class Availability'!$F:$F,$Q346)&amp;""),0))</f>
        <v>5</v>
      </c>
      <c r="H346" s="77" t="str">
        <f aca="false">IF($Q346="","",PROPER(INDEX('Reguler Class Availability'!$I:$I,$Q346)&amp;"")&amp;IF(INDEX('Reguler Class Availability'!$J:$J,$Q346)&amp;""="",""," + asst "&amp;PROPER(INDEX('Reguler Class Availability'!$J:$J,$Q346)&amp;"")))</f>
        <v/>
      </c>
      <c r="I346" s="77" t="s">
        <v>429</v>
      </c>
      <c r="J346" s="77" t="s">
        <v>188</v>
      </c>
      <c r="K346" s="78"/>
      <c r="L346" s="78"/>
      <c r="M346" s="78"/>
      <c r="N346" s="79"/>
      <c r="O346" s="78"/>
      <c r="Q346" s="30" t="n">
        <f aca="false">IFERROR(MATCH($B$4&amp;"|- Lane "&amp;D346&amp;" - "&amp;B346&amp;"|"&amp;C346,'Reguler Class Availability'!$L:$L,0),"")</f>
        <v>1621</v>
      </c>
      <c r="BD346" s="30" t="s">
        <v>155</v>
      </c>
      <c r="BE346" s="30" t="n">
        <f aca="false">IF(COUNTIFS('Reguler Class Availability'!$L:$L,$B$4&amp;"|- Lane 6 - *|"&amp;BD346)&gt;0,1,0)</f>
        <v>0</v>
      </c>
      <c r="BF346" s="30" t="n">
        <f aca="false">BE346+BF345</f>
        <v>0</v>
      </c>
    </row>
    <row r="347" customFormat="false" ht="40.5" hidden="false" customHeight="true" outlineLevel="0" collapsed="false">
      <c r="A347" s="76" t="n">
        <v>221</v>
      </c>
      <c r="B347" s="77" t="s">
        <v>119</v>
      </c>
      <c r="C347" s="76" t="s">
        <v>132</v>
      </c>
      <c r="D347" s="76" t="n">
        <v>2</v>
      </c>
      <c r="E347" s="77" t="str">
        <f aca="false">IF($Q347="","Tidak ada di data",IF(AND(IFERROR(--(INDEX('Reguler Class Availability'!$F:$F,$Q347)&amp;""),0)=0,IFERROR(--(INDEX('Reguler Class Availability'!$G:$G,$Q347)&amp;""),0)=0),"Tutup",IF(IFERROR(--(INDEX('Reguler Class Availability'!$G:$G,$Q347)&amp;""),0)&gt;IFERROR(--(INDEX('Reguler Class Availability'!$F:$F,$Q347)&amp;""),0),"Lebih",IF(IFERROR(--(INDEX('Reguler Class Availability'!$G:$G,$Q347)&amp;""),0)=IFERROR(--(INDEX('Reguler Class Availability'!$F:$F,$Q347)&amp;""),0),"Penuh",IF(IFERROR(--(INDEX('Reguler Class Availability'!$G:$G,$Q347)&amp;""),0)=0,IF(INDEX('Reguler Class Availability'!$B:$B,$Q347)&amp;""="","Kosong","Belum terisi"),IF(IFERROR(--(INDEX('Reguler Class Availability'!$G:$G,$Q347)&amp;""),0)/IFERROR(--(INDEX('Reguler Class Availability'!$F:$F,$Q347)&amp;""),0)&gt;=0.6,"Tinggi","Sebagian"))))))</f>
        <v>Belum terisi</v>
      </c>
      <c r="F347" s="77" t="str">
        <f aca="false">IF($Q347="","",PROPER(INDEX('Reguler Class Availability'!$B:$B,$Q347)&amp;""))</f>
        <v>Little</v>
      </c>
      <c r="G347" s="76" t="n">
        <f aca="false">IF($Q347="","",IFERROR(--(INDEX('Reguler Class Availability'!$F:$F,$Q347)&amp;""),0))</f>
        <v>5</v>
      </c>
      <c r="H347" s="77" t="str">
        <f aca="false">IF($Q347="","",PROPER(INDEX('Reguler Class Availability'!$I:$I,$Q347)&amp;"")&amp;IF(INDEX('Reguler Class Availability'!$J:$J,$Q347)&amp;""="",""," + asst "&amp;PROPER(INDEX('Reguler Class Availability'!$J:$J,$Q347)&amp;"")))</f>
        <v/>
      </c>
      <c r="I347" s="77" t="s">
        <v>429</v>
      </c>
      <c r="J347" s="77" t="s">
        <v>188</v>
      </c>
      <c r="K347" s="78"/>
      <c r="L347" s="78"/>
      <c r="M347" s="78"/>
      <c r="N347" s="79"/>
      <c r="O347" s="78"/>
      <c r="Q347" s="30" t="n">
        <f aca="false">IFERROR(MATCH($B$4&amp;"|- Lane "&amp;D347&amp;" - "&amp;B347&amp;"|"&amp;C347,'Reguler Class Availability'!$L:$L,0),"")</f>
        <v>1705</v>
      </c>
      <c r="BD347" s="30" t="s">
        <v>156</v>
      </c>
      <c r="BE347" s="30" t="n">
        <f aca="false">IF(COUNTIFS('Reguler Class Availability'!$L:$L,$B$4&amp;"|- Lane 6 - *|"&amp;BD347)&gt;0,1,0)</f>
        <v>0</v>
      </c>
      <c r="BF347" s="30" t="n">
        <f aca="false">BE347+BF346</f>
        <v>0</v>
      </c>
    </row>
    <row r="348" customFormat="false" ht="40.5" hidden="false" customHeight="true" outlineLevel="0" collapsed="false">
      <c r="A348" s="76" t="n">
        <v>222</v>
      </c>
      <c r="B348" s="77" t="s">
        <v>119</v>
      </c>
      <c r="C348" s="76" t="s">
        <v>133</v>
      </c>
      <c r="D348" s="76" t="n">
        <v>3</v>
      </c>
      <c r="E348" s="77" t="str">
        <f aca="false">IF($Q348="","Tidak ada di data",IF(AND(IFERROR(--(INDEX('Reguler Class Availability'!$F:$F,$Q348)&amp;""),0)=0,IFERROR(--(INDEX('Reguler Class Availability'!$G:$G,$Q348)&amp;""),0)=0),"Tutup",IF(IFERROR(--(INDEX('Reguler Class Availability'!$G:$G,$Q348)&amp;""),0)&gt;IFERROR(--(INDEX('Reguler Class Availability'!$F:$F,$Q348)&amp;""),0),"Lebih",IF(IFERROR(--(INDEX('Reguler Class Availability'!$G:$G,$Q348)&amp;""),0)=IFERROR(--(INDEX('Reguler Class Availability'!$F:$F,$Q348)&amp;""),0),"Penuh",IF(IFERROR(--(INDEX('Reguler Class Availability'!$G:$G,$Q348)&amp;""),0)=0,IF(INDEX('Reguler Class Availability'!$B:$B,$Q348)&amp;""="","Kosong","Belum terisi"),IF(IFERROR(--(INDEX('Reguler Class Availability'!$G:$G,$Q348)&amp;""),0)/IFERROR(--(INDEX('Reguler Class Availability'!$F:$F,$Q348)&amp;""),0)&gt;=0.6,"Tinggi","Sebagian"))))))</f>
        <v>Belum terisi</v>
      </c>
      <c r="F348" s="77" t="str">
        <f aca="false">IF($Q348="","",PROPER(INDEX('Reguler Class Availability'!$B:$B,$Q348)&amp;""))</f>
        <v>Kids</v>
      </c>
      <c r="G348" s="76" t="n">
        <f aca="false">IF($Q348="","",IFERROR(--(INDEX('Reguler Class Availability'!$F:$F,$Q348)&amp;""),0))</f>
        <v>4</v>
      </c>
      <c r="H348" s="77" t="str">
        <f aca="false">IF($Q348="","",PROPER(INDEX('Reguler Class Availability'!$I:$I,$Q348)&amp;"")&amp;IF(INDEX('Reguler Class Availability'!$J:$J,$Q348)&amp;""="",""," + asst "&amp;PROPER(INDEX('Reguler Class Availability'!$J:$J,$Q348)&amp;"")))</f>
        <v/>
      </c>
      <c r="I348" s="77" t="s">
        <v>429</v>
      </c>
      <c r="J348" s="77" t="s">
        <v>188</v>
      </c>
      <c r="K348" s="78"/>
      <c r="L348" s="78"/>
      <c r="M348" s="78"/>
      <c r="N348" s="79"/>
      <c r="O348" s="78"/>
      <c r="Q348" s="30" t="n">
        <f aca="false">IFERROR(MATCH($B$4&amp;"|- Lane "&amp;D348&amp;" - "&amp;B348&amp;"|"&amp;C348,'Reguler Class Availability'!$L:$L,0),"")</f>
        <v>1789</v>
      </c>
      <c r="BD348" s="30" t="s">
        <v>157</v>
      </c>
      <c r="BE348" s="30" t="n">
        <f aca="false">IF(COUNTIFS('Reguler Class Availability'!$L:$L,$B$4&amp;"|- Lane 6 - *|"&amp;BD348)&gt;0,1,0)</f>
        <v>0</v>
      </c>
      <c r="BF348" s="30" t="n">
        <f aca="false">BE348+BF347</f>
        <v>0</v>
      </c>
    </row>
    <row r="349" customFormat="false" ht="40.5" hidden="false" customHeight="true" outlineLevel="0" collapsed="false">
      <c r="A349" s="76" t="n">
        <v>223</v>
      </c>
      <c r="B349" s="77" t="s">
        <v>119</v>
      </c>
      <c r="C349" s="76" t="s">
        <v>133</v>
      </c>
      <c r="D349" s="76" t="n">
        <v>4</v>
      </c>
      <c r="E349" s="77" t="str">
        <f aca="false">IF($Q349="","Tidak ada di data",IF(AND(IFERROR(--(INDEX('Reguler Class Availability'!$F:$F,$Q349)&amp;""),0)=0,IFERROR(--(INDEX('Reguler Class Availability'!$G:$G,$Q349)&amp;""),0)=0),"Tutup",IF(IFERROR(--(INDEX('Reguler Class Availability'!$G:$G,$Q349)&amp;""),0)&gt;IFERROR(--(INDEX('Reguler Class Availability'!$F:$F,$Q349)&amp;""),0),"Lebih",IF(IFERROR(--(INDEX('Reguler Class Availability'!$G:$G,$Q349)&amp;""),0)=IFERROR(--(INDEX('Reguler Class Availability'!$F:$F,$Q349)&amp;""),0),"Penuh",IF(IFERROR(--(INDEX('Reguler Class Availability'!$G:$G,$Q349)&amp;""),0)=0,IF(INDEX('Reguler Class Availability'!$B:$B,$Q349)&amp;""="","Kosong","Belum terisi"),IF(IFERROR(--(INDEX('Reguler Class Availability'!$G:$G,$Q349)&amp;""),0)/IFERROR(--(INDEX('Reguler Class Availability'!$F:$F,$Q349)&amp;""),0)&gt;=0.6,"Tinggi","Sebagian"))))))</f>
        <v>Belum terisi</v>
      </c>
      <c r="F349" s="77" t="str">
        <f aca="false">IF($Q349="","",PROPER(INDEX('Reguler Class Availability'!$B:$B,$Q349)&amp;""))</f>
        <v>Kids</v>
      </c>
      <c r="G349" s="76" t="n">
        <f aca="false">IF($Q349="","",IFERROR(--(INDEX('Reguler Class Availability'!$F:$F,$Q349)&amp;""),0))</f>
        <v>4</v>
      </c>
      <c r="H349" s="77" t="str">
        <f aca="false">IF($Q349="","",PROPER(INDEX('Reguler Class Availability'!$I:$I,$Q349)&amp;"")&amp;IF(INDEX('Reguler Class Availability'!$J:$J,$Q349)&amp;""="",""," + asst "&amp;PROPER(INDEX('Reguler Class Availability'!$J:$J,$Q349)&amp;"")))</f>
        <v/>
      </c>
      <c r="I349" s="77" t="s">
        <v>429</v>
      </c>
      <c r="J349" s="77" t="s">
        <v>188</v>
      </c>
      <c r="K349" s="78"/>
      <c r="L349" s="78"/>
      <c r="M349" s="78"/>
      <c r="N349" s="79"/>
      <c r="O349" s="78"/>
      <c r="Q349" s="30" t="n">
        <f aca="false">IFERROR(MATCH($B$4&amp;"|- Lane "&amp;D349&amp;" - "&amp;B349&amp;"|"&amp;C349,'Reguler Class Availability'!$L:$L,0),"")</f>
        <v>1873</v>
      </c>
      <c r="BD349" s="30" t="s">
        <v>158</v>
      </c>
      <c r="BE349" s="30" t="n">
        <f aca="false">IF(COUNTIFS('Reguler Class Availability'!$L:$L,$B$4&amp;"|- Lane 6 - *|"&amp;BD349)&gt;0,1,0)</f>
        <v>0</v>
      </c>
      <c r="BF349" s="30" t="n">
        <f aca="false">BE349+BF348</f>
        <v>0</v>
      </c>
    </row>
    <row r="350" customFormat="false" ht="40.5" hidden="false" customHeight="true" outlineLevel="0" collapsed="false">
      <c r="A350" s="76" t="n">
        <v>224</v>
      </c>
      <c r="B350" s="77" t="s">
        <v>119</v>
      </c>
      <c r="C350" s="76" t="s">
        <v>139</v>
      </c>
      <c r="D350" s="76" t="n">
        <v>1</v>
      </c>
      <c r="E350" s="77" t="str">
        <f aca="false">IF($Q350="","Tidak ada di data",IF(AND(IFERROR(--(INDEX('Reguler Class Availability'!$F:$F,$Q350)&amp;""),0)=0,IFERROR(--(INDEX('Reguler Class Availability'!$G:$G,$Q350)&amp;""),0)=0),"Tutup",IF(IFERROR(--(INDEX('Reguler Class Availability'!$G:$G,$Q350)&amp;""),0)&gt;IFERROR(--(INDEX('Reguler Class Availability'!$F:$F,$Q350)&amp;""),0),"Lebih",IF(IFERROR(--(INDEX('Reguler Class Availability'!$G:$G,$Q350)&amp;""),0)=IFERROR(--(INDEX('Reguler Class Availability'!$F:$F,$Q350)&amp;""),0),"Penuh",IF(IFERROR(--(INDEX('Reguler Class Availability'!$G:$G,$Q350)&amp;""),0)=0,IF(INDEX('Reguler Class Availability'!$B:$B,$Q350)&amp;""="","Kosong","Belum terisi"),IF(IFERROR(--(INDEX('Reguler Class Availability'!$G:$G,$Q350)&amp;""),0)/IFERROR(--(INDEX('Reguler Class Availability'!$F:$F,$Q350)&amp;""),0)&gt;=0.6,"Tinggi","Sebagian"))))))</f>
        <v>Belum terisi</v>
      </c>
      <c r="F350" s="77" t="str">
        <f aca="false">IF($Q350="","",PROPER(INDEX('Reguler Class Availability'!$B:$B,$Q350)&amp;""))</f>
        <v>Tiny</v>
      </c>
      <c r="G350" s="76" t="n">
        <f aca="false">IF($Q350="","",IFERROR(--(INDEX('Reguler Class Availability'!$F:$F,$Q350)&amp;""),0))</f>
        <v>5</v>
      </c>
      <c r="H350" s="77" t="str">
        <f aca="false">IF($Q350="","",PROPER(INDEX('Reguler Class Availability'!$I:$I,$Q350)&amp;"")&amp;IF(INDEX('Reguler Class Availability'!$J:$J,$Q350)&amp;""="",""," + asst "&amp;PROPER(INDEX('Reguler Class Availability'!$J:$J,$Q350)&amp;"")))</f>
        <v/>
      </c>
      <c r="I350" s="77" t="s">
        <v>429</v>
      </c>
      <c r="J350" s="77" t="s">
        <v>188</v>
      </c>
      <c r="K350" s="78"/>
      <c r="L350" s="78"/>
      <c r="M350" s="78"/>
      <c r="N350" s="79"/>
      <c r="O350" s="78"/>
      <c r="Q350" s="30" t="n">
        <f aca="false">IFERROR(MATCH($B$4&amp;"|- Lane "&amp;D350&amp;" - "&amp;B350&amp;"|"&amp;C350,'Reguler Class Availability'!$L:$L,0),"")</f>
        <v>1622</v>
      </c>
      <c r="BD350" s="30" t="s">
        <v>160</v>
      </c>
      <c r="BE350" s="30" t="n">
        <f aca="false">IF(COUNTIFS('Reguler Class Availability'!$L:$L,$B$4&amp;"|- Lane 6 - *|"&amp;BD350)&gt;0,1,0)</f>
        <v>0</v>
      </c>
      <c r="BF350" s="30" t="n">
        <f aca="false">BE350+BF349</f>
        <v>0</v>
      </c>
    </row>
    <row r="351" customFormat="false" ht="40.5" hidden="false" customHeight="true" outlineLevel="0" collapsed="false">
      <c r="A351" s="76" t="n">
        <v>225</v>
      </c>
      <c r="B351" s="77" t="s">
        <v>119</v>
      </c>
      <c r="C351" s="76" t="s">
        <v>139</v>
      </c>
      <c r="D351" s="76" t="n">
        <v>2</v>
      </c>
      <c r="E351" s="77" t="str">
        <f aca="false">IF($Q351="","Tidak ada di data",IF(AND(IFERROR(--(INDEX('Reguler Class Availability'!$F:$F,$Q351)&amp;""),0)=0,IFERROR(--(INDEX('Reguler Class Availability'!$G:$G,$Q351)&amp;""),0)=0),"Tutup",IF(IFERROR(--(INDEX('Reguler Class Availability'!$G:$G,$Q351)&amp;""),0)&gt;IFERROR(--(INDEX('Reguler Class Availability'!$F:$F,$Q351)&amp;""),0),"Lebih",IF(IFERROR(--(INDEX('Reguler Class Availability'!$G:$G,$Q351)&amp;""),0)=IFERROR(--(INDEX('Reguler Class Availability'!$F:$F,$Q351)&amp;""),0),"Penuh",IF(IFERROR(--(INDEX('Reguler Class Availability'!$G:$G,$Q351)&amp;""),0)=0,IF(INDEX('Reguler Class Availability'!$B:$B,$Q351)&amp;""="","Kosong","Belum terisi"),IF(IFERROR(--(INDEX('Reguler Class Availability'!$G:$G,$Q351)&amp;""),0)/IFERROR(--(INDEX('Reguler Class Availability'!$F:$F,$Q351)&amp;""),0)&gt;=0.6,"Tinggi","Sebagian"))))))</f>
        <v>Belum terisi</v>
      </c>
      <c r="F351" s="77" t="str">
        <f aca="false">IF($Q351="","",PROPER(INDEX('Reguler Class Availability'!$B:$B,$Q351)&amp;""))</f>
        <v>Little</v>
      </c>
      <c r="G351" s="76" t="n">
        <f aca="false">IF($Q351="","",IFERROR(--(INDEX('Reguler Class Availability'!$F:$F,$Q351)&amp;""),0))</f>
        <v>5</v>
      </c>
      <c r="H351" s="77" t="str">
        <f aca="false">IF($Q351="","",PROPER(INDEX('Reguler Class Availability'!$I:$I,$Q351)&amp;"")&amp;IF(INDEX('Reguler Class Availability'!$J:$J,$Q351)&amp;""="",""," + asst "&amp;PROPER(INDEX('Reguler Class Availability'!$J:$J,$Q351)&amp;"")))</f>
        <v/>
      </c>
      <c r="I351" s="77" t="s">
        <v>429</v>
      </c>
      <c r="J351" s="77" t="s">
        <v>188</v>
      </c>
      <c r="K351" s="78"/>
      <c r="L351" s="78"/>
      <c r="M351" s="78"/>
      <c r="N351" s="79"/>
      <c r="O351" s="78"/>
      <c r="Q351" s="30" t="n">
        <f aca="false">IFERROR(MATCH($B$4&amp;"|- Lane "&amp;D351&amp;" - "&amp;B351&amp;"|"&amp;C351,'Reguler Class Availability'!$L:$L,0),"")</f>
        <v>1706</v>
      </c>
      <c r="BD351" s="30" t="s">
        <v>161</v>
      </c>
      <c r="BE351" s="30" t="n">
        <f aca="false">IF(COUNTIFS('Reguler Class Availability'!$L:$L,$B$4&amp;"|- Lane 6 - *|"&amp;BD351)&gt;0,1,0)</f>
        <v>0</v>
      </c>
      <c r="BF351" s="30" t="n">
        <f aca="false">BE351+BF350</f>
        <v>0</v>
      </c>
    </row>
    <row r="352" customFormat="false" ht="27.75" hidden="false" customHeight="true" outlineLevel="0" collapsed="false">
      <c r="A352" s="76" t="n">
        <v>226</v>
      </c>
      <c r="B352" s="77" t="s">
        <v>119</v>
      </c>
      <c r="C352" s="76" t="s">
        <v>141</v>
      </c>
      <c r="D352" s="76" t="n">
        <v>3</v>
      </c>
      <c r="E352" s="77" t="str">
        <f aca="false">IF($Q352="","Tidak ada di data",IF(AND(IFERROR(--(INDEX('Reguler Class Availability'!$F:$F,$Q352)&amp;""),0)=0,IFERROR(--(INDEX('Reguler Class Availability'!$G:$G,$Q352)&amp;""),0)=0),"Tutup",IF(IFERROR(--(INDEX('Reguler Class Availability'!$G:$G,$Q352)&amp;""),0)&gt;IFERROR(--(INDEX('Reguler Class Availability'!$F:$F,$Q352)&amp;""),0),"Lebih",IF(IFERROR(--(INDEX('Reguler Class Availability'!$G:$G,$Q352)&amp;""),0)=IFERROR(--(INDEX('Reguler Class Availability'!$F:$F,$Q352)&amp;""),0),"Penuh",IF(IFERROR(--(INDEX('Reguler Class Availability'!$G:$G,$Q352)&amp;""),0)=0,IF(INDEX('Reguler Class Availability'!$B:$B,$Q352)&amp;""="","Kosong","Belum terisi"),IF(IFERROR(--(INDEX('Reguler Class Availability'!$G:$G,$Q352)&amp;""),0)/IFERROR(--(INDEX('Reguler Class Availability'!$F:$F,$Q352)&amp;""),0)&gt;=0.6,"Tinggi","Sebagian"))))))</f>
        <v>Belum terisi</v>
      </c>
      <c r="F352" s="77" t="str">
        <f aca="false">IF($Q352="","",PROPER(INDEX('Reguler Class Availability'!$B:$B,$Q352)&amp;""))</f>
        <v>Kids</v>
      </c>
      <c r="G352" s="76" t="n">
        <f aca="false">IF($Q352="","",IFERROR(--(INDEX('Reguler Class Availability'!$F:$F,$Q352)&amp;""),0))</f>
        <v>4</v>
      </c>
      <c r="H352" s="77" t="str">
        <f aca="false">IF($Q352="","",PROPER(INDEX('Reguler Class Availability'!$I:$I,$Q352)&amp;"")&amp;IF(INDEX('Reguler Class Availability'!$J:$J,$Q352)&amp;""="",""," + asst "&amp;PROPER(INDEX('Reguler Class Availability'!$J:$J,$Q352)&amp;"")))</f>
        <v/>
      </c>
      <c r="I352" s="77" t="s">
        <v>432</v>
      </c>
      <c r="J352" s="77" t="s">
        <v>188</v>
      </c>
      <c r="K352" s="78"/>
      <c r="L352" s="78"/>
      <c r="M352" s="78"/>
      <c r="N352" s="79"/>
      <c r="O352" s="78"/>
      <c r="Q352" s="30" t="n">
        <f aca="false">IFERROR(MATCH($B$4&amp;"|- Lane "&amp;D352&amp;" - "&amp;B352&amp;"|"&amp;C352,'Reguler Class Availability'!$L:$L,0),"")</f>
        <v>1790</v>
      </c>
      <c r="BD352" s="30" t="s">
        <v>162</v>
      </c>
      <c r="BE352" s="30" t="n">
        <f aca="false">IF(COUNTIFS('Reguler Class Availability'!$L:$L,$B$4&amp;"|- Lane 6 - *|"&amp;BD352)&gt;0,1,0)</f>
        <v>0</v>
      </c>
      <c r="BF352" s="30" t="n">
        <f aca="false">BE352+BF351</f>
        <v>0</v>
      </c>
    </row>
    <row r="353" customFormat="false" ht="27.75" hidden="false" customHeight="true" outlineLevel="0" collapsed="false">
      <c r="A353" s="76" t="n">
        <v>227</v>
      </c>
      <c r="B353" s="77" t="s">
        <v>119</v>
      </c>
      <c r="C353" s="76" t="s">
        <v>141</v>
      </c>
      <c r="D353" s="76" t="n">
        <v>4</v>
      </c>
      <c r="E353" s="77" t="str">
        <f aca="false">IF($Q353="","Tidak ada di data",IF(AND(IFERROR(--(INDEX('Reguler Class Availability'!$F:$F,$Q353)&amp;""),0)=0,IFERROR(--(INDEX('Reguler Class Availability'!$G:$G,$Q353)&amp;""),0)=0),"Tutup",IF(IFERROR(--(INDEX('Reguler Class Availability'!$G:$G,$Q353)&amp;""),0)&gt;IFERROR(--(INDEX('Reguler Class Availability'!$F:$F,$Q353)&amp;""),0),"Lebih",IF(IFERROR(--(INDEX('Reguler Class Availability'!$G:$G,$Q353)&amp;""),0)=IFERROR(--(INDEX('Reguler Class Availability'!$F:$F,$Q353)&amp;""),0),"Penuh",IF(IFERROR(--(INDEX('Reguler Class Availability'!$G:$G,$Q353)&amp;""),0)=0,IF(INDEX('Reguler Class Availability'!$B:$B,$Q353)&amp;""="","Kosong","Belum terisi"),IF(IFERROR(--(INDEX('Reguler Class Availability'!$G:$G,$Q353)&amp;""),0)/IFERROR(--(INDEX('Reguler Class Availability'!$F:$F,$Q353)&amp;""),0)&gt;=0.6,"Tinggi","Sebagian"))))))</f>
        <v>Belum terisi</v>
      </c>
      <c r="F353" s="77" t="str">
        <f aca="false">IF($Q353="","",PROPER(INDEX('Reguler Class Availability'!$B:$B,$Q353)&amp;""))</f>
        <v>Kids</v>
      </c>
      <c r="G353" s="76" t="n">
        <f aca="false">IF($Q353="","",IFERROR(--(INDEX('Reguler Class Availability'!$F:$F,$Q353)&amp;""),0))</f>
        <v>4</v>
      </c>
      <c r="H353" s="77" t="str">
        <f aca="false">IF($Q353="","",PROPER(INDEX('Reguler Class Availability'!$I:$I,$Q353)&amp;"")&amp;IF(INDEX('Reguler Class Availability'!$J:$J,$Q353)&amp;""="",""," + asst "&amp;PROPER(INDEX('Reguler Class Availability'!$J:$J,$Q353)&amp;"")))</f>
        <v/>
      </c>
      <c r="I353" s="77" t="s">
        <v>432</v>
      </c>
      <c r="J353" s="77" t="s">
        <v>188</v>
      </c>
      <c r="K353" s="78"/>
      <c r="L353" s="78"/>
      <c r="M353" s="78"/>
      <c r="N353" s="79"/>
      <c r="O353" s="78"/>
      <c r="Q353" s="30" t="n">
        <f aca="false">IFERROR(MATCH($B$4&amp;"|- Lane "&amp;D353&amp;" - "&amp;B353&amp;"|"&amp;C353,'Reguler Class Availability'!$L:$L,0),"")</f>
        <v>1874</v>
      </c>
      <c r="BD353" s="30" t="s">
        <v>163</v>
      </c>
      <c r="BE353" s="30" t="n">
        <f aca="false">IF(COUNTIFS('Reguler Class Availability'!$L:$L,$B$4&amp;"|- Lane 6 - *|"&amp;BD353)&gt;0,1,0)</f>
        <v>0</v>
      </c>
      <c r="BF353" s="30" t="n">
        <f aca="false">BE353+BF352</f>
        <v>0</v>
      </c>
    </row>
    <row r="354" customFormat="false" ht="27.75" hidden="false" customHeight="true" outlineLevel="0" collapsed="false">
      <c r="A354" s="76" t="n">
        <v>228</v>
      </c>
      <c r="B354" s="77" t="s">
        <v>119</v>
      </c>
      <c r="C354" s="76" t="s">
        <v>143</v>
      </c>
      <c r="D354" s="76" t="n">
        <v>2</v>
      </c>
      <c r="E354" s="77" t="str">
        <f aca="false">IF($Q354="","Tidak ada di data",IF(AND(IFERROR(--(INDEX('Reguler Class Availability'!$F:$F,$Q354)&amp;""),0)=0,IFERROR(--(INDEX('Reguler Class Availability'!$G:$G,$Q354)&amp;""),0)=0),"Tutup",IF(IFERROR(--(INDEX('Reguler Class Availability'!$G:$G,$Q354)&amp;""),0)&gt;IFERROR(--(INDEX('Reguler Class Availability'!$F:$F,$Q354)&amp;""),0),"Lebih",IF(IFERROR(--(INDEX('Reguler Class Availability'!$G:$G,$Q354)&amp;""),0)=IFERROR(--(INDEX('Reguler Class Availability'!$F:$F,$Q354)&amp;""),0),"Penuh",IF(IFERROR(--(INDEX('Reguler Class Availability'!$G:$G,$Q354)&amp;""),0)=0,IF(INDEX('Reguler Class Availability'!$B:$B,$Q354)&amp;""="","Kosong","Belum terisi"),IF(IFERROR(--(INDEX('Reguler Class Availability'!$G:$G,$Q354)&amp;""),0)/IFERROR(--(INDEX('Reguler Class Availability'!$F:$F,$Q354)&amp;""),0)&gt;=0.6,"Tinggi","Sebagian"))))))</f>
        <v>Belum terisi</v>
      </c>
      <c r="F354" s="77" t="str">
        <f aca="false">IF($Q354="","",PROPER(INDEX('Reguler Class Availability'!$B:$B,$Q354)&amp;""))</f>
        <v>Little</v>
      </c>
      <c r="G354" s="76" t="n">
        <f aca="false">IF($Q354="","",IFERROR(--(INDEX('Reguler Class Availability'!$F:$F,$Q354)&amp;""),0))</f>
        <v>5</v>
      </c>
      <c r="H354" s="77" t="str">
        <f aca="false">IF($Q354="","",PROPER(INDEX('Reguler Class Availability'!$I:$I,$Q354)&amp;"")&amp;IF(INDEX('Reguler Class Availability'!$J:$J,$Q354)&amp;""="",""," + asst "&amp;PROPER(INDEX('Reguler Class Availability'!$J:$J,$Q354)&amp;"")))</f>
        <v/>
      </c>
      <c r="I354" s="77" t="s">
        <v>418</v>
      </c>
      <c r="J354" s="77" t="s">
        <v>188</v>
      </c>
      <c r="K354" s="78"/>
      <c r="L354" s="78"/>
      <c r="M354" s="78"/>
      <c r="N354" s="79"/>
      <c r="O354" s="78"/>
      <c r="Q354" s="30" t="n">
        <f aca="false">IFERROR(MATCH($B$4&amp;"|- Lane "&amp;D354&amp;" - "&amp;B354&amp;"|"&amp;C354,'Reguler Class Availability'!$L:$L,0),"")</f>
        <v>1707</v>
      </c>
      <c r="BD354" s="30" t="s">
        <v>164</v>
      </c>
      <c r="BE354" s="30" t="n">
        <f aca="false">IF(COUNTIFS('Reguler Class Availability'!$L:$L,$B$4&amp;"|- Lane 6 - *|"&amp;BD354)&gt;0,1,0)</f>
        <v>0</v>
      </c>
      <c r="BF354" s="30" t="n">
        <f aca="false">BE354+BF353</f>
        <v>0</v>
      </c>
    </row>
    <row r="355" customFormat="false" ht="15.75" hidden="false" customHeight="true" outlineLevel="0" collapsed="false">
      <c r="A355" s="76" t="n">
        <v>229</v>
      </c>
      <c r="B355" s="77" t="s">
        <v>119</v>
      </c>
      <c r="C355" s="76" t="s">
        <v>144</v>
      </c>
      <c r="D355" s="76" t="n">
        <v>4</v>
      </c>
      <c r="E355" s="77" t="str">
        <f aca="false">IF($Q355="","Tidak ada di data",IF(AND(IFERROR(--(INDEX('Reguler Class Availability'!$F:$F,$Q355)&amp;""),0)=0,IFERROR(--(INDEX('Reguler Class Availability'!$G:$G,$Q355)&amp;""),0)=0),"Tutup",IF(IFERROR(--(INDEX('Reguler Class Availability'!$G:$G,$Q355)&amp;""),0)&gt;IFERROR(--(INDEX('Reguler Class Availability'!$F:$F,$Q355)&amp;""),0),"Lebih",IF(IFERROR(--(INDEX('Reguler Class Availability'!$G:$G,$Q355)&amp;""),0)=IFERROR(--(INDEX('Reguler Class Availability'!$F:$F,$Q355)&amp;""),0),"Penuh",IF(IFERROR(--(INDEX('Reguler Class Availability'!$G:$G,$Q355)&amp;""),0)=0,IF(INDEX('Reguler Class Availability'!$B:$B,$Q355)&amp;""="","Kosong","Belum terisi"),IF(IFERROR(--(INDEX('Reguler Class Availability'!$G:$G,$Q355)&amp;""),0)/IFERROR(--(INDEX('Reguler Class Availability'!$F:$F,$Q355)&amp;""),0)&gt;=0.6,"Tinggi","Sebagian"))))))</f>
        <v>Belum terisi</v>
      </c>
      <c r="F355" s="77" t="str">
        <f aca="false">IF($Q355="","",PROPER(INDEX('Reguler Class Availability'!$B:$B,$Q355)&amp;""))</f>
        <v>Kids</v>
      </c>
      <c r="G355" s="76" t="n">
        <f aca="false">IF($Q355="","",IFERROR(--(INDEX('Reguler Class Availability'!$F:$F,$Q355)&amp;""),0))</f>
        <v>4</v>
      </c>
      <c r="H355" s="77" t="str">
        <f aca="false">IF($Q355="","",PROPER(INDEX('Reguler Class Availability'!$I:$I,$Q355)&amp;"")&amp;IF(INDEX('Reguler Class Availability'!$J:$J,$Q355)&amp;""="",""," + asst "&amp;PROPER(INDEX('Reguler Class Availability'!$J:$J,$Q355)&amp;"")))</f>
        <v/>
      </c>
      <c r="I355" s="77" t="s">
        <v>421</v>
      </c>
      <c r="J355" s="77" t="s">
        <v>260</v>
      </c>
      <c r="K355" s="78"/>
      <c r="L355" s="78"/>
      <c r="M355" s="78"/>
      <c r="N355" s="79"/>
      <c r="O355" s="78"/>
      <c r="Q355" s="30" t="n">
        <f aca="false">IFERROR(MATCH($B$4&amp;"|- Lane "&amp;D355&amp;" - "&amp;B355&amp;"|"&amp;C355,'Reguler Class Availability'!$L:$L,0),"")</f>
        <v>1875</v>
      </c>
      <c r="BD355" s="30" t="s">
        <v>165</v>
      </c>
      <c r="BE355" s="30" t="n">
        <f aca="false">IF(COUNTIFS('Reguler Class Availability'!$L:$L,$B$4&amp;"|- Lane 6 - *|"&amp;BD355)&gt;0,1,0)</f>
        <v>0</v>
      </c>
      <c r="BF355" s="30" t="n">
        <f aca="false">BE355+BF354</f>
        <v>0</v>
      </c>
    </row>
    <row r="356" customFormat="false" ht="27.75" hidden="false" customHeight="true" outlineLevel="0" collapsed="false">
      <c r="A356" s="76" t="n">
        <v>230</v>
      </c>
      <c r="B356" s="77" t="s">
        <v>119</v>
      </c>
      <c r="C356" s="76" t="s">
        <v>146</v>
      </c>
      <c r="D356" s="76" t="n">
        <v>1</v>
      </c>
      <c r="E356" s="77" t="str">
        <f aca="false">IF($Q356="","Tidak ada di data",IF(AND(IFERROR(--(INDEX('Reguler Class Availability'!$F:$F,$Q356)&amp;""),0)=0,IFERROR(--(INDEX('Reguler Class Availability'!$G:$G,$Q356)&amp;""),0)=0),"Tutup",IF(IFERROR(--(INDEX('Reguler Class Availability'!$G:$G,$Q356)&amp;""),0)&gt;IFERROR(--(INDEX('Reguler Class Availability'!$F:$F,$Q356)&amp;""),0),"Lebih",IF(IFERROR(--(INDEX('Reguler Class Availability'!$G:$G,$Q356)&amp;""),0)=IFERROR(--(INDEX('Reguler Class Availability'!$F:$F,$Q356)&amp;""),0),"Penuh",IF(IFERROR(--(INDEX('Reguler Class Availability'!$G:$G,$Q356)&amp;""),0)=0,IF(INDEX('Reguler Class Availability'!$B:$B,$Q356)&amp;""="","Kosong","Belum terisi"),IF(IFERROR(--(INDEX('Reguler Class Availability'!$G:$G,$Q356)&amp;""),0)/IFERROR(--(INDEX('Reguler Class Availability'!$F:$F,$Q356)&amp;""),0)&gt;=0.6,"Tinggi","Sebagian"))))))</f>
        <v>Belum terisi</v>
      </c>
      <c r="F356" s="77" t="str">
        <f aca="false">IF($Q356="","",PROPER(INDEX('Reguler Class Availability'!$B:$B,$Q356)&amp;""))</f>
        <v>Tiny</v>
      </c>
      <c r="G356" s="76" t="n">
        <f aca="false">IF($Q356="","",IFERROR(--(INDEX('Reguler Class Availability'!$F:$F,$Q356)&amp;""),0))</f>
        <v>5</v>
      </c>
      <c r="H356" s="77" t="str">
        <f aca="false">IF($Q356="","",PROPER(INDEX('Reguler Class Availability'!$I:$I,$Q356)&amp;"")&amp;IF(INDEX('Reguler Class Availability'!$J:$J,$Q356)&amp;""="",""," + asst "&amp;PROPER(INDEX('Reguler Class Availability'!$J:$J,$Q356)&amp;"")))</f>
        <v/>
      </c>
      <c r="I356" s="77" t="s">
        <v>419</v>
      </c>
      <c r="J356" s="77" t="s">
        <v>188</v>
      </c>
      <c r="K356" s="78"/>
      <c r="L356" s="78"/>
      <c r="M356" s="78"/>
      <c r="N356" s="79"/>
      <c r="O356" s="78"/>
      <c r="Q356" s="30" t="n">
        <f aca="false">IFERROR(MATCH($B$4&amp;"|- Lane "&amp;D356&amp;" - "&amp;B356&amp;"|"&amp;C356,'Reguler Class Availability'!$L:$L,0),"")</f>
        <v>1624</v>
      </c>
      <c r="BD356" s="30" t="s">
        <v>166</v>
      </c>
      <c r="BE356" s="30" t="n">
        <f aca="false">IF(COUNTIFS('Reguler Class Availability'!$L:$L,$B$4&amp;"|- Lane 6 - *|"&amp;BD356)&gt;0,1,0)</f>
        <v>0</v>
      </c>
      <c r="BF356" s="30" t="n">
        <f aca="false">BE356+BF355</f>
        <v>0</v>
      </c>
    </row>
    <row r="357" customFormat="false" ht="15.75" hidden="false" customHeight="true" outlineLevel="0" collapsed="false">
      <c r="A357" s="76" t="n">
        <v>231</v>
      </c>
      <c r="B357" s="77" t="s">
        <v>119</v>
      </c>
      <c r="C357" s="76" t="s">
        <v>147</v>
      </c>
      <c r="D357" s="76" t="n">
        <v>4</v>
      </c>
      <c r="E357" s="77" t="str">
        <f aca="false">IF($Q357="","Tidak ada di data",IF(AND(IFERROR(--(INDEX('Reguler Class Availability'!$F:$F,$Q357)&amp;""),0)=0,IFERROR(--(INDEX('Reguler Class Availability'!$G:$G,$Q357)&amp;""),0)=0),"Tutup",IF(IFERROR(--(INDEX('Reguler Class Availability'!$G:$G,$Q357)&amp;""),0)&gt;IFERROR(--(INDEX('Reguler Class Availability'!$F:$F,$Q357)&amp;""),0),"Lebih",IF(IFERROR(--(INDEX('Reguler Class Availability'!$G:$G,$Q357)&amp;""),0)=IFERROR(--(INDEX('Reguler Class Availability'!$F:$F,$Q357)&amp;""),0),"Penuh",IF(IFERROR(--(INDEX('Reguler Class Availability'!$G:$G,$Q357)&amp;""),0)=0,IF(INDEX('Reguler Class Availability'!$B:$B,$Q357)&amp;""="","Kosong","Belum terisi"),IF(IFERROR(--(INDEX('Reguler Class Availability'!$G:$G,$Q357)&amp;""),0)/IFERROR(--(INDEX('Reguler Class Availability'!$F:$F,$Q357)&amp;""),0)&gt;=0.6,"Tinggi","Sebagian"))))))</f>
        <v>Belum terisi</v>
      </c>
      <c r="F357" s="77" t="str">
        <f aca="false">IF($Q357="","",PROPER(INDEX('Reguler Class Availability'!$B:$B,$Q357)&amp;""))</f>
        <v>Kids</v>
      </c>
      <c r="G357" s="76" t="n">
        <f aca="false">IF($Q357="","",IFERROR(--(INDEX('Reguler Class Availability'!$F:$F,$Q357)&amp;""),0))</f>
        <v>4</v>
      </c>
      <c r="H357" s="77" t="str">
        <f aca="false">IF($Q357="","",PROPER(INDEX('Reguler Class Availability'!$I:$I,$Q357)&amp;"")&amp;IF(INDEX('Reguler Class Availability'!$J:$J,$Q357)&amp;""="",""," + asst "&amp;PROPER(INDEX('Reguler Class Availability'!$J:$J,$Q357)&amp;"")))</f>
        <v/>
      </c>
      <c r="I357" s="77" t="s">
        <v>421</v>
      </c>
      <c r="J357" s="77" t="s">
        <v>260</v>
      </c>
      <c r="K357" s="78"/>
      <c r="L357" s="78"/>
      <c r="M357" s="78"/>
      <c r="N357" s="79"/>
      <c r="O357" s="78"/>
      <c r="Q357" s="30" t="n">
        <f aca="false">IFERROR(MATCH($B$4&amp;"|- Lane "&amp;D357&amp;" - "&amp;B357&amp;"|"&amp;C357,'Reguler Class Availability'!$L:$L,0),"")</f>
        <v>1876</v>
      </c>
      <c r="BD357" s="30" t="s">
        <v>167</v>
      </c>
      <c r="BE357" s="30" t="n">
        <f aca="false">IF(COUNTIFS('Reguler Class Availability'!$L:$L,$B$4&amp;"|- Lane 6 - *|"&amp;BD357)&gt;0,1,0)</f>
        <v>0</v>
      </c>
      <c r="BF357" s="30" t="n">
        <f aca="false">BE357+BF356</f>
        <v>0</v>
      </c>
    </row>
    <row r="358" customFormat="false" ht="27.75" hidden="false" customHeight="true" outlineLevel="0" collapsed="false">
      <c r="A358" s="76" t="n">
        <v>232</v>
      </c>
      <c r="B358" s="77" t="s">
        <v>119</v>
      </c>
      <c r="C358" s="76" t="s">
        <v>149</v>
      </c>
      <c r="D358" s="76" t="n">
        <v>2</v>
      </c>
      <c r="E358" s="77" t="str">
        <f aca="false">IF($Q358="","Tidak ada di data",IF(AND(IFERROR(--(INDEX('Reguler Class Availability'!$F:$F,$Q358)&amp;""),0)=0,IFERROR(--(INDEX('Reguler Class Availability'!$G:$G,$Q358)&amp;""),0)=0),"Tutup",IF(IFERROR(--(INDEX('Reguler Class Availability'!$G:$G,$Q358)&amp;""),0)&gt;IFERROR(--(INDEX('Reguler Class Availability'!$F:$F,$Q358)&amp;""),0),"Lebih",IF(IFERROR(--(INDEX('Reguler Class Availability'!$G:$G,$Q358)&amp;""),0)=IFERROR(--(INDEX('Reguler Class Availability'!$F:$F,$Q358)&amp;""),0),"Penuh",IF(IFERROR(--(INDEX('Reguler Class Availability'!$G:$G,$Q358)&amp;""),0)=0,IF(INDEX('Reguler Class Availability'!$B:$B,$Q358)&amp;""="","Kosong","Belum terisi"),IF(IFERROR(--(INDEX('Reguler Class Availability'!$G:$G,$Q358)&amp;""),0)/IFERROR(--(INDEX('Reguler Class Availability'!$F:$F,$Q358)&amp;""),0)&gt;=0.6,"Tinggi","Sebagian"))))))</f>
        <v>Belum terisi</v>
      </c>
      <c r="F358" s="77" t="str">
        <f aca="false">IF($Q358="","",PROPER(INDEX('Reguler Class Availability'!$B:$B,$Q358)&amp;""))</f>
        <v>Little</v>
      </c>
      <c r="G358" s="76" t="n">
        <f aca="false">IF($Q358="","",IFERROR(--(INDEX('Reguler Class Availability'!$F:$F,$Q358)&amp;""),0))</f>
        <v>5</v>
      </c>
      <c r="H358" s="77" t="str">
        <f aca="false">IF($Q358="","",PROPER(INDEX('Reguler Class Availability'!$I:$I,$Q358)&amp;"")&amp;IF(INDEX('Reguler Class Availability'!$J:$J,$Q358)&amp;""="",""," + asst "&amp;PROPER(INDEX('Reguler Class Availability'!$J:$J,$Q358)&amp;"")))</f>
        <v/>
      </c>
      <c r="I358" s="77" t="s">
        <v>418</v>
      </c>
      <c r="J358" s="77" t="s">
        <v>188</v>
      </c>
      <c r="K358" s="78"/>
      <c r="L358" s="78"/>
      <c r="M358" s="78"/>
      <c r="N358" s="79"/>
      <c r="O358" s="78"/>
      <c r="Q358" s="30" t="n">
        <f aca="false">IFERROR(MATCH($B$4&amp;"|- Lane "&amp;D358&amp;" - "&amp;B358&amp;"|"&amp;C358,'Reguler Class Availability'!$L:$L,0),"")</f>
        <v>1709</v>
      </c>
      <c r="BD358" s="30" t="s">
        <v>168</v>
      </c>
      <c r="BE358" s="30" t="n">
        <f aca="false">IF(COUNTIFS('Reguler Class Availability'!$L:$L,$B$4&amp;"|- Lane 6 - *|"&amp;BD358)&gt;0,1,0)</f>
        <v>0</v>
      </c>
      <c r="BF358" s="30" t="n">
        <f aca="false">BE358+BF357</f>
        <v>0</v>
      </c>
    </row>
    <row r="359" customFormat="false" ht="27.75" hidden="false" customHeight="true" outlineLevel="0" collapsed="false">
      <c r="A359" s="76" t="n">
        <v>233</v>
      </c>
      <c r="B359" s="77" t="s">
        <v>119</v>
      </c>
      <c r="C359" s="76" t="s">
        <v>150</v>
      </c>
      <c r="D359" s="76" t="n">
        <v>3</v>
      </c>
      <c r="E359" s="77" t="str">
        <f aca="false">IF($Q359="","Tidak ada di data",IF(AND(IFERROR(--(INDEX('Reguler Class Availability'!$F:$F,$Q359)&amp;""),0)=0,IFERROR(--(INDEX('Reguler Class Availability'!$G:$G,$Q359)&amp;""),0)=0),"Tutup",IF(IFERROR(--(INDEX('Reguler Class Availability'!$G:$G,$Q359)&amp;""),0)&gt;IFERROR(--(INDEX('Reguler Class Availability'!$F:$F,$Q359)&amp;""),0),"Lebih",IF(IFERROR(--(INDEX('Reguler Class Availability'!$G:$G,$Q359)&amp;""),0)=IFERROR(--(INDEX('Reguler Class Availability'!$F:$F,$Q359)&amp;""),0),"Penuh",IF(IFERROR(--(INDEX('Reguler Class Availability'!$G:$G,$Q359)&amp;""),0)=0,IF(INDEX('Reguler Class Availability'!$B:$B,$Q359)&amp;""="","Kosong","Belum terisi"),IF(IFERROR(--(INDEX('Reguler Class Availability'!$G:$G,$Q359)&amp;""),0)/IFERROR(--(INDEX('Reguler Class Availability'!$F:$F,$Q359)&amp;""),0)&gt;=0.6,"Tinggi","Sebagian"))))))</f>
        <v>Belum terisi</v>
      </c>
      <c r="F359" s="77" t="str">
        <f aca="false">IF($Q359="","",PROPER(INDEX('Reguler Class Availability'!$B:$B,$Q359)&amp;""))</f>
        <v>Kids</v>
      </c>
      <c r="G359" s="76" t="n">
        <f aca="false">IF($Q359="","",IFERROR(--(INDEX('Reguler Class Availability'!$F:$F,$Q359)&amp;""),0))</f>
        <v>4</v>
      </c>
      <c r="H359" s="77" t="str">
        <f aca="false">IF($Q359="","",PROPER(INDEX('Reguler Class Availability'!$I:$I,$Q359)&amp;"")&amp;IF(INDEX('Reguler Class Availability'!$J:$J,$Q359)&amp;""="",""," + asst "&amp;PROPER(INDEX('Reguler Class Availability'!$J:$J,$Q359)&amp;"")))</f>
        <v/>
      </c>
      <c r="I359" s="77" t="s">
        <v>432</v>
      </c>
      <c r="J359" s="77" t="s">
        <v>188</v>
      </c>
      <c r="K359" s="78"/>
      <c r="L359" s="78"/>
      <c r="M359" s="78"/>
      <c r="N359" s="79"/>
      <c r="O359" s="78"/>
      <c r="Q359" s="30" t="n">
        <f aca="false">IFERROR(MATCH($B$4&amp;"|- Lane "&amp;D359&amp;" - "&amp;B359&amp;"|"&amp;C359,'Reguler Class Availability'!$L:$L,0),"")</f>
        <v>1793</v>
      </c>
      <c r="BD359" s="30" t="s">
        <v>169</v>
      </c>
      <c r="BE359" s="30" t="n">
        <f aca="false">IF(COUNTIFS('Reguler Class Availability'!$L:$L,$B$4&amp;"|- Lane 6 - *|"&amp;BD359)&gt;0,1,0)</f>
        <v>0</v>
      </c>
      <c r="BF359" s="30" t="n">
        <f aca="false">BE359+BF358</f>
        <v>0</v>
      </c>
    </row>
    <row r="360" customFormat="false" ht="27.75" hidden="false" customHeight="true" outlineLevel="0" collapsed="false">
      <c r="A360" s="76" t="n">
        <v>234</v>
      </c>
      <c r="B360" s="77" t="s">
        <v>119</v>
      </c>
      <c r="C360" s="76" t="s">
        <v>150</v>
      </c>
      <c r="D360" s="76" t="n">
        <v>4</v>
      </c>
      <c r="E360" s="77" t="str">
        <f aca="false">IF($Q360="","Tidak ada di data",IF(AND(IFERROR(--(INDEX('Reguler Class Availability'!$F:$F,$Q360)&amp;""),0)=0,IFERROR(--(INDEX('Reguler Class Availability'!$G:$G,$Q360)&amp;""),0)=0),"Tutup",IF(IFERROR(--(INDEX('Reguler Class Availability'!$G:$G,$Q360)&amp;""),0)&gt;IFERROR(--(INDEX('Reguler Class Availability'!$F:$F,$Q360)&amp;""),0),"Lebih",IF(IFERROR(--(INDEX('Reguler Class Availability'!$G:$G,$Q360)&amp;""),0)=IFERROR(--(INDEX('Reguler Class Availability'!$F:$F,$Q360)&amp;""),0),"Penuh",IF(IFERROR(--(INDEX('Reguler Class Availability'!$G:$G,$Q360)&amp;""),0)=0,IF(INDEX('Reguler Class Availability'!$B:$B,$Q360)&amp;""="","Kosong","Belum terisi"),IF(IFERROR(--(INDEX('Reguler Class Availability'!$G:$G,$Q360)&amp;""),0)/IFERROR(--(INDEX('Reguler Class Availability'!$F:$F,$Q360)&amp;""),0)&gt;=0.6,"Tinggi","Sebagian"))))))</f>
        <v>Belum terisi</v>
      </c>
      <c r="F360" s="77" t="str">
        <f aca="false">IF($Q360="","",PROPER(INDEX('Reguler Class Availability'!$B:$B,$Q360)&amp;""))</f>
        <v>Kids</v>
      </c>
      <c r="G360" s="76" t="n">
        <f aca="false">IF($Q360="","",IFERROR(--(INDEX('Reguler Class Availability'!$F:$F,$Q360)&amp;""),0))</f>
        <v>4</v>
      </c>
      <c r="H360" s="77" t="str">
        <f aca="false">IF($Q360="","",PROPER(INDEX('Reguler Class Availability'!$I:$I,$Q360)&amp;"")&amp;IF(INDEX('Reguler Class Availability'!$J:$J,$Q360)&amp;""="",""," + asst "&amp;PROPER(INDEX('Reguler Class Availability'!$J:$J,$Q360)&amp;"")))</f>
        <v/>
      </c>
      <c r="I360" s="77" t="s">
        <v>432</v>
      </c>
      <c r="J360" s="77" t="s">
        <v>188</v>
      </c>
      <c r="K360" s="78"/>
      <c r="L360" s="78"/>
      <c r="M360" s="78"/>
      <c r="N360" s="79"/>
      <c r="O360" s="78"/>
      <c r="Q360" s="30" t="n">
        <f aca="false">IFERROR(MATCH($B$4&amp;"|- Lane "&amp;D360&amp;" - "&amp;B360&amp;"|"&amp;C360,'Reguler Class Availability'!$L:$L,0),"")</f>
        <v>1877</v>
      </c>
      <c r="BD360" s="30" t="s">
        <v>170</v>
      </c>
      <c r="BE360" s="30" t="n">
        <f aca="false">IF(COUNTIFS('Reguler Class Availability'!$L:$L,$B$4&amp;"|- Lane 6 - *|"&amp;BD360)&gt;0,1,0)</f>
        <v>0</v>
      </c>
      <c r="BF360" s="30" t="n">
        <f aca="false">BE360+BF359</f>
        <v>0</v>
      </c>
    </row>
    <row r="361" customFormat="false" ht="15.75" hidden="false" customHeight="true" outlineLevel="0" collapsed="false">
      <c r="A361" s="76" t="n">
        <v>235</v>
      </c>
      <c r="B361" s="77" t="s">
        <v>119</v>
      </c>
      <c r="C361" s="76" t="s">
        <v>152</v>
      </c>
      <c r="D361" s="76" t="n">
        <v>1</v>
      </c>
      <c r="E361" s="77" t="str">
        <f aca="false">IF($Q361="","Tidak ada di data",IF(AND(IFERROR(--(INDEX('Reguler Class Availability'!$F:$F,$Q361)&amp;""),0)=0,IFERROR(--(INDEX('Reguler Class Availability'!$G:$G,$Q361)&amp;""),0)=0),"Tutup",IF(IFERROR(--(INDEX('Reguler Class Availability'!$G:$G,$Q361)&amp;""),0)&gt;IFERROR(--(INDEX('Reguler Class Availability'!$F:$F,$Q361)&amp;""),0),"Lebih",IF(IFERROR(--(INDEX('Reguler Class Availability'!$G:$G,$Q361)&amp;""),0)=IFERROR(--(INDEX('Reguler Class Availability'!$F:$F,$Q361)&amp;""),0),"Penuh",IF(IFERROR(--(INDEX('Reguler Class Availability'!$G:$G,$Q361)&amp;""),0)=0,IF(INDEX('Reguler Class Availability'!$B:$B,$Q361)&amp;""="","Kosong","Belum terisi"),IF(IFERROR(--(INDEX('Reguler Class Availability'!$G:$G,$Q361)&amp;""),0)/IFERROR(--(INDEX('Reguler Class Availability'!$F:$F,$Q361)&amp;""),0)&gt;=0.6,"Tinggi","Sebagian"))))))</f>
        <v>Belum terisi</v>
      </c>
      <c r="F361" s="77" t="str">
        <f aca="false">IF($Q361="","",PROPER(INDEX('Reguler Class Availability'!$B:$B,$Q361)&amp;""))</f>
        <v>Tiny</v>
      </c>
      <c r="G361" s="76" t="n">
        <f aca="false">IF($Q361="","",IFERROR(--(INDEX('Reguler Class Availability'!$F:$F,$Q361)&amp;""),0))</f>
        <v>5</v>
      </c>
      <c r="H361" s="77" t="str">
        <f aca="false">IF($Q361="","",PROPER(INDEX('Reguler Class Availability'!$I:$I,$Q361)&amp;"")&amp;IF(INDEX('Reguler Class Availability'!$J:$J,$Q361)&amp;""="",""," + asst "&amp;PROPER(INDEX('Reguler Class Availability'!$J:$J,$Q361)&amp;"")))</f>
        <v/>
      </c>
      <c r="I361" s="77" t="s">
        <v>431</v>
      </c>
      <c r="J361" s="77" t="s">
        <v>198</v>
      </c>
      <c r="K361" s="78"/>
      <c r="L361" s="78"/>
      <c r="M361" s="78"/>
      <c r="N361" s="79"/>
      <c r="O361" s="78"/>
      <c r="Q361" s="30" t="n">
        <f aca="false">IFERROR(MATCH($B$4&amp;"|- Lane "&amp;D361&amp;" - "&amp;B361&amp;"|"&amp;C361,'Reguler Class Availability'!$L:$L,0),"")</f>
        <v>1626</v>
      </c>
      <c r="BD361" s="30" t="s">
        <v>171</v>
      </c>
      <c r="BE361" s="30" t="n">
        <f aca="false">IF(COUNTIFS('Reguler Class Availability'!$L:$L,$B$4&amp;"|- Lane 6 - *|"&amp;BD361)&gt;0,1,0)</f>
        <v>0</v>
      </c>
      <c r="BF361" s="30" t="n">
        <f aca="false">BE361+BF360</f>
        <v>0</v>
      </c>
    </row>
    <row r="362" customFormat="false" ht="15.75" hidden="false" customHeight="true" outlineLevel="0" collapsed="false">
      <c r="A362" s="76" t="n">
        <v>236</v>
      </c>
      <c r="B362" s="77" t="s">
        <v>119</v>
      </c>
      <c r="C362" s="76" t="s">
        <v>153</v>
      </c>
      <c r="D362" s="76" t="n">
        <v>4</v>
      </c>
      <c r="E362" s="77" t="str">
        <f aca="false">IF($Q362="","Tidak ada di data",IF(AND(IFERROR(--(INDEX('Reguler Class Availability'!$F:$F,$Q362)&amp;""),0)=0,IFERROR(--(INDEX('Reguler Class Availability'!$G:$G,$Q362)&amp;""),0)=0),"Tutup",IF(IFERROR(--(INDEX('Reguler Class Availability'!$G:$G,$Q362)&amp;""),0)&gt;IFERROR(--(INDEX('Reguler Class Availability'!$F:$F,$Q362)&amp;""),0),"Lebih",IF(IFERROR(--(INDEX('Reguler Class Availability'!$G:$G,$Q362)&amp;""),0)=IFERROR(--(INDEX('Reguler Class Availability'!$F:$F,$Q362)&amp;""),0),"Penuh",IF(IFERROR(--(INDEX('Reguler Class Availability'!$G:$G,$Q362)&amp;""),0)=0,IF(INDEX('Reguler Class Availability'!$B:$B,$Q362)&amp;""="","Kosong","Belum terisi"),IF(IFERROR(--(INDEX('Reguler Class Availability'!$G:$G,$Q362)&amp;""),0)/IFERROR(--(INDEX('Reguler Class Availability'!$F:$F,$Q362)&amp;""),0)&gt;=0.6,"Tinggi","Sebagian"))))))</f>
        <v>Belum terisi</v>
      </c>
      <c r="F362" s="77" t="str">
        <f aca="false">IF($Q362="","",PROPER(INDEX('Reguler Class Availability'!$B:$B,$Q362)&amp;""))</f>
        <v>Kids</v>
      </c>
      <c r="G362" s="76" t="n">
        <f aca="false">IF($Q362="","",IFERROR(--(INDEX('Reguler Class Availability'!$F:$F,$Q362)&amp;""),0))</f>
        <v>4</v>
      </c>
      <c r="H362" s="77" t="str">
        <f aca="false">IF($Q362="","",PROPER(INDEX('Reguler Class Availability'!$I:$I,$Q362)&amp;"")&amp;IF(INDEX('Reguler Class Availability'!$J:$J,$Q362)&amp;""="",""," + asst "&amp;PROPER(INDEX('Reguler Class Availability'!$J:$J,$Q362)&amp;"")))</f>
        <v/>
      </c>
      <c r="I362" s="77" t="s">
        <v>411</v>
      </c>
      <c r="J362" s="77" t="s">
        <v>260</v>
      </c>
      <c r="K362" s="78"/>
      <c r="L362" s="78"/>
      <c r="M362" s="78"/>
      <c r="N362" s="79"/>
      <c r="O362" s="78"/>
      <c r="Q362" s="30" t="n">
        <f aca="false">IFERROR(MATCH($B$4&amp;"|- Lane "&amp;D362&amp;" - "&amp;B362&amp;"|"&amp;C362,'Reguler Class Availability'!$L:$L,0),"")</f>
        <v>1878</v>
      </c>
    </row>
    <row r="363" customFormat="false" ht="27.75" hidden="false" customHeight="true" outlineLevel="0" collapsed="false">
      <c r="A363" s="76" t="n">
        <v>237</v>
      </c>
      <c r="B363" s="77" t="s">
        <v>119</v>
      </c>
      <c r="C363" s="76" t="s">
        <v>155</v>
      </c>
      <c r="D363" s="76" t="n">
        <v>1</v>
      </c>
      <c r="E363" s="77" t="str">
        <f aca="false">IF($Q363="","Tidak ada di data",IF(AND(IFERROR(--(INDEX('Reguler Class Availability'!$F:$F,$Q363)&amp;""),0)=0,IFERROR(--(INDEX('Reguler Class Availability'!$G:$G,$Q363)&amp;""),0)=0),"Tutup",IF(IFERROR(--(INDEX('Reguler Class Availability'!$G:$G,$Q363)&amp;""),0)&gt;IFERROR(--(INDEX('Reguler Class Availability'!$F:$F,$Q363)&amp;""),0),"Lebih",IF(IFERROR(--(INDEX('Reguler Class Availability'!$G:$G,$Q363)&amp;""),0)=IFERROR(--(INDEX('Reguler Class Availability'!$F:$F,$Q363)&amp;""),0),"Penuh",IF(IFERROR(--(INDEX('Reguler Class Availability'!$G:$G,$Q363)&amp;""),0)=0,IF(INDEX('Reguler Class Availability'!$B:$B,$Q363)&amp;""="","Kosong","Belum terisi"),IF(IFERROR(--(INDEX('Reguler Class Availability'!$G:$G,$Q363)&amp;""),0)/IFERROR(--(INDEX('Reguler Class Availability'!$F:$F,$Q363)&amp;""),0)&gt;=0.6,"Tinggi","Sebagian"))))))</f>
        <v>Belum terisi</v>
      </c>
      <c r="F363" s="77" t="str">
        <f aca="false">IF($Q363="","",PROPER(INDEX('Reguler Class Availability'!$B:$B,$Q363)&amp;""))</f>
        <v>Baby</v>
      </c>
      <c r="G363" s="76" t="n">
        <f aca="false">IF($Q363="","",IFERROR(--(INDEX('Reguler Class Availability'!$F:$F,$Q363)&amp;""),0))</f>
        <v>5</v>
      </c>
      <c r="H363" s="77" t="str">
        <f aca="false">IF($Q363="","",PROPER(INDEX('Reguler Class Availability'!$I:$I,$Q363)&amp;"")&amp;IF(INDEX('Reguler Class Availability'!$J:$J,$Q363)&amp;""="",""," + asst "&amp;PROPER(INDEX('Reguler Class Availability'!$J:$J,$Q363)&amp;"")))</f>
        <v/>
      </c>
      <c r="I363" s="77" t="s">
        <v>433</v>
      </c>
      <c r="J363" s="77" t="s">
        <v>188</v>
      </c>
      <c r="K363" s="78"/>
      <c r="L363" s="78"/>
      <c r="M363" s="78"/>
      <c r="N363" s="79"/>
      <c r="O363" s="78"/>
      <c r="Q363" s="30" t="n">
        <f aca="false">IFERROR(MATCH($B$4&amp;"|- Lane "&amp;D363&amp;" - "&amp;B363&amp;"|"&amp;C363,'Reguler Class Availability'!$L:$L,0),"")</f>
        <v>1627</v>
      </c>
    </row>
    <row r="364" customFormat="false" ht="27.75" hidden="false" customHeight="true" outlineLevel="0" collapsed="false">
      <c r="A364" s="76" t="n">
        <v>238</v>
      </c>
      <c r="B364" s="77" t="s">
        <v>119</v>
      </c>
      <c r="C364" s="76" t="s">
        <v>156</v>
      </c>
      <c r="D364" s="76" t="n">
        <v>3</v>
      </c>
      <c r="E364" s="77" t="str">
        <f aca="false">IF($Q364="","Tidak ada di data",IF(AND(IFERROR(--(INDEX('Reguler Class Availability'!$F:$F,$Q364)&amp;""),0)=0,IFERROR(--(INDEX('Reguler Class Availability'!$G:$G,$Q364)&amp;""),0)=0),"Tutup",IF(IFERROR(--(INDEX('Reguler Class Availability'!$G:$G,$Q364)&amp;""),0)&gt;IFERROR(--(INDEX('Reguler Class Availability'!$F:$F,$Q364)&amp;""),0),"Lebih",IF(IFERROR(--(INDEX('Reguler Class Availability'!$G:$G,$Q364)&amp;""),0)=IFERROR(--(INDEX('Reguler Class Availability'!$F:$F,$Q364)&amp;""),0),"Penuh",IF(IFERROR(--(INDEX('Reguler Class Availability'!$G:$G,$Q364)&amp;""),0)=0,IF(INDEX('Reguler Class Availability'!$B:$B,$Q364)&amp;""="","Kosong","Belum terisi"),IF(IFERROR(--(INDEX('Reguler Class Availability'!$G:$G,$Q364)&amp;""),0)/IFERROR(--(INDEX('Reguler Class Availability'!$F:$F,$Q364)&amp;""),0)&gt;=0.6,"Tinggi","Sebagian"))))))</f>
        <v>Belum terisi</v>
      </c>
      <c r="F364" s="77" t="str">
        <f aca="false">IF($Q364="","",PROPER(INDEX('Reguler Class Availability'!$B:$B,$Q364)&amp;""))</f>
        <v>Kids</v>
      </c>
      <c r="G364" s="76" t="n">
        <f aca="false">IF($Q364="","",IFERROR(--(INDEX('Reguler Class Availability'!$F:$F,$Q364)&amp;""),0))</f>
        <v>4</v>
      </c>
      <c r="H364" s="77" t="str">
        <f aca="false">IF($Q364="","",PROPER(INDEX('Reguler Class Availability'!$I:$I,$Q364)&amp;"")&amp;IF(INDEX('Reguler Class Availability'!$J:$J,$Q364)&amp;""="",""," + asst "&amp;PROPER(INDEX('Reguler Class Availability'!$J:$J,$Q364)&amp;"")))</f>
        <v/>
      </c>
      <c r="I364" s="77" t="s">
        <v>434</v>
      </c>
      <c r="J364" s="77" t="s">
        <v>188</v>
      </c>
      <c r="K364" s="78"/>
      <c r="L364" s="78"/>
      <c r="M364" s="78"/>
      <c r="N364" s="79"/>
      <c r="O364" s="78"/>
      <c r="Q364" s="30" t="n">
        <f aca="false">IFERROR(MATCH($B$4&amp;"|- Lane "&amp;D364&amp;" - "&amp;B364&amp;"|"&amp;C364,'Reguler Class Availability'!$L:$L,0),"")</f>
        <v>1795</v>
      </c>
    </row>
    <row r="365" customFormat="false" ht="27.75" hidden="false" customHeight="true" outlineLevel="0" collapsed="false">
      <c r="A365" s="76" t="n">
        <v>239</v>
      </c>
      <c r="B365" s="77" t="s">
        <v>119</v>
      </c>
      <c r="C365" s="76" t="s">
        <v>156</v>
      </c>
      <c r="D365" s="76" t="n">
        <v>4</v>
      </c>
      <c r="E365" s="77" t="str">
        <f aca="false">IF($Q365="","Tidak ada di data",IF(AND(IFERROR(--(INDEX('Reguler Class Availability'!$F:$F,$Q365)&amp;""),0)=0,IFERROR(--(INDEX('Reguler Class Availability'!$G:$G,$Q365)&amp;""),0)=0),"Tutup",IF(IFERROR(--(INDEX('Reguler Class Availability'!$G:$G,$Q365)&amp;""),0)&gt;IFERROR(--(INDEX('Reguler Class Availability'!$F:$F,$Q365)&amp;""),0),"Lebih",IF(IFERROR(--(INDEX('Reguler Class Availability'!$G:$G,$Q365)&amp;""),0)=IFERROR(--(INDEX('Reguler Class Availability'!$F:$F,$Q365)&amp;""),0),"Penuh",IF(IFERROR(--(INDEX('Reguler Class Availability'!$G:$G,$Q365)&amp;""),0)=0,IF(INDEX('Reguler Class Availability'!$B:$B,$Q365)&amp;""="","Kosong","Belum terisi"),IF(IFERROR(--(INDEX('Reguler Class Availability'!$G:$G,$Q365)&amp;""),0)/IFERROR(--(INDEX('Reguler Class Availability'!$F:$F,$Q365)&amp;""),0)&gt;=0.6,"Tinggi","Sebagian"))))))</f>
        <v>Belum terisi</v>
      </c>
      <c r="F365" s="77" t="str">
        <f aca="false">IF($Q365="","",PROPER(INDEX('Reguler Class Availability'!$B:$B,$Q365)&amp;""))</f>
        <v>Kids</v>
      </c>
      <c r="G365" s="76" t="n">
        <f aca="false">IF($Q365="","",IFERROR(--(INDEX('Reguler Class Availability'!$F:$F,$Q365)&amp;""),0))</f>
        <v>4</v>
      </c>
      <c r="H365" s="77" t="str">
        <f aca="false">IF($Q365="","",PROPER(INDEX('Reguler Class Availability'!$I:$I,$Q365)&amp;"")&amp;IF(INDEX('Reguler Class Availability'!$J:$J,$Q365)&amp;""="",""," + asst "&amp;PROPER(INDEX('Reguler Class Availability'!$J:$J,$Q365)&amp;"")))</f>
        <v/>
      </c>
      <c r="I365" s="77" t="s">
        <v>434</v>
      </c>
      <c r="J365" s="77" t="s">
        <v>188</v>
      </c>
      <c r="K365" s="78"/>
      <c r="L365" s="78"/>
      <c r="M365" s="78"/>
      <c r="N365" s="79"/>
      <c r="O365" s="78"/>
      <c r="Q365" s="30" t="n">
        <f aca="false">IFERROR(MATCH($B$4&amp;"|- Lane "&amp;D365&amp;" - "&amp;B365&amp;"|"&amp;C365,'Reguler Class Availability'!$L:$L,0),"")</f>
        <v>1879</v>
      </c>
    </row>
    <row r="366" customFormat="false" ht="40.5" hidden="false" customHeight="true" outlineLevel="0" collapsed="false">
      <c r="A366" s="76" t="n">
        <v>240</v>
      </c>
      <c r="B366" s="77" t="s">
        <v>80</v>
      </c>
      <c r="C366" s="76" t="s">
        <v>105</v>
      </c>
      <c r="D366" s="76" t="n">
        <v>1</v>
      </c>
      <c r="E366" s="77" t="str">
        <f aca="false">IF($Q366="","Tidak ada di data",IF(AND(IFERROR(--(INDEX('Reguler Class Availability'!$F:$F,$Q366)&amp;""),0)=0,IFERROR(--(INDEX('Reguler Class Availability'!$G:$G,$Q366)&amp;""),0)=0),"Tutup",IF(IFERROR(--(INDEX('Reguler Class Availability'!$G:$G,$Q366)&amp;""),0)&gt;IFERROR(--(INDEX('Reguler Class Availability'!$F:$F,$Q366)&amp;""),0),"Lebih",IF(IFERROR(--(INDEX('Reguler Class Availability'!$G:$G,$Q366)&amp;""),0)=IFERROR(--(INDEX('Reguler Class Availability'!$F:$F,$Q366)&amp;""),0),"Penuh",IF(IFERROR(--(INDEX('Reguler Class Availability'!$G:$G,$Q366)&amp;""),0)=0,IF(INDEX('Reguler Class Availability'!$B:$B,$Q366)&amp;""="","Kosong","Belum terisi"),IF(IFERROR(--(INDEX('Reguler Class Availability'!$G:$G,$Q366)&amp;""),0)/IFERROR(--(INDEX('Reguler Class Availability'!$F:$F,$Q366)&amp;""),0)&gt;=0.6,"Tinggi","Sebagian"))))))</f>
        <v>Belum terisi</v>
      </c>
      <c r="F366" s="77" t="str">
        <f aca="false">IF($Q366="","",PROPER(INDEX('Reguler Class Availability'!$B:$B,$Q366)&amp;""))</f>
        <v>Tiny</v>
      </c>
      <c r="G366" s="76" t="n">
        <f aca="false">IF($Q366="","",IFERROR(--(INDEX('Reguler Class Availability'!$F:$F,$Q366)&amp;""),0))</f>
        <v>5</v>
      </c>
      <c r="H366" s="77" t="str">
        <f aca="false">IF($Q366="","",PROPER(INDEX('Reguler Class Availability'!$I:$I,$Q366)&amp;"")&amp;IF(INDEX('Reguler Class Availability'!$J:$J,$Q366)&amp;""="",""," + asst "&amp;PROPER(INDEX('Reguler Class Availability'!$J:$J,$Q366)&amp;"")))</f>
        <v/>
      </c>
      <c r="I366" s="77" t="s">
        <v>435</v>
      </c>
      <c r="J366" s="77" t="s">
        <v>188</v>
      </c>
      <c r="K366" s="78"/>
      <c r="L366" s="78"/>
      <c r="M366" s="78"/>
      <c r="N366" s="79"/>
      <c r="O366" s="78"/>
      <c r="Q366" s="30" t="n">
        <f aca="false">IFERROR(MATCH($B$4&amp;"|- Lane "&amp;D366&amp;" - "&amp;B366&amp;"|"&amp;C366,'Reguler Class Availability'!$L:$L,0),"")</f>
        <v>1628</v>
      </c>
    </row>
    <row r="367" customFormat="false" ht="40.5" hidden="false" customHeight="true" outlineLevel="0" collapsed="false">
      <c r="A367" s="76" t="n">
        <v>241</v>
      </c>
      <c r="B367" s="77" t="s">
        <v>80</v>
      </c>
      <c r="C367" s="76" t="s">
        <v>105</v>
      </c>
      <c r="D367" s="76" t="n">
        <v>2</v>
      </c>
      <c r="E367" s="77" t="str">
        <f aca="false">IF($Q367="","Tidak ada di data",IF(AND(IFERROR(--(INDEX('Reguler Class Availability'!$F:$F,$Q367)&amp;""),0)=0,IFERROR(--(INDEX('Reguler Class Availability'!$G:$G,$Q367)&amp;""),0)=0),"Tutup",IF(IFERROR(--(INDEX('Reguler Class Availability'!$G:$G,$Q367)&amp;""),0)&gt;IFERROR(--(INDEX('Reguler Class Availability'!$F:$F,$Q367)&amp;""),0),"Lebih",IF(IFERROR(--(INDEX('Reguler Class Availability'!$G:$G,$Q367)&amp;""),0)=IFERROR(--(INDEX('Reguler Class Availability'!$F:$F,$Q367)&amp;""),0),"Penuh",IF(IFERROR(--(INDEX('Reguler Class Availability'!$G:$G,$Q367)&amp;""),0)=0,IF(INDEX('Reguler Class Availability'!$B:$B,$Q367)&amp;""="","Kosong","Belum terisi"),IF(IFERROR(--(INDEX('Reguler Class Availability'!$G:$G,$Q367)&amp;""),0)/IFERROR(--(INDEX('Reguler Class Availability'!$F:$F,$Q367)&amp;""),0)&gt;=0.6,"Tinggi","Sebagian"))))))</f>
        <v>Belum terisi</v>
      </c>
      <c r="F367" s="77" t="str">
        <f aca="false">IF($Q367="","",PROPER(INDEX('Reguler Class Availability'!$B:$B,$Q367)&amp;""))</f>
        <v>Little</v>
      </c>
      <c r="G367" s="76" t="n">
        <f aca="false">IF($Q367="","",IFERROR(--(INDEX('Reguler Class Availability'!$F:$F,$Q367)&amp;""),0))</f>
        <v>5</v>
      </c>
      <c r="H367" s="77" t="str">
        <f aca="false">IF($Q367="","",PROPER(INDEX('Reguler Class Availability'!$I:$I,$Q367)&amp;"")&amp;IF(INDEX('Reguler Class Availability'!$J:$J,$Q367)&amp;""="",""," + asst "&amp;PROPER(INDEX('Reguler Class Availability'!$J:$J,$Q367)&amp;"")))</f>
        <v/>
      </c>
      <c r="I367" s="77" t="s">
        <v>435</v>
      </c>
      <c r="J367" s="77" t="s">
        <v>188</v>
      </c>
      <c r="K367" s="78"/>
      <c r="L367" s="78"/>
      <c r="M367" s="78"/>
      <c r="N367" s="79"/>
      <c r="O367" s="78"/>
      <c r="Q367" s="30" t="n">
        <f aca="false">IFERROR(MATCH($B$4&amp;"|- Lane "&amp;D367&amp;" - "&amp;B367&amp;"|"&amp;C367,'Reguler Class Availability'!$L:$L,0),"")</f>
        <v>1712</v>
      </c>
    </row>
    <row r="368" customFormat="false" ht="40.5" hidden="false" customHeight="true" outlineLevel="0" collapsed="false">
      <c r="A368" s="76" t="n">
        <v>242</v>
      </c>
      <c r="B368" s="77" t="s">
        <v>80</v>
      </c>
      <c r="C368" s="76" t="s">
        <v>110</v>
      </c>
      <c r="D368" s="76" t="n">
        <v>3</v>
      </c>
      <c r="E368" s="77" t="str">
        <f aca="false">IF($Q368="","Tidak ada di data",IF(AND(IFERROR(--(INDEX('Reguler Class Availability'!$F:$F,$Q368)&amp;""),0)=0,IFERROR(--(INDEX('Reguler Class Availability'!$G:$G,$Q368)&amp;""),0)=0),"Tutup",IF(IFERROR(--(INDEX('Reguler Class Availability'!$G:$G,$Q368)&amp;""),0)&gt;IFERROR(--(INDEX('Reguler Class Availability'!$F:$F,$Q368)&amp;""),0),"Lebih",IF(IFERROR(--(INDEX('Reguler Class Availability'!$G:$G,$Q368)&amp;""),0)=IFERROR(--(INDEX('Reguler Class Availability'!$F:$F,$Q368)&amp;""),0),"Penuh",IF(IFERROR(--(INDEX('Reguler Class Availability'!$G:$G,$Q368)&amp;""),0)=0,IF(INDEX('Reguler Class Availability'!$B:$B,$Q368)&amp;""="","Kosong","Belum terisi"),IF(IFERROR(--(INDEX('Reguler Class Availability'!$G:$G,$Q368)&amp;""),0)/IFERROR(--(INDEX('Reguler Class Availability'!$F:$F,$Q368)&amp;""),0)&gt;=0.6,"Tinggi","Sebagian"))))))</f>
        <v>Belum terisi</v>
      </c>
      <c r="F368" s="77" t="str">
        <f aca="false">IF($Q368="","",PROPER(INDEX('Reguler Class Availability'!$B:$B,$Q368)&amp;""))</f>
        <v>Kids</v>
      </c>
      <c r="G368" s="76" t="n">
        <f aca="false">IF($Q368="","",IFERROR(--(INDEX('Reguler Class Availability'!$F:$F,$Q368)&amp;""),0))</f>
        <v>4</v>
      </c>
      <c r="H368" s="77" t="str">
        <f aca="false">IF($Q368="","",PROPER(INDEX('Reguler Class Availability'!$I:$I,$Q368)&amp;"")&amp;IF(INDEX('Reguler Class Availability'!$J:$J,$Q368)&amp;""="",""," + asst "&amp;PROPER(INDEX('Reguler Class Availability'!$J:$J,$Q368)&amp;"")))</f>
        <v/>
      </c>
      <c r="I368" s="77" t="s">
        <v>436</v>
      </c>
      <c r="J368" s="77" t="s">
        <v>188</v>
      </c>
      <c r="K368" s="78"/>
      <c r="L368" s="78"/>
      <c r="M368" s="78"/>
      <c r="N368" s="79"/>
      <c r="O368" s="78"/>
      <c r="Q368" s="30" t="n">
        <f aca="false">IFERROR(MATCH($B$4&amp;"|- Lane "&amp;D368&amp;" - "&amp;B368&amp;"|"&amp;C368,'Reguler Class Availability'!$L:$L,0),"")</f>
        <v>1796</v>
      </c>
    </row>
    <row r="369" customFormat="false" ht="40.5" hidden="false" customHeight="true" outlineLevel="0" collapsed="false">
      <c r="A369" s="76" t="n">
        <v>243</v>
      </c>
      <c r="B369" s="77" t="s">
        <v>80</v>
      </c>
      <c r="C369" s="76" t="s">
        <v>110</v>
      </c>
      <c r="D369" s="76" t="n">
        <v>4</v>
      </c>
      <c r="E369" s="77" t="str">
        <f aca="false">IF($Q369="","Tidak ada di data",IF(AND(IFERROR(--(INDEX('Reguler Class Availability'!$F:$F,$Q369)&amp;""),0)=0,IFERROR(--(INDEX('Reguler Class Availability'!$G:$G,$Q369)&amp;""),0)=0),"Tutup",IF(IFERROR(--(INDEX('Reguler Class Availability'!$G:$G,$Q369)&amp;""),0)&gt;IFERROR(--(INDEX('Reguler Class Availability'!$F:$F,$Q369)&amp;""),0),"Lebih",IF(IFERROR(--(INDEX('Reguler Class Availability'!$G:$G,$Q369)&amp;""),0)=IFERROR(--(INDEX('Reguler Class Availability'!$F:$F,$Q369)&amp;""),0),"Penuh",IF(IFERROR(--(INDEX('Reguler Class Availability'!$G:$G,$Q369)&amp;""),0)=0,IF(INDEX('Reguler Class Availability'!$B:$B,$Q369)&amp;""="","Kosong","Belum terisi"),IF(IFERROR(--(INDEX('Reguler Class Availability'!$G:$G,$Q369)&amp;""),0)/IFERROR(--(INDEX('Reguler Class Availability'!$F:$F,$Q369)&amp;""),0)&gt;=0.6,"Tinggi","Sebagian"))))))</f>
        <v>Belum terisi</v>
      </c>
      <c r="F369" s="77" t="str">
        <f aca="false">IF($Q369="","",PROPER(INDEX('Reguler Class Availability'!$B:$B,$Q369)&amp;""))</f>
        <v>Kids</v>
      </c>
      <c r="G369" s="76" t="n">
        <f aca="false">IF($Q369="","",IFERROR(--(INDEX('Reguler Class Availability'!$F:$F,$Q369)&amp;""),0))</f>
        <v>4</v>
      </c>
      <c r="H369" s="77" t="str">
        <f aca="false">IF($Q369="","",PROPER(INDEX('Reguler Class Availability'!$I:$I,$Q369)&amp;"")&amp;IF(INDEX('Reguler Class Availability'!$J:$J,$Q369)&amp;""="",""," + asst "&amp;PROPER(INDEX('Reguler Class Availability'!$J:$J,$Q369)&amp;"")))</f>
        <v/>
      </c>
      <c r="I369" s="77" t="s">
        <v>436</v>
      </c>
      <c r="J369" s="77" t="s">
        <v>188</v>
      </c>
      <c r="K369" s="78"/>
      <c r="L369" s="78"/>
      <c r="M369" s="78"/>
      <c r="N369" s="79"/>
      <c r="O369" s="78"/>
      <c r="Q369" s="30" t="n">
        <f aca="false">IFERROR(MATCH($B$4&amp;"|- Lane "&amp;D369&amp;" - "&amp;B369&amp;"|"&amp;C369,'Reguler Class Availability'!$L:$L,0),"")</f>
        <v>1880</v>
      </c>
    </row>
    <row r="370" customFormat="false" ht="40.5" hidden="false" customHeight="true" outlineLevel="0" collapsed="false">
      <c r="A370" s="76" t="n">
        <v>244</v>
      </c>
      <c r="B370" s="77" t="s">
        <v>80</v>
      </c>
      <c r="C370" s="76" t="s">
        <v>120</v>
      </c>
      <c r="D370" s="76" t="n">
        <v>2</v>
      </c>
      <c r="E370" s="77" t="str">
        <f aca="false">IF($Q370="","Tidak ada di data",IF(AND(IFERROR(--(INDEX('Reguler Class Availability'!$F:$F,$Q370)&amp;""),0)=0,IFERROR(--(INDEX('Reguler Class Availability'!$G:$G,$Q370)&amp;""),0)=0),"Tutup",IF(IFERROR(--(INDEX('Reguler Class Availability'!$G:$G,$Q370)&amp;""),0)&gt;IFERROR(--(INDEX('Reguler Class Availability'!$F:$F,$Q370)&amp;""),0),"Lebih",IF(IFERROR(--(INDEX('Reguler Class Availability'!$G:$G,$Q370)&amp;""),0)=IFERROR(--(INDEX('Reguler Class Availability'!$F:$F,$Q370)&amp;""),0),"Penuh",IF(IFERROR(--(INDEX('Reguler Class Availability'!$G:$G,$Q370)&amp;""),0)=0,IF(INDEX('Reguler Class Availability'!$B:$B,$Q370)&amp;""="","Kosong","Belum terisi"),IF(IFERROR(--(INDEX('Reguler Class Availability'!$G:$G,$Q370)&amp;""),0)/IFERROR(--(INDEX('Reguler Class Availability'!$F:$F,$Q370)&amp;""),0)&gt;=0.6,"Tinggi","Sebagian"))))))</f>
        <v>Belum terisi</v>
      </c>
      <c r="F370" s="77" t="str">
        <f aca="false">IF($Q370="","",PROPER(INDEX('Reguler Class Availability'!$B:$B,$Q370)&amp;""))</f>
        <v>Little</v>
      </c>
      <c r="G370" s="76" t="n">
        <f aca="false">IF($Q370="","",IFERROR(--(INDEX('Reguler Class Availability'!$F:$F,$Q370)&amp;""),0))</f>
        <v>5</v>
      </c>
      <c r="H370" s="77" t="str">
        <f aca="false">IF($Q370="","",PROPER(INDEX('Reguler Class Availability'!$I:$I,$Q370)&amp;"")&amp;IF(INDEX('Reguler Class Availability'!$J:$J,$Q370)&amp;""="",""," + asst "&amp;PROPER(INDEX('Reguler Class Availability'!$J:$J,$Q370)&amp;"")))</f>
        <v/>
      </c>
      <c r="I370" s="77" t="s">
        <v>436</v>
      </c>
      <c r="J370" s="77" t="s">
        <v>188</v>
      </c>
      <c r="K370" s="78"/>
      <c r="L370" s="78"/>
      <c r="M370" s="78"/>
      <c r="N370" s="79"/>
      <c r="O370" s="78"/>
      <c r="Q370" s="30" t="n">
        <f aca="false">IFERROR(MATCH($B$4&amp;"|- Lane "&amp;D370&amp;" - "&amp;B370&amp;"|"&amp;C370,'Reguler Class Availability'!$L:$L,0),"")</f>
        <v>1713</v>
      </c>
    </row>
    <row r="371" customFormat="false" ht="27.75" hidden="false" customHeight="true" outlineLevel="0" collapsed="false">
      <c r="A371" s="76" t="n">
        <v>245</v>
      </c>
      <c r="B371" s="77" t="s">
        <v>80</v>
      </c>
      <c r="C371" s="76" t="s">
        <v>121</v>
      </c>
      <c r="D371" s="76" t="n">
        <v>3</v>
      </c>
      <c r="E371" s="77" t="str">
        <f aca="false">IF($Q371="","Tidak ada di data",IF(AND(IFERROR(--(INDEX('Reguler Class Availability'!$F:$F,$Q371)&amp;""),0)=0,IFERROR(--(INDEX('Reguler Class Availability'!$G:$G,$Q371)&amp;""),0)=0),"Tutup",IF(IFERROR(--(INDEX('Reguler Class Availability'!$G:$G,$Q371)&amp;""),0)&gt;IFERROR(--(INDEX('Reguler Class Availability'!$F:$F,$Q371)&amp;""),0),"Lebih",IF(IFERROR(--(INDEX('Reguler Class Availability'!$G:$G,$Q371)&amp;""),0)=IFERROR(--(INDEX('Reguler Class Availability'!$F:$F,$Q371)&amp;""),0),"Penuh",IF(IFERROR(--(INDEX('Reguler Class Availability'!$G:$G,$Q371)&amp;""),0)=0,IF(INDEX('Reguler Class Availability'!$B:$B,$Q371)&amp;""="","Kosong","Belum terisi"),IF(IFERROR(--(INDEX('Reguler Class Availability'!$G:$G,$Q371)&amp;""),0)/IFERROR(--(INDEX('Reguler Class Availability'!$F:$F,$Q371)&amp;""),0)&gt;=0.6,"Tinggi","Sebagian"))))))</f>
        <v>Belum terisi</v>
      </c>
      <c r="F371" s="77" t="str">
        <f aca="false">IF($Q371="","",PROPER(INDEX('Reguler Class Availability'!$B:$B,$Q371)&amp;""))</f>
        <v>Kids</v>
      </c>
      <c r="G371" s="76" t="n">
        <f aca="false">IF($Q371="","",IFERROR(--(INDEX('Reguler Class Availability'!$F:$F,$Q371)&amp;""),0))</f>
        <v>4</v>
      </c>
      <c r="H371" s="77" t="str">
        <f aca="false">IF($Q371="","",PROPER(INDEX('Reguler Class Availability'!$I:$I,$Q371)&amp;"")&amp;IF(INDEX('Reguler Class Availability'!$J:$J,$Q371)&amp;""="",""," + asst "&amp;PROPER(INDEX('Reguler Class Availability'!$J:$J,$Q371)&amp;"")))</f>
        <v/>
      </c>
      <c r="I371" s="77" t="s">
        <v>437</v>
      </c>
      <c r="J371" s="77" t="s">
        <v>198</v>
      </c>
      <c r="K371" s="78"/>
      <c r="L371" s="78"/>
      <c r="M371" s="78"/>
      <c r="N371" s="79"/>
      <c r="O371" s="78"/>
      <c r="Q371" s="30" t="n">
        <f aca="false">IFERROR(MATCH($B$4&amp;"|- Lane "&amp;D371&amp;" - "&amp;B371&amp;"|"&amp;C371,'Reguler Class Availability'!$L:$L,0),"")</f>
        <v>1797</v>
      </c>
    </row>
    <row r="372" customFormat="false" ht="27.75" hidden="false" customHeight="true" outlineLevel="0" collapsed="false">
      <c r="A372" s="76" t="n">
        <v>246</v>
      </c>
      <c r="B372" s="77" t="s">
        <v>80</v>
      </c>
      <c r="C372" s="76" t="s">
        <v>121</v>
      </c>
      <c r="D372" s="76" t="n">
        <v>4</v>
      </c>
      <c r="E372" s="77" t="str">
        <f aca="false">IF($Q372="","Tidak ada di data",IF(AND(IFERROR(--(INDEX('Reguler Class Availability'!$F:$F,$Q372)&amp;""),0)=0,IFERROR(--(INDEX('Reguler Class Availability'!$G:$G,$Q372)&amp;""),0)=0),"Tutup",IF(IFERROR(--(INDEX('Reguler Class Availability'!$G:$G,$Q372)&amp;""),0)&gt;IFERROR(--(INDEX('Reguler Class Availability'!$F:$F,$Q372)&amp;""),0),"Lebih",IF(IFERROR(--(INDEX('Reguler Class Availability'!$G:$G,$Q372)&amp;""),0)=IFERROR(--(INDEX('Reguler Class Availability'!$F:$F,$Q372)&amp;""),0),"Penuh",IF(IFERROR(--(INDEX('Reguler Class Availability'!$G:$G,$Q372)&amp;""),0)=0,IF(INDEX('Reguler Class Availability'!$B:$B,$Q372)&amp;""="","Kosong","Belum terisi"),IF(IFERROR(--(INDEX('Reguler Class Availability'!$G:$G,$Q372)&amp;""),0)/IFERROR(--(INDEX('Reguler Class Availability'!$F:$F,$Q372)&amp;""),0)&gt;=0.6,"Tinggi","Sebagian"))))))</f>
        <v>Belum terisi</v>
      </c>
      <c r="F372" s="77" t="str">
        <f aca="false">IF($Q372="","",PROPER(INDEX('Reguler Class Availability'!$B:$B,$Q372)&amp;""))</f>
        <v>Kids</v>
      </c>
      <c r="G372" s="76" t="n">
        <f aca="false">IF($Q372="","",IFERROR(--(INDEX('Reguler Class Availability'!$F:$F,$Q372)&amp;""),0))</f>
        <v>4</v>
      </c>
      <c r="H372" s="77" t="str">
        <f aca="false">IF($Q372="","",PROPER(INDEX('Reguler Class Availability'!$I:$I,$Q372)&amp;"")&amp;IF(INDEX('Reguler Class Availability'!$J:$J,$Q372)&amp;""="",""," + asst "&amp;PROPER(INDEX('Reguler Class Availability'!$J:$J,$Q372)&amp;"")))</f>
        <v/>
      </c>
      <c r="I372" s="77" t="s">
        <v>437</v>
      </c>
      <c r="J372" s="77" t="s">
        <v>198</v>
      </c>
      <c r="K372" s="78"/>
      <c r="L372" s="78"/>
      <c r="M372" s="78"/>
      <c r="N372" s="79"/>
      <c r="O372" s="78"/>
      <c r="Q372" s="30" t="n">
        <f aca="false">IFERROR(MATCH($B$4&amp;"|- Lane "&amp;D372&amp;" - "&amp;B372&amp;"|"&amp;C372,'Reguler Class Availability'!$L:$L,0),"")</f>
        <v>1881</v>
      </c>
    </row>
    <row r="373" customFormat="false" ht="27.75" hidden="false" customHeight="true" outlineLevel="0" collapsed="false">
      <c r="A373" s="76" t="n">
        <v>247</v>
      </c>
      <c r="B373" s="77" t="s">
        <v>80</v>
      </c>
      <c r="C373" s="76" t="s">
        <v>123</v>
      </c>
      <c r="D373" s="76" t="n">
        <v>2</v>
      </c>
      <c r="E373" s="77" t="str">
        <f aca="false">IF($Q373="","Tidak ada di data",IF(AND(IFERROR(--(INDEX('Reguler Class Availability'!$F:$F,$Q373)&amp;""),0)=0,IFERROR(--(INDEX('Reguler Class Availability'!$G:$G,$Q373)&amp;""),0)=0),"Tutup",IF(IFERROR(--(INDEX('Reguler Class Availability'!$G:$G,$Q373)&amp;""),0)&gt;IFERROR(--(INDEX('Reguler Class Availability'!$F:$F,$Q373)&amp;""),0),"Lebih",IF(IFERROR(--(INDEX('Reguler Class Availability'!$G:$G,$Q373)&amp;""),0)=IFERROR(--(INDEX('Reguler Class Availability'!$F:$F,$Q373)&amp;""),0),"Penuh",IF(IFERROR(--(INDEX('Reguler Class Availability'!$G:$G,$Q373)&amp;""),0)=0,IF(INDEX('Reguler Class Availability'!$B:$B,$Q373)&amp;""="","Kosong","Belum terisi"),IF(IFERROR(--(INDEX('Reguler Class Availability'!$G:$G,$Q373)&amp;""),0)/IFERROR(--(INDEX('Reguler Class Availability'!$F:$F,$Q373)&amp;""),0)&gt;=0.6,"Tinggi","Sebagian"))))))</f>
        <v>Belum terisi</v>
      </c>
      <c r="F373" s="77" t="str">
        <f aca="false">IF($Q373="","",PROPER(INDEX('Reguler Class Availability'!$B:$B,$Q373)&amp;""))</f>
        <v>Little</v>
      </c>
      <c r="G373" s="76" t="n">
        <f aca="false">IF($Q373="","",IFERROR(--(INDEX('Reguler Class Availability'!$F:$F,$Q373)&amp;""),0))</f>
        <v>5</v>
      </c>
      <c r="H373" s="77" t="str">
        <f aca="false">IF($Q373="","",PROPER(INDEX('Reguler Class Availability'!$I:$I,$Q373)&amp;"")&amp;IF(INDEX('Reguler Class Availability'!$J:$J,$Q373)&amp;""="",""," + asst "&amp;PROPER(INDEX('Reguler Class Availability'!$J:$J,$Q373)&amp;"")))</f>
        <v/>
      </c>
      <c r="I373" s="77" t="s">
        <v>438</v>
      </c>
      <c r="J373" s="77" t="s">
        <v>188</v>
      </c>
      <c r="K373" s="78"/>
      <c r="L373" s="78"/>
      <c r="M373" s="78"/>
      <c r="N373" s="79"/>
      <c r="O373" s="78"/>
      <c r="Q373" s="30" t="n">
        <f aca="false">IFERROR(MATCH($B$4&amp;"|- Lane "&amp;D373&amp;" - "&amp;B373&amp;"|"&amp;C373,'Reguler Class Availability'!$L:$L,0),"")</f>
        <v>1714</v>
      </c>
    </row>
    <row r="374" customFormat="false" ht="15.75" hidden="false" customHeight="true" outlineLevel="0" collapsed="false">
      <c r="A374" s="76" t="n">
        <v>248</v>
      </c>
      <c r="B374" s="77" t="s">
        <v>80</v>
      </c>
      <c r="C374" s="76" t="s">
        <v>124</v>
      </c>
      <c r="D374" s="76" t="n">
        <v>4</v>
      </c>
      <c r="E374" s="77" t="str">
        <f aca="false">IF($Q374="","Tidak ada di data",IF(AND(IFERROR(--(INDEX('Reguler Class Availability'!$F:$F,$Q374)&amp;""),0)=0,IFERROR(--(INDEX('Reguler Class Availability'!$G:$G,$Q374)&amp;""),0)=0),"Tutup",IF(IFERROR(--(INDEX('Reguler Class Availability'!$G:$G,$Q374)&amp;""),0)&gt;IFERROR(--(INDEX('Reguler Class Availability'!$F:$F,$Q374)&amp;""),0),"Lebih",IF(IFERROR(--(INDEX('Reguler Class Availability'!$G:$G,$Q374)&amp;""),0)=IFERROR(--(INDEX('Reguler Class Availability'!$F:$F,$Q374)&amp;""),0),"Penuh",IF(IFERROR(--(INDEX('Reguler Class Availability'!$G:$G,$Q374)&amp;""),0)=0,IF(INDEX('Reguler Class Availability'!$B:$B,$Q374)&amp;""="","Kosong","Belum terisi"),IF(IFERROR(--(INDEX('Reguler Class Availability'!$G:$G,$Q374)&amp;""),0)/IFERROR(--(INDEX('Reguler Class Availability'!$F:$F,$Q374)&amp;""),0)&gt;=0.6,"Tinggi","Sebagian"))))))</f>
        <v>Belum terisi</v>
      </c>
      <c r="F374" s="77" t="str">
        <f aca="false">IF($Q374="","",PROPER(INDEX('Reguler Class Availability'!$B:$B,$Q374)&amp;""))</f>
        <v>Kids</v>
      </c>
      <c r="G374" s="76" t="n">
        <f aca="false">IF($Q374="","",IFERROR(--(INDEX('Reguler Class Availability'!$F:$F,$Q374)&amp;""),0))</f>
        <v>4</v>
      </c>
      <c r="H374" s="77" t="str">
        <f aca="false">IF($Q374="","",PROPER(INDEX('Reguler Class Availability'!$I:$I,$Q374)&amp;"")&amp;IF(INDEX('Reguler Class Availability'!$J:$J,$Q374)&amp;""="",""," + asst "&amp;PROPER(INDEX('Reguler Class Availability'!$J:$J,$Q374)&amp;"")))</f>
        <v/>
      </c>
      <c r="I374" s="77" t="s">
        <v>439</v>
      </c>
      <c r="J374" s="77" t="s">
        <v>198</v>
      </c>
      <c r="K374" s="78"/>
      <c r="L374" s="78"/>
      <c r="M374" s="78"/>
      <c r="N374" s="79"/>
      <c r="O374" s="78"/>
      <c r="Q374" s="30" t="n">
        <f aca="false">IFERROR(MATCH($B$4&amp;"|- Lane "&amp;D374&amp;" - "&amp;B374&amp;"|"&amp;C374,'Reguler Class Availability'!$L:$L,0),"")</f>
        <v>1882</v>
      </c>
    </row>
    <row r="375" customFormat="false" ht="15.75" hidden="false" customHeight="true" outlineLevel="0" collapsed="false">
      <c r="A375" s="76" t="n">
        <v>249</v>
      </c>
      <c r="B375" s="77" t="s">
        <v>80</v>
      </c>
      <c r="C375" s="76" t="s">
        <v>127</v>
      </c>
      <c r="D375" s="76" t="n">
        <v>4</v>
      </c>
      <c r="E375" s="77" t="str">
        <f aca="false">IF($Q375="","Tidak ada di data",IF(AND(IFERROR(--(INDEX('Reguler Class Availability'!$F:$F,$Q375)&amp;""),0)=0,IFERROR(--(INDEX('Reguler Class Availability'!$G:$G,$Q375)&amp;""),0)=0),"Tutup",IF(IFERROR(--(INDEX('Reguler Class Availability'!$G:$G,$Q375)&amp;""),0)&gt;IFERROR(--(INDEX('Reguler Class Availability'!$F:$F,$Q375)&amp;""),0),"Lebih",IF(IFERROR(--(INDEX('Reguler Class Availability'!$G:$G,$Q375)&amp;""),0)=IFERROR(--(INDEX('Reguler Class Availability'!$F:$F,$Q375)&amp;""),0),"Penuh",IF(IFERROR(--(INDEX('Reguler Class Availability'!$G:$G,$Q375)&amp;""),0)=0,IF(INDEX('Reguler Class Availability'!$B:$B,$Q375)&amp;""="","Kosong","Belum terisi"),IF(IFERROR(--(INDEX('Reguler Class Availability'!$G:$G,$Q375)&amp;""),0)/IFERROR(--(INDEX('Reguler Class Availability'!$F:$F,$Q375)&amp;""),0)&gt;=0.6,"Tinggi","Sebagian"))))))</f>
        <v>Belum terisi</v>
      </c>
      <c r="F375" s="77" t="str">
        <f aca="false">IF($Q375="","",PROPER(INDEX('Reguler Class Availability'!$B:$B,$Q375)&amp;""))</f>
        <v>Kids</v>
      </c>
      <c r="G375" s="76" t="n">
        <f aca="false">IF($Q375="","",IFERROR(--(INDEX('Reguler Class Availability'!$F:$F,$Q375)&amp;""),0))</f>
        <v>4</v>
      </c>
      <c r="H375" s="77" t="str">
        <f aca="false">IF($Q375="","",PROPER(INDEX('Reguler Class Availability'!$I:$I,$Q375)&amp;"")&amp;IF(INDEX('Reguler Class Availability'!$J:$J,$Q375)&amp;""="",""," + asst "&amp;PROPER(INDEX('Reguler Class Availability'!$J:$J,$Q375)&amp;"")))</f>
        <v/>
      </c>
      <c r="I375" s="77" t="s">
        <v>421</v>
      </c>
      <c r="J375" s="77" t="s">
        <v>260</v>
      </c>
      <c r="K375" s="78"/>
      <c r="L375" s="78"/>
      <c r="M375" s="78"/>
      <c r="N375" s="79"/>
      <c r="O375" s="78"/>
      <c r="Q375" s="30" t="n">
        <f aca="false">IFERROR(MATCH($B$4&amp;"|- Lane "&amp;D375&amp;" - "&amp;B375&amp;"|"&amp;C375,'Reguler Class Availability'!$L:$L,0),"")</f>
        <v>1883</v>
      </c>
    </row>
    <row r="376" customFormat="false" ht="15.75" hidden="false" customHeight="true" outlineLevel="0" collapsed="false">
      <c r="A376" s="76" t="n">
        <v>250</v>
      </c>
      <c r="B376" s="77" t="s">
        <v>80</v>
      </c>
      <c r="C376" s="76" t="s">
        <v>130</v>
      </c>
      <c r="D376" s="76" t="n">
        <v>4</v>
      </c>
      <c r="E376" s="77" t="str">
        <f aca="false">IF($Q376="","Tidak ada di data",IF(AND(IFERROR(--(INDEX('Reguler Class Availability'!$F:$F,$Q376)&amp;""),0)=0,IFERROR(--(INDEX('Reguler Class Availability'!$G:$G,$Q376)&amp;""),0)=0),"Tutup",IF(IFERROR(--(INDEX('Reguler Class Availability'!$G:$G,$Q376)&amp;""),0)&gt;IFERROR(--(INDEX('Reguler Class Availability'!$F:$F,$Q376)&amp;""),0),"Lebih",IF(IFERROR(--(INDEX('Reguler Class Availability'!$G:$G,$Q376)&amp;""),0)=IFERROR(--(INDEX('Reguler Class Availability'!$F:$F,$Q376)&amp;""),0),"Penuh",IF(IFERROR(--(INDEX('Reguler Class Availability'!$G:$G,$Q376)&amp;""),0)=0,IF(INDEX('Reguler Class Availability'!$B:$B,$Q376)&amp;""="","Kosong","Belum terisi"),IF(IFERROR(--(INDEX('Reguler Class Availability'!$G:$G,$Q376)&amp;""),0)/IFERROR(--(INDEX('Reguler Class Availability'!$F:$F,$Q376)&amp;""),0)&gt;=0.6,"Tinggi","Sebagian"))))))</f>
        <v>Belum terisi</v>
      </c>
      <c r="F376" s="77" t="str">
        <f aca="false">IF($Q376="","",PROPER(INDEX('Reguler Class Availability'!$B:$B,$Q376)&amp;""))</f>
        <v>Kids</v>
      </c>
      <c r="G376" s="76" t="n">
        <f aca="false">IF($Q376="","",IFERROR(--(INDEX('Reguler Class Availability'!$F:$F,$Q376)&amp;""),0))</f>
        <v>4</v>
      </c>
      <c r="H376" s="77" t="str">
        <f aca="false">IF($Q376="","",PROPER(INDEX('Reguler Class Availability'!$I:$I,$Q376)&amp;"")&amp;IF(INDEX('Reguler Class Availability'!$J:$J,$Q376)&amp;""="",""," + asst "&amp;PROPER(INDEX('Reguler Class Availability'!$J:$J,$Q376)&amp;"")))</f>
        <v/>
      </c>
      <c r="I376" s="77" t="s">
        <v>431</v>
      </c>
      <c r="J376" s="77" t="s">
        <v>260</v>
      </c>
      <c r="K376" s="78"/>
      <c r="L376" s="78"/>
      <c r="M376" s="78"/>
      <c r="N376" s="79"/>
      <c r="O376" s="78"/>
      <c r="Q376" s="30" t="n">
        <f aca="false">IFERROR(MATCH($B$4&amp;"|- Lane "&amp;D376&amp;" - "&amp;B376&amp;"|"&amp;C376,'Reguler Class Availability'!$L:$L,0),"")</f>
        <v>1884</v>
      </c>
    </row>
    <row r="377" customFormat="false" ht="27.75" hidden="false" customHeight="true" outlineLevel="0" collapsed="false">
      <c r="A377" s="76" t="n">
        <v>251</v>
      </c>
      <c r="B377" s="77" t="s">
        <v>80</v>
      </c>
      <c r="C377" s="76" t="s">
        <v>132</v>
      </c>
      <c r="D377" s="76" t="n">
        <v>2</v>
      </c>
      <c r="E377" s="77" t="str">
        <f aca="false">IF($Q377="","Tidak ada di data",IF(AND(IFERROR(--(INDEX('Reguler Class Availability'!$F:$F,$Q377)&amp;""),0)=0,IFERROR(--(INDEX('Reguler Class Availability'!$G:$G,$Q377)&amp;""),0)=0),"Tutup",IF(IFERROR(--(INDEX('Reguler Class Availability'!$G:$G,$Q377)&amp;""),0)&gt;IFERROR(--(INDEX('Reguler Class Availability'!$F:$F,$Q377)&amp;""),0),"Lebih",IF(IFERROR(--(INDEX('Reguler Class Availability'!$G:$G,$Q377)&amp;""),0)=IFERROR(--(INDEX('Reguler Class Availability'!$F:$F,$Q377)&amp;""),0),"Penuh",IF(IFERROR(--(INDEX('Reguler Class Availability'!$G:$G,$Q377)&amp;""),0)=0,IF(INDEX('Reguler Class Availability'!$B:$B,$Q377)&amp;""="","Kosong","Belum terisi"),IF(IFERROR(--(INDEX('Reguler Class Availability'!$G:$G,$Q377)&amp;""),0)/IFERROR(--(INDEX('Reguler Class Availability'!$F:$F,$Q377)&amp;""),0)&gt;=0.6,"Tinggi","Sebagian"))))))</f>
        <v>Belum terisi</v>
      </c>
      <c r="F377" s="77" t="str">
        <f aca="false">IF($Q377="","",PROPER(INDEX('Reguler Class Availability'!$B:$B,$Q377)&amp;""))</f>
        <v>Little</v>
      </c>
      <c r="G377" s="76" t="n">
        <f aca="false">IF($Q377="","",IFERROR(--(INDEX('Reguler Class Availability'!$F:$F,$Q377)&amp;""),0))</f>
        <v>5</v>
      </c>
      <c r="H377" s="77" t="str">
        <f aca="false">IF($Q377="","",PROPER(INDEX('Reguler Class Availability'!$I:$I,$Q377)&amp;"")&amp;IF(INDEX('Reguler Class Availability'!$J:$J,$Q377)&amp;""="",""," + asst "&amp;PROPER(INDEX('Reguler Class Availability'!$J:$J,$Q377)&amp;"")))</f>
        <v/>
      </c>
      <c r="I377" s="77" t="s">
        <v>437</v>
      </c>
      <c r="J377" s="77" t="s">
        <v>198</v>
      </c>
      <c r="K377" s="78"/>
      <c r="L377" s="78"/>
      <c r="M377" s="78"/>
      <c r="N377" s="79"/>
      <c r="O377" s="78"/>
      <c r="Q377" s="30" t="n">
        <f aca="false">IFERROR(MATCH($B$4&amp;"|- Lane "&amp;D377&amp;" - "&amp;B377&amp;"|"&amp;C377,'Reguler Class Availability'!$L:$L,0),"")</f>
        <v>1717</v>
      </c>
    </row>
    <row r="378" customFormat="false" ht="40.5" hidden="false" customHeight="true" outlineLevel="0" collapsed="false">
      <c r="A378" s="76" t="n">
        <v>252</v>
      </c>
      <c r="B378" s="77" t="s">
        <v>80</v>
      </c>
      <c r="C378" s="76" t="s">
        <v>133</v>
      </c>
      <c r="D378" s="76" t="n">
        <v>3</v>
      </c>
      <c r="E378" s="77" t="str">
        <f aca="false">IF($Q378="","Tidak ada di data",IF(AND(IFERROR(--(INDEX('Reguler Class Availability'!$F:$F,$Q378)&amp;""),0)=0,IFERROR(--(INDEX('Reguler Class Availability'!$G:$G,$Q378)&amp;""),0)=0),"Tutup",IF(IFERROR(--(INDEX('Reguler Class Availability'!$G:$G,$Q378)&amp;""),0)&gt;IFERROR(--(INDEX('Reguler Class Availability'!$F:$F,$Q378)&amp;""),0),"Lebih",IF(IFERROR(--(INDEX('Reguler Class Availability'!$G:$G,$Q378)&amp;""),0)=IFERROR(--(INDEX('Reguler Class Availability'!$F:$F,$Q378)&amp;""),0),"Penuh",IF(IFERROR(--(INDEX('Reguler Class Availability'!$G:$G,$Q378)&amp;""),0)=0,IF(INDEX('Reguler Class Availability'!$B:$B,$Q378)&amp;""="","Kosong","Belum terisi"),IF(IFERROR(--(INDEX('Reguler Class Availability'!$G:$G,$Q378)&amp;""),0)/IFERROR(--(INDEX('Reguler Class Availability'!$F:$F,$Q378)&amp;""),0)&gt;=0.6,"Tinggi","Sebagian"))))))</f>
        <v>Belum terisi</v>
      </c>
      <c r="F378" s="77" t="str">
        <f aca="false">IF($Q378="","",PROPER(INDEX('Reguler Class Availability'!$B:$B,$Q378)&amp;""))</f>
        <v>Kids</v>
      </c>
      <c r="G378" s="76" t="n">
        <f aca="false">IF($Q378="","",IFERROR(--(INDEX('Reguler Class Availability'!$F:$F,$Q378)&amp;""),0))</f>
        <v>4</v>
      </c>
      <c r="H378" s="77" t="str">
        <f aca="false">IF($Q378="","",PROPER(INDEX('Reguler Class Availability'!$I:$I,$Q378)&amp;"")&amp;IF(INDEX('Reguler Class Availability'!$J:$J,$Q378)&amp;""="",""," + asst "&amp;PROPER(INDEX('Reguler Class Availability'!$J:$J,$Q378)&amp;"")))</f>
        <v/>
      </c>
      <c r="I378" s="77" t="s">
        <v>436</v>
      </c>
      <c r="J378" s="77" t="s">
        <v>188</v>
      </c>
      <c r="K378" s="78"/>
      <c r="L378" s="78"/>
      <c r="M378" s="78"/>
      <c r="N378" s="79"/>
      <c r="O378" s="78"/>
      <c r="Q378" s="30" t="n">
        <f aca="false">IFERROR(MATCH($B$4&amp;"|- Lane "&amp;D378&amp;" - "&amp;B378&amp;"|"&amp;C378,'Reguler Class Availability'!$L:$L,0),"")</f>
        <v>1801</v>
      </c>
    </row>
    <row r="379" customFormat="false" ht="40.5" hidden="false" customHeight="true" outlineLevel="0" collapsed="false">
      <c r="A379" s="76" t="n">
        <v>253</v>
      </c>
      <c r="B379" s="77" t="s">
        <v>80</v>
      </c>
      <c r="C379" s="76" t="s">
        <v>133</v>
      </c>
      <c r="D379" s="76" t="n">
        <v>4</v>
      </c>
      <c r="E379" s="77" t="str">
        <f aca="false">IF($Q379="","Tidak ada di data",IF(AND(IFERROR(--(INDEX('Reguler Class Availability'!$F:$F,$Q379)&amp;""),0)=0,IFERROR(--(INDEX('Reguler Class Availability'!$G:$G,$Q379)&amp;""),0)=0),"Tutup",IF(IFERROR(--(INDEX('Reguler Class Availability'!$G:$G,$Q379)&amp;""),0)&gt;IFERROR(--(INDEX('Reguler Class Availability'!$F:$F,$Q379)&amp;""),0),"Lebih",IF(IFERROR(--(INDEX('Reguler Class Availability'!$G:$G,$Q379)&amp;""),0)=IFERROR(--(INDEX('Reguler Class Availability'!$F:$F,$Q379)&amp;""),0),"Penuh",IF(IFERROR(--(INDEX('Reguler Class Availability'!$G:$G,$Q379)&amp;""),0)=0,IF(INDEX('Reguler Class Availability'!$B:$B,$Q379)&amp;""="","Kosong","Belum terisi"),IF(IFERROR(--(INDEX('Reguler Class Availability'!$G:$G,$Q379)&amp;""),0)/IFERROR(--(INDEX('Reguler Class Availability'!$F:$F,$Q379)&amp;""),0)&gt;=0.6,"Tinggi","Sebagian"))))))</f>
        <v>Belum terisi</v>
      </c>
      <c r="F379" s="77" t="str">
        <f aca="false">IF($Q379="","",PROPER(INDEX('Reguler Class Availability'!$B:$B,$Q379)&amp;""))</f>
        <v>Kids</v>
      </c>
      <c r="G379" s="76" t="n">
        <f aca="false">IF($Q379="","",IFERROR(--(INDEX('Reguler Class Availability'!$F:$F,$Q379)&amp;""),0))</f>
        <v>4</v>
      </c>
      <c r="H379" s="77" t="str">
        <f aca="false">IF($Q379="","",PROPER(INDEX('Reguler Class Availability'!$I:$I,$Q379)&amp;"")&amp;IF(INDEX('Reguler Class Availability'!$J:$J,$Q379)&amp;""="",""," + asst "&amp;PROPER(INDEX('Reguler Class Availability'!$J:$J,$Q379)&amp;"")))</f>
        <v/>
      </c>
      <c r="I379" s="77" t="s">
        <v>436</v>
      </c>
      <c r="J379" s="77" t="s">
        <v>188</v>
      </c>
      <c r="K379" s="78"/>
      <c r="L379" s="78"/>
      <c r="M379" s="78"/>
      <c r="N379" s="79"/>
      <c r="O379" s="78"/>
      <c r="Q379" s="30" t="n">
        <f aca="false">IFERROR(MATCH($B$4&amp;"|- Lane "&amp;D379&amp;" - "&amp;B379&amp;"|"&amp;C379,'Reguler Class Availability'!$L:$L,0),"")</f>
        <v>1885</v>
      </c>
    </row>
    <row r="380" customFormat="false" ht="40.5" hidden="false" customHeight="true" outlineLevel="0" collapsed="false">
      <c r="A380" s="76" t="n">
        <v>254</v>
      </c>
      <c r="B380" s="77" t="s">
        <v>80</v>
      </c>
      <c r="C380" s="76" t="s">
        <v>139</v>
      </c>
      <c r="D380" s="76" t="n">
        <v>1</v>
      </c>
      <c r="E380" s="77" t="str">
        <f aca="false">IF($Q380="","Tidak ada di data",IF(AND(IFERROR(--(INDEX('Reguler Class Availability'!$F:$F,$Q380)&amp;""),0)=0,IFERROR(--(INDEX('Reguler Class Availability'!$G:$G,$Q380)&amp;""),0)=0),"Tutup",IF(IFERROR(--(INDEX('Reguler Class Availability'!$G:$G,$Q380)&amp;""),0)&gt;IFERROR(--(INDEX('Reguler Class Availability'!$F:$F,$Q380)&amp;""),0),"Lebih",IF(IFERROR(--(INDEX('Reguler Class Availability'!$G:$G,$Q380)&amp;""),0)=IFERROR(--(INDEX('Reguler Class Availability'!$F:$F,$Q380)&amp;""),0),"Penuh",IF(IFERROR(--(INDEX('Reguler Class Availability'!$G:$G,$Q380)&amp;""),0)=0,IF(INDEX('Reguler Class Availability'!$B:$B,$Q380)&amp;""="","Kosong","Belum terisi"),IF(IFERROR(--(INDEX('Reguler Class Availability'!$G:$G,$Q380)&amp;""),0)/IFERROR(--(INDEX('Reguler Class Availability'!$F:$F,$Q380)&amp;""),0)&gt;=0.6,"Tinggi","Sebagian"))))))</f>
        <v>Belum terisi</v>
      </c>
      <c r="F380" s="77" t="str">
        <f aca="false">IF($Q380="","",PROPER(INDEX('Reguler Class Availability'!$B:$B,$Q380)&amp;""))</f>
        <v>Tiny</v>
      </c>
      <c r="G380" s="76" t="n">
        <f aca="false">IF($Q380="","",IFERROR(--(INDEX('Reguler Class Availability'!$F:$F,$Q380)&amp;""),0))</f>
        <v>5</v>
      </c>
      <c r="H380" s="77" t="str">
        <f aca="false">IF($Q380="","",PROPER(INDEX('Reguler Class Availability'!$I:$I,$Q380)&amp;"")&amp;IF(INDEX('Reguler Class Availability'!$J:$J,$Q380)&amp;""="",""," + asst "&amp;PROPER(INDEX('Reguler Class Availability'!$J:$J,$Q380)&amp;"")))</f>
        <v/>
      </c>
      <c r="I380" s="77" t="s">
        <v>435</v>
      </c>
      <c r="J380" s="77" t="s">
        <v>188</v>
      </c>
      <c r="K380" s="78"/>
      <c r="L380" s="78"/>
      <c r="M380" s="78"/>
      <c r="N380" s="79"/>
      <c r="O380" s="78"/>
      <c r="Q380" s="30" t="n">
        <f aca="false">IFERROR(MATCH($B$4&amp;"|- Lane "&amp;D380&amp;" - "&amp;B380&amp;"|"&amp;C380,'Reguler Class Availability'!$L:$L,0),"")</f>
        <v>1634</v>
      </c>
    </row>
    <row r="381" customFormat="false" ht="40.5" hidden="false" customHeight="true" outlineLevel="0" collapsed="false">
      <c r="A381" s="76" t="n">
        <v>255</v>
      </c>
      <c r="B381" s="77" t="s">
        <v>80</v>
      </c>
      <c r="C381" s="76" t="s">
        <v>139</v>
      </c>
      <c r="D381" s="76" t="n">
        <v>2</v>
      </c>
      <c r="E381" s="77" t="str">
        <f aca="false">IF($Q381="","Tidak ada di data",IF(AND(IFERROR(--(INDEX('Reguler Class Availability'!$F:$F,$Q381)&amp;""),0)=0,IFERROR(--(INDEX('Reguler Class Availability'!$G:$G,$Q381)&amp;""),0)=0),"Tutup",IF(IFERROR(--(INDEX('Reguler Class Availability'!$G:$G,$Q381)&amp;""),0)&gt;IFERROR(--(INDEX('Reguler Class Availability'!$F:$F,$Q381)&amp;""),0),"Lebih",IF(IFERROR(--(INDEX('Reguler Class Availability'!$G:$G,$Q381)&amp;""),0)=IFERROR(--(INDEX('Reguler Class Availability'!$F:$F,$Q381)&amp;""),0),"Penuh",IF(IFERROR(--(INDEX('Reguler Class Availability'!$G:$G,$Q381)&amp;""),0)=0,IF(INDEX('Reguler Class Availability'!$B:$B,$Q381)&amp;""="","Kosong","Belum terisi"),IF(IFERROR(--(INDEX('Reguler Class Availability'!$G:$G,$Q381)&amp;""),0)/IFERROR(--(INDEX('Reguler Class Availability'!$F:$F,$Q381)&amp;""),0)&gt;=0.6,"Tinggi","Sebagian"))))))</f>
        <v>Belum terisi</v>
      </c>
      <c r="F381" s="77" t="str">
        <f aca="false">IF($Q381="","",PROPER(INDEX('Reguler Class Availability'!$B:$B,$Q381)&amp;""))</f>
        <v>Little</v>
      </c>
      <c r="G381" s="76" t="n">
        <f aca="false">IF($Q381="","",IFERROR(--(INDEX('Reguler Class Availability'!$F:$F,$Q381)&amp;""),0))</f>
        <v>5</v>
      </c>
      <c r="H381" s="77" t="str">
        <f aca="false">IF($Q381="","",PROPER(INDEX('Reguler Class Availability'!$I:$I,$Q381)&amp;"")&amp;IF(INDEX('Reguler Class Availability'!$J:$J,$Q381)&amp;""="",""," + asst "&amp;PROPER(INDEX('Reguler Class Availability'!$J:$J,$Q381)&amp;"")))</f>
        <v/>
      </c>
      <c r="I381" s="77" t="s">
        <v>435</v>
      </c>
      <c r="J381" s="77" t="s">
        <v>188</v>
      </c>
      <c r="K381" s="78"/>
      <c r="L381" s="78"/>
      <c r="M381" s="78"/>
      <c r="N381" s="79"/>
      <c r="O381" s="78"/>
      <c r="Q381" s="30" t="n">
        <f aca="false">IFERROR(MATCH($B$4&amp;"|- Lane "&amp;D381&amp;" - "&amp;B381&amp;"|"&amp;C381,'Reguler Class Availability'!$L:$L,0),"")</f>
        <v>1718</v>
      </c>
    </row>
    <row r="382" customFormat="false" ht="40.5" hidden="false" customHeight="true" outlineLevel="0" collapsed="false">
      <c r="A382" s="76" t="n">
        <v>256</v>
      </c>
      <c r="B382" s="77" t="s">
        <v>80</v>
      </c>
      <c r="C382" s="76" t="s">
        <v>141</v>
      </c>
      <c r="D382" s="76" t="n">
        <v>3</v>
      </c>
      <c r="E382" s="77" t="str">
        <f aca="false">IF($Q382="","Tidak ada di data",IF(AND(IFERROR(--(INDEX('Reguler Class Availability'!$F:$F,$Q382)&amp;""),0)=0,IFERROR(--(INDEX('Reguler Class Availability'!$G:$G,$Q382)&amp;""),0)=0),"Tutup",IF(IFERROR(--(INDEX('Reguler Class Availability'!$G:$G,$Q382)&amp;""),0)&gt;IFERROR(--(INDEX('Reguler Class Availability'!$F:$F,$Q382)&amp;""),0),"Lebih",IF(IFERROR(--(INDEX('Reguler Class Availability'!$G:$G,$Q382)&amp;""),0)=IFERROR(--(INDEX('Reguler Class Availability'!$F:$F,$Q382)&amp;""),0),"Penuh",IF(IFERROR(--(INDEX('Reguler Class Availability'!$G:$G,$Q382)&amp;""),0)=0,IF(INDEX('Reguler Class Availability'!$B:$B,$Q382)&amp;""="","Kosong","Belum terisi"),IF(IFERROR(--(INDEX('Reguler Class Availability'!$G:$G,$Q382)&amp;""),0)/IFERROR(--(INDEX('Reguler Class Availability'!$F:$F,$Q382)&amp;""),0)&gt;=0.6,"Tinggi","Sebagian"))))))</f>
        <v>Belum terisi</v>
      </c>
      <c r="F382" s="77" t="str">
        <f aca="false">IF($Q382="","",PROPER(INDEX('Reguler Class Availability'!$B:$B,$Q382)&amp;""))</f>
        <v>Kids</v>
      </c>
      <c r="G382" s="76" t="n">
        <f aca="false">IF($Q382="","",IFERROR(--(INDEX('Reguler Class Availability'!$F:$F,$Q382)&amp;""),0))</f>
        <v>4</v>
      </c>
      <c r="H382" s="77" t="str">
        <f aca="false">IF($Q382="","",PROPER(INDEX('Reguler Class Availability'!$I:$I,$Q382)&amp;"")&amp;IF(INDEX('Reguler Class Availability'!$J:$J,$Q382)&amp;""="",""," + asst "&amp;PROPER(INDEX('Reguler Class Availability'!$J:$J,$Q382)&amp;"")))</f>
        <v/>
      </c>
      <c r="I382" s="77" t="s">
        <v>435</v>
      </c>
      <c r="J382" s="77" t="s">
        <v>188</v>
      </c>
      <c r="K382" s="78"/>
      <c r="L382" s="78"/>
      <c r="M382" s="78"/>
      <c r="N382" s="79"/>
      <c r="O382" s="78"/>
      <c r="Q382" s="30" t="n">
        <f aca="false">IFERROR(MATCH($B$4&amp;"|- Lane "&amp;D382&amp;" - "&amp;B382&amp;"|"&amp;C382,'Reguler Class Availability'!$L:$L,0),"")</f>
        <v>1802</v>
      </c>
    </row>
    <row r="383" customFormat="false" ht="40.5" hidden="false" customHeight="true" outlineLevel="0" collapsed="false">
      <c r="A383" s="76" t="n">
        <v>257</v>
      </c>
      <c r="B383" s="77" t="s">
        <v>80</v>
      </c>
      <c r="C383" s="76" t="s">
        <v>141</v>
      </c>
      <c r="D383" s="76" t="n">
        <v>4</v>
      </c>
      <c r="E383" s="77" t="str">
        <f aca="false">IF($Q383="","Tidak ada di data",IF(AND(IFERROR(--(INDEX('Reguler Class Availability'!$F:$F,$Q383)&amp;""),0)=0,IFERROR(--(INDEX('Reguler Class Availability'!$G:$G,$Q383)&amp;""),0)=0),"Tutup",IF(IFERROR(--(INDEX('Reguler Class Availability'!$G:$G,$Q383)&amp;""),0)&gt;IFERROR(--(INDEX('Reguler Class Availability'!$F:$F,$Q383)&amp;""),0),"Lebih",IF(IFERROR(--(INDEX('Reguler Class Availability'!$G:$G,$Q383)&amp;""),0)=IFERROR(--(INDEX('Reguler Class Availability'!$F:$F,$Q383)&amp;""),0),"Penuh",IF(IFERROR(--(INDEX('Reguler Class Availability'!$G:$G,$Q383)&amp;""),0)=0,IF(INDEX('Reguler Class Availability'!$B:$B,$Q383)&amp;""="","Kosong","Belum terisi"),IF(IFERROR(--(INDEX('Reguler Class Availability'!$G:$G,$Q383)&amp;""),0)/IFERROR(--(INDEX('Reguler Class Availability'!$F:$F,$Q383)&amp;""),0)&gt;=0.6,"Tinggi","Sebagian"))))))</f>
        <v>Belum terisi</v>
      </c>
      <c r="F383" s="77" t="str">
        <f aca="false">IF($Q383="","",PROPER(INDEX('Reguler Class Availability'!$B:$B,$Q383)&amp;""))</f>
        <v>Kids</v>
      </c>
      <c r="G383" s="76" t="n">
        <f aca="false">IF($Q383="","",IFERROR(--(INDEX('Reguler Class Availability'!$F:$F,$Q383)&amp;""),0))</f>
        <v>4</v>
      </c>
      <c r="H383" s="77" t="str">
        <f aca="false">IF($Q383="","",PROPER(INDEX('Reguler Class Availability'!$I:$I,$Q383)&amp;"")&amp;IF(INDEX('Reguler Class Availability'!$J:$J,$Q383)&amp;""="",""," + asst "&amp;PROPER(INDEX('Reguler Class Availability'!$J:$J,$Q383)&amp;"")))</f>
        <v/>
      </c>
      <c r="I383" s="77" t="s">
        <v>435</v>
      </c>
      <c r="J383" s="77" t="s">
        <v>188</v>
      </c>
      <c r="K383" s="78"/>
      <c r="L383" s="78"/>
      <c r="M383" s="78"/>
      <c r="N383" s="79"/>
      <c r="O383" s="78"/>
      <c r="Q383" s="30" t="n">
        <f aca="false">IFERROR(MATCH($B$4&amp;"|- Lane "&amp;D383&amp;" - "&amp;B383&amp;"|"&amp;C383,'Reguler Class Availability'!$L:$L,0),"")</f>
        <v>1886</v>
      </c>
    </row>
    <row r="384" customFormat="false" ht="40.5" hidden="false" customHeight="true" outlineLevel="0" collapsed="false">
      <c r="A384" s="76" t="n">
        <v>258</v>
      </c>
      <c r="B384" s="77" t="s">
        <v>80</v>
      </c>
      <c r="C384" s="76" t="s">
        <v>143</v>
      </c>
      <c r="D384" s="76" t="n">
        <v>1</v>
      </c>
      <c r="E384" s="77" t="str">
        <f aca="false">IF($Q384="","Tidak ada di data",IF(AND(IFERROR(--(INDEX('Reguler Class Availability'!$F:$F,$Q384)&amp;""),0)=0,IFERROR(--(INDEX('Reguler Class Availability'!$G:$G,$Q384)&amp;""),0)=0),"Tutup",IF(IFERROR(--(INDEX('Reguler Class Availability'!$G:$G,$Q384)&amp;""),0)&gt;IFERROR(--(INDEX('Reguler Class Availability'!$F:$F,$Q384)&amp;""),0),"Lebih",IF(IFERROR(--(INDEX('Reguler Class Availability'!$G:$G,$Q384)&amp;""),0)=IFERROR(--(INDEX('Reguler Class Availability'!$F:$F,$Q384)&amp;""),0),"Penuh",IF(IFERROR(--(INDEX('Reguler Class Availability'!$G:$G,$Q384)&amp;""),0)=0,IF(INDEX('Reguler Class Availability'!$B:$B,$Q384)&amp;""="","Kosong","Belum terisi"),IF(IFERROR(--(INDEX('Reguler Class Availability'!$G:$G,$Q384)&amp;""),0)/IFERROR(--(INDEX('Reguler Class Availability'!$F:$F,$Q384)&amp;""),0)&gt;=0.6,"Tinggi","Sebagian"))))))</f>
        <v>Belum terisi</v>
      </c>
      <c r="F384" s="77" t="str">
        <f aca="false">IF($Q384="","",PROPER(INDEX('Reguler Class Availability'!$B:$B,$Q384)&amp;""))</f>
        <v>Baby</v>
      </c>
      <c r="G384" s="76" t="n">
        <f aca="false">IF($Q384="","",IFERROR(--(INDEX('Reguler Class Availability'!$F:$F,$Q384)&amp;""),0))</f>
        <v>5</v>
      </c>
      <c r="H384" s="77" t="str">
        <f aca="false">IF($Q384="","",PROPER(INDEX('Reguler Class Availability'!$I:$I,$Q384)&amp;"")&amp;IF(INDEX('Reguler Class Availability'!$J:$J,$Q384)&amp;""="",""," + asst "&amp;PROPER(INDEX('Reguler Class Availability'!$J:$J,$Q384)&amp;"")))</f>
        <v/>
      </c>
      <c r="I384" s="77" t="s">
        <v>436</v>
      </c>
      <c r="J384" s="77" t="s">
        <v>188</v>
      </c>
      <c r="K384" s="78"/>
      <c r="L384" s="78"/>
      <c r="M384" s="78"/>
      <c r="N384" s="79"/>
      <c r="O384" s="78"/>
      <c r="Q384" s="30" t="n">
        <f aca="false">IFERROR(MATCH($B$4&amp;"|- Lane "&amp;D384&amp;" - "&amp;B384&amp;"|"&amp;C384,'Reguler Class Availability'!$L:$L,0),"")</f>
        <v>1635</v>
      </c>
    </row>
    <row r="385" customFormat="false" ht="40.5" hidden="false" customHeight="true" outlineLevel="0" collapsed="false">
      <c r="A385" s="76" t="n">
        <v>259</v>
      </c>
      <c r="B385" s="77" t="s">
        <v>80</v>
      </c>
      <c r="C385" s="76" t="s">
        <v>143</v>
      </c>
      <c r="D385" s="76" t="n">
        <v>2</v>
      </c>
      <c r="E385" s="77" t="str">
        <f aca="false">IF($Q385="","Tidak ada di data",IF(AND(IFERROR(--(INDEX('Reguler Class Availability'!$F:$F,$Q385)&amp;""),0)=0,IFERROR(--(INDEX('Reguler Class Availability'!$G:$G,$Q385)&amp;""),0)=0),"Tutup",IF(IFERROR(--(INDEX('Reguler Class Availability'!$G:$G,$Q385)&amp;""),0)&gt;IFERROR(--(INDEX('Reguler Class Availability'!$F:$F,$Q385)&amp;""),0),"Lebih",IF(IFERROR(--(INDEX('Reguler Class Availability'!$G:$G,$Q385)&amp;""),0)=IFERROR(--(INDEX('Reguler Class Availability'!$F:$F,$Q385)&amp;""),0),"Penuh",IF(IFERROR(--(INDEX('Reguler Class Availability'!$G:$G,$Q385)&amp;""),0)=0,IF(INDEX('Reguler Class Availability'!$B:$B,$Q385)&amp;""="","Kosong","Belum terisi"),IF(IFERROR(--(INDEX('Reguler Class Availability'!$G:$G,$Q385)&amp;""),0)/IFERROR(--(INDEX('Reguler Class Availability'!$F:$F,$Q385)&amp;""),0)&gt;=0.6,"Tinggi","Sebagian"))))))</f>
        <v>Belum terisi</v>
      </c>
      <c r="F385" s="77" t="str">
        <f aca="false">IF($Q385="","",PROPER(INDEX('Reguler Class Availability'!$B:$B,$Q385)&amp;""))</f>
        <v>Little</v>
      </c>
      <c r="G385" s="76" t="n">
        <f aca="false">IF($Q385="","",IFERROR(--(INDEX('Reguler Class Availability'!$F:$F,$Q385)&amp;""),0))</f>
        <v>5</v>
      </c>
      <c r="H385" s="77" t="str">
        <f aca="false">IF($Q385="","",PROPER(INDEX('Reguler Class Availability'!$I:$I,$Q385)&amp;"")&amp;IF(INDEX('Reguler Class Availability'!$J:$J,$Q385)&amp;""="",""," + asst "&amp;PROPER(INDEX('Reguler Class Availability'!$J:$J,$Q385)&amp;"")))</f>
        <v/>
      </c>
      <c r="I385" s="77" t="s">
        <v>436</v>
      </c>
      <c r="J385" s="77" t="s">
        <v>188</v>
      </c>
      <c r="K385" s="78"/>
      <c r="L385" s="78"/>
      <c r="M385" s="78"/>
      <c r="N385" s="79"/>
      <c r="O385" s="78"/>
      <c r="Q385" s="30" t="n">
        <f aca="false">IFERROR(MATCH($B$4&amp;"|- Lane "&amp;D385&amp;" - "&amp;B385&amp;"|"&amp;C385,'Reguler Class Availability'!$L:$L,0),"")</f>
        <v>1719</v>
      </c>
    </row>
    <row r="386" customFormat="false" ht="27.75" hidden="false" customHeight="true" outlineLevel="0" collapsed="false">
      <c r="A386" s="76" t="n">
        <v>260</v>
      </c>
      <c r="B386" s="77" t="s">
        <v>80</v>
      </c>
      <c r="C386" s="76" t="s">
        <v>144</v>
      </c>
      <c r="D386" s="76" t="n">
        <v>4</v>
      </c>
      <c r="E386" s="77" t="str">
        <f aca="false">IF($Q386="","Tidak ada di data",IF(AND(IFERROR(--(INDEX('Reguler Class Availability'!$F:$F,$Q386)&amp;""),0)=0,IFERROR(--(INDEX('Reguler Class Availability'!$G:$G,$Q386)&amp;""),0)=0),"Tutup",IF(IFERROR(--(INDEX('Reguler Class Availability'!$G:$G,$Q386)&amp;""),0)&gt;IFERROR(--(INDEX('Reguler Class Availability'!$F:$F,$Q386)&amp;""),0),"Lebih",IF(IFERROR(--(INDEX('Reguler Class Availability'!$G:$G,$Q386)&amp;""),0)=IFERROR(--(INDEX('Reguler Class Availability'!$F:$F,$Q386)&amp;""),0),"Penuh",IF(IFERROR(--(INDEX('Reguler Class Availability'!$G:$G,$Q386)&amp;""),0)=0,IF(INDEX('Reguler Class Availability'!$B:$B,$Q386)&amp;""="","Kosong","Belum terisi"),IF(IFERROR(--(INDEX('Reguler Class Availability'!$G:$G,$Q386)&amp;""),0)/IFERROR(--(INDEX('Reguler Class Availability'!$F:$F,$Q386)&amp;""),0)&gt;=0.6,"Tinggi","Sebagian"))))))</f>
        <v>Belum terisi</v>
      </c>
      <c r="F386" s="77" t="str">
        <f aca="false">IF($Q386="","",PROPER(INDEX('Reguler Class Availability'!$B:$B,$Q386)&amp;""))</f>
        <v>Kids</v>
      </c>
      <c r="G386" s="76" t="n">
        <f aca="false">IF($Q386="","",IFERROR(--(INDEX('Reguler Class Availability'!$F:$F,$Q386)&amp;""),0))</f>
        <v>4</v>
      </c>
      <c r="H386" s="77" t="str">
        <f aca="false">IF($Q386="","",PROPER(INDEX('Reguler Class Availability'!$I:$I,$Q386)&amp;"")&amp;IF(INDEX('Reguler Class Availability'!$J:$J,$Q386)&amp;""="",""," + asst "&amp;PROPER(INDEX('Reguler Class Availability'!$J:$J,$Q386)&amp;"")))</f>
        <v/>
      </c>
      <c r="I386" s="77" t="s">
        <v>440</v>
      </c>
      <c r="J386" s="77" t="s">
        <v>188</v>
      </c>
      <c r="K386" s="78"/>
      <c r="L386" s="78"/>
      <c r="M386" s="78"/>
      <c r="N386" s="79"/>
      <c r="O386" s="78"/>
      <c r="Q386" s="30" t="n">
        <f aca="false">IFERROR(MATCH($B$4&amp;"|- Lane "&amp;D386&amp;" - "&amp;B386&amp;"|"&amp;C386,'Reguler Class Availability'!$L:$L,0),"")</f>
        <v>1887</v>
      </c>
    </row>
    <row r="387" customFormat="false" ht="15.75" hidden="false" customHeight="true" outlineLevel="0" collapsed="false">
      <c r="A387" s="76" t="n">
        <v>261</v>
      </c>
      <c r="B387" s="77" t="s">
        <v>80</v>
      </c>
      <c r="C387" s="76" t="s">
        <v>146</v>
      </c>
      <c r="D387" s="76" t="n">
        <v>1</v>
      </c>
      <c r="E387" s="77" t="str">
        <f aca="false">IF($Q387="","Tidak ada di data",IF(AND(IFERROR(--(INDEX('Reguler Class Availability'!$F:$F,$Q387)&amp;""),0)=0,IFERROR(--(INDEX('Reguler Class Availability'!$G:$G,$Q387)&amp;""),0)=0),"Tutup",IF(IFERROR(--(INDEX('Reguler Class Availability'!$G:$G,$Q387)&amp;""),0)&gt;IFERROR(--(INDEX('Reguler Class Availability'!$F:$F,$Q387)&amp;""),0),"Lebih",IF(IFERROR(--(INDEX('Reguler Class Availability'!$G:$G,$Q387)&amp;""),0)=IFERROR(--(INDEX('Reguler Class Availability'!$F:$F,$Q387)&amp;""),0),"Penuh",IF(IFERROR(--(INDEX('Reguler Class Availability'!$G:$G,$Q387)&amp;""),0)=0,IF(INDEX('Reguler Class Availability'!$B:$B,$Q387)&amp;""="","Kosong","Belum terisi"),IF(IFERROR(--(INDEX('Reguler Class Availability'!$G:$G,$Q387)&amp;""),0)/IFERROR(--(INDEX('Reguler Class Availability'!$F:$F,$Q387)&amp;""),0)&gt;=0.6,"Tinggi","Sebagian"))))))</f>
        <v>Belum terisi</v>
      </c>
      <c r="F387" s="77" t="str">
        <f aca="false">IF($Q387="","",PROPER(INDEX('Reguler Class Availability'!$B:$B,$Q387)&amp;""))</f>
        <v>Tiny</v>
      </c>
      <c r="G387" s="76" t="n">
        <f aca="false">IF($Q387="","",IFERROR(--(INDEX('Reguler Class Availability'!$F:$F,$Q387)&amp;""),0))</f>
        <v>5</v>
      </c>
      <c r="H387" s="77" t="str">
        <f aca="false">IF($Q387="","",PROPER(INDEX('Reguler Class Availability'!$I:$I,$Q387)&amp;"")&amp;IF(INDEX('Reguler Class Availability'!$J:$J,$Q387)&amp;""="",""," + asst "&amp;PROPER(INDEX('Reguler Class Availability'!$J:$J,$Q387)&amp;"")))</f>
        <v/>
      </c>
      <c r="I387" s="77" t="s">
        <v>439</v>
      </c>
      <c r="J387" s="77" t="s">
        <v>198</v>
      </c>
      <c r="K387" s="78"/>
      <c r="L387" s="78"/>
      <c r="M387" s="78"/>
      <c r="N387" s="79"/>
      <c r="O387" s="78"/>
      <c r="Q387" s="30" t="n">
        <f aca="false">IFERROR(MATCH($B$4&amp;"|- Lane "&amp;D387&amp;" - "&amp;B387&amp;"|"&amp;C387,'Reguler Class Availability'!$L:$L,0),"")</f>
        <v>1636</v>
      </c>
    </row>
    <row r="388" customFormat="false" ht="15.75" hidden="false" customHeight="true" outlineLevel="0" collapsed="false">
      <c r="A388" s="76" t="n">
        <v>262</v>
      </c>
      <c r="B388" s="77" t="s">
        <v>80</v>
      </c>
      <c r="C388" s="76" t="s">
        <v>147</v>
      </c>
      <c r="D388" s="76" t="n">
        <v>4</v>
      </c>
      <c r="E388" s="77" t="str">
        <f aca="false">IF($Q388="","Tidak ada di data",IF(AND(IFERROR(--(INDEX('Reguler Class Availability'!$F:$F,$Q388)&amp;""),0)=0,IFERROR(--(INDEX('Reguler Class Availability'!$G:$G,$Q388)&amp;""),0)=0),"Tutup",IF(IFERROR(--(INDEX('Reguler Class Availability'!$G:$G,$Q388)&amp;""),0)&gt;IFERROR(--(INDEX('Reguler Class Availability'!$F:$F,$Q388)&amp;""),0),"Lebih",IF(IFERROR(--(INDEX('Reguler Class Availability'!$G:$G,$Q388)&amp;""),0)=IFERROR(--(INDEX('Reguler Class Availability'!$F:$F,$Q388)&amp;""),0),"Penuh",IF(IFERROR(--(INDEX('Reguler Class Availability'!$G:$G,$Q388)&amp;""),0)=0,IF(INDEX('Reguler Class Availability'!$B:$B,$Q388)&amp;""="","Kosong","Belum terisi"),IF(IFERROR(--(INDEX('Reguler Class Availability'!$G:$G,$Q388)&amp;""),0)/IFERROR(--(INDEX('Reguler Class Availability'!$F:$F,$Q388)&amp;""),0)&gt;=0.6,"Tinggi","Sebagian"))))))</f>
        <v>Belum terisi</v>
      </c>
      <c r="F388" s="77" t="str">
        <f aca="false">IF($Q388="","",PROPER(INDEX('Reguler Class Availability'!$B:$B,$Q388)&amp;""))</f>
        <v>Kids</v>
      </c>
      <c r="G388" s="76" t="n">
        <f aca="false">IF($Q388="","",IFERROR(--(INDEX('Reguler Class Availability'!$F:$F,$Q388)&amp;""),0))</f>
        <v>4</v>
      </c>
      <c r="H388" s="77" t="str">
        <f aca="false">IF($Q388="","",PROPER(INDEX('Reguler Class Availability'!$I:$I,$Q388)&amp;"")&amp;IF(INDEX('Reguler Class Availability'!$J:$J,$Q388)&amp;""="",""," + asst "&amp;PROPER(INDEX('Reguler Class Availability'!$J:$J,$Q388)&amp;"")))</f>
        <v/>
      </c>
      <c r="I388" s="77" t="s">
        <v>439</v>
      </c>
      <c r="J388" s="77" t="s">
        <v>198</v>
      </c>
      <c r="K388" s="78"/>
      <c r="L388" s="78"/>
      <c r="M388" s="78"/>
      <c r="N388" s="79"/>
      <c r="O388" s="78"/>
      <c r="Q388" s="30" t="n">
        <f aca="false">IFERROR(MATCH($B$4&amp;"|- Lane "&amp;D388&amp;" - "&amp;B388&amp;"|"&amp;C388,'Reguler Class Availability'!$L:$L,0),"")</f>
        <v>1888</v>
      </c>
    </row>
    <row r="389" customFormat="false" ht="15.75" hidden="false" customHeight="true" outlineLevel="0" collapsed="false">
      <c r="A389" s="76" t="n">
        <v>263</v>
      </c>
      <c r="B389" s="77" t="s">
        <v>80</v>
      </c>
      <c r="C389" s="76" t="s">
        <v>149</v>
      </c>
      <c r="D389" s="76" t="n">
        <v>2</v>
      </c>
      <c r="E389" s="77" t="str">
        <f aca="false">IF($Q389="","Tidak ada di data",IF(AND(IFERROR(--(INDEX('Reguler Class Availability'!$F:$F,$Q389)&amp;""),0)=0,IFERROR(--(INDEX('Reguler Class Availability'!$G:$G,$Q389)&amp;""),0)=0),"Tutup",IF(IFERROR(--(INDEX('Reguler Class Availability'!$G:$G,$Q389)&amp;""),0)&gt;IFERROR(--(INDEX('Reguler Class Availability'!$F:$F,$Q389)&amp;""),0),"Lebih",IF(IFERROR(--(INDEX('Reguler Class Availability'!$G:$G,$Q389)&amp;""),0)=IFERROR(--(INDEX('Reguler Class Availability'!$F:$F,$Q389)&amp;""),0),"Penuh",IF(IFERROR(--(INDEX('Reguler Class Availability'!$G:$G,$Q389)&amp;""),0)=0,IF(INDEX('Reguler Class Availability'!$B:$B,$Q389)&amp;""="","Kosong","Belum terisi"),IF(IFERROR(--(INDEX('Reguler Class Availability'!$G:$G,$Q389)&amp;""),0)/IFERROR(--(INDEX('Reguler Class Availability'!$F:$F,$Q389)&amp;""),0)&gt;=0.6,"Tinggi","Sebagian"))))))</f>
        <v>Belum terisi</v>
      </c>
      <c r="F389" s="77" t="str">
        <f aca="false">IF($Q389="","",PROPER(INDEX('Reguler Class Availability'!$B:$B,$Q389)&amp;""))</f>
        <v>Little</v>
      </c>
      <c r="G389" s="76" t="n">
        <f aca="false">IF($Q389="","",IFERROR(--(INDEX('Reguler Class Availability'!$F:$F,$Q389)&amp;""),0))</f>
        <v>5</v>
      </c>
      <c r="H389" s="77" t="str">
        <f aca="false">IF($Q389="","",PROPER(INDEX('Reguler Class Availability'!$I:$I,$Q389)&amp;"")&amp;IF(INDEX('Reguler Class Availability'!$J:$J,$Q389)&amp;""="",""," + asst "&amp;PROPER(INDEX('Reguler Class Availability'!$J:$J,$Q389)&amp;"")))</f>
        <v/>
      </c>
      <c r="I389" s="77" t="s">
        <v>439</v>
      </c>
      <c r="J389" s="77" t="s">
        <v>198</v>
      </c>
      <c r="K389" s="78"/>
      <c r="L389" s="78"/>
      <c r="M389" s="78"/>
      <c r="N389" s="79"/>
      <c r="O389" s="78"/>
      <c r="Q389" s="30" t="n">
        <f aca="false">IFERROR(MATCH($B$4&amp;"|- Lane "&amp;D389&amp;" - "&amp;B389&amp;"|"&amp;C389,'Reguler Class Availability'!$L:$L,0),"")</f>
        <v>1721</v>
      </c>
    </row>
    <row r="390" customFormat="false" ht="15.75" hidden="false" customHeight="true" outlineLevel="0" collapsed="false">
      <c r="A390" s="76" t="n">
        <v>264</v>
      </c>
      <c r="B390" s="77" t="s">
        <v>80</v>
      </c>
      <c r="C390" s="76" t="s">
        <v>150</v>
      </c>
      <c r="D390" s="76" t="n">
        <v>4</v>
      </c>
      <c r="E390" s="77" t="str">
        <f aca="false">IF($Q390="","Tidak ada di data",IF(AND(IFERROR(--(INDEX('Reguler Class Availability'!$F:$F,$Q390)&amp;""),0)=0,IFERROR(--(INDEX('Reguler Class Availability'!$G:$G,$Q390)&amp;""),0)=0),"Tutup",IF(IFERROR(--(INDEX('Reguler Class Availability'!$G:$G,$Q390)&amp;""),0)&gt;IFERROR(--(INDEX('Reguler Class Availability'!$F:$F,$Q390)&amp;""),0),"Lebih",IF(IFERROR(--(INDEX('Reguler Class Availability'!$G:$G,$Q390)&amp;""),0)=IFERROR(--(INDEX('Reguler Class Availability'!$F:$F,$Q390)&amp;""),0),"Penuh",IF(IFERROR(--(INDEX('Reguler Class Availability'!$G:$G,$Q390)&amp;""),0)=0,IF(INDEX('Reguler Class Availability'!$B:$B,$Q390)&amp;""="","Kosong","Belum terisi"),IF(IFERROR(--(INDEX('Reguler Class Availability'!$G:$G,$Q390)&amp;""),0)/IFERROR(--(INDEX('Reguler Class Availability'!$F:$F,$Q390)&amp;""),0)&gt;=0.6,"Tinggi","Sebagian"))))))</f>
        <v>Belum terisi</v>
      </c>
      <c r="F390" s="77" t="str">
        <f aca="false">IF($Q390="","",PROPER(INDEX('Reguler Class Availability'!$B:$B,$Q390)&amp;""))</f>
        <v>Kids</v>
      </c>
      <c r="G390" s="76" t="n">
        <f aca="false">IF($Q390="","",IFERROR(--(INDEX('Reguler Class Availability'!$F:$F,$Q390)&amp;""),0))</f>
        <v>4</v>
      </c>
      <c r="H390" s="77" t="str">
        <f aca="false">IF($Q390="","",PROPER(INDEX('Reguler Class Availability'!$I:$I,$Q390)&amp;"")&amp;IF(INDEX('Reguler Class Availability'!$J:$J,$Q390)&amp;""="",""," + asst "&amp;PROPER(INDEX('Reguler Class Availability'!$J:$J,$Q390)&amp;"")))</f>
        <v/>
      </c>
      <c r="I390" s="77" t="s">
        <v>439</v>
      </c>
      <c r="J390" s="77" t="s">
        <v>198</v>
      </c>
      <c r="K390" s="78"/>
      <c r="L390" s="78"/>
      <c r="M390" s="78"/>
      <c r="N390" s="79"/>
      <c r="O390" s="78"/>
      <c r="Q390" s="30" t="n">
        <f aca="false">IFERROR(MATCH($B$4&amp;"|- Lane "&amp;D390&amp;" - "&amp;B390&amp;"|"&amp;C390,'Reguler Class Availability'!$L:$L,0),"")</f>
        <v>1889</v>
      </c>
    </row>
    <row r="391" customFormat="false" ht="15.75" hidden="false" customHeight="true" outlineLevel="0" collapsed="false">
      <c r="A391" s="76" t="n">
        <v>265</v>
      </c>
      <c r="B391" s="77" t="s">
        <v>80</v>
      </c>
      <c r="C391" s="76" t="s">
        <v>153</v>
      </c>
      <c r="D391" s="76" t="n">
        <v>3</v>
      </c>
      <c r="E391" s="77" t="str">
        <f aca="false">IF($Q391="","Tidak ada di data",IF(AND(IFERROR(--(INDEX('Reguler Class Availability'!$F:$F,$Q391)&amp;""),0)=0,IFERROR(--(INDEX('Reguler Class Availability'!$G:$G,$Q391)&amp;""),0)=0),"Tutup",IF(IFERROR(--(INDEX('Reguler Class Availability'!$G:$G,$Q391)&amp;""),0)&gt;IFERROR(--(INDEX('Reguler Class Availability'!$F:$F,$Q391)&amp;""),0),"Lebih",IF(IFERROR(--(INDEX('Reguler Class Availability'!$G:$G,$Q391)&amp;""),0)=IFERROR(--(INDEX('Reguler Class Availability'!$F:$F,$Q391)&amp;""),0),"Penuh",IF(IFERROR(--(INDEX('Reguler Class Availability'!$G:$G,$Q391)&amp;""),0)=0,IF(INDEX('Reguler Class Availability'!$B:$B,$Q391)&amp;""="","Kosong","Belum terisi"),IF(IFERROR(--(INDEX('Reguler Class Availability'!$G:$G,$Q391)&amp;""),0)/IFERROR(--(INDEX('Reguler Class Availability'!$F:$F,$Q391)&amp;""),0)&gt;=0.6,"Tinggi","Sebagian"))))))</f>
        <v>Belum terisi</v>
      </c>
      <c r="F391" s="77" t="str">
        <f aca="false">IF($Q391="","",PROPER(INDEX('Reguler Class Availability'!$B:$B,$Q391)&amp;""))</f>
        <v>Kids</v>
      </c>
      <c r="G391" s="76" t="n">
        <f aca="false">IF($Q391="","",IFERROR(--(INDEX('Reguler Class Availability'!$F:$F,$Q391)&amp;""),0))</f>
        <v>4</v>
      </c>
      <c r="H391" s="77" t="str">
        <f aca="false">IF($Q391="","",PROPER(INDEX('Reguler Class Availability'!$I:$I,$Q391)&amp;"")&amp;IF(INDEX('Reguler Class Availability'!$J:$J,$Q391)&amp;""="",""," + asst "&amp;PROPER(INDEX('Reguler Class Availability'!$J:$J,$Q391)&amp;"")))</f>
        <v/>
      </c>
      <c r="I391" s="77" t="s">
        <v>428</v>
      </c>
      <c r="J391" s="77" t="s">
        <v>198</v>
      </c>
      <c r="K391" s="78"/>
      <c r="L391" s="78"/>
      <c r="M391" s="78"/>
      <c r="N391" s="79"/>
      <c r="O391" s="78"/>
      <c r="Q391" s="30" t="n">
        <f aca="false">IFERROR(MATCH($B$4&amp;"|- Lane "&amp;D391&amp;" - "&amp;B391&amp;"|"&amp;C391,'Reguler Class Availability'!$L:$L,0),"")</f>
        <v>1806</v>
      </c>
    </row>
    <row r="392" customFormat="false" ht="15.75" hidden="false" customHeight="true" outlineLevel="0" collapsed="false">
      <c r="A392" s="76" t="n">
        <v>266</v>
      </c>
      <c r="B392" s="77" t="s">
        <v>80</v>
      </c>
      <c r="C392" s="76" t="s">
        <v>153</v>
      </c>
      <c r="D392" s="76" t="n">
        <v>4</v>
      </c>
      <c r="E392" s="77" t="str">
        <f aca="false">IF($Q392="","Tidak ada di data",IF(AND(IFERROR(--(INDEX('Reguler Class Availability'!$F:$F,$Q392)&amp;""),0)=0,IFERROR(--(INDEX('Reguler Class Availability'!$G:$G,$Q392)&amp;""),0)=0),"Tutup",IF(IFERROR(--(INDEX('Reguler Class Availability'!$G:$G,$Q392)&amp;""),0)&gt;IFERROR(--(INDEX('Reguler Class Availability'!$F:$F,$Q392)&amp;""),0),"Lebih",IF(IFERROR(--(INDEX('Reguler Class Availability'!$G:$G,$Q392)&amp;""),0)=IFERROR(--(INDEX('Reguler Class Availability'!$F:$F,$Q392)&amp;""),0),"Penuh",IF(IFERROR(--(INDEX('Reguler Class Availability'!$G:$G,$Q392)&amp;""),0)=0,IF(INDEX('Reguler Class Availability'!$B:$B,$Q392)&amp;""="","Kosong","Belum terisi"),IF(IFERROR(--(INDEX('Reguler Class Availability'!$G:$G,$Q392)&amp;""),0)/IFERROR(--(INDEX('Reguler Class Availability'!$F:$F,$Q392)&amp;""),0)&gt;=0.6,"Tinggi","Sebagian"))))))</f>
        <v>Belum terisi</v>
      </c>
      <c r="F392" s="77" t="str">
        <f aca="false">IF($Q392="","",PROPER(INDEX('Reguler Class Availability'!$B:$B,$Q392)&amp;""))</f>
        <v>Kids</v>
      </c>
      <c r="G392" s="76" t="n">
        <f aca="false">IF($Q392="","",IFERROR(--(INDEX('Reguler Class Availability'!$F:$F,$Q392)&amp;""),0))</f>
        <v>4</v>
      </c>
      <c r="H392" s="77" t="str">
        <f aca="false">IF($Q392="","",PROPER(INDEX('Reguler Class Availability'!$I:$I,$Q392)&amp;"")&amp;IF(INDEX('Reguler Class Availability'!$J:$J,$Q392)&amp;""="",""," + asst "&amp;PROPER(INDEX('Reguler Class Availability'!$J:$J,$Q392)&amp;"")))</f>
        <v/>
      </c>
      <c r="I392" s="77" t="s">
        <v>428</v>
      </c>
      <c r="J392" s="77" t="s">
        <v>198</v>
      </c>
      <c r="K392" s="78"/>
      <c r="L392" s="78"/>
      <c r="M392" s="78"/>
      <c r="N392" s="79"/>
      <c r="O392" s="78"/>
      <c r="Q392" s="30" t="n">
        <f aca="false">IFERROR(MATCH($B$4&amp;"|- Lane "&amp;D392&amp;" - "&amp;B392&amp;"|"&amp;C392,'Reguler Class Availability'!$L:$L,0),"")</f>
        <v>1890</v>
      </c>
    </row>
    <row r="393" customFormat="false" ht="40.5" hidden="false" customHeight="true" outlineLevel="0" collapsed="false">
      <c r="A393" s="76" t="n">
        <v>267</v>
      </c>
      <c r="B393" s="77" t="s">
        <v>80</v>
      </c>
      <c r="C393" s="76" t="s">
        <v>155</v>
      </c>
      <c r="D393" s="76" t="n">
        <v>1</v>
      </c>
      <c r="E393" s="77" t="str">
        <f aca="false">IF($Q393="","Tidak ada di data",IF(AND(IFERROR(--(INDEX('Reguler Class Availability'!$F:$F,$Q393)&amp;""),0)=0,IFERROR(--(INDEX('Reguler Class Availability'!$G:$G,$Q393)&amp;""),0)=0),"Tutup",IF(IFERROR(--(INDEX('Reguler Class Availability'!$G:$G,$Q393)&amp;""),0)&gt;IFERROR(--(INDEX('Reguler Class Availability'!$F:$F,$Q393)&amp;""),0),"Lebih",IF(IFERROR(--(INDEX('Reguler Class Availability'!$G:$G,$Q393)&amp;""),0)=IFERROR(--(INDEX('Reguler Class Availability'!$F:$F,$Q393)&amp;""),0),"Penuh",IF(IFERROR(--(INDEX('Reguler Class Availability'!$G:$G,$Q393)&amp;""),0)=0,IF(INDEX('Reguler Class Availability'!$B:$B,$Q393)&amp;""="","Kosong","Belum terisi"),IF(IFERROR(--(INDEX('Reguler Class Availability'!$G:$G,$Q393)&amp;""),0)/IFERROR(--(INDEX('Reguler Class Availability'!$F:$F,$Q393)&amp;""),0)&gt;=0.6,"Tinggi","Sebagian"))))))</f>
        <v>Belum terisi</v>
      </c>
      <c r="F393" s="77" t="str">
        <f aca="false">IF($Q393="","",PROPER(INDEX('Reguler Class Availability'!$B:$B,$Q393)&amp;""))</f>
        <v>Baby</v>
      </c>
      <c r="G393" s="76" t="n">
        <f aca="false">IF($Q393="","",IFERROR(--(INDEX('Reguler Class Availability'!$F:$F,$Q393)&amp;""),0))</f>
        <v>5</v>
      </c>
      <c r="H393" s="77" t="str">
        <f aca="false">IF($Q393="","",PROPER(INDEX('Reguler Class Availability'!$I:$I,$Q393)&amp;"")&amp;IF(INDEX('Reguler Class Availability'!$J:$J,$Q393)&amp;""="",""," + asst "&amp;PROPER(INDEX('Reguler Class Availability'!$J:$J,$Q393)&amp;"")))</f>
        <v/>
      </c>
      <c r="I393" s="77" t="s">
        <v>441</v>
      </c>
      <c r="J393" s="77" t="s">
        <v>188</v>
      </c>
      <c r="K393" s="78"/>
      <c r="L393" s="78"/>
      <c r="M393" s="78"/>
      <c r="N393" s="79"/>
      <c r="O393" s="78"/>
      <c r="Q393" s="30" t="n">
        <f aca="false">IFERROR(MATCH($B$4&amp;"|- Lane "&amp;D393&amp;" - "&amp;B393&amp;"|"&amp;C393,'Reguler Class Availability'!$L:$L,0),"")</f>
        <v>1639</v>
      </c>
    </row>
    <row r="394" customFormat="false" ht="40.5" hidden="false" customHeight="true" outlineLevel="0" collapsed="false">
      <c r="A394" s="76" t="n">
        <v>268</v>
      </c>
      <c r="B394" s="77" t="s">
        <v>80</v>
      </c>
      <c r="C394" s="76" t="s">
        <v>156</v>
      </c>
      <c r="D394" s="76" t="n">
        <v>3</v>
      </c>
      <c r="E394" s="77" t="str">
        <f aca="false">IF($Q394="","Tidak ada di data",IF(AND(IFERROR(--(INDEX('Reguler Class Availability'!$F:$F,$Q394)&amp;""),0)=0,IFERROR(--(INDEX('Reguler Class Availability'!$G:$G,$Q394)&amp;""),0)=0),"Tutup",IF(IFERROR(--(INDEX('Reguler Class Availability'!$G:$G,$Q394)&amp;""),0)&gt;IFERROR(--(INDEX('Reguler Class Availability'!$F:$F,$Q394)&amp;""),0),"Lebih",IF(IFERROR(--(INDEX('Reguler Class Availability'!$G:$G,$Q394)&amp;""),0)=IFERROR(--(INDEX('Reguler Class Availability'!$F:$F,$Q394)&amp;""),0),"Penuh",IF(IFERROR(--(INDEX('Reguler Class Availability'!$G:$G,$Q394)&amp;""),0)=0,IF(INDEX('Reguler Class Availability'!$B:$B,$Q394)&amp;""="","Kosong","Belum terisi"),IF(IFERROR(--(INDEX('Reguler Class Availability'!$G:$G,$Q394)&amp;""),0)/IFERROR(--(INDEX('Reguler Class Availability'!$F:$F,$Q394)&amp;""),0)&gt;=0.6,"Tinggi","Sebagian"))))))</f>
        <v>Belum terisi</v>
      </c>
      <c r="F394" s="77" t="str">
        <f aca="false">IF($Q394="","",PROPER(INDEX('Reguler Class Availability'!$B:$B,$Q394)&amp;""))</f>
        <v>Kids</v>
      </c>
      <c r="G394" s="76" t="n">
        <f aca="false">IF($Q394="","",IFERROR(--(INDEX('Reguler Class Availability'!$F:$F,$Q394)&amp;""),0))</f>
        <v>4</v>
      </c>
      <c r="H394" s="77" t="str">
        <f aca="false">IF($Q394="","",PROPER(INDEX('Reguler Class Availability'!$I:$I,$Q394)&amp;"")&amp;IF(INDEX('Reguler Class Availability'!$J:$J,$Q394)&amp;""="",""," + asst "&amp;PROPER(INDEX('Reguler Class Availability'!$J:$J,$Q394)&amp;"")))</f>
        <v/>
      </c>
      <c r="I394" s="77" t="s">
        <v>441</v>
      </c>
      <c r="J394" s="77" t="s">
        <v>188</v>
      </c>
      <c r="K394" s="78"/>
      <c r="L394" s="78"/>
      <c r="M394" s="78"/>
      <c r="N394" s="79"/>
      <c r="O394" s="78"/>
      <c r="Q394" s="30" t="n">
        <f aca="false">IFERROR(MATCH($B$4&amp;"|- Lane "&amp;D394&amp;" - "&amp;B394&amp;"|"&amp;C394,'Reguler Class Availability'!$L:$L,0),"")</f>
        <v>1807</v>
      </c>
    </row>
    <row r="395" customFormat="false" ht="40.5" hidden="false" customHeight="true" outlineLevel="0" collapsed="false">
      <c r="A395" s="76" t="n">
        <v>269</v>
      </c>
      <c r="B395" s="77" t="s">
        <v>80</v>
      </c>
      <c r="C395" s="76" t="s">
        <v>156</v>
      </c>
      <c r="D395" s="76" t="n">
        <v>4</v>
      </c>
      <c r="E395" s="77" t="str">
        <f aca="false">IF($Q395="","Tidak ada di data",IF(AND(IFERROR(--(INDEX('Reguler Class Availability'!$F:$F,$Q395)&amp;""),0)=0,IFERROR(--(INDEX('Reguler Class Availability'!$G:$G,$Q395)&amp;""),0)=0),"Tutup",IF(IFERROR(--(INDEX('Reguler Class Availability'!$G:$G,$Q395)&amp;""),0)&gt;IFERROR(--(INDEX('Reguler Class Availability'!$F:$F,$Q395)&amp;""),0),"Lebih",IF(IFERROR(--(INDEX('Reguler Class Availability'!$G:$G,$Q395)&amp;""),0)=IFERROR(--(INDEX('Reguler Class Availability'!$F:$F,$Q395)&amp;""),0),"Penuh",IF(IFERROR(--(INDEX('Reguler Class Availability'!$G:$G,$Q395)&amp;""),0)=0,IF(INDEX('Reguler Class Availability'!$B:$B,$Q395)&amp;""="","Kosong","Belum terisi"),IF(IFERROR(--(INDEX('Reguler Class Availability'!$G:$G,$Q395)&amp;""),0)/IFERROR(--(INDEX('Reguler Class Availability'!$F:$F,$Q395)&amp;""),0)&gt;=0.6,"Tinggi","Sebagian"))))))</f>
        <v>Belum terisi</v>
      </c>
      <c r="F395" s="77" t="str">
        <f aca="false">IF($Q395="","",PROPER(INDEX('Reguler Class Availability'!$B:$B,$Q395)&amp;""))</f>
        <v>Kids</v>
      </c>
      <c r="G395" s="76" t="n">
        <f aca="false">IF($Q395="","",IFERROR(--(INDEX('Reguler Class Availability'!$F:$F,$Q395)&amp;""),0))</f>
        <v>4</v>
      </c>
      <c r="H395" s="77" t="str">
        <f aca="false">IF($Q395="","",PROPER(INDEX('Reguler Class Availability'!$I:$I,$Q395)&amp;"")&amp;IF(INDEX('Reguler Class Availability'!$J:$J,$Q395)&amp;""="",""," + asst "&amp;PROPER(INDEX('Reguler Class Availability'!$J:$J,$Q395)&amp;"")))</f>
        <v/>
      </c>
      <c r="I395" s="77" t="s">
        <v>441</v>
      </c>
      <c r="J395" s="77" t="s">
        <v>188</v>
      </c>
      <c r="K395" s="78"/>
      <c r="L395" s="78"/>
      <c r="M395" s="78"/>
      <c r="N395" s="79"/>
      <c r="O395" s="78"/>
      <c r="Q395" s="30" t="n">
        <f aca="false">IFERROR(MATCH($B$4&amp;"|- Lane "&amp;D395&amp;" - "&amp;B395&amp;"|"&amp;C395,'Reguler Class Availability'!$L:$L,0),"")</f>
        <v>1891</v>
      </c>
    </row>
    <row r="398" customFormat="false" ht="16.15" hidden="false" customHeight="false" outlineLevel="0" collapsed="false">
      <c r="A398" s="81" t="s">
        <v>244</v>
      </c>
      <c r="B398" s="62"/>
      <c r="C398" s="62"/>
      <c r="D398" s="62"/>
      <c r="E398" s="62"/>
      <c r="F398" s="62"/>
      <c r="G398" s="62"/>
      <c r="H398" s="62"/>
      <c r="I398" s="62"/>
      <c r="J398" s="62"/>
      <c r="K398" s="62"/>
      <c r="L398" s="62"/>
      <c r="M398" s="62"/>
      <c r="N398" s="62"/>
    </row>
    <row r="399" customFormat="false" ht="15" hidden="false" customHeight="false" outlineLevel="0" collapsed="false">
      <c r="A399" s="73" t="s">
        <v>245</v>
      </c>
    </row>
    <row r="400" customFormat="false" ht="22.35" hidden="false" customHeight="false" outlineLevel="0" collapsed="false">
      <c r="A400" s="74" t="s">
        <v>178</v>
      </c>
      <c r="B400" s="74" t="s">
        <v>246</v>
      </c>
      <c r="C400" s="74" t="s">
        <v>247</v>
      </c>
      <c r="D400" s="74" t="s">
        <v>114</v>
      </c>
      <c r="E400" s="74" t="s">
        <v>115</v>
      </c>
      <c r="F400" s="74" t="s">
        <v>116</v>
      </c>
      <c r="G400" s="74" t="s">
        <v>117</v>
      </c>
      <c r="H400" s="74" t="s">
        <v>118</v>
      </c>
      <c r="I400" s="74" t="s">
        <v>119</v>
      </c>
      <c r="J400" s="74" t="s">
        <v>80</v>
      </c>
      <c r="K400" s="74" t="s">
        <v>248</v>
      </c>
      <c r="L400" s="74" t="s">
        <v>249</v>
      </c>
      <c r="M400" s="74" t="s">
        <v>250</v>
      </c>
    </row>
    <row r="401" customFormat="false" ht="15" hidden="false" customHeight="false" outlineLevel="0" collapsed="false">
      <c r="A401" s="82" t="n">
        <v>1</v>
      </c>
      <c r="B401" s="83" t="s">
        <v>442</v>
      </c>
      <c r="C401" s="84" t="s">
        <v>188</v>
      </c>
      <c r="D401" s="85" t="n">
        <f aca="false">COUNTIFS('Reguler Class Availability'!$A:$A,$B$4,'Reguler Class Availability'!$I:$I,$B401,'Reguler Class Availability'!$C:$C,"* - "&amp;D$400)+COUNTIFS('Reguler Class Availability'!$A:$A,$B$4,'Reguler Class Availability'!$J:$J,$B401,'Reguler Class Availability'!$C:$C,"* - "&amp;D$400)</f>
        <v>0</v>
      </c>
      <c r="E401" s="85" t="n">
        <f aca="false">COUNTIFS('Reguler Class Availability'!$A:$A,$B$4,'Reguler Class Availability'!$I:$I,$B401,'Reguler Class Availability'!$C:$C,"* - "&amp;E$400)+COUNTIFS('Reguler Class Availability'!$A:$A,$B$4,'Reguler Class Availability'!$J:$J,$B401,'Reguler Class Availability'!$C:$C,"* - "&amp;E$400)</f>
        <v>0</v>
      </c>
      <c r="F401" s="85" t="n">
        <f aca="false">COUNTIFS('Reguler Class Availability'!$A:$A,$B$4,'Reguler Class Availability'!$I:$I,$B401,'Reguler Class Availability'!$C:$C,"* - "&amp;F$400)+COUNTIFS('Reguler Class Availability'!$A:$A,$B$4,'Reguler Class Availability'!$J:$J,$B401,'Reguler Class Availability'!$C:$C,"* - "&amp;F$400)</f>
        <v>3</v>
      </c>
      <c r="G401" s="85" t="n">
        <f aca="false">COUNTIFS('Reguler Class Availability'!$A:$A,$B$4,'Reguler Class Availability'!$I:$I,$B401,'Reguler Class Availability'!$C:$C,"* - "&amp;G$400)+COUNTIFS('Reguler Class Availability'!$A:$A,$B$4,'Reguler Class Availability'!$J:$J,$B401,'Reguler Class Availability'!$C:$C,"* - "&amp;G$400)</f>
        <v>5</v>
      </c>
      <c r="H401" s="85" t="n">
        <f aca="false">COUNTIFS('Reguler Class Availability'!$A:$A,$B$4,'Reguler Class Availability'!$I:$I,$B401,'Reguler Class Availability'!$C:$C,"* - "&amp;H$400)+COUNTIFS('Reguler Class Availability'!$A:$A,$B$4,'Reguler Class Availability'!$J:$J,$B401,'Reguler Class Availability'!$C:$C,"* - "&amp;H$400)</f>
        <v>5</v>
      </c>
      <c r="I401" s="85" t="n">
        <f aca="false">COUNTIFS('Reguler Class Availability'!$A:$A,$B$4,'Reguler Class Availability'!$I:$I,$B401,'Reguler Class Availability'!$C:$C,"* - "&amp;I$400)+COUNTIFS('Reguler Class Availability'!$A:$A,$B$4,'Reguler Class Availability'!$J:$J,$B401,'Reguler Class Availability'!$C:$C,"* - "&amp;I$400)</f>
        <v>6</v>
      </c>
      <c r="J401" s="85" t="n">
        <f aca="false">COUNTIFS('Reguler Class Availability'!$A:$A,$B$4,'Reguler Class Availability'!$I:$I,$B401,'Reguler Class Availability'!$C:$C,"* - "&amp;J$400)+COUNTIFS('Reguler Class Availability'!$A:$A,$B$4,'Reguler Class Availability'!$J:$J,$B401,'Reguler Class Availability'!$C:$C,"* - "&amp;J$400)</f>
        <v>7</v>
      </c>
      <c r="K401" s="82" t="n">
        <f aca="false">COUNTIFS('Reguler Class Availability'!$A:$A,$B$4,'Reguler Class Availability'!$I:$I,$B401)</f>
        <v>26</v>
      </c>
      <c r="L401" s="82" t="n">
        <f aca="false">COUNTIFS('Reguler Class Availability'!$A:$A,$B$4,'Reguler Class Availability'!$J:$J,$B401)</f>
        <v>0</v>
      </c>
      <c r="M401" s="82" t="s">
        <v>253</v>
      </c>
    </row>
    <row r="402" customFormat="false" ht="15" hidden="false" customHeight="false" outlineLevel="0" collapsed="false">
      <c r="A402" s="82" t="n">
        <v>2</v>
      </c>
      <c r="B402" s="83" t="s">
        <v>443</v>
      </c>
      <c r="C402" s="84" t="s">
        <v>188</v>
      </c>
      <c r="D402" s="85" t="n">
        <f aca="false">COUNTIFS('Reguler Class Availability'!$A:$A,$B$4,'Reguler Class Availability'!$I:$I,$B402,'Reguler Class Availability'!$C:$C,"* - "&amp;D$400)+COUNTIFS('Reguler Class Availability'!$A:$A,$B$4,'Reguler Class Availability'!$J:$J,$B402,'Reguler Class Availability'!$C:$C,"* - "&amp;D$400)</f>
        <v>3</v>
      </c>
      <c r="E402" s="85" t="n">
        <f aca="false">COUNTIFS('Reguler Class Availability'!$A:$A,$B$4,'Reguler Class Availability'!$I:$I,$B402,'Reguler Class Availability'!$C:$C,"* - "&amp;E$400)+COUNTIFS('Reguler Class Availability'!$A:$A,$B$4,'Reguler Class Availability'!$J:$J,$B402,'Reguler Class Availability'!$C:$C,"* - "&amp;E$400)</f>
        <v>4</v>
      </c>
      <c r="F402" s="85" t="n">
        <f aca="false">COUNTIFS('Reguler Class Availability'!$A:$A,$B$4,'Reguler Class Availability'!$I:$I,$B402,'Reguler Class Availability'!$C:$C,"* - "&amp;F$400)+COUNTIFS('Reguler Class Availability'!$A:$A,$B$4,'Reguler Class Availability'!$J:$J,$B402,'Reguler Class Availability'!$C:$C,"* - "&amp;F$400)</f>
        <v>4</v>
      </c>
      <c r="G402" s="85" t="n">
        <f aca="false">COUNTIFS('Reguler Class Availability'!$A:$A,$B$4,'Reguler Class Availability'!$I:$I,$B402,'Reguler Class Availability'!$C:$C,"* - "&amp;G$400)+COUNTIFS('Reguler Class Availability'!$A:$A,$B$4,'Reguler Class Availability'!$J:$J,$B402,'Reguler Class Availability'!$C:$C,"* - "&amp;G$400)</f>
        <v>0</v>
      </c>
      <c r="H402" s="85" t="n">
        <f aca="false">COUNTIFS('Reguler Class Availability'!$A:$A,$B$4,'Reguler Class Availability'!$I:$I,$B402,'Reguler Class Availability'!$C:$C,"* - "&amp;H$400)+COUNTIFS('Reguler Class Availability'!$A:$A,$B$4,'Reguler Class Availability'!$J:$J,$B402,'Reguler Class Availability'!$C:$C,"* - "&amp;H$400)</f>
        <v>0</v>
      </c>
      <c r="I402" s="85" t="n">
        <f aca="false">COUNTIFS('Reguler Class Availability'!$A:$A,$B$4,'Reguler Class Availability'!$I:$I,$B402,'Reguler Class Availability'!$C:$C,"* - "&amp;I$400)+COUNTIFS('Reguler Class Availability'!$A:$A,$B$4,'Reguler Class Availability'!$J:$J,$B402,'Reguler Class Availability'!$C:$C,"* - "&amp;I$400)</f>
        <v>5</v>
      </c>
      <c r="J402" s="85" t="n">
        <f aca="false">COUNTIFS('Reguler Class Availability'!$A:$A,$B$4,'Reguler Class Availability'!$I:$I,$B402,'Reguler Class Availability'!$C:$C,"* - "&amp;J$400)+COUNTIFS('Reguler Class Availability'!$A:$A,$B$4,'Reguler Class Availability'!$J:$J,$B402,'Reguler Class Availability'!$C:$C,"* - "&amp;J$400)</f>
        <v>5</v>
      </c>
      <c r="K402" s="82" t="n">
        <f aca="false">COUNTIFS('Reguler Class Availability'!$A:$A,$B$4,'Reguler Class Availability'!$I:$I,$B402)</f>
        <v>21</v>
      </c>
      <c r="L402" s="82" t="n">
        <f aca="false">COUNTIFS('Reguler Class Availability'!$A:$A,$B$4,'Reguler Class Availability'!$J:$J,$B402)</f>
        <v>0</v>
      </c>
      <c r="M402" s="82" t="s">
        <v>255</v>
      </c>
    </row>
    <row r="403" customFormat="false" ht="15" hidden="false" customHeight="false" outlineLevel="0" collapsed="false">
      <c r="A403" s="82" t="n">
        <v>3</v>
      </c>
      <c r="B403" s="83" t="s">
        <v>444</v>
      </c>
      <c r="C403" s="84" t="s">
        <v>260</v>
      </c>
      <c r="D403" s="85" t="n">
        <f aca="false">COUNTIFS('Reguler Class Availability'!$A:$A,$B$4,'Reguler Class Availability'!$I:$I,$B403,'Reguler Class Availability'!$C:$C,"* - "&amp;D$400)+COUNTIFS('Reguler Class Availability'!$A:$A,$B$4,'Reguler Class Availability'!$J:$J,$B403,'Reguler Class Availability'!$C:$C,"* - "&amp;D$400)</f>
        <v>1</v>
      </c>
      <c r="E403" s="85" t="n">
        <f aca="false">COUNTIFS('Reguler Class Availability'!$A:$A,$B$4,'Reguler Class Availability'!$I:$I,$B403,'Reguler Class Availability'!$C:$C,"* - "&amp;E$400)+COUNTIFS('Reguler Class Availability'!$A:$A,$B$4,'Reguler Class Availability'!$J:$J,$B403,'Reguler Class Availability'!$C:$C,"* - "&amp;E$400)</f>
        <v>3</v>
      </c>
      <c r="F403" s="85" t="n">
        <f aca="false">COUNTIFS('Reguler Class Availability'!$A:$A,$B$4,'Reguler Class Availability'!$I:$I,$B403,'Reguler Class Availability'!$C:$C,"* - "&amp;F$400)+COUNTIFS('Reguler Class Availability'!$A:$A,$B$4,'Reguler Class Availability'!$J:$J,$B403,'Reguler Class Availability'!$C:$C,"* - "&amp;F$400)</f>
        <v>0</v>
      </c>
      <c r="G403" s="85" t="n">
        <f aca="false">COUNTIFS('Reguler Class Availability'!$A:$A,$B$4,'Reguler Class Availability'!$I:$I,$B403,'Reguler Class Availability'!$C:$C,"* - "&amp;G$400)+COUNTIFS('Reguler Class Availability'!$A:$A,$B$4,'Reguler Class Availability'!$J:$J,$B403,'Reguler Class Availability'!$C:$C,"* - "&amp;G$400)</f>
        <v>0</v>
      </c>
      <c r="H403" s="85" t="n">
        <f aca="false">COUNTIFS('Reguler Class Availability'!$A:$A,$B$4,'Reguler Class Availability'!$I:$I,$B403,'Reguler Class Availability'!$C:$C,"* - "&amp;H$400)+COUNTIFS('Reguler Class Availability'!$A:$A,$B$4,'Reguler Class Availability'!$J:$J,$B403,'Reguler Class Availability'!$C:$C,"* - "&amp;H$400)</f>
        <v>2</v>
      </c>
      <c r="I403" s="85" t="n">
        <f aca="false">COUNTIFS('Reguler Class Availability'!$A:$A,$B$4,'Reguler Class Availability'!$I:$I,$B403,'Reguler Class Availability'!$C:$C,"* - "&amp;I$400)+COUNTIFS('Reguler Class Availability'!$A:$A,$B$4,'Reguler Class Availability'!$J:$J,$B403,'Reguler Class Availability'!$C:$C,"* - "&amp;I$400)</f>
        <v>2</v>
      </c>
      <c r="J403" s="85" t="n">
        <f aca="false">COUNTIFS('Reguler Class Availability'!$A:$A,$B$4,'Reguler Class Availability'!$I:$I,$B403,'Reguler Class Availability'!$C:$C,"* - "&amp;J$400)+COUNTIFS('Reguler Class Availability'!$A:$A,$B$4,'Reguler Class Availability'!$J:$J,$B403,'Reguler Class Availability'!$C:$C,"* - "&amp;J$400)</f>
        <v>4</v>
      </c>
      <c r="K403" s="82" t="n">
        <f aca="false">COUNTIFS('Reguler Class Availability'!$A:$A,$B$4,'Reguler Class Availability'!$I:$I,$B403)</f>
        <v>12</v>
      </c>
      <c r="L403" s="82" t="n">
        <f aca="false">COUNTIFS('Reguler Class Availability'!$A:$A,$B$4,'Reguler Class Availability'!$J:$J,$B403)</f>
        <v>0</v>
      </c>
      <c r="M403" s="82" t="s">
        <v>445</v>
      </c>
    </row>
    <row r="404" customFormat="false" ht="15" hidden="false" customHeight="false" outlineLevel="0" collapsed="false">
      <c r="A404" s="82" t="n">
        <v>4</v>
      </c>
      <c r="B404" s="83" t="s">
        <v>446</v>
      </c>
      <c r="C404" s="84" t="s">
        <v>425</v>
      </c>
      <c r="D404" s="85" t="n">
        <f aca="false">COUNTIFS('Reguler Class Availability'!$A:$A,$B$4,'Reguler Class Availability'!$I:$I,$B404,'Reguler Class Availability'!$C:$C,"* - "&amp;D$400)+COUNTIFS('Reguler Class Availability'!$A:$A,$B$4,'Reguler Class Availability'!$J:$J,$B404,'Reguler Class Availability'!$C:$C,"* - "&amp;D$400)</f>
        <v>0</v>
      </c>
      <c r="E404" s="85" t="n">
        <f aca="false">COUNTIFS('Reguler Class Availability'!$A:$A,$B$4,'Reguler Class Availability'!$I:$I,$B404,'Reguler Class Availability'!$C:$C,"* - "&amp;E$400)+COUNTIFS('Reguler Class Availability'!$A:$A,$B$4,'Reguler Class Availability'!$J:$J,$B404,'Reguler Class Availability'!$C:$C,"* - "&amp;E$400)</f>
        <v>0</v>
      </c>
      <c r="F404" s="85" t="n">
        <f aca="false">COUNTIFS('Reguler Class Availability'!$A:$A,$B$4,'Reguler Class Availability'!$I:$I,$B404,'Reguler Class Availability'!$C:$C,"* - "&amp;F$400)+COUNTIFS('Reguler Class Availability'!$A:$A,$B$4,'Reguler Class Availability'!$J:$J,$B404,'Reguler Class Availability'!$C:$C,"* - "&amp;F$400)</f>
        <v>0</v>
      </c>
      <c r="G404" s="85" t="n">
        <f aca="false">COUNTIFS('Reguler Class Availability'!$A:$A,$B$4,'Reguler Class Availability'!$I:$I,$B404,'Reguler Class Availability'!$C:$C,"* - "&amp;G$400)+COUNTIFS('Reguler Class Availability'!$A:$A,$B$4,'Reguler Class Availability'!$J:$J,$B404,'Reguler Class Availability'!$C:$C,"* - "&amp;G$400)</f>
        <v>1</v>
      </c>
      <c r="H404" s="85" t="n">
        <f aca="false">COUNTIFS('Reguler Class Availability'!$A:$A,$B$4,'Reguler Class Availability'!$I:$I,$B404,'Reguler Class Availability'!$C:$C,"* - "&amp;H$400)+COUNTIFS('Reguler Class Availability'!$A:$A,$B$4,'Reguler Class Availability'!$J:$J,$B404,'Reguler Class Availability'!$C:$C,"* - "&amp;H$400)</f>
        <v>2</v>
      </c>
      <c r="I404" s="85" t="n">
        <f aca="false">COUNTIFS('Reguler Class Availability'!$A:$A,$B$4,'Reguler Class Availability'!$I:$I,$B404,'Reguler Class Availability'!$C:$C,"* - "&amp;I$400)+COUNTIFS('Reguler Class Availability'!$A:$A,$B$4,'Reguler Class Availability'!$J:$J,$B404,'Reguler Class Availability'!$C:$C,"* - "&amp;I$400)</f>
        <v>0</v>
      </c>
      <c r="J404" s="85" t="n">
        <f aca="false">COUNTIFS('Reguler Class Availability'!$A:$A,$B$4,'Reguler Class Availability'!$I:$I,$B404,'Reguler Class Availability'!$C:$C,"* - "&amp;J$400)+COUNTIFS('Reguler Class Availability'!$A:$A,$B$4,'Reguler Class Availability'!$J:$J,$B404,'Reguler Class Availability'!$C:$C,"* - "&amp;J$400)</f>
        <v>1</v>
      </c>
      <c r="K404" s="82" t="n">
        <f aca="false">COUNTIFS('Reguler Class Availability'!$A:$A,$B$4,'Reguler Class Availability'!$I:$I,$B404)</f>
        <v>4</v>
      </c>
      <c r="L404" s="82" t="n">
        <f aca="false">COUNTIFS('Reguler Class Availability'!$A:$A,$B$4,'Reguler Class Availability'!$J:$J,$B404)</f>
        <v>0</v>
      </c>
      <c r="M404" s="82" t="s">
        <v>267</v>
      </c>
    </row>
    <row r="405" customFormat="false" ht="15" hidden="false" customHeight="false" outlineLevel="0" collapsed="false">
      <c r="A405" s="82" t="n">
        <v>5</v>
      </c>
      <c r="B405" s="83" t="s">
        <v>447</v>
      </c>
      <c r="C405" s="84" t="s">
        <v>260</v>
      </c>
      <c r="D405" s="85" t="n">
        <f aca="false">COUNTIFS('Reguler Class Availability'!$A:$A,$B$4,'Reguler Class Availability'!$I:$I,$B405,'Reguler Class Availability'!$C:$C,"* - "&amp;D$400)+COUNTIFS('Reguler Class Availability'!$A:$A,$B$4,'Reguler Class Availability'!$J:$J,$B405,'Reguler Class Availability'!$C:$C,"* - "&amp;D$400)</f>
        <v>0</v>
      </c>
      <c r="E405" s="85" t="n">
        <f aca="false">COUNTIFS('Reguler Class Availability'!$A:$A,$B$4,'Reguler Class Availability'!$I:$I,$B405,'Reguler Class Availability'!$C:$C,"* - "&amp;E$400)+COUNTIFS('Reguler Class Availability'!$A:$A,$B$4,'Reguler Class Availability'!$J:$J,$B405,'Reguler Class Availability'!$C:$C,"* - "&amp;E$400)</f>
        <v>0</v>
      </c>
      <c r="F405" s="85" t="n">
        <f aca="false">COUNTIFS('Reguler Class Availability'!$A:$A,$B$4,'Reguler Class Availability'!$I:$I,$B405,'Reguler Class Availability'!$C:$C,"* - "&amp;F$400)+COUNTIFS('Reguler Class Availability'!$A:$A,$B$4,'Reguler Class Availability'!$J:$J,$B405,'Reguler Class Availability'!$C:$C,"* - "&amp;F$400)</f>
        <v>2</v>
      </c>
      <c r="G405" s="85" t="n">
        <f aca="false">COUNTIFS('Reguler Class Availability'!$A:$A,$B$4,'Reguler Class Availability'!$I:$I,$B405,'Reguler Class Availability'!$C:$C,"* - "&amp;G$400)+COUNTIFS('Reguler Class Availability'!$A:$A,$B$4,'Reguler Class Availability'!$J:$J,$B405,'Reguler Class Availability'!$C:$C,"* - "&amp;G$400)</f>
        <v>0</v>
      </c>
      <c r="H405" s="85" t="n">
        <f aca="false">COUNTIFS('Reguler Class Availability'!$A:$A,$B$4,'Reguler Class Availability'!$I:$I,$B405,'Reguler Class Availability'!$C:$C,"* - "&amp;H$400)+COUNTIFS('Reguler Class Availability'!$A:$A,$B$4,'Reguler Class Availability'!$J:$J,$B405,'Reguler Class Availability'!$C:$C,"* - "&amp;H$400)</f>
        <v>0</v>
      </c>
      <c r="I405" s="85" t="n">
        <f aca="false">COUNTIFS('Reguler Class Availability'!$A:$A,$B$4,'Reguler Class Availability'!$I:$I,$B405,'Reguler Class Availability'!$C:$C,"* - "&amp;I$400)+COUNTIFS('Reguler Class Availability'!$A:$A,$B$4,'Reguler Class Availability'!$J:$J,$B405,'Reguler Class Availability'!$C:$C,"* - "&amp;I$400)</f>
        <v>1</v>
      </c>
      <c r="J405" s="85" t="n">
        <f aca="false">COUNTIFS('Reguler Class Availability'!$A:$A,$B$4,'Reguler Class Availability'!$I:$I,$B405,'Reguler Class Availability'!$C:$C,"* - "&amp;J$400)+COUNTIFS('Reguler Class Availability'!$A:$A,$B$4,'Reguler Class Availability'!$J:$J,$B405,'Reguler Class Availability'!$C:$C,"* - "&amp;J$400)</f>
        <v>1</v>
      </c>
      <c r="K405" s="82" t="n">
        <f aca="false">COUNTIFS('Reguler Class Availability'!$A:$A,$B$4,'Reguler Class Availability'!$I:$I,$B405)</f>
        <v>4</v>
      </c>
      <c r="L405" s="82" t="n">
        <f aca="false">COUNTIFS('Reguler Class Availability'!$A:$A,$B$4,'Reguler Class Availability'!$J:$J,$B405)</f>
        <v>0</v>
      </c>
      <c r="M405" s="82" t="s">
        <v>448</v>
      </c>
    </row>
    <row r="406" customFormat="false" ht="15" hidden="false" customHeight="false" outlineLevel="0" collapsed="false">
      <c r="A406" s="82" t="n">
        <v>6</v>
      </c>
      <c r="B406" s="83" t="s">
        <v>449</v>
      </c>
      <c r="C406" s="84" t="s">
        <v>266</v>
      </c>
      <c r="D406" s="85" t="n">
        <f aca="false">COUNTIFS('Reguler Class Availability'!$A:$A,$B$4,'Reguler Class Availability'!$I:$I,$B406,'Reguler Class Availability'!$C:$C,"* - "&amp;D$400)+COUNTIFS('Reguler Class Availability'!$A:$A,$B$4,'Reguler Class Availability'!$J:$J,$B406,'Reguler Class Availability'!$C:$C,"* - "&amp;D$400)</f>
        <v>0</v>
      </c>
      <c r="E406" s="85" t="n">
        <f aca="false">COUNTIFS('Reguler Class Availability'!$A:$A,$B$4,'Reguler Class Availability'!$I:$I,$B406,'Reguler Class Availability'!$C:$C,"* - "&amp;E$400)+COUNTIFS('Reguler Class Availability'!$A:$A,$B$4,'Reguler Class Availability'!$J:$J,$B406,'Reguler Class Availability'!$C:$C,"* - "&amp;E$400)</f>
        <v>1</v>
      </c>
      <c r="F406" s="85" t="n">
        <f aca="false">COUNTIFS('Reguler Class Availability'!$A:$A,$B$4,'Reguler Class Availability'!$I:$I,$B406,'Reguler Class Availability'!$C:$C,"* - "&amp;F$400)+COUNTIFS('Reguler Class Availability'!$A:$A,$B$4,'Reguler Class Availability'!$J:$J,$B406,'Reguler Class Availability'!$C:$C,"* - "&amp;F$400)</f>
        <v>0</v>
      </c>
      <c r="G406" s="85" t="n">
        <f aca="false">COUNTIFS('Reguler Class Availability'!$A:$A,$B$4,'Reguler Class Availability'!$I:$I,$B406,'Reguler Class Availability'!$C:$C,"* - "&amp;G$400)+COUNTIFS('Reguler Class Availability'!$A:$A,$B$4,'Reguler Class Availability'!$J:$J,$B406,'Reguler Class Availability'!$C:$C,"* - "&amp;G$400)</f>
        <v>0</v>
      </c>
      <c r="H406" s="85" t="n">
        <f aca="false">COUNTIFS('Reguler Class Availability'!$A:$A,$B$4,'Reguler Class Availability'!$I:$I,$B406,'Reguler Class Availability'!$C:$C,"* - "&amp;H$400)+COUNTIFS('Reguler Class Availability'!$A:$A,$B$4,'Reguler Class Availability'!$J:$J,$B406,'Reguler Class Availability'!$C:$C,"* - "&amp;H$400)</f>
        <v>0</v>
      </c>
      <c r="I406" s="85" t="n">
        <f aca="false">COUNTIFS('Reguler Class Availability'!$A:$A,$B$4,'Reguler Class Availability'!$I:$I,$B406,'Reguler Class Availability'!$C:$C,"* - "&amp;I$400)+COUNTIFS('Reguler Class Availability'!$A:$A,$B$4,'Reguler Class Availability'!$J:$J,$B406,'Reguler Class Availability'!$C:$C,"* - "&amp;I$400)</f>
        <v>0</v>
      </c>
      <c r="J406" s="85" t="n">
        <f aca="false">COUNTIFS('Reguler Class Availability'!$A:$A,$B$4,'Reguler Class Availability'!$I:$I,$B406,'Reguler Class Availability'!$C:$C,"* - "&amp;J$400)+COUNTIFS('Reguler Class Availability'!$A:$A,$B$4,'Reguler Class Availability'!$J:$J,$B406,'Reguler Class Availability'!$C:$C,"* - "&amp;J$400)</f>
        <v>0</v>
      </c>
      <c r="K406" s="82" t="n">
        <f aca="false">COUNTIFS('Reguler Class Availability'!$A:$A,$B$4,'Reguler Class Availability'!$I:$I,$B406)</f>
        <v>1</v>
      </c>
      <c r="L406" s="82" t="n">
        <f aca="false">COUNTIFS('Reguler Class Availability'!$A:$A,$B$4,'Reguler Class Availability'!$J:$J,$B406)</f>
        <v>0</v>
      </c>
      <c r="M406" s="82" t="s">
        <v>346</v>
      </c>
    </row>
  </sheetData>
  <autoFilter ref="A126:O395"/>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395">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395">
    <cfRule type="expression" priority="52" aboveAverage="0" equalAverage="0" bottom="0" percent="0" rank="0" text="" dxfId="16">
      <formula>$K127="Jual minggu ini"</formula>
    </cfRule>
  </conditionalFormatting>
  <conditionalFormatting sqref="D401:J406">
    <cfRule type="colorScale" priority="5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27:N395" type="whole">
      <formula1>0</formula1>
      <formula2>20</formula2>
    </dataValidation>
    <dataValidation allowBlank="true" errorStyle="stop" operator="between" showDropDown="false" showErrorMessage="false" showInputMessage="false" sqref="K127:K395" type="list">
      <formula1>"Jual minggu ini,Buka kelas baru,Ganti age group,Tahan,Tutup slot"</formula1>
      <formula2>0</formula2>
    </dataValidation>
    <dataValidation allowBlank="true" errorStyle="stop" operator="between" showDropDown="false" showErrorMessage="false" showInputMessage="false" sqref="L127:L395" type="list">
      <formula1>"Baby,Tiny,Little,Kids,Star"</formula1>
      <formula2>0</formula2>
    </dataValidation>
    <dataValidation allowBlank="true" errorStyle="stop" operator="between" showDropDown="false" showErrorMessage="false" showInputMessage="false" sqref="M127:M395" type="list">
      <formula1>$B$401:$B$406</formula1>
      <formula2>0</formula2>
    </dataValidation>
  </dataValidations>
  <hyperlinks>
    <hyperlink ref="B11" r:id="rId1" location="'TMP'!A12" display="→ Slot Map"/>
    <hyperlink ref="C11" r:id="rId2" location="'TMP'!A124" display="→ Daftar Diskusi"/>
    <hyperlink ref="D11" r:id="rId3" location="'TMP'!A398"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49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450</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69</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0.0908163265306123</v>
      </c>
      <c r="C7" s="42" t="str">
        <f aca="false">SUMIFS('Reguler Class Availability'!$G:$G,'Reguler Class Availability'!$A:$A,$B$4,'Reguler Class Availability'!$F:$F,"&gt;0")&amp;" / "&amp;SUMIFS('Reguler Class Availability'!$F:$F,'Reguler Class Availability'!$A:$A,$B$4,'Reguler Class Availability'!$F:$F,"&gt;0")</f>
        <v>178 / 1960</v>
      </c>
      <c r="D7" s="43" t="n">
        <f aca="false">COUNTIF($AV$1:$BB$1000,"Belum terisi")</f>
        <v>277</v>
      </c>
      <c r="E7" s="44" t="n">
        <f aca="false">COUNTIF($AV$1:$BB$1000,"Kosong")</f>
        <v>84</v>
      </c>
      <c r="F7" s="45" t="n">
        <f aca="false">COUNTIF($AV$1:$BB$1000,"Penuh")</f>
        <v>12</v>
      </c>
      <c r="G7" s="46" t="n">
        <f aca="false">COUNTIF($AV$1:$BB$1000,"Lebih")</f>
        <v>0</v>
      </c>
      <c r="H7" s="47" t="n">
        <f aca="false">COUNTIF($AV$1:$BB$1000,"Tutup")</f>
        <v>0</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1</v>
      </c>
      <c r="BF8" s="0" t="n">
        <f aca="false">BE8+BF7</f>
        <v>1</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1</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1</v>
      </c>
      <c r="BF10" s="30" t="n">
        <f aca="false">BE10+BF9</f>
        <v>2</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0</v>
      </c>
      <c r="BF11" s="30" t="n">
        <f aca="false">BE11+BF10</f>
        <v>2</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4%   ·   Belum terisi: 88   ·   Slot kosong: 0</v>
      </c>
      <c r="D12" s="62"/>
      <c r="E12" s="62"/>
      <c r="F12" s="62"/>
      <c r="G12" s="62"/>
      <c r="H12" s="62"/>
      <c r="BD12" s="30" t="s">
        <v>112</v>
      </c>
      <c r="BE12" s="30" t="n">
        <f aca="false">IF(COUNTIFS('Reguler Class Availability'!$L:$L,$B$4&amp;"|- Lane 1 - *|"&amp;BD12)&gt;0,1,0)</f>
        <v>0</v>
      </c>
      <c r="BF12" s="30" t="n">
        <f aca="false">BE12+BF11</f>
        <v>2</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1</v>
      </c>
      <c r="BF13" s="30" t="n">
        <f aca="false">BE13+BF12</f>
        <v>3</v>
      </c>
    </row>
    <row r="14" customFormat="false" ht="39.75" hidden="false" customHeight="true" outlineLevel="0" collapsed="false">
      <c r="A14" s="66" t="str">
        <f aca="false">IFERROR(INDEX($BD$2:$BD$61,MATCH(1,$BF$2:$BF$61,0)),"")</f>
        <v>07:30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Star  0/8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Star  0/8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Star  0/8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Star  0/8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Star  0/8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Star  0/8  (0%)
coach: –</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Star  0/8  (0%)
coach: –</v>
      </c>
      <c r="AN14" s="30" t="n">
        <f aca="false">IF($A14="","",IFERROR(MATCH($B$4&amp;"|- Lane 1 - "&amp;B$13&amp;"|"&amp;$A14,'Reguler Class Availability'!$L:$L,0),""))</f>
        <v>1976</v>
      </c>
      <c r="AO14" s="30" t="n">
        <f aca="false">IF($A14="","",IFERROR(MATCH($B$4&amp;"|- Lane 1 - "&amp;C$13&amp;"|"&amp;$A14,'Reguler Class Availability'!$L:$L,0),""))</f>
        <v>1977</v>
      </c>
      <c r="AP14" s="30" t="n">
        <f aca="false">IF($A14="","",IFERROR(MATCH($B$4&amp;"|- Lane 1 - "&amp;D$13&amp;"|"&amp;$A14,'Reguler Class Availability'!$L:$L,0),""))</f>
        <v>1978</v>
      </c>
      <c r="AQ14" s="30" t="n">
        <f aca="false">IF($A14="","",IFERROR(MATCH($B$4&amp;"|- Lane 1 - "&amp;E$13&amp;"|"&amp;$A14,'Reguler Class Availability'!$L:$L,0),""))</f>
        <v>1979</v>
      </c>
      <c r="AR14" s="30" t="n">
        <f aca="false">IF($A14="","",IFERROR(MATCH($B$4&amp;"|- Lane 1 - "&amp;F$13&amp;"|"&amp;$A14,'Reguler Class Availability'!$L:$L,0),""))</f>
        <v>1980</v>
      </c>
      <c r="AS14" s="30" t="n">
        <f aca="false">IF($A14="","",IFERROR(MATCH($B$4&amp;"|- Lane 1 - "&amp;G$13&amp;"|"&amp;$A14,'Reguler Class Availability'!$L:$L,0),""))</f>
        <v>1981</v>
      </c>
      <c r="AT14" s="30" t="n">
        <f aca="false">IF($A14="","",IFERROR(MATCH($B$4&amp;"|- Lane 1 - "&amp;H$13&amp;"|"&amp;$A14,'Reguler Class Availability'!$L:$L,0),""))</f>
        <v>1982</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Belum terisi</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0</v>
      </c>
      <c r="BF14" s="30" t="n">
        <f aca="false">BE14+BF13</f>
        <v>3</v>
      </c>
    </row>
    <row r="15" customFormat="false" ht="39.75" hidden="false" customHeight="true" outlineLevel="0" collapsed="false">
      <c r="A15" s="66" t="str">
        <f aca="false">IFERROR(INDEX($BD$2:$BD$61,MATCH(2,$BF$2:$BF$61,0)),"")</f>
        <v>08:00</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Baby  0/5  (0%)
coach: –</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Baby  0/5  (0%)
coach: –</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Baby  0/5  (0%)
coach: –</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Baby  0/5  (0%)
coach: –</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Baby  0/5  (0%)
coach: –</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Baby  0/5  (0%)
coach: –</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Baby  0/5  (0%)
coach: –</v>
      </c>
      <c r="AN15" s="30" t="n">
        <f aca="false">IF($A15="","",IFERROR(MATCH($B$4&amp;"|- Lane 1 - "&amp;B$13&amp;"|"&amp;$A15,'Reguler Class Availability'!$L:$L,0),""))</f>
        <v>1892</v>
      </c>
      <c r="AO15" s="30" t="n">
        <f aca="false">IF($A15="","",IFERROR(MATCH($B$4&amp;"|- Lane 1 - "&amp;C$13&amp;"|"&amp;$A15,'Reguler Class Availability'!$L:$L,0),""))</f>
        <v>1904</v>
      </c>
      <c r="AP15" s="30" t="n">
        <f aca="false">IF($A15="","",IFERROR(MATCH($B$4&amp;"|- Lane 1 - "&amp;D$13&amp;"|"&amp;$A15,'Reguler Class Availability'!$L:$L,0),""))</f>
        <v>1916</v>
      </c>
      <c r="AQ15" s="30" t="n">
        <f aca="false">IF($A15="","",IFERROR(MATCH($B$4&amp;"|- Lane 1 - "&amp;E$13&amp;"|"&amp;$A15,'Reguler Class Availability'!$L:$L,0),""))</f>
        <v>1928</v>
      </c>
      <c r="AR15" s="30" t="n">
        <f aca="false">IF($A15="","",IFERROR(MATCH($B$4&amp;"|- Lane 1 - "&amp;F$13&amp;"|"&amp;$A15,'Reguler Class Availability'!$L:$L,0),""))</f>
        <v>1940</v>
      </c>
      <c r="AS15" s="30" t="n">
        <f aca="false">IF($A15="","",IFERROR(MATCH($B$4&amp;"|- Lane 1 - "&amp;G$13&amp;"|"&amp;$A15,'Reguler Class Availability'!$L:$L,0),""))</f>
        <v>1952</v>
      </c>
      <c r="AT15" s="30" t="n">
        <f aca="false">IF($A15="","",IFERROR(MATCH($B$4&amp;"|- Lane 1 - "&amp;H$13&amp;"|"&amp;$A15,'Reguler Class Availability'!$L:$L,0),""))</f>
        <v>1964</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Belum terisi</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Belum terisi</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Belum terisi</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Belum terisi</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Belum terisi</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Belum terisi</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Belum terisi</v>
      </c>
      <c r="BD15" s="30" t="s">
        <v>122</v>
      </c>
      <c r="BE15" s="30" t="n">
        <f aca="false">IF(COUNTIFS('Reguler Class Availability'!$L:$L,$B$4&amp;"|- Lane 1 - *|"&amp;BD15)&gt;0,1,0)</f>
        <v>0</v>
      </c>
      <c r="BF15" s="30" t="n">
        <f aca="false">BE15+BF14</f>
        <v>3</v>
      </c>
    </row>
    <row r="16" customFormat="false" ht="39.75" hidden="false" customHeight="true" outlineLevel="0" collapsed="false">
      <c r="A16" s="66" t="str">
        <f aca="false">IFERROR(INDEX($BD$2:$BD$61,MATCH(3,$BF$2:$BF$61,0)),"")</f>
        <v>08:45</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Baby  0/5  (0%)
coach: –</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Baby  2/5  (40%)
Doni</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Baby  0/5  (0%)
coach: –</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Baby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Baby  1/5  (20%)
Alfi</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Baby  1/5  (20%)
Tara</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Baby  0/5  (0%)
coach: –</v>
      </c>
      <c r="AN16" s="30" t="n">
        <f aca="false">IF($A16="","",IFERROR(MATCH($B$4&amp;"|- Lane 1 - "&amp;B$13&amp;"|"&amp;$A16,'Reguler Class Availability'!$L:$L,0),""))</f>
        <v>1893</v>
      </c>
      <c r="AO16" s="30" t="n">
        <f aca="false">IF($A16="","",IFERROR(MATCH($B$4&amp;"|- Lane 1 - "&amp;C$13&amp;"|"&amp;$A16,'Reguler Class Availability'!$L:$L,0),""))</f>
        <v>1905</v>
      </c>
      <c r="AP16" s="30" t="n">
        <f aca="false">IF($A16="","",IFERROR(MATCH($B$4&amp;"|- Lane 1 - "&amp;D$13&amp;"|"&amp;$A16,'Reguler Class Availability'!$L:$L,0),""))</f>
        <v>1917</v>
      </c>
      <c r="AQ16" s="30" t="n">
        <f aca="false">IF($A16="","",IFERROR(MATCH($B$4&amp;"|- Lane 1 - "&amp;E$13&amp;"|"&amp;$A16,'Reguler Class Availability'!$L:$L,0),""))</f>
        <v>1929</v>
      </c>
      <c r="AR16" s="30" t="n">
        <f aca="false">IF($A16="","",IFERROR(MATCH($B$4&amp;"|- Lane 1 - "&amp;F$13&amp;"|"&amp;$A16,'Reguler Class Availability'!$L:$L,0),""))</f>
        <v>1941</v>
      </c>
      <c r="AS16" s="30" t="n">
        <f aca="false">IF($A16="","",IFERROR(MATCH($B$4&amp;"|- Lane 1 - "&amp;G$13&amp;"|"&amp;$A16,'Reguler Class Availability'!$L:$L,0),""))</f>
        <v>1953</v>
      </c>
      <c r="AT16" s="30" t="n">
        <f aca="false">IF($A16="","",IFERROR(MATCH($B$4&amp;"|- Lane 1 - "&amp;H$13&amp;"|"&amp;$A16,'Reguler Class Availability'!$L:$L,0),""))</f>
        <v>1965</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Belum terisi</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Sebagian</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Belum terisi</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Belum terisi</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Sebagian</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Sebagian</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Belum terisi</v>
      </c>
      <c r="BD16" s="30" t="s">
        <v>123</v>
      </c>
      <c r="BE16" s="30" t="n">
        <f aca="false">IF(COUNTIFS('Reguler Class Availability'!$L:$L,$B$4&amp;"|- Lane 1 - *|"&amp;BD16)&gt;0,1,0)</f>
        <v>1</v>
      </c>
      <c r="BF16" s="30" t="n">
        <f aca="false">BE16+BF15</f>
        <v>4</v>
      </c>
    </row>
    <row r="17" customFormat="false" ht="39.75" hidden="false" customHeight="true" outlineLevel="0" collapsed="false">
      <c r="A17" s="66" t="str">
        <f aca="false">IFERROR(INDEX($BD$2:$BD$61,MATCH(4,$BF$2:$BF$61,0)),"")</f>
        <v>09:30</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Baby  0/5  (0%)
coach: –</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Baby  0/5  (0%)
coach: –</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Baby  5/5  (100%)
Shofi</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Baby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Baby  0/5  (0%)
coach: –</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5/5  (100%)
Shofi</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2/5  (40%)
Doni</v>
      </c>
      <c r="AN17" s="30" t="n">
        <f aca="false">IF($A17="","",IFERROR(MATCH($B$4&amp;"|- Lane 1 - "&amp;B$13&amp;"|"&amp;$A17,'Reguler Class Availability'!$L:$L,0),""))</f>
        <v>1894</v>
      </c>
      <c r="AO17" s="30" t="n">
        <f aca="false">IF($A17="","",IFERROR(MATCH($B$4&amp;"|- Lane 1 - "&amp;C$13&amp;"|"&amp;$A17,'Reguler Class Availability'!$L:$L,0),""))</f>
        <v>1906</v>
      </c>
      <c r="AP17" s="30" t="n">
        <f aca="false">IF($A17="","",IFERROR(MATCH($B$4&amp;"|- Lane 1 - "&amp;D$13&amp;"|"&amp;$A17,'Reguler Class Availability'!$L:$L,0),""))</f>
        <v>1918</v>
      </c>
      <c r="AQ17" s="30" t="n">
        <f aca="false">IF($A17="","",IFERROR(MATCH($B$4&amp;"|- Lane 1 - "&amp;E$13&amp;"|"&amp;$A17,'Reguler Class Availability'!$L:$L,0),""))</f>
        <v>1930</v>
      </c>
      <c r="AR17" s="30" t="n">
        <f aca="false">IF($A17="","",IFERROR(MATCH($B$4&amp;"|- Lane 1 - "&amp;F$13&amp;"|"&amp;$A17,'Reguler Class Availability'!$L:$L,0),""))</f>
        <v>1942</v>
      </c>
      <c r="AS17" s="30" t="n">
        <f aca="false">IF($A17="","",IFERROR(MATCH($B$4&amp;"|- Lane 1 - "&amp;G$13&amp;"|"&amp;$A17,'Reguler Class Availability'!$L:$L,0),""))</f>
        <v>1954</v>
      </c>
      <c r="AT17" s="30" t="n">
        <f aca="false">IF($A17="","",IFERROR(MATCH($B$4&amp;"|- Lane 1 - "&amp;H$13&amp;"|"&amp;$A17,'Reguler Class Availability'!$L:$L,0),""))</f>
        <v>1966</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Belum terisi</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Belum terisi</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Penuh</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Belum terisi</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Belum terisi</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Penuh</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Sebagian</v>
      </c>
      <c r="BD17" s="30" t="s">
        <v>124</v>
      </c>
      <c r="BE17" s="30" t="n">
        <f aca="false">IF(COUNTIFS('Reguler Class Availability'!$L:$L,$B$4&amp;"|- Lane 1 - *|"&amp;BD17)&gt;0,1,0)</f>
        <v>0</v>
      </c>
      <c r="BF17" s="30" t="n">
        <f aca="false">BE17+BF16</f>
        <v>4</v>
      </c>
    </row>
    <row r="18" customFormat="false" ht="39.75" hidden="false" customHeight="true" outlineLevel="0" collapsed="false">
      <c r="A18" s="66" t="str">
        <f aca="false">IFERROR(INDEX($BD$2:$BD$61,MATCH(5,$BF$2:$BF$61,0)),"")</f>
        <v>10:15</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Baby  0/5  (0%)
coach: –</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Baby  0/5  (0%)
coach: –</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Baby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Baby  1/5  (20%)
Alfi</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Baby  0/5  (0%)
coach: –</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Baby  0/5  (0%)
coach: –</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Baby  0/5  (0%)
coach: –</v>
      </c>
      <c r="AN18" s="30" t="n">
        <f aca="false">IF($A18="","",IFERROR(MATCH($B$4&amp;"|- Lane 1 - "&amp;B$13&amp;"|"&amp;$A18,'Reguler Class Availability'!$L:$L,0),""))</f>
        <v>1895</v>
      </c>
      <c r="AO18" s="30" t="n">
        <f aca="false">IF($A18="","",IFERROR(MATCH($B$4&amp;"|- Lane 1 - "&amp;C$13&amp;"|"&amp;$A18,'Reguler Class Availability'!$L:$L,0),""))</f>
        <v>1907</v>
      </c>
      <c r="AP18" s="30" t="n">
        <f aca="false">IF($A18="","",IFERROR(MATCH($B$4&amp;"|- Lane 1 - "&amp;D$13&amp;"|"&amp;$A18,'Reguler Class Availability'!$L:$L,0),""))</f>
        <v>1919</v>
      </c>
      <c r="AQ18" s="30" t="n">
        <f aca="false">IF($A18="","",IFERROR(MATCH($B$4&amp;"|- Lane 1 - "&amp;E$13&amp;"|"&amp;$A18,'Reguler Class Availability'!$L:$L,0),""))</f>
        <v>1931</v>
      </c>
      <c r="AR18" s="30" t="n">
        <f aca="false">IF($A18="","",IFERROR(MATCH($B$4&amp;"|- Lane 1 - "&amp;F$13&amp;"|"&amp;$A18,'Reguler Class Availability'!$L:$L,0),""))</f>
        <v>1943</v>
      </c>
      <c r="AS18" s="30" t="n">
        <f aca="false">IF($A18="","",IFERROR(MATCH($B$4&amp;"|- Lane 1 - "&amp;G$13&amp;"|"&amp;$A18,'Reguler Class Availability'!$L:$L,0),""))</f>
        <v>1955</v>
      </c>
      <c r="AT18" s="30" t="n">
        <f aca="false">IF($A18="","",IFERROR(MATCH($B$4&amp;"|- Lane 1 - "&amp;H$13&amp;"|"&amp;$A18,'Reguler Class Availability'!$L:$L,0),""))</f>
        <v>1967</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Belum terisi</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Belum terisi</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Belum terisi</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Sebagian</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Belum terisi</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Belum terisi</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Belum terisi</v>
      </c>
      <c r="BD18" s="30" t="s">
        <v>125</v>
      </c>
      <c r="BE18" s="30" t="n">
        <f aca="false">IF(COUNTIFS('Reguler Class Availability'!$L:$L,$B$4&amp;"|- Lane 1 - *|"&amp;BD18)&gt;0,1,0)</f>
        <v>0</v>
      </c>
      <c r="BF18" s="30" t="n">
        <f aca="false">BE18+BF17</f>
        <v>4</v>
      </c>
    </row>
    <row r="19" customFormat="false" ht="39.75" hidden="false" customHeight="true" outlineLevel="0" collapsed="false">
      <c r="A19" s="66" t="str">
        <f aca="false">IFERROR(INDEX($BD$2:$BD$61,MATCH(6,$BF$2:$BF$61,0)),"")</f>
        <v>11:00</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Baby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0/5  (0%)
coach: –</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0/5  (0%)
coach: –</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Baby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Baby  0/5  (0%)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Baby  0/5  (0%)
coach: –</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Baby  0/5  (0%)
coach: –</v>
      </c>
      <c r="AN19" s="30" t="n">
        <f aca="false">IF($A19="","",IFERROR(MATCH($B$4&amp;"|- Lane 1 - "&amp;B$13&amp;"|"&amp;$A19,'Reguler Class Availability'!$L:$L,0),""))</f>
        <v>1896</v>
      </c>
      <c r="AO19" s="30" t="n">
        <f aca="false">IF($A19="","",IFERROR(MATCH($B$4&amp;"|- Lane 1 - "&amp;C$13&amp;"|"&amp;$A19,'Reguler Class Availability'!$L:$L,0),""))</f>
        <v>1908</v>
      </c>
      <c r="AP19" s="30" t="n">
        <f aca="false">IF($A19="","",IFERROR(MATCH($B$4&amp;"|- Lane 1 - "&amp;D$13&amp;"|"&amp;$A19,'Reguler Class Availability'!$L:$L,0),""))</f>
        <v>1920</v>
      </c>
      <c r="AQ19" s="30" t="n">
        <f aca="false">IF($A19="","",IFERROR(MATCH($B$4&amp;"|- Lane 1 - "&amp;E$13&amp;"|"&amp;$A19,'Reguler Class Availability'!$L:$L,0),""))</f>
        <v>1932</v>
      </c>
      <c r="AR19" s="30" t="n">
        <f aca="false">IF($A19="","",IFERROR(MATCH($B$4&amp;"|- Lane 1 - "&amp;F$13&amp;"|"&amp;$A19,'Reguler Class Availability'!$L:$L,0),""))</f>
        <v>1944</v>
      </c>
      <c r="AS19" s="30" t="n">
        <f aca="false">IF($A19="","",IFERROR(MATCH($B$4&amp;"|- Lane 1 - "&amp;G$13&amp;"|"&amp;$A19,'Reguler Class Availability'!$L:$L,0),""))</f>
        <v>1956</v>
      </c>
      <c r="AT19" s="30" t="n">
        <f aca="false">IF($A19="","",IFERROR(MATCH($B$4&amp;"|- Lane 1 - "&amp;H$13&amp;"|"&amp;$A19,'Reguler Class Availability'!$L:$L,0),""))</f>
        <v>1968</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Belum terisi</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Belum terisi</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Belum terisi</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Belum terisi</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Belum terisi</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Belum terisi</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Belum terisi</v>
      </c>
      <c r="BD19" s="30" t="s">
        <v>126</v>
      </c>
      <c r="BE19" s="30" t="n">
        <f aca="false">IF(COUNTIFS('Reguler Class Availability'!$L:$L,$B$4&amp;"|- Lane 1 - *|"&amp;BD19)&gt;0,1,0)</f>
        <v>1</v>
      </c>
      <c r="BF19" s="30" t="n">
        <f aca="false">BE19+BF18</f>
        <v>5</v>
      </c>
    </row>
    <row r="20" customFormat="false" ht="39.75" hidden="false" customHeight="true" outlineLevel="0" collapsed="false">
      <c r="A20" s="66" t="str">
        <f aca="false">IFERROR(INDEX($BD$2:$BD$61,MATCH(7,$BF$2:$BF$61,0)),"")</f>
        <v>11:45</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Baby  0/5  (0%)
coach: –</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Baby  0/5  (0%)
coach: –</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Baby  0/5  (0%)
coach: –</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Baby  0/5  (0%)
coach: –</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Baby  0/5  (0%)
coach: –</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Baby  1/5  (20%)
Alfi</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Baby  0/5  (0%)
coach: –</v>
      </c>
      <c r="AN20" s="30" t="n">
        <f aca="false">IF($A20="","",IFERROR(MATCH($B$4&amp;"|- Lane 1 - "&amp;B$13&amp;"|"&amp;$A20,'Reguler Class Availability'!$L:$L,0),""))</f>
        <v>1897</v>
      </c>
      <c r="AO20" s="30" t="n">
        <f aca="false">IF($A20="","",IFERROR(MATCH($B$4&amp;"|- Lane 1 - "&amp;C$13&amp;"|"&amp;$A20,'Reguler Class Availability'!$L:$L,0),""))</f>
        <v>1909</v>
      </c>
      <c r="AP20" s="30" t="n">
        <f aca="false">IF($A20="","",IFERROR(MATCH($B$4&amp;"|- Lane 1 - "&amp;D$13&amp;"|"&amp;$A20,'Reguler Class Availability'!$L:$L,0),""))</f>
        <v>1921</v>
      </c>
      <c r="AQ20" s="30" t="n">
        <f aca="false">IF($A20="","",IFERROR(MATCH($B$4&amp;"|- Lane 1 - "&amp;E$13&amp;"|"&amp;$A20,'Reguler Class Availability'!$L:$L,0),""))</f>
        <v>1933</v>
      </c>
      <c r="AR20" s="30" t="n">
        <f aca="false">IF($A20="","",IFERROR(MATCH($B$4&amp;"|- Lane 1 - "&amp;F$13&amp;"|"&amp;$A20,'Reguler Class Availability'!$L:$L,0),""))</f>
        <v>1945</v>
      </c>
      <c r="AS20" s="30" t="n">
        <f aca="false">IF($A20="","",IFERROR(MATCH($B$4&amp;"|- Lane 1 - "&amp;G$13&amp;"|"&amp;$A20,'Reguler Class Availability'!$L:$L,0),""))</f>
        <v>1957</v>
      </c>
      <c r="AT20" s="30" t="n">
        <f aca="false">IF($A20="","",IFERROR(MATCH($B$4&amp;"|- Lane 1 - "&amp;H$13&amp;"|"&amp;$A20,'Reguler Class Availability'!$L:$L,0),""))</f>
        <v>1969</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Belum terisi</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Belum terisi</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Belum terisi</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Belum terisi</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Belum terisi</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Sebagian</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Belum terisi</v>
      </c>
      <c r="BD20" s="30" t="s">
        <v>127</v>
      </c>
      <c r="BE20" s="30" t="n">
        <f aca="false">IF(COUNTIFS('Reguler Class Availability'!$L:$L,$B$4&amp;"|- Lane 1 - *|"&amp;BD20)&gt;0,1,0)</f>
        <v>0</v>
      </c>
      <c r="BF20" s="30" t="n">
        <f aca="false">BE20+BF19</f>
        <v>5</v>
      </c>
    </row>
    <row r="21" customFormat="false" ht="39.75" hidden="false" customHeight="true" outlineLevel="0" collapsed="false">
      <c r="A21" s="66" t="str">
        <f aca="false">IFERROR(INDEX($BD$2:$BD$61,MATCH(8,$BF$2:$BF$61,0)),"")</f>
        <v>13:15</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Baby  0/5  (0%)
coach: –</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Baby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Baby  0/5  (0%)
coach: –</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Baby  0/5  (0%)
coach: –</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Baby  0/5  (0%)
coach: –</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2/5  (40%)
Shofi</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0/5  (0%)
coach: –</v>
      </c>
      <c r="AN21" s="30" t="n">
        <f aca="false">IF($A21="","",IFERROR(MATCH($B$4&amp;"|- Lane 1 - "&amp;B$13&amp;"|"&amp;$A21,'Reguler Class Availability'!$L:$L,0),""))</f>
        <v>1898</v>
      </c>
      <c r="AO21" s="30" t="n">
        <f aca="false">IF($A21="","",IFERROR(MATCH($B$4&amp;"|- Lane 1 - "&amp;C$13&amp;"|"&amp;$A21,'Reguler Class Availability'!$L:$L,0),""))</f>
        <v>1910</v>
      </c>
      <c r="AP21" s="30" t="n">
        <f aca="false">IF($A21="","",IFERROR(MATCH($B$4&amp;"|- Lane 1 - "&amp;D$13&amp;"|"&amp;$A21,'Reguler Class Availability'!$L:$L,0),""))</f>
        <v>1922</v>
      </c>
      <c r="AQ21" s="30" t="n">
        <f aca="false">IF($A21="","",IFERROR(MATCH($B$4&amp;"|- Lane 1 - "&amp;E$13&amp;"|"&amp;$A21,'Reguler Class Availability'!$L:$L,0),""))</f>
        <v>1934</v>
      </c>
      <c r="AR21" s="30" t="n">
        <f aca="false">IF($A21="","",IFERROR(MATCH($B$4&amp;"|- Lane 1 - "&amp;F$13&amp;"|"&amp;$A21,'Reguler Class Availability'!$L:$L,0),""))</f>
        <v>1946</v>
      </c>
      <c r="AS21" s="30" t="n">
        <f aca="false">IF($A21="","",IFERROR(MATCH($B$4&amp;"|- Lane 1 - "&amp;G$13&amp;"|"&amp;$A21,'Reguler Class Availability'!$L:$L,0),""))</f>
        <v>1958</v>
      </c>
      <c r="AT21" s="30" t="n">
        <f aca="false">IF($A21="","",IFERROR(MATCH($B$4&amp;"|- Lane 1 - "&amp;H$13&amp;"|"&amp;$A21,'Reguler Class Availability'!$L:$L,0),""))</f>
        <v>1970</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Belum terisi</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Belum terisi</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Belum terisi</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Belum terisi</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Belum terisi</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Sebagian</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Belum terisi</v>
      </c>
      <c r="BD21" s="30" t="s">
        <v>128</v>
      </c>
      <c r="BE21" s="30" t="n">
        <f aca="false">IF(COUNTIFS('Reguler Class Availability'!$L:$L,$B$4&amp;"|- Lane 1 - *|"&amp;BD21)&gt;0,1,0)</f>
        <v>0</v>
      </c>
      <c r="BF21" s="30" t="n">
        <f aca="false">BE21+BF20</f>
        <v>5</v>
      </c>
    </row>
    <row r="22" customFormat="false" ht="39.75" hidden="false" customHeight="true" outlineLevel="0" collapsed="false">
      <c r="A22" s="66" t="str">
        <f aca="false">IFERROR(INDEX($BD$2:$BD$61,MATCH(9,$BF$2:$BF$61,0)),"")</f>
        <v>14:00</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Baby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Baby  1/5  (20%)
Doni</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Baby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Baby  0/5  (0%)
coach: –</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Baby  0/5  (0%)
coach: –</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Baby  0/5  (0%)
coach: –</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Baby  0/5  (0%)
coach: –</v>
      </c>
      <c r="AN22" s="30" t="n">
        <f aca="false">IF($A22="","",IFERROR(MATCH($B$4&amp;"|- Lane 1 - "&amp;B$13&amp;"|"&amp;$A22,'Reguler Class Availability'!$L:$L,0),""))</f>
        <v>1899</v>
      </c>
      <c r="AO22" s="30" t="n">
        <f aca="false">IF($A22="","",IFERROR(MATCH($B$4&amp;"|- Lane 1 - "&amp;C$13&amp;"|"&amp;$A22,'Reguler Class Availability'!$L:$L,0),""))</f>
        <v>1911</v>
      </c>
      <c r="AP22" s="30" t="n">
        <f aca="false">IF($A22="","",IFERROR(MATCH($B$4&amp;"|- Lane 1 - "&amp;D$13&amp;"|"&amp;$A22,'Reguler Class Availability'!$L:$L,0),""))</f>
        <v>1923</v>
      </c>
      <c r="AQ22" s="30" t="n">
        <f aca="false">IF($A22="","",IFERROR(MATCH($B$4&amp;"|- Lane 1 - "&amp;E$13&amp;"|"&amp;$A22,'Reguler Class Availability'!$L:$L,0),""))</f>
        <v>1935</v>
      </c>
      <c r="AR22" s="30" t="n">
        <f aca="false">IF($A22="","",IFERROR(MATCH($B$4&amp;"|- Lane 1 - "&amp;F$13&amp;"|"&amp;$A22,'Reguler Class Availability'!$L:$L,0),""))</f>
        <v>1947</v>
      </c>
      <c r="AS22" s="30" t="n">
        <f aca="false">IF($A22="","",IFERROR(MATCH($B$4&amp;"|- Lane 1 - "&amp;G$13&amp;"|"&amp;$A22,'Reguler Class Availability'!$L:$L,0),""))</f>
        <v>1959</v>
      </c>
      <c r="AT22" s="30" t="n">
        <f aca="false">IF($A22="","",IFERROR(MATCH($B$4&amp;"|- Lane 1 - "&amp;H$13&amp;"|"&amp;$A22,'Reguler Class Availability'!$L:$L,0),""))</f>
        <v>1971</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Belum terisi</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Sebagian</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Belum terisi</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Belum terisi</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Belum terisi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Belum terisi</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Belum terisi</v>
      </c>
      <c r="BD22" s="30" t="s">
        <v>129</v>
      </c>
      <c r="BE22" s="30" t="n">
        <f aca="false">IF(COUNTIFS('Reguler Class Availability'!$L:$L,$B$4&amp;"|- Lane 1 - *|"&amp;BD22)&gt;0,1,0)</f>
        <v>1</v>
      </c>
      <c r="BF22" s="30" t="n">
        <f aca="false">BE22+BF21</f>
        <v>6</v>
      </c>
    </row>
    <row r="23" customFormat="false" ht="39.75" hidden="false" customHeight="true" outlineLevel="0" collapsed="false">
      <c r="A23" s="66" t="str">
        <f aca="false">IFERROR(INDEX($BD$2:$BD$61,MATCH(10,$BF$2:$BF$61,0)),"")</f>
        <v>14:45</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Baby  0/5  (0%)
coach: –</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Baby  0/5  (0%)
coach: –</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Baby  0/5  (0%)
coach: –</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0/5  (0%)
coach: –</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Baby  0/5  (0%)
coach: –</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0/5  (0%)
coach: –</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0/5  (0%)
coach: –</v>
      </c>
      <c r="AN23" s="30" t="n">
        <f aca="false">IF($A23="","",IFERROR(MATCH($B$4&amp;"|- Lane 1 - "&amp;B$13&amp;"|"&amp;$A23,'Reguler Class Availability'!$L:$L,0),""))</f>
        <v>1900</v>
      </c>
      <c r="AO23" s="30" t="n">
        <f aca="false">IF($A23="","",IFERROR(MATCH($B$4&amp;"|- Lane 1 - "&amp;C$13&amp;"|"&amp;$A23,'Reguler Class Availability'!$L:$L,0),""))</f>
        <v>1912</v>
      </c>
      <c r="AP23" s="30" t="n">
        <f aca="false">IF($A23="","",IFERROR(MATCH($B$4&amp;"|- Lane 1 - "&amp;D$13&amp;"|"&amp;$A23,'Reguler Class Availability'!$L:$L,0),""))</f>
        <v>1924</v>
      </c>
      <c r="AQ23" s="30" t="n">
        <f aca="false">IF($A23="","",IFERROR(MATCH($B$4&amp;"|- Lane 1 - "&amp;E$13&amp;"|"&amp;$A23,'Reguler Class Availability'!$L:$L,0),""))</f>
        <v>1936</v>
      </c>
      <c r="AR23" s="30" t="n">
        <f aca="false">IF($A23="","",IFERROR(MATCH($B$4&amp;"|- Lane 1 - "&amp;F$13&amp;"|"&amp;$A23,'Reguler Class Availability'!$L:$L,0),""))</f>
        <v>1948</v>
      </c>
      <c r="AS23" s="30" t="n">
        <f aca="false">IF($A23="","",IFERROR(MATCH($B$4&amp;"|- Lane 1 - "&amp;G$13&amp;"|"&amp;$A23,'Reguler Class Availability'!$L:$L,0),""))</f>
        <v>1960</v>
      </c>
      <c r="AT23" s="30" t="n">
        <f aca="false">IF($A23="","",IFERROR(MATCH($B$4&amp;"|- Lane 1 - "&amp;H$13&amp;"|"&amp;$A23,'Reguler Class Availability'!$L:$L,0),""))</f>
        <v>1972</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Belum terisi</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Belum terisi</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Belum terisi</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Belum terisi</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Belum terisi</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Belum terisi</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Belum terisi</v>
      </c>
      <c r="BD23" s="30" t="s">
        <v>130</v>
      </c>
      <c r="BE23" s="30" t="n">
        <f aca="false">IF(COUNTIFS('Reguler Class Availability'!$L:$L,$B$4&amp;"|- Lane 1 - *|"&amp;BD23)&gt;0,1,0)</f>
        <v>0</v>
      </c>
      <c r="BF23" s="30" t="n">
        <f aca="false">BE23+BF22</f>
        <v>6</v>
      </c>
    </row>
    <row r="24" customFormat="false" ht="39.75" hidden="false" customHeight="true" outlineLevel="0" collapsed="false">
      <c r="A24" s="66" t="str">
        <f aca="false">IFERROR(INDEX($BD$2:$BD$61,MATCH(11,$BF$2:$BF$61,0)),"")</f>
        <v>15:30</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Baby  0/5  (0%)
coach: –</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Baby  0/5  (0%)
coach: –</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Baby  0/5  (0%)
coach: –</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Baby  0/5  (0%)
coach: –</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Baby  0/5  (0%)
coach: –</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Baby  0/5  (0%)
coach: –</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Baby  0/5  (0%)
coach: –</v>
      </c>
      <c r="AN24" s="30" t="n">
        <f aca="false">IF($A24="","",IFERROR(MATCH($B$4&amp;"|- Lane 1 - "&amp;B$13&amp;"|"&amp;$A24,'Reguler Class Availability'!$L:$L,0),""))</f>
        <v>1901</v>
      </c>
      <c r="AO24" s="30" t="n">
        <f aca="false">IF($A24="","",IFERROR(MATCH($B$4&amp;"|- Lane 1 - "&amp;C$13&amp;"|"&amp;$A24,'Reguler Class Availability'!$L:$L,0),""))</f>
        <v>1913</v>
      </c>
      <c r="AP24" s="30" t="n">
        <f aca="false">IF($A24="","",IFERROR(MATCH($B$4&amp;"|- Lane 1 - "&amp;D$13&amp;"|"&amp;$A24,'Reguler Class Availability'!$L:$L,0),""))</f>
        <v>1925</v>
      </c>
      <c r="AQ24" s="30" t="n">
        <f aca="false">IF($A24="","",IFERROR(MATCH($B$4&amp;"|- Lane 1 - "&amp;E$13&amp;"|"&amp;$A24,'Reguler Class Availability'!$L:$L,0),""))</f>
        <v>1937</v>
      </c>
      <c r="AR24" s="30" t="n">
        <f aca="false">IF($A24="","",IFERROR(MATCH($B$4&amp;"|- Lane 1 - "&amp;F$13&amp;"|"&amp;$A24,'Reguler Class Availability'!$L:$L,0),""))</f>
        <v>1949</v>
      </c>
      <c r="AS24" s="30" t="n">
        <f aca="false">IF($A24="","",IFERROR(MATCH($B$4&amp;"|- Lane 1 - "&amp;G$13&amp;"|"&amp;$A24,'Reguler Class Availability'!$L:$L,0),""))</f>
        <v>1961</v>
      </c>
      <c r="AT24" s="30" t="n">
        <f aca="false">IF($A24="","",IFERROR(MATCH($B$4&amp;"|- Lane 1 - "&amp;H$13&amp;"|"&amp;$A24,'Reguler Class Availability'!$L:$L,0),""))</f>
        <v>1973</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Belum terisi</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Belum terisi</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Belum terisi</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Belum terisi</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Belum terisi</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Belum terisi</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Belum terisi</v>
      </c>
      <c r="BD24" s="30" t="s">
        <v>131</v>
      </c>
      <c r="BE24" s="30" t="n">
        <f aca="false">IF(COUNTIFS('Reguler Class Availability'!$L:$L,$B$4&amp;"|- Lane 1 - *|"&amp;BD24)&gt;0,1,0)</f>
        <v>0</v>
      </c>
      <c r="BF24" s="30" t="n">
        <f aca="false">BE24+BF23</f>
        <v>6</v>
      </c>
    </row>
    <row r="25" customFormat="false" ht="39.75" hidden="false" customHeight="true" outlineLevel="0" collapsed="false">
      <c r="A25" s="66" t="str">
        <f aca="false">IFERROR(INDEX($BD$2:$BD$61,MATCH(12,$BF$2:$BF$61,0)),"")</f>
        <v>16:15</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Baby  0/5  (0%)
coach: –</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Baby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Baby  0/5  (0%)
coach: –</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Baby  0/5  (0%)
coach: –</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Baby  0/5  (0%)
coach: –</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0/5  (0%)
coach: –</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Baby  0/5  (0%)
coach: –</v>
      </c>
      <c r="AN25" s="30" t="n">
        <f aca="false">IF($A25="","",IFERROR(MATCH($B$4&amp;"|- Lane 1 - "&amp;B$13&amp;"|"&amp;$A25,'Reguler Class Availability'!$L:$L,0),""))</f>
        <v>1902</v>
      </c>
      <c r="AO25" s="30" t="n">
        <f aca="false">IF($A25="","",IFERROR(MATCH($B$4&amp;"|- Lane 1 - "&amp;C$13&amp;"|"&amp;$A25,'Reguler Class Availability'!$L:$L,0),""))</f>
        <v>1914</v>
      </c>
      <c r="AP25" s="30" t="n">
        <f aca="false">IF($A25="","",IFERROR(MATCH($B$4&amp;"|- Lane 1 - "&amp;D$13&amp;"|"&amp;$A25,'Reguler Class Availability'!$L:$L,0),""))</f>
        <v>1926</v>
      </c>
      <c r="AQ25" s="30" t="n">
        <f aca="false">IF($A25="","",IFERROR(MATCH($B$4&amp;"|- Lane 1 - "&amp;E$13&amp;"|"&amp;$A25,'Reguler Class Availability'!$L:$L,0),""))</f>
        <v>1938</v>
      </c>
      <c r="AR25" s="30" t="n">
        <f aca="false">IF($A25="","",IFERROR(MATCH($B$4&amp;"|- Lane 1 - "&amp;F$13&amp;"|"&amp;$A25,'Reguler Class Availability'!$L:$L,0),""))</f>
        <v>1950</v>
      </c>
      <c r="AS25" s="30" t="n">
        <f aca="false">IF($A25="","",IFERROR(MATCH($B$4&amp;"|- Lane 1 - "&amp;G$13&amp;"|"&amp;$A25,'Reguler Class Availability'!$L:$L,0),""))</f>
        <v>1962</v>
      </c>
      <c r="AT25" s="30" t="n">
        <f aca="false">IF($A25="","",IFERROR(MATCH($B$4&amp;"|- Lane 1 - "&amp;H$13&amp;"|"&amp;$A25,'Reguler Class Availability'!$L:$L,0),""))</f>
        <v>1974</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Belum terisi</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Belum terisi</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Belum terisi</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Belum terisi</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Belum terisi</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Belum terisi</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Belum terisi</v>
      </c>
      <c r="BD25" s="30" t="s">
        <v>132</v>
      </c>
      <c r="BE25" s="30" t="n">
        <f aca="false">IF(COUNTIFS('Reguler Class Availability'!$L:$L,$B$4&amp;"|- Lane 1 - *|"&amp;BD25)&gt;0,1,0)</f>
        <v>1</v>
      </c>
      <c r="BF25" s="30" t="n">
        <f aca="false">BE25+BF24</f>
        <v>7</v>
      </c>
    </row>
    <row r="26" customFormat="false" ht="39.75" hidden="false" customHeight="true" outlineLevel="0" collapsed="false">
      <c r="A26" s="66" t="str">
        <f aca="false">IFERROR(INDEX($BD$2:$BD$61,MATCH(13,$BF$2:$BF$61,0)),"")</f>
        <v>17:00</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Baby  0/5  (0%)
coach: –</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Baby  0/5  (0%)
coach: –</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Baby  0/5  (0%)
coach: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Baby  0/5  (0%)
coach: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Baby  0/5  (0%)
coach: –</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Baby  0/5  (0%)
coach: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Baby  0/5  (0%)
coach: –</v>
      </c>
      <c r="AN26" s="30" t="n">
        <f aca="false">IF($A26="","",IFERROR(MATCH($B$4&amp;"|- Lane 1 - "&amp;B$13&amp;"|"&amp;$A26,'Reguler Class Availability'!$L:$L,0),""))</f>
        <v>1903</v>
      </c>
      <c r="AO26" s="30" t="n">
        <f aca="false">IF($A26="","",IFERROR(MATCH($B$4&amp;"|- Lane 1 - "&amp;C$13&amp;"|"&amp;$A26,'Reguler Class Availability'!$L:$L,0),""))</f>
        <v>1915</v>
      </c>
      <c r="AP26" s="30" t="n">
        <f aca="false">IF($A26="","",IFERROR(MATCH($B$4&amp;"|- Lane 1 - "&amp;D$13&amp;"|"&amp;$A26,'Reguler Class Availability'!$L:$L,0),""))</f>
        <v>1927</v>
      </c>
      <c r="AQ26" s="30" t="n">
        <f aca="false">IF($A26="","",IFERROR(MATCH($B$4&amp;"|- Lane 1 - "&amp;E$13&amp;"|"&amp;$A26,'Reguler Class Availability'!$L:$L,0),""))</f>
        <v>1939</v>
      </c>
      <c r="AR26" s="30" t="n">
        <f aca="false">IF($A26="","",IFERROR(MATCH($B$4&amp;"|- Lane 1 - "&amp;F$13&amp;"|"&amp;$A26,'Reguler Class Availability'!$L:$L,0),""))</f>
        <v>1951</v>
      </c>
      <c r="AS26" s="30" t="n">
        <f aca="false">IF($A26="","",IFERROR(MATCH($B$4&amp;"|- Lane 1 - "&amp;G$13&amp;"|"&amp;$A26,'Reguler Class Availability'!$L:$L,0),""))</f>
        <v>1963</v>
      </c>
      <c r="AT26" s="30" t="n">
        <f aca="false">IF($A26="","",IFERROR(MATCH($B$4&amp;"|- Lane 1 - "&amp;H$13&amp;"|"&amp;$A26,'Reguler Class Availability'!$L:$L,0),""))</f>
        <v>1975</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Belum terisi</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Belum terisi</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Belum terisi</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Belum terisi</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Belum terisi</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Belum terisi</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Belum terisi</v>
      </c>
      <c r="BD26" s="30" t="s">
        <v>133</v>
      </c>
      <c r="BE26" s="30" t="n">
        <f aca="false">IF(COUNTIFS('Reguler Class Availability'!$L:$L,$B$4&amp;"|- Lane 1 - *|"&amp;BD26)&gt;0,1,0)</f>
        <v>0</v>
      </c>
      <c r="BF26" s="30" t="n">
        <f aca="false">BE26+BF25</f>
        <v>7</v>
      </c>
    </row>
    <row r="27" customFormat="false" ht="39.75" hidden="false" customHeight="true" outlineLevel="0" collapsed="false">
      <c r="A27" s="66" t="str">
        <f aca="false">IFERROR(INDEX($BD$2:$BD$61,MATCH(14,$BF$2:$BF$61,0)),"")</f>
        <v>18:00</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Star  0/8  (0%)
coach: –</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Star  0/8  (0%)
coach: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Star  0/8  (0%)
coach: –</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Star  0/8  (0%)
coach: –</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Star  0/8  (0%)
coach: –</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Star  0/8  (0%)
coach: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Star  0/8  (0%)
coach: –</v>
      </c>
      <c r="AN27" s="30" t="n">
        <f aca="false">IF($A27="","",IFERROR(MATCH($B$4&amp;"|- Lane 1 - "&amp;B$13&amp;"|"&amp;$A27,'Reguler Class Availability'!$L:$L,0),""))</f>
        <v>1983</v>
      </c>
      <c r="AO27" s="30" t="n">
        <f aca="false">IF($A27="","",IFERROR(MATCH($B$4&amp;"|- Lane 1 - "&amp;C$13&amp;"|"&amp;$A27,'Reguler Class Availability'!$L:$L,0),""))</f>
        <v>1984</v>
      </c>
      <c r="AP27" s="30" t="n">
        <f aca="false">IF($A27="","",IFERROR(MATCH($B$4&amp;"|- Lane 1 - "&amp;D$13&amp;"|"&amp;$A27,'Reguler Class Availability'!$L:$L,0),""))</f>
        <v>1985</v>
      </c>
      <c r="AQ27" s="30" t="n">
        <f aca="false">IF($A27="","",IFERROR(MATCH($B$4&amp;"|- Lane 1 - "&amp;E$13&amp;"|"&amp;$A27,'Reguler Class Availability'!$L:$L,0),""))</f>
        <v>1986</v>
      </c>
      <c r="AR27" s="30" t="n">
        <f aca="false">IF($A27="","",IFERROR(MATCH($B$4&amp;"|- Lane 1 - "&amp;F$13&amp;"|"&amp;$A27,'Reguler Class Availability'!$L:$L,0),""))</f>
        <v>1987</v>
      </c>
      <c r="AS27" s="30" t="n">
        <f aca="false">IF($A27="","",IFERROR(MATCH($B$4&amp;"|- Lane 1 - "&amp;G$13&amp;"|"&amp;$A27,'Reguler Class Availability'!$L:$L,0),""))</f>
        <v>1988</v>
      </c>
      <c r="AT27" s="30" t="n">
        <f aca="false">IF($A27="","",IFERROR(MATCH($B$4&amp;"|- Lane 1 - "&amp;H$13&amp;"|"&amp;$A27,'Reguler Class Availability'!$L:$L,0),""))</f>
        <v>1989</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Belum terisi</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Belum terisi</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Belum terisi</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Belum terisi</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Belum terisi</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Belum terisi</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Belum terisi</v>
      </c>
      <c r="BD27" s="30" t="s">
        <v>134</v>
      </c>
      <c r="BE27" s="30" t="n">
        <f aca="false">IF(COUNTIFS('Reguler Class Availability'!$L:$L,$B$4&amp;"|- Lane 1 - *|"&amp;BD27)&gt;0,1,0)</f>
        <v>0</v>
      </c>
      <c r="BF27" s="30" t="n">
        <f aca="false">BE27+BF26</f>
        <v>7</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7</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7</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0%</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4%</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7%</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1%</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1%</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12%</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3%</v>
      </c>
      <c r="BD30" s="30" t="s">
        <v>138</v>
      </c>
      <c r="BE30" s="30" t="n">
        <f aca="false">IF(COUNTIFS('Reguler Class Availability'!$L:$L,$B$4&amp;"|- Lane 1 - *|"&amp;BD30)&gt;0,1,0)</f>
        <v>0</v>
      </c>
      <c r="BF30" s="30" t="n">
        <f aca="false">BE30+BF29</f>
        <v>7</v>
      </c>
    </row>
    <row r="31" customFormat="false" ht="15" hidden="false" customHeight="false" outlineLevel="0" collapsed="false">
      <c r="BD31" s="0" t="s">
        <v>139</v>
      </c>
      <c r="BE31" s="0" t="n">
        <f aca="false">IF(COUNTIFS('Reguler Class Availability'!$L:$L,$B$4&amp;"|- Lane 1 - *|"&amp;BD31)&gt;0,1,0)</f>
        <v>1</v>
      </c>
      <c r="BF31" s="0" t="n">
        <f aca="false">BE31+BF30</f>
        <v>8</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6%   ·   Belum terisi: 73   ·   Slot kosong: 0</v>
      </c>
      <c r="D32" s="62"/>
      <c r="E32" s="62"/>
      <c r="F32" s="62"/>
      <c r="G32" s="62"/>
      <c r="H32" s="62"/>
      <c r="BD32" s="30" t="s">
        <v>141</v>
      </c>
      <c r="BE32" s="30" t="n">
        <f aca="false">IF(COUNTIFS('Reguler Class Availability'!$L:$L,$B$4&amp;"|- Lane 1 - *|"&amp;BD32)&gt;0,1,0)</f>
        <v>0</v>
      </c>
      <c r="BF32" s="30" t="n">
        <f aca="false">BE32+BF31</f>
        <v>8</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8</v>
      </c>
    </row>
    <row r="34" customFormat="false" ht="39.75" hidden="false" customHeight="true" outlineLevel="0" collapsed="false">
      <c r="A34" s="66" t="str">
        <f aca="false">IFERROR(INDEX($BD$62:$BD$121,MATCH(1,$BF$62:$BF$121,0)),"")</f>
        <v>08:00</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Tiny  0/5  (0%)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Tiny  0/5  (0%)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Tiny  0/5  (0%)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Tiny  0/5  (0%)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Tiny  0/5  (0%)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Tiny  0/5  (0%)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Tiny  0/5  (0%)
coach: –</v>
      </c>
      <c r="AN34" s="30" t="n">
        <f aca="false">IF($A34="","",IFERROR(MATCH($B$4&amp;"|- Lane 2 - "&amp;B$33&amp;"|"&amp;$A34,'Reguler Class Availability'!$L:$L,0),""))</f>
        <v>1990</v>
      </c>
      <c r="AO34" s="30" t="n">
        <f aca="false">IF($A34="","",IFERROR(MATCH($B$4&amp;"|- Lane 2 - "&amp;C$33&amp;"|"&amp;$A34,'Reguler Class Availability'!$L:$L,0),""))</f>
        <v>2002</v>
      </c>
      <c r="AP34" s="30" t="n">
        <f aca="false">IF($A34="","",IFERROR(MATCH($B$4&amp;"|- Lane 2 - "&amp;D$33&amp;"|"&amp;$A34,'Reguler Class Availability'!$L:$L,0),""))</f>
        <v>2014</v>
      </c>
      <c r="AQ34" s="30" t="n">
        <f aca="false">IF($A34="","",IFERROR(MATCH($B$4&amp;"|- Lane 2 - "&amp;E$33&amp;"|"&amp;$A34,'Reguler Class Availability'!$L:$L,0),""))</f>
        <v>2026</v>
      </c>
      <c r="AR34" s="30" t="n">
        <f aca="false">IF($A34="","",IFERROR(MATCH($B$4&amp;"|- Lane 2 - "&amp;F$33&amp;"|"&amp;$A34,'Reguler Class Availability'!$L:$L,0),""))</f>
        <v>2038</v>
      </c>
      <c r="AS34" s="30" t="n">
        <f aca="false">IF($A34="","",IFERROR(MATCH($B$4&amp;"|- Lane 2 - "&amp;G$33&amp;"|"&amp;$A34,'Reguler Class Availability'!$L:$L,0),""))</f>
        <v>2050</v>
      </c>
      <c r="AT34" s="30" t="n">
        <f aca="false">IF($A34="","",IFERROR(MATCH($B$4&amp;"|- Lane 2 - "&amp;H$33&amp;"|"&amp;$A34,'Reguler Class Availability'!$L:$L,0),""))</f>
        <v>2062</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Belum terisi</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Belum terisi</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Belum terisi</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Belum terisi</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Belum terisi</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Belum terisi</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Belum terisi</v>
      </c>
      <c r="BD34" s="30" t="s">
        <v>143</v>
      </c>
      <c r="BE34" s="30" t="n">
        <f aca="false">IF(COUNTIFS('Reguler Class Availability'!$L:$L,$B$4&amp;"|- Lane 1 - *|"&amp;BD34)&gt;0,1,0)</f>
        <v>1</v>
      </c>
      <c r="BF34" s="30" t="n">
        <f aca="false">BE34+BF33</f>
        <v>9</v>
      </c>
    </row>
    <row r="35" customFormat="false" ht="39.75" hidden="false" customHeight="true" outlineLevel="0" collapsed="false">
      <c r="A35" s="66" t="str">
        <f aca="false">IFERROR(INDEX($BD$62:$BD$121,MATCH(2,$BF$62:$BF$121,0)),"")</f>
        <v>08:45</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Tiny  1/5  (20%)
Tara</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Tiny  0/5  (0%)
coach: –</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Tiny  0/5  (0%)
coach: –</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Tiny  1/5  (20%)
Alfi</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Tiny  2/5  (40%)
Shofi</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Tiny  3/5  (60%)
Shofi</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Tiny  3/5  (60%)
Shofi</v>
      </c>
      <c r="AN35" s="30" t="n">
        <f aca="false">IF($A35="","",IFERROR(MATCH($B$4&amp;"|- Lane 2 - "&amp;B$33&amp;"|"&amp;$A35,'Reguler Class Availability'!$L:$L,0),""))</f>
        <v>1991</v>
      </c>
      <c r="AO35" s="30" t="n">
        <f aca="false">IF($A35="","",IFERROR(MATCH($B$4&amp;"|- Lane 2 - "&amp;C$33&amp;"|"&amp;$A35,'Reguler Class Availability'!$L:$L,0),""))</f>
        <v>2003</v>
      </c>
      <c r="AP35" s="30" t="n">
        <f aca="false">IF($A35="","",IFERROR(MATCH($B$4&amp;"|- Lane 2 - "&amp;D$33&amp;"|"&amp;$A35,'Reguler Class Availability'!$L:$L,0),""))</f>
        <v>2015</v>
      </c>
      <c r="AQ35" s="30" t="n">
        <f aca="false">IF($A35="","",IFERROR(MATCH($B$4&amp;"|- Lane 2 - "&amp;E$33&amp;"|"&amp;$A35,'Reguler Class Availability'!$L:$L,0),""))</f>
        <v>2027</v>
      </c>
      <c r="AR35" s="30" t="n">
        <f aca="false">IF($A35="","",IFERROR(MATCH($B$4&amp;"|- Lane 2 - "&amp;F$33&amp;"|"&amp;$A35,'Reguler Class Availability'!$L:$L,0),""))</f>
        <v>2039</v>
      </c>
      <c r="AS35" s="30" t="n">
        <f aca="false">IF($A35="","",IFERROR(MATCH($B$4&amp;"|- Lane 2 - "&amp;G$33&amp;"|"&amp;$A35,'Reguler Class Availability'!$L:$L,0),""))</f>
        <v>2051</v>
      </c>
      <c r="AT35" s="30" t="n">
        <f aca="false">IF($A35="","",IFERROR(MATCH($B$4&amp;"|- Lane 2 - "&amp;H$33&amp;"|"&amp;$A35,'Reguler Class Availability'!$L:$L,0),""))</f>
        <v>2063</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Sebagian</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Belum terisi</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Belum terisi</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Sebagian</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Sebagian</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Tinggi</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Tinggi</v>
      </c>
      <c r="BD35" s="30" t="s">
        <v>144</v>
      </c>
      <c r="BE35" s="30" t="n">
        <f aca="false">IF(COUNTIFS('Reguler Class Availability'!$L:$L,$B$4&amp;"|- Lane 1 - *|"&amp;BD35)&gt;0,1,0)</f>
        <v>0</v>
      </c>
      <c r="BF35" s="30" t="n">
        <f aca="false">BE35+BF34</f>
        <v>9</v>
      </c>
    </row>
    <row r="36" customFormat="false" ht="39.75" hidden="false" customHeight="true" outlineLevel="0" collapsed="false">
      <c r="A36" s="66" t="str">
        <f aca="false">IFERROR(INDEX($BD$62:$BD$121,MATCH(3,$BF$62:$BF$121,0)),"")</f>
        <v>09:30</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Tiny  0/5  (0%)
coach: –</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Tiny  0/5  (0%)
coach: –</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Tiny  2/5  (40%)
Doni</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Tiny  0/5  (0%)
coach: –</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Tiny  0/5  (0%)
coach: –</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Tiny  0/5  (0%)
coach: –</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Tiny  3/5  (60%)
Shofi</v>
      </c>
      <c r="AN36" s="30" t="n">
        <f aca="false">IF($A36="","",IFERROR(MATCH($B$4&amp;"|- Lane 2 - "&amp;B$33&amp;"|"&amp;$A36,'Reguler Class Availability'!$L:$L,0),""))</f>
        <v>1992</v>
      </c>
      <c r="AO36" s="30" t="n">
        <f aca="false">IF($A36="","",IFERROR(MATCH($B$4&amp;"|- Lane 2 - "&amp;C$33&amp;"|"&amp;$A36,'Reguler Class Availability'!$L:$L,0),""))</f>
        <v>2004</v>
      </c>
      <c r="AP36" s="30" t="n">
        <f aca="false">IF($A36="","",IFERROR(MATCH($B$4&amp;"|- Lane 2 - "&amp;D$33&amp;"|"&amp;$A36,'Reguler Class Availability'!$L:$L,0),""))</f>
        <v>2016</v>
      </c>
      <c r="AQ36" s="30" t="n">
        <f aca="false">IF($A36="","",IFERROR(MATCH($B$4&amp;"|- Lane 2 - "&amp;E$33&amp;"|"&amp;$A36,'Reguler Class Availability'!$L:$L,0),""))</f>
        <v>2028</v>
      </c>
      <c r="AR36" s="30" t="n">
        <f aca="false">IF($A36="","",IFERROR(MATCH($B$4&amp;"|- Lane 2 - "&amp;F$33&amp;"|"&amp;$A36,'Reguler Class Availability'!$L:$L,0),""))</f>
        <v>2040</v>
      </c>
      <c r="AS36" s="30" t="n">
        <f aca="false">IF($A36="","",IFERROR(MATCH($B$4&amp;"|- Lane 2 - "&amp;G$33&amp;"|"&amp;$A36,'Reguler Class Availability'!$L:$L,0),""))</f>
        <v>2052</v>
      </c>
      <c r="AT36" s="30" t="n">
        <f aca="false">IF($A36="","",IFERROR(MATCH($B$4&amp;"|- Lane 2 - "&amp;H$33&amp;"|"&amp;$A36,'Reguler Class Availability'!$L:$L,0),""))</f>
        <v>2064</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Belum terisi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Belum terisi</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Sebagian</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Belum terisi</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Belum terisi</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Belum terisi</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Tinggi</v>
      </c>
      <c r="BD36" s="30" t="s">
        <v>145</v>
      </c>
      <c r="BE36" s="30" t="n">
        <f aca="false">IF(COUNTIFS('Reguler Class Availability'!$L:$L,$B$4&amp;"|- Lane 1 - *|"&amp;BD36)&gt;0,1,0)</f>
        <v>0</v>
      </c>
      <c r="BF36" s="30" t="n">
        <f aca="false">BE36+BF35</f>
        <v>9</v>
      </c>
    </row>
    <row r="37" customFormat="false" ht="39.75" hidden="false" customHeight="true" outlineLevel="0" collapsed="false">
      <c r="A37" s="66" t="str">
        <f aca="false">IFERROR(INDEX($BD$62:$BD$121,MATCH(4,$BF$62:$BF$121,0)),"")</f>
        <v>10:15</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Tiny  0/5  (0%)
coach: –</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Tiny  0/5  (0%)
coach: –</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Tiny  4/5  (80%)
Shofi</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Tiny  0/5  (0%)
coach: –</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Tiny  0/5  (0%)
coach: –</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Tiny  5/5  (100%)
Shofi</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Tiny  0/5  (0%)
coach: –</v>
      </c>
      <c r="AN37" s="30" t="n">
        <f aca="false">IF($A37="","",IFERROR(MATCH($B$4&amp;"|- Lane 2 - "&amp;B$33&amp;"|"&amp;$A37,'Reguler Class Availability'!$L:$L,0),""))</f>
        <v>1993</v>
      </c>
      <c r="AO37" s="30" t="n">
        <f aca="false">IF($A37="","",IFERROR(MATCH($B$4&amp;"|- Lane 2 - "&amp;C$33&amp;"|"&amp;$A37,'Reguler Class Availability'!$L:$L,0),""))</f>
        <v>2005</v>
      </c>
      <c r="AP37" s="30" t="n">
        <f aca="false">IF($A37="","",IFERROR(MATCH($B$4&amp;"|- Lane 2 - "&amp;D$33&amp;"|"&amp;$A37,'Reguler Class Availability'!$L:$L,0),""))</f>
        <v>2017</v>
      </c>
      <c r="AQ37" s="30" t="n">
        <f aca="false">IF($A37="","",IFERROR(MATCH($B$4&amp;"|- Lane 2 - "&amp;E$33&amp;"|"&amp;$A37,'Reguler Class Availability'!$L:$L,0),""))</f>
        <v>2029</v>
      </c>
      <c r="AR37" s="30" t="n">
        <f aca="false">IF($A37="","",IFERROR(MATCH($B$4&amp;"|- Lane 2 - "&amp;F$33&amp;"|"&amp;$A37,'Reguler Class Availability'!$L:$L,0),""))</f>
        <v>2041</v>
      </c>
      <c r="AS37" s="30" t="n">
        <f aca="false">IF($A37="","",IFERROR(MATCH($B$4&amp;"|- Lane 2 - "&amp;G$33&amp;"|"&amp;$A37,'Reguler Class Availability'!$L:$L,0),""))</f>
        <v>2053</v>
      </c>
      <c r="AT37" s="30" t="n">
        <f aca="false">IF($A37="","",IFERROR(MATCH($B$4&amp;"|- Lane 2 - "&amp;H$33&amp;"|"&amp;$A37,'Reguler Class Availability'!$L:$L,0),""))</f>
        <v>2065</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Belum terisi</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Belum terisi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Tinggi</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Belum terisi</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Belum terisi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Penuh</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Belum terisi</v>
      </c>
      <c r="BD37" s="30" t="s">
        <v>146</v>
      </c>
      <c r="BE37" s="30" t="n">
        <f aca="false">IF(COUNTIFS('Reguler Class Availability'!$L:$L,$B$4&amp;"|- Lane 1 - *|"&amp;BD37)&gt;0,1,0)</f>
        <v>1</v>
      </c>
      <c r="BF37" s="30" t="n">
        <f aca="false">BE37+BF36</f>
        <v>10</v>
      </c>
    </row>
    <row r="38" customFormat="false" ht="39.75" hidden="false" customHeight="true" outlineLevel="0" collapsed="false">
      <c r="A38" s="66" t="str">
        <f aca="false">IFERROR(INDEX($BD$62:$BD$121,MATCH(5,$BF$62:$BF$121,0)),"")</f>
        <v>11:00</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Tiny  0/5  (0%)
coach: –</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Tiny  0/5  (0%)
coach: –</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Tiny  0/5  (0%)
coach: –</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Tiny  0/5  (0%)
coach: –</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Tiny  0/5  (0%)
coach: –</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Tiny  0/5  (0%)
coach: –</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Tiny  0/5  (0%)
coach: –</v>
      </c>
      <c r="AN38" s="30" t="n">
        <f aca="false">IF($A38="","",IFERROR(MATCH($B$4&amp;"|- Lane 2 - "&amp;B$33&amp;"|"&amp;$A38,'Reguler Class Availability'!$L:$L,0),""))</f>
        <v>1994</v>
      </c>
      <c r="AO38" s="30" t="n">
        <f aca="false">IF($A38="","",IFERROR(MATCH($B$4&amp;"|- Lane 2 - "&amp;C$33&amp;"|"&amp;$A38,'Reguler Class Availability'!$L:$L,0),""))</f>
        <v>2006</v>
      </c>
      <c r="AP38" s="30" t="n">
        <f aca="false">IF($A38="","",IFERROR(MATCH($B$4&amp;"|- Lane 2 - "&amp;D$33&amp;"|"&amp;$A38,'Reguler Class Availability'!$L:$L,0),""))</f>
        <v>2018</v>
      </c>
      <c r="AQ38" s="30" t="n">
        <f aca="false">IF($A38="","",IFERROR(MATCH($B$4&amp;"|- Lane 2 - "&amp;E$33&amp;"|"&amp;$A38,'Reguler Class Availability'!$L:$L,0),""))</f>
        <v>2030</v>
      </c>
      <c r="AR38" s="30" t="n">
        <f aca="false">IF($A38="","",IFERROR(MATCH($B$4&amp;"|- Lane 2 - "&amp;F$33&amp;"|"&amp;$A38,'Reguler Class Availability'!$L:$L,0),""))</f>
        <v>2042</v>
      </c>
      <c r="AS38" s="30" t="n">
        <f aca="false">IF($A38="","",IFERROR(MATCH($B$4&amp;"|- Lane 2 - "&amp;G$33&amp;"|"&amp;$A38,'Reguler Class Availability'!$L:$L,0),""))</f>
        <v>2054</v>
      </c>
      <c r="AT38" s="30" t="n">
        <f aca="false">IF($A38="","",IFERROR(MATCH($B$4&amp;"|- Lane 2 - "&amp;H$33&amp;"|"&amp;$A38,'Reguler Class Availability'!$L:$L,0),""))</f>
        <v>2066</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Belum terisi</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Belum terisi</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Belum terisi</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Belum terisi</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Belum terisi</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Belum terisi</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Belum terisi</v>
      </c>
      <c r="BD38" s="30" t="s">
        <v>147</v>
      </c>
      <c r="BE38" s="30" t="n">
        <f aca="false">IF(COUNTIFS('Reguler Class Availability'!$L:$L,$B$4&amp;"|- Lane 1 - *|"&amp;BD38)&gt;0,1,0)</f>
        <v>0</v>
      </c>
      <c r="BF38" s="30" t="n">
        <f aca="false">BE38+BF37</f>
        <v>10</v>
      </c>
    </row>
    <row r="39" customFormat="false" ht="39.75" hidden="false" customHeight="true" outlineLevel="0" collapsed="false">
      <c r="A39" s="66" t="str">
        <f aca="false">IFERROR(INDEX($BD$62:$BD$121,MATCH(6,$BF$62:$BF$121,0)),"")</f>
        <v>11:45</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Tiny  0/5  (0%)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Tiny  0/5  (0%)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Tiny  0/5  (0%)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Tiny  0/5  (0%)
coach: –</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Tiny  0/5  (0%)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Tiny  0/5  (0%)
coach: –</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Tiny  0/5  (0%)
coach: –</v>
      </c>
      <c r="AN39" s="30" t="n">
        <f aca="false">IF($A39="","",IFERROR(MATCH($B$4&amp;"|- Lane 2 - "&amp;B$33&amp;"|"&amp;$A39,'Reguler Class Availability'!$L:$L,0),""))</f>
        <v>1995</v>
      </c>
      <c r="AO39" s="30" t="n">
        <f aca="false">IF($A39="","",IFERROR(MATCH($B$4&amp;"|- Lane 2 - "&amp;C$33&amp;"|"&amp;$A39,'Reguler Class Availability'!$L:$L,0),""))</f>
        <v>2007</v>
      </c>
      <c r="AP39" s="30" t="n">
        <f aca="false">IF($A39="","",IFERROR(MATCH($B$4&amp;"|- Lane 2 - "&amp;D$33&amp;"|"&amp;$A39,'Reguler Class Availability'!$L:$L,0),""))</f>
        <v>2019</v>
      </c>
      <c r="AQ39" s="30" t="n">
        <f aca="false">IF($A39="","",IFERROR(MATCH($B$4&amp;"|- Lane 2 - "&amp;E$33&amp;"|"&amp;$A39,'Reguler Class Availability'!$L:$L,0),""))</f>
        <v>2031</v>
      </c>
      <c r="AR39" s="30" t="n">
        <f aca="false">IF($A39="","",IFERROR(MATCH($B$4&amp;"|- Lane 2 - "&amp;F$33&amp;"|"&amp;$A39,'Reguler Class Availability'!$L:$L,0),""))</f>
        <v>2043</v>
      </c>
      <c r="AS39" s="30" t="n">
        <f aca="false">IF($A39="","",IFERROR(MATCH($B$4&amp;"|- Lane 2 - "&amp;G$33&amp;"|"&amp;$A39,'Reguler Class Availability'!$L:$L,0),""))</f>
        <v>2055</v>
      </c>
      <c r="AT39" s="30" t="n">
        <f aca="false">IF($A39="","",IFERROR(MATCH($B$4&amp;"|- Lane 2 - "&amp;H$33&amp;"|"&amp;$A39,'Reguler Class Availability'!$L:$L,0),""))</f>
        <v>2067</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Belum terisi</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Belum terisi</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Belum terisi</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Belum terisi</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Belum terisi</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Belum terisi</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Belum terisi</v>
      </c>
      <c r="BD39" s="30" t="s">
        <v>148</v>
      </c>
      <c r="BE39" s="30" t="n">
        <f aca="false">IF(COUNTIFS('Reguler Class Availability'!$L:$L,$B$4&amp;"|- Lane 1 - *|"&amp;BD39)&gt;0,1,0)</f>
        <v>0</v>
      </c>
      <c r="BF39" s="30" t="n">
        <f aca="false">BE39+BF38</f>
        <v>10</v>
      </c>
    </row>
    <row r="40" customFormat="false" ht="39.75" hidden="false" customHeight="true" outlineLevel="0" collapsed="false">
      <c r="A40" s="66" t="str">
        <f aca="false">IFERROR(INDEX($BD$62:$BD$121,MATCH(7,$BF$62:$BF$121,0)),"")</f>
        <v>13:15</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Tiny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Tiny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Tiny  0/5  (0%)
coach: –</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Tiny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Tiny  0/5  (0%)
coach: –</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Tiny  0/5  (0%)
coach: –</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Tiny  0/5  (0%)
coach: –</v>
      </c>
      <c r="AN40" s="30" t="n">
        <f aca="false">IF($A40="","",IFERROR(MATCH($B$4&amp;"|- Lane 2 - "&amp;B$33&amp;"|"&amp;$A40,'Reguler Class Availability'!$L:$L,0),""))</f>
        <v>1996</v>
      </c>
      <c r="AO40" s="30" t="n">
        <f aca="false">IF($A40="","",IFERROR(MATCH($B$4&amp;"|- Lane 2 - "&amp;C$33&amp;"|"&amp;$A40,'Reguler Class Availability'!$L:$L,0),""))</f>
        <v>2008</v>
      </c>
      <c r="AP40" s="30" t="n">
        <f aca="false">IF($A40="","",IFERROR(MATCH($B$4&amp;"|- Lane 2 - "&amp;D$33&amp;"|"&amp;$A40,'Reguler Class Availability'!$L:$L,0),""))</f>
        <v>2020</v>
      </c>
      <c r="AQ40" s="30" t="n">
        <f aca="false">IF($A40="","",IFERROR(MATCH($B$4&amp;"|- Lane 2 - "&amp;E$33&amp;"|"&amp;$A40,'Reguler Class Availability'!$L:$L,0),""))</f>
        <v>2032</v>
      </c>
      <c r="AR40" s="30" t="n">
        <f aca="false">IF($A40="","",IFERROR(MATCH($B$4&amp;"|- Lane 2 - "&amp;F$33&amp;"|"&amp;$A40,'Reguler Class Availability'!$L:$L,0),""))</f>
        <v>2044</v>
      </c>
      <c r="AS40" s="30" t="n">
        <f aca="false">IF($A40="","",IFERROR(MATCH($B$4&amp;"|- Lane 2 - "&amp;G$33&amp;"|"&amp;$A40,'Reguler Class Availability'!$L:$L,0),""))</f>
        <v>2056</v>
      </c>
      <c r="AT40" s="30" t="n">
        <f aca="false">IF($A40="","",IFERROR(MATCH($B$4&amp;"|- Lane 2 - "&amp;H$33&amp;"|"&amp;$A40,'Reguler Class Availability'!$L:$L,0),""))</f>
        <v>2068</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Belum terisi</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Belum terisi</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Belum terisi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Belum terisi</v>
      </c>
      <c r="BD40" s="30" t="s">
        <v>149</v>
      </c>
      <c r="BE40" s="30" t="n">
        <f aca="false">IF(COUNTIFS('Reguler Class Availability'!$L:$L,$B$4&amp;"|- Lane 1 - *|"&amp;BD40)&gt;0,1,0)</f>
        <v>1</v>
      </c>
      <c r="BF40" s="30" t="n">
        <f aca="false">BE40+BF39</f>
        <v>11</v>
      </c>
    </row>
    <row r="41" customFormat="false" ht="39.75" hidden="false" customHeight="true" outlineLevel="0" collapsed="false">
      <c r="A41" s="66" t="str">
        <f aca="false">IFERROR(INDEX($BD$62:$BD$121,MATCH(8,$BF$62:$BF$121,0)),"")</f>
        <v>14:00</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Tiny  0/5  (0%)
coach: –</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Tiny  0/5  (0%)
coach: –</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Tiny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Tiny  0/5  (0%)
coach: –</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Tiny  0/5  (0%)
coach: –</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Tiny  0/5  (0%)
coach: –</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Tiny  0/5  (0%)
coach: –</v>
      </c>
      <c r="AN41" s="30" t="n">
        <f aca="false">IF($A41="","",IFERROR(MATCH($B$4&amp;"|- Lane 2 - "&amp;B$33&amp;"|"&amp;$A41,'Reguler Class Availability'!$L:$L,0),""))</f>
        <v>1997</v>
      </c>
      <c r="AO41" s="30" t="n">
        <f aca="false">IF($A41="","",IFERROR(MATCH($B$4&amp;"|- Lane 2 - "&amp;C$33&amp;"|"&amp;$A41,'Reguler Class Availability'!$L:$L,0),""))</f>
        <v>2009</v>
      </c>
      <c r="AP41" s="30" t="n">
        <f aca="false">IF($A41="","",IFERROR(MATCH($B$4&amp;"|- Lane 2 - "&amp;D$33&amp;"|"&amp;$A41,'Reguler Class Availability'!$L:$L,0),""))</f>
        <v>2021</v>
      </c>
      <c r="AQ41" s="30" t="n">
        <f aca="false">IF($A41="","",IFERROR(MATCH($B$4&amp;"|- Lane 2 - "&amp;E$33&amp;"|"&amp;$A41,'Reguler Class Availability'!$L:$L,0),""))</f>
        <v>2033</v>
      </c>
      <c r="AR41" s="30" t="n">
        <f aca="false">IF($A41="","",IFERROR(MATCH($B$4&amp;"|- Lane 2 - "&amp;F$33&amp;"|"&amp;$A41,'Reguler Class Availability'!$L:$L,0),""))</f>
        <v>2045</v>
      </c>
      <c r="AS41" s="30" t="n">
        <f aca="false">IF($A41="","",IFERROR(MATCH($B$4&amp;"|- Lane 2 - "&amp;G$33&amp;"|"&amp;$A41,'Reguler Class Availability'!$L:$L,0),""))</f>
        <v>2057</v>
      </c>
      <c r="AT41" s="30" t="n">
        <f aca="false">IF($A41="","",IFERROR(MATCH($B$4&amp;"|- Lane 2 - "&amp;H$33&amp;"|"&amp;$A41,'Reguler Class Availability'!$L:$L,0),""))</f>
        <v>2069</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Belum terisi</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Belum terisi</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Belum terisi</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Belum terisi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Belum terisi</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Belum terisi</v>
      </c>
      <c r="BD41" s="30" t="s">
        <v>150</v>
      </c>
      <c r="BE41" s="30" t="n">
        <f aca="false">IF(COUNTIFS('Reguler Class Availability'!$L:$L,$B$4&amp;"|- Lane 1 - *|"&amp;BD41)&gt;0,1,0)</f>
        <v>0</v>
      </c>
      <c r="BF41" s="30" t="n">
        <f aca="false">BE41+BF40</f>
        <v>11</v>
      </c>
    </row>
    <row r="42" customFormat="false" ht="39.75" hidden="false" customHeight="true" outlineLevel="0" collapsed="false">
      <c r="A42" s="66" t="str">
        <f aca="false">IFERROR(INDEX($BD$62:$BD$121,MATCH(9,$BF$62:$BF$121,0)),"")</f>
        <v>14:45</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Tiny  0/5  (0%)
coach: –</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Tiny  0/5  (0%)
coach: –</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Tiny  0/5  (0%)
coach: –</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Tiny  0/5  (0%)
coach: –</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Tiny  0/5  (0%)
coach: –</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Tiny  0/5  (0%)
coach: –</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Tiny  0/5  (0%)
coach: –</v>
      </c>
      <c r="AN42" s="30" t="n">
        <f aca="false">IF($A42="","",IFERROR(MATCH($B$4&amp;"|- Lane 2 - "&amp;B$33&amp;"|"&amp;$A42,'Reguler Class Availability'!$L:$L,0),""))</f>
        <v>1998</v>
      </c>
      <c r="AO42" s="30" t="n">
        <f aca="false">IF($A42="","",IFERROR(MATCH($B$4&amp;"|- Lane 2 - "&amp;C$33&amp;"|"&amp;$A42,'Reguler Class Availability'!$L:$L,0),""))</f>
        <v>2010</v>
      </c>
      <c r="AP42" s="30" t="n">
        <f aca="false">IF($A42="","",IFERROR(MATCH($B$4&amp;"|- Lane 2 - "&amp;D$33&amp;"|"&amp;$A42,'Reguler Class Availability'!$L:$L,0),""))</f>
        <v>2022</v>
      </c>
      <c r="AQ42" s="30" t="n">
        <f aca="false">IF($A42="","",IFERROR(MATCH($B$4&amp;"|- Lane 2 - "&amp;E$33&amp;"|"&amp;$A42,'Reguler Class Availability'!$L:$L,0),""))</f>
        <v>2034</v>
      </c>
      <c r="AR42" s="30" t="n">
        <f aca="false">IF($A42="","",IFERROR(MATCH($B$4&amp;"|- Lane 2 - "&amp;F$33&amp;"|"&amp;$A42,'Reguler Class Availability'!$L:$L,0),""))</f>
        <v>2046</v>
      </c>
      <c r="AS42" s="30" t="n">
        <f aca="false">IF($A42="","",IFERROR(MATCH($B$4&amp;"|- Lane 2 - "&amp;G$33&amp;"|"&amp;$A42,'Reguler Class Availability'!$L:$L,0),""))</f>
        <v>2058</v>
      </c>
      <c r="AT42" s="30" t="n">
        <f aca="false">IF($A42="","",IFERROR(MATCH($B$4&amp;"|- Lane 2 - "&amp;H$33&amp;"|"&amp;$A42,'Reguler Class Availability'!$L:$L,0),""))</f>
        <v>2070</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Belum terisi</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Belum terisi</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Belum terisi</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Belum terisi</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Belum terisi</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Belum terisi</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Belum terisi</v>
      </c>
      <c r="BD42" s="30" t="s">
        <v>151</v>
      </c>
      <c r="BE42" s="30" t="n">
        <f aca="false">IF(COUNTIFS('Reguler Class Availability'!$L:$L,$B$4&amp;"|- Lane 1 - *|"&amp;BD42)&gt;0,1,0)</f>
        <v>0</v>
      </c>
      <c r="BF42" s="30" t="n">
        <f aca="false">BE42+BF41</f>
        <v>11</v>
      </c>
    </row>
    <row r="43" customFormat="false" ht="39.75" hidden="false" customHeight="true" outlineLevel="0" collapsed="false">
      <c r="A43" s="66" t="str">
        <f aca="false">IFERROR(INDEX($BD$62:$BD$121,MATCH(10,$BF$62:$BF$121,0)),"")</f>
        <v>15:30</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Tiny  0/5  (0%)
coach: –</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Tiny  0/5  (0%)
coach: –</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Tiny  0/5  (0%)
coach: –</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Tiny  0/5  (0%)
coach: –</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Tiny  0/5  (0%)
coach: –</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Tiny  0/5  (0%)
coach: –</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Tiny  0/5  (0%)
coach: –</v>
      </c>
      <c r="AN43" s="30" t="n">
        <f aca="false">IF($A43="","",IFERROR(MATCH($B$4&amp;"|- Lane 2 - "&amp;B$33&amp;"|"&amp;$A43,'Reguler Class Availability'!$L:$L,0),""))</f>
        <v>1999</v>
      </c>
      <c r="AO43" s="30" t="n">
        <f aca="false">IF($A43="","",IFERROR(MATCH($B$4&amp;"|- Lane 2 - "&amp;C$33&amp;"|"&amp;$A43,'Reguler Class Availability'!$L:$L,0),""))</f>
        <v>2011</v>
      </c>
      <c r="AP43" s="30" t="n">
        <f aca="false">IF($A43="","",IFERROR(MATCH($B$4&amp;"|- Lane 2 - "&amp;D$33&amp;"|"&amp;$A43,'Reguler Class Availability'!$L:$L,0),""))</f>
        <v>2023</v>
      </c>
      <c r="AQ43" s="30" t="n">
        <f aca="false">IF($A43="","",IFERROR(MATCH($B$4&amp;"|- Lane 2 - "&amp;E$33&amp;"|"&amp;$A43,'Reguler Class Availability'!$L:$L,0),""))</f>
        <v>2035</v>
      </c>
      <c r="AR43" s="30" t="n">
        <f aca="false">IF($A43="","",IFERROR(MATCH($B$4&amp;"|- Lane 2 - "&amp;F$33&amp;"|"&amp;$A43,'Reguler Class Availability'!$L:$L,0),""))</f>
        <v>2047</v>
      </c>
      <c r="AS43" s="30" t="n">
        <f aca="false">IF($A43="","",IFERROR(MATCH($B$4&amp;"|- Lane 2 - "&amp;G$33&amp;"|"&amp;$A43,'Reguler Class Availability'!$L:$L,0),""))</f>
        <v>2059</v>
      </c>
      <c r="AT43" s="30" t="n">
        <f aca="false">IF($A43="","",IFERROR(MATCH($B$4&amp;"|- Lane 2 - "&amp;H$33&amp;"|"&amp;$A43,'Reguler Class Availability'!$L:$L,0),""))</f>
        <v>2071</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Belum terisi</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Belum terisi</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Belum terisi</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Belum terisi</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Belum terisi</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Belum terisi</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Belum terisi</v>
      </c>
      <c r="BD43" s="30" t="s">
        <v>152</v>
      </c>
      <c r="BE43" s="30" t="n">
        <f aca="false">IF(COUNTIFS('Reguler Class Availability'!$L:$L,$B$4&amp;"|- Lane 1 - *|"&amp;BD43)&gt;0,1,0)</f>
        <v>1</v>
      </c>
      <c r="BF43" s="30" t="n">
        <f aca="false">BE43+BF42</f>
        <v>12</v>
      </c>
    </row>
    <row r="44" customFormat="false" ht="39.75" hidden="false" customHeight="true" outlineLevel="0" collapsed="false">
      <c r="A44" s="66" t="str">
        <f aca="false">IFERROR(INDEX($BD$62:$BD$121,MATCH(11,$BF$62:$BF$121,0)),"")</f>
        <v>16:15</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Tiny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Tiny  0/5  (0%)
coach: –</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Tiny  0/5  (0%)
coach: –</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Tiny  0/5  (0%)
coach: –</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Tiny  0/5  (0%)
coach: –</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Tiny  2/5  (40%)
Shofi</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Tiny  1/5  (20%)
Alfi</v>
      </c>
      <c r="AN44" s="30" t="n">
        <f aca="false">IF($A44="","",IFERROR(MATCH($B$4&amp;"|- Lane 2 - "&amp;B$33&amp;"|"&amp;$A44,'Reguler Class Availability'!$L:$L,0),""))</f>
        <v>2000</v>
      </c>
      <c r="AO44" s="30" t="n">
        <f aca="false">IF($A44="","",IFERROR(MATCH($B$4&amp;"|- Lane 2 - "&amp;C$33&amp;"|"&amp;$A44,'Reguler Class Availability'!$L:$L,0),""))</f>
        <v>2012</v>
      </c>
      <c r="AP44" s="30" t="n">
        <f aca="false">IF($A44="","",IFERROR(MATCH($B$4&amp;"|- Lane 2 - "&amp;D$33&amp;"|"&amp;$A44,'Reguler Class Availability'!$L:$L,0),""))</f>
        <v>2024</v>
      </c>
      <c r="AQ44" s="30" t="n">
        <f aca="false">IF($A44="","",IFERROR(MATCH($B$4&amp;"|- Lane 2 - "&amp;E$33&amp;"|"&amp;$A44,'Reguler Class Availability'!$L:$L,0),""))</f>
        <v>2036</v>
      </c>
      <c r="AR44" s="30" t="n">
        <f aca="false">IF($A44="","",IFERROR(MATCH($B$4&amp;"|- Lane 2 - "&amp;F$33&amp;"|"&amp;$A44,'Reguler Class Availability'!$L:$L,0),""))</f>
        <v>2048</v>
      </c>
      <c r="AS44" s="30" t="n">
        <f aca="false">IF($A44="","",IFERROR(MATCH($B$4&amp;"|- Lane 2 - "&amp;G$33&amp;"|"&amp;$A44,'Reguler Class Availability'!$L:$L,0),""))</f>
        <v>2060</v>
      </c>
      <c r="AT44" s="30" t="n">
        <f aca="false">IF($A44="","",IFERROR(MATCH($B$4&amp;"|- Lane 2 - "&amp;H$33&amp;"|"&amp;$A44,'Reguler Class Availability'!$L:$L,0),""))</f>
        <v>2072</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Belum terisi</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Belum terisi</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Belum terisi</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Belum terisi</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Belum terisi</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Sebagian</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Sebagian</v>
      </c>
      <c r="BD44" s="30" t="s">
        <v>153</v>
      </c>
      <c r="BE44" s="30" t="n">
        <f aca="false">IF(COUNTIFS('Reguler Class Availability'!$L:$L,$B$4&amp;"|- Lane 1 - *|"&amp;BD44)&gt;0,1,0)</f>
        <v>0</v>
      </c>
      <c r="BF44" s="30" t="n">
        <f aca="false">BE44+BF43</f>
        <v>12</v>
      </c>
    </row>
    <row r="45" customFormat="false" ht="39.75" hidden="false" customHeight="true" outlineLevel="0" collapsed="false">
      <c r="A45" s="66" t="str">
        <f aca="false">IFERROR(INDEX($BD$62:$BD$121,MATCH(12,$BF$62:$BF$121,0)),"")</f>
        <v>17:00</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Tiny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Tiny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Tiny  0/5  (0%)
coach: –</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Tiny  0/5  (0%)
coach: –</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Tiny  0/5  (0%)
coach: –</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Tiny  0/5  (0%)
coach: –</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Tiny  0/5  (0%)
coach: –</v>
      </c>
      <c r="AN45" s="30" t="n">
        <f aca="false">IF($A45="","",IFERROR(MATCH($B$4&amp;"|- Lane 2 - "&amp;B$33&amp;"|"&amp;$A45,'Reguler Class Availability'!$L:$L,0),""))</f>
        <v>2001</v>
      </c>
      <c r="AO45" s="30" t="n">
        <f aca="false">IF($A45="","",IFERROR(MATCH($B$4&amp;"|- Lane 2 - "&amp;C$33&amp;"|"&amp;$A45,'Reguler Class Availability'!$L:$L,0),""))</f>
        <v>2013</v>
      </c>
      <c r="AP45" s="30" t="n">
        <f aca="false">IF($A45="","",IFERROR(MATCH($B$4&amp;"|- Lane 2 - "&amp;D$33&amp;"|"&amp;$A45,'Reguler Class Availability'!$L:$L,0),""))</f>
        <v>2025</v>
      </c>
      <c r="AQ45" s="30" t="n">
        <f aca="false">IF($A45="","",IFERROR(MATCH($B$4&amp;"|- Lane 2 - "&amp;E$33&amp;"|"&amp;$A45,'Reguler Class Availability'!$L:$L,0),""))</f>
        <v>2037</v>
      </c>
      <c r="AR45" s="30" t="n">
        <f aca="false">IF($A45="","",IFERROR(MATCH($B$4&amp;"|- Lane 2 - "&amp;F$33&amp;"|"&amp;$A45,'Reguler Class Availability'!$L:$L,0),""))</f>
        <v>2049</v>
      </c>
      <c r="AS45" s="30" t="n">
        <f aca="false">IF($A45="","",IFERROR(MATCH($B$4&amp;"|- Lane 2 - "&amp;G$33&amp;"|"&amp;$A45,'Reguler Class Availability'!$L:$L,0),""))</f>
        <v>2061</v>
      </c>
      <c r="AT45" s="30" t="n">
        <f aca="false">IF($A45="","",IFERROR(MATCH($B$4&amp;"|- Lane 2 - "&amp;H$33&amp;"|"&amp;$A45,'Reguler Class Availability'!$L:$L,0),""))</f>
        <v>2073</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Belum terisi</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Belum terisi</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Belum terisi</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Belum terisi</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Belum terisi</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Belum terisi</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Belum terisi</v>
      </c>
      <c r="BD45" s="30" t="s">
        <v>154</v>
      </c>
      <c r="BE45" s="30" t="n">
        <f aca="false">IF(COUNTIFS('Reguler Class Availability'!$L:$L,$B$4&amp;"|- Lane 1 - *|"&amp;BD45)&gt;0,1,0)</f>
        <v>0</v>
      </c>
      <c r="BF45" s="30" t="n">
        <f aca="false">BE45+BF44</f>
        <v>12</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1</v>
      </c>
      <c r="BF46" s="30" t="n">
        <f aca="false">BE46+BF45</f>
        <v>13</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0</v>
      </c>
      <c r="BF47" s="30" t="n">
        <f aca="false">BE47+BF46</f>
        <v>13</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2%</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0%</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10%</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2%</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3%</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17%</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12%</v>
      </c>
      <c r="BD48" s="30" t="s">
        <v>157</v>
      </c>
      <c r="BE48" s="30" t="n">
        <f aca="false">IF(COUNTIFS('Reguler Class Availability'!$L:$L,$B$4&amp;"|- Lane 1 - *|"&amp;BD48)&gt;0,1,0)</f>
        <v>0</v>
      </c>
      <c r="BF48" s="30" t="n">
        <f aca="false">BE48+BF47</f>
        <v>13</v>
      </c>
    </row>
    <row r="49" customFormat="false" ht="15" hidden="false" customHeight="false" outlineLevel="0" collapsed="false">
      <c r="BD49" s="0" t="s">
        <v>158</v>
      </c>
      <c r="BE49" s="0" t="n">
        <f aca="false">IF(COUNTIFS('Reguler Class Availability'!$L:$L,$B$4&amp;"|- Lane 1 - *|"&amp;BD49)&gt;0,1,0)</f>
        <v>0</v>
      </c>
      <c r="BF49" s="0" t="n">
        <f aca="false">BE49+BF48</f>
        <v>13</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18%   ·   Belum terisi: 58   ·   Slot kosong: 0</v>
      </c>
      <c r="D50" s="62"/>
      <c r="E50" s="62"/>
      <c r="F50" s="62"/>
      <c r="G50" s="62"/>
      <c r="H50" s="62"/>
      <c r="BD50" s="30" t="s">
        <v>160</v>
      </c>
      <c r="BE50" s="30" t="n">
        <f aca="false">IF(COUNTIFS('Reguler Class Availability'!$L:$L,$B$4&amp;"|- Lane 1 - *|"&amp;BD50)&gt;0,1,0)</f>
        <v>1</v>
      </c>
      <c r="BF50" s="30" t="n">
        <f aca="false">BE50+BF49</f>
        <v>14</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14</v>
      </c>
    </row>
    <row r="52" customFormat="false" ht="39.75" hidden="false" customHeight="true" outlineLevel="0" collapsed="false">
      <c r="A52" s="66" t="str">
        <f aca="false">IFERROR(INDEX($BD$122:$BD$181,MATCH(1,$BF$122:$BF$181,0)),"")</f>
        <v>08:15</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Little  0/4  (0%)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Little  0/4  (0%)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Little  0/4  (0%)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Little  0/4  (0%)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Little  0/4  (0%)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Little  0/4  (0%)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Little  0/4  (0%)
coach: –</v>
      </c>
      <c r="AN52" s="30" t="n">
        <f aca="false">IF($A52="","",IFERROR(MATCH($B$4&amp;"|- Lane 3 - "&amp;B$51&amp;"|"&amp;$A52,'Reguler Class Availability'!$L:$L,0),""))</f>
        <v>2074</v>
      </c>
      <c r="AO52" s="30" t="n">
        <f aca="false">IF($A52="","",IFERROR(MATCH($B$4&amp;"|- Lane 3 - "&amp;C$51&amp;"|"&amp;$A52,'Reguler Class Availability'!$L:$L,0),""))</f>
        <v>2086</v>
      </c>
      <c r="AP52" s="30" t="n">
        <f aca="false">IF($A52="","",IFERROR(MATCH($B$4&amp;"|- Lane 3 - "&amp;D$51&amp;"|"&amp;$A52,'Reguler Class Availability'!$L:$L,0),""))</f>
        <v>2098</v>
      </c>
      <c r="AQ52" s="30" t="n">
        <f aca="false">IF($A52="","",IFERROR(MATCH($B$4&amp;"|- Lane 3 - "&amp;E$51&amp;"|"&amp;$A52,'Reguler Class Availability'!$L:$L,0),""))</f>
        <v>2110</v>
      </c>
      <c r="AR52" s="30" t="n">
        <f aca="false">IF($A52="","",IFERROR(MATCH($B$4&amp;"|- Lane 3 - "&amp;F$51&amp;"|"&amp;$A52,'Reguler Class Availability'!$L:$L,0),""))</f>
        <v>2122</v>
      </c>
      <c r="AS52" s="30" t="n">
        <f aca="false">IF($A52="","",IFERROR(MATCH($B$4&amp;"|- Lane 3 - "&amp;G$51&amp;"|"&amp;$A52,'Reguler Class Availability'!$L:$L,0),""))</f>
        <v>2134</v>
      </c>
      <c r="AT52" s="30" t="n">
        <f aca="false">IF($A52="","",IFERROR(MATCH($B$4&amp;"|- Lane 3 - "&amp;H$51&amp;"|"&amp;$A52,'Reguler Class Availability'!$L:$L,0),""))</f>
        <v>2146</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Belum terisi</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Belum terisi</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Belum terisi</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Belum terisi</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Belum terisi</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Belum terisi</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Belum terisi</v>
      </c>
      <c r="BD52" s="30" t="s">
        <v>162</v>
      </c>
      <c r="BE52" s="30" t="n">
        <f aca="false">IF(COUNTIFS('Reguler Class Availability'!$L:$L,$B$4&amp;"|- Lane 1 - *|"&amp;BD52)&gt;0,1,0)</f>
        <v>0</v>
      </c>
      <c r="BF52" s="30" t="n">
        <f aca="false">BE52+BF51</f>
        <v>14</v>
      </c>
    </row>
    <row r="53" customFormat="false" ht="39.75" hidden="false" customHeight="true" outlineLevel="0" collapsed="false">
      <c r="A53" s="66" t="str">
        <f aca="false">IFERROR(INDEX($BD$122:$BD$181,MATCH(2,$BF$122:$BF$181,0)),"")</f>
        <v>09:00</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Little  0/4  (0%)
coach: –</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Little  0/4  (0%)
coach: –</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Little  0/4  (0%)
coach: –</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Little  0/4  (0%)
coach: –</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Little  0/4  (0%)
coach: –</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Little  3/4  (75%)
Maulana</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Little  2/4  (50%)
Alfi</v>
      </c>
      <c r="AN53" s="30" t="n">
        <f aca="false">IF($A53="","",IFERROR(MATCH($B$4&amp;"|- Lane 3 - "&amp;B$51&amp;"|"&amp;$A53,'Reguler Class Availability'!$L:$L,0),""))</f>
        <v>2075</v>
      </c>
      <c r="AO53" s="30" t="n">
        <f aca="false">IF($A53="","",IFERROR(MATCH($B$4&amp;"|- Lane 3 - "&amp;C$51&amp;"|"&amp;$A53,'Reguler Class Availability'!$L:$L,0),""))</f>
        <v>2087</v>
      </c>
      <c r="AP53" s="30" t="n">
        <f aca="false">IF($A53="","",IFERROR(MATCH($B$4&amp;"|- Lane 3 - "&amp;D$51&amp;"|"&amp;$A53,'Reguler Class Availability'!$L:$L,0),""))</f>
        <v>2099</v>
      </c>
      <c r="AQ53" s="30" t="n">
        <f aca="false">IF($A53="","",IFERROR(MATCH($B$4&amp;"|- Lane 3 - "&amp;E$51&amp;"|"&amp;$A53,'Reguler Class Availability'!$L:$L,0),""))</f>
        <v>2111</v>
      </c>
      <c r="AR53" s="30" t="n">
        <f aca="false">IF($A53="","",IFERROR(MATCH($B$4&amp;"|- Lane 3 - "&amp;F$51&amp;"|"&amp;$A53,'Reguler Class Availability'!$L:$L,0),""))</f>
        <v>2123</v>
      </c>
      <c r="AS53" s="30" t="n">
        <f aca="false">IF($A53="","",IFERROR(MATCH($B$4&amp;"|- Lane 3 - "&amp;G$51&amp;"|"&amp;$A53,'Reguler Class Availability'!$L:$L,0),""))</f>
        <v>2135</v>
      </c>
      <c r="AT53" s="30" t="n">
        <f aca="false">IF($A53="","",IFERROR(MATCH($B$4&amp;"|- Lane 3 - "&amp;H$51&amp;"|"&amp;$A53,'Reguler Class Availability'!$L:$L,0),""))</f>
        <v>2147</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Belum terisi</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Belum terisi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Belum terisi</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Belum terisi</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Belum terisi</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Tinggi</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Sebagian</v>
      </c>
      <c r="BD53" s="30" t="s">
        <v>163</v>
      </c>
      <c r="BE53" s="30" t="n">
        <f aca="false">IF(COUNTIFS('Reguler Class Availability'!$L:$L,$B$4&amp;"|- Lane 1 - *|"&amp;BD53)&gt;0,1,0)</f>
        <v>0</v>
      </c>
      <c r="BF53" s="30" t="n">
        <f aca="false">BE53+BF52</f>
        <v>14</v>
      </c>
    </row>
    <row r="54" customFormat="false" ht="39.75" hidden="false" customHeight="true" outlineLevel="0" collapsed="false">
      <c r="A54" s="66" t="str">
        <f aca="false">IFERROR(INDEX($BD$122:$BD$181,MATCH(3,$BF$122:$BF$181,0)),"")</f>
        <v>09:45</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Little  0/4  (0%)
coach: –</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Little  0/4  (0%)
coach: –</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Little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Little  3/4  (75%)
Shofi</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Little  0/4  (0%)
coach: –</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Little  2/4  (50%)
Maulana</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Little  3/4  (75%)
Alfi</v>
      </c>
      <c r="AN54" s="30" t="n">
        <f aca="false">IF($A54="","",IFERROR(MATCH($B$4&amp;"|- Lane 3 - "&amp;B$51&amp;"|"&amp;$A54,'Reguler Class Availability'!$L:$L,0),""))</f>
        <v>2076</v>
      </c>
      <c r="AO54" s="30" t="n">
        <f aca="false">IF($A54="","",IFERROR(MATCH($B$4&amp;"|- Lane 3 - "&amp;C$51&amp;"|"&amp;$A54,'Reguler Class Availability'!$L:$L,0),""))</f>
        <v>2088</v>
      </c>
      <c r="AP54" s="30" t="n">
        <f aca="false">IF($A54="","",IFERROR(MATCH($B$4&amp;"|- Lane 3 - "&amp;D$51&amp;"|"&amp;$A54,'Reguler Class Availability'!$L:$L,0),""))</f>
        <v>2100</v>
      </c>
      <c r="AQ54" s="30" t="n">
        <f aca="false">IF($A54="","",IFERROR(MATCH($B$4&amp;"|- Lane 3 - "&amp;E$51&amp;"|"&amp;$A54,'Reguler Class Availability'!$L:$L,0),""))</f>
        <v>2112</v>
      </c>
      <c r="AR54" s="30" t="n">
        <f aca="false">IF($A54="","",IFERROR(MATCH($B$4&amp;"|- Lane 3 - "&amp;F$51&amp;"|"&amp;$A54,'Reguler Class Availability'!$L:$L,0),""))</f>
        <v>2124</v>
      </c>
      <c r="AS54" s="30" t="n">
        <f aca="false">IF($A54="","",IFERROR(MATCH($B$4&amp;"|- Lane 3 - "&amp;G$51&amp;"|"&amp;$A54,'Reguler Class Availability'!$L:$L,0),""))</f>
        <v>2136</v>
      </c>
      <c r="AT54" s="30" t="n">
        <f aca="false">IF($A54="","",IFERROR(MATCH($B$4&amp;"|- Lane 3 - "&amp;H$51&amp;"|"&amp;$A54,'Reguler Class Availability'!$L:$L,0),""))</f>
        <v>2148</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Belum terisi</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Belum terisi</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Tinggi</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Belum terisi</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Sebagian</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Tinggi</v>
      </c>
      <c r="BD54" s="30" t="s">
        <v>164</v>
      </c>
      <c r="BE54" s="30" t="n">
        <f aca="false">IF(COUNTIFS('Reguler Class Availability'!$L:$L,$B$4&amp;"|- Lane 1 - *|"&amp;BD54)&gt;0,1,0)</f>
        <v>0</v>
      </c>
      <c r="BF54" s="30" t="n">
        <f aca="false">BE54+BF53</f>
        <v>14</v>
      </c>
    </row>
    <row r="55" customFormat="false" ht="39.75" hidden="false" customHeight="true" outlineLevel="0" collapsed="false">
      <c r="A55" s="66" t="str">
        <f aca="false">IFERROR(INDEX($BD$122:$BD$181,MATCH(4,$BF$122:$BF$181,0)),"")</f>
        <v>10:30</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Little  0/4  (0%)
coach: –</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Little  0/4  (0%)
coach: –</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Little  0/4  (0%)
coach: –</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Little  0/4  (0%)
coach: –</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Little  0/4  (0%)
coach: –</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Little  2/4  (50%)
Bagas</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Little  1/4  (25%)
Maulana</v>
      </c>
      <c r="AN55" s="30" t="n">
        <f aca="false">IF($A55="","",IFERROR(MATCH($B$4&amp;"|- Lane 3 - "&amp;B$51&amp;"|"&amp;$A55,'Reguler Class Availability'!$L:$L,0),""))</f>
        <v>2077</v>
      </c>
      <c r="AO55" s="30" t="n">
        <f aca="false">IF($A55="","",IFERROR(MATCH($B$4&amp;"|- Lane 3 - "&amp;C$51&amp;"|"&amp;$A55,'Reguler Class Availability'!$L:$L,0),""))</f>
        <v>2089</v>
      </c>
      <c r="AP55" s="30" t="n">
        <f aca="false">IF($A55="","",IFERROR(MATCH($B$4&amp;"|- Lane 3 - "&amp;D$51&amp;"|"&amp;$A55,'Reguler Class Availability'!$L:$L,0),""))</f>
        <v>2101</v>
      </c>
      <c r="AQ55" s="30" t="n">
        <f aca="false">IF($A55="","",IFERROR(MATCH($B$4&amp;"|- Lane 3 - "&amp;E$51&amp;"|"&amp;$A55,'Reguler Class Availability'!$L:$L,0),""))</f>
        <v>2113</v>
      </c>
      <c r="AR55" s="30" t="n">
        <f aca="false">IF($A55="","",IFERROR(MATCH($B$4&amp;"|- Lane 3 - "&amp;F$51&amp;"|"&amp;$A55,'Reguler Class Availability'!$L:$L,0),""))</f>
        <v>2125</v>
      </c>
      <c r="AS55" s="30" t="n">
        <f aca="false">IF($A55="","",IFERROR(MATCH($B$4&amp;"|- Lane 3 - "&amp;G$51&amp;"|"&amp;$A55,'Reguler Class Availability'!$L:$L,0),""))</f>
        <v>2137</v>
      </c>
      <c r="AT55" s="30" t="n">
        <f aca="false">IF($A55="","",IFERROR(MATCH($B$4&amp;"|- Lane 3 - "&amp;H$51&amp;"|"&amp;$A55,'Reguler Class Availability'!$L:$L,0),""))</f>
        <v>2149</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Belum terisi</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Belum terisi</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Belum terisi</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Belum terisi</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Belum terisi</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Sebagian</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Sebagian</v>
      </c>
      <c r="BD55" s="30" t="s">
        <v>165</v>
      </c>
      <c r="BE55" s="30" t="n">
        <f aca="false">IF(COUNTIFS('Reguler Class Availability'!$L:$L,$B$4&amp;"|- Lane 1 - *|"&amp;BD55)&gt;0,1,0)</f>
        <v>0</v>
      </c>
      <c r="BF55" s="30" t="n">
        <f aca="false">BE55+BF54</f>
        <v>14</v>
      </c>
    </row>
    <row r="56" customFormat="false" ht="39.75" hidden="false" customHeight="true" outlineLevel="0" collapsed="false">
      <c r="A56" s="66" t="str">
        <f aca="false">IFERROR(INDEX($BD$122:$BD$181,MATCH(5,$BF$122:$BF$181,0)),"")</f>
        <v>11:15</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Little  0/4  (0%)
coach: –</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Little  0/4  (0%)
coach: –</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Little  0/4  (0%)
coach: –</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Little  0/4  (0%)
coach: –</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Little  0/4  (0%)
coach: –</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Little  0/4  (0%)
coach: –</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Little  0/4  (0%)
coach: –</v>
      </c>
      <c r="AN56" s="30" t="n">
        <f aca="false">IF($A56="","",IFERROR(MATCH($B$4&amp;"|- Lane 3 - "&amp;B$51&amp;"|"&amp;$A56,'Reguler Class Availability'!$L:$L,0),""))</f>
        <v>2078</v>
      </c>
      <c r="AO56" s="30" t="n">
        <f aca="false">IF($A56="","",IFERROR(MATCH($B$4&amp;"|- Lane 3 - "&amp;C$51&amp;"|"&amp;$A56,'Reguler Class Availability'!$L:$L,0),""))</f>
        <v>2090</v>
      </c>
      <c r="AP56" s="30" t="n">
        <f aca="false">IF($A56="","",IFERROR(MATCH($B$4&amp;"|- Lane 3 - "&amp;D$51&amp;"|"&amp;$A56,'Reguler Class Availability'!$L:$L,0),""))</f>
        <v>2102</v>
      </c>
      <c r="AQ56" s="30" t="n">
        <f aca="false">IF($A56="","",IFERROR(MATCH($B$4&amp;"|- Lane 3 - "&amp;E$51&amp;"|"&amp;$A56,'Reguler Class Availability'!$L:$L,0),""))</f>
        <v>2114</v>
      </c>
      <c r="AR56" s="30" t="n">
        <f aca="false">IF($A56="","",IFERROR(MATCH($B$4&amp;"|- Lane 3 - "&amp;F$51&amp;"|"&amp;$A56,'Reguler Class Availability'!$L:$L,0),""))</f>
        <v>2126</v>
      </c>
      <c r="AS56" s="30" t="n">
        <f aca="false">IF($A56="","",IFERROR(MATCH($B$4&amp;"|- Lane 3 - "&amp;G$51&amp;"|"&amp;$A56,'Reguler Class Availability'!$L:$L,0),""))</f>
        <v>2138</v>
      </c>
      <c r="AT56" s="30" t="n">
        <f aca="false">IF($A56="","",IFERROR(MATCH($B$4&amp;"|- Lane 3 - "&amp;H$51&amp;"|"&amp;$A56,'Reguler Class Availability'!$L:$L,0),""))</f>
        <v>2150</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Belum terisi</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Belum terisi</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Belum terisi</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Belum terisi</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Belum terisi</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Belum terisi</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Belum terisi</v>
      </c>
      <c r="BD56" s="30" t="s">
        <v>166</v>
      </c>
      <c r="BE56" s="30" t="n">
        <f aca="false">IF(COUNTIFS('Reguler Class Availability'!$L:$L,$B$4&amp;"|- Lane 1 - *|"&amp;BD56)&gt;0,1,0)</f>
        <v>0</v>
      </c>
      <c r="BF56" s="30" t="n">
        <f aca="false">BE56+BF55</f>
        <v>14</v>
      </c>
    </row>
    <row r="57" customFormat="false" ht="39.75" hidden="false" customHeight="true" outlineLevel="0" collapsed="false">
      <c r="A57" s="66" t="str">
        <f aca="false">IFERROR(INDEX($BD$122:$BD$181,MATCH(6,$BF$122:$BF$181,0)),"")</f>
        <v>12:00</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Little  0/4  (0%)
coach: –</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Little  0/4  (0%)
coach: –</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Little  0/4  (0%)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Little  0/4  (0%)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Little  0/4  (0%)
coach: –</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Little  0/4  (0%)
coach: –</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Little  0/4  (0%)
coach: –</v>
      </c>
      <c r="AN57" s="30" t="n">
        <f aca="false">IF($A57="","",IFERROR(MATCH($B$4&amp;"|- Lane 3 - "&amp;B$51&amp;"|"&amp;$A57,'Reguler Class Availability'!$L:$L,0),""))</f>
        <v>2079</v>
      </c>
      <c r="AO57" s="30" t="n">
        <f aca="false">IF($A57="","",IFERROR(MATCH($B$4&amp;"|- Lane 3 - "&amp;C$51&amp;"|"&amp;$A57,'Reguler Class Availability'!$L:$L,0),""))</f>
        <v>2091</v>
      </c>
      <c r="AP57" s="30" t="n">
        <f aca="false">IF($A57="","",IFERROR(MATCH($B$4&amp;"|- Lane 3 - "&amp;D$51&amp;"|"&amp;$A57,'Reguler Class Availability'!$L:$L,0),""))</f>
        <v>2103</v>
      </c>
      <c r="AQ57" s="30" t="n">
        <f aca="false">IF($A57="","",IFERROR(MATCH($B$4&amp;"|- Lane 3 - "&amp;E$51&amp;"|"&amp;$A57,'Reguler Class Availability'!$L:$L,0),""))</f>
        <v>2115</v>
      </c>
      <c r="AR57" s="30" t="n">
        <f aca="false">IF($A57="","",IFERROR(MATCH($B$4&amp;"|- Lane 3 - "&amp;F$51&amp;"|"&amp;$A57,'Reguler Class Availability'!$L:$L,0),""))</f>
        <v>2127</v>
      </c>
      <c r="AS57" s="30" t="n">
        <f aca="false">IF($A57="","",IFERROR(MATCH($B$4&amp;"|- Lane 3 - "&amp;G$51&amp;"|"&amp;$A57,'Reguler Class Availability'!$L:$L,0),""))</f>
        <v>2139</v>
      </c>
      <c r="AT57" s="30" t="n">
        <f aca="false">IF($A57="","",IFERROR(MATCH($B$4&amp;"|- Lane 3 - "&amp;H$51&amp;"|"&amp;$A57,'Reguler Class Availability'!$L:$L,0),""))</f>
        <v>2151</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Belum terisi</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Belum terisi</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Belum terisi</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Belum terisi</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Belum terisi</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Belum terisi</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Belum terisi</v>
      </c>
      <c r="BD57" s="30" t="s">
        <v>167</v>
      </c>
      <c r="BE57" s="30" t="n">
        <f aca="false">IF(COUNTIFS('Reguler Class Availability'!$L:$L,$B$4&amp;"|- Lane 1 - *|"&amp;BD57)&gt;0,1,0)</f>
        <v>0</v>
      </c>
      <c r="BF57" s="30" t="n">
        <f aca="false">BE57+BF56</f>
        <v>14</v>
      </c>
    </row>
    <row r="58" customFormat="false" ht="39.75" hidden="false" customHeight="true" outlineLevel="0" collapsed="false">
      <c r="A58" s="66" t="str">
        <f aca="false">IFERROR(INDEX($BD$122:$BD$181,MATCH(7,$BF$122:$BF$181,0)),"")</f>
        <v>13:30</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Little  0/4  (0%)
coach: –</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Little  0/4  (0%)
coach: –</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Little  3/4  (75%)
Maulana</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Little  1/4  (25%)
Bagas</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Little  0/4  (0%)
coach: –</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Little  0/4  (0%)
coach: –</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Little  0/4  (0%)
coach: –</v>
      </c>
      <c r="AN58" s="30" t="n">
        <f aca="false">IF($A58="","",IFERROR(MATCH($B$4&amp;"|- Lane 3 - "&amp;B$51&amp;"|"&amp;$A58,'Reguler Class Availability'!$L:$L,0),""))</f>
        <v>2080</v>
      </c>
      <c r="AO58" s="30" t="n">
        <f aca="false">IF($A58="","",IFERROR(MATCH($B$4&amp;"|- Lane 3 - "&amp;C$51&amp;"|"&amp;$A58,'Reguler Class Availability'!$L:$L,0),""))</f>
        <v>2092</v>
      </c>
      <c r="AP58" s="30" t="n">
        <f aca="false">IF($A58="","",IFERROR(MATCH($B$4&amp;"|- Lane 3 - "&amp;D$51&amp;"|"&amp;$A58,'Reguler Class Availability'!$L:$L,0),""))</f>
        <v>2104</v>
      </c>
      <c r="AQ58" s="30" t="n">
        <f aca="false">IF($A58="","",IFERROR(MATCH($B$4&amp;"|- Lane 3 - "&amp;E$51&amp;"|"&amp;$A58,'Reguler Class Availability'!$L:$L,0),""))</f>
        <v>2116</v>
      </c>
      <c r="AR58" s="30" t="n">
        <f aca="false">IF($A58="","",IFERROR(MATCH($B$4&amp;"|- Lane 3 - "&amp;F$51&amp;"|"&amp;$A58,'Reguler Class Availability'!$L:$L,0),""))</f>
        <v>2128</v>
      </c>
      <c r="AS58" s="30" t="n">
        <f aca="false">IF($A58="","",IFERROR(MATCH($B$4&amp;"|- Lane 3 - "&amp;G$51&amp;"|"&amp;$A58,'Reguler Class Availability'!$L:$L,0),""))</f>
        <v>2140</v>
      </c>
      <c r="AT58" s="30" t="n">
        <f aca="false">IF($A58="","",IFERROR(MATCH($B$4&amp;"|- Lane 3 - "&amp;H$51&amp;"|"&amp;$A58,'Reguler Class Availability'!$L:$L,0),""))</f>
        <v>2152</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Belum terisi</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Belum terisi</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Tinggi</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Sebagian</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Belum terisi</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Belum terisi</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Belum terisi</v>
      </c>
      <c r="BD58" s="30" t="s">
        <v>168</v>
      </c>
      <c r="BE58" s="30" t="n">
        <f aca="false">IF(COUNTIFS('Reguler Class Availability'!$L:$L,$B$4&amp;"|- Lane 1 - *|"&amp;BD58)&gt;0,1,0)</f>
        <v>0</v>
      </c>
      <c r="BF58" s="30" t="n">
        <f aca="false">BE58+BF57</f>
        <v>14</v>
      </c>
    </row>
    <row r="59" customFormat="false" ht="39.75" hidden="false" customHeight="true" outlineLevel="0" collapsed="false">
      <c r="A59" s="66" t="str">
        <f aca="false">IFERROR(INDEX($BD$122:$BD$181,MATCH(8,$BF$122:$BF$181,0)),"")</f>
        <v>14:15</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Little  2/4  (50%)
Alfi</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Little  0/4  (0%)
coach: –</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Little  0/4  (0%)
coach: –</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Little  0/4  (0%)
coach: –</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Little  0/4  (0%)
coach: –</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Little  0/4  (0%)
coach: –</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Little  0/4  (0%)
coach: –</v>
      </c>
      <c r="AN59" s="30" t="n">
        <f aca="false">IF($A59="","",IFERROR(MATCH($B$4&amp;"|- Lane 3 - "&amp;B$51&amp;"|"&amp;$A59,'Reguler Class Availability'!$L:$L,0),""))</f>
        <v>2081</v>
      </c>
      <c r="AO59" s="30" t="n">
        <f aca="false">IF($A59="","",IFERROR(MATCH($B$4&amp;"|- Lane 3 - "&amp;C$51&amp;"|"&amp;$A59,'Reguler Class Availability'!$L:$L,0),""))</f>
        <v>2093</v>
      </c>
      <c r="AP59" s="30" t="n">
        <f aca="false">IF($A59="","",IFERROR(MATCH($B$4&amp;"|- Lane 3 - "&amp;D$51&amp;"|"&amp;$A59,'Reguler Class Availability'!$L:$L,0),""))</f>
        <v>2105</v>
      </c>
      <c r="AQ59" s="30" t="n">
        <f aca="false">IF($A59="","",IFERROR(MATCH($B$4&amp;"|- Lane 3 - "&amp;E$51&amp;"|"&amp;$A59,'Reguler Class Availability'!$L:$L,0),""))</f>
        <v>2117</v>
      </c>
      <c r="AR59" s="30" t="n">
        <f aca="false">IF($A59="","",IFERROR(MATCH($B$4&amp;"|- Lane 3 - "&amp;F$51&amp;"|"&amp;$A59,'Reguler Class Availability'!$L:$L,0),""))</f>
        <v>2129</v>
      </c>
      <c r="AS59" s="30" t="n">
        <f aca="false">IF($A59="","",IFERROR(MATCH($B$4&amp;"|- Lane 3 - "&amp;G$51&amp;"|"&amp;$A59,'Reguler Class Availability'!$L:$L,0),""))</f>
        <v>2141</v>
      </c>
      <c r="AT59" s="30" t="n">
        <f aca="false">IF($A59="","",IFERROR(MATCH($B$4&amp;"|- Lane 3 - "&amp;H$51&amp;"|"&amp;$A59,'Reguler Class Availability'!$L:$L,0),""))</f>
        <v>2153</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Sebagian</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Belum terisi</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Belum terisi</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Belum terisi</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Belum terisi</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Belum terisi</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Belum terisi</v>
      </c>
      <c r="BD59" s="30" t="s">
        <v>169</v>
      </c>
      <c r="BE59" s="30" t="n">
        <f aca="false">IF(COUNTIFS('Reguler Class Availability'!$L:$L,$B$4&amp;"|- Lane 1 - *|"&amp;BD59)&gt;0,1,0)</f>
        <v>0</v>
      </c>
      <c r="BF59" s="30" t="n">
        <f aca="false">BE59+BF58</f>
        <v>14</v>
      </c>
    </row>
    <row r="60" customFormat="false" ht="39.75" hidden="false" customHeight="true" outlineLevel="0" collapsed="false">
      <c r="A60" s="66" t="str">
        <f aca="false">IFERROR(INDEX($BD$122:$BD$181,MATCH(9,$BF$122:$BF$181,0)),"")</f>
        <v>15:00</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Little  1/4  (25%)
Aldi</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Little  0/4  (0%)
coach: –</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Little  2/4  (50%)
Bagas</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Little  0/4  (0%)
coach: –</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Little  3/4  (75%)
Bagas</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Little  0/4  (0%)
coach: –</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Little  3/4  (75%)
Doni</v>
      </c>
      <c r="AN60" s="30" t="n">
        <f aca="false">IF($A60="","",IFERROR(MATCH($B$4&amp;"|- Lane 3 - "&amp;B$51&amp;"|"&amp;$A60,'Reguler Class Availability'!$L:$L,0),""))</f>
        <v>2082</v>
      </c>
      <c r="AO60" s="30" t="n">
        <f aca="false">IF($A60="","",IFERROR(MATCH($B$4&amp;"|- Lane 3 - "&amp;C$51&amp;"|"&amp;$A60,'Reguler Class Availability'!$L:$L,0),""))</f>
        <v>2094</v>
      </c>
      <c r="AP60" s="30" t="n">
        <f aca="false">IF($A60="","",IFERROR(MATCH($B$4&amp;"|- Lane 3 - "&amp;D$51&amp;"|"&amp;$A60,'Reguler Class Availability'!$L:$L,0),""))</f>
        <v>2106</v>
      </c>
      <c r="AQ60" s="30" t="n">
        <f aca="false">IF($A60="","",IFERROR(MATCH($B$4&amp;"|- Lane 3 - "&amp;E$51&amp;"|"&amp;$A60,'Reguler Class Availability'!$L:$L,0),""))</f>
        <v>2118</v>
      </c>
      <c r="AR60" s="30" t="n">
        <f aca="false">IF($A60="","",IFERROR(MATCH($B$4&amp;"|- Lane 3 - "&amp;F$51&amp;"|"&amp;$A60,'Reguler Class Availability'!$L:$L,0),""))</f>
        <v>2130</v>
      </c>
      <c r="AS60" s="30" t="n">
        <f aca="false">IF($A60="","",IFERROR(MATCH($B$4&amp;"|- Lane 3 - "&amp;G$51&amp;"|"&amp;$A60,'Reguler Class Availability'!$L:$L,0),""))</f>
        <v>2142</v>
      </c>
      <c r="AT60" s="30" t="n">
        <f aca="false">IF($A60="","",IFERROR(MATCH($B$4&amp;"|- Lane 3 - "&amp;H$51&amp;"|"&amp;$A60,'Reguler Class Availability'!$L:$L,0),""))</f>
        <v>2154</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Sebagian</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Belum terisi</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Sebagian</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Belum terisi</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Tinggi</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Belum terisi</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Tinggi</v>
      </c>
      <c r="BD60" s="30" t="s">
        <v>170</v>
      </c>
      <c r="BE60" s="30" t="n">
        <f aca="false">IF(COUNTIFS('Reguler Class Availability'!$L:$L,$B$4&amp;"|- Lane 1 - *|"&amp;BD60)&gt;0,1,0)</f>
        <v>0</v>
      </c>
      <c r="BF60" s="30" t="n">
        <f aca="false">BE60+BF59</f>
        <v>14</v>
      </c>
    </row>
    <row r="61" customFormat="false" ht="39.75" hidden="false" customHeight="true" outlineLevel="0" collapsed="false">
      <c r="A61" s="66" t="str">
        <f aca="false">IFERROR(INDEX($BD$122:$BD$181,MATCH(10,$BF$122:$BF$181,0)),"")</f>
        <v>15:45</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Little  0/4  (0%)
coach: –</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Little  1/4  (25%)
Maulana</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Little  4/4  (100%)
Shofi</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Little  2/4  (50%)
Shofi</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Little  1/4  (25%)
Tara</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Little  1/4  (25%)
Bagas</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Little  2/4  (50%)
Shofi </v>
      </c>
      <c r="AN61" s="30" t="n">
        <f aca="false">IF($A61="","",IFERROR(MATCH($B$4&amp;"|- Lane 3 - "&amp;B$51&amp;"|"&amp;$A61,'Reguler Class Availability'!$L:$L,0),""))</f>
        <v>2083</v>
      </c>
      <c r="AO61" s="30" t="n">
        <f aca="false">IF($A61="","",IFERROR(MATCH($B$4&amp;"|- Lane 3 - "&amp;C$51&amp;"|"&amp;$A61,'Reguler Class Availability'!$L:$L,0),""))</f>
        <v>2095</v>
      </c>
      <c r="AP61" s="30" t="n">
        <f aca="false">IF($A61="","",IFERROR(MATCH($B$4&amp;"|- Lane 3 - "&amp;D$51&amp;"|"&amp;$A61,'Reguler Class Availability'!$L:$L,0),""))</f>
        <v>2107</v>
      </c>
      <c r="AQ61" s="30" t="n">
        <f aca="false">IF($A61="","",IFERROR(MATCH($B$4&amp;"|- Lane 3 - "&amp;E$51&amp;"|"&amp;$A61,'Reguler Class Availability'!$L:$L,0),""))</f>
        <v>2119</v>
      </c>
      <c r="AR61" s="30" t="n">
        <f aca="false">IF($A61="","",IFERROR(MATCH($B$4&amp;"|- Lane 3 - "&amp;F$51&amp;"|"&amp;$A61,'Reguler Class Availability'!$L:$L,0),""))</f>
        <v>2131</v>
      </c>
      <c r="AS61" s="30" t="n">
        <f aca="false">IF($A61="","",IFERROR(MATCH($B$4&amp;"|- Lane 3 - "&amp;G$51&amp;"|"&amp;$A61,'Reguler Class Availability'!$L:$L,0),""))</f>
        <v>2143</v>
      </c>
      <c r="AT61" s="30" t="n">
        <f aca="false">IF($A61="","",IFERROR(MATCH($B$4&amp;"|- Lane 3 - "&amp;H$51&amp;"|"&amp;$A61,'Reguler Class Availability'!$L:$L,0),""))</f>
        <v>2155</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Belum terisi</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Sebagian</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Penuh</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Sebagian</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Sebagian</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Sebagian</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Sebagian</v>
      </c>
      <c r="BD61" s="30" t="s">
        <v>171</v>
      </c>
      <c r="BE61" s="30" t="n">
        <f aca="false">IF(COUNTIFS('Reguler Class Availability'!$L:$L,$B$4&amp;"|- Lane 1 - *|"&amp;BD61)&gt;0,1,0)</f>
        <v>0</v>
      </c>
      <c r="BF61" s="30" t="n">
        <f aca="false">BE61+BF60</f>
        <v>14</v>
      </c>
    </row>
    <row r="62" customFormat="false" ht="39.75" hidden="false" customHeight="true" outlineLevel="0" collapsed="false">
      <c r="A62" s="66" t="str">
        <f aca="false">IFERROR(INDEX($BD$122:$BD$181,MATCH(11,$BF$122:$BF$181,0)),"")</f>
        <v>16:30</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Little  2/4  (50%)
Alfi</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Little  0/4  (0%)
coach: –</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Little  3/4  (75%)
Maulana</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Little  3/4  (75%)
Shofi</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Little  4/4  (100%)
Shofi</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Little  3/4  (75%)
Alfi</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Little  0/4  (0%)
coach: –</v>
      </c>
      <c r="AN62" s="30" t="n">
        <f aca="false">IF($A62="","",IFERROR(MATCH($B$4&amp;"|- Lane 3 - "&amp;B$51&amp;"|"&amp;$A62,'Reguler Class Availability'!$L:$L,0),""))</f>
        <v>2084</v>
      </c>
      <c r="AO62" s="30" t="n">
        <f aca="false">IF($A62="","",IFERROR(MATCH($B$4&amp;"|- Lane 3 - "&amp;C$51&amp;"|"&amp;$A62,'Reguler Class Availability'!$L:$L,0),""))</f>
        <v>2096</v>
      </c>
      <c r="AP62" s="30" t="n">
        <f aca="false">IF($A62="","",IFERROR(MATCH($B$4&amp;"|- Lane 3 - "&amp;D$51&amp;"|"&amp;$A62,'Reguler Class Availability'!$L:$L,0),""))</f>
        <v>2108</v>
      </c>
      <c r="AQ62" s="30" t="n">
        <f aca="false">IF($A62="","",IFERROR(MATCH($B$4&amp;"|- Lane 3 - "&amp;E$51&amp;"|"&amp;$A62,'Reguler Class Availability'!$L:$L,0),""))</f>
        <v>2120</v>
      </c>
      <c r="AR62" s="30" t="n">
        <f aca="false">IF($A62="","",IFERROR(MATCH($B$4&amp;"|- Lane 3 - "&amp;F$51&amp;"|"&amp;$A62,'Reguler Class Availability'!$L:$L,0),""))</f>
        <v>2132</v>
      </c>
      <c r="AS62" s="30" t="n">
        <f aca="false">IF($A62="","",IFERROR(MATCH($B$4&amp;"|- Lane 3 - "&amp;G$51&amp;"|"&amp;$A62,'Reguler Class Availability'!$L:$L,0),""))</f>
        <v>2144</v>
      </c>
      <c r="AT62" s="30" t="n">
        <f aca="false">IF($A62="","",IFERROR(MATCH($B$4&amp;"|- Lane 3 - "&amp;H$51&amp;"|"&amp;$A62,'Reguler Class Availability'!$L:$L,0),""))</f>
        <v>2156</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Sebagian</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Belum terisi</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Tinggi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Tinggi</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Penuh</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Tinggi</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Belum terisi</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17:15</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Little  0/4  (0%)
coach: –</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Little  0/4  (0%)
coach: –</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Little  0/4  (0%)
coach: –</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Little  0/4  (0%)
coach: –</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Little  3/4  (75%)
Aldi</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Little  0/4  (0%)
coach: –</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Little  0/4  (0%)
coach: –</v>
      </c>
      <c r="AN63" s="30" t="n">
        <f aca="false">IF($A63="","",IFERROR(MATCH($B$4&amp;"|- Lane 3 - "&amp;B$51&amp;"|"&amp;$A63,'Reguler Class Availability'!$L:$L,0),""))</f>
        <v>2085</v>
      </c>
      <c r="AO63" s="30" t="n">
        <f aca="false">IF($A63="","",IFERROR(MATCH($B$4&amp;"|- Lane 3 - "&amp;C$51&amp;"|"&amp;$A63,'Reguler Class Availability'!$L:$L,0),""))</f>
        <v>2097</v>
      </c>
      <c r="AP63" s="30" t="n">
        <f aca="false">IF($A63="","",IFERROR(MATCH($B$4&amp;"|- Lane 3 - "&amp;D$51&amp;"|"&amp;$A63,'Reguler Class Availability'!$L:$L,0),""))</f>
        <v>2109</v>
      </c>
      <c r="AQ63" s="30" t="n">
        <f aca="false">IF($A63="","",IFERROR(MATCH($B$4&amp;"|- Lane 3 - "&amp;E$51&amp;"|"&amp;$A63,'Reguler Class Availability'!$L:$L,0),""))</f>
        <v>2121</v>
      </c>
      <c r="AR63" s="30" t="n">
        <f aca="false">IF($A63="","",IFERROR(MATCH($B$4&amp;"|- Lane 3 - "&amp;F$51&amp;"|"&amp;$A63,'Reguler Class Availability'!$L:$L,0),""))</f>
        <v>2133</v>
      </c>
      <c r="AS63" s="30" t="n">
        <f aca="false">IF($A63="","",IFERROR(MATCH($B$4&amp;"|- Lane 3 - "&amp;G$51&amp;"|"&amp;$A63,'Reguler Class Availability'!$L:$L,0),""))</f>
        <v>2145</v>
      </c>
      <c r="AT63" s="30" t="n">
        <f aca="false">IF($A63="","",IFERROR(MATCH($B$4&amp;"|- Lane 3 - "&amp;H$51&amp;"|"&amp;$A63,'Reguler Class Availability'!$L:$L,0),""))</f>
        <v>2157</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Belum terisi</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Belum terisi</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Belum terisi</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Belum terisi</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Tinggi</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Belum terisi</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Belum terisi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10%</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2%</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25%</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19%</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23%</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23%</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23%</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21%   ·   Belum terisi: 58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08:15</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0/4  (0%)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0/4  (0%)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0/4  (0%)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0/4  (0%)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0/4  (0%)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0/4  (0%)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0/4  (0%)
coach: –</v>
      </c>
      <c r="AN70" s="30" t="n">
        <f aca="false">IF($A70="","",IFERROR(MATCH($B$4&amp;"|- Lane 4 - "&amp;B$69&amp;"|"&amp;$A70,'Reguler Class Availability'!$L:$L,0),""))</f>
        <v>2158</v>
      </c>
      <c r="AO70" s="30" t="n">
        <f aca="false">IF($A70="","",IFERROR(MATCH($B$4&amp;"|- Lane 4 - "&amp;C$69&amp;"|"&amp;$A70,'Reguler Class Availability'!$L:$L,0),""))</f>
        <v>2170</v>
      </c>
      <c r="AP70" s="30" t="n">
        <f aca="false">IF($A70="","",IFERROR(MATCH($B$4&amp;"|- Lane 4 - "&amp;D$69&amp;"|"&amp;$A70,'Reguler Class Availability'!$L:$L,0),""))</f>
        <v>2182</v>
      </c>
      <c r="AQ70" s="30" t="n">
        <f aca="false">IF($A70="","",IFERROR(MATCH($B$4&amp;"|- Lane 4 - "&amp;E$69&amp;"|"&amp;$A70,'Reguler Class Availability'!$L:$L,0),""))</f>
        <v>2194</v>
      </c>
      <c r="AR70" s="30" t="n">
        <f aca="false">IF($A70="","",IFERROR(MATCH($B$4&amp;"|- Lane 4 - "&amp;F$69&amp;"|"&amp;$A70,'Reguler Class Availability'!$L:$L,0),""))</f>
        <v>2206</v>
      </c>
      <c r="AS70" s="30" t="n">
        <f aca="false">IF($A70="","",IFERROR(MATCH($B$4&amp;"|- Lane 4 - "&amp;G$69&amp;"|"&amp;$A70,'Reguler Class Availability'!$L:$L,0),""))</f>
        <v>2218</v>
      </c>
      <c r="AT70" s="30" t="n">
        <f aca="false">IF($A70="","",IFERROR(MATCH($B$4&amp;"|- Lane 4 - "&amp;H$69&amp;"|"&amp;$A70,'Reguler Class Availability'!$L:$L,0),""))</f>
        <v>2230</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Belum terisi</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Belum terisi</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Belum terisi</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Belum terisi</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Belum terisi</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Belum terisi</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Belum terisi</v>
      </c>
      <c r="BD70" s="30" t="s">
        <v>105</v>
      </c>
      <c r="BE70" s="30" t="n">
        <f aca="false">IF(COUNTIFS('Reguler Class Availability'!$L:$L,$B$4&amp;"|- Lane 2 - *|"&amp;BD70)&gt;0,1,0)</f>
        <v>1</v>
      </c>
      <c r="BF70" s="30" t="n">
        <f aca="false">BE70+BF69</f>
        <v>1</v>
      </c>
    </row>
    <row r="71" customFormat="false" ht="39.75" hidden="false" customHeight="true" outlineLevel="0" collapsed="false">
      <c r="A71" s="66" t="str">
        <f aca="false">IFERROR(INDEX($BD$182:$BD$241,MATCH(2,$BF$182:$BF$241,0)),"")</f>
        <v>09:00</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0/4  (0%)
coach: –</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0/4  (0%)
coach: –</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4/4  (100%)
Maulana</v>
      </c>
      <c r="AN71" s="30" t="n">
        <f aca="false">IF($A71="","",IFERROR(MATCH($B$4&amp;"|- Lane 4 - "&amp;B$69&amp;"|"&amp;$A71,'Reguler Class Availability'!$L:$L,0),""))</f>
        <v>2159</v>
      </c>
      <c r="AO71" s="30" t="n">
        <f aca="false">IF($A71="","",IFERROR(MATCH($B$4&amp;"|- Lane 4 - "&amp;C$69&amp;"|"&amp;$A71,'Reguler Class Availability'!$L:$L,0),""))</f>
        <v>2171</v>
      </c>
      <c r="AP71" s="30" t="n">
        <f aca="false">IF($A71="","",IFERROR(MATCH($B$4&amp;"|- Lane 4 - "&amp;D$69&amp;"|"&amp;$A71,'Reguler Class Availability'!$L:$L,0),""))</f>
        <v>2183</v>
      </c>
      <c r="AQ71" s="30" t="n">
        <f aca="false">IF($A71="","",IFERROR(MATCH($B$4&amp;"|- Lane 4 - "&amp;E$69&amp;"|"&amp;$A71,'Reguler Class Availability'!$L:$L,0),""))</f>
        <v>2195</v>
      </c>
      <c r="AR71" s="30" t="n">
        <f aca="false">IF($A71="","",IFERROR(MATCH($B$4&amp;"|- Lane 4 - "&amp;F$69&amp;"|"&amp;$A71,'Reguler Class Availability'!$L:$L,0),""))</f>
        <v>2207</v>
      </c>
      <c r="AS71" s="30" t="n">
        <f aca="false">IF($A71="","",IFERROR(MATCH($B$4&amp;"|- Lane 4 - "&amp;G$69&amp;"|"&amp;$A71,'Reguler Class Availability'!$L:$L,0),""))</f>
        <v>2219</v>
      </c>
      <c r="AT71" s="30" t="n">
        <f aca="false">IF($A71="","",IFERROR(MATCH($B$4&amp;"|- Lane 4 - "&amp;H$69&amp;"|"&amp;$A71,'Reguler Class Availability'!$L:$L,0),""))</f>
        <v>2231</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Belum terisi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Belum terisi</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Penuh</v>
      </c>
      <c r="BD71" s="30" t="s">
        <v>110</v>
      </c>
      <c r="BE71" s="30" t="n">
        <f aca="false">IF(COUNTIFS('Reguler Class Availability'!$L:$L,$B$4&amp;"|- Lane 2 - *|"&amp;BD71)&gt;0,1,0)</f>
        <v>0</v>
      </c>
      <c r="BF71" s="30" t="n">
        <f aca="false">BE71+BF70</f>
        <v>1</v>
      </c>
    </row>
    <row r="72" customFormat="false" ht="39.75" hidden="false" customHeight="true" outlineLevel="0" collapsed="false">
      <c r="A72" s="66" t="str">
        <f aca="false">IFERROR(INDEX($BD$182:$BD$241,MATCH(3,$BF$182:$BF$241,0)),"")</f>
        <v>09:45</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0/4  (0%)
coach: –</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0/4  (0%)
coach: –</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0/4  (0%)
coach: –</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3/4  (75%)
Alfi</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0/4  (0%)
coach: –</v>
      </c>
      <c r="AN72" s="30" t="n">
        <f aca="false">IF($A72="","",IFERROR(MATCH($B$4&amp;"|- Lane 4 - "&amp;B$69&amp;"|"&amp;$A72,'Reguler Class Availability'!$L:$L,0),""))</f>
        <v>2160</v>
      </c>
      <c r="AO72" s="30" t="n">
        <f aca="false">IF($A72="","",IFERROR(MATCH($B$4&amp;"|- Lane 4 - "&amp;C$69&amp;"|"&amp;$A72,'Reguler Class Availability'!$L:$L,0),""))</f>
        <v>2172</v>
      </c>
      <c r="AP72" s="30" t="n">
        <f aca="false">IF($A72="","",IFERROR(MATCH($B$4&amp;"|- Lane 4 - "&amp;D$69&amp;"|"&amp;$A72,'Reguler Class Availability'!$L:$L,0),""))</f>
        <v>2184</v>
      </c>
      <c r="AQ72" s="30" t="n">
        <f aca="false">IF($A72="","",IFERROR(MATCH($B$4&amp;"|- Lane 4 - "&amp;E$69&amp;"|"&amp;$A72,'Reguler Class Availability'!$L:$L,0),""))</f>
        <v>2196</v>
      </c>
      <c r="AR72" s="30" t="n">
        <f aca="false">IF($A72="","",IFERROR(MATCH($B$4&amp;"|- Lane 4 - "&amp;F$69&amp;"|"&amp;$A72,'Reguler Class Availability'!$L:$L,0),""))</f>
        <v>2208</v>
      </c>
      <c r="AS72" s="30" t="n">
        <f aca="false">IF($A72="","",IFERROR(MATCH($B$4&amp;"|- Lane 4 - "&amp;G$69&amp;"|"&amp;$A72,'Reguler Class Availability'!$L:$L,0),""))</f>
        <v>2220</v>
      </c>
      <c r="AT72" s="30" t="n">
        <f aca="false">IF($A72="","",IFERROR(MATCH($B$4&amp;"|- Lane 4 - "&amp;H$69&amp;"|"&amp;$A72,'Reguler Class Availability'!$L:$L,0),""))</f>
        <v>2232</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Belum terisi</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Belum terisi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Belum terisi</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Tinggi</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Belum terisi</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10:30</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0/4  (0%)
coach: –</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0/4  (0%)
coach: –</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2/4  (50%)
Doni</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0/4  (0%)
coach: –</v>
      </c>
      <c r="AN73" s="30" t="n">
        <f aca="false">IF($A73="","",IFERROR(MATCH($B$4&amp;"|- Lane 4 - "&amp;B$69&amp;"|"&amp;$A73,'Reguler Class Availability'!$L:$L,0),""))</f>
        <v>2161</v>
      </c>
      <c r="AO73" s="30" t="n">
        <f aca="false">IF($A73="","",IFERROR(MATCH($B$4&amp;"|- Lane 4 - "&amp;C$69&amp;"|"&amp;$A73,'Reguler Class Availability'!$L:$L,0),""))</f>
        <v>2173</v>
      </c>
      <c r="AP73" s="30" t="n">
        <f aca="false">IF($A73="","",IFERROR(MATCH($B$4&amp;"|- Lane 4 - "&amp;D$69&amp;"|"&amp;$A73,'Reguler Class Availability'!$L:$L,0),""))</f>
        <v>2185</v>
      </c>
      <c r="AQ73" s="30" t="n">
        <f aca="false">IF($A73="","",IFERROR(MATCH($B$4&amp;"|- Lane 4 - "&amp;E$69&amp;"|"&amp;$A73,'Reguler Class Availability'!$L:$L,0),""))</f>
        <v>2197</v>
      </c>
      <c r="AR73" s="30" t="n">
        <f aca="false">IF($A73="","",IFERROR(MATCH($B$4&amp;"|- Lane 4 - "&amp;F$69&amp;"|"&amp;$A73,'Reguler Class Availability'!$L:$L,0),""))</f>
        <v>2209</v>
      </c>
      <c r="AS73" s="30" t="n">
        <f aca="false">IF($A73="","",IFERROR(MATCH($B$4&amp;"|- Lane 4 - "&amp;G$69&amp;"|"&amp;$A73,'Reguler Class Availability'!$L:$L,0),""))</f>
        <v>2221</v>
      </c>
      <c r="AT73" s="30" t="n">
        <f aca="false">IF($A73="","",IFERROR(MATCH($B$4&amp;"|- Lane 4 - "&amp;H$69&amp;"|"&amp;$A73,'Reguler Class Availability'!$L:$L,0),""))</f>
        <v>2233</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Belum terisi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Belum terisi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Sebagian</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Belum terisi</v>
      </c>
      <c r="BD73" s="30" t="s">
        <v>120</v>
      </c>
      <c r="BE73" s="30" t="n">
        <f aca="false">IF(COUNTIFS('Reguler Class Availability'!$L:$L,$B$4&amp;"|- Lane 2 - *|"&amp;BD73)&gt;0,1,0)</f>
        <v>1</v>
      </c>
      <c r="BF73" s="30" t="n">
        <f aca="false">BE73+BF72</f>
        <v>2</v>
      </c>
    </row>
    <row r="74" customFormat="false" ht="39.75" hidden="false" customHeight="true" outlineLevel="0" collapsed="false">
      <c r="A74" s="66" t="str">
        <f aca="false">IFERROR(INDEX($BD$182:$BD$241,MATCH(5,$BF$182:$BF$241,0)),"")</f>
        <v>11:15</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0/4  (0%)
coach: –</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1/4  (25%)
Maulana</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0/4  (0%)
coach: –</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0/4  (0%)
coach: –</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0/4  (0%)
coach: –</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0/4  (0%)
coach: –</v>
      </c>
      <c r="AN74" s="30" t="n">
        <f aca="false">IF($A74="","",IFERROR(MATCH($B$4&amp;"|- Lane 4 - "&amp;B$69&amp;"|"&amp;$A74,'Reguler Class Availability'!$L:$L,0),""))</f>
        <v>2162</v>
      </c>
      <c r="AO74" s="30" t="n">
        <f aca="false">IF($A74="","",IFERROR(MATCH($B$4&amp;"|- Lane 4 - "&amp;C$69&amp;"|"&amp;$A74,'Reguler Class Availability'!$L:$L,0),""))</f>
        <v>2174</v>
      </c>
      <c r="AP74" s="30" t="n">
        <f aca="false">IF($A74="","",IFERROR(MATCH($B$4&amp;"|- Lane 4 - "&amp;D$69&amp;"|"&amp;$A74,'Reguler Class Availability'!$L:$L,0),""))</f>
        <v>2186</v>
      </c>
      <c r="AQ74" s="30" t="n">
        <f aca="false">IF($A74="","",IFERROR(MATCH($B$4&amp;"|- Lane 4 - "&amp;E$69&amp;"|"&amp;$A74,'Reguler Class Availability'!$L:$L,0),""))</f>
        <v>2198</v>
      </c>
      <c r="AR74" s="30" t="n">
        <f aca="false">IF($A74="","",IFERROR(MATCH($B$4&amp;"|- Lane 4 - "&amp;F$69&amp;"|"&amp;$A74,'Reguler Class Availability'!$L:$L,0),""))</f>
        <v>2210</v>
      </c>
      <c r="AS74" s="30" t="n">
        <f aca="false">IF($A74="","",IFERROR(MATCH($B$4&amp;"|- Lane 4 - "&amp;G$69&amp;"|"&amp;$A74,'Reguler Class Availability'!$L:$L,0),""))</f>
        <v>2222</v>
      </c>
      <c r="AT74" s="30" t="n">
        <f aca="false">IF($A74="","",IFERROR(MATCH($B$4&amp;"|- Lane 4 - "&amp;H$69&amp;"|"&amp;$A74,'Reguler Class Availability'!$L:$L,0),""))</f>
        <v>2234</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Belum terisi</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Sebagian</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Belum terisi</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Belum terisi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Belum terisi</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Belum terisi</v>
      </c>
      <c r="BD74" s="30" t="s">
        <v>121</v>
      </c>
      <c r="BE74" s="30" t="n">
        <f aca="false">IF(COUNTIFS('Reguler Class Availability'!$L:$L,$B$4&amp;"|- Lane 2 - *|"&amp;BD74)&gt;0,1,0)</f>
        <v>0</v>
      </c>
      <c r="BF74" s="30" t="n">
        <f aca="false">BE74+BF73</f>
        <v>2</v>
      </c>
    </row>
    <row r="75" customFormat="false" ht="39.75" hidden="false" customHeight="true" outlineLevel="0" collapsed="false">
      <c r="A75" s="66" t="str">
        <f aca="false">IFERROR(INDEX($BD$182:$BD$241,MATCH(6,$BF$182:$BF$241,0)),"")</f>
        <v>12:00</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0/4  (0%)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0/4  (0%)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0/4  (0%)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0/4  (0%)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0/4  (0%)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0/4  (0%)
coach: –</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0/4  (0%)
coach: –</v>
      </c>
      <c r="AN75" s="30" t="n">
        <f aca="false">IF($A75="","",IFERROR(MATCH($B$4&amp;"|- Lane 4 - "&amp;B$69&amp;"|"&amp;$A75,'Reguler Class Availability'!$L:$L,0),""))</f>
        <v>2163</v>
      </c>
      <c r="AO75" s="30" t="n">
        <f aca="false">IF($A75="","",IFERROR(MATCH($B$4&amp;"|- Lane 4 - "&amp;C$69&amp;"|"&amp;$A75,'Reguler Class Availability'!$L:$L,0),""))</f>
        <v>2175</v>
      </c>
      <c r="AP75" s="30" t="n">
        <f aca="false">IF($A75="","",IFERROR(MATCH($B$4&amp;"|- Lane 4 - "&amp;D$69&amp;"|"&amp;$A75,'Reguler Class Availability'!$L:$L,0),""))</f>
        <v>2187</v>
      </c>
      <c r="AQ75" s="30" t="n">
        <f aca="false">IF($A75="","",IFERROR(MATCH($B$4&amp;"|- Lane 4 - "&amp;E$69&amp;"|"&amp;$A75,'Reguler Class Availability'!$L:$L,0),""))</f>
        <v>2199</v>
      </c>
      <c r="AR75" s="30" t="n">
        <f aca="false">IF($A75="","",IFERROR(MATCH($B$4&amp;"|- Lane 4 - "&amp;F$69&amp;"|"&amp;$A75,'Reguler Class Availability'!$L:$L,0),""))</f>
        <v>2211</v>
      </c>
      <c r="AS75" s="30" t="n">
        <f aca="false">IF($A75="","",IFERROR(MATCH($B$4&amp;"|- Lane 4 - "&amp;G$69&amp;"|"&amp;$A75,'Reguler Class Availability'!$L:$L,0),""))</f>
        <v>2223</v>
      </c>
      <c r="AT75" s="30" t="n">
        <f aca="false">IF($A75="","",IFERROR(MATCH($B$4&amp;"|- Lane 4 - "&amp;H$69&amp;"|"&amp;$A75,'Reguler Class Availability'!$L:$L,0),""))</f>
        <v>2235</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Belum terisi</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Belum terisi</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Belum terisi</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Belum terisi</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Belum terisi</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Belum terisi</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Belum terisi</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13:30</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0/4  (0%)
coach: –</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0/4  (0%)
coach: –</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0/4  (0%)
coach: –</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0/4  (0%)
coach: –</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0/4  (0%)
coach: –</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0/4  (0%)
coach: –</v>
      </c>
      <c r="AN76" s="30" t="n">
        <f aca="false">IF($A76="","",IFERROR(MATCH($B$4&amp;"|- Lane 4 - "&amp;B$69&amp;"|"&amp;$A76,'Reguler Class Availability'!$L:$L,0),""))</f>
        <v>2164</v>
      </c>
      <c r="AO76" s="30" t="n">
        <f aca="false">IF($A76="","",IFERROR(MATCH($B$4&amp;"|- Lane 4 - "&amp;C$69&amp;"|"&amp;$A76,'Reguler Class Availability'!$L:$L,0),""))</f>
        <v>2176</v>
      </c>
      <c r="AP76" s="30" t="n">
        <f aca="false">IF($A76="","",IFERROR(MATCH($B$4&amp;"|- Lane 4 - "&amp;D$69&amp;"|"&amp;$A76,'Reguler Class Availability'!$L:$L,0),""))</f>
        <v>2188</v>
      </c>
      <c r="AQ76" s="30" t="n">
        <f aca="false">IF($A76="","",IFERROR(MATCH($B$4&amp;"|- Lane 4 - "&amp;E$69&amp;"|"&amp;$A76,'Reguler Class Availability'!$L:$L,0),""))</f>
        <v>2200</v>
      </c>
      <c r="AR76" s="30" t="n">
        <f aca="false">IF($A76="","",IFERROR(MATCH($B$4&amp;"|- Lane 4 - "&amp;F$69&amp;"|"&amp;$A76,'Reguler Class Availability'!$L:$L,0),""))</f>
        <v>2212</v>
      </c>
      <c r="AS76" s="30" t="n">
        <f aca="false">IF($A76="","",IFERROR(MATCH($B$4&amp;"|- Lane 4 - "&amp;G$69&amp;"|"&amp;$A76,'Reguler Class Availability'!$L:$L,0),""))</f>
        <v>2224</v>
      </c>
      <c r="AT76" s="30" t="n">
        <f aca="false">IF($A76="","",IFERROR(MATCH($B$4&amp;"|- Lane 4 - "&amp;H$69&amp;"|"&amp;$A76,'Reguler Class Availability'!$L:$L,0),""))</f>
        <v>2236</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Belum terisi</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Belum terisi</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Belum terisi</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Belum terisi</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Belum terisi</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Belum terisi</v>
      </c>
      <c r="BD76" s="30" t="s">
        <v>123</v>
      </c>
      <c r="BE76" s="30" t="n">
        <f aca="false">IF(COUNTIFS('Reguler Class Availability'!$L:$L,$B$4&amp;"|- Lane 2 - *|"&amp;BD76)&gt;0,1,0)</f>
        <v>1</v>
      </c>
      <c r="BF76" s="30" t="n">
        <f aca="false">BE76+BF75</f>
        <v>3</v>
      </c>
    </row>
    <row r="77" customFormat="false" ht="39.75" hidden="false" customHeight="true" outlineLevel="0" collapsed="false">
      <c r="A77" s="66" t="str">
        <f aca="false">IFERROR(INDEX($BD$182:$BD$241,MATCH(8,$BF$182:$BF$241,0)),"")</f>
        <v>14:15</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1/4  (25%)
Doni</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0/4  (0%)
coach: –</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0/4  (0%)
coach: –</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0/4  (0%)
coach: –</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3/4  (75%)
Alfi</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3/4  (75%)
Doni</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3/4  (75%)
Shofi</v>
      </c>
      <c r="AN77" s="30" t="n">
        <f aca="false">IF($A77="","",IFERROR(MATCH($B$4&amp;"|- Lane 4 - "&amp;B$69&amp;"|"&amp;$A77,'Reguler Class Availability'!$L:$L,0),""))</f>
        <v>2165</v>
      </c>
      <c r="AO77" s="30" t="n">
        <f aca="false">IF($A77="","",IFERROR(MATCH($B$4&amp;"|- Lane 4 - "&amp;C$69&amp;"|"&amp;$A77,'Reguler Class Availability'!$L:$L,0),""))</f>
        <v>2177</v>
      </c>
      <c r="AP77" s="30" t="n">
        <f aca="false">IF($A77="","",IFERROR(MATCH($B$4&amp;"|- Lane 4 - "&amp;D$69&amp;"|"&amp;$A77,'Reguler Class Availability'!$L:$L,0),""))</f>
        <v>2189</v>
      </c>
      <c r="AQ77" s="30" t="n">
        <f aca="false">IF($A77="","",IFERROR(MATCH($B$4&amp;"|- Lane 4 - "&amp;E$69&amp;"|"&amp;$A77,'Reguler Class Availability'!$L:$L,0),""))</f>
        <v>2201</v>
      </c>
      <c r="AR77" s="30" t="n">
        <f aca="false">IF($A77="","",IFERROR(MATCH($B$4&amp;"|- Lane 4 - "&amp;F$69&amp;"|"&amp;$A77,'Reguler Class Availability'!$L:$L,0),""))</f>
        <v>2213</v>
      </c>
      <c r="AS77" s="30" t="n">
        <f aca="false">IF($A77="","",IFERROR(MATCH($B$4&amp;"|- Lane 4 - "&amp;G$69&amp;"|"&amp;$A77,'Reguler Class Availability'!$L:$L,0),""))</f>
        <v>2225</v>
      </c>
      <c r="AT77" s="30" t="n">
        <f aca="false">IF($A77="","",IFERROR(MATCH($B$4&amp;"|- Lane 4 - "&amp;H$69&amp;"|"&amp;$A77,'Reguler Class Availability'!$L:$L,0),""))</f>
        <v>2237</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Sebagian</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Belum terisi</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Belum terisi</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Belum terisi</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Tinggi</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Tinggi</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Tinggi</v>
      </c>
      <c r="BD77" s="30" t="s">
        <v>124</v>
      </c>
      <c r="BE77" s="30" t="n">
        <f aca="false">IF(COUNTIFS('Reguler Class Availability'!$L:$L,$B$4&amp;"|- Lane 2 - *|"&amp;BD77)&gt;0,1,0)</f>
        <v>0</v>
      </c>
      <c r="BF77" s="30" t="n">
        <f aca="false">BE77+BF76</f>
        <v>3</v>
      </c>
    </row>
    <row r="78" customFormat="false" ht="39.75" hidden="false" customHeight="true" outlineLevel="0" collapsed="false">
      <c r="A78" s="66" t="str">
        <f aca="false">IFERROR(INDEX($BD$182:$BD$241,MATCH(9,$BF$182:$BF$241,0)),"")</f>
        <v>15:00</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3/4  (75%)
Tara</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2/4  (50%)
Maulana</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3/4  (75%)
Maulana</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3/4  (75%)
Alfi</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4/4  (100%)
Shofi</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1/4  (25%)
Aldi</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0/4  (0%)
coach: –</v>
      </c>
      <c r="AN78" s="30" t="n">
        <f aca="false">IF($A78="","",IFERROR(MATCH($B$4&amp;"|- Lane 4 - "&amp;B$69&amp;"|"&amp;$A78,'Reguler Class Availability'!$L:$L,0),""))</f>
        <v>2166</v>
      </c>
      <c r="AO78" s="30" t="n">
        <f aca="false">IF($A78="","",IFERROR(MATCH($B$4&amp;"|- Lane 4 - "&amp;C$69&amp;"|"&amp;$A78,'Reguler Class Availability'!$L:$L,0),""))</f>
        <v>2178</v>
      </c>
      <c r="AP78" s="30" t="n">
        <f aca="false">IF($A78="","",IFERROR(MATCH($B$4&amp;"|- Lane 4 - "&amp;D$69&amp;"|"&amp;$A78,'Reguler Class Availability'!$L:$L,0),""))</f>
        <v>2190</v>
      </c>
      <c r="AQ78" s="30" t="n">
        <f aca="false">IF($A78="","",IFERROR(MATCH($B$4&amp;"|- Lane 4 - "&amp;E$69&amp;"|"&amp;$A78,'Reguler Class Availability'!$L:$L,0),""))</f>
        <v>2202</v>
      </c>
      <c r="AR78" s="30" t="n">
        <f aca="false">IF($A78="","",IFERROR(MATCH($B$4&amp;"|- Lane 4 - "&amp;F$69&amp;"|"&amp;$A78,'Reguler Class Availability'!$L:$L,0),""))</f>
        <v>2214</v>
      </c>
      <c r="AS78" s="30" t="n">
        <f aca="false">IF($A78="","",IFERROR(MATCH($B$4&amp;"|- Lane 4 - "&amp;G$69&amp;"|"&amp;$A78,'Reguler Class Availability'!$L:$L,0),""))</f>
        <v>2226</v>
      </c>
      <c r="AT78" s="30" t="n">
        <f aca="false">IF($A78="","",IFERROR(MATCH($B$4&amp;"|- Lane 4 - "&amp;H$69&amp;"|"&amp;$A78,'Reguler Class Availability'!$L:$L,0),""))</f>
        <v>2238</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Tinggi</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Sebagian</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Tinggi</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Tinggi</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Penuh</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Sebagian</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Belum terisi</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15:45</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4/4  (100%)
Maulana</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0/4  (0%)
coach: –</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0/4  (0%)
coach: –</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3/4  (75%)
Alfi</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2/4  (50%)
Alfi</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0/4  (0%)
coach: –</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1/4  (25%)
Maulana</v>
      </c>
      <c r="AN79" s="30" t="n">
        <f aca="false">IF($A79="","",IFERROR(MATCH($B$4&amp;"|- Lane 4 - "&amp;B$69&amp;"|"&amp;$A79,'Reguler Class Availability'!$L:$L,0),""))</f>
        <v>2167</v>
      </c>
      <c r="AO79" s="30" t="n">
        <f aca="false">IF($A79="","",IFERROR(MATCH($B$4&amp;"|- Lane 4 - "&amp;C$69&amp;"|"&amp;$A79,'Reguler Class Availability'!$L:$L,0),""))</f>
        <v>2179</v>
      </c>
      <c r="AP79" s="30" t="n">
        <f aca="false">IF($A79="","",IFERROR(MATCH($B$4&amp;"|- Lane 4 - "&amp;D$69&amp;"|"&amp;$A79,'Reguler Class Availability'!$L:$L,0),""))</f>
        <v>2191</v>
      </c>
      <c r="AQ79" s="30" t="n">
        <f aca="false">IF($A79="","",IFERROR(MATCH($B$4&amp;"|- Lane 4 - "&amp;E$69&amp;"|"&amp;$A79,'Reguler Class Availability'!$L:$L,0),""))</f>
        <v>2203</v>
      </c>
      <c r="AR79" s="30" t="n">
        <f aca="false">IF($A79="","",IFERROR(MATCH($B$4&amp;"|- Lane 4 - "&amp;F$69&amp;"|"&amp;$A79,'Reguler Class Availability'!$L:$L,0),""))</f>
        <v>2215</v>
      </c>
      <c r="AS79" s="30" t="n">
        <f aca="false">IF($A79="","",IFERROR(MATCH($B$4&amp;"|- Lane 4 - "&amp;G$69&amp;"|"&amp;$A79,'Reguler Class Availability'!$L:$L,0),""))</f>
        <v>2227</v>
      </c>
      <c r="AT79" s="30" t="n">
        <f aca="false">IF($A79="","",IFERROR(MATCH($B$4&amp;"|- Lane 4 - "&amp;H$69&amp;"|"&amp;$A79,'Reguler Class Availability'!$L:$L,0),""))</f>
        <v>2239</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Penuh</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Belum terisi</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Belum terisi</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Tinggi</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Sebagian</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Belum terisi</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Sebagian</v>
      </c>
      <c r="BD79" s="30" t="s">
        <v>126</v>
      </c>
      <c r="BE79" s="30" t="n">
        <f aca="false">IF(COUNTIFS('Reguler Class Availability'!$L:$L,$B$4&amp;"|- Lane 2 - *|"&amp;BD79)&gt;0,1,0)</f>
        <v>1</v>
      </c>
      <c r="BF79" s="30" t="n">
        <f aca="false">BE79+BF78</f>
        <v>4</v>
      </c>
    </row>
    <row r="80" customFormat="false" ht="39.75" hidden="false" customHeight="true" outlineLevel="0" collapsed="false">
      <c r="A80" s="66" t="str">
        <f aca="false">IFERROR(INDEX($BD$182:$BD$241,MATCH(11,$BF$182:$BF$241,0)),"")</f>
        <v>16:30</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4/4  (100%)
Maulana</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1/4  (25%)
Tara</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4/4  (100%)
Shofi</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3/4  (75%)
Bagas</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4/4  (100%)
Alfi</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3/4  (75%)
Maulana</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0/4  (0%)
coach: –</v>
      </c>
      <c r="AN80" s="30" t="n">
        <f aca="false">IF($A80="","",IFERROR(MATCH($B$4&amp;"|- Lane 4 - "&amp;B$69&amp;"|"&amp;$A80,'Reguler Class Availability'!$L:$L,0),""))</f>
        <v>2168</v>
      </c>
      <c r="AO80" s="30" t="n">
        <f aca="false">IF($A80="","",IFERROR(MATCH($B$4&amp;"|- Lane 4 - "&amp;C$69&amp;"|"&amp;$A80,'Reguler Class Availability'!$L:$L,0),""))</f>
        <v>2180</v>
      </c>
      <c r="AP80" s="30" t="n">
        <f aca="false">IF($A80="","",IFERROR(MATCH($B$4&amp;"|- Lane 4 - "&amp;D$69&amp;"|"&amp;$A80,'Reguler Class Availability'!$L:$L,0),""))</f>
        <v>2192</v>
      </c>
      <c r="AQ80" s="30" t="n">
        <f aca="false">IF($A80="","",IFERROR(MATCH($B$4&amp;"|- Lane 4 - "&amp;E$69&amp;"|"&amp;$A80,'Reguler Class Availability'!$L:$L,0),""))</f>
        <v>2204</v>
      </c>
      <c r="AR80" s="30" t="n">
        <f aca="false">IF($A80="","",IFERROR(MATCH($B$4&amp;"|- Lane 4 - "&amp;F$69&amp;"|"&amp;$A80,'Reguler Class Availability'!$L:$L,0),""))</f>
        <v>2216</v>
      </c>
      <c r="AS80" s="30" t="n">
        <f aca="false">IF($A80="","",IFERROR(MATCH($B$4&amp;"|- Lane 4 - "&amp;G$69&amp;"|"&amp;$A80,'Reguler Class Availability'!$L:$L,0),""))</f>
        <v>2228</v>
      </c>
      <c r="AT80" s="30" t="n">
        <f aca="false">IF($A80="","",IFERROR(MATCH($B$4&amp;"|- Lane 4 - "&amp;H$69&amp;"|"&amp;$A80,'Reguler Class Availability'!$L:$L,0),""))</f>
        <v>2240</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Penuh</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Sebagian</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Penuh</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Tinggi</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Penuh</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Tinggi</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Belum terisi</v>
      </c>
      <c r="BD80" s="30" t="s">
        <v>127</v>
      </c>
      <c r="BE80" s="30" t="n">
        <f aca="false">IF(COUNTIFS('Reguler Class Availability'!$L:$L,$B$4&amp;"|- Lane 2 - *|"&amp;BD80)&gt;0,1,0)</f>
        <v>0</v>
      </c>
      <c r="BF80" s="30" t="n">
        <f aca="false">BE80+BF79</f>
        <v>4</v>
      </c>
    </row>
    <row r="81" customFormat="false" ht="39.75" hidden="false" customHeight="true" outlineLevel="0" collapsed="false">
      <c r="A81" s="66" t="str">
        <f aca="false">IFERROR(INDEX($BD$182:$BD$241,MATCH(12,$BF$182:$BF$241,0)),"")</f>
        <v>17:15</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0/4  (0%)
coach: –</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0/4  (0%)
coach: –</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0/4  (0%)
coach: –</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1/4  (25%)
Aldi</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4/4  (100%)
Bagas</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0/4  (0%)
coach: –</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Kids  0/4  (0%)
coach: –</v>
      </c>
      <c r="AN81" s="30" t="n">
        <f aca="false">IF($A81="","",IFERROR(MATCH($B$4&amp;"|- Lane 4 - "&amp;B$69&amp;"|"&amp;$A81,'Reguler Class Availability'!$L:$L,0),""))</f>
        <v>2169</v>
      </c>
      <c r="AO81" s="30" t="n">
        <f aca="false">IF($A81="","",IFERROR(MATCH($B$4&amp;"|- Lane 4 - "&amp;C$69&amp;"|"&amp;$A81,'Reguler Class Availability'!$L:$L,0),""))</f>
        <v>2181</v>
      </c>
      <c r="AP81" s="30" t="n">
        <f aca="false">IF($A81="","",IFERROR(MATCH($B$4&amp;"|- Lane 4 - "&amp;D$69&amp;"|"&amp;$A81,'Reguler Class Availability'!$L:$L,0),""))</f>
        <v>2193</v>
      </c>
      <c r="AQ81" s="30" t="n">
        <f aca="false">IF($A81="","",IFERROR(MATCH($B$4&amp;"|- Lane 4 - "&amp;E$69&amp;"|"&amp;$A81,'Reguler Class Availability'!$L:$L,0),""))</f>
        <v>2205</v>
      </c>
      <c r="AR81" s="30" t="n">
        <f aca="false">IF($A81="","",IFERROR(MATCH($B$4&amp;"|- Lane 4 - "&amp;F$69&amp;"|"&amp;$A81,'Reguler Class Availability'!$L:$L,0),""))</f>
        <v>2217</v>
      </c>
      <c r="AS81" s="30" t="n">
        <f aca="false">IF($A81="","",IFERROR(MATCH($B$4&amp;"|- Lane 4 - "&amp;G$69&amp;"|"&amp;$A81,'Reguler Class Availability'!$L:$L,0),""))</f>
        <v>2229</v>
      </c>
      <c r="AT81" s="30" t="n">
        <f aca="false">IF($A81="","",IFERROR(MATCH($B$4&amp;"|- Lane 4 - "&amp;H$69&amp;"|"&amp;$A81,'Reguler Class Availability'!$L:$L,0),""))</f>
        <v>2241</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Belum terisi</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Belum terisi</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Belum terisi</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Sebagian</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Penuh</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Belum terisi</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Belum terisi</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1</v>
      </c>
      <c r="BF82" s="30" t="n">
        <f aca="false">BE82+BF81</f>
        <v>5</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0</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25%</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6%</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17%</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21%</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35%</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25%</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17%</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1</v>
      </c>
      <c r="BF85" s="0" t="n">
        <f aca="false">BE85+BF84</f>
        <v>6</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0%   ·   Belum terisi: 0   ·   Slot kosong: 84</v>
      </c>
      <c r="D86" s="62"/>
      <c r="E86" s="62"/>
      <c r="F86" s="62"/>
      <c r="G86" s="62"/>
      <c r="H86" s="62"/>
      <c r="BD86" s="30" t="s">
        <v>133</v>
      </c>
      <c r="BE86" s="30" t="n">
        <f aca="false">IF(COUNTIFS('Reguler Class Availability'!$L:$L,$B$4&amp;"|- Lane 2 - *|"&amp;BD86)&gt;0,1,0)</f>
        <v>0</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08:00</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Kosong  0/4  (0%)
coach: –</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Kosong  0/4  (0%)
coach: –</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Kosong  0/4  (0%)
coach: –</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Kosong  0/4  (0%)
coach: –</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Kosong  0/4  (0%)
coach: –</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Kosong  0/4  (0%)
coach: –</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Kosong  0/4  (0%)
coach: –</v>
      </c>
      <c r="AN88" s="30" t="n">
        <f aca="false">IF($A88="","",IFERROR(MATCH($B$4&amp;"|- Lane 5 - "&amp;B$87&amp;"|"&amp;$A88,'Reguler Class Availability'!$L:$L,0),""))</f>
        <v>2242</v>
      </c>
      <c r="AO88" s="30" t="n">
        <f aca="false">IF($A88="","",IFERROR(MATCH($B$4&amp;"|- Lane 5 - "&amp;C$87&amp;"|"&amp;$A88,'Reguler Class Availability'!$L:$L,0),""))</f>
        <v>2254</v>
      </c>
      <c r="AP88" s="30" t="n">
        <f aca="false">IF($A88="","",IFERROR(MATCH($B$4&amp;"|- Lane 5 - "&amp;D$87&amp;"|"&amp;$A88,'Reguler Class Availability'!$L:$L,0),""))</f>
        <v>2266</v>
      </c>
      <c r="AQ88" s="30" t="n">
        <f aca="false">IF($A88="","",IFERROR(MATCH($B$4&amp;"|- Lane 5 - "&amp;E$87&amp;"|"&amp;$A88,'Reguler Class Availability'!$L:$L,0),""))</f>
        <v>2278</v>
      </c>
      <c r="AR88" s="30" t="n">
        <f aca="false">IF($A88="","",IFERROR(MATCH($B$4&amp;"|- Lane 5 - "&amp;F$87&amp;"|"&amp;$A88,'Reguler Class Availability'!$L:$L,0),""))</f>
        <v>2290</v>
      </c>
      <c r="AS88" s="30" t="n">
        <f aca="false">IF($A88="","",IFERROR(MATCH($B$4&amp;"|- Lane 5 - "&amp;G$87&amp;"|"&amp;$A88,'Reguler Class Availability'!$L:$L,0),""))</f>
        <v>2302</v>
      </c>
      <c r="AT88" s="30" t="n">
        <f aca="false">IF($A88="","",IFERROR(MATCH($B$4&amp;"|- Lane 5 - "&amp;H$87&amp;"|"&amp;$A88,'Reguler Class Availability'!$L:$L,0),""))</f>
        <v>2314</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Kosong</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Kosong</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Kosong</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Kosong</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Kosong</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Kosong</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Kosong</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08:45</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Kosong  0/4  (0%)
coach: –</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Kosong  0/4  (0%)
coach: –</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Kosong  0/4  (0%)
coach: –</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Kosong  0/4  (0%)
coach: –</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Kosong  0/4  (0%)
coach: –</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Kosong  0/4  (0%)
coach: –</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Kosong  0/4  (0%)
coach: –</v>
      </c>
      <c r="AN89" s="30" t="n">
        <f aca="false">IF($A89="","",IFERROR(MATCH($B$4&amp;"|- Lane 5 - "&amp;B$87&amp;"|"&amp;$A89,'Reguler Class Availability'!$L:$L,0),""))</f>
        <v>2243</v>
      </c>
      <c r="AO89" s="30" t="n">
        <f aca="false">IF($A89="","",IFERROR(MATCH($B$4&amp;"|- Lane 5 - "&amp;C$87&amp;"|"&amp;$A89,'Reguler Class Availability'!$L:$L,0),""))</f>
        <v>2255</v>
      </c>
      <c r="AP89" s="30" t="n">
        <f aca="false">IF($A89="","",IFERROR(MATCH($B$4&amp;"|- Lane 5 - "&amp;D$87&amp;"|"&amp;$A89,'Reguler Class Availability'!$L:$L,0),""))</f>
        <v>2267</v>
      </c>
      <c r="AQ89" s="30" t="n">
        <f aca="false">IF($A89="","",IFERROR(MATCH($B$4&amp;"|- Lane 5 - "&amp;E$87&amp;"|"&amp;$A89,'Reguler Class Availability'!$L:$L,0),""))</f>
        <v>2279</v>
      </c>
      <c r="AR89" s="30" t="n">
        <f aca="false">IF($A89="","",IFERROR(MATCH($B$4&amp;"|- Lane 5 - "&amp;F$87&amp;"|"&amp;$A89,'Reguler Class Availability'!$L:$L,0),""))</f>
        <v>2291</v>
      </c>
      <c r="AS89" s="30" t="n">
        <f aca="false">IF($A89="","",IFERROR(MATCH($B$4&amp;"|- Lane 5 - "&amp;G$87&amp;"|"&amp;$A89,'Reguler Class Availability'!$L:$L,0),""))</f>
        <v>2303</v>
      </c>
      <c r="AT89" s="30" t="n">
        <f aca="false">IF($A89="","",IFERROR(MATCH($B$4&amp;"|- Lane 5 - "&amp;H$87&amp;"|"&amp;$A89,'Reguler Class Availability'!$L:$L,0),""))</f>
        <v>2315</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Kosong</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Kosong</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Kosong</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Kosong</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Kosong</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Kosong</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Kosong</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09:30</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Kosong  0/4  (0%)
coach: –</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Kosong  0/4  (0%)
coach: –</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Kosong  0/4  (0%)
coach: –</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Kosong  0/4  (0%)
coach: –</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Kosong  0/4  (0%)
coach: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Kosong  0/4  (0%)
coach: –</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Kosong  0/4  (0%)
coach: –</v>
      </c>
      <c r="AN90" s="30" t="n">
        <f aca="false">IF($A90="","",IFERROR(MATCH($B$4&amp;"|- Lane 5 - "&amp;B$87&amp;"|"&amp;$A90,'Reguler Class Availability'!$L:$L,0),""))</f>
        <v>2244</v>
      </c>
      <c r="AO90" s="30" t="n">
        <f aca="false">IF($A90="","",IFERROR(MATCH($B$4&amp;"|- Lane 5 - "&amp;C$87&amp;"|"&amp;$A90,'Reguler Class Availability'!$L:$L,0),""))</f>
        <v>2256</v>
      </c>
      <c r="AP90" s="30" t="n">
        <f aca="false">IF($A90="","",IFERROR(MATCH($B$4&amp;"|- Lane 5 - "&amp;D$87&amp;"|"&amp;$A90,'Reguler Class Availability'!$L:$L,0),""))</f>
        <v>2268</v>
      </c>
      <c r="AQ90" s="30" t="n">
        <f aca="false">IF($A90="","",IFERROR(MATCH($B$4&amp;"|- Lane 5 - "&amp;E$87&amp;"|"&amp;$A90,'Reguler Class Availability'!$L:$L,0),""))</f>
        <v>2280</v>
      </c>
      <c r="AR90" s="30" t="n">
        <f aca="false">IF($A90="","",IFERROR(MATCH($B$4&amp;"|- Lane 5 - "&amp;F$87&amp;"|"&amp;$A90,'Reguler Class Availability'!$L:$L,0),""))</f>
        <v>2292</v>
      </c>
      <c r="AS90" s="30" t="n">
        <f aca="false">IF($A90="","",IFERROR(MATCH($B$4&amp;"|- Lane 5 - "&amp;G$87&amp;"|"&amp;$A90,'Reguler Class Availability'!$L:$L,0),""))</f>
        <v>2304</v>
      </c>
      <c r="AT90" s="30" t="n">
        <f aca="false">IF($A90="","",IFERROR(MATCH($B$4&amp;"|- Lane 5 - "&amp;H$87&amp;"|"&amp;$A90,'Reguler Class Availability'!$L:$L,0),""))</f>
        <v>2316</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Kosong</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Kosong</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Kosong</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Kosong</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Kosong</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Kosong</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Kosong</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10:15</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Kosong  0/4  (0%)
coach: –</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Kosong  0/4  (0%)
coach: –</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Kosong  0/4  (0%)
coach: –</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Kosong  0/4  (0%)
coach: –</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Kosong  0/4  (0%)
coach: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Kosong  0/4  (0%)
coach: –</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Kosong  0/4  (0%)
coach: –</v>
      </c>
      <c r="AN91" s="30" t="n">
        <f aca="false">IF($A91="","",IFERROR(MATCH($B$4&amp;"|- Lane 5 - "&amp;B$87&amp;"|"&amp;$A91,'Reguler Class Availability'!$L:$L,0),""))</f>
        <v>2245</v>
      </c>
      <c r="AO91" s="30" t="n">
        <f aca="false">IF($A91="","",IFERROR(MATCH($B$4&amp;"|- Lane 5 - "&amp;C$87&amp;"|"&amp;$A91,'Reguler Class Availability'!$L:$L,0),""))</f>
        <v>2257</v>
      </c>
      <c r="AP91" s="30" t="n">
        <f aca="false">IF($A91="","",IFERROR(MATCH($B$4&amp;"|- Lane 5 - "&amp;D$87&amp;"|"&amp;$A91,'Reguler Class Availability'!$L:$L,0),""))</f>
        <v>2269</v>
      </c>
      <c r="AQ91" s="30" t="n">
        <f aca="false">IF($A91="","",IFERROR(MATCH($B$4&amp;"|- Lane 5 - "&amp;E$87&amp;"|"&amp;$A91,'Reguler Class Availability'!$L:$L,0),""))</f>
        <v>2281</v>
      </c>
      <c r="AR91" s="30" t="n">
        <f aca="false">IF($A91="","",IFERROR(MATCH($B$4&amp;"|- Lane 5 - "&amp;F$87&amp;"|"&amp;$A91,'Reguler Class Availability'!$L:$L,0),""))</f>
        <v>2293</v>
      </c>
      <c r="AS91" s="30" t="n">
        <f aca="false">IF($A91="","",IFERROR(MATCH($B$4&amp;"|- Lane 5 - "&amp;G$87&amp;"|"&amp;$A91,'Reguler Class Availability'!$L:$L,0),""))</f>
        <v>2305</v>
      </c>
      <c r="AT91" s="30" t="n">
        <f aca="false">IF($A91="","",IFERROR(MATCH($B$4&amp;"|- Lane 5 - "&amp;H$87&amp;"|"&amp;$A91,'Reguler Class Availability'!$L:$L,0),""))</f>
        <v>2317</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Kosong</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Kosong</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Kosong</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Kosong</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Kosong</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Kosong</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Kosong</v>
      </c>
      <c r="BD91" s="30" t="s">
        <v>139</v>
      </c>
      <c r="BE91" s="30" t="n">
        <f aca="false">IF(COUNTIFS('Reguler Class Availability'!$L:$L,$B$4&amp;"|- Lane 2 - *|"&amp;BD91)&gt;0,1,0)</f>
        <v>1</v>
      </c>
      <c r="BF91" s="30" t="n">
        <f aca="false">BE91+BF90</f>
        <v>7</v>
      </c>
    </row>
    <row r="92" customFormat="false" ht="39.75" hidden="false" customHeight="true" outlineLevel="0" collapsed="false">
      <c r="A92" s="66" t="str">
        <f aca="false">IFERROR(INDEX($BD$242:$BD$301,MATCH(5,$BF$242:$BF$301,0)),"")</f>
        <v>11:00</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Kosong  0/4  (0%)
coach: –</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Kosong  0/4  (0%)
coach: –</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Kosong  0/4  (0%)
coach: –</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Kosong  0/4  (0%)
coach: –</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Kosong  0/4  (0%)
coach: –</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Kosong  0/4  (0%)
coach: –</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Kosong  0/4  (0%)
coach: –</v>
      </c>
      <c r="AN92" s="30" t="n">
        <f aca="false">IF($A92="","",IFERROR(MATCH($B$4&amp;"|- Lane 5 - "&amp;B$87&amp;"|"&amp;$A92,'Reguler Class Availability'!$L:$L,0),""))</f>
        <v>2246</v>
      </c>
      <c r="AO92" s="30" t="n">
        <f aca="false">IF($A92="","",IFERROR(MATCH($B$4&amp;"|- Lane 5 - "&amp;C$87&amp;"|"&amp;$A92,'Reguler Class Availability'!$L:$L,0),""))</f>
        <v>2258</v>
      </c>
      <c r="AP92" s="30" t="n">
        <f aca="false">IF($A92="","",IFERROR(MATCH($B$4&amp;"|- Lane 5 - "&amp;D$87&amp;"|"&amp;$A92,'Reguler Class Availability'!$L:$L,0),""))</f>
        <v>2270</v>
      </c>
      <c r="AQ92" s="30" t="n">
        <f aca="false">IF($A92="","",IFERROR(MATCH($B$4&amp;"|- Lane 5 - "&amp;E$87&amp;"|"&amp;$A92,'Reguler Class Availability'!$L:$L,0),""))</f>
        <v>2282</v>
      </c>
      <c r="AR92" s="30" t="n">
        <f aca="false">IF($A92="","",IFERROR(MATCH($B$4&amp;"|- Lane 5 - "&amp;F$87&amp;"|"&amp;$A92,'Reguler Class Availability'!$L:$L,0),""))</f>
        <v>2294</v>
      </c>
      <c r="AS92" s="30" t="n">
        <f aca="false">IF($A92="","",IFERROR(MATCH($B$4&amp;"|- Lane 5 - "&amp;G$87&amp;"|"&amp;$A92,'Reguler Class Availability'!$L:$L,0),""))</f>
        <v>2306</v>
      </c>
      <c r="AT92" s="30" t="n">
        <f aca="false">IF($A92="","",IFERROR(MATCH($B$4&amp;"|- Lane 5 - "&amp;H$87&amp;"|"&amp;$A92,'Reguler Class Availability'!$L:$L,0),""))</f>
        <v>2318</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Kosong</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Kosong</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Kosong</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Kosong</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Kosong</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Kosong</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Kosong</v>
      </c>
      <c r="BD92" s="30" t="s">
        <v>141</v>
      </c>
      <c r="BE92" s="30" t="n">
        <f aca="false">IF(COUNTIFS('Reguler Class Availability'!$L:$L,$B$4&amp;"|- Lane 2 - *|"&amp;BD92)&gt;0,1,0)</f>
        <v>0</v>
      </c>
      <c r="BF92" s="30" t="n">
        <f aca="false">BE92+BF91</f>
        <v>7</v>
      </c>
    </row>
    <row r="93" customFormat="false" ht="39.75" hidden="false" customHeight="true" outlineLevel="0" collapsed="false">
      <c r="A93" s="66" t="str">
        <f aca="false">IFERROR(INDEX($BD$242:$BD$301,MATCH(6,$BF$242:$BF$301,0)),"")</f>
        <v>11:45</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Kosong  0/4  (0%)
coach: –</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Kosong  0/4  (0%)
coach: –</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Kosong  0/4  (0%)
coach: –</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Kosong  0/4  (0%)
coach: –</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Kosong  0/4  (0%)
coach: –</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Kosong  0/4  (0%)
coach: –</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Kosong  0/4  (0%)
coach: –</v>
      </c>
      <c r="AN93" s="30" t="n">
        <f aca="false">IF($A93="","",IFERROR(MATCH($B$4&amp;"|- Lane 5 - "&amp;B$87&amp;"|"&amp;$A93,'Reguler Class Availability'!$L:$L,0),""))</f>
        <v>2247</v>
      </c>
      <c r="AO93" s="30" t="n">
        <f aca="false">IF($A93="","",IFERROR(MATCH($B$4&amp;"|- Lane 5 - "&amp;C$87&amp;"|"&amp;$A93,'Reguler Class Availability'!$L:$L,0),""))</f>
        <v>2259</v>
      </c>
      <c r="AP93" s="30" t="n">
        <f aca="false">IF($A93="","",IFERROR(MATCH($B$4&amp;"|- Lane 5 - "&amp;D$87&amp;"|"&amp;$A93,'Reguler Class Availability'!$L:$L,0),""))</f>
        <v>2271</v>
      </c>
      <c r="AQ93" s="30" t="n">
        <f aca="false">IF($A93="","",IFERROR(MATCH($B$4&amp;"|- Lane 5 - "&amp;E$87&amp;"|"&amp;$A93,'Reguler Class Availability'!$L:$L,0),""))</f>
        <v>2283</v>
      </c>
      <c r="AR93" s="30" t="n">
        <f aca="false">IF($A93="","",IFERROR(MATCH($B$4&amp;"|- Lane 5 - "&amp;F$87&amp;"|"&amp;$A93,'Reguler Class Availability'!$L:$L,0),""))</f>
        <v>2295</v>
      </c>
      <c r="AS93" s="30" t="n">
        <f aca="false">IF($A93="","",IFERROR(MATCH($B$4&amp;"|- Lane 5 - "&amp;G$87&amp;"|"&amp;$A93,'Reguler Class Availability'!$L:$L,0),""))</f>
        <v>2307</v>
      </c>
      <c r="AT93" s="30" t="n">
        <f aca="false">IF($A93="","",IFERROR(MATCH($B$4&amp;"|- Lane 5 - "&amp;H$87&amp;"|"&amp;$A93,'Reguler Class Availability'!$L:$L,0),""))</f>
        <v>2319</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Kosong</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Kosong</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Kosong</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Kosong</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Kosong</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Kosong</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Kosong</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13:15</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Kosong  0/4  (0%)
coach: –</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Kosong  0/4  (0%)
coach: –</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Kosong  0/4  (0%)
coach: –</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Kosong  0/4  (0%)
coach: –</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Kosong  0/4  (0%)
coach: –</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Kosong  0/4  (0%)
coach: –</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Kosong  0/4  (0%)
coach: –</v>
      </c>
      <c r="AN94" s="30" t="n">
        <f aca="false">IF($A94="","",IFERROR(MATCH($B$4&amp;"|- Lane 5 - "&amp;B$87&amp;"|"&amp;$A94,'Reguler Class Availability'!$L:$L,0),""))</f>
        <v>2248</v>
      </c>
      <c r="AO94" s="30" t="n">
        <f aca="false">IF($A94="","",IFERROR(MATCH($B$4&amp;"|- Lane 5 - "&amp;C$87&amp;"|"&amp;$A94,'Reguler Class Availability'!$L:$L,0),""))</f>
        <v>2260</v>
      </c>
      <c r="AP94" s="30" t="n">
        <f aca="false">IF($A94="","",IFERROR(MATCH($B$4&amp;"|- Lane 5 - "&amp;D$87&amp;"|"&amp;$A94,'Reguler Class Availability'!$L:$L,0),""))</f>
        <v>2272</v>
      </c>
      <c r="AQ94" s="30" t="n">
        <f aca="false">IF($A94="","",IFERROR(MATCH($B$4&amp;"|- Lane 5 - "&amp;E$87&amp;"|"&amp;$A94,'Reguler Class Availability'!$L:$L,0),""))</f>
        <v>2284</v>
      </c>
      <c r="AR94" s="30" t="n">
        <f aca="false">IF($A94="","",IFERROR(MATCH($B$4&amp;"|- Lane 5 - "&amp;F$87&amp;"|"&amp;$A94,'Reguler Class Availability'!$L:$L,0),""))</f>
        <v>2296</v>
      </c>
      <c r="AS94" s="30" t="n">
        <f aca="false">IF($A94="","",IFERROR(MATCH($B$4&amp;"|- Lane 5 - "&amp;G$87&amp;"|"&amp;$A94,'Reguler Class Availability'!$L:$L,0),""))</f>
        <v>2308</v>
      </c>
      <c r="AT94" s="30" t="n">
        <f aca="false">IF($A94="","",IFERROR(MATCH($B$4&amp;"|- Lane 5 - "&amp;H$87&amp;"|"&amp;$A94,'Reguler Class Availability'!$L:$L,0),""))</f>
        <v>2320</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Kosong</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Kosong</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Kosong</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Kosong</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Kosong</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Kosong</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Kosong</v>
      </c>
      <c r="BD94" s="30" t="s">
        <v>143</v>
      </c>
      <c r="BE94" s="30" t="n">
        <f aca="false">IF(COUNTIFS('Reguler Class Availability'!$L:$L,$B$4&amp;"|- Lane 2 - *|"&amp;BD94)&gt;0,1,0)</f>
        <v>1</v>
      </c>
      <c r="BF94" s="30" t="n">
        <f aca="false">BE94+BF93</f>
        <v>8</v>
      </c>
    </row>
    <row r="95" customFormat="false" ht="39.75" hidden="false" customHeight="true" outlineLevel="0" collapsed="false">
      <c r="A95" s="66" t="str">
        <f aca="false">IFERROR(INDEX($BD$242:$BD$301,MATCH(8,$BF$242:$BF$301,0)),"")</f>
        <v>14:00</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Kosong  0/4  (0%)
coach: –</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Kosong  0/4  (0%)
coach: –</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Kosong  0/4  (0%)
coach: –</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Kosong  0/4  (0%)
coach: –</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Kosong  0/4  (0%)
coach: –</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Kosong  0/4  (0%)
coach: –</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Kosong  0/4  (0%)
coach: –</v>
      </c>
      <c r="AN95" s="30" t="n">
        <f aca="false">IF($A95="","",IFERROR(MATCH($B$4&amp;"|- Lane 5 - "&amp;B$87&amp;"|"&amp;$A95,'Reguler Class Availability'!$L:$L,0),""))</f>
        <v>2249</v>
      </c>
      <c r="AO95" s="30" t="n">
        <f aca="false">IF($A95="","",IFERROR(MATCH($B$4&amp;"|- Lane 5 - "&amp;C$87&amp;"|"&amp;$A95,'Reguler Class Availability'!$L:$L,0),""))</f>
        <v>2261</v>
      </c>
      <c r="AP95" s="30" t="n">
        <f aca="false">IF($A95="","",IFERROR(MATCH($B$4&amp;"|- Lane 5 - "&amp;D$87&amp;"|"&amp;$A95,'Reguler Class Availability'!$L:$L,0),""))</f>
        <v>2273</v>
      </c>
      <c r="AQ95" s="30" t="n">
        <f aca="false">IF($A95="","",IFERROR(MATCH($B$4&amp;"|- Lane 5 - "&amp;E$87&amp;"|"&amp;$A95,'Reguler Class Availability'!$L:$L,0),""))</f>
        <v>2285</v>
      </c>
      <c r="AR95" s="30" t="n">
        <f aca="false">IF($A95="","",IFERROR(MATCH($B$4&amp;"|- Lane 5 - "&amp;F$87&amp;"|"&amp;$A95,'Reguler Class Availability'!$L:$L,0),""))</f>
        <v>2297</v>
      </c>
      <c r="AS95" s="30" t="n">
        <f aca="false">IF($A95="","",IFERROR(MATCH($B$4&amp;"|- Lane 5 - "&amp;G$87&amp;"|"&amp;$A95,'Reguler Class Availability'!$L:$L,0),""))</f>
        <v>2309</v>
      </c>
      <c r="AT95" s="30" t="n">
        <f aca="false">IF($A95="","",IFERROR(MATCH($B$4&amp;"|- Lane 5 - "&amp;H$87&amp;"|"&amp;$A95,'Reguler Class Availability'!$L:$L,0),""))</f>
        <v>2321</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Kosong</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Kosong</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Kosong</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Kosong</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Kosong</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Kosong</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Kosong</v>
      </c>
      <c r="BD95" s="30" t="s">
        <v>144</v>
      </c>
      <c r="BE95" s="30" t="n">
        <f aca="false">IF(COUNTIFS('Reguler Class Availability'!$L:$L,$B$4&amp;"|- Lane 2 - *|"&amp;BD95)&gt;0,1,0)</f>
        <v>0</v>
      </c>
      <c r="BF95" s="30" t="n">
        <f aca="false">BE95+BF94</f>
        <v>8</v>
      </c>
    </row>
    <row r="96" customFormat="false" ht="39.75" hidden="false" customHeight="true" outlineLevel="0" collapsed="false">
      <c r="A96" s="66" t="str">
        <f aca="false">IFERROR(INDEX($BD$242:$BD$301,MATCH(9,$BF$242:$BF$301,0)),"")</f>
        <v>14:45</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Kosong  0/4  (0%)
coach: –</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Kosong  0/4  (0%)
coach: –</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Kosong  0/4  (0%)
coach: –</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Kosong  0/4  (0%)
coach: –</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Kosong  0/4  (0%)
coach: –</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Kosong  0/4  (0%)
coach: –</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Kosong  0/4  (0%)
coach: –</v>
      </c>
      <c r="AN96" s="30" t="n">
        <f aca="false">IF($A96="","",IFERROR(MATCH($B$4&amp;"|- Lane 5 - "&amp;B$87&amp;"|"&amp;$A96,'Reguler Class Availability'!$L:$L,0),""))</f>
        <v>2250</v>
      </c>
      <c r="AO96" s="30" t="n">
        <f aca="false">IF($A96="","",IFERROR(MATCH($B$4&amp;"|- Lane 5 - "&amp;C$87&amp;"|"&amp;$A96,'Reguler Class Availability'!$L:$L,0),""))</f>
        <v>2262</v>
      </c>
      <c r="AP96" s="30" t="n">
        <f aca="false">IF($A96="","",IFERROR(MATCH($B$4&amp;"|- Lane 5 - "&amp;D$87&amp;"|"&amp;$A96,'Reguler Class Availability'!$L:$L,0),""))</f>
        <v>2274</v>
      </c>
      <c r="AQ96" s="30" t="n">
        <f aca="false">IF($A96="","",IFERROR(MATCH($B$4&amp;"|- Lane 5 - "&amp;E$87&amp;"|"&amp;$A96,'Reguler Class Availability'!$L:$L,0),""))</f>
        <v>2286</v>
      </c>
      <c r="AR96" s="30" t="n">
        <f aca="false">IF($A96="","",IFERROR(MATCH($B$4&amp;"|- Lane 5 - "&amp;F$87&amp;"|"&amp;$A96,'Reguler Class Availability'!$L:$L,0),""))</f>
        <v>2298</v>
      </c>
      <c r="AS96" s="30" t="n">
        <f aca="false">IF($A96="","",IFERROR(MATCH($B$4&amp;"|- Lane 5 - "&amp;G$87&amp;"|"&amp;$A96,'Reguler Class Availability'!$L:$L,0),""))</f>
        <v>2310</v>
      </c>
      <c r="AT96" s="30" t="n">
        <f aca="false">IF($A96="","",IFERROR(MATCH($B$4&amp;"|- Lane 5 - "&amp;H$87&amp;"|"&amp;$A96,'Reguler Class Availability'!$L:$L,0),""))</f>
        <v>2322</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Kosong</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Kosong</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Kosong</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Kosong</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Kosong</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Kosong</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Kosong</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15:30</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Kosong  0/4  (0%)
coach: –</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Kosong  0/4  (0%)
coach: –</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Kosong  0/4  (0%)
coach: –</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Kosong  0/4  (0%)
coach: –</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Kosong  0/4  (0%)
coach: –</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Kosong  0/4  (0%)
coach: –</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Kosong  0/4  (0%)
coach: –</v>
      </c>
      <c r="AN97" s="30" t="n">
        <f aca="false">IF($A97="","",IFERROR(MATCH($B$4&amp;"|- Lane 5 - "&amp;B$87&amp;"|"&amp;$A97,'Reguler Class Availability'!$L:$L,0),""))</f>
        <v>2251</v>
      </c>
      <c r="AO97" s="30" t="n">
        <f aca="false">IF($A97="","",IFERROR(MATCH($B$4&amp;"|- Lane 5 - "&amp;C$87&amp;"|"&amp;$A97,'Reguler Class Availability'!$L:$L,0),""))</f>
        <v>2263</v>
      </c>
      <c r="AP97" s="30" t="n">
        <f aca="false">IF($A97="","",IFERROR(MATCH($B$4&amp;"|- Lane 5 - "&amp;D$87&amp;"|"&amp;$A97,'Reguler Class Availability'!$L:$L,0),""))</f>
        <v>2275</v>
      </c>
      <c r="AQ97" s="30" t="n">
        <f aca="false">IF($A97="","",IFERROR(MATCH($B$4&amp;"|- Lane 5 - "&amp;E$87&amp;"|"&amp;$A97,'Reguler Class Availability'!$L:$L,0),""))</f>
        <v>2287</v>
      </c>
      <c r="AR97" s="30" t="n">
        <f aca="false">IF($A97="","",IFERROR(MATCH($B$4&amp;"|- Lane 5 - "&amp;F$87&amp;"|"&amp;$A97,'Reguler Class Availability'!$L:$L,0),""))</f>
        <v>2299</v>
      </c>
      <c r="AS97" s="30" t="n">
        <f aca="false">IF($A97="","",IFERROR(MATCH($B$4&amp;"|- Lane 5 - "&amp;G$87&amp;"|"&amp;$A97,'Reguler Class Availability'!$L:$L,0),""))</f>
        <v>2311</v>
      </c>
      <c r="AT97" s="30" t="n">
        <f aca="false">IF($A97="","",IFERROR(MATCH($B$4&amp;"|- Lane 5 - "&amp;H$87&amp;"|"&amp;$A97,'Reguler Class Availability'!$L:$L,0),""))</f>
        <v>2323</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Kosong</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Kosong</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Kosong</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Kosong</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Kosong</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Kosong</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Kosong</v>
      </c>
      <c r="BD97" s="30" t="s">
        <v>146</v>
      </c>
      <c r="BE97" s="30" t="n">
        <f aca="false">IF(COUNTIFS('Reguler Class Availability'!$L:$L,$B$4&amp;"|- Lane 2 - *|"&amp;BD97)&gt;0,1,0)</f>
        <v>1</v>
      </c>
      <c r="BF97" s="30" t="n">
        <f aca="false">BE97+BF96</f>
        <v>9</v>
      </c>
    </row>
    <row r="98" customFormat="false" ht="39.75" hidden="false" customHeight="true" outlineLevel="0" collapsed="false">
      <c r="A98" s="66" t="str">
        <f aca="false">IFERROR(INDEX($BD$242:$BD$301,MATCH(11,$BF$242:$BF$301,0)),"")</f>
        <v>16:15</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Kosong  0/4  (0%)
coach: –</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Kosong  0/4  (0%)
coach: –</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Kosong  0/4  (0%)
coach: –</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Kosong  0/4  (0%)
coach: –</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Kosong  0/4  (0%)
coach: –</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Kosong  0/4  (0%)
coach: –</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Kosong  0/4  (0%)
coach: –</v>
      </c>
      <c r="AN98" s="30" t="n">
        <f aca="false">IF($A98="","",IFERROR(MATCH($B$4&amp;"|- Lane 5 - "&amp;B$87&amp;"|"&amp;$A98,'Reguler Class Availability'!$L:$L,0),""))</f>
        <v>2252</v>
      </c>
      <c r="AO98" s="30" t="n">
        <f aca="false">IF($A98="","",IFERROR(MATCH($B$4&amp;"|- Lane 5 - "&amp;C$87&amp;"|"&amp;$A98,'Reguler Class Availability'!$L:$L,0),""))</f>
        <v>2264</v>
      </c>
      <c r="AP98" s="30" t="n">
        <f aca="false">IF($A98="","",IFERROR(MATCH($B$4&amp;"|- Lane 5 - "&amp;D$87&amp;"|"&amp;$A98,'Reguler Class Availability'!$L:$L,0),""))</f>
        <v>2276</v>
      </c>
      <c r="AQ98" s="30" t="n">
        <f aca="false">IF($A98="","",IFERROR(MATCH($B$4&amp;"|- Lane 5 - "&amp;E$87&amp;"|"&amp;$A98,'Reguler Class Availability'!$L:$L,0),""))</f>
        <v>2288</v>
      </c>
      <c r="AR98" s="30" t="n">
        <f aca="false">IF($A98="","",IFERROR(MATCH($B$4&amp;"|- Lane 5 - "&amp;F$87&amp;"|"&amp;$A98,'Reguler Class Availability'!$L:$L,0),""))</f>
        <v>2300</v>
      </c>
      <c r="AS98" s="30" t="n">
        <f aca="false">IF($A98="","",IFERROR(MATCH($B$4&amp;"|- Lane 5 - "&amp;G$87&amp;"|"&amp;$A98,'Reguler Class Availability'!$L:$L,0),""))</f>
        <v>2312</v>
      </c>
      <c r="AT98" s="30" t="n">
        <f aca="false">IF($A98="","",IFERROR(MATCH($B$4&amp;"|- Lane 5 - "&amp;H$87&amp;"|"&amp;$A98,'Reguler Class Availability'!$L:$L,0),""))</f>
        <v>2324</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Kosong</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Kosong</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Kosong</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Kosong</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Kosong</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Kosong</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Kosong</v>
      </c>
      <c r="BD98" s="30" t="s">
        <v>147</v>
      </c>
      <c r="BE98" s="30" t="n">
        <f aca="false">IF(COUNTIFS('Reguler Class Availability'!$L:$L,$B$4&amp;"|- Lane 2 - *|"&amp;BD98)&gt;0,1,0)</f>
        <v>0</v>
      </c>
      <c r="BF98" s="30" t="n">
        <f aca="false">BE98+BF97</f>
        <v>9</v>
      </c>
    </row>
    <row r="99" customFormat="false" ht="39.75" hidden="false" customHeight="true" outlineLevel="0" collapsed="false">
      <c r="A99" s="66" t="str">
        <f aca="false">IFERROR(INDEX($BD$242:$BD$301,MATCH(12,$BF$242:$BF$301,0)),"")</f>
        <v>17:00</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Kosong  0/4  (0%)
coach: –</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Kosong  0/4  (0%)
coach: –</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Kosong  0/4  (0%)
coach: –</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Kosong  0/4  (0%)
coach: –</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Kosong  0/4  (0%)
coach: –</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Kosong  0/4  (0%)
coach: –</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Kosong  0/4  (0%)
coach: –</v>
      </c>
      <c r="AN99" s="30" t="n">
        <f aca="false">IF($A99="","",IFERROR(MATCH($B$4&amp;"|- Lane 5 - "&amp;B$87&amp;"|"&amp;$A99,'Reguler Class Availability'!$L:$L,0),""))</f>
        <v>2253</v>
      </c>
      <c r="AO99" s="30" t="n">
        <f aca="false">IF($A99="","",IFERROR(MATCH($B$4&amp;"|- Lane 5 - "&amp;C$87&amp;"|"&amp;$A99,'Reguler Class Availability'!$L:$L,0),""))</f>
        <v>2265</v>
      </c>
      <c r="AP99" s="30" t="n">
        <f aca="false">IF($A99="","",IFERROR(MATCH($B$4&amp;"|- Lane 5 - "&amp;D$87&amp;"|"&amp;$A99,'Reguler Class Availability'!$L:$L,0),""))</f>
        <v>2277</v>
      </c>
      <c r="AQ99" s="30" t="n">
        <f aca="false">IF($A99="","",IFERROR(MATCH($B$4&amp;"|- Lane 5 - "&amp;E$87&amp;"|"&amp;$A99,'Reguler Class Availability'!$L:$L,0),""))</f>
        <v>2289</v>
      </c>
      <c r="AR99" s="30" t="n">
        <f aca="false">IF($A99="","",IFERROR(MATCH($B$4&amp;"|- Lane 5 - "&amp;F$87&amp;"|"&amp;$A99,'Reguler Class Availability'!$L:$L,0),""))</f>
        <v>2301</v>
      </c>
      <c r="AS99" s="30" t="n">
        <f aca="false">IF($A99="","",IFERROR(MATCH($B$4&amp;"|- Lane 5 - "&amp;G$87&amp;"|"&amp;$A99,'Reguler Class Availability'!$L:$L,0),""))</f>
        <v>2313</v>
      </c>
      <c r="AT99" s="30" t="n">
        <f aca="false">IF($A99="","",IFERROR(MATCH($B$4&amp;"|- Lane 5 - "&amp;H$87&amp;"|"&amp;$A99,'Reguler Class Availability'!$L:$L,0),""))</f>
        <v>2325</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Kosong</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Kosong</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Kosong</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Kosong</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Kosong</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Kosong</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Kosong</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1</v>
      </c>
      <c r="BF100" s="30" t="n">
        <f aca="false">BE100+BF99</f>
        <v>10</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0</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0%</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0%</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0%</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0%</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0%</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0%</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0%</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1</v>
      </c>
      <c r="BF103" s="0" t="n">
        <f aca="false">BE103+BF102</f>
        <v>11</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0</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08:00</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v>
      </c>
      <c r="AN106" s="30" t="n">
        <f aca="false">IF($A106="","",IFERROR(MATCH($B$4&amp;"|- Lane 6 - "&amp;B$105&amp;"|"&amp;$A106,'Reguler Class Availability'!$L:$L,0),""))</f>
        <v>2326</v>
      </c>
      <c r="AO106" s="30" t="n">
        <f aca="false">IF($A106="","",IFERROR(MATCH($B$4&amp;"|- Lane 6 - "&amp;C$105&amp;"|"&amp;$A106,'Reguler Class Availability'!$L:$L,0),""))</f>
        <v>2338</v>
      </c>
      <c r="AP106" s="30" t="n">
        <f aca="false">IF($A106="","",IFERROR(MATCH($B$4&amp;"|- Lane 6 - "&amp;D$105&amp;"|"&amp;$A106,'Reguler Class Availability'!$L:$L,0),""))</f>
        <v>2350</v>
      </c>
      <c r="AQ106" s="30" t="n">
        <f aca="false">IF($A106="","",IFERROR(MATCH($B$4&amp;"|- Lane 6 - "&amp;E$105&amp;"|"&amp;$A106,'Reguler Class Availability'!$L:$L,0),""))</f>
        <v>2362</v>
      </c>
      <c r="AR106" s="30" t="n">
        <f aca="false">IF($A106="","",IFERROR(MATCH($B$4&amp;"|- Lane 6 - "&amp;F$105&amp;"|"&amp;$A106,'Reguler Class Availability'!$L:$L,0),""))</f>
        <v>2374</v>
      </c>
      <c r="AS106" s="30" t="n">
        <f aca="false">IF($A106="","",IFERROR(MATCH($B$4&amp;"|- Lane 6 - "&amp;G$105&amp;"|"&amp;$A106,'Reguler Class Availability'!$L:$L,0),""))</f>
        <v>2386</v>
      </c>
      <c r="AT106" s="30" t="n">
        <f aca="false">IF($A106="","",IFERROR(MATCH($B$4&amp;"|- Lane 6 - "&amp;H$105&amp;"|"&amp;$A106,'Reguler Class Availability'!$L:$L,0),""))</f>
        <v>2398</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Tidak dibuka</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Tidak dibuka</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Tidak dibuka</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Tidak dibuka</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Tidak dibuka</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Tidak dibuka</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Tidak dibuka</v>
      </c>
      <c r="BD106" s="30" t="s">
        <v>155</v>
      </c>
      <c r="BE106" s="30" t="n">
        <f aca="false">IF(COUNTIFS('Reguler Class Availability'!$L:$L,$B$4&amp;"|- Lane 2 - *|"&amp;BD106)&gt;0,1,0)</f>
        <v>1</v>
      </c>
      <c r="BF106" s="30" t="n">
        <f aca="false">BE106+BF105</f>
        <v>12</v>
      </c>
    </row>
    <row r="107" customFormat="false" ht="39.75" hidden="false" customHeight="true" outlineLevel="0" collapsed="false">
      <c r="A107" s="66" t="str">
        <f aca="false">IFERROR(INDEX($BD$302:$BD$361,MATCH(2,$BF$302:$BF$361,0)),"")</f>
        <v>08:45</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v>
      </c>
      <c r="AN107" s="30" t="n">
        <f aca="false">IF($A107="","",IFERROR(MATCH($B$4&amp;"|- Lane 6 - "&amp;B$105&amp;"|"&amp;$A107,'Reguler Class Availability'!$L:$L,0),""))</f>
        <v>2327</v>
      </c>
      <c r="AO107" s="30" t="n">
        <f aca="false">IF($A107="","",IFERROR(MATCH($B$4&amp;"|- Lane 6 - "&amp;C$105&amp;"|"&amp;$A107,'Reguler Class Availability'!$L:$L,0),""))</f>
        <v>2339</v>
      </c>
      <c r="AP107" s="30" t="n">
        <f aca="false">IF($A107="","",IFERROR(MATCH($B$4&amp;"|- Lane 6 - "&amp;D$105&amp;"|"&amp;$A107,'Reguler Class Availability'!$L:$L,0),""))</f>
        <v>2351</v>
      </c>
      <c r="AQ107" s="30" t="n">
        <f aca="false">IF($A107="","",IFERROR(MATCH($B$4&amp;"|- Lane 6 - "&amp;E$105&amp;"|"&amp;$A107,'Reguler Class Availability'!$L:$L,0),""))</f>
        <v>2363</v>
      </c>
      <c r="AR107" s="30" t="n">
        <f aca="false">IF($A107="","",IFERROR(MATCH($B$4&amp;"|- Lane 6 - "&amp;F$105&amp;"|"&amp;$A107,'Reguler Class Availability'!$L:$L,0),""))</f>
        <v>2375</v>
      </c>
      <c r="AS107" s="30" t="n">
        <f aca="false">IF($A107="","",IFERROR(MATCH($B$4&amp;"|- Lane 6 - "&amp;G$105&amp;"|"&amp;$A107,'Reguler Class Availability'!$L:$L,0),""))</f>
        <v>2387</v>
      </c>
      <c r="AT107" s="30" t="n">
        <f aca="false">IF($A107="","",IFERROR(MATCH($B$4&amp;"|- Lane 6 - "&amp;H$105&amp;"|"&amp;$A107,'Reguler Class Availability'!$L:$L,0),""))</f>
        <v>2399</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Tidak dibuka</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Tidak dibuka</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Tidak dibuka</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Tidak dibuka</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Tidak dibuka</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Tidak dibuka</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Tidak dibuka</v>
      </c>
      <c r="BD107" s="30" t="s">
        <v>156</v>
      </c>
      <c r="BE107" s="30" t="n">
        <f aca="false">IF(COUNTIFS('Reguler Class Availability'!$L:$L,$B$4&amp;"|- Lane 2 - *|"&amp;BD107)&gt;0,1,0)</f>
        <v>0</v>
      </c>
      <c r="BF107" s="30" t="n">
        <f aca="false">BE107+BF106</f>
        <v>12</v>
      </c>
    </row>
    <row r="108" customFormat="false" ht="39.75" hidden="false" customHeight="true" outlineLevel="0" collapsed="false">
      <c r="A108" s="66" t="str">
        <f aca="false">IFERROR(INDEX($BD$302:$BD$361,MATCH(3,$BF$302:$BF$361,0)),"")</f>
        <v>09:30</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v>
      </c>
      <c r="AN108" s="30" t="n">
        <f aca="false">IF($A108="","",IFERROR(MATCH($B$4&amp;"|- Lane 6 - "&amp;B$105&amp;"|"&amp;$A108,'Reguler Class Availability'!$L:$L,0),""))</f>
        <v>2328</v>
      </c>
      <c r="AO108" s="30" t="n">
        <f aca="false">IF($A108="","",IFERROR(MATCH($B$4&amp;"|- Lane 6 - "&amp;C$105&amp;"|"&amp;$A108,'Reguler Class Availability'!$L:$L,0),""))</f>
        <v>2340</v>
      </c>
      <c r="AP108" s="30" t="n">
        <f aca="false">IF($A108="","",IFERROR(MATCH($B$4&amp;"|- Lane 6 - "&amp;D$105&amp;"|"&amp;$A108,'Reguler Class Availability'!$L:$L,0),""))</f>
        <v>2352</v>
      </c>
      <c r="AQ108" s="30" t="n">
        <f aca="false">IF($A108="","",IFERROR(MATCH($B$4&amp;"|- Lane 6 - "&amp;E$105&amp;"|"&amp;$A108,'Reguler Class Availability'!$L:$L,0),""))</f>
        <v>2364</v>
      </c>
      <c r="AR108" s="30" t="n">
        <f aca="false">IF($A108="","",IFERROR(MATCH($B$4&amp;"|- Lane 6 - "&amp;F$105&amp;"|"&amp;$A108,'Reguler Class Availability'!$L:$L,0),""))</f>
        <v>2376</v>
      </c>
      <c r="AS108" s="30" t="n">
        <f aca="false">IF($A108="","",IFERROR(MATCH($B$4&amp;"|- Lane 6 - "&amp;G$105&amp;"|"&amp;$A108,'Reguler Class Availability'!$L:$L,0),""))</f>
        <v>2388</v>
      </c>
      <c r="AT108" s="30" t="n">
        <f aca="false">IF($A108="","",IFERROR(MATCH($B$4&amp;"|- Lane 6 - "&amp;H$105&amp;"|"&amp;$A108,'Reguler Class Availability'!$L:$L,0),""))</f>
        <v>2400</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Tidak dibuka</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Tidak dibuka</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Tidak dibuka</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Tidak dibuka</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Tidak dibuka</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Tidak dibuka</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Tidak dibuka</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10:15</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v>
      </c>
      <c r="AN109" s="30" t="n">
        <f aca="false">IF($A109="","",IFERROR(MATCH($B$4&amp;"|- Lane 6 - "&amp;B$105&amp;"|"&amp;$A109,'Reguler Class Availability'!$L:$L,0),""))</f>
        <v>2329</v>
      </c>
      <c r="AO109" s="30" t="n">
        <f aca="false">IF($A109="","",IFERROR(MATCH($B$4&amp;"|- Lane 6 - "&amp;C$105&amp;"|"&amp;$A109,'Reguler Class Availability'!$L:$L,0),""))</f>
        <v>2341</v>
      </c>
      <c r="AP109" s="30" t="n">
        <f aca="false">IF($A109="","",IFERROR(MATCH($B$4&amp;"|- Lane 6 - "&amp;D$105&amp;"|"&amp;$A109,'Reguler Class Availability'!$L:$L,0),""))</f>
        <v>2353</v>
      </c>
      <c r="AQ109" s="30" t="n">
        <f aca="false">IF($A109="","",IFERROR(MATCH($B$4&amp;"|- Lane 6 - "&amp;E$105&amp;"|"&amp;$A109,'Reguler Class Availability'!$L:$L,0),""))</f>
        <v>2365</v>
      </c>
      <c r="AR109" s="30" t="n">
        <f aca="false">IF($A109="","",IFERROR(MATCH($B$4&amp;"|- Lane 6 - "&amp;F$105&amp;"|"&amp;$A109,'Reguler Class Availability'!$L:$L,0),""))</f>
        <v>2377</v>
      </c>
      <c r="AS109" s="30" t="n">
        <f aca="false">IF($A109="","",IFERROR(MATCH($B$4&amp;"|- Lane 6 - "&amp;G$105&amp;"|"&amp;$A109,'Reguler Class Availability'!$L:$L,0),""))</f>
        <v>2389</v>
      </c>
      <c r="AT109" s="30" t="n">
        <f aca="false">IF($A109="","",IFERROR(MATCH($B$4&amp;"|- Lane 6 - "&amp;H$105&amp;"|"&amp;$A109,'Reguler Class Availability'!$L:$L,0),""))</f>
        <v>2401</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Tidak dibuka</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Tidak dibuka</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Tidak dibuka</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Tidak dibuka</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Tidak dibuka</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Tidak dibuka</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Tidak dibuka</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11:00</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v>
      </c>
      <c r="AN110" s="30" t="n">
        <f aca="false">IF($A110="","",IFERROR(MATCH($B$4&amp;"|- Lane 6 - "&amp;B$105&amp;"|"&amp;$A110,'Reguler Class Availability'!$L:$L,0),""))</f>
        <v>2330</v>
      </c>
      <c r="AO110" s="30" t="n">
        <f aca="false">IF($A110="","",IFERROR(MATCH($B$4&amp;"|- Lane 6 - "&amp;C$105&amp;"|"&amp;$A110,'Reguler Class Availability'!$L:$L,0),""))</f>
        <v>2342</v>
      </c>
      <c r="AP110" s="30" t="n">
        <f aca="false">IF($A110="","",IFERROR(MATCH($B$4&amp;"|- Lane 6 - "&amp;D$105&amp;"|"&amp;$A110,'Reguler Class Availability'!$L:$L,0),""))</f>
        <v>2354</v>
      </c>
      <c r="AQ110" s="30" t="n">
        <f aca="false">IF($A110="","",IFERROR(MATCH($B$4&amp;"|- Lane 6 - "&amp;E$105&amp;"|"&amp;$A110,'Reguler Class Availability'!$L:$L,0),""))</f>
        <v>2366</v>
      </c>
      <c r="AR110" s="30" t="n">
        <f aca="false">IF($A110="","",IFERROR(MATCH($B$4&amp;"|- Lane 6 - "&amp;F$105&amp;"|"&amp;$A110,'Reguler Class Availability'!$L:$L,0),""))</f>
        <v>2378</v>
      </c>
      <c r="AS110" s="30" t="n">
        <f aca="false">IF($A110="","",IFERROR(MATCH($B$4&amp;"|- Lane 6 - "&amp;G$105&amp;"|"&amp;$A110,'Reguler Class Availability'!$L:$L,0),""))</f>
        <v>2390</v>
      </c>
      <c r="AT110" s="30" t="n">
        <f aca="false">IF($A110="","",IFERROR(MATCH($B$4&amp;"|- Lane 6 - "&amp;H$105&amp;"|"&amp;$A110,'Reguler Class Availability'!$L:$L,0),""))</f>
        <v>2402</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Tidak dibuka</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Tidak dibuka</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Tidak dibuka</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Tidak dibuka</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Tidak dibuka</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Tidak dibuka</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Tidak dibuka</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11:45</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v>
      </c>
      <c r="AN111" s="30" t="n">
        <f aca="false">IF($A111="","",IFERROR(MATCH($B$4&amp;"|- Lane 6 - "&amp;B$105&amp;"|"&amp;$A111,'Reguler Class Availability'!$L:$L,0),""))</f>
        <v>2331</v>
      </c>
      <c r="AO111" s="30" t="n">
        <f aca="false">IF($A111="","",IFERROR(MATCH($B$4&amp;"|- Lane 6 - "&amp;C$105&amp;"|"&amp;$A111,'Reguler Class Availability'!$L:$L,0),""))</f>
        <v>2343</v>
      </c>
      <c r="AP111" s="30" t="n">
        <f aca="false">IF($A111="","",IFERROR(MATCH($B$4&amp;"|- Lane 6 - "&amp;D$105&amp;"|"&amp;$A111,'Reguler Class Availability'!$L:$L,0),""))</f>
        <v>2355</v>
      </c>
      <c r="AQ111" s="30" t="n">
        <f aca="false">IF($A111="","",IFERROR(MATCH($B$4&amp;"|- Lane 6 - "&amp;E$105&amp;"|"&amp;$A111,'Reguler Class Availability'!$L:$L,0),""))</f>
        <v>2367</v>
      </c>
      <c r="AR111" s="30" t="n">
        <f aca="false">IF($A111="","",IFERROR(MATCH($B$4&amp;"|- Lane 6 - "&amp;F$105&amp;"|"&amp;$A111,'Reguler Class Availability'!$L:$L,0),""))</f>
        <v>2379</v>
      </c>
      <c r="AS111" s="30" t="n">
        <f aca="false">IF($A111="","",IFERROR(MATCH($B$4&amp;"|- Lane 6 - "&amp;G$105&amp;"|"&amp;$A111,'Reguler Class Availability'!$L:$L,0),""))</f>
        <v>2391</v>
      </c>
      <c r="AT111" s="30" t="n">
        <f aca="false">IF($A111="","",IFERROR(MATCH($B$4&amp;"|- Lane 6 - "&amp;H$105&amp;"|"&amp;$A111,'Reguler Class Availability'!$L:$L,0),""))</f>
        <v>2403</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Tidak dibuka</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Tidak dibuka</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Tidak dibuka</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Tidak dibuka</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Tidak dibuka</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Tidak dibuka</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Tidak dibuka</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13:15</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v>
      </c>
      <c r="AN112" s="30" t="n">
        <f aca="false">IF($A112="","",IFERROR(MATCH($B$4&amp;"|- Lane 6 - "&amp;B$105&amp;"|"&amp;$A112,'Reguler Class Availability'!$L:$L,0),""))</f>
        <v>2332</v>
      </c>
      <c r="AO112" s="30" t="n">
        <f aca="false">IF($A112="","",IFERROR(MATCH($B$4&amp;"|- Lane 6 - "&amp;C$105&amp;"|"&amp;$A112,'Reguler Class Availability'!$L:$L,0),""))</f>
        <v>2344</v>
      </c>
      <c r="AP112" s="30" t="n">
        <f aca="false">IF($A112="","",IFERROR(MATCH($B$4&amp;"|- Lane 6 - "&amp;D$105&amp;"|"&amp;$A112,'Reguler Class Availability'!$L:$L,0),""))</f>
        <v>2356</v>
      </c>
      <c r="AQ112" s="30" t="n">
        <f aca="false">IF($A112="","",IFERROR(MATCH($B$4&amp;"|- Lane 6 - "&amp;E$105&amp;"|"&amp;$A112,'Reguler Class Availability'!$L:$L,0),""))</f>
        <v>2368</v>
      </c>
      <c r="AR112" s="30" t="n">
        <f aca="false">IF($A112="","",IFERROR(MATCH($B$4&amp;"|- Lane 6 - "&amp;F$105&amp;"|"&amp;$A112,'Reguler Class Availability'!$L:$L,0),""))</f>
        <v>2380</v>
      </c>
      <c r="AS112" s="30" t="n">
        <f aca="false">IF($A112="","",IFERROR(MATCH($B$4&amp;"|- Lane 6 - "&amp;G$105&amp;"|"&amp;$A112,'Reguler Class Availability'!$L:$L,0),""))</f>
        <v>2392</v>
      </c>
      <c r="AT112" s="30" t="n">
        <f aca="false">IF($A112="","",IFERROR(MATCH($B$4&amp;"|- Lane 6 - "&amp;H$105&amp;"|"&amp;$A112,'Reguler Class Availability'!$L:$L,0),""))</f>
        <v>2404</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Tidak dibuka</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Tidak dibuka</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Tidak dibuka</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Tidak dibuka</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Tidak dibuka</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Tidak dibuka</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Tidak dibuka</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14:00</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v>
      </c>
      <c r="AN113" s="30" t="n">
        <f aca="false">IF($A113="","",IFERROR(MATCH($B$4&amp;"|- Lane 6 - "&amp;B$105&amp;"|"&amp;$A113,'Reguler Class Availability'!$L:$L,0),""))</f>
        <v>2333</v>
      </c>
      <c r="AO113" s="30" t="n">
        <f aca="false">IF($A113="","",IFERROR(MATCH($B$4&amp;"|- Lane 6 - "&amp;C$105&amp;"|"&amp;$A113,'Reguler Class Availability'!$L:$L,0),""))</f>
        <v>2345</v>
      </c>
      <c r="AP113" s="30" t="n">
        <f aca="false">IF($A113="","",IFERROR(MATCH($B$4&amp;"|- Lane 6 - "&amp;D$105&amp;"|"&amp;$A113,'Reguler Class Availability'!$L:$L,0),""))</f>
        <v>2357</v>
      </c>
      <c r="AQ113" s="30" t="n">
        <f aca="false">IF($A113="","",IFERROR(MATCH($B$4&amp;"|- Lane 6 - "&amp;E$105&amp;"|"&amp;$A113,'Reguler Class Availability'!$L:$L,0),""))</f>
        <v>2369</v>
      </c>
      <c r="AR113" s="30" t="n">
        <f aca="false">IF($A113="","",IFERROR(MATCH($B$4&amp;"|- Lane 6 - "&amp;F$105&amp;"|"&amp;$A113,'Reguler Class Availability'!$L:$L,0),""))</f>
        <v>2381</v>
      </c>
      <c r="AS113" s="30" t="n">
        <f aca="false">IF($A113="","",IFERROR(MATCH($B$4&amp;"|- Lane 6 - "&amp;G$105&amp;"|"&amp;$A113,'Reguler Class Availability'!$L:$L,0),""))</f>
        <v>2393</v>
      </c>
      <c r="AT113" s="30" t="n">
        <f aca="false">IF($A113="","",IFERROR(MATCH($B$4&amp;"|- Lane 6 - "&amp;H$105&amp;"|"&amp;$A113,'Reguler Class Availability'!$L:$L,0),""))</f>
        <v>2405</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Tidak dibuka</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Tidak dibuka</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Tidak dibuka</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Tidak dibuka</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Tidak dibuka</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Tidak dibuka</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Tidak dibuka</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14:45</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v>
      </c>
      <c r="AN114" s="30" t="n">
        <f aca="false">IF($A114="","",IFERROR(MATCH($B$4&amp;"|- Lane 6 - "&amp;B$105&amp;"|"&amp;$A114,'Reguler Class Availability'!$L:$L,0),""))</f>
        <v>2334</v>
      </c>
      <c r="AO114" s="30" t="n">
        <f aca="false">IF($A114="","",IFERROR(MATCH($B$4&amp;"|- Lane 6 - "&amp;C$105&amp;"|"&amp;$A114,'Reguler Class Availability'!$L:$L,0),""))</f>
        <v>2346</v>
      </c>
      <c r="AP114" s="30" t="n">
        <f aca="false">IF($A114="","",IFERROR(MATCH($B$4&amp;"|- Lane 6 - "&amp;D$105&amp;"|"&amp;$A114,'Reguler Class Availability'!$L:$L,0),""))</f>
        <v>2358</v>
      </c>
      <c r="AQ114" s="30" t="n">
        <f aca="false">IF($A114="","",IFERROR(MATCH($B$4&amp;"|- Lane 6 - "&amp;E$105&amp;"|"&amp;$A114,'Reguler Class Availability'!$L:$L,0),""))</f>
        <v>2370</v>
      </c>
      <c r="AR114" s="30" t="n">
        <f aca="false">IF($A114="","",IFERROR(MATCH($B$4&amp;"|- Lane 6 - "&amp;F$105&amp;"|"&amp;$A114,'Reguler Class Availability'!$L:$L,0),""))</f>
        <v>2382</v>
      </c>
      <c r="AS114" s="30" t="n">
        <f aca="false">IF($A114="","",IFERROR(MATCH($B$4&amp;"|- Lane 6 - "&amp;G$105&amp;"|"&amp;$A114,'Reguler Class Availability'!$L:$L,0),""))</f>
        <v>2394</v>
      </c>
      <c r="AT114" s="30" t="n">
        <f aca="false">IF($A114="","",IFERROR(MATCH($B$4&amp;"|- Lane 6 - "&amp;H$105&amp;"|"&amp;$A114,'Reguler Class Availability'!$L:$L,0),""))</f>
        <v>2406</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Tidak dibuka</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Tidak dibuka</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Tidak dibuka</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Tidak dibuka</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Tidak dibuka</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Tidak dibuka</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Tidak dibuka</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15:30</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v>
      </c>
      <c r="AN115" s="30" t="n">
        <f aca="false">IF($A115="","",IFERROR(MATCH($B$4&amp;"|- Lane 6 - "&amp;B$105&amp;"|"&amp;$A115,'Reguler Class Availability'!$L:$L,0),""))</f>
        <v>2335</v>
      </c>
      <c r="AO115" s="30" t="n">
        <f aca="false">IF($A115="","",IFERROR(MATCH($B$4&amp;"|- Lane 6 - "&amp;C$105&amp;"|"&amp;$A115,'Reguler Class Availability'!$L:$L,0),""))</f>
        <v>2347</v>
      </c>
      <c r="AP115" s="30" t="n">
        <f aca="false">IF($A115="","",IFERROR(MATCH($B$4&amp;"|- Lane 6 - "&amp;D$105&amp;"|"&amp;$A115,'Reguler Class Availability'!$L:$L,0),""))</f>
        <v>2359</v>
      </c>
      <c r="AQ115" s="30" t="n">
        <f aca="false">IF($A115="","",IFERROR(MATCH($B$4&amp;"|- Lane 6 - "&amp;E$105&amp;"|"&amp;$A115,'Reguler Class Availability'!$L:$L,0),""))</f>
        <v>2371</v>
      </c>
      <c r="AR115" s="30" t="n">
        <f aca="false">IF($A115="","",IFERROR(MATCH($B$4&amp;"|- Lane 6 - "&amp;F$105&amp;"|"&amp;$A115,'Reguler Class Availability'!$L:$L,0),""))</f>
        <v>2383</v>
      </c>
      <c r="AS115" s="30" t="n">
        <f aca="false">IF($A115="","",IFERROR(MATCH($B$4&amp;"|- Lane 6 - "&amp;G$105&amp;"|"&amp;$A115,'Reguler Class Availability'!$L:$L,0),""))</f>
        <v>2395</v>
      </c>
      <c r="AT115" s="30" t="n">
        <f aca="false">IF($A115="","",IFERROR(MATCH($B$4&amp;"|- Lane 6 - "&amp;H$105&amp;"|"&amp;$A115,'Reguler Class Availability'!$L:$L,0),""))</f>
        <v>2407</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Tidak dibuka</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Tidak dibuka</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Tidak dibuka</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Tidak dibuka</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Tidak dibuka</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Tidak dibuka</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Tidak dibuka</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16:15</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v>
      </c>
      <c r="AN116" s="30" t="n">
        <f aca="false">IF($A116="","",IFERROR(MATCH($B$4&amp;"|- Lane 6 - "&amp;B$105&amp;"|"&amp;$A116,'Reguler Class Availability'!$L:$L,0),""))</f>
        <v>2336</v>
      </c>
      <c r="AO116" s="30" t="n">
        <f aca="false">IF($A116="","",IFERROR(MATCH($B$4&amp;"|- Lane 6 - "&amp;C$105&amp;"|"&amp;$A116,'Reguler Class Availability'!$L:$L,0),""))</f>
        <v>2348</v>
      </c>
      <c r="AP116" s="30" t="n">
        <f aca="false">IF($A116="","",IFERROR(MATCH($B$4&amp;"|- Lane 6 - "&amp;D$105&amp;"|"&amp;$A116,'Reguler Class Availability'!$L:$L,0),""))</f>
        <v>2360</v>
      </c>
      <c r="AQ116" s="30" t="n">
        <f aca="false">IF($A116="","",IFERROR(MATCH($B$4&amp;"|- Lane 6 - "&amp;E$105&amp;"|"&amp;$A116,'Reguler Class Availability'!$L:$L,0),""))</f>
        <v>2372</v>
      </c>
      <c r="AR116" s="30" t="n">
        <f aca="false">IF($A116="","",IFERROR(MATCH($B$4&amp;"|- Lane 6 - "&amp;F$105&amp;"|"&amp;$A116,'Reguler Class Availability'!$L:$L,0),""))</f>
        <v>2384</v>
      </c>
      <c r="AS116" s="30" t="n">
        <f aca="false">IF($A116="","",IFERROR(MATCH($B$4&amp;"|- Lane 6 - "&amp;G$105&amp;"|"&amp;$A116,'Reguler Class Availability'!$L:$L,0),""))</f>
        <v>2396</v>
      </c>
      <c r="AT116" s="30" t="n">
        <f aca="false">IF($A116="","",IFERROR(MATCH($B$4&amp;"|- Lane 6 - "&amp;H$105&amp;"|"&amp;$A116,'Reguler Class Availability'!$L:$L,0),""))</f>
        <v>2408</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Tidak dibuka</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Tidak dibuka</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Tidak dibuka</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Tidak dibuka</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Tidak dibuka</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Tidak dibuka</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Tidak dibuka</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17:00</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v>
      </c>
      <c r="AN117" s="30" t="n">
        <f aca="false">IF($A117="","",IFERROR(MATCH($B$4&amp;"|- Lane 6 - "&amp;B$105&amp;"|"&amp;$A117,'Reguler Class Availability'!$L:$L,0),""))</f>
        <v>2337</v>
      </c>
      <c r="AO117" s="30" t="n">
        <f aca="false">IF($A117="","",IFERROR(MATCH($B$4&amp;"|- Lane 6 - "&amp;C$105&amp;"|"&amp;$A117,'Reguler Class Availability'!$L:$L,0),""))</f>
        <v>2349</v>
      </c>
      <c r="AP117" s="30" t="n">
        <f aca="false">IF($A117="","",IFERROR(MATCH($B$4&amp;"|- Lane 6 - "&amp;D$105&amp;"|"&amp;$A117,'Reguler Class Availability'!$L:$L,0),""))</f>
        <v>2361</v>
      </c>
      <c r="AQ117" s="30" t="n">
        <f aca="false">IF($A117="","",IFERROR(MATCH($B$4&amp;"|- Lane 6 - "&amp;E$105&amp;"|"&amp;$A117,'Reguler Class Availability'!$L:$L,0),""))</f>
        <v>2373</v>
      </c>
      <c r="AR117" s="30" t="n">
        <f aca="false">IF($A117="","",IFERROR(MATCH($B$4&amp;"|- Lane 6 - "&amp;F$105&amp;"|"&amp;$A117,'Reguler Class Availability'!$L:$L,0),""))</f>
        <v>2385</v>
      </c>
      <c r="AS117" s="30" t="n">
        <f aca="false">IF($A117="","",IFERROR(MATCH($B$4&amp;"|- Lane 6 - "&amp;G$105&amp;"|"&amp;$A117,'Reguler Class Availability'!$L:$L,0),""))</f>
        <v>2397</v>
      </c>
      <c r="AT117" s="30" t="n">
        <f aca="false">IF($A117="","",IFERROR(MATCH($B$4&amp;"|- Lane 6 - "&amp;H$105&amp;"|"&amp;$A117,'Reguler Class Availability'!$L:$L,0),""))</f>
        <v>2409</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Tidak dibuka</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Tidak dibuka</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Tidak dibuka</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Tidak dibuka</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Tidak dibuka</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Tidak dibuka</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Tidak dibuka</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52.5" hidden="false" customHeight="true" outlineLevel="0" collapsed="false">
      <c r="A127" s="76" t="n">
        <v>1</v>
      </c>
      <c r="B127" s="77" t="s">
        <v>114</v>
      </c>
      <c r="C127" s="76" t="s">
        <v>91</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Star</v>
      </c>
      <c r="G127" s="76" t="n">
        <f aca="false">IF($Q127="","",IFERROR(--(INDEX('Reguler Class Availability'!$F:$F,$Q127)&amp;""),0))</f>
        <v>8</v>
      </c>
      <c r="H127" s="77" t="str">
        <f aca="false">IF($Q127="","",PROPER(INDEX('Reguler Class Availability'!$I:$I,$Q127)&amp;"")&amp;IF(INDEX('Reguler Class Availability'!$J:$J,$Q127)&amp;""="",""," + asst "&amp;PROPER(INDEX('Reguler Class Availability'!$J:$J,$Q127)&amp;"")))</f>
        <v/>
      </c>
      <c r="I127" s="77" t="s">
        <v>451</v>
      </c>
      <c r="J127" s="77" t="s">
        <v>186</v>
      </c>
      <c r="K127" s="78"/>
      <c r="L127" s="78"/>
      <c r="M127" s="78"/>
      <c r="N127" s="79"/>
      <c r="O127" s="78"/>
      <c r="Q127" s="30" t="n">
        <f aca="false">IFERROR(MATCH($B$4&amp;"|- Lane "&amp;D127&amp;" - "&amp;B127&amp;"|"&amp;C127,'Reguler Class Availability'!$L:$L,0),"")</f>
        <v>1976</v>
      </c>
      <c r="BD127" s="30" t="s">
        <v>90</v>
      </c>
      <c r="BE127" s="30" t="n">
        <f aca="false">IF(COUNTIFS('Reguler Class Availability'!$L:$L,$B$4&amp;"|- Lane 3 - *|"&amp;BD127)&gt;0,1,0)</f>
        <v>0</v>
      </c>
      <c r="BF127" s="30" t="n">
        <f aca="false">BE127+BF126</f>
        <v>0</v>
      </c>
    </row>
    <row r="128" customFormat="false" ht="52.5" hidden="false" customHeight="true" outlineLevel="0" collapsed="false">
      <c r="A128" s="76" t="n">
        <v>2</v>
      </c>
      <c r="B128" s="77" t="s">
        <v>114</v>
      </c>
      <c r="C128" s="76" t="s">
        <v>105</v>
      </c>
      <c r="D128" s="76" t="n">
        <v>1</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Belum terisi</v>
      </c>
      <c r="F128" s="77" t="str">
        <f aca="false">IF($Q128="","",PROPER(INDEX('Reguler Class Availability'!$B:$B,$Q128)&amp;""))</f>
        <v>Baby</v>
      </c>
      <c r="G128" s="76" t="n">
        <f aca="false">IF($Q128="","",IFERROR(--(INDEX('Reguler Class Availability'!$F:$F,$Q128)&amp;""),0))</f>
        <v>5</v>
      </c>
      <c r="H128" s="77" t="str">
        <f aca="false">IF($Q128="","",PROPER(INDEX('Reguler Class Availability'!$I:$I,$Q128)&amp;"")&amp;IF(INDEX('Reguler Class Availability'!$J:$J,$Q128)&amp;""="",""," + asst "&amp;PROPER(INDEX('Reguler Class Availability'!$J:$J,$Q128)&amp;"")))</f>
        <v/>
      </c>
      <c r="I128" s="77" t="s">
        <v>451</v>
      </c>
      <c r="J128" s="77" t="s">
        <v>188</v>
      </c>
      <c r="K128" s="78"/>
      <c r="L128" s="78"/>
      <c r="M128" s="78"/>
      <c r="N128" s="79"/>
      <c r="O128" s="78"/>
      <c r="Q128" s="30" t="n">
        <f aca="false">IFERROR(MATCH($B$4&amp;"|- Lane "&amp;D128&amp;" - "&amp;B128&amp;"|"&amp;C128,'Reguler Class Availability'!$L:$L,0),"")</f>
        <v>1892</v>
      </c>
      <c r="BD128" s="30" t="s">
        <v>91</v>
      </c>
      <c r="BE128" s="30" t="n">
        <f aca="false">IF(COUNTIFS('Reguler Class Availability'!$L:$L,$B$4&amp;"|- Lane 3 - *|"&amp;BD128)&gt;0,1,0)</f>
        <v>0</v>
      </c>
      <c r="BF128" s="30" t="n">
        <f aca="false">BE128+BF127</f>
        <v>0</v>
      </c>
    </row>
    <row r="129" customFormat="false" ht="52.5" hidden="false" customHeight="true" outlineLevel="0" collapsed="false">
      <c r="A129" s="76" t="n">
        <v>3</v>
      </c>
      <c r="B129" s="77" t="s">
        <v>114</v>
      </c>
      <c r="C129" s="76" t="s">
        <v>105</v>
      </c>
      <c r="D129" s="76" t="n">
        <v>2</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Belum terisi</v>
      </c>
      <c r="F129" s="77" t="str">
        <f aca="false">IF($Q129="","",PROPER(INDEX('Reguler Class Availability'!$B:$B,$Q129)&amp;""))</f>
        <v>Tiny</v>
      </c>
      <c r="G129" s="76" t="n">
        <f aca="false">IF($Q129="","",IFERROR(--(INDEX('Reguler Class Availability'!$F:$F,$Q129)&amp;""),0))</f>
        <v>5</v>
      </c>
      <c r="H129" s="77" t="str">
        <f aca="false">IF($Q129="","",PROPER(INDEX('Reguler Class Availability'!$I:$I,$Q129)&amp;"")&amp;IF(INDEX('Reguler Class Availability'!$J:$J,$Q129)&amp;""="",""," + asst "&amp;PROPER(INDEX('Reguler Class Availability'!$J:$J,$Q129)&amp;"")))</f>
        <v/>
      </c>
      <c r="I129" s="77" t="s">
        <v>451</v>
      </c>
      <c r="J129" s="77" t="s">
        <v>188</v>
      </c>
      <c r="K129" s="78"/>
      <c r="L129" s="78"/>
      <c r="M129" s="78"/>
      <c r="N129" s="79"/>
      <c r="O129" s="78"/>
      <c r="Q129" s="30" t="n">
        <f aca="false">IFERROR(MATCH($B$4&amp;"|- Lane "&amp;D129&amp;" - "&amp;B129&amp;"|"&amp;C129,'Reguler Class Availability'!$L:$L,0),"")</f>
        <v>1990</v>
      </c>
      <c r="BD129" s="30" t="s">
        <v>98</v>
      </c>
      <c r="BE129" s="30" t="n">
        <f aca="false">IF(COUNTIFS('Reguler Class Availability'!$L:$L,$B$4&amp;"|- Lane 3 - *|"&amp;BD129)&gt;0,1,0)</f>
        <v>0</v>
      </c>
      <c r="BF129" s="30" t="n">
        <f aca="false">BE129+BF128</f>
        <v>0</v>
      </c>
    </row>
    <row r="130" customFormat="false" ht="52.5" hidden="false" customHeight="true" outlineLevel="0" collapsed="false">
      <c r="A130" s="76" t="n">
        <v>4</v>
      </c>
      <c r="B130" s="77" t="s">
        <v>114</v>
      </c>
      <c r="C130" s="76" t="s">
        <v>105</v>
      </c>
      <c r="D130" s="76" t="n">
        <v>5</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Kosong</v>
      </c>
      <c r="F130" s="77" t="str">
        <f aca="false">IF($Q130="","",PROPER(INDEX('Reguler Class Availability'!$B:$B,$Q130)&amp;""))</f>
        <v/>
      </c>
      <c r="G130" s="76" t="n">
        <f aca="false">IF($Q130="","",IFERROR(--(INDEX('Reguler Class Availability'!$F:$F,$Q130)&amp;""),0))</f>
        <v>4</v>
      </c>
      <c r="H130" s="77" t="str">
        <f aca="false">IF($Q130="","",PROPER(INDEX('Reguler Class Availability'!$I:$I,$Q130)&amp;"")&amp;IF(INDEX('Reguler Class Availability'!$J:$J,$Q130)&amp;""="",""," + asst "&amp;PROPER(INDEX('Reguler Class Availability'!$J:$J,$Q130)&amp;"")))</f>
        <v/>
      </c>
      <c r="I130" s="77" t="s">
        <v>451</v>
      </c>
      <c r="J130" s="77" t="s">
        <v>188</v>
      </c>
      <c r="K130" s="78"/>
      <c r="L130" s="78"/>
      <c r="M130" s="78"/>
      <c r="N130" s="79"/>
      <c r="O130" s="78"/>
      <c r="Q130" s="30" t="n">
        <f aca="false">IFERROR(MATCH($B$4&amp;"|- Lane "&amp;D130&amp;" - "&amp;B130&amp;"|"&amp;C130,'Reguler Class Availability'!$L:$L,0),"")</f>
        <v>2242</v>
      </c>
      <c r="BD130" s="30" t="s">
        <v>105</v>
      </c>
      <c r="BE130" s="30" t="n">
        <f aca="false">IF(COUNTIFS('Reguler Class Availability'!$L:$L,$B$4&amp;"|- Lane 3 - *|"&amp;BD130)&gt;0,1,0)</f>
        <v>0</v>
      </c>
      <c r="BF130" s="30" t="n">
        <f aca="false">BE130+BF129</f>
        <v>0</v>
      </c>
    </row>
    <row r="131" customFormat="false" ht="40.5" hidden="false" customHeight="true" outlineLevel="0" collapsed="false">
      <c r="A131" s="76" t="n">
        <v>5</v>
      </c>
      <c r="B131" s="77" t="s">
        <v>114</v>
      </c>
      <c r="C131" s="76" t="s">
        <v>110</v>
      </c>
      <c r="D131" s="76" t="n">
        <v>3</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Little</v>
      </c>
      <c r="G131" s="76" t="n">
        <f aca="false">IF($Q131="","",IFERROR(--(INDEX('Reguler Class Availability'!$F:$F,$Q131)&amp;""),0))</f>
        <v>4</v>
      </c>
      <c r="H131" s="77" t="str">
        <f aca="false">IF($Q131="","",PROPER(INDEX('Reguler Class Availability'!$I:$I,$Q131)&amp;"")&amp;IF(INDEX('Reguler Class Availability'!$J:$J,$Q131)&amp;""="",""," + asst "&amp;PROPER(INDEX('Reguler Class Availability'!$J:$J,$Q131)&amp;"")))</f>
        <v/>
      </c>
      <c r="I131" s="77" t="s">
        <v>452</v>
      </c>
      <c r="J131" s="77" t="s">
        <v>188</v>
      </c>
      <c r="K131" s="78"/>
      <c r="L131" s="78"/>
      <c r="M131" s="78"/>
      <c r="N131" s="79"/>
      <c r="O131" s="78"/>
      <c r="Q131" s="30" t="n">
        <f aca="false">IFERROR(MATCH($B$4&amp;"|- Lane "&amp;D131&amp;" - "&amp;B131&amp;"|"&amp;C131,'Reguler Class Availability'!$L:$L,0),"")</f>
        <v>2074</v>
      </c>
      <c r="BD131" s="30" t="s">
        <v>110</v>
      </c>
      <c r="BE131" s="30" t="n">
        <f aca="false">IF(COUNTIFS('Reguler Class Availability'!$L:$L,$B$4&amp;"|- Lane 3 - *|"&amp;BD131)&gt;0,1,0)</f>
        <v>1</v>
      </c>
      <c r="BF131" s="30" t="n">
        <f aca="false">BE131+BF130</f>
        <v>1</v>
      </c>
    </row>
    <row r="132" customFormat="false" ht="40.5" hidden="false" customHeight="true" outlineLevel="0" collapsed="false">
      <c r="A132" s="76" t="n">
        <v>6</v>
      </c>
      <c r="B132" s="77" t="s">
        <v>114</v>
      </c>
      <c r="C132" s="76" t="s">
        <v>110</v>
      </c>
      <c r="D132" s="76" t="n">
        <v>4</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Kids</v>
      </c>
      <c r="G132" s="76" t="n">
        <f aca="false">IF($Q132="","",IFERROR(--(INDEX('Reguler Class Availability'!$F:$F,$Q132)&amp;""),0))</f>
        <v>4</v>
      </c>
      <c r="H132" s="77" t="str">
        <f aca="false">IF($Q132="","",PROPER(INDEX('Reguler Class Availability'!$I:$I,$Q132)&amp;"")&amp;IF(INDEX('Reguler Class Availability'!$J:$J,$Q132)&amp;""="",""," + asst "&amp;PROPER(INDEX('Reguler Class Availability'!$J:$J,$Q132)&amp;"")))</f>
        <v/>
      </c>
      <c r="I132" s="77" t="s">
        <v>452</v>
      </c>
      <c r="J132" s="77" t="s">
        <v>188</v>
      </c>
      <c r="K132" s="78"/>
      <c r="L132" s="78"/>
      <c r="M132" s="78"/>
      <c r="N132" s="79"/>
      <c r="O132" s="78"/>
      <c r="Q132" s="30" t="n">
        <f aca="false">IFERROR(MATCH($B$4&amp;"|- Lane "&amp;D132&amp;" - "&amp;B132&amp;"|"&amp;C132,'Reguler Class Availability'!$L:$L,0),"")</f>
        <v>2158</v>
      </c>
      <c r="BD132" s="30" t="s">
        <v>112</v>
      </c>
      <c r="BE132" s="30" t="n">
        <f aca="false">IF(COUNTIFS('Reguler Class Availability'!$L:$L,$B$4&amp;"|- Lane 3 - *|"&amp;BD132)&gt;0,1,0)</f>
        <v>0</v>
      </c>
      <c r="BF132" s="30" t="n">
        <f aca="false">BE132+BF131</f>
        <v>1</v>
      </c>
    </row>
    <row r="133" customFormat="false" ht="40.5" hidden="false" customHeight="true" outlineLevel="0" collapsed="false">
      <c r="A133" s="76" t="n">
        <v>7</v>
      </c>
      <c r="B133" s="77" t="s">
        <v>114</v>
      </c>
      <c r="C133" s="76" t="s">
        <v>120</v>
      </c>
      <c r="D133" s="76" t="n">
        <v>1</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Belum terisi</v>
      </c>
      <c r="F133" s="77" t="str">
        <f aca="false">IF($Q133="","",PROPER(INDEX('Reguler Class Availability'!$B:$B,$Q133)&amp;""))</f>
        <v>Baby</v>
      </c>
      <c r="G133" s="76" t="n">
        <f aca="false">IF($Q133="","",IFERROR(--(INDEX('Reguler Class Availability'!$F:$F,$Q133)&amp;""),0))</f>
        <v>5</v>
      </c>
      <c r="H133" s="77" t="str">
        <f aca="false">IF($Q133="","",PROPER(INDEX('Reguler Class Availability'!$I:$I,$Q133)&amp;"")&amp;IF(INDEX('Reguler Class Availability'!$J:$J,$Q133)&amp;""="",""," + asst "&amp;PROPER(INDEX('Reguler Class Availability'!$J:$J,$Q133)&amp;"")))</f>
        <v/>
      </c>
      <c r="I133" s="77" t="s">
        <v>452</v>
      </c>
      <c r="J133" s="77" t="s">
        <v>188</v>
      </c>
      <c r="K133" s="78"/>
      <c r="L133" s="78"/>
      <c r="M133" s="78"/>
      <c r="N133" s="79"/>
      <c r="O133" s="78"/>
      <c r="Q133" s="30" t="n">
        <f aca="false">IFERROR(MATCH($B$4&amp;"|- Lane "&amp;D133&amp;" - "&amp;B133&amp;"|"&amp;C133,'Reguler Class Availability'!$L:$L,0),"")</f>
        <v>1893</v>
      </c>
      <c r="BD133" s="30" t="s">
        <v>120</v>
      </c>
      <c r="BE133" s="30" t="n">
        <f aca="false">IF(COUNTIFS('Reguler Class Availability'!$L:$L,$B$4&amp;"|- Lane 3 - *|"&amp;BD133)&gt;0,1,0)</f>
        <v>0</v>
      </c>
      <c r="BF133" s="30" t="n">
        <f aca="false">BE133+BF132</f>
        <v>1</v>
      </c>
    </row>
    <row r="134" customFormat="false" ht="40.5" hidden="false" customHeight="true" outlineLevel="0" collapsed="false">
      <c r="A134" s="76" t="n">
        <v>8</v>
      </c>
      <c r="B134" s="77" t="s">
        <v>114</v>
      </c>
      <c r="C134" s="76" t="s">
        <v>120</v>
      </c>
      <c r="D134" s="76" t="n">
        <v>5</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Kosong</v>
      </c>
      <c r="F134" s="77" t="str">
        <f aca="false">IF($Q134="","",PROPER(INDEX('Reguler Class Availability'!$B:$B,$Q134)&amp;""))</f>
        <v/>
      </c>
      <c r="G134" s="76" t="n">
        <f aca="false">IF($Q134="","",IFERROR(--(INDEX('Reguler Class Availability'!$F:$F,$Q134)&amp;""),0))</f>
        <v>4</v>
      </c>
      <c r="H134" s="77" t="str">
        <f aca="false">IF($Q134="","",PROPER(INDEX('Reguler Class Availability'!$I:$I,$Q134)&amp;"")&amp;IF(INDEX('Reguler Class Availability'!$J:$J,$Q134)&amp;""="",""," + asst "&amp;PROPER(INDEX('Reguler Class Availability'!$J:$J,$Q134)&amp;"")))</f>
        <v/>
      </c>
      <c r="I134" s="77" t="s">
        <v>452</v>
      </c>
      <c r="J134" s="77" t="s">
        <v>188</v>
      </c>
      <c r="K134" s="78"/>
      <c r="L134" s="78"/>
      <c r="M134" s="78"/>
      <c r="N134" s="79"/>
      <c r="O134" s="78"/>
      <c r="Q134" s="30" t="n">
        <f aca="false">IFERROR(MATCH($B$4&amp;"|- Lane "&amp;D134&amp;" - "&amp;B134&amp;"|"&amp;C134,'Reguler Class Availability'!$L:$L,0),"")</f>
        <v>2243</v>
      </c>
      <c r="BD134" s="30" t="s">
        <v>121</v>
      </c>
      <c r="BE134" s="30" t="n">
        <f aca="false">IF(COUNTIFS('Reguler Class Availability'!$L:$L,$B$4&amp;"|- Lane 3 - *|"&amp;BD134)&gt;0,1,0)</f>
        <v>1</v>
      </c>
      <c r="BF134" s="30" t="n">
        <f aca="false">BE134+BF133</f>
        <v>2</v>
      </c>
    </row>
    <row r="135" customFormat="false" ht="40.5" hidden="false" customHeight="true" outlineLevel="0" collapsed="false">
      <c r="A135" s="76" t="n">
        <v>9</v>
      </c>
      <c r="B135" s="77" t="s">
        <v>114</v>
      </c>
      <c r="C135" s="76" t="s">
        <v>121</v>
      </c>
      <c r="D135" s="76" t="n">
        <v>3</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Belum terisi</v>
      </c>
      <c r="F135" s="77" t="str">
        <f aca="false">IF($Q135="","",PROPER(INDEX('Reguler Class Availability'!$B:$B,$Q135)&amp;""))</f>
        <v>Little</v>
      </c>
      <c r="G135" s="76" t="n">
        <f aca="false">IF($Q135="","",IFERROR(--(INDEX('Reguler Class Availability'!$F:$F,$Q135)&amp;""),0))</f>
        <v>4</v>
      </c>
      <c r="H135" s="77" t="str">
        <f aca="false">IF($Q135="","",PROPER(INDEX('Reguler Class Availability'!$I:$I,$Q135)&amp;"")&amp;IF(INDEX('Reguler Class Availability'!$J:$J,$Q135)&amp;""="",""," + asst "&amp;PROPER(INDEX('Reguler Class Availability'!$J:$J,$Q135)&amp;"")))</f>
        <v/>
      </c>
      <c r="I135" s="77" t="s">
        <v>452</v>
      </c>
      <c r="J135" s="77" t="s">
        <v>188</v>
      </c>
      <c r="K135" s="78"/>
      <c r="L135" s="78"/>
      <c r="M135" s="78"/>
      <c r="N135" s="79"/>
      <c r="O135" s="78"/>
      <c r="Q135" s="30" t="n">
        <f aca="false">IFERROR(MATCH($B$4&amp;"|- Lane "&amp;D135&amp;" - "&amp;B135&amp;"|"&amp;C135,'Reguler Class Availability'!$L:$L,0),"")</f>
        <v>2075</v>
      </c>
      <c r="BD135" s="30" t="s">
        <v>122</v>
      </c>
      <c r="BE135" s="30" t="n">
        <f aca="false">IF(COUNTIFS('Reguler Class Availability'!$L:$L,$B$4&amp;"|- Lane 3 - *|"&amp;BD135)&gt;0,1,0)</f>
        <v>0</v>
      </c>
      <c r="BF135" s="30" t="n">
        <f aca="false">BE135+BF134</f>
        <v>2</v>
      </c>
    </row>
    <row r="136" customFormat="false" ht="40.5" hidden="false" customHeight="true" outlineLevel="0" collapsed="false">
      <c r="A136" s="76" t="n">
        <v>10</v>
      </c>
      <c r="B136" s="77" t="s">
        <v>114</v>
      </c>
      <c r="C136" s="76" t="s">
        <v>121</v>
      </c>
      <c r="D136" s="76" t="n">
        <v>4</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Belum terisi</v>
      </c>
      <c r="F136" s="77" t="str">
        <f aca="false">IF($Q136="","",PROPER(INDEX('Reguler Class Availability'!$B:$B,$Q136)&amp;""))</f>
        <v>Kids</v>
      </c>
      <c r="G136" s="76" t="n">
        <f aca="false">IF($Q136="","",IFERROR(--(INDEX('Reguler Class Availability'!$F:$F,$Q136)&amp;""),0))</f>
        <v>4</v>
      </c>
      <c r="H136" s="77" t="str">
        <f aca="false">IF($Q136="","",PROPER(INDEX('Reguler Class Availability'!$I:$I,$Q136)&amp;"")&amp;IF(INDEX('Reguler Class Availability'!$J:$J,$Q136)&amp;""="",""," + asst "&amp;PROPER(INDEX('Reguler Class Availability'!$J:$J,$Q136)&amp;"")))</f>
        <v/>
      </c>
      <c r="I136" s="77" t="s">
        <v>452</v>
      </c>
      <c r="J136" s="77" t="s">
        <v>188</v>
      </c>
      <c r="K136" s="78"/>
      <c r="L136" s="78"/>
      <c r="M136" s="78"/>
      <c r="N136" s="79"/>
      <c r="O136" s="78"/>
      <c r="Q136" s="30" t="n">
        <f aca="false">IFERROR(MATCH($B$4&amp;"|- Lane "&amp;D136&amp;" - "&amp;B136&amp;"|"&amp;C136,'Reguler Class Availability'!$L:$L,0),"")</f>
        <v>2159</v>
      </c>
      <c r="BD136" s="30" t="s">
        <v>123</v>
      </c>
      <c r="BE136" s="30" t="n">
        <f aca="false">IF(COUNTIFS('Reguler Class Availability'!$L:$L,$B$4&amp;"|- Lane 3 - *|"&amp;BD136)&gt;0,1,0)</f>
        <v>0</v>
      </c>
      <c r="BF136" s="30" t="n">
        <f aca="false">BE136+BF135</f>
        <v>2</v>
      </c>
    </row>
    <row r="137" customFormat="false" ht="52.5" hidden="false" customHeight="true" outlineLevel="0" collapsed="false">
      <c r="A137" s="76" t="n">
        <v>11</v>
      </c>
      <c r="B137" s="77" t="s">
        <v>114</v>
      </c>
      <c r="C137" s="76" t="s">
        <v>123</v>
      </c>
      <c r="D137" s="76" t="n">
        <v>1</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Belum terisi</v>
      </c>
      <c r="F137" s="77" t="str">
        <f aca="false">IF($Q137="","",PROPER(INDEX('Reguler Class Availability'!$B:$B,$Q137)&amp;""))</f>
        <v>Baby</v>
      </c>
      <c r="G137" s="76" t="n">
        <f aca="false">IF($Q137="","",IFERROR(--(INDEX('Reguler Class Availability'!$F:$F,$Q137)&amp;""),0))</f>
        <v>5</v>
      </c>
      <c r="H137" s="77" t="str">
        <f aca="false">IF($Q137="","",PROPER(INDEX('Reguler Class Availability'!$I:$I,$Q137)&amp;"")&amp;IF(INDEX('Reguler Class Availability'!$J:$J,$Q137)&amp;""="",""," + asst "&amp;PROPER(INDEX('Reguler Class Availability'!$J:$J,$Q137)&amp;"")))</f>
        <v/>
      </c>
      <c r="I137" s="77" t="s">
        <v>451</v>
      </c>
      <c r="J137" s="77" t="s">
        <v>188</v>
      </c>
      <c r="K137" s="78"/>
      <c r="L137" s="78"/>
      <c r="M137" s="78"/>
      <c r="N137" s="79"/>
      <c r="O137" s="78"/>
      <c r="Q137" s="30" t="n">
        <f aca="false">IFERROR(MATCH($B$4&amp;"|- Lane "&amp;D137&amp;" - "&amp;B137&amp;"|"&amp;C137,'Reguler Class Availability'!$L:$L,0),"")</f>
        <v>1894</v>
      </c>
      <c r="BD137" s="30" t="s">
        <v>124</v>
      </c>
      <c r="BE137" s="30" t="n">
        <f aca="false">IF(COUNTIFS('Reguler Class Availability'!$L:$L,$B$4&amp;"|- Lane 3 - *|"&amp;BD137)&gt;0,1,0)</f>
        <v>1</v>
      </c>
      <c r="BF137" s="30" t="n">
        <f aca="false">BE137+BF136</f>
        <v>3</v>
      </c>
    </row>
    <row r="138" customFormat="false" ht="52.5" hidden="false" customHeight="true" outlineLevel="0" collapsed="false">
      <c r="A138" s="76" t="n">
        <v>12</v>
      </c>
      <c r="B138" s="77" t="s">
        <v>114</v>
      </c>
      <c r="C138" s="76" t="s">
        <v>123</v>
      </c>
      <c r="D138" s="76" t="n">
        <v>2</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Tiny</v>
      </c>
      <c r="G138" s="76" t="n">
        <f aca="false">IF($Q138="","",IFERROR(--(INDEX('Reguler Class Availability'!$F:$F,$Q138)&amp;""),0))</f>
        <v>5</v>
      </c>
      <c r="H138" s="77" t="str">
        <f aca="false">IF($Q138="","",PROPER(INDEX('Reguler Class Availability'!$I:$I,$Q138)&amp;"")&amp;IF(INDEX('Reguler Class Availability'!$J:$J,$Q138)&amp;""="",""," + asst "&amp;PROPER(INDEX('Reguler Class Availability'!$J:$J,$Q138)&amp;"")))</f>
        <v/>
      </c>
      <c r="I138" s="77" t="s">
        <v>451</v>
      </c>
      <c r="J138" s="77" t="s">
        <v>188</v>
      </c>
      <c r="K138" s="78"/>
      <c r="L138" s="78"/>
      <c r="M138" s="78"/>
      <c r="N138" s="79"/>
      <c r="O138" s="78"/>
      <c r="Q138" s="30" t="n">
        <f aca="false">IFERROR(MATCH($B$4&amp;"|- Lane "&amp;D138&amp;" - "&amp;B138&amp;"|"&amp;C138,'Reguler Class Availability'!$L:$L,0),"")</f>
        <v>1992</v>
      </c>
      <c r="BD138" s="30" t="s">
        <v>125</v>
      </c>
      <c r="BE138" s="30" t="n">
        <f aca="false">IF(COUNTIFS('Reguler Class Availability'!$L:$L,$B$4&amp;"|- Lane 3 - *|"&amp;BD138)&gt;0,1,0)</f>
        <v>0</v>
      </c>
      <c r="BF138" s="30" t="n">
        <f aca="false">BE138+BF137</f>
        <v>3</v>
      </c>
    </row>
    <row r="139" customFormat="false" ht="52.5" hidden="false" customHeight="true" outlineLevel="0" collapsed="false">
      <c r="A139" s="76" t="n">
        <v>13</v>
      </c>
      <c r="B139" s="77" t="s">
        <v>114</v>
      </c>
      <c r="C139" s="76" t="s">
        <v>123</v>
      </c>
      <c r="D139" s="76" t="n">
        <v>5</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Kosong</v>
      </c>
      <c r="F139" s="77" t="str">
        <f aca="false">IF($Q139="","",PROPER(INDEX('Reguler Class Availability'!$B:$B,$Q139)&amp;""))</f>
        <v/>
      </c>
      <c r="G139" s="76" t="n">
        <f aca="false">IF($Q139="","",IFERROR(--(INDEX('Reguler Class Availability'!$F:$F,$Q139)&amp;""),0))</f>
        <v>4</v>
      </c>
      <c r="H139" s="77" t="str">
        <f aca="false">IF($Q139="","",PROPER(INDEX('Reguler Class Availability'!$I:$I,$Q139)&amp;"")&amp;IF(INDEX('Reguler Class Availability'!$J:$J,$Q139)&amp;""="",""," + asst "&amp;PROPER(INDEX('Reguler Class Availability'!$J:$J,$Q139)&amp;"")))</f>
        <v/>
      </c>
      <c r="I139" s="77" t="s">
        <v>451</v>
      </c>
      <c r="J139" s="77" t="s">
        <v>188</v>
      </c>
      <c r="K139" s="78"/>
      <c r="L139" s="78"/>
      <c r="M139" s="78"/>
      <c r="N139" s="79"/>
      <c r="O139" s="78"/>
      <c r="Q139" s="30" t="n">
        <f aca="false">IFERROR(MATCH($B$4&amp;"|- Lane "&amp;D139&amp;" - "&amp;B139&amp;"|"&amp;C139,'Reguler Class Availability'!$L:$L,0),"")</f>
        <v>2244</v>
      </c>
      <c r="BD139" s="30" t="s">
        <v>126</v>
      </c>
      <c r="BE139" s="30" t="n">
        <f aca="false">IF(COUNTIFS('Reguler Class Availability'!$L:$L,$B$4&amp;"|- Lane 3 - *|"&amp;BD139)&gt;0,1,0)</f>
        <v>0</v>
      </c>
      <c r="BF139" s="30" t="n">
        <f aca="false">BE139+BF138</f>
        <v>3</v>
      </c>
    </row>
    <row r="140" customFormat="false" ht="52.5" hidden="false" customHeight="true" outlineLevel="0" collapsed="false">
      <c r="A140" s="76" t="n">
        <v>14</v>
      </c>
      <c r="B140" s="77" t="s">
        <v>114</v>
      </c>
      <c r="C140" s="76" t="s">
        <v>124</v>
      </c>
      <c r="D140" s="76" t="n">
        <v>3</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Belum terisi</v>
      </c>
      <c r="F140" s="77" t="str">
        <f aca="false">IF($Q140="","",PROPER(INDEX('Reguler Class Availability'!$B:$B,$Q140)&amp;""))</f>
        <v>Little</v>
      </c>
      <c r="G140" s="76" t="n">
        <f aca="false">IF($Q140="","",IFERROR(--(INDEX('Reguler Class Availability'!$F:$F,$Q140)&amp;""),0))</f>
        <v>4</v>
      </c>
      <c r="H140" s="77" t="str">
        <f aca="false">IF($Q140="","",PROPER(INDEX('Reguler Class Availability'!$I:$I,$Q140)&amp;"")&amp;IF(INDEX('Reguler Class Availability'!$J:$J,$Q140)&amp;""="",""," + asst "&amp;PROPER(INDEX('Reguler Class Availability'!$J:$J,$Q140)&amp;"")))</f>
        <v/>
      </c>
      <c r="I140" s="77" t="s">
        <v>451</v>
      </c>
      <c r="J140" s="77" t="s">
        <v>188</v>
      </c>
      <c r="K140" s="78"/>
      <c r="L140" s="78"/>
      <c r="M140" s="78"/>
      <c r="N140" s="79"/>
      <c r="O140" s="78"/>
      <c r="Q140" s="30" t="n">
        <f aca="false">IFERROR(MATCH($B$4&amp;"|- Lane "&amp;D140&amp;" - "&amp;B140&amp;"|"&amp;C140,'Reguler Class Availability'!$L:$L,0),"")</f>
        <v>2076</v>
      </c>
      <c r="BD140" s="30" t="s">
        <v>127</v>
      </c>
      <c r="BE140" s="30" t="n">
        <f aca="false">IF(COUNTIFS('Reguler Class Availability'!$L:$L,$B$4&amp;"|- Lane 3 - *|"&amp;BD140)&gt;0,1,0)</f>
        <v>1</v>
      </c>
      <c r="BF140" s="30" t="n">
        <f aca="false">BE140+BF139</f>
        <v>4</v>
      </c>
    </row>
    <row r="141" customFormat="false" ht="52.5" hidden="false" customHeight="true" outlineLevel="0" collapsed="false">
      <c r="A141" s="76" t="n">
        <v>15</v>
      </c>
      <c r="B141" s="77" t="s">
        <v>114</v>
      </c>
      <c r="C141" s="76" t="s">
        <v>124</v>
      </c>
      <c r="D141" s="76" t="n">
        <v>4</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Belum terisi</v>
      </c>
      <c r="F141" s="77" t="str">
        <f aca="false">IF($Q141="","",PROPER(INDEX('Reguler Class Availability'!$B:$B,$Q141)&amp;""))</f>
        <v>Kids</v>
      </c>
      <c r="G141" s="76" t="n">
        <f aca="false">IF($Q141="","",IFERROR(--(INDEX('Reguler Class Availability'!$F:$F,$Q141)&amp;""),0))</f>
        <v>4</v>
      </c>
      <c r="H141" s="77" t="str">
        <f aca="false">IF($Q141="","",PROPER(INDEX('Reguler Class Availability'!$I:$I,$Q141)&amp;"")&amp;IF(INDEX('Reguler Class Availability'!$J:$J,$Q141)&amp;""="",""," + asst "&amp;PROPER(INDEX('Reguler Class Availability'!$J:$J,$Q141)&amp;"")))</f>
        <v/>
      </c>
      <c r="I141" s="77" t="s">
        <v>451</v>
      </c>
      <c r="J141" s="77" t="s">
        <v>188</v>
      </c>
      <c r="K141" s="78"/>
      <c r="L141" s="78"/>
      <c r="M141" s="78"/>
      <c r="N141" s="79"/>
      <c r="O141" s="78"/>
      <c r="Q141" s="30" t="n">
        <f aca="false">IFERROR(MATCH($B$4&amp;"|- Lane "&amp;D141&amp;" - "&amp;B141&amp;"|"&amp;C141,'Reguler Class Availability'!$L:$L,0),"")</f>
        <v>2160</v>
      </c>
      <c r="BD141" s="30" t="s">
        <v>128</v>
      </c>
      <c r="BE141" s="30" t="n">
        <f aca="false">IF(COUNTIFS('Reguler Class Availability'!$L:$L,$B$4&amp;"|- Lane 3 - *|"&amp;BD141)&gt;0,1,0)</f>
        <v>0</v>
      </c>
      <c r="BF141" s="30" t="n">
        <f aca="false">BE141+BF140</f>
        <v>4</v>
      </c>
    </row>
    <row r="142" customFormat="false" ht="52.5" hidden="false" customHeight="true" outlineLevel="0" collapsed="false">
      <c r="A142" s="76" t="n">
        <v>16</v>
      </c>
      <c r="B142" s="77" t="s">
        <v>114</v>
      </c>
      <c r="C142" s="76" t="s">
        <v>126</v>
      </c>
      <c r="D142" s="76" t="n">
        <v>1</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Baby</v>
      </c>
      <c r="G142" s="76" t="n">
        <f aca="false">IF($Q142="","",IFERROR(--(INDEX('Reguler Class Availability'!$F:$F,$Q142)&amp;""),0))</f>
        <v>5</v>
      </c>
      <c r="H142" s="77" t="str">
        <f aca="false">IF($Q142="","",PROPER(INDEX('Reguler Class Availability'!$I:$I,$Q142)&amp;"")&amp;IF(INDEX('Reguler Class Availability'!$J:$J,$Q142)&amp;""="",""," + asst "&amp;PROPER(INDEX('Reguler Class Availability'!$J:$J,$Q142)&amp;"")))</f>
        <v/>
      </c>
      <c r="I142" s="77" t="s">
        <v>451</v>
      </c>
      <c r="J142" s="77" t="s">
        <v>188</v>
      </c>
      <c r="K142" s="78"/>
      <c r="L142" s="78"/>
      <c r="M142" s="78"/>
      <c r="N142" s="79"/>
      <c r="O142" s="78"/>
      <c r="Q142" s="30" t="n">
        <f aca="false">IFERROR(MATCH($B$4&amp;"|- Lane "&amp;D142&amp;" - "&amp;B142&amp;"|"&amp;C142,'Reguler Class Availability'!$L:$L,0),"")</f>
        <v>1895</v>
      </c>
      <c r="BD142" s="30" t="s">
        <v>129</v>
      </c>
      <c r="BE142" s="30" t="n">
        <f aca="false">IF(COUNTIFS('Reguler Class Availability'!$L:$L,$B$4&amp;"|- Lane 3 - *|"&amp;BD142)&gt;0,1,0)</f>
        <v>0</v>
      </c>
      <c r="BF142" s="30" t="n">
        <f aca="false">BE142+BF141</f>
        <v>4</v>
      </c>
    </row>
    <row r="143" customFormat="false" ht="52.5" hidden="false" customHeight="true" outlineLevel="0" collapsed="false">
      <c r="A143" s="76" t="n">
        <v>17</v>
      </c>
      <c r="B143" s="77" t="s">
        <v>114</v>
      </c>
      <c r="C143" s="76" t="s">
        <v>126</v>
      </c>
      <c r="D143" s="76" t="n">
        <v>2</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Belum terisi</v>
      </c>
      <c r="F143" s="77" t="str">
        <f aca="false">IF($Q143="","",PROPER(INDEX('Reguler Class Availability'!$B:$B,$Q143)&amp;""))</f>
        <v>Tiny</v>
      </c>
      <c r="G143" s="76" t="n">
        <f aca="false">IF($Q143="","",IFERROR(--(INDEX('Reguler Class Availability'!$F:$F,$Q143)&amp;""),0))</f>
        <v>5</v>
      </c>
      <c r="H143" s="77" t="str">
        <f aca="false">IF($Q143="","",PROPER(INDEX('Reguler Class Availability'!$I:$I,$Q143)&amp;"")&amp;IF(INDEX('Reguler Class Availability'!$J:$J,$Q143)&amp;""="",""," + asst "&amp;PROPER(INDEX('Reguler Class Availability'!$J:$J,$Q143)&amp;"")))</f>
        <v/>
      </c>
      <c r="I143" s="77" t="s">
        <v>451</v>
      </c>
      <c r="J143" s="77" t="s">
        <v>188</v>
      </c>
      <c r="K143" s="78"/>
      <c r="L143" s="78"/>
      <c r="M143" s="78"/>
      <c r="N143" s="79"/>
      <c r="O143" s="78"/>
      <c r="Q143" s="30" t="n">
        <f aca="false">IFERROR(MATCH($B$4&amp;"|- Lane "&amp;D143&amp;" - "&amp;B143&amp;"|"&amp;C143,'Reguler Class Availability'!$L:$L,0),"")</f>
        <v>1993</v>
      </c>
      <c r="BD143" s="30" t="s">
        <v>130</v>
      </c>
      <c r="BE143" s="30" t="n">
        <f aca="false">IF(COUNTIFS('Reguler Class Availability'!$L:$L,$B$4&amp;"|- Lane 3 - *|"&amp;BD143)&gt;0,1,0)</f>
        <v>1</v>
      </c>
      <c r="BF143" s="30" t="n">
        <f aca="false">BE143+BF142</f>
        <v>5</v>
      </c>
    </row>
    <row r="144" customFormat="false" ht="52.5" hidden="false" customHeight="true" outlineLevel="0" collapsed="false">
      <c r="A144" s="76" t="n">
        <v>18</v>
      </c>
      <c r="B144" s="77" t="s">
        <v>114</v>
      </c>
      <c r="C144" s="76" t="s">
        <v>126</v>
      </c>
      <c r="D144" s="76" t="n">
        <v>5</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Kosong</v>
      </c>
      <c r="F144" s="77" t="str">
        <f aca="false">IF($Q144="","",PROPER(INDEX('Reguler Class Availability'!$B:$B,$Q144)&amp;""))</f>
        <v/>
      </c>
      <c r="G144" s="76" t="n">
        <f aca="false">IF($Q144="","",IFERROR(--(INDEX('Reguler Class Availability'!$F:$F,$Q144)&amp;""),0))</f>
        <v>4</v>
      </c>
      <c r="H144" s="77" t="str">
        <f aca="false">IF($Q144="","",PROPER(INDEX('Reguler Class Availability'!$I:$I,$Q144)&amp;"")&amp;IF(INDEX('Reguler Class Availability'!$J:$J,$Q144)&amp;""="",""," + asst "&amp;PROPER(INDEX('Reguler Class Availability'!$J:$J,$Q144)&amp;"")))</f>
        <v/>
      </c>
      <c r="I144" s="77" t="s">
        <v>451</v>
      </c>
      <c r="J144" s="77" t="s">
        <v>188</v>
      </c>
      <c r="K144" s="78"/>
      <c r="L144" s="78"/>
      <c r="M144" s="78"/>
      <c r="N144" s="79"/>
      <c r="O144" s="78"/>
      <c r="Q144" s="30" t="n">
        <f aca="false">IFERROR(MATCH($B$4&amp;"|- Lane "&amp;D144&amp;" - "&amp;B144&amp;"|"&amp;C144,'Reguler Class Availability'!$L:$L,0),"")</f>
        <v>2245</v>
      </c>
      <c r="BD144" s="30" t="s">
        <v>131</v>
      </c>
      <c r="BE144" s="30" t="n">
        <f aca="false">IF(COUNTIFS('Reguler Class Availability'!$L:$L,$B$4&amp;"|- Lane 3 - *|"&amp;BD144)&gt;0,1,0)</f>
        <v>0</v>
      </c>
      <c r="BF144" s="30" t="n">
        <f aca="false">BE144+BF143</f>
        <v>5</v>
      </c>
    </row>
    <row r="145" customFormat="false" ht="52.5" hidden="false" customHeight="true" outlineLevel="0" collapsed="false">
      <c r="A145" s="76" t="n">
        <v>19</v>
      </c>
      <c r="B145" s="77" t="s">
        <v>114</v>
      </c>
      <c r="C145" s="76" t="s">
        <v>127</v>
      </c>
      <c r="D145" s="76" t="n">
        <v>3</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Belum terisi</v>
      </c>
      <c r="F145" s="77" t="str">
        <f aca="false">IF($Q145="","",PROPER(INDEX('Reguler Class Availability'!$B:$B,$Q145)&amp;""))</f>
        <v>Little</v>
      </c>
      <c r="G145" s="76" t="n">
        <f aca="false">IF($Q145="","",IFERROR(--(INDEX('Reguler Class Availability'!$F:$F,$Q145)&amp;""),0))</f>
        <v>4</v>
      </c>
      <c r="H145" s="77" t="str">
        <f aca="false">IF($Q145="","",PROPER(INDEX('Reguler Class Availability'!$I:$I,$Q145)&amp;"")&amp;IF(INDEX('Reguler Class Availability'!$J:$J,$Q145)&amp;""="",""," + asst "&amp;PROPER(INDEX('Reguler Class Availability'!$J:$J,$Q145)&amp;"")))</f>
        <v/>
      </c>
      <c r="I145" s="77" t="s">
        <v>451</v>
      </c>
      <c r="J145" s="77" t="s">
        <v>188</v>
      </c>
      <c r="K145" s="78"/>
      <c r="L145" s="78"/>
      <c r="M145" s="78"/>
      <c r="N145" s="79"/>
      <c r="O145" s="78"/>
      <c r="Q145" s="30" t="n">
        <f aca="false">IFERROR(MATCH($B$4&amp;"|- Lane "&amp;D145&amp;" - "&amp;B145&amp;"|"&amp;C145,'Reguler Class Availability'!$L:$L,0),"")</f>
        <v>2077</v>
      </c>
      <c r="BD145" s="30" t="s">
        <v>132</v>
      </c>
      <c r="BE145" s="30" t="n">
        <f aca="false">IF(COUNTIFS('Reguler Class Availability'!$L:$L,$B$4&amp;"|- Lane 3 - *|"&amp;BD145)&gt;0,1,0)</f>
        <v>0</v>
      </c>
      <c r="BF145" s="30" t="n">
        <f aca="false">BE145+BF144</f>
        <v>5</v>
      </c>
    </row>
    <row r="146" customFormat="false" ht="52.5" hidden="false" customHeight="true" outlineLevel="0" collapsed="false">
      <c r="A146" s="76" t="n">
        <v>20</v>
      </c>
      <c r="B146" s="77" t="s">
        <v>114</v>
      </c>
      <c r="C146" s="76" t="s">
        <v>127</v>
      </c>
      <c r="D146" s="76" t="n">
        <v>4</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Belum terisi</v>
      </c>
      <c r="F146" s="77" t="str">
        <f aca="false">IF($Q146="","",PROPER(INDEX('Reguler Class Availability'!$B:$B,$Q146)&amp;""))</f>
        <v>Kids</v>
      </c>
      <c r="G146" s="76" t="n">
        <f aca="false">IF($Q146="","",IFERROR(--(INDEX('Reguler Class Availability'!$F:$F,$Q146)&amp;""),0))</f>
        <v>4</v>
      </c>
      <c r="H146" s="77" t="str">
        <f aca="false">IF($Q146="","",PROPER(INDEX('Reguler Class Availability'!$I:$I,$Q146)&amp;"")&amp;IF(INDEX('Reguler Class Availability'!$J:$J,$Q146)&amp;""="",""," + asst "&amp;PROPER(INDEX('Reguler Class Availability'!$J:$J,$Q146)&amp;"")))</f>
        <v/>
      </c>
      <c r="I146" s="77" t="s">
        <v>451</v>
      </c>
      <c r="J146" s="77" t="s">
        <v>188</v>
      </c>
      <c r="K146" s="78"/>
      <c r="L146" s="78"/>
      <c r="M146" s="78"/>
      <c r="N146" s="79"/>
      <c r="O146" s="78"/>
      <c r="Q146" s="30" t="n">
        <f aca="false">IFERROR(MATCH($B$4&amp;"|- Lane "&amp;D146&amp;" - "&amp;B146&amp;"|"&amp;C146,'Reguler Class Availability'!$L:$L,0),"")</f>
        <v>2161</v>
      </c>
      <c r="BD146" s="30" t="s">
        <v>133</v>
      </c>
      <c r="BE146" s="30" t="n">
        <f aca="false">IF(COUNTIFS('Reguler Class Availability'!$L:$L,$B$4&amp;"|- Lane 3 - *|"&amp;BD146)&gt;0,1,0)</f>
        <v>1</v>
      </c>
      <c r="BF146" s="30" t="n">
        <f aca="false">BE146+BF145</f>
        <v>6</v>
      </c>
    </row>
    <row r="147" customFormat="false" ht="52.5" hidden="false" customHeight="true" outlineLevel="0" collapsed="false">
      <c r="A147" s="76" t="n">
        <v>21</v>
      </c>
      <c r="B147" s="77" t="s">
        <v>114</v>
      </c>
      <c r="C147" s="76" t="s">
        <v>129</v>
      </c>
      <c r="D147" s="76" t="n">
        <v>1</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Belum terisi</v>
      </c>
      <c r="F147" s="77" t="str">
        <f aca="false">IF($Q147="","",PROPER(INDEX('Reguler Class Availability'!$B:$B,$Q147)&amp;""))</f>
        <v>Baby</v>
      </c>
      <c r="G147" s="76" t="n">
        <f aca="false">IF($Q147="","",IFERROR(--(INDEX('Reguler Class Availability'!$F:$F,$Q147)&amp;""),0))</f>
        <v>5</v>
      </c>
      <c r="H147" s="77" t="str">
        <f aca="false">IF($Q147="","",PROPER(INDEX('Reguler Class Availability'!$I:$I,$Q147)&amp;"")&amp;IF(INDEX('Reguler Class Availability'!$J:$J,$Q147)&amp;""="",""," + asst "&amp;PROPER(INDEX('Reguler Class Availability'!$J:$J,$Q147)&amp;"")))</f>
        <v/>
      </c>
      <c r="I147" s="77" t="s">
        <v>451</v>
      </c>
      <c r="J147" s="77" t="s">
        <v>188</v>
      </c>
      <c r="K147" s="78"/>
      <c r="L147" s="78"/>
      <c r="M147" s="78"/>
      <c r="N147" s="79"/>
      <c r="O147" s="78"/>
      <c r="Q147" s="30" t="n">
        <f aca="false">IFERROR(MATCH($B$4&amp;"|- Lane "&amp;D147&amp;" - "&amp;B147&amp;"|"&amp;C147,'Reguler Class Availability'!$L:$L,0),"")</f>
        <v>1896</v>
      </c>
      <c r="BD147" s="30" t="s">
        <v>134</v>
      </c>
      <c r="BE147" s="30" t="n">
        <f aca="false">IF(COUNTIFS('Reguler Class Availability'!$L:$L,$B$4&amp;"|- Lane 3 - *|"&amp;BD147)&gt;0,1,0)</f>
        <v>0</v>
      </c>
      <c r="BF147" s="30" t="n">
        <f aca="false">BE147+BF146</f>
        <v>6</v>
      </c>
    </row>
    <row r="148" customFormat="false" ht="52.5" hidden="false" customHeight="true" outlineLevel="0" collapsed="false">
      <c r="A148" s="76" t="n">
        <v>22</v>
      </c>
      <c r="B148" s="77" t="s">
        <v>114</v>
      </c>
      <c r="C148" s="76" t="s">
        <v>129</v>
      </c>
      <c r="D148" s="76" t="n">
        <v>2</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Tiny</v>
      </c>
      <c r="G148" s="76" t="n">
        <f aca="false">IF($Q148="","",IFERROR(--(INDEX('Reguler Class Availability'!$F:$F,$Q148)&amp;""),0))</f>
        <v>5</v>
      </c>
      <c r="H148" s="77" t="str">
        <f aca="false">IF($Q148="","",PROPER(INDEX('Reguler Class Availability'!$I:$I,$Q148)&amp;"")&amp;IF(INDEX('Reguler Class Availability'!$J:$J,$Q148)&amp;""="",""," + asst "&amp;PROPER(INDEX('Reguler Class Availability'!$J:$J,$Q148)&amp;"")))</f>
        <v/>
      </c>
      <c r="I148" s="77" t="s">
        <v>451</v>
      </c>
      <c r="J148" s="77" t="s">
        <v>188</v>
      </c>
      <c r="K148" s="78"/>
      <c r="L148" s="78"/>
      <c r="M148" s="78"/>
      <c r="N148" s="79"/>
      <c r="O148" s="78"/>
      <c r="Q148" s="30" t="n">
        <f aca="false">IFERROR(MATCH($B$4&amp;"|- Lane "&amp;D148&amp;" - "&amp;B148&amp;"|"&amp;C148,'Reguler Class Availability'!$L:$L,0),"")</f>
        <v>1994</v>
      </c>
      <c r="BD148" s="30" t="s">
        <v>135</v>
      </c>
      <c r="BE148" s="30" t="n">
        <f aca="false">IF(COUNTIFS('Reguler Class Availability'!$L:$L,$B$4&amp;"|- Lane 3 - *|"&amp;BD148)&gt;0,1,0)</f>
        <v>0</v>
      </c>
      <c r="BF148" s="30" t="n">
        <f aca="false">BE148+BF147</f>
        <v>6</v>
      </c>
    </row>
    <row r="149" customFormat="false" ht="52.5" hidden="false" customHeight="true" outlineLevel="0" collapsed="false">
      <c r="A149" s="76" t="n">
        <v>23</v>
      </c>
      <c r="B149" s="77" t="s">
        <v>114</v>
      </c>
      <c r="C149" s="76" t="s">
        <v>129</v>
      </c>
      <c r="D149" s="76" t="n">
        <v>5</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Kosong</v>
      </c>
      <c r="F149" s="77" t="str">
        <f aca="false">IF($Q149="","",PROPER(INDEX('Reguler Class Availability'!$B:$B,$Q149)&amp;""))</f>
        <v/>
      </c>
      <c r="G149" s="76" t="n">
        <f aca="false">IF($Q149="","",IFERROR(--(INDEX('Reguler Class Availability'!$F:$F,$Q149)&amp;""),0))</f>
        <v>4</v>
      </c>
      <c r="H149" s="77" t="str">
        <f aca="false">IF($Q149="","",PROPER(INDEX('Reguler Class Availability'!$I:$I,$Q149)&amp;"")&amp;IF(INDEX('Reguler Class Availability'!$J:$J,$Q149)&amp;""="",""," + asst "&amp;PROPER(INDEX('Reguler Class Availability'!$J:$J,$Q149)&amp;"")))</f>
        <v/>
      </c>
      <c r="I149" s="77" t="s">
        <v>451</v>
      </c>
      <c r="J149" s="77" t="s">
        <v>188</v>
      </c>
      <c r="K149" s="78"/>
      <c r="L149" s="78"/>
      <c r="M149" s="78"/>
      <c r="N149" s="79"/>
      <c r="O149" s="78"/>
      <c r="Q149" s="30" t="n">
        <f aca="false">IFERROR(MATCH($B$4&amp;"|- Lane "&amp;D149&amp;" - "&amp;B149&amp;"|"&amp;C149,'Reguler Class Availability'!$L:$L,0),"")</f>
        <v>2246</v>
      </c>
      <c r="BD149" s="30" t="s">
        <v>136</v>
      </c>
      <c r="BE149" s="30" t="n">
        <f aca="false">IF(COUNTIFS('Reguler Class Availability'!$L:$L,$B$4&amp;"|- Lane 3 - *|"&amp;BD149)&gt;0,1,0)</f>
        <v>0</v>
      </c>
      <c r="BF149" s="30" t="n">
        <f aca="false">BE149+BF148</f>
        <v>6</v>
      </c>
    </row>
    <row r="150" customFormat="false" ht="52.5" hidden="false" customHeight="true" outlineLevel="0" collapsed="false">
      <c r="A150" s="76" t="n">
        <v>24</v>
      </c>
      <c r="B150" s="77" t="s">
        <v>114</v>
      </c>
      <c r="C150" s="76" t="s">
        <v>130</v>
      </c>
      <c r="D150" s="76" t="n">
        <v>3</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Belum terisi</v>
      </c>
      <c r="F150" s="77" t="str">
        <f aca="false">IF($Q150="","",PROPER(INDEX('Reguler Class Availability'!$B:$B,$Q150)&amp;""))</f>
        <v>Little</v>
      </c>
      <c r="G150" s="76" t="n">
        <f aca="false">IF($Q150="","",IFERROR(--(INDEX('Reguler Class Availability'!$F:$F,$Q150)&amp;""),0))</f>
        <v>4</v>
      </c>
      <c r="H150" s="77" t="str">
        <f aca="false">IF($Q150="","",PROPER(INDEX('Reguler Class Availability'!$I:$I,$Q150)&amp;"")&amp;IF(INDEX('Reguler Class Availability'!$J:$J,$Q150)&amp;""="",""," + asst "&amp;PROPER(INDEX('Reguler Class Availability'!$J:$J,$Q150)&amp;"")))</f>
        <v/>
      </c>
      <c r="I150" s="77" t="s">
        <v>451</v>
      </c>
      <c r="J150" s="77" t="s">
        <v>188</v>
      </c>
      <c r="K150" s="78"/>
      <c r="L150" s="78"/>
      <c r="M150" s="78"/>
      <c r="N150" s="79"/>
      <c r="O150" s="78"/>
      <c r="Q150" s="30" t="n">
        <f aca="false">IFERROR(MATCH($B$4&amp;"|- Lane "&amp;D150&amp;" - "&amp;B150&amp;"|"&amp;C150,'Reguler Class Availability'!$L:$L,0),"")</f>
        <v>2078</v>
      </c>
      <c r="BD150" s="30" t="s">
        <v>138</v>
      </c>
      <c r="BE150" s="30" t="n">
        <f aca="false">IF(COUNTIFS('Reguler Class Availability'!$L:$L,$B$4&amp;"|- Lane 3 - *|"&amp;BD150)&gt;0,1,0)</f>
        <v>0</v>
      </c>
      <c r="BF150" s="30" t="n">
        <f aca="false">BE150+BF149</f>
        <v>6</v>
      </c>
    </row>
    <row r="151" customFormat="false" ht="52.5" hidden="false" customHeight="true" outlineLevel="0" collapsed="false">
      <c r="A151" s="76" t="n">
        <v>25</v>
      </c>
      <c r="B151" s="77" t="s">
        <v>114</v>
      </c>
      <c r="C151" s="76" t="s">
        <v>130</v>
      </c>
      <c r="D151" s="76" t="n">
        <v>4</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Belum terisi</v>
      </c>
      <c r="F151" s="77" t="str">
        <f aca="false">IF($Q151="","",PROPER(INDEX('Reguler Class Availability'!$B:$B,$Q151)&amp;""))</f>
        <v>Kids</v>
      </c>
      <c r="G151" s="76" t="n">
        <f aca="false">IF($Q151="","",IFERROR(--(INDEX('Reguler Class Availability'!$F:$F,$Q151)&amp;""),0))</f>
        <v>4</v>
      </c>
      <c r="H151" s="77" t="str">
        <f aca="false">IF($Q151="","",PROPER(INDEX('Reguler Class Availability'!$I:$I,$Q151)&amp;"")&amp;IF(INDEX('Reguler Class Availability'!$J:$J,$Q151)&amp;""="",""," + asst "&amp;PROPER(INDEX('Reguler Class Availability'!$J:$J,$Q151)&amp;"")))</f>
        <v/>
      </c>
      <c r="I151" s="77" t="s">
        <v>451</v>
      </c>
      <c r="J151" s="77" t="s">
        <v>188</v>
      </c>
      <c r="K151" s="78"/>
      <c r="L151" s="78"/>
      <c r="M151" s="78"/>
      <c r="N151" s="79"/>
      <c r="O151" s="78"/>
      <c r="Q151" s="30" t="n">
        <f aca="false">IFERROR(MATCH($B$4&amp;"|- Lane "&amp;D151&amp;" - "&amp;B151&amp;"|"&amp;C151,'Reguler Class Availability'!$L:$L,0),"")</f>
        <v>2162</v>
      </c>
      <c r="BD151" s="30" t="s">
        <v>139</v>
      </c>
      <c r="BE151" s="30" t="n">
        <f aca="false">IF(COUNTIFS('Reguler Class Availability'!$L:$L,$B$4&amp;"|- Lane 3 - *|"&amp;BD151)&gt;0,1,0)</f>
        <v>0</v>
      </c>
      <c r="BF151" s="30" t="n">
        <f aca="false">BE151+BF150</f>
        <v>6</v>
      </c>
    </row>
    <row r="152" customFormat="false" ht="52.5" hidden="false" customHeight="true" outlineLevel="0" collapsed="false">
      <c r="A152" s="76" t="n">
        <v>26</v>
      </c>
      <c r="B152" s="77" t="s">
        <v>114</v>
      </c>
      <c r="C152" s="76" t="s">
        <v>132</v>
      </c>
      <c r="D152" s="76" t="n">
        <v>1</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Belum terisi</v>
      </c>
      <c r="F152" s="77" t="str">
        <f aca="false">IF($Q152="","",PROPER(INDEX('Reguler Class Availability'!$B:$B,$Q152)&amp;""))</f>
        <v>Baby</v>
      </c>
      <c r="G152" s="76" t="n">
        <f aca="false">IF($Q152="","",IFERROR(--(INDEX('Reguler Class Availability'!$F:$F,$Q152)&amp;""),0))</f>
        <v>5</v>
      </c>
      <c r="H152" s="77" t="str">
        <f aca="false">IF($Q152="","",PROPER(INDEX('Reguler Class Availability'!$I:$I,$Q152)&amp;"")&amp;IF(INDEX('Reguler Class Availability'!$J:$J,$Q152)&amp;""="",""," + asst "&amp;PROPER(INDEX('Reguler Class Availability'!$J:$J,$Q152)&amp;"")))</f>
        <v/>
      </c>
      <c r="I152" s="77" t="s">
        <v>451</v>
      </c>
      <c r="J152" s="77" t="s">
        <v>188</v>
      </c>
      <c r="K152" s="78"/>
      <c r="L152" s="78"/>
      <c r="M152" s="78"/>
      <c r="N152" s="79"/>
      <c r="O152" s="78"/>
      <c r="Q152" s="30" t="n">
        <f aca="false">IFERROR(MATCH($B$4&amp;"|- Lane "&amp;D152&amp;" - "&amp;B152&amp;"|"&amp;C152,'Reguler Class Availability'!$L:$L,0),"")</f>
        <v>1897</v>
      </c>
      <c r="BD152" s="30" t="s">
        <v>141</v>
      </c>
      <c r="BE152" s="30" t="n">
        <f aca="false">IF(COUNTIFS('Reguler Class Availability'!$L:$L,$B$4&amp;"|- Lane 3 - *|"&amp;BD152)&gt;0,1,0)</f>
        <v>1</v>
      </c>
      <c r="BF152" s="30" t="n">
        <f aca="false">BE152+BF151</f>
        <v>7</v>
      </c>
    </row>
    <row r="153" customFormat="false" ht="52.5" hidden="false" customHeight="true" outlineLevel="0" collapsed="false">
      <c r="A153" s="76" t="n">
        <v>27</v>
      </c>
      <c r="B153" s="77" t="s">
        <v>114</v>
      </c>
      <c r="C153" s="76" t="s">
        <v>132</v>
      </c>
      <c r="D153" s="76" t="n">
        <v>2</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Tiny</v>
      </c>
      <c r="G153" s="76" t="n">
        <f aca="false">IF($Q153="","",IFERROR(--(INDEX('Reguler Class Availability'!$F:$F,$Q153)&amp;""),0))</f>
        <v>5</v>
      </c>
      <c r="H153" s="77" t="str">
        <f aca="false">IF($Q153="","",PROPER(INDEX('Reguler Class Availability'!$I:$I,$Q153)&amp;"")&amp;IF(INDEX('Reguler Class Availability'!$J:$J,$Q153)&amp;""="",""," + asst "&amp;PROPER(INDEX('Reguler Class Availability'!$J:$J,$Q153)&amp;"")))</f>
        <v/>
      </c>
      <c r="I153" s="77" t="s">
        <v>451</v>
      </c>
      <c r="J153" s="77" t="s">
        <v>188</v>
      </c>
      <c r="K153" s="78"/>
      <c r="L153" s="78"/>
      <c r="M153" s="78"/>
      <c r="N153" s="79"/>
      <c r="O153" s="78"/>
      <c r="Q153" s="30" t="n">
        <f aca="false">IFERROR(MATCH($B$4&amp;"|- Lane "&amp;D153&amp;" - "&amp;B153&amp;"|"&amp;C153,'Reguler Class Availability'!$L:$L,0),"")</f>
        <v>1995</v>
      </c>
      <c r="BD153" s="30" t="s">
        <v>142</v>
      </c>
      <c r="BE153" s="30" t="n">
        <f aca="false">IF(COUNTIFS('Reguler Class Availability'!$L:$L,$B$4&amp;"|- Lane 3 - *|"&amp;BD153)&gt;0,1,0)</f>
        <v>0</v>
      </c>
      <c r="BF153" s="30" t="n">
        <f aca="false">BE153+BF152</f>
        <v>7</v>
      </c>
    </row>
    <row r="154" customFormat="false" ht="52.5" hidden="false" customHeight="true" outlineLevel="0" collapsed="false">
      <c r="A154" s="76" t="n">
        <v>28</v>
      </c>
      <c r="B154" s="77" t="s">
        <v>114</v>
      </c>
      <c r="C154" s="76" t="s">
        <v>132</v>
      </c>
      <c r="D154" s="76" t="n">
        <v>5</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Kosong</v>
      </c>
      <c r="F154" s="77" t="str">
        <f aca="false">IF($Q154="","",PROPER(INDEX('Reguler Class Availability'!$B:$B,$Q154)&amp;""))</f>
        <v/>
      </c>
      <c r="G154" s="76" t="n">
        <f aca="false">IF($Q154="","",IFERROR(--(INDEX('Reguler Class Availability'!$F:$F,$Q154)&amp;""),0))</f>
        <v>4</v>
      </c>
      <c r="H154" s="77" t="str">
        <f aca="false">IF($Q154="","",PROPER(INDEX('Reguler Class Availability'!$I:$I,$Q154)&amp;"")&amp;IF(INDEX('Reguler Class Availability'!$J:$J,$Q154)&amp;""="",""," + asst "&amp;PROPER(INDEX('Reguler Class Availability'!$J:$J,$Q154)&amp;"")))</f>
        <v/>
      </c>
      <c r="I154" s="77" t="s">
        <v>451</v>
      </c>
      <c r="J154" s="77" t="s">
        <v>188</v>
      </c>
      <c r="K154" s="78"/>
      <c r="L154" s="78"/>
      <c r="M154" s="78"/>
      <c r="N154" s="79"/>
      <c r="O154" s="78"/>
      <c r="Q154" s="30" t="n">
        <f aca="false">IFERROR(MATCH($B$4&amp;"|- Lane "&amp;D154&amp;" - "&amp;B154&amp;"|"&amp;C154,'Reguler Class Availability'!$L:$L,0),"")</f>
        <v>2247</v>
      </c>
      <c r="BD154" s="30" t="s">
        <v>143</v>
      </c>
      <c r="BE154" s="30" t="n">
        <f aca="false">IF(COUNTIFS('Reguler Class Availability'!$L:$L,$B$4&amp;"|- Lane 3 - *|"&amp;BD154)&gt;0,1,0)</f>
        <v>0</v>
      </c>
      <c r="BF154" s="30" t="n">
        <f aca="false">BE154+BF153</f>
        <v>7</v>
      </c>
    </row>
    <row r="155" customFormat="false" ht="52.5" hidden="false" customHeight="true" outlineLevel="0" collapsed="false">
      <c r="A155" s="76" t="n">
        <v>29</v>
      </c>
      <c r="B155" s="77" t="s">
        <v>114</v>
      </c>
      <c r="C155" s="76" t="s">
        <v>133</v>
      </c>
      <c r="D155" s="76" t="n">
        <v>3</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Belum terisi</v>
      </c>
      <c r="F155" s="77" t="str">
        <f aca="false">IF($Q155="","",PROPER(INDEX('Reguler Class Availability'!$B:$B,$Q155)&amp;""))</f>
        <v>Little</v>
      </c>
      <c r="G155" s="76" t="n">
        <f aca="false">IF($Q155="","",IFERROR(--(INDEX('Reguler Class Availability'!$F:$F,$Q155)&amp;""),0))</f>
        <v>4</v>
      </c>
      <c r="H155" s="77" t="str">
        <f aca="false">IF($Q155="","",PROPER(INDEX('Reguler Class Availability'!$I:$I,$Q155)&amp;"")&amp;IF(INDEX('Reguler Class Availability'!$J:$J,$Q155)&amp;""="",""," + asst "&amp;PROPER(INDEX('Reguler Class Availability'!$J:$J,$Q155)&amp;"")))</f>
        <v/>
      </c>
      <c r="I155" s="77" t="s">
        <v>451</v>
      </c>
      <c r="J155" s="77" t="s">
        <v>188</v>
      </c>
      <c r="K155" s="78"/>
      <c r="L155" s="78"/>
      <c r="M155" s="78"/>
      <c r="N155" s="79"/>
      <c r="O155" s="78"/>
      <c r="Q155" s="30" t="n">
        <f aca="false">IFERROR(MATCH($B$4&amp;"|- Lane "&amp;D155&amp;" - "&amp;B155&amp;"|"&amp;C155,'Reguler Class Availability'!$L:$L,0),"")</f>
        <v>2079</v>
      </c>
      <c r="BD155" s="30" t="s">
        <v>144</v>
      </c>
      <c r="BE155" s="30" t="n">
        <f aca="false">IF(COUNTIFS('Reguler Class Availability'!$L:$L,$B$4&amp;"|- Lane 3 - *|"&amp;BD155)&gt;0,1,0)</f>
        <v>1</v>
      </c>
      <c r="BF155" s="30" t="n">
        <f aca="false">BE155+BF154</f>
        <v>8</v>
      </c>
    </row>
    <row r="156" customFormat="false" ht="52.5" hidden="false" customHeight="true" outlineLevel="0" collapsed="false">
      <c r="A156" s="76" t="n">
        <v>30</v>
      </c>
      <c r="B156" s="77" t="s">
        <v>114</v>
      </c>
      <c r="C156" s="76" t="s">
        <v>133</v>
      </c>
      <c r="D156" s="76" t="n">
        <v>4</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Belum terisi</v>
      </c>
      <c r="F156" s="77" t="str">
        <f aca="false">IF($Q156="","",PROPER(INDEX('Reguler Class Availability'!$B:$B,$Q156)&amp;""))</f>
        <v>Kids</v>
      </c>
      <c r="G156" s="76" t="n">
        <f aca="false">IF($Q156="","",IFERROR(--(INDEX('Reguler Class Availability'!$F:$F,$Q156)&amp;""),0))</f>
        <v>4</v>
      </c>
      <c r="H156" s="77" t="str">
        <f aca="false">IF($Q156="","",PROPER(INDEX('Reguler Class Availability'!$I:$I,$Q156)&amp;"")&amp;IF(INDEX('Reguler Class Availability'!$J:$J,$Q156)&amp;""="",""," + asst "&amp;PROPER(INDEX('Reguler Class Availability'!$J:$J,$Q156)&amp;"")))</f>
        <v/>
      </c>
      <c r="I156" s="77" t="s">
        <v>451</v>
      </c>
      <c r="J156" s="77" t="s">
        <v>188</v>
      </c>
      <c r="K156" s="78"/>
      <c r="L156" s="78"/>
      <c r="M156" s="78"/>
      <c r="N156" s="79"/>
      <c r="O156" s="78"/>
      <c r="Q156" s="30" t="n">
        <f aca="false">IFERROR(MATCH($B$4&amp;"|- Lane "&amp;D156&amp;" - "&amp;B156&amp;"|"&amp;C156,'Reguler Class Availability'!$L:$L,0),"")</f>
        <v>2163</v>
      </c>
      <c r="BD156" s="30" t="s">
        <v>145</v>
      </c>
      <c r="BE156" s="30" t="n">
        <f aca="false">IF(COUNTIFS('Reguler Class Availability'!$L:$L,$B$4&amp;"|- Lane 3 - *|"&amp;BD156)&gt;0,1,0)</f>
        <v>0</v>
      </c>
      <c r="BF156" s="30" t="n">
        <f aca="false">BE156+BF155</f>
        <v>8</v>
      </c>
    </row>
    <row r="157" customFormat="false" ht="52.5" hidden="false" customHeight="true" outlineLevel="0" collapsed="false">
      <c r="A157" s="76" t="n">
        <v>31</v>
      </c>
      <c r="B157" s="77" t="s">
        <v>114</v>
      </c>
      <c r="C157" s="76" t="s">
        <v>139</v>
      </c>
      <c r="D157" s="76" t="n">
        <v>1</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Belum terisi</v>
      </c>
      <c r="F157" s="77" t="str">
        <f aca="false">IF($Q157="","",PROPER(INDEX('Reguler Class Availability'!$B:$B,$Q157)&amp;""))</f>
        <v>Baby</v>
      </c>
      <c r="G157" s="76" t="n">
        <f aca="false">IF($Q157="","",IFERROR(--(INDEX('Reguler Class Availability'!$F:$F,$Q157)&amp;""),0))</f>
        <v>5</v>
      </c>
      <c r="H157" s="77" t="str">
        <f aca="false">IF($Q157="","",PROPER(INDEX('Reguler Class Availability'!$I:$I,$Q157)&amp;"")&amp;IF(INDEX('Reguler Class Availability'!$J:$J,$Q157)&amp;""="",""," + asst "&amp;PROPER(INDEX('Reguler Class Availability'!$J:$J,$Q157)&amp;"")))</f>
        <v/>
      </c>
      <c r="I157" s="77" t="s">
        <v>451</v>
      </c>
      <c r="J157" s="77" t="s">
        <v>188</v>
      </c>
      <c r="K157" s="78"/>
      <c r="L157" s="78"/>
      <c r="M157" s="78"/>
      <c r="N157" s="79"/>
      <c r="O157" s="78"/>
      <c r="Q157" s="30" t="n">
        <f aca="false">IFERROR(MATCH($B$4&amp;"|- Lane "&amp;D157&amp;" - "&amp;B157&amp;"|"&amp;C157,'Reguler Class Availability'!$L:$L,0),"")</f>
        <v>1898</v>
      </c>
      <c r="BD157" s="30" t="s">
        <v>146</v>
      </c>
      <c r="BE157" s="30" t="n">
        <f aca="false">IF(COUNTIFS('Reguler Class Availability'!$L:$L,$B$4&amp;"|- Lane 3 - *|"&amp;BD157)&gt;0,1,0)</f>
        <v>0</v>
      </c>
      <c r="BF157" s="30" t="n">
        <f aca="false">BE157+BF156</f>
        <v>8</v>
      </c>
    </row>
    <row r="158" customFormat="false" ht="52.5" hidden="false" customHeight="true" outlineLevel="0" collapsed="false">
      <c r="A158" s="76" t="n">
        <v>32</v>
      </c>
      <c r="B158" s="77" t="s">
        <v>114</v>
      </c>
      <c r="C158" s="76" t="s">
        <v>139</v>
      </c>
      <c r="D158" s="76" t="n">
        <v>2</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Tiny</v>
      </c>
      <c r="G158" s="76" t="n">
        <f aca="false">IF($Q158="","",IFERROR(--(INDEX('Reguler Class Availability'!$F:$F,$Q158)&amp;""),0))</f>
        <v>5</v>
      </c>
      <c r="H158" s="77" t="str">
        <f aca="false">IF($Q158="","",PROPER(INDEX('Reguler Class Availability'!$I:$I,$Q158)&amp;"")&amp;IF(INDEX('Reguler Class Availability'!$J:$J,$Q158)&amp;""="",""," + asst "&amp;PROPER(INDEX('Reguler Class Availability'!$J:$J,$Q158)&amp;"")))</f>
        <v/>
      </c>
      <c r="I158" s="77" t="s">
        <v>451</v>
      </c>
      <c r="J158" s="77" t="s">
        <v>188</v>
      </c>
      <c r="K158" s="78"/>
      <c r="L158" s="78"/>
      <c r="M158" s="78"/>
      <c r="N158" s="79"/>
      <c r="O158" s="78"/>
      <c r="Q158" s="30" t="n">
        <f aca="false">IFERROR(MATCH($B$4&amp;"|- Lane "&amp;D158&amp;" - "&amp;B158&amp;"|"&amp;C158,'Reguler Class Availability'!$L:$L,0),"")</f>
        <v>1996</v>
      </c>
      <c r="BD158" s="30" t="s">
        <v>147</v>
      </c>
      <c r="BE158" s="30" t="n">
        <f aca="false">IF(COUNTIFS('Reguler Class Availability'!$L:$L,$B$4&amp;"|- Lane 3 - *|"&amp;BD158)&gt;0,1,0)</f>
        <v>1</v>
      </c>
      <c r="BF158" s="30" t="n">
        <f aca="false">BE158+BF157</f>
        <v>9</v>
      </c>
    </row>
    <row r="159" customFormat="false" ht="52.5" hidden="false" customHeight="true" outlineLevel="0" collapsed="false">
      <c r="A159" s="76" t="n">
        <v>33</v>
      </c>
      <c r="B159" s="77" t="s">
        <v>114</v>
      </c>
      <c r="C159" s="76" t="s">
        <v>139</v>
      </c>
      <c r="D159" s="76" t="n">
        <v>5</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Kosong</v>
      </c>
      <c r="F159" s="77" t="str">
        <f aca="false">IF($Q159="","",PROPER(INDEX('Reguler Class Availability'!$B:$B,$Q159)&amp;""))</f>
        <v/>
      </c>
      <c r="G159" s="76" t="n">
        <f aca="false">IF($Q159="","",IFERROR(--(INDEX('Reguler Class Availability'!$F:$F,$Q159)&amp;""),0))</f>
        <v>4</v>
      </c>
      <c r="H159" s="77" t="str">
        <f aca="false">IF($Q159="","",PROPER(INDEX('Reguler Class Availability'!$I:$I,$Q159)&amp;"")&amp;IF(INDEX('Reguler Class Availability'!$J:$J,$Q159)&amp;""="",""," + asst "&amp;PROPER(INDEX('Reguler Class Availability'!$J:$J,$Q159)&amp;"")))</f>
        <v/>
      </c>
      <c r="I159" s="77" t="s">
        <v>451</v>
      </c>
      <c r="J159" s="77" t="s">
        <v>188</v>
      </c>
      <c r="K159" s="78"/>
      <c r="L159" s="78"/>
      <c r="M159" s="78"/>
      <c r="N159" s="79"/>
      <c r="O159" s="78"/>
      <c r="Q159" s="30" t="n">
        <f aca="false">IFERROR(MATCH($B$4&amp;"|- Lane "&amp;D159&amp;" - "&amp;B159&amp;"|"&amp;C159,'Reguler Class Availability'!$L:$L,0),"")</f>
        <v>2248</v>
      </c>
      <c r="BD159" s="30" t="s">
        <v>148</v>
      </c>
      <c r="BE159" s="30" t="n">
        <f aca="false">IF(COUNTIFS('Reguler Class Availability'!$L:$L,$B$4&amp;"|- Lane 3 - *|"&amp;BD159)&gt;0,1,0)</f>
        <v>0</v>
      </c>
      <c r="BF159" s="30" t="n">
        <f aca="false">BE159+BF158</f>
        <v>9</v>
      </c>
    </row>
    <row r="160" customFormat="false" ht="52.5" hidden="false" customHeight="true" outlineLevel="0" collapsed="false">
      <c r="A160" s="76" t="n">
        <v>34</v>
      </c>
      <c r="B160" s="77" t="s">
        <v>114</v>
      </c>
      <c r="C160" s="76" t="s">
        <v>141</v>
      </c>
      <c r="D160" s="76" t="n">
        <v>3</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Belum terisi</v>
      </c>
      <c r="F160" s="77" t="str">
        <f aca="false">IF($Q160="","",PROPER(INDEX('Reguler Class Availability'!$B:$B,$Q160)&amp;""))</f>
        <v>Little</v>
      </c>
      <c r="G160" s="76" t="n">
        <f aca="false">IF($Q160="","",IFERROR(--(INDEX('Reguler Class Availability'!$F:$F,$Q160)&amp;""),0))</f>
        <v>4</v>
      </c>
      <c r="H160" s="77" t="str">
        <f aca="false">IF($Q160="","",PROPER(INDEX('Reguler Class Availability'!$I:$I,$Q160)&amp;"")&amp;IF(INDEX('Reguler Class Availability'!$J:$J,$Q160)&amp;""="",""," + asst "&amp;PROPER(INDEX('Reguler Class Availability'!$J:$J,$Q160)&amp;"")))</f>
        <v/>
      </c>
      <c r="I160" s="77" t="s">
        <v>451</v>
      </c>
      <c r="J160" s="77" t="s">
        <v>188</v>
      </c>
      <c r="K160" s="78"/>
      <c r="L160" s="78"/>
      <c r="M160" s="78"/>
      <c r="N160" s="79"/>
      <c r="O160" s="78"/>
      <c r="Q160" s="30" t="n">
        <f aca="false">IFERROR(MATCH($B$4&amp;"|- Lane "&amp;D160&amp;" - "&amp;B160&amp;"|"&amp;C160,'Reguler Class Availability'!$L:$L,0),"")</f>
        <v>2080</v>
      </c>
      <c r="BD160" s="30" t="s">
        <v>149</v>
      </c>
      <c r="BE160" s="30" t="n">
        <f aca="false">IF(COUNTIFS('Reguler Class Availability'!$L:$L,$B$4&amp;"|- Lane 3 - *|"&amp;BD160)&gt;0,1,0)</f>
        <v>0</v>
      </c>
      <c r="BF160" s="30" t="n">
        <f aca="false">BE160+BF159</f>
        <v>9</v>
      </c>
    </row>
    <row r="161" customFormat="false" ht="52.5" hidden="false" customHeight="true" outlineLevel="0" collapsed="false">
      <c r="A161" s="76" t="n">
        <v>35</v>
      </c>
      <c r="B161" s="77" t="s">
        <v>114</v>
      </c>
      <c r="C161" s="76" t="s">
        <v>141</v>
      </c>
      <c r="D161" s="76" t="n">
        <v>4</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Kids</v>
      </c>
      <c r="G161" s="76" t="n">
        <f aca="false">IF($Q161="","",IFERROR(--(INDEX('Reguler Class Availability'!$F:$F,$Q161)&amp;""),0))</f>
        <v>4</v>
      </c>
      <c r="H161" s="77" t="str">
        <f aca="false">IF($Q161="","",PROPER(INDEX('Reguler Class Availability'!$I:$I,$Q161)&amp;"")&amp;IF(INDEX('Reguler Class Availability'!$J:$J,$Q161)&amp;""="",""," + asst "&amp;PROPER(INDEX('Reguler Class Availability'!$J:$J,$Q161)&amp;"")))</f>
        <v/>
      </c>
      <c r="I161" s="77" t="s">
        <v>451</v>
      </c>
      <c r="J161" s="77" t="s">
        <v>188</v>
      </c>
      <c r="K161" s="78"/>
      <c r="L161" s="78"/>
      <c r="M161" s="78"/>
      <c r="N161" s="79"/>
      <c r="O161" s="78"/>
      <c r="Q161" s="30" t="n">
        <f aca="false">IFERROR(MATCH($B$4&amp;"|- Lane "&amp;D161&amp;" - "&amp;B161&amp;"|"&amp;C161,'Reguler Class Availability'!$L:$L,0),"")</f>
        <v>2164</v>
      </c>
      <c r="BD161" s="30" t="s">
        <v>150</v>
      </c>
      <c r="BE161" s="30" t="n">
        <f aca="false">IF(COUNTIFS('Reguler Class Availability'!$L:$L,$B$4&amp;"|- Lane 3 - *|"&amp;BD161)&gt;0,1,0)</f>
        <v>1</v>
      </c>
      <c r="BF161" s="30" t="n">
        <f aca="false">BE161+BF160</f>
        <v>10</v>
      </c>
    </row>
    <row r="162" customFormat="false" ht="27.75" hidden="false" customHeight="true" outlineLevel="0" collapsed="false">
      <c r="A162" s="76" t="n">
        <v>36</v>
      </c>
      <c r="B162" s="77" t="s">
        <v>114</v>
      </c>
      <c r="C162" s="76" t="s">
        <v>143</v>
      </c>
      <c r="D162" s="76" t="n">
        <v>1</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Belum terisi</v>
      </c>
      <c r="F162" s="77" t="str">
        <f aca="false">IF($Q162="","",PROPER(INDEX('Reguler Class Availability'!$B:$B,$Q162)&amp;""))</f>
        <v>Baby</v>
      </c>
      <c r="G162" s="76" t="n">
        <f aca="false">IF($Q162="","",IFERROR(--(INDEX('Reguler Class Availability'!$F:$F,$Q162)&amp;""),0))</f>
        <v>5</v>
      </c>
      <c r="H162" s="77" t="str">
        <f aca="false">IF($Q162="","",PROPER(INDEX('Reguler Class Availability'!$I:$I,$Q162)&amp;"")&amp;IF(INDEX('Reguler Class Availability'!$J:$J,$Q162)&amp;""="",""," + asst "&amp;PROPER(INDEX('Reguler Class Availability'!$J:$J,$Q162)&amp;"")))</f>
        <v/>
      </c>
      <c r="I162" s="77" t="s">
        <v>453</v>
      </c>
      <c r="J162" s="77" t="s">
        <v>188</v>
      </c>
      <c r="K162" s="78"/>
      <c r="L162" s="78"/>
      <c r="M162" s="78"/>
      <c r="N162" s="79"/>
      <c r="O162" s="78"/>
      <c r="Q162" s="30" t="n">
        <f aca="false">IFERROR(MATCH($B$4&amp;"|- Lane "&amp;D162&amp;" - "&amp;B162&amp;"|"&amp;C162,'Reguler Class Availability'!$L:$L,0),"")</f>
        <v>1899</v>
      </c>
      <c r="BD162" s="30" t="s">
        <v>151</v>
      </c>
      <c r="BE162" s="30" t="n">
        <f aca="false">IF(COUNTIFS('Reguler Class Availability'!$L:$L,$B$4&amp;"|- Lane 3 - *|"&amp;BD162)&gt;0,1,0)</f>
        <v>0</v>
      </c>
      <c r="BF162" s="30" t="n">
        <f aca="false">BE162+BF161</f>
        <v>10</v>
      </c>
    </row>
    <row r="163" customFormat="false" ht="27.75" hidden="false" customHeight="true" outlineLevel="0" collapsed="false">
      <c r="A163" s="76" t="n">
        <v>37</v>
      </c>
      <c r="B163" s="77" t="s">
        <v>114</v>
      </c>
      <c r="C163" s="76" t="s">
        <v>143</v>
      </c>
      <c r="D163" s="76" t="n">
        <v>2</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Belum terisi</v>
      </c>
      <c r="F163" s="77" t="str">
        <f aca="false">IF($Q163="","",PROPER(INDEX('Reguler Class Availability'!$B:$B,$Q163)&amp;""))</f>
        <v>Tiny</v>
      </c>
      <c r="G163" s="76" t="n">
        <f aca="false">IF($Q163="","",IFERROR(--(INDEX('Reguler Class Availability'!$F:$F,$Q163)&amp;""),0))</f>
        <v>5</v>
      </c>
      <c r="H163" s="77" t="str">
        <f aca="false">IF($Q163="","",PROPER(INDEX('Reguler Class Availability'!$I:$I,$Q163)&amp;"")&amp;IF(INDEX('Reguler Class Availability'!$J:$J,$Q163)&amp;""="",""," + asst "&amp;PROPER(INDEX('Reguler Class Availability'!$J:$J,$Q163)&amp;"")))</f>
        <v/>
      </c>
      <c r="I163" s="77" t="s">
        <v>453</v>
      </c>
      <c r="J163" s="77" t="s">
        <v>188</v>
      </c>
      <c r="K163" s="78"/>
      <c r="L163" s="78"/>
      <c r="M163" s="78"/>
      <c r="N163" s="79"/>
      <c r="O163" s="78"/>
      <c r="Q163" s="30" t="n">
        <f aca="false">IFERROR(MATCH($B$4&amp;"|- Lane "&amp;D163&amp;" - "&amp;B163&amp;"|"&amp;C163,'Reguler Class Availability'!$L:$L,0),"")</f>
        <v>1997</v>
      </c>
      <c r="BD163" s="30" t="s">
        <v>152</v>
      </c>
      <c r="BE163" s="30" t="n">
        <f aca="false">IF(COUNTIFS('Reguler Class Availability'!$L:$L,$B$4&amp;"|- Lane 3 - *|"&amp;BD163)&gt;0,1,0)</f>
        <v>0</v>
      </c>
      <c r="BF163" s="30" t="n">
        <f aca="false">BE163+BF162</f>
        <v>10</v>
      </c>
    </row>
    <row r="164" customFormat="false" ht="27.75" hidden="false" customHeight="true" outlineLevel="0" collapsed="false">
      <c r="A164" s="76" t="n">
        <v>38</v>
      </c>
      <c r="B164" s="77" t="s">
        <v>114</v>
      </c>
      <c r="C164" s="76" t="s">
        <v>143</v>
      </c>
      <c r="D164" s="76" t="n">
        <v>5</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Kosong</v>
      </c>
      <c r="F164" s="77" t="str">
        <f aca="false">IF($Q164="","",PROPER(INDEX('Reguler Class Availability'!$B:$B,$Q164)&amp;""))</f>
        <v/>
      </c>
      <c r="G164" s="76" t="n">
        <f aca="false">IF($Q164="","",IFERROR(--(INDEX('Reguler Class Availability'!$F:$F,$Q164)&amp;""),0))</f>
        <v>4</v>
      </c>
      <c r="H164" s="77" t="str">
        <f aca="false">IF($Q164="","",PROPER(INDEX('Reguler Class Availability'!$I:$I,$Q164)&amp;"")&amp;IF(INDEX('Reguler Class Availability'!$J:$J,$Q164)&amp;""="",""," + asst "&amp;PROPER(INDEX('Reguler Class Availability'!$J:$J,$Q164)&amp;"")))</f>
        <v/>
      </c>
      <c r="I164" s="77" t="s">
        <v>453</v>
      </c>
      <c r="J164" s="77" t="s">
        <v>188</v>
      </c>
      <c r="K164" s="78"/>
      <c r="L164" s="78"/>
      <c r="M164" s="78"/>
      <c r="N164" s="79"/>
      <c r="O164" s="78"/>
      <c r="Q164" s="30" t="n">
        <f aca="false">IFERROR(MATCH($B$4&amp;"|- Lane "&amp;D164&amp;" - "&amp;B164&amp;"|"&amp;C164,'Reguler Class Availability'!$L:$L,0),"")</f>
        <v>2249</v>
      </c>
      <c r="BD164" s="30" t="s">
        <v>153</v>
      </c>
      <c r="BE164" s="30" t="n">
        <f aca="false">IF(COUNTIFS('Reguler Class Availability'!$L:$L,$B$4&amp;"|- Lane 3 - *|"&amp;BD164)&gt;0,1,0)</f>
        <v>1</v>
      </c>
      <c r="BF164" s="30" t="n">
        <f aca="false">BE164+BF163</f>
        <v>11</v>
      </c>
    </row>
    <row r="165" customFormat="false" ht="15.75" hidden="false" customHeight="true" outlineLevel="0" collapsed="false">
      <c r="A165" s="76" t="n">
        <v>39</v>
      </c>
      <c r="B165" s="77" t="s">
        <v>114</v>
      </c>
      <c r="C165" s="76" t="s">
        <v>146</v>
      </c>
      <c r="D165" s="76" t="n">
        <v>1</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Belum terisi</v>
      </c>
      <c r="F165" s="77" t="str">
        <f aca="false">IF($Q165="","",PROPER(INDEX('Reguler Class Availability'!$B:$B,$Q165)&amp;""))</f>
        <v>Baby</v>
      </c>
      <c r="G165" s="76" t="n">
        <f aca="false">IF($Q165="","",IFERROR(--(INDEX('Reguler Class Availability'!$F:$F,$Q165)&amp;""),0))</f>
        <v>5</v>
      </c>
      <c r="H165" s="77" t="str">
        <f aca="false">IF($Q165="","",PROPER(INDEX('Reguler Class Availability'!$I:$I,$Q165)&amp;"")&amp;IF(INDEX('Reguler Class Availability'!$J:$J,$Q165)&amp;""="",""," + asst "&amp;PROPER(INDEX('Reguler Class Availability'!$J:$J,$Q165)&amp;"")))</f>
        <v/>
      </c>
      <c r="I165" s="77" t="s">
        <v>454</v>
      </c>
      <c r="J165" s="77" t="s">
        <v>288</v>
      </c>
      <c r="K165" s="78"/>
      <c r="L165" s="78"/>
      <c r="M165" s="78"/>
      <c r="N165" s="79"/>
      <c r="O165" s="78"/>
      <c r="Q165" s="30" t="n">
        <f aca="false">IFERROR(MATCH($B$4&amp;"|- Lane "&amp;D165&amp;" - "&amp;B165&amp;"|"&amp;C165,'Reguler Class Availability'!$L:$L,0),"")</f>
        <v>1900</v>
      </c>
      <c r="BD165" s="30" t="s">
        <v>154</v>
      </c>
      <c r="BE165" s="30" t="n">
        <f aca="false">IF(COUNTIFS('Reguler Class Availability'!$L:$L,$B$4&amp;"|- Lane 3 - *|"&amp;BD165)&gt;0,1,0)</f>
        <v>0</v>
      </c>
      <c r="BF165" s="30" t="n">
        <f aca="false">BE165+BF164</f>
        <v>11</v>
      </c>
    </row>
    <row r="166" customFormat="false" ht="15.75" hidden="false" customHeight="true" outlineLevel="0" collapsed="false">
      <c r="A166" s="76" t="n">
        <v>40</v>
      </c>
      <c r="B166" s="77" t="s">
        <v>114</v>
      </c>
      <c r="C166" s="76" t="s">
        <v>146</v>
      </c>
      <c r="D166" s="76" t="n">
        <v>2</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Belum terisi</v>
      </c>
      <c r="F166" s="77" t="str">
        <f aca="false">IF($Q166="","",PROPER(INDEX('Reguler Class Availability'!$B:$B,$Q166)&amp;""))</f>
        <v>Tiny</v>
      </c>
      <c r="G166" s="76" t="n">
        <f aca="false">IF($Q166="","",IFERROR(--(INDEX('Reguler Class Availability'!$F:$F,$Q166)&amp;""),0))</f>
        <v>5</v>
      </c>
      <c r="H166" s="77" t="str">
        <f aca="false">IF($Q166="","",PROPER(INDEX('Reguler Class Availability'!$I:$I,$Q166)&amp;"")&amp;IF(INDEX('Reguler Class Availability'!$J:$J,$Q166)&amp;""="",""," + asst "&amp;PROPER(INDEX('Reguler Class Availability'!$J:$J,$Q166)&amp;"")))</f>
        <v/>
      </c>
      <c r="I166" s="77" t="s">
        <v>454</v>
      </c>
      <c r="J166" s="77" t="s">
        <v>198</v>
      </c>
      <c r="K166" s="78"/>
      <c r="L166" s="78"/>
      <c r="M166" s="78"/>
      <c r="N166" s="79"/>
      <c r="O166" s="78"/>
      <c r="Q166" s="30" t="n">
        <f aca="false">IFERROR(MATCH($B$4&amp;"|- Lane "&amp;D166&amp;" - "&amp;B166&amp;"|"&amp;C166,'Reguler Class Availability'!$L:$L,0),"")</f>
        <v>1998</v>
      </c>
      <c r="BD166" s="30" t="s">
        <v>155</v>
      </c>
      <c r="BE166" s="30" t="n">
        <f aca="false">IF(COUNTIFS('Reguler Class Availability'!$L:$L,$B$4&amp;"|- Lane 3 - *|"&amp;BD166)&gt;0,1,0)</f>
        <v>0</v>
      </c>
      <c r="BF166" s="30" t="n">
        <f aca="false">BE166+BF165</f>
        <v>11</v>
      </c>
    </row>
    <row r="167" customFormat="false" ht="15.75" hidden="false" customHeight="true" outlineLevel="0" collapsed="false">
      <c r="A167" s="76" t="n">
        <v>41</v>
      </c>
      <c r="B167" s="77" t="s">
        <v>114</v>
      </c>
      <c r="C167" s="76" t="s">
        <v>146</v>
      </c>
      <c r="D167" s="76" t="n">
        <v>5</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Kosong</v>
      </c>
      <c r="F167" s="77" t="str">
        <f aca="false">IF($Q167="","",PROPER(INDEX('Reguler Class Availability'!$B:$B,$Q167)&amp;""))</f>
        <v/>
      </c>
      <c r="G167" s="76" t="n">
        <f aca="false">IF($Q167="","",IFERROR(--(INDEX('Reguler Class Availability'!$F:$F,$Q167)&amp;""),0))</f>
        <v>4</v>
      </c>
      <c r="H167" s="77" t="str">
        <f aca="false">IF($Q167="","",PROPER(INDEX('Reguler Class Availability'!$I:$I,$Q167)&amp;"")&amp;IF(INDEX('Reguler Class Availability'!$J:$J,$Q167)&amp;""="",""," + asst "&amp;PROPER(INDEX('Reguler Class Availability'!$J:$J,$Q167)&amp;"")))</f>
        <v/>
      </c>
      <c r="I167" s="77" t="s">
        <v>454</v>
      </c>
      <c r="J167" s="77" t="s">
        <v>260</v>
      </c>
      <c r="K167" s="78"/>
      <c r="L167" s="78"/>
      <c r="M167" s="78"/>
      <c r="N167" s="79"/>
      <c r="O167" s="78"/>
      <c r="Q167" s="30" t="n">
        <f aca="false">IFERROR(MATCH($B$4&amp;"|- Lane "&amp;D167&amp;" - "&amp;B167&amp;"|"&amp;C167,'Reguler Class Availability'!$L:$L,0),"")</f>
        <v>2250</v>
      </c>
      <c r="BD167" s="30" t="s">
        <v>156</v>
      </c>
      <c r="BE167" s="30" t="n">
        <f aca="false">IF(COUNTIFS('Reguler Class Availability'!$L:$L,$B$4&amp;"|- Lane 3 - *|"&amp;BD167)&gt;0,1,0)</f>
        <v>1</v>
      </c>
      <c r="BF167" s="30" t="n">
        <f aca="false">BE167+BF166</f>
        <v>12</v>
      </c>
    </row>
    <row r="168" customFormat="false" ht="27.75" hidden="false" customHeight="true" outlineLevel="0" collapsed="false">
      <c r="A168" s="76" t="n">
        <v>42</v>
      </c>
      <c r="B168" s="77" t="s">
        <v>114</v>
      </c>
      <c r="C168" s="76" t="s">
        <v>149</v>
      </c>
      <c r="D168" s="76" t="n">
        <v>1</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Belum terisi</v>
      </c>
      <c r="F168" s="77" t="str">
        <f aca="false">IF($Q168="","",PROPER(INDEX('Reguler Class Availability'!$B:$B,$Q168)&amp;""))</f>
        <v>Baby</v>
      </c>
      <c r="G168" s="76" t="n">
        <f aca="false">IF($Q168="","",IFERROR(--(INDEX('Reguler Class Availability'!$F:$F,$Q168)&amp;""),0))</f>
        <v>5</v>
      </c>
      <c r="H168" s="77" t="str">
        <f aca="false">IF($Q168="","",PROPER(INDEX('Reguler Class Availability'!$I:$I,$Q168)&amp;"")&amp;IF(INDEX('Reguler Class Availability'!$J:$J,$Q168)&amp;""="",""," + asst "&amp;PROPER(INDEX('Reguler Class Availability'!$J:$J,$Q168)&amp;"")))</f>
        <v/>
      </c>
      <c r="I168" s="77" t="s">
        <v>455</v>
      </c>
      <c r="J168" s="77" t="s">
        <v>188</v>
      </c>
      <c r="K168" s="78"/>
      <c r="L168" s="78"/>
      <c r="M168" s="78"/>
      <c r="N168" s="79"/>
      <c r="O168" s="78"/>
      <c r="Q168" s="30" t="n">
        <f aca="false">IFERROR(MATCH($B$4&amp;"|- Lane "&amp;D168&amp;" - "&amp;B168&amp;"|"&amp;C168,'Reguler Class Availability'!$L:$L,0),"")</f>
        <v>1901</v>
      </c>
      <c r="BD168" s="30" t="s">
        <v>157</v>
      </c>
      <c r="BE168" s="30" t="n">
        <f aca="false">IF(COUNTIFS('Reguler Class Availability'!$L:$L,$B$4&amp;"|- Lane 3 - *|"&amp;BD168)&gt;0,1,0)</f>
        <v>0</v>
      </c>
      <c r="BF168" s="30" t="n">
        <f aca="false">BE168+BF167</f>
        <v>12</v>
      </c>
    </row>
    <row r="169" customFormat="false" ht="27.75" hidden="false" customHeight="true" outlineLevel="0" collapsed="false">
      <c r="A169" s="76" t="n">
        <v>43</v>
      </c>
      <c r="B169" s="77" t="s">
        <v>114</v>
      </c>
      <c r="C169" s="76" t="s">
        <v>149</v>
      </c>
      <c r="D169" s="76" t="n">
        <v>2</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Belum terisi</v>
      </c>
      <c r="F169" s="77" t="str">
        <f aca="false">IF($Q169="","",PROPER(INDEX('Reguler Class Availability'!$B:$B,$Q169)&amp;""))</f>
        <v>Tiny</v>
      </c>
      <c r="G169" s="76" t="n">
        <f aca="false">IF($Q169="","",IFERROR(--(INDEX('Reguler Class Availability'!$F:$F,$Q169)&amp;""),0))</f>
        <v>5</v>
      </c>
      <c r="H169" s="77" t="str">
        <f aca="false">IF($Q169="","",PROPER(INDEX('Reguler Class Availability'!$I:$I,$Q169)&amp;"")&amp;IF(INDEX('Reguler Class Availability'!$J:$J,$Q169)&amp;""="",""," + asst "&amp;PROPER(INDEX('Reguler Class Availability'!$J:$J,$Q169)&amp;"")))</f>
        <v/>
      </c>
      <c r="I169" s="77" t="s">
        <v>455</v>
      </c>
      <c r="J169" s="77" t="s">
        <v>188</v>
      </c>
      <c r="K169" s="78"/>
      <c r="L169" s="78"/>
      <c r="M169" s="78"/>
      <c r="N169" s="79"/>
      <c r="O169" s="78"/>
      <c r="Q169" s="30" t="n">
        <f aca="false">IFERROR(MATCH($B$4&amp;"|- Lane "&amp;D169&amp;" - "&amp;B169&amp;"|"&amp;C169,'Reguler Class Availability'!$L:$L,0),"")</f>
        <v>1999</v>
      </c>
      <c r="BD169" s="30" t="s">
        <v>158</v>
      </c>
      <c r="BE169" s="30" t="n">
        <f aca="false">IF(COUNTIFS('Reguler Class Availability'!$L:$L,$B$4&amp;"|- Lane 3 - *|"&amp;BD169)&gt;0,1,0)</f>
        <v>0</v>
      </c>
      <c r="BF169" s="30" t="n">
        <f aca="false">BE169+BF168</f>
        <v>12</v>
      </c>
    </row>
    <row r="170" customFormat="false" ht="27.75" hidden="false" customHeight="true" outlineLevel="0" collapsed="false">
      <c r="A170" s="76" t="n">
        <v>44</v>
      </c>
      <c r="B170" s="77" t="s">
        <v>114</v>
      </c>
      <c r="C170" s="76" t="s">
        <v>149</v>
      </c>
      <c r="D170" s="76" t="n">
        <v>5</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Kosong</v>
      </c>
      <c r="F170" s="77" t="str">
        <f aca="false">IF($Q170="","",PROPER(INDEX('Reguler Class Availability'!$B:$B,$Q170)&amp;""))</f>
        <v/>
      </c>
      <c r="G170" s="76" t="n">
        <f aca="false">IF($Q170="","",IFERROR(--(INDEX('Reguler Class Availability'!$F:$F,$Q170)&amp;""),0))</f>
        <v>4</v>
      </c>
      <c r="H170" s="77" t="str">
        <f aca="false">IF($Q170="","",PROPER(INDEX('Reguler Class Availability'!$I:$I,$Q170)&amp;"")&amp;IF(INDEX('Reguler Class Availability'!$J:$J,$Q170)&amp;""="",""," + asst "&amp;PROPER(INDEX('Reguler Class Availability'!$J:$J,$Q170)&amp;"")))</f>
        <v/>
      </c>
      <c r="I170" s="77" t="s">
        <v>455</v>
      </c>
      <c r="J170" s="77" t="s">
        <v>188</v>
      </c>
      <c r="K170" s="78"/>
      <c r="L170" s="78"/>
      <c r="M170" s="78"/>
      <c r="N170" s="79"/>
      <c r="O170" s="78"/>
      <c r="Q170" s="30" t="n">
        <f aca="false">IFERROR(MATCH($B$4&amp;"|- Lane "&amp;D170&amp;" - "&amp;B170&amp;"|"&amp;C170,'Reguler Class Availability'!$L:$L,0),"")</f>
        <v>2251</v>
      </c>
      <c r="BD170" s="30" t="s">
        <v>160</v>
      </c>
      <c r="BE170" s="30" t="n">
        <f aca="false">IF(COUNTIFS('Reguler Class Availability'!$L:$L,$B$4&amp;"|- Lane 3 - *|"&amp;BD170)&gt;0,1,0)</f>
        <v>0</v>
      </c>
      <c r="BF170" s="30" t="n">
        <f aca="false">BE170+BF169</f>
        <v>12</v>
      </c>
    </row>
    <row r="171" customFormat="false" ht="40.5" hidden="false" customHeight="true" outlineLevel="0" collapsed="false">
      <c r="A171" s="76" t="n">
        <v>45</v>
      </c>
      <c r="B171" s="77" t="s">
        <v>114</v>
      </c>
      <c r="C171" s="76" t="s">
        <v>150</v>
      </c>
      <c r="D171" s="76" t="n">
        <v>3</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Belum terisi</v>
      </c>
      <c r="F171" s="77" t="str">
        <f aca="false">IF($Q171="","",PROPER(INDEX('Reguler Class Availability'!$B:$B,$Q171)&amp;""))</f>
        <v>Little</v>
      </c>
      <c r="G171" s="76" t="n">
        <f aca="false">IF($Q171="","",IFERROR(--(INDEX('Reguler Class Availability'!$F:$F,$Q171)&amp;""),0))</f>
        <v>4</v>
      </c>
      <c r="H171" s="77" t="str">
        <f aca="false">IF($Q171="","",PROPER(INDEX('Reguler Class Availability'!$I:$I,$Q171)&amp;"")&amp;IF(INDEX('Reguler Class Availability'!$J:$J,$Q171)&amp;""="",""," + asst "&amp;PROPER(INDEX('Reguler Class Availability'!$J:$J,$Q171)&amp;"")))</f>
        <v/>
      </c>
      <c r="I171" s="77" t="s">
        <v>456</v>
      </c>
      <c r="J171" s="77" t="s">
        <v>188</v>
      </c>
      <c r="K171" s="78"/>
      <c r="L171" s="78"/>
      <c r="M171" s="78"/>
      <c r="N171" s="79"/>
      <c r="O171" s="78"/>
      <c r="Q171" s="30" t="n">
        <f aca="false">IFERROR(MATCH($B$4&amp;"|- Lane "&amp;D171&amp;" - "&amp;B171&amp;"|"&amp;C171,'Reguler Class Availability'!$L:$L,0),"")</f>
        <v>2083</v>
      </c>
      <c r="BD171" s="30" t="s">
        <v>161</v>
      </c>
      <c r="BE171" s="30" t="n">
        <f aca="false">IF(COUNTIFS('Reguler Class Availability'!$L:$L,$B$4&amp;"|- Lane 3 - *|"&amp;BD171)&gt;0,1,0)</f>
        <v>0</v>
      </c>
      <c r="BF171" s="30" t="n">
        <f aca="false">BE171+BF170</f>
        <v>12</v>
      </c>
    </row>
    <row r="172" customFormat="false" ht="27.75" hidden="false" customHeight="true" outlineLevel="0" collapsed="false">
      <c r="A172" s="76" t="n">
        <v>46</v>
      </c>
      <c r="B172" s="77" t="s">
        <v>114</v>
      </c>
      <c r="C172" s="76" t="s">
        <v>152</v>
      </c>
      <c r="D172" s="76" t="n">
        <v>1</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Baby</v>
      </c>
      <c r="G172" s="76" t="n">
        <f aca="false">IF($Q172="","",IFERROR(--(INDEX('Reguler Class Availability'!$F:$F,$Q172)&amp;""),0))</f>
        <v>5</v>
      </c>
      <c r="H172" s="77" t="str">
        <f aca="false">IF($Q172="","",PROPER(INDEX('Reguler Class Availability'!$I:$I,$Q172)&amp;"")&amp;IF(INDEX('Reguler Class Availability'!$J:$J,$Q172)&amp;""="",""," + asst "&amp;PROPER(INDEX('Reguler Class Availability'!$J:$J,$Q172)&amp;"")))</f>
        <v/>
      </c>
      <c r="I172" s="77" t="s">
        <v>457</v>
      </c>
      <c r="J172" s="77" t="s">
        <v>188</v>
      </c>
      <c r="K172" s="78"/>
      <c r="L172" s="78"/>
      <c r="M172" s="78"/>
      <c r="N172" s="79"/>
      <c r="O172" s="78"/>
      <c r="Q172" s="30" t="n">
        <f aca="false">IFERROR(MATCH($B$4&amp;"|- Lane "&amp;D172&amp;" - "&amp;B172&amp;"|"&amp;C172,'Reguler Class Availability'!$L:$L,0),"")</f>
        <v>1902</v>
      </c>
      <c r="BD172" s="30" t="s">
        <v>162</v>
      </c>
      <c r="BE172" s="30" t="n">
        <f aca="false">IF(COUNTIFS('Reguler Class Availability'!$L:$L,$B$4&amp;"|- Lane 3 - *|"&amp;BD172)&gt;0,1,0)</f>
        <v>0</v>
      </c>
      <c r="BF172" s="30" t="n">
        <f aca="false">BE172+BF171</f>
        <v>12</v>
      </c>
    </row>
    <row r="173" customFormat="false" ht="27.75" hidden="false" customHeight="true" outlineLevel="0" collapsed="false">
      <c r="A173" s="76" t="n">
        <v>47</v>
      </c>
      <c r="B173" s="77" t="s">
        <v>114</v>
      </c>
      <c r="C173" s="76" t="s">
        <v>152</v>
      </c>
      <c r="D173" s="76" t="n">
        <v>2</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Belum terisi</v>
      </c>
      <c r="F173" s="77" t="str">
        <f aca="false">IF($Q173="","",PROPER(INDEX('Reguler Class Availability'!$B:$B,$Q173)&amp;""))</f>
        <v>Tiny</v>
      </c>
      <c r="G173" s="76" t="n">
        <f aca="false">IF($Q173="","",IFERROR(--(INDEX('Reguler Class Availability'!$F:$F,$Q173)&amp;""),0))</f>
        <v>5</v>
      </c>
      <c r="H173" s="77" t="str">
        <f aca="false">IF($Q173="","",PROPER(INDEX('Reguler Class Availability'!$I:$I,$Q173)&amp;"")&amp;IF(INDEX('Reguler Class Availability'!$J:$J,$Q173)&amp;""="",""," + asst "&amp;PROPER(INDEX('Reguler Class Availability'!$J:$J,$Q173)&amp;"")))</f>
        <v/>
      </c>
      <c r="I173" s="77" t="s">
        <v>457</v>
      </c>
      <c r="J173" s="77" t="s">
        <v>188</v>
      </c>
      <c r="K173" s="78"/>
      <c r="L173" s="78"/>
      <c r="M173" s="78"/>
      <c r="N173" s="79"/>
      <c r="O173" s="78"/>
      <c r="Q173" s="30" t="n">
        <f aca="false">IFERROR(MATCH($B$4&amp;"|- Lane "&amp;D173&amp;" - "&amp;B173&amp;"|"&amp;C173,'Reguler Class Availability'!$L:$L,0),"")</f>
        <v>2000</v>
      </c>
      <c r="BD173" s="30" t="s">
        <v>163</v>
      </c>
      <c r="BE173" s="30" t="n">
        <f aca="false">IF(COUNTIFS('Reguler Class Availability'!$L:$L,$B$4&amp;"|- Lane 3 - *|"&amp;BD173)&gt;0,1,0)</f>
        <v>0</v>
      </c>
      <c r="BF173" s="30" t="n">
        <f aca="false">BE173+BF172</f>
        <v>12</v>
      </c>
    </row>
    <row r="174" customFormat="false" ht="27.75" hidden="false" customHeight="true" outlineLevel="0" collapsed="false">
      <c r="A174" s="76" t="n">
        <v>48</v>
      </c>
      <c r="B174" s="77" t="s">
        <v>114</v>
      </c>
      <c r="C174" s="76" t="s">
        <v>152</v>
      </c>
      <c r="D174" s="76" t="n">
        <v>5</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Kosong</v>
      </c>
      <c r="F174" s="77" t="str">
        <f aca="false">IF($Q174="","",PROPER(INDEX('Reguler Class Availability'!$B:$B,$Q174)&amp;""))</f>
        <v/>
      </c>
      <c r="G174" s="76" t="n">
        <f aca="false">IF($Q174="","",IFERROR(--(INDEX('Reguler Class Availability'!$F:$F,$Q174)&amp;""),0))</f>
        <v>4</v>
      </c>
      <c r="H174" s="77" t="str">
        <f aca="false">IF($Q174="","",PROPER(INDEX('Reguler Class Availability'!$I:$I,$Q174)&amp;"")&amp;IF(INDEX('Reguler Class Availability'!$J:$J,$Q174)&amp;""="",""," + asst "&amp;PROPER(INDEX('Reguler Class Availability'!$J:$J,$Q174)&amp;"")))</f>
        <v/>
      </c>
      <c r="I174" s="77" t="s">
        <v>457</v>
      </c>
      <c r="J174" s="77" t="s">
        <v>188</v>
      </c>
      <c r="K174" s="78"/>
      <c r="L174" s="78"/>
      <c r="M174" s="78"/>
      <c r="N174" s="79"/>
      <c r="O174" s="78"/>
      <c r="Q174" s="30" t="n">
        <f aca="false">IFERROR(MATCH($B$4&amp;"|- Lane "&amp;D174&amp;" - "&amp;B174&amp;"|"&amp;C174,'Reguler Class Availability'!$L:$L,0),"")</f>
        <v>2252</v>
      </c>
      <c r="BD174" s="30" t="s">
        <v>164</v>
      </c>
      <c r="BE174" s="30" t="n">
        <f aca="false">IF(COUNTIFS('Reguler Class Availability'!$L:$L,$B$4&amp;"|- Lane 3 - *|"&amp;BD174)&gt;0,1,0)</f>
        <v>0</v>
      </c>
      <c r="BF174" s="30" t="n">
        <f aca="false">BE174+BF173</f>
        <v>12</v>
      </c>
    </row>
    <row r="175" customFormat="false" ht="27.75" hidden="false" customHeight="true" outlineLevel="0" collapsed="false">
      <c r="A175" s="76" t="n">
        <v>49</v>
      </c>
      <c r="B175" s="77" t="s">
        <v>114</v>
      </c>
      <c r="C175" s="76" t="s">
        <v>155</v>
      </c>
      <c r="D175" s="76" t="n">
        <v>1</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Belum terisi</v>
      </c>
      <c r="F175" s="77" t="str">
        <f aca="false">IF($Q175="","",PROPER(INDEX('Reguler Class Availability'!$B:$B,$Q175)&amp;""))</f>
        <v>Baby</v>
      </c>
      <c r="G175" s="76" t="n">
        <f aca="false">IF($Q175="","",IFERROR(--(INDEX('Reguler Class Availability'!$F:$F,$Q175)&amp;""),0))</f>
        <v>5</v>
      </c>
      <c r="H175" s="77" t="str">
        <f aca="false">IF($Q175="","",PROPER(INDEX('Reguler Class Availability'!$I:$I,$Q175)&amp;"")&amp;IF(INDEX('Reguler Class Availability'!$J:$J,$Q175)&amp;""="",""," + asst "&amp;PROPER(INDEX('Reguler Class Availability'!$J:$J,$Q175)&amp;"")))</f>
        <v/>
      </c>
      <c r="I175" s="77" t="s">
        <v>457</v>
      </c>
      <c r="J175" s="77" t="s">
        <v>188</v>
      </c>
      <c r="K175" s="78"/>
      <c r="L175" s="78"/>
      <c r="M175" s="78"/>
      <c r="N175" s="79"/>
      <c r="O175" s="78"/>
      <c r="Q175" s="30" t="n">
        <f aca="false">IFERROR(MATCH($B$4&amp;"|- Lane "&amp;D175&amp;" - "&amp;B175&amp;"|"&amp;C175,'Reguler Class Availability'!$L:$L,0),"")</f>
        <v>1903</v>
      </c>
      <c r="BD175" s="30" t="s">
        <v>165</v>
      </c>
      <c r="BE175" s="30" t="n">
        <f aca="false">IF(COUNTIFS('Reguler Class Availability'!$L:$L,$B$4&amp;"|- Lane 3 - *|"&amp;BD175)&gt;0,1,0)</f>
        <v>0</v>
      </c>
      <c r="BF175" s="30" t="n">
        <f aca="false">BE175+BF174</f>
        <v>12</v>
      </c>
    </row>
    <row r="176" customFormat="false" ht="27.75" hidden="false" customHeight="true" outlineLevel="0" collapsed="false">
      <c r="A176" s="76" t="n">
        <v>50</v>
      </c>
      <c r="B176" s="77" t="s">
        <v>114</v>
      </c>
      <c r="C176" s="76" t="s">
        <v>155</v>
      </c>
      <c r="D176" s="76" t="n">
        <v>2</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Belum terisi</v>
      </c>
      <c r="F176" s="77" t="str">
        <f aca="false">IF($Q176="","",PROPER(INDEX('Reguler Class Availability'!$B:$B,$Q176)&amp;""))</f>
        <v>Tiny</v>
      </c>
      <c r="G176" s="76" t="n">
        <f aca="false">IF($Q176="","",IFERROR(--(INDEX('Reguler Class Availability'!$F:$F,$Q176)&amp;""),0))</f>
        <v>5</v>
      </c>
      <c r="H176" s="77" t="str">
        <f aca="false">IF($Q176="","",PROPER(INDEX('Reguler Class Availability'!$I:$I,$Q176)&amp;"")&amp;IF(INDEX('Reguler Class Availability'!$J:$J,$Q176)&amp;""="",""," + asst "&amp;PROPER(INDEX('Reguler Class Availability'!$J:$J,$Q176)&amp;"")))</f>
        <v/>
      </c>
      <c r="I176" s="77" t="s">
        <v>457</v>
      </c>
      <c r="J176" s="77" t="s">
        <v>188</v>
      </c>
      <c r="K176" s="78"/>
      <c r="L176" s="78"/>
      <c r="M176" s="78"/>
      <c r="N176" s="79"/>
      <c r="O176" s="78"/>
      <c r="Q176" s="30" t="n">
        <f aca="false">IFERROR(MATCH($B$4&amp;"|- Lane "&amp;D176&amp;" - "&amp;B176&amp;"|"&amp;C176,'Reguler Class Availability'!$L:$L,0),"")</f>
        <v>2001</v>
      </c>
      <c r="BD176" s="30" t="s">
        <v>166</v>
      </c>
      <c r="BE176" s="30" t="n">
        <f aca="false">IF(COUNTIFS('Reguler Class Availability'!$L:$L,$B$4&amp;"|- Lane 3 - *|"&amp;BD176)&gt;0,1,0)</f>
        <v>0</v>
      </c>
      <c r="BF176" s="30" t="n">
        <f aca="false">BE176+BF175</f>
        <v>12</v>
      </c>
    </row>
    <row r="177" customFormat="false" ht="27.75" hidden="false" customHeight="true" outlineLevel="0" collapsed="false">
      <c r="A177" s="76" t="n">
        <v>51</v>
      </c>
      <c r="B177" s="77" t="s">
        <v>114</v>
      </c>
      <c r="C177" s="76" t="s">
        <v>155</v>
      </c>
      <c r="D177" s="76" t="n">
        <v>5</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Kosong</v>
      </c>
      <c r="F177" s="77" t="str">
        <f aca="false">IF($Q177="","",PROPER(INDEX('Reguler Class Availability'!$B:$B,$Q177)&amp;""))</f>
        <v/>
      </c>
      <c r="G177" s="76" t="n">
        <f aca="false">IF($Q177="","",IFERROR(--(INDEX('Reguler Class Availability'!$F:$F,$Q177)&amp;""),0))</f>
        <v>4</v>
      </c>
      <c r="H177" s="77" t="str">
        <f aca="false">IF($Q177="","",PROPER(INDEX('Reguler Class Availability'!$I:$I,$Q177)&amp;"")&amp;IF(INDEX('Reguler Class Availability'!$J:$J,$Q177)&amp;""="",""," + asst "&amp;PROPER(INDEX('Reguler Class Availability'!$J:$J,$Q177)&amp;"")))</f>
        <v/>
      </c>
      <c r="I177" s="77" t="s">
        <v>457</v>
      </c>
      <c r="J177" s="77" t="s">
        <v>188</v>
      </c>
      <c r="K177" s="78"/>
      <c r="L177" s="78"/>
      <c r="M177" s="78"/>
      <c r="N177" s="79"/>
      <c r="O177" s="78"/>
      <c r="Q177" s="30" t="n">
        <f aca="false">IFERROR(MATCH($B$4&amp;"|- Lane "&amp;D177&amp;" - "&amp;B177&amp;"|"&amp;C177,'Reguler Class Availability'!$L:$L,0),"")</f>
        <v>2253</v>
      </c>
      <c r="BD177" s="30" t="s">
        <v>167</v>
      </c>
      <c r="BE177" s="30" t="n">
        <f aca="false">IF(COUNTIFS('Reguler Class Availability'!$L:$L,$B$4&amp;"|- Lane 3 - *|"&amp;BD177)&gt;0,1,0)</f>
        <v>0</v>
      </c>
      <c r="BF177" s="30" t="n">
        <f aca="false">BE177+BF176</f>
        <v>12</v>
      </c>
    </row>
    <row r="178" customFormat="false" ht="52.5" hidden="false" customHeight="true" outlineLevel="0" collapsed="false">
      <c r="A178" s="76" t="n">
        <v>52</v>
      </c>
      <c r="B178" s="77" t="s">
        <v>114</v>
      </c>
      <c r="C178" s="76" t="s">
        <v>156</v>
      </c>
      <c r="D178" s="76" t="n">
        <v>3</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Belum terisi</v>
      </c>
      <c r="F178" s="77" t="str">
        <f aca="false">IF($Q178="","",PROPER(INDEX('Reguler Class Availability'!$B:$B,$Q178)&amp;""))</f>
        <v>Little</v>
      </c>
      <c r="G178" s="76" t="n">
        <f aca="false">IF($Q178="","",IFERROR(--(INDEX('Reguler Class Availability'!$F:$F,$Q178)&amp;""),0))</f>
        <v>4</v>
      </c>
      <c r="H178" s="77" t="str">
        <f aca="false">IF($Q178="","",PROPER(INDEX('Reguler Class Availability'!$I:$I,$Q178)&amp;"")&amp;IF(INDEX('Reguler Class Availability'!$J:$J,$Q178)&amp;""="",""," + asst "&amp;PROPER(INDEX('Reguler Class Availability'!$J:$J,$Q178)&amp;"")))</f>
        <v/>
      </c>
      <c r="I178" s="77" t="s">
        <v>451</v>
      </c>
      <c r="J178" s="77" t="s">
        <v>188</v>
      </c>
      <c r="K178" s="78"/>
      <c r="L178" s="78"/>
      <c r="M178" s="78"/>
      <c r="N178" s="79"/>
      <c r="O178" s="78"/>
      <c r="Q178" s="30" t="n">
        <f aca="false">IFERROR(MATCH($B$4&amp;"|- Lane "&amp;D178&amp;" - "&amp;B178&amp;"|"&amp;C178,'Reguler Class Availability'!$L:$L,0),"")</f>
        <v>2085</v>
      </c>
      <c r="BD178" s="30" t="s">
        <v>168</v>
      </c>
      <c r="BE178" s="30" t="n">
        <f aca="false">IF(COUNTIFS('Reguler Class Availability'!$L:$L,$B$4&amp;"|- Lane 3 - *|"&amp;BD178)&gt;0,1,0)</f>
        <v>0</v>
      </c>
      <c r="BF178" s="30" t="n">
        <f aca="false">BE178+BF177</f>
        <v>12</v>
      </c>
    </row>
    <row r="179" customFormat="false" ht="52.5" hidden="false" customHeight="true" outlineLevel="0" collapsed="false">
      <c r="A179" s="76" t="n">
        <v>53</v>
      </c>
      <c r="B179" s="77" t="s">
        <v>114</v>
      </c>
      <c r="C179" s="76" t="s">
        <v>156</v>
      </c>
      <c r="D179" s="76" t="n">
        <v>4</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Kids</v>
      </c>
      <c r="G179" s="76" t="n">
        <f aca="false">IF($Q179="","",IFERROR(--(INDEX('Reguler Class Availability'!$F:$F,$Q179)&amp;""),0))</f>
        <v>4</v>
      </c>
      <c r="H179" s="77" t="str">
        <f aca="false">IF($Q179="","",PROPER(INDEX('Reguler Class Availability'!$I:$I,$Q179)&amp;"")&amp;IF(INDEX('Reguler Class Availability'!$J:$J,$Q179)&amp;""="",""," + asst "&amp;PROPER(INDEX('Reguler Class Availability'!$J:$J,$Q179)&amp;"")))</f>
        <v/>
      </c>
      <c r="I179" s="77" t="s">
        <v>451</v>
      </c>
      <c r="J179" s="77" t="s">
        <v>188</v>
      </c>
      <c r="K179" s="78"/>
      <c r="L179" s="78"/>
      <c r="M179" s="78"/>
      <c r="N179" s="79"/>
      <c r="O179" s="78"/>
      <c r="Q179" s="30" t="n">
        <f aca="false">IFERROR(MATCH($B$4&amp;"|- Lane "&amp;D179&amp;" - "&amp;B179&amp;"|"&amp;C179,'Reguler Class Availability'!$L:$L,0),"")</f>
        <v>2169</v>
      </c>
      <c r="BD179" s="30" t="s">
        <v>169</v>
      </c>
      <c r="BE179" s="30" t="n">
        <f aca="false">IF(COUNTIFS('Reguler Class Availability'!$L:$L,$B$4&amp;"|- Lane 3 - *|"&amp;BD179)&gt;0,1,0)</f>
        <v>0</v>
      </c>
      <c r="BF179" s="30" t="n">
        <f aca="false">BE179+BF178</f>
        <v>12</v>
      </c>
    </row>
    <row r="180" customFormat="false" ht="52.5" hidden="false" customHeight="true" outlineLevel="0" collapsed="false">
      <c r="A180" s="76" t="n">
        <v>54</v>
      </c>
      <c r="B180" s="77" t="s">
        <v>114</v>
      </c>
      <c r="C180" s="76" t="s">
        <v>160</v>
      </c>
      <c r="D180" s="76" t="n">
        <v>1</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Belum terisi</v>
      </c>
      <c r="F180" s="77" t="str">
        <f aca="false">IF($Q180="","",PROPER(INDEX('Reguler Class Availability'!$B:$B,$Q180)&amp;""))</f>
        <v>Star</v>
      </c>
      <c r="G180" s="76" t="n">
        <f aca="false">IF($Q180="","",IFERROR(--(INDEX('Reguler Class Availability'!$F:$F,$Q180)&amp;""),0))</f>
        <v>8</v>
      </c>
      <c r="H180" s="77" t="str">
        <f aca="false">IF($Q180="","",PROPER(INDEX('Reguler Class Availability'!$I:$I,$Q180)&amp;"")&amp;IF(INDEX('Reguler Class Availability'!$J:$J,$Q180)&amp;""="",""," + asst "&amp;PROPER(INDEX('Reguler Class Availability'!$J:$J,$Q180)&amp;"")))</f>
        <v/>
      </c>
      <c r="I180" s="77" t="s">
        <v>451</v>
      </c>
      <c r="J180" s="77" t="s">
        <v>186</v>
      </c>
      <c r="K180" s="78"/>
      <c r="L180" s="78"/>
      <c r="M180" s="78"/>
      <c r="N180" s="79"/>
      <c r="O180" s="78"/>
      <c r="Q180" s="30" t="n">
        <f aca="false">IFERROR(MATCH($B$4&amp;"|- Lane "&amp;D180&amp;" - "&amp;B180&amp;"|"&amp;C180,'Reguler Class Availability'!$L:$L,0),"")</f>
        <v>1983</v>
      </c>
      <c r="BD180" s="30" t="s">
        <v>170</v>
      </c>
      <c r="BE180" s="30" t="n">
        <f aca="false">IF(COUNTIFS('Reguler Class Availability'!$L:$L,$B$4&amp;"|- Lane 3 - *|"&amp;BD180)&gt;0,1,0)</f>
        <v>0</v>
      </c>
      <c r="BF180" s="30" t="n">
        <f aca="false">BE180+BF179</f>
        <v>12</v>
      </c>
    </row>
    <row r="181" customFormat="false" ht="27.75" hidden="false" customHeight="true" outlineLevel="0" collapsed="false">
      <c r="A181" s="76" t="n">
        <v>55</v>
      </c>
      <c r="B181" s="77" t="s">
        <v>115</v>
      </c>
      <c r="C181" s="76" t="s">
        <v>91</v>
      </c>
      <c r="D181" s="76" t="n">
        <v>1</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Star</v>
      </c>
      <c r="G181" s="76" t="n">
        <f aca="false">IF($Q181="","",IFERROR(--(INDEX('Reguler Class Availability'!$F:$F,$Q181)&amp;""),0))</f>
        <v>8</v>
      </c>
      <c r="H181" s="77" t="str">
        <f aca="false">IF($Q181="","",PROPER(INDEX('Reguler Class Availability'!$I:$I,$Q181)&amp;"")&amp;IF(INDEX('Reguler Class Availability'!$J:$J,$Q181)&amp;""="",""," + asst "&amp;PROPER(INDEX('Reguler Class Availability'!$J:$J,$Q181)&amp;"")))</f>
        <v/>
      </c>
      <c r="I181" s="77" t="s">
        <v>458</v>
      </c>
      <c r="J181" s="77" t="s">
        <v>186</v>
      </c>
      <c r="K181" s="78"/>
      <c r="L181" s="78"/>
      <c r="M181" s="78"/>
      <c r="N181" s="79"/>
      <c r="O181" s="78"/>
      <c r="Q181" s="30" t="n">
        <f aca="false">IFERROR(MATCH($B$4&amp;"|- Lane "&amp;D181&amp;" - "&amp;B181&amp;"|"&amp;C181,'Reguler Class Availability'!$L:$L,0),"")</f>
        <v>1977</v>
      </c>
      <c r="BD181" s="30" t="s">
        <v>171</v>
      </c>
      <c r="BE181" s="30" t="n">
        <f aca="false">IF(COUNTIFS('Reguler Class Availability'!$L:$L,$B$4&amp;"|- Lane 3 - *|"&amp;BD181)&gt;0,1,0)</f>
        <v>0</v>
      </c>
      <c r="BF181" s="30" t="n">
        <f aca="false">BE181+BF180</f>
        <v>12</v>
      </c>
    </row>
    <row r="182" customFormat="false" ht="27.75" hidden="false" customHeight="true" outlineLevel="0" collapsed="false">
      <c r="A182" s="76" t="n">
        <v>56</v>
      </c>
      <c r="B182" s="77" t="s">
        <v>115</v>
      </c>
      <c r="C182" s="76" t="s">
        <v>105</v>
      </c>
      <c r="D182" s="76" t="n">
        <v>1</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Belum terisi</v>
      </c>
      <c r="F182" s="77" t="str">
        <f aca="false">IF($Q182="","",PROPER(INDEX('Reguler Class Availability'!$B:$B,$Q182)&amp;""))</f>
        <v>Baby</v>
      </c>
      <c r="G182" s="76" t="n">
        <f aca="false">IF($Q182="","",IFERROR(--(INDEX('Reguler Class Availability'!$F:$F,$Q182)&amp;""),0))</f>
        <v>5</v>
      </c>
      <c r="H182" s="77" t="str">
        <f aca="false">IF($Q182="","",PROPER(INDEX('Reguler Class Availability'!$I:$I,$Q182)&amp;"")&amp;IF(INDEX('Reguler Class Availability'!$J:$J,$Q182)&amp;""="",""," + asst "&amp;PROPER(INDEX('Reguler Class Availability'!$J:$J,$Q182)&amp;"")))</f>
        <v/>
      </c>
      <c r="I182" s="77" t="s">
        <v>458</v>
      </c>
      <c r="J182" s="77" t="s">
        <v>188</v>
      </c>
      <c r="K182" s="78"/>
      <c r="L182" s="78"/>
      <c r="M182" s="78"/>
      <c r="N182" s="79"/>
      <c r="O182" s="78"/>
      <c r="Q182" s="30" t="n">
        <f aca="false">IFERROR(MATCH($B$4&amp;"|- Lane "&amp;D182&amp;" - "&amp;B182&amp;"|"&amp;C182,'Reguler Class Availability'!$L:$L,0),"")</f>
        <v>1904</v>
      </c>
      <c r="BD182" s="30" t="s">
        <v>78</v>
      </c>
      <c r="BE182" s="30" t="n">
        <f aca="false">IF(COUNTIFS('Reguler Class Availability'!$L:$L,$B$4&amp;"|- Lane 4 - *|"&amp;BD182)&gt;0,1,0)</f>
        <v>0</v>
      </c>
      <c r="BF182" s="30" t="n">
        <f aca="false">BE182</f>
        <v>0</v>
      </c>
    </row>
    <row r="183" customFormat="false" ht="27.75" hidden="false" customHeight="true" outlineLevel="0" collapsed="false">
      <c r="A183" s="76" t="n">
        <v>57</v>
      </c>
      <c r="B183" s="77" t="s">
        <v>115</v>
      </c>
      <c r="C183" s="76" t="s">
        <v>105</v>
      </c>
      <c r="D183" s="76" t="n">
        <v>2</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Tiny</v>
      </c>
      <c r="G183" s="76" t="n">
        <f aca="false">IF($Q183="","",IFERROR(--(INDEX('Reguler Class Availability'!$F:$F,$Q183)&amp;""),0))</f>
        <v>5</v>
      </c>
      <c r="H183" s="77" t="str">
        <f aca="false">IF($Q183="","",PROPER(INDEX('Reguler Class Availability'!$I:$I,$Q183)&amp;"")&amp;IF(INDEX('Reguler Class Availability'!$J:$J,$Q183)&amp;""="",""," + asst "&amp;PROPER(INDEX('Reguler Class Availability'!$J:$J,$Q183)&amp;"")))</f>
        <v/>
      </c>
      <c r="I183" s="77" t="s">
        <v>458</v>
      </c>
      <c r="J183" s="77" t="s">
        <v>188</v>
      </c>
      <c r="K183" s="78"/>
      <c r="L183" s="78"/>
      <c r="M183" s="78"/>
      <c r="N183" s="79"/>
      <c r="O183" s="78"/>
      <c r="Q183" s="30" t="n">
        <f aca="false">IFERROR(MATCH($B$4&amp;"|- Lane "&amp;D183&amp;" - "&amp;B183&amp;"|"&amp;C183,'Reguler Class Availability'!$L:$L,0),"")</f>
        <v>2002</v>
      </c>
      <c r="BD183" s="30" t="s">
        <v>79</v>
      </c>
      <c r="BE183" s="30" t="n">
        <f aca="false">IF(COUNTIFS('Reguler Class Availability'!$L:$L,$B$4&amp;"|- Lane 4 - *|"&amp;BD183)&gt;0,1,0)</f>
        <v>0</v>
      </c>
      <c r="BF183" s="30" t="n">
        <f aca="false">BE183+BF182</f>
        <v>0</v>
      </c>
    </row>
    <row r="184" customFormat="false" ht="27.75" hidden="false" customHeight="true" outlineLevel="0" collapsed="false">
      <c r="A184" s="76" t="n">
        <v>58</v>
      </c>
      <c r="B184" s="77" t="s">
        <v>115</v>
      </c>
      <c r="C184" s="76" t="s">
        <v>105</v>
      </c>
      <c r="D184" s="76" t="n">
        <v>5</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Kosong</v>
      </c>
      <c r="F184" s="77" t="str">
        <f aca="false">IF($Q184="","",PROPER(INDEX('Reguler Class Availability'!$B:$B,$Q184)&amp;""))</f>
        <v/>
      </c>
      <c r="G184" s="76" t="n">
        <f aca="false">IF($Q184="","",IFERROR(--(INDEX('Reguler Class Availability'!$F:$F,$Q184)&amp;""),0))</f>
        <v>4</v>
      </c>
      <c r="H184" s="77" t="str">
        <f aca="false">IF($Q184="","",PROPER(INDEX('Reguler Class Availability'!$I:$I,$Q184)&amp;"")&amp;IF(INDEX('Reguler Class Availability'!$J:$J,$Q184)&amp;""="",""," + asst "&amp;PROPER(INDEX('Reguler Class Availability'!$J:$J,$Q184)&amp;"")))</f>
        <v/>
      </c>
      <c r="I184" s="77" t="s">
        <v>458</v>
      </c>
      <c r="J184" s="77" t="s">
        <v>188</v>
      </c>
      <c r="K184" s="78"/>
      <c r="L184" s="78"/>
      <c r="M184" s="78"/>
      <c r="N184" s="79"/>
      <c r="O184" s="78"/>
      <c r="Q184" s="30" t="n">
        <f aca="false">IFERROR(MATCH($B$4&amp;"|- Lane "&amp;D184&amp;" - "&amp;B184&amp;"|"&amp;C184,'Reguler Class Availability'!$L:$L,0),"")</f>
        <v>2254</v>
      </c>
      <c r="BD184" s="30" t="s">
        <v>84</v>
      </c>
      <c r="BE184" s="30" t="n">
        <f aca="false">IF(COUNTIFS('Reguler Class Availability'!$L:$L,$B$4&amp;"|- Lane 4 - *|"&amp;BD184)&gt;0,1,0)</f>
        <v>0</v>
      </c>
      <c r="BF184" s="30" t="n">
        <f aca="false">BE184+BF183</f>
        <v>0</v>
      </c>
    </row>
    <row r="185" customFormat="false" ht="27.75" hidden="false" customHeight="true" outlineLevel="0" collapsed="false">
      <c r="A185" s="76" t="n">
        <v>59</v>
      </c>
      <c r="B185" s="77" t="s">
        <v>115</v>
      </c>
      <c r="C185" s="76" t="s">
        <v>110</v>
      </c>
      <c r="D185" s="76" t="n">
        <v>3</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Belum terisi</v>
      </c>
      <c r="F185" s="77" t="str">
        <f aca="false">IF($Q185="","",PROPER(INDEX('Reguler Class Availability'!$B:$B,$Q185)&amp;""))</f>
        <v>Little</v>
      </c>
      <c r="G185" s="76" t="n">
        <f aca="false">IF($Q185="","",IFERROR(--(INDEX('Reguler Class Availability'!$F:$F,$Q185)&amp;""),0))</f>
        <v>4</v>
      </c>
      <c r="H185" s="77" t="str">
        <f aca="false">IF($Q185="","",PROPER(INDEX('Reguler Class Availability'!$I:$I,$Q185)&amp;"")&amp;IF(INDEX('Reguler Class Availability'!$J:$J,$Q185)&amp;""="",""," + asst "&amp;PROPER(INDEX('Reguler Class Availability'!$J:$J,$Q185)&amp;"")))</f>
        <v/>
      </c>
      <c r="I185" s="77" t="s">
        <v>459</v>
      </c>
      <c r="J185" s="77" t="s">
        <v>188</v>
      </c>
      <c r="K185" s="78"/>
      <c r="L185" s="78"/>
      <c r="M185" s="78"/>
      <c r="N185" s="79"/>
      <c r="O185" s="78"/>
      <c r="Q185" s="30" t="n">
        <f aca="false">IFERROR(MATCH($B$4&amp;"|- Lane "&amp;D185&amp;" - "&amp;B185&amp;"|"&amp;C185,'Reguler Class Availability'!$L:$L,0),"")</f>
        <v>2086</v>
      </c>
      <c r="BD185" s="30" t="s">
        <v>85</v>
      </c>
      <c r="BE185" s="30" t="n">
        <f aca="false">IF(COUNTIFS('Reguler Class Availability'!$L:$L,$B$4&amp;"|- Lane 4 - *|"&amp;BD185)&gt;0,1,0)</f>
        <v>0</v>
      </c>
      <c r="BF185" s="30" t="n">
        <f aca="false">BE185+BF184</f>
        <v>0</v>
      </c>
    </row>
    <row r="186" customFormat="false" ht="27.75" hidden="false" customHeight="true" outlineLevel="0" collapsed="false">
      <c r="A186" s="76" t="n">
        <v>60</v>
      </c>
      <c r="B186" s="77" t="s">
        <v>115</v>
      </c>
      <c r="C186" s="76" t="s">
        <v>110</v>
      </c>
      <c r="D186" s="76" t="n">
        <v>4</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Belum terisi</v>
      </c>
      <c r="F186" s="77" t="str">
        <f aca="false">IF($Q186="","",PROPER(INDEX('Reguler Class Availability'!$B:$B,$Q186)&amp;""))</f>
        <v>Kids</v>
      </c>
      <c r="G186" s="76" t="n">
        <f aca="false">IF($Q186="","",IFERROR(--(INDEX('Reguler Class Availability'!$F:$F,$Q186)&amp;""),0))</f>
        <v>4</v>
      </c>
      <c r="H186" s="77" t="str">
        <f aca="false">IF($Q186="","",PROPER(INDEX('Reguler Class Availability'!$I:$I,$Q186)&amp;"")&amp;IF(INDEX('Reguler Class Availability'!$J:$J,$Q186)&amp;""="",""," + asst "&amp;PROPER(INDEX('Reguler Class Availability'!$J:$J,$Q186)&amp;"")))</f>
        <v/>
      </c>
      <c r="I186" s="77" t="s">
        <v>459</v>
      </c>
      <c r="J186" s="77" t="s">
        <v>188</v>
      </c>
      <c r="K186" s="78"/>
      <c r="L186" s="78"/>
      <c r="M186" s="78"/>
      <c r="N186" s="79"/>
      <c r="O186" s="78"/>
      <c r="Q186" s="30" t="n">
        <f aca="false">IFERROR(MATCH($B$4&amp;"|- Lane "&amp;D186&amp;" - "&amp;B186&amp;"|"&amp;C186,'Reguler Class Availability'!$L:$L,0),"")</f>
        <v>2170</v>
      </c>
      <c r="BD186" s="30" t="s">
        <v>89</v>
      </c>
      <c r="BE186" s="30" t="n">
        <f aca="false">IF(COUNTIFS('Reguler Class Availability'!$L:$L,$B$4&amp;"|- Lane 4 - *|"&amp;BD186)&gt;0,1,0)</f>
        <v>0</v>
      </c>
      <c r="BF186" s="30" t="n">
        <f aca="false">BE186+BF185</f>
        <v>0</v>
      </c>
    </row>
    <row r="187" customFormat="false" ht="27.75" hidden="false" customHeight="true" outlineLevel="0" collapsed="false">
      <c r="A187" s="76" t="n">
        <v>61</v>
      </c>
      <c r="B187" s="77" t="s">
        <v>115</v>
      </c>
      <c r="C187" s="76" t="s">
        <v>120</v>
      </c>
      <c r="D187" s="76" t="n">
        <v>2</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Belum terisi</v>
      </c>
      <c r="F187" s="77" t="str">
        <f aca="false">IF($Q187="","",PROPER(INDEX('Reguler Class Availability'!$B:$B,$Q187)&amp;""))</f>
        <v>Tiny</v>
      </c>
      <c r="G187" s="76" t="n">
        <f aca="false">IF($Q187="","",IFERROR(--(INDEX('Reguler Class Availability'!$F:$F,$Q187)&amp;""),0))</f>
        <v>5</v>
      </c>
      <c r="H187" s="77" t="str">
        <f aca="false">IF($Q187="","",PROPER(INDEX('Reguler Class Availability'!$I:$I,$Q187)&amp;"")&amp;IF(INDEX('Reguler Class Availability'!$J:$J,$Q187)&amp;""="",""," + asst "&amp;PROPER(INDEX('Reguler Class Availability'!$J:$J,$Q187)&amp;"")))</f>
        <v/>
      </c>
      <c r="I187" s="77" t="s">
        <v>459</v>
      </c>
      <c r="J187" s="77" t="s">
        <v>188</v>
      </c>
      <c r="K187" s="78"/>
      <c r="L187" s="78"/>
      <c r="M187" s="78"/>
      <c r="N187" s="79"/>
      <c r="O187" s="78"/>
      <c r="Q187" s="30" t="n">
        <f aca="false">IFERROR(MATCH($B$4&amp;"|- Lane "&amp;D187&amp;" - "&amp;B187&amp;"|"&amp;C187,'Reguler Class Availability'!$L:$L,0),"")</f>
        <v>2003</v>
      </c>
      <c r="BD187" s="30" t="s">
        <v>90</v>
      </c>
      <c r="BE187" s="30" t="n">
        <f aca="false">IF(COUNTIFS('Reguler Class Availability'!$L:$L,$B$4&amp;"|- Lane 4 - *|"&amp;BD187)&gt;0,1,0)</f>
        <v>0</v>
      </c>
      <c r="BF187" s="30" t="n">
        <f aca="false">BE187+BF186</f>
        <v>0</v>
      </c>
    </row>
    <row r="188" customFormat="false" ht="27.75" hidden="false" customHeight="true" outlineLevel="0" collapsed="false">
      <c r="A188" s="76" t="n">
        <v>62</v>
      </c>
      <c r="B188" s="77" t="s">
        <v>115</v>
      </c>
      <c r="C188" s="76" t="s">
        <v>120</v>
      </c>
      <c r="D188" s="76" t="n">
        <v>5</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Kosong</v>
      </c>
      <c r="F188" s="77" t="str">
        <f aca="false">IF($Q188="","",PROPER(INDEX('Reguler Class Availability'!$B:$B,$Q188)&amp;""))</f>
        <v/>
      </c>
      <c r="G188" s="76" t="n">
        <f aca="false">IF($Q188="","",IFERROR(--(INDEX('Reguler Class Availability'!$F:$F,$Q188)&amp;""),0))</f>
        <v>4</v>
      </c>
      <c r="H188" s="77" t="str">
        <f aca="false">IF($Q188="","",PROPER(INDEX('Reguler Class Availability'!$I:$I,$Q188)&amp;"")&amp;IF(INDEX('Reguler Class Availability'!$J:$J,$Q188)&amp;""="",""," + asst "&amp;PROPER(INDEX('Reguler Class Availability'!$J:$J,$Q188)&amp;"")))</f>
        <v/>
      </c>
      <c r="I188" s="77" t="s">
        <v>459</v>
      </c>
      <c r="J188" s="77" t="s">
        <v>188</v>
      </c>
      <c r="K188" s="78"/>
      <c r="L188" s="78"/>
      <c r="M188" s="78"/>
      <c r="N188" s="79"/>
      <c r="O188" s="78"/>
      <c r="Q188" s="30" t="n">
        <f aca="false">IFERROR(MATCH($B$4&amp;"|- Lane "&amp;D188&amp;" - "&amp;B188&amp;"|"&amp;C188,'Reguler Class Availability'!$L:$L,0),"")</f>
        <v>2255</v>
      </c>
      <c r="BD188" s="30" t="s">
        <v>91</v>
      </c>
      <c r="BE188" s="30" t="n">
        <f aca="false">IF(COUNTIFS('Reguler Class Availability'!$L:$L,$B$4&amp;"|- Lane 4 - *|"&amp;BD188)&gt;0,1,0)</f>
        <v>0</v>
      </c>
      <c r="BF188" s="30" t="n">
        <f aca="false">BE188+BF187</f>
        <v>0</v>
      </c>
    </row>
    <row r="189" customFormat="false" ht="27.75" hidden="false" customHeight="true" outlineLevel="0" collapsed="false">
      <c r="A189" s="76" t="n">
        <v>63</v>
      </c>
      <c r="B189" s="77" t="s">
        <v>115</v>
      </c>
      <c r="C189" s="76" t="s">
        <v>121</v>
      </c>
      <c r="D189" s="76" t="n">
        <v>3</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Belum terisi</v>
      </c>
      <c r="F189" s="77" t="str">
        <f aca="false">IF($Q189="","",PROPER(INDEX('Reguler Class Availability'!$B:$B,$Q189)&amp;""))</f>
        <v>Little</v>
      </c>
      <c r="G189" s="76" t="n">
        <f aca="false">IF($Q189="","",IFERROR(--(INDEX('Reguler Class Availability'!$F:$F,$Q189)&amp;""),0))</f>
        <v>4</v>
      </c>
      <c r="H189" s="77" t="str">
        <f aca="false">IF($Q189="","",PROPER(INDEX('Reguler Class Availability'!$I:$I,$Q189)&amp;"")&amp;IF(INDEX('Reguler Class Availability'!$J:$J,$Q189)&amp;""="",""," + asst "&amp;PROPER(INDEX('Reguler Class Availability'!$J:$J,$Q189)&amp;"")))</f>
        <v/>
      </c>
      <c r="I189" s="77" t="s">
        <v>459</v>
      </c>
      <c r="J189" s="77" t="s">
        <v>188</v>
      </c>
      <c r="K189" s="78"/>
      <c r="L189" s="78"/>
      <c r="M189" s="78"/>
      <c r="N189" s="79"/>
      <c r="O189" s="78"/>
      <c r="Q189" s="30" t="n">
        <f aca="false">IFERROR(MATCH($B$4&amp;"|- Lane "&amp;D189&amp;" - "&amp;B189&amp;"|"&amp;C189,'Reguler Class Availability'!$L:$L,0),"")</f>
        <v>2087</v>
      </c>
      <c r="BD189" s="30" t="s">
        <v>98</v>
      </c>
      <c r="BE189" s="30" t="n">
        <f aca="false">IF(COUNTIFS('Reguler Class Availability'!$L:$L,$B$4&amp;"|- Lane 4 - *|"&amp;BD189)&gt;0,1,0)</f>
        <v>0</v>
      </c>
      <c r="BF189" s="30" t="n">
        <f aca="false">BE189+BF188</f>
        <v>0</v>
      </c>
    </row>
    <row r="190" customFormat="false" ht="27.75" hidden="false" customHeight="true" outlineLevel="0" collapsed="false">
      <c r="A190" s="76" t="n">
        <v>64</v>
      </c>
      <c r="B190" s="77" t="s">
        <v>115</v>
      </c>
      <c r="C190" s="76" t="s">
        <v>121</v>
      </c>
      <c r="D190" s="76" t="n">
        <v>4</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Belum terisi</v>
      </c>
      <c r="F190" s="77" t="str">
        <f aca="false">IF($Q190="","",PROPER(INDEX('Reguler Class Availability'!$B:$B,$Q190)&amp;""))</f>
        <v>Kids</v>
      </c>
      <c r="G190" s="76" t="n">
        <f aca="false">IF($Q190="","",IFERROR(--(INDEX('Reguler Class Availability'!$F:$F,$Q190)&amp;""),0))</f>
        <v>4</v>
      </c>
      <c r="H190" s="77" t="str">
        <f aca="false">IF($Q190="","",PROPER(INDEX('Reguler Class Availability'!$I:$I,$Q190)&amp;"")&amp;IF(INDEX('Reguler Class Availability'!$J:$J,$Q190)&amp;""="",""," + asst "&amp;PROPER(INDEX('Reguler Class Availability'!$J:$J,$Q190)&amp;"")))</f>
        <v/>
      </c>
      <c r="I190" s="77" t="s">
        <v>459</v>
      </c>
      <c r="J190" s="77" t="s">
        <v>188</v>
      </c>
      <c r="K190" s="78"/>
      <c r="L190" s="78"/>
      <c r="M190" s="78"/>
      <c r="N190" s="79"/>
      <c r="O190" s="78"/>
      <c r="Q190" s="30" t="n">
        <f aca="false">IFERROR(MATCH($B$4&amp;"|- Lane "&amp;D190&amp;" - "&amp;B190&amp;"|"&amp;C190,'Reguler Class Availability'!$L:$L,0),"")</f>
        <v>2171</v>
      </c>
      <c r="BD190" s="30" t="s">
        <v>105</v>
      </c>
      <c r="BE190" s="30" t="n">
        <f aca="false">IF(COUNTIFS('Reguler Class Availability'!$L:$L,$B$4&amp;"|- Lane 4 - *|"&amp;BD190)&gt;0,1,0)</f>
        <v>0</v>
      </c>
      <c r="BF190" s="30" t="n">
        <f aca="false">BE190+BF189</f>
        <v>0</v>
      </c>
    </row>
    <row r="191" customFormat="false" ht="27.75" hidden="false" customHeight="true" outlineLevel="0" collapsed="false">
      <c r="A191" s="76" t="n">
        <v>65</v>
      </c>
      <c r="B191" s="77" t="s">
        <v>115</v>
      </c>
      <c r="C191" s="76" t="s">
        <v>123</v>
      </c>
      <c r="D191" s="76" t="n">
        <v>1</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Belum terisi</v>
      </c>
      <c r="F191" s="77" t="str">
        <f aca="false">IF($Q191="","",PROPER(INDEX('Reguler Class Availability'!$B:$B,$Q191)&amp;""))</f>
        <v>Baby</v>
      </c>
      <c r="G191" s="76" t="n">
        <f aca="false">IF($Q191="","",IFERROR(--(INDEX('Reguler Class Availability'!$F:$F,$Q191)&amp;""),0))</f>
        <v>5</v>
      </c>
      <c r="H191" s="77" t="str">
        <f aca="false">IF($Q191="","",PROPER(INDEX('Reguler Class Availability'!$I:$I,$Q191)&amp;"")&amp;IF(INDEX('Reguler Class Availability'!$J:$J,$Q191)&amp;""="",""," + asst "&amp;PROPER(INDEX('Reguler Class Availability'!$J:$J,$Q191)&amp;"")))</f>
        <v/>
      </c>
      <c r="I191" s="77" t="s">
        <v>458</v>
      </c>
      <c r="J191" s="77" t="s">
        <v>188</v>
      </c>
      <c r="K191" s="78"/>
      <c r="L191" s="78"/>
      <c r="M191" s="78"/>
      <c r="N191" s="79"/>
      <c r="O191" s="78"/>
      <c r="Q191" s="30" t="n">
        <f aca="false">IFERROR(MATCH($B$4&amp;"|- Lane "&amp;D191&amp;" - "&amp;B191&amp;"|"&amp;C191,'Reguler Class Availability'!$L:$L,0),"")</f>
        <v>1906</v>
      </c>
      <c r="BD191" s="30" t="s">
        <v>110</v>
      </c>
      <c r="BE191" s="30" t="n">
        <f aca="false">IF(COUNTIFS('Reguler Class Availability'!$L:$L,$B$4&amp;"|- Lane 4 - *|"&amp;BD191)&gt;0,1,0)</f>
        <v>1</v>
      </c>
      <c r="BF191" s="30" t="n">
        <f aca="false">BE191+BF190</f>
        <v>1</v>
      </c>
    </row>
    <row r="192" customFormat="false" ht="27.75" hidden="false" customHeight="true" outlineLevel="0" collapsed="false">
      <c r="A192" s="76" t="n">
        <v>66</v>
      </c>
      <c r="B192" s="77" t="s">
        <v>115</v>
      </c>
      <c r="C192" s="76" t="s">
        <v>123</v>
      </c>
      <c r="D192" s="76" t="n">
        <v>2</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Belum terisi</v>
      </c>
      <c r="F192" s="77" t="str">
        <f aca="false">IF($Q192="","",PROPER(INDEX('Reguler Class Availability'!$B:$B,$Q192)&amp;""))</f>
        <v>Tiny</v>
      </c>
      <c r="G192" s="76" t="n">
        <f aca="false">IF($Q192="","",IFERROR(--(INDEX('Reguler Class Availability'!$F:$F,$Q192)&amp;""),0))</f>
        <v>5</v>
      </c>
      <c r="H192" s="77" t="str">
        <f aca="false">IF($Q192="","",PROPER(INDEX('Reguler Class Availability'!$I:$I,$Q192)&amp;"")&amp;IF(INDEX('Reguler Class Availability'!$J:$J,$Q192)&amp;""="",""," + asst "&amp;PROPER(INDEX('Reguler Class Availability'!$J:$J,$Q192)&amp;"")))</f>
        <v/>
      </c>
      <c r="I192" s="77" t="s">
        <v>458</v>
      </c>
      <c r="J192" s="77" t="s">
        <v>188</v>
      </c>
      <c r="K192" s="78"/>
      <c r="L192" s="78"/>
      <c r="M192" s="78"/>
      <c r="N192" s="79"/>
      <c r="O192" s="78"/>
      <c r="Q192" s="30" t="n">
        <f aca="false">IFERROR(MATCH($B$4&amp;"|- Lane "&amp;D192&amp;" - "&amp;B192&amp;"|"&amp;C192,'Reguler Class Availability'!$L:$L,0),"")</f>
        <v>2004</v>
      </c>
      <c r="BD192" s="30" t="s">
        <v>112</v>
      </c>
      <c r="BE192" s="30" t="n">
        <f aca="false">IF(COUNTIFS('Reguler Class Availability'!$L:$L,$B$4&amp;"|- Lane 4 - *|"&amp;BD192)&gt;0,1,0)</f>
        <v>0</v>
      </c>
      <c r="BF192" s="30" t="n">
        <f aca="false">BE192+BF191</f>
        <v>1</v>
      </c>
    </row>
    <row r="193" customFormat="false" ht="27.75" hidden="false" customHeight="true" outlineLevel="0" collapsed="false">
      <c r="A193" s="76" t="n">
        <v>67</v>
      </c>
      <c r="B193" s="77" t="s">
        <v>115</v>
      </c>
      <c r="C193" s="76" t="s">
        <v>123</v>
      </c>
      <c r="D193" s="76" t="n">
        <v>5</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Kosong</v>
      </c>
      <c r="F193" s="77" t="str">
        <f aca="false">IF($Q193="","",PROPER(INDEX('Reguler Class Availability'!$B:$B,$Q193)&amp;""))</f>
        <v/>
      </c>
      <c r="G193" s="76" t="n">
        <f aca="false">IF($Q193="","",IFERROR(--(INDEX('Reguler Class Availability'!$F:$F,$Q193)&amp;""),0))</f>
        <v>4</v>
      </c>
      <c r="H193" s="77" t="str">
        <f aca="false">IF($Q193="","",PROPER(INDEX('Reguler Class Availability'!$I:$I,$Q193)&amp;"")&amp;IF(INDEX('Reguler Class Availability'!$J:$J,$Q193)&amp;""="",""," + asst "&amp;PROPER(INDEX('Reguler Class Availability'!$J:$J,$Q193)&amp;"")))</f>
        <v/>
      </c>
      <c r="I193" s="77" t="s">
        <v>458</v>
      </c>
      <c r="J193" s="77" t="s">
        <v>188</v>
      </c>
      <c r="K193" s="78"/>
      <c r="L193" s="78"/>
      <c r="M193" s="78"/>
      <c r="N193" s="79"/>
      <c r="O193" s="78"/>
      <c r="Q193" s="30" t="n">
        <f aca="false">IFERROR(MATCH($B$4&amp;"|- Lane "&amp;D193&amp;" - "&amp;B193&amp;"|"&amp;C193,'Reguler Class Availability'!$L:$L,0),"")</f>
        <v>2256</v>
      </c>
      <c r="BD193" s="30" t="s">
        <v>120</v>
      </c>
      <c r="BE193" s="30" t="n">
        <f aca="false">IF(COUNTIFS('Reguler Class Availability'!$L:$L,$B$4&amp;"|- Lane 4 - *|"&amp;BD193)&gt;0,1,0)</f>
        <v>0</v>
      </c>
      <c r="BF193" s="30" t="n">
        <f aca="false">BE193+BF192</f>
        <v>1</v>
      </c>
    </row>
    <row r="194" customFormat="false" ht="27.75" hidden="false" customHeight="true" outlineLevel="0" collapsed="false">
      <c r="A194" s="76" t="n">
        <v>68</v>
      </c>
      <c r="B194" s="77" t="s">
        <v>115</v>
      </c>
      <c r="C194" s="76" t="s">
        <v>124</v>
      </c>
      <c r="D194" s="76" t="n">
        <v>3</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Belum terisi</v>
      </c>
      <c r="F194" s="77" t="str">
        <f aca="false">IF($Q194="","",PROPER(INDEX('Reguler Class Availability'!$B:$B,$Q194)&amp;""))</f>
        <v>Little</v>
      </c>
      <c r="G194" s="76" t="n">
        <f aca="false">IF($Q194="","",IFERROR(--(INDEX('Reguler Class Availability'!$F:$F,$Q194)&amp;""),0))</f>
        <v>4</v>
      </c>
      <c r="H194" s="77" t="str">
        <f aca="false">IF($Q194="","",PROPER(INDEX('Reguler Class Availability'!$I:$I,$Q194)&amp;"")&amp;IF(INDEX('Reguler Class Availability'!$J:$J,$Q194)&amp;""="",""," + asst "&amp;PROPER(INDEX('Reguler Class Availability'!$J:$J,$Q194)&amp;"")))</f>
        <v/>
      </c>
      <c r="I194" s="77" t="s">
        <v>458</v>
      </c>
      <c r="J194" s="77" t="s">
        <v>188</v>
      </c>
      <c r="K194" s="78"/>
      <c r="L194" s="78"/>
      <c r="M194" s="78"/>
      <c r="N194" s="79"/>
      <c r="O194" s="78"/>
      <c r="Q194" s="30" t="n">
        <f aca="false">IFERROR(MATCH($B$4&amp;"|- Lane "&amp;D194&amp;" - "&amp;B194&amp;"|"&amp;C194,'Reguler Class Availability'!$L:$L,0),"")</f>
        <v>2088</v>
      </c>
      <c r="BD194" s="30" t="s">
        <v>121</v>
      </c>
      <c r="BE194" s="30" t="n">
        <f aca="false">IF(COUNTIFS('Reguler Class Availability'!$L:$L,$B$4&amp;"|- Lane 4 - *|"&amp;BD194)&gt;0,1,0)</f>
        <v>1</v>
      </c>
      <c r="BF194" s="30" t="n">
        <f aca="false">BE194+BF193</f>
        <v>2</v>
      </c>
    </row>
    <row r="195" customFormat="false" ht="27.75" hidden="false" customHeight="true" outlineLevel="0" collapsed="false">
      <c r="A195" s="76" t="n">
        <v>69</v>
      </c>
      <c r="B195" s="77" t="s">
        <v>115</v>
      </c>
      <c r="C195" s="76" t="s">
        <v>124</v>
      </c>
      <c r="D195" s="76" t="n">
        <v>4</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Belum terisi</v>
      </c>
      <c r="F195" s="77" t="str">
        <f aca="false">IF($Q195="","",PROPER(INDEX('Reguler Class Availability'!$B:$B,$Q195)&amp;""))</f>
        <v>Kids</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458</v>
      </c>
      <c r="J195" s="77" t="s">
        <v>188</v>
      </c>
      <c r="K195" s="78"/>
      <c r="L195" s="78"/>
      <c r="M195" s="78"/>
      <c r="N195" s="79"/>
      <c r="O195" s="78"/>
      <c r="Q195" s="30" t="n">
        <f aca="false">IFERROR(MATCH($B$4&amp;"|- Lane "&amp;D195&amp;" - "&amp;B195&amp;"|"&amp;C195,'Reguler Class Availability'!$L:$L,0),"")</f>
        <v>2172</v>
      </c>
      <c r="BD195" s="30" t="s">
        <v>122</v>
      </c>
      <c r="BE195" s="30" t="n">
        <f aca="false">IF(COUNTIFS('Reguler Class Availability'!$L:$L,$B$4&amp;"|- Lane 4 - *|"&amp;BD195)&gt;0,1,0)</f>
        <v>0</v>
      </c>
      <c r="BF195" s="30" t="n">
        <f aca="false">BE195+BF194</f>
        <v>2</v>
      </c>
    </row>
    <row r="196" customFormat="false" ht="27.75" hidden="false" customHeight="true" outlineLevel="0" collapsed="false">
      <c r="A196" s="76" t="n">
        <v>70</v>
      </c>
      <c r="B196" s="77" t="s">
        <v>115</v>
      </c>
      <c r="C196" s="76" t="s">
        <v>126</v>
      </c>
      <c r="D196" s="76" t="n">
        <v>1</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Belum terisi</v>
      </c>
      <c r="F196" s="77" t="str">
        <f aca="false">IF($Q196="","",PROPER(INDEX('Reguler Class Availability'!$B:$B,$Q196)&amp;""))</f>
        <v>Baby</v>
      </c>
      <c r="G196" s="76" t="n">
        <f aca="false">IF($Q196="","",IFERROR(--(INDEX('Reguler Class Availability'!$F:$F,$Q196)&amp;""),0))</f>
        <v>5</v>
      </c>
      <c r="H196" s="77" t="str">
        <f aca="false">IF($Q196="","",PROPER(INDEX('Reguler Class Availability'!$I:$I,$Q196)&amp;"")&amp;IF(INDEX('Reguler Class Availability'!$J:$J,$Q196)&amp;""="",""," + asst "&amp;PROPER(INDEX('Reguler Class Availability'!$J:$J,$Q196)&amp;"")))</f>
        <v/>
      </c>
      <c r="I196" s="77" t="s">
        <v>458</v>
      </c>
      <c r="J196" s="77" t="s">
        <v>188</v>
      </c>
      <c r="K196" s="78"/>
      <c r="L196" s="78"/>
      <c r="M196" s="78"/>
      <c r="N196" s="79"/>
      <c r="O196" s="78"/>
      <c r="Q196" s="30" t="n">
        <f aca="false">IFERROR(MATCH($B$4&amp;"|- Lane "&amp;D196&amp;" - "&amp;B196&amp;"|"&amp;C196,'Reguler Class Availability'!$L:$L,0),"")</f>
        <v>1907</v>
      </c>
      <c r="BD196" s="30" t="s">
        <v>123</v>
      </c>
      <c r="BE196" s="30" t="n">
        <f aca="false">IF(COUNTIFS('Reguler Class Availability'!$L:$L,$B$4&amp;"|- Lane 4 - *|"&amp;BD196)&gt;0,1,0)</f>
        <v>0</v>
      </c>
      <c r="BF196" s="30" t="n">
        <f aca="false">BE196+BF195</f>
        <v>2</v>
      </c>
    </row>
    <row r="197" customFormat="false" ht="27.75" hidden="false" customHeight="true" outlineLevel="0" collapsed="false">
      <c r="A197" s="76" t="n">
        <v>71</v>
      </c>
      <c r="B197" s="77" t="s">
        <v>115</v>
      </c>
      <c r="C197" s="76" t="s">
        <v>126</v>
      </c>
      <c r="D197" s="76" t="n">
        <v>2</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Belum terisi</v>
      </c>
      <c r="F197" s="77" t="str">
        <f aca="false">IF($Q197="","",PROPER(INDEX('Reguler Class Availability'!$B:$B,$Q197)&amp;""))</f>
        <v>Tiny</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458</v>
      </c>
      <c r="J197" s="77" t="s">
        <v>188</v>
      </c>
      <c r="K197" s="78"/>
      <c r="L197" s="78"/>
      <c r="M197" s="78"/>
      <c r="N197" s="79"/>
      <c r="O197" s="78"/>
      <c r="Q197" s="30" t="n">
        <f aca="false">IFERROR(MATCH($B$4&amp;"|- Lane "&amp;D197&amp;" - "&amp;B197&amp;"|"&amp;C197,'Reguler Class Availability'!$L:$L,0),"")</f>
        <v>2005</v>
      </c>
      <c r="BD197" s="30" t="s">
        <v>124</v>
      </c>
      <c r="BE197" s="30" t="n">
        <f aca="false">IF(COUNTIFS('Reguler Class Availability'!$L:$L,$B$4&amp;"|- Lane 4 - *|"&amp;BD197)&gt;0,1,0)</f>
        <v>1</v>
      </c>
      <c r="BF197" s="30" t="n">
        <f aca="false">BE197+BF196</f>
        <v>3</v>
      </c>
    </row>
    <row r="198" customFormat="false" ht="27.75" hidden="false" customHeight="true" outlineLevel="0" collapsed="false">
      <c r="A198" s="76" t="n">
        <v>72</v>
      </c>
      <c r="B198" s="77" t="s">
        <v>115</v>
      </c>
      <c r="C198" s="76" t="s">
        <v>126</v>
      </c>
      <c r="D198" s="76" t="n">
        <v>5</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Kosong</v>
      </c>
      <c r="F198" s="77" t="str">
        <f aca="false">IF($Q198="","",PROPER(INDEX('Reguler Class Availability'!$B:$B,$Q198)&amp;""))</f>
        <v/>
      </c>
      <c r="G198" s="76" t="n">
        <f aca="false">IF($Q198="","",IFERROR(--(INDEX('Reguler Class Availability'!$F:$F,$Q198)&amp;""),0))</f>
        <v>4</v>
      </c>
      <c r="H198" s="77" t="str">
        <f aca="false">IF($Q198="","",PROPER(INDEX('Reguler Class Availability'!$I:$I,$Q198)&amp;"")&amp;IF(INDEX('Reguler Class Availability'!$J:$J,$Q198)&amp;""="",""," + asst "&amp;PROPER(INDEX('Reguler Class Availability'!$J:$J,$Q198)&amp;"")))</f>
        <v/>
      </c>
      <c r="I198" s="77" t="s">
        <v>458</v>
      </c>
      <c r="J198" s="77" t="s">
        <v>188</v>
      </c>
      <c r="K198" s="78"/>
      <c r="L198" s="78"/>
      <c r="M198" s="78"/>
      <c r="N198" s="79"/>
      <c r="O198" s="78"/>
      <c r="Q198" s="30" t="n">
        <f aca="false">IFERROR(MATCH($B$4&amp;"|- Lane "&amp;D198&amp;" - "&amp;B198&amp;"|"&amp;C198,'Reguler Class Availability'!$L:$L,0),"")</f>
        <v>2257</v>
      </c>
      <c r="BD198" s="30" t="s">
        <v>125</v>
      </c>
      <c r="BE198" s="30" t="n">
        <f aca="false">IF(COUNTIFS('Reguler Class Availability'!$L:$L,$B$4&amp;"|- Lane 4 - *|"&amp;BD198)&gt;0,1,0)</f>
        <v>0</v>
      </c>
      <c r="BF198" s="30" t="n">
        <f aca="false">BE198+BF197</f>
        <v>3</v>
      </c>
    </row>
    <row r="199" customFormat="false" ht="27.75" hidden="false" customHeight="true" outlineLevel="0" collapsed="false">
      <c r="A199" s="76" t="n">
        <v>73</v>
      </c>
      <c r="B199" s="77" t="s">
        <v>115</v>
      </c>
      <c r="C199" s="76" t="s">
        <v>127</v>
      </c>
      <c r="D199" s="76" t="n">
        <v>3</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Belum terisi</v>
      </c>
      <c r="F199" s="77" t="str">
        <f aca="false">IF($Q199="","",PROPER(INDEX('Reguler Class Availability'!$B:$B,$Q199)&amp;""))</f>
        <v>Little</v>
      </c>
      <c r="G199" s="76" t="n">
        <f aca="false">IF($Q199="","",IFERROR(--(INDEX('Reguler Class Availability'!$F:$F,$Q199)&amp;""),0))</f>
        <v>4</v>
      </c>
      <c r="H199" s="77" t="str">
        <f aca="false">IF($Q199="","",PROPER(INDEX('Reguler Class Availability'!$I:$I,$Q199)&amp;"")&amp;IF(INDEX('Reguler Class Availability'!$J:$J,$Q199)&amp;""="",""," + asst "&amp;PROPER(INDEX('Reguler Class Availability'!$J:$J,$Q199)&amp;"")))</f>
        <v/>
      </c>
      <c r="I199" s="77" t="s">
        <v>458</v>
      </c>
      <c r="J199" s="77" t="s">
        <v>188</v>
      </c>
      <c r="K199" s="78"/>
      <c r="L199" s="78"/>
      <c r="M199" s="78"/>
      <c r="N199" s="79"/>
      <c r="O199" s="78"/>
      <c r="Q199" s="30" t="n">
        <f aca="false">IFERROR(MATCH($B$4&amp;"|- Lane "&amp;D199&amp;" - "&amp;B199&amp;"|"&amp;C199,'Reguler Class Availability'!$L:$L,0),"")</f>
        <v>2089</v>
      </c>
      <c r="BD199" s="30" t="s">
        <v>126</v>
      </c>
      <c r="BE199" s="30" t="n">
        <f aca="false">IF(COUNTIFS('Reguler Class Availability'!$L:$L,$B$4&amp;"|- Lane 4 - *|"&amp;BD199)&gt;0,1,0)</f>
        <v>0</v>
      </c>
      <c r="BF199" s="30" t="n">
        <f aca="false">BE199+BF198</f>
        <v>3</v>
      </c>
    </row>
    <row r="200" customFormat="false" ht="27.75" hidden="false" customHeight="true" outlineLevel="0" collapsed="false">
      <c r="A200" s="76" t="n">
        <v>74</v>
      </c>
      <c r="B200" s="77" t="s">
        <v>115</v>
      </c>
      <c r="C200" s="76" t="s">
        <v>127</v>
      </c>
      <c r="D200" s="76" t="n">
        <v>4</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Belum terisi</v>
      </c>
      <c r="F200" s="77" t="str">
        <f aca="false">IF($Q200="","",PROPER(INDEX('Reguler Class Availability'!$B:$B,$Q200)&amp;""))</f>
        <v>Kids</v>
      </c>
      <c r="G200" s="76" t="n">
        <f aca="false">IF($Q200="","",IFERROR(--(INDEX('Reguler Class Availability'!$F:$F,$Q200)&amp;""),0))</f>
        <v>4</v>
      </c>
      <c r="H200" s="77" t="str">
        <f aca="false">IF($Q200="","",PROPER(INDEX('Reguler Class Availability'!$I:$I,$Q200)&amp;"")&amp;IF(INDEX('Reguler Class Availability'!$J:$J,$Q200)&amp;""="",""," + asst "&amp;PROPER(INDEX('Reguler Class Availability'!$J:$J,$Q200)&amp;"")))</f>
        <v/>
      </c>
      <c r="I200" s="77" t="s">
        <v>458</v>
      </c>
      <c r="J200" s="77" t="s">
        <v>188</v>
      </c>
      <c r="K200" s="78"/>
      <c r="L200" s="78"/>
      <c r="M200" s="78"/>
      <c r="N200" s="79"/>
      <c r="O200" s="78"/>
      <c r="Q200" s="30" t="n">
        <f aca="false">IFERROR(MATCH($B$4&amp;"|- Lane "&amp;D200&amp;" - "&amp;B200&amp;"|"&amp;C200,'Reguler Class Availability'!$L:$L,0),"")</f>
        <v>2173</v>
      </c>
      <c r="BD200" s="30" t="s">
        <v>127</v>
      </c>
      <c r="BE200" s="30" t="n">
        <f aca="false">IF(COUNTIFS('Reguler Class Availability'!$L:$L,$B$4&amp;"|- Lane 4 - *|"&amp;BD200)&gt;0,1,0)</f>
        <v>1</v>
      </c>
      <c r="BF200" s="30" t="n">
        <f aca="false">BE200+BF199</f>
        <v>4</v>
      </c>
    </row>
    <row r="201" customFormat="false" ht="27.75" hidden="false" customHeight="true" outlineLevel="0" collapsed="false">
      <c r="A201" s="76" t="n">
        <v>75</v>
      </c>
      <c r="B201" s="77" t="s">
        <v>115</v>
      </c>
      <c r="C201" s="76" t="s">
        <v>129</v>
      </c>
      <c r="D201" s="76" t="n">
        <v>1</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Belum terisi</v>
      </c>
      <c r="F201" s="77" t="str">
        <f aca="false">IF($Q201="","",PROPER(INDEX('Reguler Class Availability'!$B:$B,$Q201)&amp;""))</f>
        <v>Baby</v>
      </c>
      <c r="G201" s="76" t="n">
        <f aca="false">IF($Q201="","",IFERROR(--(INDEX('Reguler Class Availability'!$F:$F,$Q201)&amp;""),0))</f>
        <v>5</v>
      </c>
      <c r="H201" s="77" t="str">
        <f aca="false">IF($Q201="","",PROPER(INDEX('Reguler Class Availability'!$I:$I,$Q201)&amp;"")&amp;IF(INDEX('Reguler Class Availability'!$J:$J,$Q201)&amp;""="",""," + asst "&amp;PROPER(INDEX('Reguler Class Availability'!$J:$J,$Q201)&amp;"")))</f>
        <v/>
      </c>
      <c r="I201" s="77" t="s">
        <v>458</v>
      </c>
      <c r="J201" s="77" t="s">
        <v>188</v>
      </c>
      <c r="K201" s="78"/>
      <c r="L201" s="78"/>
      <c r="M201" s="78"/>
      <c r="N201" s="79"/>
      <c r="O201" s="78"/>
      <c r="Q201" s="30" t="n">
        <f aca="false">IFERROR(MATCH($B$4&amp;"|- Lane "&amp;D201&amp;" - "&amp;B201&amp;"|"&amp;C201,'Reguler Class Availability'!$L:$L,0),"")</f>
        <v>1908</v>
      </c>
      <c r="BD201" s="30" t="s">
        <v>128</v>
      </c>
      <c r="BE201" s="30" t="n">
        <f aca="false">IF(COUNTIFS('Reguler Class Availability'!$L:$L,$B$4&amp;"|- Lane 4 - *|"&amp;BD201)&gt;0,1,0)</f>
        <v>0</v>
      </c>
      <c r="BF201" s="30" t="n">
        <f aca="false">BE201+BF200</f>
        <v>4</v>
      </c>
    </row>
    <row r="202" customFormat="false" ht="27.75" hidden="false" customHeight="true" outlineLevel="0" collapsed="false">
      <c r="A202" s="76" t="n">
        <v>76</v>
      </c>
      <c r="B202" s="77" t="s">
        <v>115</v>
      </c>
      <c r="C202" s="76" t="s">
        <v>129</v>
      </c>
      <c r="D202" s="76" t="n">
        <v>2</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Belum terisi</v>
      </c>
      <c r="F202" s="77" t="str">
        <f aca="false">IF($Q202="","",PROPER(INDEX('Reguler Class Availability'!$B:$B,$Q202)&amp;""))</f>
        <v>Tiny</v>
      </c>
      <c r="G202" s="76" t="n">
        <f aca="false">IF($Q202="","",IFERROR(--(INDEX('Reguler Class Availability'!$F:$F,$Q202)&amp;""),0))</f>
        <v>5</v>
      </c>
      <c r="H202" s="77" t="str">
        <f aca="false">IF($Q202="","",PROPER(INDEX('Reguler Class Availability'!$I:$I,$Q202)&amp;"")&amp;IF(INDEX('Reguler Class Availability'!$J:$J,$Q202)&amp;""="",""," + asst "&amp;PROPER(INDEX('Reguler Class Availability'!$J:$J,$Q202)&amp;"")))</f>
        <v/>
      </c>
      <c r="I202" s="77" t="s">
        <v>458</v>
      </c>
      <c r="J202" s="77" t="s">
        <v>188</v>
      </c>
      <c r="K202" s="78"/>
      <c r="L202" s="78"/>
      <c r="M202" s="78"/>
      <c r="N202" s="79"/>
      <c r="O202" s="78"/>
      <c r="Q202" s="30" t="n">
        <f aca="false">IFERROR(MATCH($B$4&amp;"|- Lane "&amp;D202&amp;" - "&amp;B202&amp;"|"&amp;C202,'Reguler Class Availability'!$L:$L,0),"")</f>
        <v>2006</v>
      </c>
      <c r="BD202" s="30" t="s">
        <v>129</v>
      </c>
      <c r="BE202" s="30" t="n">
        <f aca="false">IF(COUNTIFS('Reguler Class Availability'!$L:$L,$B$4&amp;"|- Lane 4 - *|"&amp;BD202)&gt;0,1,0)</f>
        <v>0</v>
      </c>
      <c r="BF202" s="30" t="n">
        <f aca="false">BE202+BF201</f>
        <v>4</v>
      </c>
    </row>
    <row r="203" customFormat="false" ht="27.75" hidden="false" customHeight="true" outlineLevel="0" collapsed="false">
      <c r="A203" s="76" t="n">
        <v>77</v>
      </c>
      <c r="B203" s="77" t="s">
        <v>115</v>
      </c>
      <c r="C203" s="76" t="s">
        <v>129</v>
      </c>
      <c r="D203" s="76" t="n">
        <v>5</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Kosong</v>
      </c>
      <c r="F203" s="77" t="str">
        <f aca="false">IF($Q203="","",PROPER(INDEX('Reguler Class Availability'!$B:$B,$Q203)&amp;""))</f>
        <v/>
      </c>
      <c r="G203" s="76" t="n">
        <f aca="false">IF($Q203="","",IFERROR(--(INDEX('Reguler Class Availability'!$F:$F,$Q203)&amp;""),0))</f>
        <v>4</v>
      </c>
      <c r="H203" s="77" t="str">
        <f aca="false">IF($Q203="","",PROPER(INDEX('Reguler Class Availability'!$I:$I,$Q203)&amp;"")&amp;IF(INDEX('Reguler Class Availability'!$J:$J,$Q203)&amp;""="",""," + asst "&amp;PROPER(INDEX('Reguler Class Availability'!$J:$J,$Q203)&amp;"")))</f>
        <v/>
      </c>
      <c r="I203" s="77" t="s">
        <v>458</v>
      </c>
      <c r="J203" s="77" t="s">
        <v>188</v>
      </c>
      <c r="K203" s="78"/>
      <c r="L203" s="78"/>
      <c r="M203" s="78"/>
      <c r="N203" s="79"/>
      <c r="O203" s="78"/>
      <c r="Q203" s="30" t="n">
        <f aca="false">IFERROR(MATCH($B$4&amp;"|- Lane "&amp;D203&amp;" - "&amp;B203&amp;"|"&amp;C203,'Reguler Class Availability'!$L:$L,0),"")</f>
        <v>2258</v>
      </c>
      <c r="BD203" s="30" t="s">
        <v>130</v>
      </c>
      <c r="BE203" s="30" t="n">
        <f aca="false">IF(COUNTIFS('Reguler Class Availability'!$L:$L,$B$4&amp;"|- Lane 4 - *|"&amp;BD203)&gt;0,1,0)</f>
        <v>1</v>
      </c>
      <c r="BF203" s="30" t="n">
        <f aca="false">BE203+BF202</f>
        <v>5</v>
      </c>
    </row>
    <row r="204" customFormat="false" ht="27.75" hidden="false" customHeight="true" outlineLevel="0" collapsed="false">
      <c r="A204" s="76" t="n">
        <v>78</v>
      </c>
      <c r="B204" s="77" t="s">
        <v>115</v>
      </c>
      <c r="C204" s="76" t="s">
        <v>130</v>
      </c>
      <c r="D204" s="76" t="n">
        <v>3</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Little</v>
      </c>
      <c r="G204" s="76" t="n">
        <f aca="false">IF($Q204="","",IFERROR(--(INDEX('Reguler Class Availability'!$F:$F,$Q204)&amp;""),0))</f>
        <v>4</v>
      </c>
      <c r="H204" s="77" t="str">
        <f aca="false">IF($Q204="","",PROPER(INDEX('Reguler Class Availability'!$I:$I,$Q204)&amp;"")&amp;IF(INDEX('Reguler Class Availability'!$J:$J,$Q204)&amp;""="",""," + asst "&amp;PROPER(INDEX('Reguler Class Availability'!$J:$J,$Q204)&amp;"")))</f>
        <v/>
      </c>
      <c r="I204" s="77" t="s">
        <v>458</v>
      </c>
      <c r="J204" s="77" t="s">
        <v>188</v>
      </c>
      <c r="K204" s="78"/>
      <c r="L204" s="78"/>
      <c r="M204" s="78"/>
      <c r="N204" s="79"/>
      <c r="O204" s="78"/>
      <c r="Q204" s="30" t="n">
        <f aca="false">IFERROR(MATCH($B$4&amp;"|- Lane "&amp;D204&amp;" - "&amp;B204&amp;"|"&amp;C204,'Reguler Class Availability'!$L:$L,0),"")</f>
        <v>2090</v>
      </c>
      <c r="BD204" s="30" t="s">
        <v>131</v>
      </c>
      <c r="BE204" s="30" t="n">
        <f aca="false">IF(COUNTIFS('Reguler Class Availability'!$L:$L,$B$4&amp;"|- Lane 4 - *|"&amp;BD204)&gt;0,1,0)</f>
        <v>0</v>
      </c>
      <c r="BF204" s="30" t="n">
        <f aca="false">BE204+BF203</f>
        <v>5</v>
      </c>
    </row>
    <row r="205" customFormat="false" ht="27.75" hidden="false" customHeight="true" outlineLevel="0" collapsed="false">
      <c r="A205" s="76" t="n">
        <v>79</v>
      </c>
      <c r="B205" s="77" t="s">
        <v>115</v>
      </c>
      <c r="C205" s="76" t="s">
        <v>130</v>
      </c>
      <c r="D205" s="76" t="n">
        <v>4</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Belum terisi</v>
      </c>
      <c r="F205" s="77" t="str">
        <f aca="false">IF($Q205="","",PROPER(INDEX('Reguler Class Availability'!$B:$B,$Q205)&amp;""))</f>
        <v>Kids</v>
      </c>
      <c r="G205" s="76" t="n">
        <f aca="false">IF($Q205="","",IFERROR(--(INDEX('Reguler Class Availability'!$F:$F,$Q205)&amp;""),0))</f>
        <v>4</v>
      </c>
      <c r="H205" s="77" t="str">
        <f aca="false">IF($Q205="","",PROPER(INDEX('Reguler Class Availability'!$I:$I,$Q205)&amp;"")&amp;IF(INDEX('Reguler Class Availability'!$J:$J,$Q205)&amp;""="",""," + asst "&amp;PROPER(INDEX('Reguler Class Availability'!$J:$J,$Q205)&amp;"")))</f>
        <v/>
      </c>
      <c r="I205" s="77" t="s">
        <v>458</v>
      </c>
      <c r="J205" s="77" t="s">
        <v>188</v>
      </c>
      <c r="K205" s="78"/>
      <c r="L205" s="78"/>
      <c r="M205" s="78"/>
      <c r="N205" s="79"/>
      <c r="O205" s="78"/>
      <c r="Q205" s="30" t="n">
        <f aca="false">IFERROR(MATCH($B$4&amp;"|- Lane "&amp;D205&amp;" - "&amp;B205&amp;"|"&amp;C205,'Reguler Class Availability'!$L:$L,0),"")</f>
        <v>2174</v>
      </c>
      <c r="BD205" s="30" t="s">
        <v>132</v>
      </c>
      <c r="BE205" s="30" t="n">
        <f aca="false">IF(COUNTIFS('Reguler Class Availability'!$L:$L,$B$4&amp;"|- Lane 4 - *|"&amp;BD205)&gt;0,1,0)</f>
        <v>0</v>
      </c>
      <c r="BF205" s="30" t="n">
        <f aca="false">BE205+BF204</f>
        <v>5</v>
      </c>
    </row>
    <row r="206" customFormat="false" ht="27.75" hidden="false" customHeight="true" outlineLevel="0" collapsed="false">
      <c r="A206" s="76" t="n">
        <v>80</v>
      </c>
      <c r="B206" s="77" t="s">
        <v>115</v>
      </c>
      <c r="C206" s="76" t="s">
        <v>132</v>
      </c>
      <c r="D206" s="76" t="n">
        <v>1</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Belum terisi</v>
      </c>
      <c r="F206" s="77" t="str">
        <f aca="false">IF($Q206="","",PROPER(INDEX('Reguler Class Availability'!$B:$B,$Q206)&amp;""))</f>
        <v>Baby</v>
      </c>
      <c r="G206" s="76" t="n">
        <f aca="false">IF($Q206="","",IFERROR(--(INDEX('Reguler Class Availability'!$F:$F,$Q206)&amp;""),0))</f>
        <v>5</v>
      </c>
      <c r="H206" s="77" t="str">
        <f aca="false">IF($Q206="","",PROPER(INDEX('Reguler Class Availability'!$I:$I,$Q206)&amp;"")&amp;IF(INDEX('Reguler Class Availability'!$J:$J,$Q206)&amp;""="",""," + asst "&amp;PROPER(INDEX('Reguler Class Availability'!$J:$J,$Q206)&amp;"")))</f>
        <v/>
      </c>
      <c r="I206" s="77" t="s">
        <v>458</v>
      </c>
      <c r="J206" s="77" t="s">
        <v>188</v>
      </c>
      <c r="K206" s="78"/>
      <c r="L206" s="78"/>
      <c r="M206" s="78"/>
      <c r="N206" s="79"/>
      <c r="O206" s="78"/>
      <c r="Q206" s="30" t="n">
        <f aca="false">IFERROR(MATCH($B$4&amp;"|- Lane "&amp;D206&amp;" - "&amp;B206&amp;"|"&amp;C206,'Reguler Class Availability'!$L:$L,0),"")</f>
        <v>1909</v>
      </c>
      <c r="BD206" s="30" t="s">
        <v>133</v>
      </c>
      <c r="BE206" s="30" t="n">
        <f aca="false">IF(COUNTIFS('Reguler Class Availability'!$L:$L,$B$4&amp;"|- Lane 4 - *|"&amp;BD206)&gt;0,1,0)</f>
        <v>1</v>
      </c>
      <c r="BF206" s="30" t="n">
        <f aca="false">BE206+BF205</f>
        <v>6</v>
      </c>
    </row>
    <row r="207" customFormat="false" ht="27.75" hidden="false" customHeight="true" outlineLevel="0" collapsed="false">
      <c r="A207" s="76" t="n">
        <v>81</v>
      </c>
      <c r="B207" s="77" t="s">
        <v>115</v>
      </c>
      <c r="C207" s="76" t="s">
        <v>132</v>
      </c>
      <c r="D207" s="76" t="n">
        <v>2</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Belum terisi</v>
      </c>
      <c r="F207" s="77" t="str">
        <f aca="false">IF($Q207="","",PROPER(INDEX('Reguler Class Availability'!$B:$B,$Q207)&amp;""))</f>
        <v>Tiny</v>
      </c>
      <c r="G207" s="76" t="n">
        <f aca="false">IF($Q207="","",IFERROR(--(INDEX('Reguler Class Availability'!$F:$F,$Q207)&amp;""),0))</f>
        <v>5</v>
      </c>
      <c r="H207" s="77" t="str">
        <f aca="false">IF($Q207="","",PROPER(INDEX('Reguler Class Availability'!$I:$I,$Q207)&amp;"")&amp;IF(INDEX('Reguler Class Availability'!$J:$J,$Q207)&amp;""="",""," + asst "&amp;PROPER(INDEX('Reguler Class Availability'!$J:$J,$Q207)&amp;"")))</f>
        <v/>
      </c>
      <c r="I207" s="77" t="s">
        <v>458</v>
      </c>
      <c r="J207" s="77" t="s">
        <v>188</v>
      </c>
      <c r="K207" s="78"/>
      <c r="L207" s="78"/>
      <c r="M207" s="78"/>
      <c r="N207" s="79"/>
      <c r="O207" s="78"/>
      <c r="Q207" s="30" t="n">
        <f aca="false">IFERROR(MATCH($B$4&amp;"|- Lane "&amp;D207&amp;" - "&amp;B207&amp;"|"&amp;C207,'Reguler Class Availability'!$L:$L,0),"")</f>
        <v>2007</v>
      </c>
      <c r="BD207" s="30" t="s">
        <v>134</v>
      </c>
      <c r="BE207" s="30" t="n">
        <f aca="false">IF(COUNTIFS('Reguler Class Availability'!$L:$L,$B$4&amp;"|- Lane 4 - *|"&amp;BD207)&gt;0,1,0)</f>
        <v>0</v>
      </c>
      <c r="BF207" s="30" t="n">
        <f aca="false">BE207+BF206</f>
        <v>6</v>
      </c>
    </row>
    <row r="208" customFormat="false" ht="27.75" hidden="false" customHeight="true" outlineLevel="0" collapsed="false">
      <c r="A208" s="76" t="n">
        <v>82</v>
      </c>
      <c r="B208" s="77" t="s">
        <v>115</v>
      </c>
      <c r="C208" s="76" t="s">
        <v>132</v>
      </c>
      <c r="D208" s="76" t="n">
        <v>5</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Kosong</v>
      </c>
      <c r="F208" s="77" t="str">
        <f aca="false">IF($Q208="","",PROPER(INDEX('Reguler Class Availability'!$B:$B,$Q208)&amp;""))</f>
        <v/>
      </c>
      <c r="G208" s="76" t="n">
        <f aca="false">IF($Q208="","",IFERROR(--(INDEX('Reguler Class Availability'!$F:$F,$Q208)&amp;""),0))</f>
        <v>4</v>
      </c>
      <c r="H208" s="77" t="str">
        <f aca="false">IF($Q208="","",PROPER(INDEX('Reguler Class Availability'!$I:$I,$Q208)&amp;"")&amp;IF(INDEX('Reguler Class Availability'!$J:$J,$Q208)&amp;""="",""," + asst "&amp;PROPER(INDEX('Reguler Class Availability'!$J:$J,$Q208)&amp;"")))</f>
        <v/>
      </c>
      <c r="I208" s="77" t="s">
        <v>458</v>
      </c>
      <c r="J208" s="77" t="s">
        <v>188</v>
      </c>
      <c r="K208" s="78"/>
      <c r="L208" s="78"/>
      <c r="M208" s="78"/>
      <c r="N208" s="79"/>
      <c r="O208" s="78"/>
      <c r="Q208" s="30" t="n">
        <f aca="false">IFERROR(MATCH($B$4&amp;"|- Lane "&amp;D208&amp;" - "&amp;B208&amp;"|"&amp;C208,'Reguler Class Availability'!$L:$L,0),"")</f>
        <v>2259</v>
      </c>
      <c r="BD208" s="30" t="s">
        <v>135</v>
      </c>
      <c r="BE208" s="30" t="n">
        <f aca="false">IF(COUNTIFS('Reguler Class Availability'!$L:$L,$B$4&amp;"|- Lane 4 - *|"&amp;BD208)&gt;0,1,0)</f>
        <v>0</v>
      </c>
      <c r="BF208" s="30" t="n">
        <f aca="false">BE208+BF207</f>
        <v>6</v>
      </c>
    </row>
    <row r="209" customFormat="false" ht="27.75" hidden="false" customHeight="true" outlineLevel="0" collapsed="false">
      <c r="A209" s="76" t="n">
        <v>83</v>
      </c>
      <c r="B209" s="77" t="s">
        <v>115</v>
      </c>
      <c r="C209" s="76" t="s">
        <v>133</v>
      </c>
      <c r="D209" s="76" t="n">
        <v>3</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Little</v>
      </c>
      <c r="G209" s="76" t="n">
        <f aca="false">IF($Q209="","",IFERROR(--(INDEX('Reguler Class Availability'!$F:$F,$Q209)&amp;""),0))</f>
        <v>4</v>
      </c>
      <c r="H209" s="77" t="str">
        <f aca="false">IF($Q209="","",PROPER(INDEX('Reguler Class Availability'!$I:$I,$Q209)&amp;"")&amp;IF(INDEX('Reguler Class Availability'!$J:$J,$Q209)&amp;""="",""," + asst "&amp;PROPER(INDEX('Reguler Class Availability'!$J:$J,$Q209)&amp;"")))</f>
        <v/>
      </c>
      <c r="I209" s="77" t="s">
        <v>458</v>
      </c>
      <c r="J209" s="77" t="s">
        <v>188</v>
      </c>
      <c r="K209" s="78"/>
      <c r="L209" s="78"/>
      <c r="M209" s="78"/>
      <c r="N209" s="79"/>
      <c r="O209" s="78"/>
      <c r="Q209" s="30" t="n">
        <f aca="false">IFERROR(MATCH($B$4&amp;"|- Lane "&amp;D209&amp;" - "&amp;B209&amp;"|"&amp;C209,'Reguler Class Availability'!$L:$L,0),"")</f>
        <v>2091</v>
      </c>
      <c r="BD209" s="30" t="s">
        <v>136</v>
      </c>
      <c r="BE209" s="30" t="n">
        <f aca="false">IF(COUNTIFS('Reguler Class Availability'!$L:$L,$B$4&amp;"|- Lane 4 - *|"&amp;BD209)&gt;0,1,0)</f>
        <v>0</v>
      </c>
      <c r="BF209" s="30" t="n">
        <f aca="false">BE209+BF208</f>
        <v>6</v>
      </c>
    </row>
    <row r="210" customFormat="false" ht="27.75" hidden="false" customHeight="true" outlineLevel="0" collapsed="false">
      <c r="A210" s="76" t="n">
        <v>84</v>
      </c>
      <c r="B210" s="77" t="s">
        <v>115</v>
      </c>
      <c r="C210" s="76" t="s">
        <v>133</v>
      </c>
      <c r="D210" s="76" t="n">
        <v>4</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Belum terisi</v>
      </c>
      <c r="F210" s="77" t="str">
        <f aca="false">IF($Q210="","",PROPER(INDEX('Reguler Class Availability'!$B:$B,$Q210)&amp;""))</f>
        <v>Kids</v>
      </c>
      <c r="G210" s="76" t="n">
        <f aca="false">IF($Q210="","",IFERROR(--(INDEX('Reguler Class Availability'!$F:$F,$Q210)&amp;""),0))</f>
        <v>4</v>
      </c>
      <c r="H210" s="77" t="str">
        <f aca="false">IF($Q210="","",PROPER(INDEX('Reguler Class Availability'!$I:$I,$Q210)&amp;"")&amp;IF(INDEX('Reguler Class Availability'!$J:$J,$Q210)&amp;""="",""," + asst "&amp;PROPER(INDEX('Reguler Class Availability'!$J:$J,$Q210)&amp;"")))</f>
        <v/>
      </c>
      <c r="I210" s="77" t="s">
        <v>458</v>
      </c>
      <c r="J210" s="77" t="s">
        <v>188</v>
      </c>
      <c r="K210" s="78"/>
      <c r="L210" s="78"/>
      <c r="M210" s="78"/>
      <c r="N210" s="79"/>
      <c r="O210" s="78"/>
      <c r="Q210" s="30" t="n">
        <f aca="false">IFERROR(MATCH($B$4&amp;"|- Lane "&amp;D210&amp;" - "&amp;B210&amp;"|"&amp;C210,'Reguler Class Availability'!$L:$L,0),"")</f>
        <v>2175</v>
      </c>
      <c r="BD210" s="30" t="s">
        <v>138</v>
      </c>
      <c r="BE210" s="30" t="n">
        <f aca="false">IF(COUNTIFS('Reguler Class Availability'!$L:$L,$B$4&amp;"|- Lane 4 - *|"&amp;BD210)&gt;0,1,0)</f>
        <v>0</v>
      </c>
      <c r="BF210" s="30" t="n">
        <f aca="false">BE210+BF209</f>
        <v>6</v>
      </c>
    </row>
    <row r="211" customFormat="false" ht="27.75" hidden="false" customHeight="true" outlineLevel="0" collapsed="false">
      <c r="A211" s="76" t="n">
        <v>85</v>
      </c>
      <c r="B211" s="77" t="s">
        <v>115</v>
      </c>
      <c r="C211" s="76" t="s">
        <v>139</v>
      </c>
      <c r="D211" s="76" t="n">
        <v>1</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Belum terisi</v>
      </c>
      <c r="F211" s="77" t="str">
        <f aca="false">IF($Q211="","",PROPER(INDEX('Reguler Class Availability'!$B:$B,$Q211)&amp;""))</f>
        <v>Baby</v>
      </c>
      <c r="G211" s="76" t="n">
        <f aca="false">IF($Q211="","",IFERROR(--(INDEX('Reguler Class Availability'!$F:$F,$Q211)&amp;""),0))</f>
        <v>5</v>
      </c>
      <c r="H211" s="77" t="str">
        <f aca="false">IF($Q211="","",PROPER(INDEX('Reguler Class Availability'!$I:$I,$Q211)&amp;"")&amp;IF(INDEX('Reguler Class Availability'!$J:$J,$Q211)&amp;""="",""," + asst "&amp;PROPER(INDEX('Reguler Class Availability'!$J:$J,$Q211)&amp;"")))</f>
        <v/>
      </c>
      <c r="I211" s="77" t="s">
        <v>458</v>
      </c>
      <c r="J211" s="77" t="s">
        <v>188</v>
      </c>
      <c r="K211" s="78"/>
      <c r="L211" s="78"/>
      <c r="M211" s="78"/>
      <c r="N211" s="79"/>
      <c r="O211" s="78"/>
      <c r="Q211" s="30" t="n">
        <f aca="false">IFERROR(MATCH($B$4&amp;"|- Lane "&amp;D211&amp;" - "&amp;B211&amp;"|"&amp;C211,'Reguler Class Availability'!$L:$L,0),"")</f>
        <v>1910</v>
      </c>
      <c r="BD211" s="30" t="s">
        <v>139</v>
      </c>
      <c r="BE211" s="30" t="n">
        <f aca="false">IF(COUNTIFS('Reguler Class Availability'!$L:$L,$B$4&amp;"|- Lane 4 - *|"&amp;BD211)&gt;0,1,0)</f>
        <v>0</v>
      </c>
      <c r="BF211" s="30" t="n">
        <f aca="false">BE211+BF210</f>
        <v>6</v>
      </c>
    </row>
    <row r="212" customFormat="false" ht="27.75" hidden="false" customHeight="true" outlineLevel="0" collapsed="false">
      <c r="A212" s="76" t="n">
        <v>86</v>
      </c>
      <c r="B212" s="77" t="s">
        <v>115</v>
      </c>
      <c r="C212" s="76" t="s">
        <v>139</v>
      </c>
      <c r="D212" s="76" t="n">
        <v>2</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Belum terisi</v>
      </c>
      <c r="F212" s="77" t="str">
        <f aca="false">IF($Q212="","",PROPER(INDEX('Reguler Class Availability'!$B:$B,$Q212)&amp;""))</f>
        <v>Tiny</v>
      </c>
      <c r="G212" s="76" t="n">
        <f aca="false">IF($Q212="","",IFERROR(--(INDEX('Reguler Class Availability'!$F:$F,$Q212)&amp;""),0))</f>
        <v>5</v>
      </c>
      <c r="H212" s="77" t="str">
        <f aca="false">IF($Q212="","",PROPER(INDEX('Reguler Class Availability'!$I:$I,$Q212)&amp;"")&amp;IF(INDEX('Reguler Class Availability'!$J:$J,$Q212)&amp;""="",""," + asst "&amp;PROPER(INDEX('Reguler Class Availability'!$J:$J,$Q212)&amp;"")))</f>
        <v/>
      </c>
      <c r="I212" s="77" t="s">
        <v>458</v>
      </c>
      <c r="J212" s="77" t="s">
        <v>188</v>
      </c>
      <c r="K212" s="78"/>
      <c r="L212" s="78"/>
      <c r="M212" s="78"/>
      <c r="N212" s="79"/>
      <c r="O212" s="78"/>
      <c r="Q212" s="30" t="n">
        <f aca="false">IFERROR(MATCH($B$4&amp;"|- Lane "&amp;D212&amp;" - "&amp;B212&amp;"|"&amp;C212,'Reguler Class Availability'!$L:$L,0),"")</f>
        <v>2008</v>
      </c>
      <c r="BD212" s="30" t="s">
        <v>141</v>
      </c>
      <c r="BE212" s="30" t="n">
        <f aca="false">IF(COUNTIFS('Reguler Class Availability'!$L:$L,$B$4&amp;"|- Lane 4 - *|"&amp;BD212)&gt;0,1,0)</f>
        <v>1</v>
      </c>
      <c r="BF212" s="30" t="n">
        <f aca="false">BE212+BF211</f>
        <v>7</v>
      </c>
    </row>
    <row r="213" customFormat="false" ht="27.75" hidden="false" customHeight="true" outlineLevel="0" collapsed="false">
      <c r="A213" s="76" t="n">
        <v>87</v>
      </c>
      <c r="B213" s="77" t="s">
        <v>115</v>
      </c>
      <c r="C213" s="76" t="s">
        <v>139</v>
      </c>
      <c r="D213" s="76" t="n">
        <v>5</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Kosong</v>
      </c>
      <c r="F213" s="77" t="str">
        <f aca="false">IF($Q213="","",PROPER(INDEX('Reguler Class Availability'!$B:$B,$Q213)&amp;""))</f>
        <v/>
      </c>
      <c r="G213" s="76" t="n">
        <f aca="false">IF($Q213="","",IFERROR(--(INDEX('Reguler Class Availability'!$F:$F,$Q213)&amp;""),0))</f>
        <v>4</v>
      </c>
      <c r="H213" s="77" t="str">
        <f aca="false">IF($Q213="","",PROPER(INDEX('Reguler Class Availability'!$I:$I,$Q213)&amp;"")&amp;IF(INDEX('Reguler Class Availability'!$J:$J,$Q213)&amp;""="",""," + asst "&amp;PROPER(INDEX('Reguler Class Availability'!$J:$J,$Q213)&amp;"")))</f>
        <v/>
      </c>
      <c r="I213" s="77" t="s">
        <v>458</v>
      </c>
      <c r="J213" s="77" t="s">
        <v>188</v>
      </c>
      <c r="K213" s="78"/>
      <c r="L213" s="78"/>
      <c r="M213" s="78"/>
      <c r="N213" s="79"/>
      <c r="O213" s="78"/>
      <c r="Q213" s="30" t="n">
        <f aca="false">IFERROR(MATCH($B$4&amp;"|- Lane "&amp;D213&amp;" - "&amp;B213&amp;"|"&amp;C213,'Reguler Class Availability'!$L:$L,0),"")</f>
        <v>2260</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115</v>
      </c>
      <c r="C214" s="76" t="s">
        <v>141</v>
      </c>
      <c r="D214" s="76" t="n">
        <v>3</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Belum terisi</v>
      </c>
      <c r="F214" s="77" t="str">
        <f aca="false">IF($Q214="","",PROPER(INDEX('Reguler Class Availability'!$B:$B,$Q214)&amp;""))</f>
        <v>Little</v>
      </c>
      <c r="G214" s="76" t="n">
        <f aca="false">IF($Q214="","",IFERROR(--(INDEX('Reguler Class Availability'!$F:$F,$Q214)&amp;""),0))</f>
        <v>4</v>
      </c>
      <c r="H214" s="77" t="str">
        <f aca="false">IF($Q214="","",PROPER(INDEX('Reguler Class Availability'!$I:$I,$Q214)&amp;"")&amp;IF(INDEX('Reguler Class Availability'!$J:$J,$Q214)&amp;""="",""," + asst "&amp;PROPER(INDEX('Reguler Class Availability'!$J:$J,$Q214)&amp;"")))</f>
        <v/>
      </c>
      <c r="I214" s="77" t="s">
        <v>459</v>
      </c>
      <c r="J214" s="77" t="s">
        <v>188</v>
      </c>
      <c r="K214" s="78"/>
      <c r="L214" s="78"/>
      <c r="M214" s="78"/>
      <c r="N214" s="79"/>
      <c r="O214" s="78"/>
      <c r="Q214" s="30" t="n">
        <f aca="false">IFERROR(MATCH($B$4&amp;"|- Lane "&amp;D214&amp;" - "&amp;B214&amp;"|"&amp;C214,'Reguler Class Availability'!$L:$L,0),"")</f>
        <v>2092</v>
      </c>
      <c r="BD214" s="30" t="s">
        <v>143</v>
      </c>
      <c r="BE214" s="30" t="n">
        <f aca="false">IF(COUNTIFS('Reguler Class Availability'!$L:$L,$B$4&amp;"|- Lane 4 - *|"&amp;BD214)&gt;0,1,0)</f>
        <v>0</v>
      </c>
      <c r="BF214" s="30" t="n">
        <f aca="false">BE214+BF213</f>
        <v>7</v>
      </c>
    </row>
    <row r="215" customFormat="false" ht="27.75" hidden="false" customHeight="true" outlineLevel="0" collapsed="false">
      <c r="A215" s="76" t="n">
        <v>89</v>
      </c>
      <c r="B215" s="77" t="s">
        <v>115</v>
      </c>
      <c r="C215" s="76" t="s">
        <v>141</v>
      </c>
      <c r="D215" s="76" t="n">
        <v>4</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Belum terisi</v>
      </c>
      <c r="F215" s="77" t="str">
        <f aca="false">IF($Q215="","",PROPER(INDEX('Reguler Class Availability'!$B:$B,$Q215)&amp;""))</f>
        <v>Kids</v>
      </c>
      <c r="G215" s="76" t="n">
        <f aca="false">IF($Q215="","",IFERROR(--(INDEX('Reguler Class Availability'!$F:$F,$Q215)&amp;""),0))</f>
        <v>4</v>
      </c>
      <c r="H215" s="77" t="str">
        <f aca="false">IF($Q215="","",PROPER(INDEX('Reguler Class Availability'!$I:$I,$Q215)&amp;"")&amp;IF(INDEX('Reguler Class Availability'!$J:$J,$Q215)&amp;""="",""," + asst "&amp;PROPER(INDEX('Reguler Class Availability'!$J:$J,$Q215)&amp;"")))</f>
        <v/>
      </c>
      <c r="I215" s="77" t="s">
        <v>459</v>
      </c>
      <c r="J215" s="77" t="s">
        <v>188</v>
      </c>
      <c r="K215" s="78"/>
      <c r="L215" s="78"/>
      <c r="M215" s="78"/>
      <c r="N215" s="79"/>
      <c r="O215" s="78"/>
      <c r="Q215" s="30" t="n">
        <f aca="false">IFERROR(MATCH($B$4&amp;"|- Lane "&amp;D215&amp;" - "&amp;B215&amp;"|"&amp;C215,'Reguler Class Availability'!$L:$L,0),"")</f>
        <v>2176</v>
      </c>
      <c r="BD215" s="30" t="s">
        <v>144</v>
      </c>
      <c r="BE215" s="30" t="n">
        <f aca="false">IF(COUNTIFS('Reguler Class Availability'!$L:$L,$B$4&amp;"|- Lane 4 - *|"&amp;BD215)&gt;0,1,0)</f>
        <v>1</v>
      </c>
      <c r="BF215" s="30" t="n">
        <f aca="false">BE215+BF214</f>
        <v>8</v>
      </c>
    </row>
    <row r="216" customFormat="false" ht="27.75" hidden="false" customHeight="true" outlineLevel="0" collapsed="false">
      <c r="A216" s="76" t="n">
        <v>90</v>
      </c>
      <c r="B216" s="77" t="s">
        <v>115</v>
      </c>
      <c r="C216" s="76" t="s">
        <v>143</v>
      </c>
      <c r="D216" s="76" t="n">
        <v>2</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Belum terisi</v>
      </c>
      <c r="F216" s="77" t="str">
        <f aca="false">IF($Q216="","",PROPER(INDEX('Reguler Class Availability'!$B:$B,$Q216)&amp;""))</f>
        <v>Tiny</v>
      </c>
      <c r="G216" s="76" t="n">
        <f aca="false">IF($Q216="","",IFERROR(--(INDEX('Reguler Class Availability'!$F:$F,$Q216)&amp;""),0))</f>
        <v>5</v>
      </c>
      <c r="H216" s="77" t="str">
        <f aca="false">IF($Q216="","",PROPER(INDEX('Reguler Class Availability'!$I:$I,$Q216)&amp;"")&amp;IF(INDEX('Reguler Class Availability'!$J:$J,$Q216)&amp;""="",""," + asst "&amp;PROPER(INDEX('Reguler Class Availability'!$J:$J,$Q216)&amp;"")))</f>
        <v/>
      </c>
      <c r="I216" s="77" t="s">
        <v>459</v>
      </c>
      <c r="J216" s="77" t="s">
        <v>188</v>
      </c>
      <c r="K216" s="78"/>
      <c r="L216" s="78"/>
      <c r="M216" s="78"/>
      <c r="N216" s="79"/>
      <c r="O216" s="78"/>
      <c r="Q216" s="30" t="n">
        <f aca="false">IFERROR(MATCH($B$4&amp;"|- Lane "&amp;D216&amp;" - "&amp;B216&amp;"|"&amp;C216,'Reguler Class Availability'!$L:$L,0),"")</f>
        <v>2009</v>
      </c>
      <c r="BD216" s="30" t="s">
        <v>145</v>
      </c>
      <c r="BE216" s="30" t="n">
        <f aca="false">IF(COUNTIFS('Reguler Class Availability'!$L:$L,$B$4&amp;"|- Lane 4 - *|"&amp;BD216)&gt;0,1,0)</f>
        <v>0</v>
      </c>
      <c r="BF216" s="30" t="n">
        <f aca="false">BE216+BF215</f>
        <v>8</v>
      </c>
    </row>
    <row r="217" customFormat="false" ht="27.75" hidden="false" customHeight="true" outlineLevel="0" collapsed="false">
      <c r="A217" s="76" t="n">
        <v>91</v>
      </c>
      <c r="B217" s="77" t="s">
        <v>115</v>
      </c>
      <c r="C217" s="76" t="s">
        <v>143</v>
      </c>
      <c r="D217" s="76" t="n">
        <v>5</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Kosong</v>
      </c>
      <c r="F217" s="77" t="str">
        <f aca="false">IF($Q217="","",PROPER(INDEX('Reguler Class Availability'!$B:$B,$Q217)&amp;""))</f>
        <v/>
      </c>
      <c r="G217" s="76" t="n">
        <f aca="false">IF($Q217="","",IFERROR(--(INDEX('Reguler Class Availability'!$F:$F,$Q217)&amp;""),0))</f>
        <v>4</v>
      </c>
      <c r="H217" s="77" t="str">
        <f aca="false">IF($Q217="","",PROPER(INDEX('Reguler Class Availability'!$I:$I,$Q217)&amp;"")&amp;IF(INDEX('Reguler Class Availability'!$J:$J,$Q217)&amp;""="",""," + asst "&amp;PROPER(INDEX('Reguler Class Availability'!$J:$J,$Q217)&amp;"")))</f>
        <v/>
      </c>
      <c r="I217" s="77" t="s">
        <v>459</v>
      </c>
      <c r="J217" s="77" t="s">
        <v>188</v>
      </c>
      <c r="K217" s="78"/>
      <c r="L217" s="78"/>
      <c r="M217" s="78"/>
      <c r="N217" s="79"/>
      <c r="O217" s="78"/>
      <c r="Q217" s="30" t="n">
        <f aca="false">IFERROR(MATCH($B$4&amp;"|- Lane "&amp;D217&amp;" - "&amp;B217&amp;"|"&amp;C217,'Reguler Class Availability'!$L:$L,0),"")</f>
        <v>2261</v>
      </c>
      <c r="BD217" s="30" t="s">
        <v>146</v>
      </c>
      <c r="BE217" s="30" t="n">
        <f aca="false">IF(COUNTIFS('Reguler Class Availability'!$L:$L,$B$4&amp;"|- Lane 4 - *|"&amp;BD217)&gt;0,1,0)</f>
        <v>0</v>
      </c>
      <c r="BF217" s="30" t="n">
        <f aca="false">BE217+BF216</f>
        <v>8</v>
      </c>
    </row>
    <row r="218" customFormat="false" ht="27.75" hidden="false" customHeight="true" outlineLevel="0" collapsed="false">
      <c r="A218" s="76" t="n">
        <v>92</v>
      </c>
      <c r="B218" s="77" t="s">
        <v>115</v>
      </c>
      <c r="C218" s="76" t="s">
        <v>144</v>
      </c>
      <c r="D218" s="76" t="n">
        <v>3</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Belum terisi</v>
      </c>
      <c r="F218" s="77" t="str">
        <f aca="false">IF($Q218="","",PROPER(INDEX('Reguler Class Availability'!$B:$B,$Q218)&amp;""))</f>
        <v>Little</v>
      </c>
      <c r="G218" s="76" t="n">
        <f aca="false">IF($Q218="","",IFERROR(--(INDEX('Reguler Class Availability'!$F:$F,$Q218)&amp;""),0))</f>
        <v>4</v>
      </c>
      <c r="H218" s="77" t="str">
        <f aca="false">IF($Q218="","",PROPER(INDEX('Reguler Class Availability'!$I:$I,$Q218)&amp;"")&amp;IF(INDEX('Reguler Class Availability'!$J:$J,$Q218)&amp;""="",""," + asst "&amp;PROPER(INDEX('Reguler Class Availability'!$J:$J,$Q218)&amp;"")))</f>
        <v/>
      </c>
      <c r="I218" s="77" t="s">
        <v>459</v>
      </c>
      <c r="J218" s="77" t="s">
        <v>188</v>
      </c>
      <c r="K218" s="78"/>
      <c r="L218" s="78"/>
      <c r="M218" s="78"/>
      <c r="N218" s="79"/>
      <c r="O218" s="78"/>
      <c r="Q218" s="30" t="n">
        <f aca="false">IFERROR(MATCH($B$4&amp;"|- Lane "&amp;D218&amp;" - "&amp;B218&amp;"|"&amp;C218,'Reguler Class Availability'!$L:$L,0),"")</f>
        <v>2093</v>
      </c>
      <c r="BD218" s="30" t="s">
        <v>147</v>
      </c>
      <c r="BE218" s="30" t="n">
        <f aca="false">IF(COUNTIFS('Reguler Class Availability'!$L:$L,$B$4&amp;"|- Lane 4 - *|"&amp;BD218)&gt;0,1,0)</f>
        <v>1</v>
      </c>
      <c r="BF218" s="30" t="n">
        <f aca="false">BE218+BF217</f>
        <v>9</v>
      </c>
    </row>
    <row r="219" customFormat="false" ht="27.75" hidden="false" customHeight="true" outlineLevel="0" collapsed="false">
      <c r="A219" s="76" t="n">
        <v>93</v>
      </c>
      <c r="B219" s="77" t="s">
        <v>115</v>
      </c>
      <c r="C219" s="76" t="s">
        <v>144</v>
      </c>
      <c r="D219" s="76" t="n">
        <v>4</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Belum terisi</v>
      </c>
      <c r="F219" s="77" t="str">
        <f aca="false">IF($Q219="","",PROPER(INDEX('Reguler Class Availability'!$B:$B,$Q219)&amp;""))</f>
        <v>Kids</v>
      </c>
      <c r="G219" s="76" t="n">
        <f aca="false">IF($Q219="","",IFERROR(--(INDEX('Reguler Class Availability'!$F:$F,$Q219)&amp;""),0))</f>
        <v>4</v>
      </c>
      <c r="H219" s="77" t="str">
        <f aca="false">IF($Q219="","",PROPER(INDEX('Reguler Class Availability'!$I:$I,$Q219)&amp;"")&amp;IF(INDEX('Reguler Class Availability'!$J:$J,$Q219)&amp;""="",""," + asst "&amp;PROPER(INDEX('Reguler Class Availability'!$J:$J,$Q219)&amp;"")))</f>
        <v/>
      </c>
      <c r="I219" s="77" t="s">
        <v>459</v>
      </c>
      <c r="J219" s="77" t="s">
        <v>188</v>
      </c>
      <c r="K219" s="78"/>
      <c r="L219" s="78"/>
      <c r="M219" s="78"/>
      <c r="N219" s="79"/>
      <c r="O219" s="78"/>
      <c r="Q219" s="30" t="n">
        <f aca="false">IFERROR(MATCH($B$4&amp;"|- Lane "&amp;D219&amp;" - "&amp;B219&amp;"|"&amp;C219,'Reguler Class Availability'!$L:$L,0),"")</f>
        <v>2177</v>
      </c>
      <c r="BD219" s="30" t="s">
        <v>148</v>
      </c>
      <c r="BE219" s="30" t="n">
        <f aca="false">IF(COUNTIFS('Reguler Class Availability'!$L:$L,$B$4&amp;"|- Lane 4 - *|"&amp;BD219)&gt;0,1,0)</f>
        <v>0</v>
      </c>
      <c r="BF219" s="30" t="n">
        <f aca="false">BE219+BF218</f>
        <v>9</v>
      </c>
    </row>
    <row r="220" customFormat="false" ht="27.75" hidden="false" customHeight="true" outlineLevel="0" collapsed="false">
      <c r="A220" s="76" t="n">
        <v>94</v>
      </c>
      <c r="B220" s="77" t="s">
        <v>115</v>
      </c>
      <c r="C220" s="76" t="s">
        <v>146</v>
      </c>
      <c r="D220" s="76" t="n">
        <v>1</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Belum terisi</v>
      </c>
      <c r="F220" s="77" t="str">
        <f aca="false">IF($Q220="","",PROPER(INDEX('Reguler Class Availability'!$B:$B,$Q220)&amp;""))</f>
        <v>Baby</v>
      </c>
      <c r="G220" s="76" t="n">
        <f aca="false">IF($Q220="","",IFERROR(--(INDEX('Reguler Class Availability'!$F:$F,$Q220)&amp;""),0))</f>
        <v>5</v>
      </c>
      <c r="H220" s="77" t="str">
        <f aca="false">IF($Q220="","",PROPER(INDEX('Reguler Class Availability'!$I:$I,$Q220)&amp;"")&amp;IF(INDEX('Reguler Class Availability'!$J:$J,$Q220)&amp;""="",""," + asst "&amp;PROPER(INDEX('Reguler Class Availability'!$J:$J,$Q220)&amp;"")))</f>
        <v/>
      </c>
      <c r="I220" s="77" t="s">
        <v>460</v>
      </c>
      <c r="J220" s="77" t="s">
        <v>188</v>
      </c>
      <c r="K220" s="78"/>
      <c r="L220" s="78"/>
      <c r="M220" s="78"/>
      <c r="N220" s="79"/>
      <c r="O220" s="78"/>
      <c r="Q220" s="30" t="n">
        <f aca="false">IFERROR(MATCH($B$4&amp;"|- Lane "&amp;D220&amp;" - "&amp;B220&amp;"|"&amp;C220,'Reguler Class Availability'!$L:$L,0),"")</f>
        <v>1912</v>
      </c>
      <c r="BD220" s="30" t="s">
        <v>149</v>
      </c>
      <c r="BE220" s="30" t="n">
        <f aca="false">IF(COUNTIFS('Reguler Class Availability'!$L:$L,$B$4&amp;"|- Lane 4 - *|"&amp;BD220)&gt;0,1,0)</f>
        <v>0</v>
      </c>
      <c r="BF220" s="30" t="n">
        <f aca="false">BE220+BF219</f>
        <v>9</v>
      </c>
    </row>
    <row r="221" customFormat="false" ht="27.75" hidden="false" customHeight="true" outlineLevel="0" collapsed="false">
      <c r="A221" s="76" t="n">
        <v>95</v>
      </c>
      <c r="B221" s="77" t="s">
        <v>115</v>
      </c>
      <c r="C221" s="76" t="s">
        <v>146</v>
      </c>
      <c r="D221" s="76" t="n">
        <v>2</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Belum terisi</v>
      </c>
      <c r="F221" s="77" t="str">
        <f aca="false">IF($Q221="","",PROPER(INDEX('Reguler Class Availability'!$B:$B,$Q221)&amp;""))</f>
        <v>Tiny</v>
      </c>
      <c r="G221" s="76" t="n">
        <f aca="false">IF($Q221="","",IFERROR(--(INDEX('Reguler Class Availability'!$F:$F,$Q221)&amp;""),0))</f>
        <v>5</v>
      </c>
      <c r="H221" s="77" t="str">
        <f aca="false">IF($Q221="","",PROPER(INDEX('Reguler Class Availability'!$I:$I,$Q221)&amp;"")&amp;IF(INDEX('Reguler Class Availability'!$J:$J,$Q221)&amp;""="",""," + asst "&amp;PROPER(INDEX('Reguler Class Availability'!$J:$J,$Q221)&amp;"")))</f>
        <v/>
      </c>
      <c r="I221" s="77" t="s">
        <v>460</v>
      </c>
      <c r="J221" s="77" t="s">
        <v>188</v>
      </c>
      <c r="K221" s="78"/>
      <c r="L221" s="78"/>
      <c r="M221" s="78"/>
      <c r="N221" s="79"/>
      <c r="O221" s="78"/>
      <c r="Q221" s="30" t="n">
        <f aca="false">IFERROR(MATCH($B$4&amp;"|- Lane "&amp;D221&amp;" - "&amp;B221&amp;"|"&amp;C221,'Reguler Class Availability'!$L:$L,0),"")</f>
        <v>2010</v>
      </c>
      <c r="BD221" s="30" t="s">
        <v>150</v>
      </c>
      <c r="BE221" s="30" t="n">
        <f aca="false">IF(COUNTIFS('Reguler Class Availability'!$L:$L,$B$4&amp;"|- Lane 4 - *|"&amp;BD221)&gt;0,1,0)</f>
        <v>1</v>
      </c>
      <c r="BF221" s="30" t="n">
        <f aca="false">BE221+BF220</f>
        <v>10</v>
      </c>
    </row>
    <row r="222" customFormat="false" ht="27.75" hidden="false" customHeight="true" outlineLevel="0" collapsed="false">
      <c r="A222" s="76" t="n">
        <v>96</v>
      </c>
      <c r="B222" s="77" t="s">
        <v>115</v>
      </c>
      <c r="C222" s="76" t="s">
        <v>146</v>
      </c>
      <c r="D222" s="76" t="n">
        <v>5</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Kosong</v>
      </c>
      <c r="F222" s="77" t="str">
        <f aca="false">IF($Q222="","",PROPER(INDEX('Reguler Class Availability'!$B:$B,$Q222)&amp;""))</f>
        <v/>
      </c>
      <c r="G222" s="76" t="n">
        <f aca="false">IF($Q222="","",IFERROR(--(INDEX('Reguler Class Availability'!$F:$F,$Q222)&amp;""),0))</f>
        <v>4</v>
      </c>
      <c r="H222" s="77" t="str">
        <f aca="false">IF($Q222="","",PROPER(INDEX('Reguler Class Availability'!$I:$I,$Q222)&amp;"")&amp;IF(INDEX('Reguler Class Availability'!$J:$J,$Q222)&amp;""="",""," + asst "&amp;PROPER(INDEX('Reguler Class Availability'!$J:$J,$Q222)&amp;"")))</f>
        <v/>
      </c>
      <c r="I222" s="77" t="s">
        <v>460</v>
      </c>
      <c r="J222" s="77" t="s">
        <v>188</v>
      </c>
      <c r="K222" s="78"/>
      <c r="L222" s="78"/>
      <c r="M222" s="78"/>
      <c r="N222" s="79"/>
      <c r="O222" s="78"/>
      <c r="Q222" s="30" t="n">
        <f aca="false">IFERROR(MATCH($B$4&amp;"|- Lane "&amp;D222&amp;" - "&amp;B222&amp;"|"&amp;C222,'Reguler Class Availability'!$L:$L,0),"")</f>
        <v>2262</v>
      </c>
      <c r="BD222" s="30" t="s">
        <v>151</v>
      </c>
      <c r="BE222" s="30" t="n">
        <f aca="false">IF(COUNTIFS('Reguler Class Availability'!$L:$L,$B$4&amp;"|- Lane 4 - *|"&amp;BD222)&gt;0,1,0)</f>
        <v>0</v>
      </c>
      <c r="BF222" s="30" t="n">
        <f aca="false">BE222+BF221</f>
        <v>10</v>
      </c>
    </row>
    <row r="223" customFormat="false" ht="27.75" hidden="false" customHeight="true" outlineLevel="0" collapsed="false">
      <c r="A223" s="76" t="n">
        <v>97</v>
      </c>
      <c r="B223" s="77" t="s">
        <v>115</v>
      </c>
      <c r="C223" s="76" t="s">
        <v>147</v>
      </c>
      <c r="D223" s="76" t="n">
        <v>3</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Belum terisi</v>
      </c>
      <c r="F223" s="77" t="str">
        <f aca="false">IF($Q223="","",PROPER(INDEX('Reguler Class Availability'!$B:$B,$Q223)&amp;""))</f>
        <v>Little</v>
      </c>
      <c r="G223" s="76" t="n">
        <f aca="false">IF($Q223="","",IFERROR(--(INDEX('Reguler Class Availability'!$F:$F,$Q223)&amp;""),0))</f>
        <v>4</v>
      </c>
      <c r="H223" s="77" t="str">
        <f aca="false">IF($Q223="","",PROPER(INDEX('Reguler Class Availability'!$I:$I,$Q223)&amp;"")&amp;IF(INDEX('Reguler Class Availability'!$J:$J,$Q223)&amp;""="",""," + asst "&amp;PROPER(INDEX('Reguler Class Availability'!$J:$J,$Q223)&amp;"")))</f>
        <v/>
      </c>
      <c r="I223" s="77" t="s">
        <v>460</v>
      </c>
      <c r="J223" s="77" t="s">
        <v>188</v>
      </c>
      <c r="K223" s="78"/>
      <c r="L223" s="78"/>
      <c r="M223" s="78"/>
      <c r="N223" s="79"/>
      <c r="O223" s="78"/>
      <c r="Q223" s="30" t="n">
        <f aca="false">IFERROR(MATCH($B$4&amp;"|- Lane "&amp;D223&amp;" - "&amp;B223&amp;"|"&amp;C223,'Reguler Class Availability'!$L:$L,0),"")</f>
        <v>2094</v>
      </c>
      <c r="BD223" s="30" t="s">
        <v>152</v>
      </c>
      <c r="BE223" s="30" t="n">
        <f aca="false">IF(COUNTIFS('Reguler Class Availability'!$L:$L,$B$4&amp;"|- Lane 4 - *|"&amp;BD223)&gt;0,1,0)</f>
        <v>0</v>
      </c>
      <c r="BF223" s="30" t="n">
        <f aca="false">BE223+BF222</f>
        <v>10</v>
      </c>
    </row>
    <row r="224" customFormat="false" ht="27.75" hidden="false" customHeight="true" outlineLevel="0" collapsed="false">
      <c r="A224" s="76" t="n">
        <v>98</v>
      </c>
      <c r="B224" s="77" t="s">
        <v>115</v>
      </c>
      <c r="C224" s="76" t="s">
        <v>149</v>
      </c>
      <c r="D224" s="76" t="n">
        <v>1</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Belum terisi</v>
      </c>
      <c r="F224" s="77" t="str">
        <f aca="false">IF($Q224="","",PROPER(INDEX('Reguler Class Availability'!$B:$B,$Q224)&amp;""))</f>
        <v>Baby</v>
      </c>
      <c r="G224" s="76" t="n">
        <f aca="false">IF($Q224="","",IFERROR(--(INDEX('Reguler Class Availability'!$F:$F,$Q224)&amp;""),0))</f>
        <v>5</v>
      </c>
      <c r="H224" s="77" t="str">
        <f aca="false">IF($Q224="","",PROPER(INDEX('Reguler Class Availability'!$I:$I,$Q224)&amp;"")&amp;IF(INDEX('Reguler Class Availability'!$J:$J,$Q224)&amp;""="",""," + asst "&amp;PROPER(INDEX('Reguler Class Availability'!$J:$J,$Q224)&amp;"")))</f>
        <v/>
      </c>
      <c r="I224" s="77" t="s">
        <v>460</v>
      </c>
      <c r="J224" s="77" t="s">
        <v>188</v>
      </c>
      <c r="K224" s="78"/>
      <c r="L224" s="78"/>
      <c r="M224" s="78"/>
      <c r="N224" s="79"/>
      <c r="O224" s="78"/>
      <c r="Q224" s="30" t="n">
        <f aca="false">IFERROR(MATCH($B$4&amp;"|- Lane "&amp;D224&amp;" - "&amp;B224&amp;"|"&amp;C224,'Reguler Class Availability'!$L:$L,0),"")</f>
        <v>1913</v>
      </c>
      <c r="BD224" s="30" t="s">
        <v>153</v>
      </c>
      <c r="BE224" s="30" t="n">
        <f aca="false">IF(COUNTIFS('Reguler Class Availability'!$L:$L,$B$4&amp;"|- Lane 4 - *|"&amp;BD224)&gt;0,1,0)</f>
        <v>1</v>
      </c>
      <c r="BF224" s="30" t="n">
        <f aca="false">BE224+BF223</f>
        <v>11</v>
      </c>
    </row>
    <row r="225" customFormat="false" ht="27.75" hidden="false" customHeight="true" outlineLevel="0" collapsed="false">
      <c r="A225" s="76" t="n">
        <v>99</v>
      </c>
      <c r="B225" s="77" t="s">
        <v>115</v>
      </c>
      <c r="C225" s="76" t="s">
        <v>149</v>
      </c>
      <c r="D225" s="76" t="n">
        <v>2</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Belum terisi</v>
      </c>
      <c r="F225" s="77" t="str">
        <f aca="false">IF($Q225="","",PROPER(INDEX('Reguler Class Availability'!$B:$B,$Q225)&amp;""))</f>
        <v>Tiny</v>
      </c>
      <c r="G225" s="76" t="n">
        <f aca="false">IF($Q225="","",IFERROR(--(INDEX('Reguler Class Availability'!$F:$F,$Q225)&amp;""),0))</f>
        <v>5</v>
      </c>
      <c r="H225" s="77" t="str">
        <f aca="false">IF($Q225="","",PROPER(INDEX('Reguler Class Availability'!$I:$I,$Q225)&amp;"")&amp;IF(INDEX('Reguler Class Availability'!$J:$J,$Q225)&amp;""="",""," + asst "&amp;PROPER(INDEX('Reguler Class Availability'!$J:$J,$Q225)&amp;"")))</f>
        <v/>
      </c>
      <c r="I225" s="77" t="s">
        <v>460</v>
      </c>
      <c r="J225" s="77" t="s">
        <v>188</v>
      </c>
      <c r="K225" s="78"/>
      <c r="L225" s="78"/>
      <c r="M225" s="78"/>
      <c r="N225" s="79"/>
      <c r="O225" s="78"/>
      <c r="Q225" s="30" t="n">
        <f aca="false">IFERROR(MATCH($B$4&amp;"|- Lane "&amp;D225&amp;" - "&amp;B225&amp;"|"&amp;C225,'Reguler Class Availability'!$L:$L,0),"")</f>
        <v>2011</v>
      </c>
      <c r="BD225" s="30" t="s">
        <v>154</v>
      </c>
      <c r="BE225" s="30" t="n">
        <f aca="false">IF(COUNTIFS('Reguler Class Availability'!$L:$L,$B$4&amp;"|- Lane 4 - *|"&amp;BD225)&gt;0,1,0)</f>
        <v>0</v>
      </c>
      <c r="BF225" s="30" t="n">
        <f aca="false">BE225+BF224</f>
        <v>11</v>
      </c>
    </row>
    <row r="226" customFormat="false" ht="27.75" hidden="false" customHeight="true" outlineLevel="0" collapsed="false">
      <c r="A226" s="76" t="n">
        <v>100</v>
      </c>
      <c r="B226" s="77" t="s">
        <v>115</v>
      </c>
      <c r="C226" s="76" t="s">
        <v>149</v>
      </c>
      <c r="D226" s="76" t="n">
        <v>5</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Kosong</v>
      </c>
      <c r="F226" s="77" t="str">
        <f aca="false">IF($Q226="","",PROPER(INDEX('Reguler Class Availability'!$B:$B,$Q226)&amp;""))</f>
        <v/>
      </c>
      <c r="G226" s="76" t="n">
        <f aca="false">IF($Q226="","",IFERROR(--(INDEX('Reguler Class Availability'!$F:$F,$Q226)&amp;""),0))</f>
        <v>4</v>
      </c>
      <c r="H226" s="77" t="str">
        <f aca="false">IF($Q226="","",PROPER(INDEX('Reguler Class Availability'!$I:$I,$Q226)&amp;"")&amp;IF(INDEX('Reguler Class Availability'!$J:$J,$Q226)&amp;""="",""," + asst "&amp;PROPER(INDEX('Reguler Class Availability'!$J:$J,$Q226)&amp;"")))</f>
        <v/>
      </c>
      <c r="I226" s="77" t="s">
        <v>460</v>
      </c>
      <c r="J226" s="77" t="s">
        <v>188</v>
      </c>
      <c r="K226" s="78"/>
      <c r="L226" s="78"/>
      <c r="M226" s="78"/>
      <c r="N226" s="79"/>
      <c r="O226" s="78"/>
      <c r="Q226" s="30" t="n">
        <f aca="false">IFERROR(MATCH($B$4&amp;"|- Lane "&amp;D226&amp;" - "&amp;B226&amp;"|"&amp;C226,'Reguler Class Availability'!$L:$L,0),"")</f>
        <v>2263</v>
      </c>
      <c r="BD226" s="30" t="s">
        <v>155</v>
      </c>
      <c r="BE226" s="30" t="n">
        <f aca="false">IF(COUNTIFS('Reguler Class Availability'!$L:$L,$B$4&amp;"|- Lane 4 - *|"&amp;BD226)&gt;0,1,0)</f>
        <v>0</v>
      </c>
      <c r="BF226" s="30" t="n">
        <f aca="false">BE226+BF225</f>
        <v>11</v>
      </c>
    </row>
    <row r="227" customFormat="false" ht="27.75" hidden="false" customHeight="true" outlineLevel="0" collapsed="false">
      <c r="A227" s="76" t="n">
        <v>101</v>
      </c>
      <c r="B227" s="77" t="s">
        <v>115</v>
      </c>
      <c r="C227" s="76" t="s">
        <v>150</v>
      </c>
      <c r="D227" s="76" t="n">
        <v>4</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Kids</v>
      </c>
      <c r="G227" s="76" t="n">
        <f aca="false">IF($Q227="","",IFERROR(--(INDEX('Reguler Class Availability'!$F:$F,$Q227)&amp;""),0))</f>
        <v>4</v>
      </c>
      <c r="H227" s="77" t="str">
        <f aca="false">IF($Q227="","",PROPER(INDEX('Reguler Class Availability'!$I:$I,$Q227)&amp;"")&amp;IF(INDEX('Reguler Class Availability'!$J:$J,$Q227)&amp;""="",""," + asst "&amp;PROPER(INDEX('Reguler Class Availability'!$J:$J,$Q227)&amp;"")))</f>
        <v/>
      </c>
      <c r="I227" s="77" t="s">
        <v>460</v>
      </c>
      <c r="J227" s="77" t="s">
        <v>188</v>
      </c>
      <c r="K227" s="78"/>
      <c r="L227" s="78"/>
      <c r="M227" s="78"/>
      <c r="N227" s="79"/>
      <c r="O227" s="78"/>
      <c r="Q227" s="30" t="n">
        <f aca="false">IFERROR(MATCH($B$4&amp;"|- Lane "&amp;D227&amp;" - "&amp;B227&amp;"|"&amp;C227,'Reguler Class Availability'!$L:$L,0),"")</f>
        <v>2179</v>
      </c>
      <c r="BD227" s="30" t="s">
        <v>156</v>
      </c>
      <c r="BE227" s="30" t="n">
        <f aca="false">IF(COUNTIFS('Reguler Class Availability'!$L:$L,$B$4&amp;"|- Lane 4 - *|"&amp;BD227)&gt;0,1,0)</f>
        <v>1</v>
      </c>
      <c r="BF227" s="30" t="n">
        <f aca="false">BE227+BF226</f>
        <v>12</v>
      </c>
    </row>
    <row r="228" customFormat="false" ht="15.75" hidden="false" customHeight="true" outlineLevel="0" collapsed="false">
      <c r="A228" s="76" t="n">
        <v>102</v>
      </c>
      <c r="B228" s="77" t="s">
        <v>115</v>
      </c>
      <c r="C228" s="76" t="s">
        <v>152</v>
      </c>
      <c r="D228" s="76" t="n">
        <v>1</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Belum terisi</v>
      </c>
      <c r="F228" s="77" t="str">
        <f aca="false">IF($Q228="","",PROPER(INDEX('Reguler Class Availability'!$B:$B,$Q228)&amp;""))</f>
        <v>Baby</v>
      </c>
      <c r="G228" s="76" t="n">
        <f aca="false">IF($Q228="","",IFERROR(--(INDEX('Reguler Class Availability'!$F:$F,$Q228)&amp;""),0))</f>
        <v>5</v>
      </c>
      <c r="H228" s="77" t="str">
        <f aca="false">IF($Q228="","",PROPER(INDEX('Reguler Class Availability'!$I:$I,$Q228)&amp;"")&amp;IF(INDEX('Reguler Class Availability'!$J:$J,$Q228)&amp;""="",""," + asst "&amp;PROPER(INDEX('Reguler Class Availability'!$J:$J,$Q228)&amp;"")))</f>
        <v/>
      </c>
      <c r="I228" s="77" t="s">
        <v>461</v>
      </c>
      <c r="J228" s="77" t="s">
        <v>188</v>
      </c>
      <c r="K228" s="78"/>
      <c r="L228" s="78"/>
      <c r="M228" s="78"/>
      <c r="N228" s="79"/>
      <c r="O228" s="78"/>
      <c r="Q228" s="30" t="n">
        <f aca="false">IFERROR(MATCH($B$4&amp;"|- Lane "&amp;D228&amp;" - "&amp;B228&amp;"|"&amp;C228,'Reguler Class Availability'!$L:$L,0),"")</f>
        <v>1914</v>
      </c>
      <c r="BD228" s="30" t="s">
        <v>157</v>
      </c>
      <c r="BE228" s="30" t="n">
        <f aca="false">IF(COUNTIFS('Reguler Class Availability'!$L:$L,$B$4&amp;"|- Lane 4 - *|"&amp;BD228)&gt;0,1,0)</f>
        <v>0</v>
      </c>
      <c r="BF228" s="30" t="n">
        <f aca="false">BE228+BF227</f>
        <v>12</v>
      </c>
    </row>
    <row r="229" customFormat="false" ht="15.75" hidden="false" customHeight="true" outlineLevel="0" collapsed="false">
      <c r="A229" s="76" t="n">
        <v>103</v>
      </c>
      <c r="B229" s="77" t="s">
        <v>115</v>
      </c>
      <c r="C229" s="76" t="s">
        <v>152</v>
      </c>
      <c r="D229" s="76" t="n">
        <v>2</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Belum terisi</v>
      </c>
      <c r="F229" s="77" t="str">
        <f aca="false">IF($Q229="","",PROPER(INDEX('Reguler Class Availability'!$B:$B,$Q229)&amp;""))</f>
        <v>Tiny</v>
      </c>
      <c r="G229" s="76" t="n">
        <f aca="false">IF($Q229="","",IFERROR(--(INDEX('Reguler Class Availability'!$F:$F,$Q229)&amp;""),0))</f>
        <v>5</v>
      </c>
      <c r="H229" s="77" t="str">
        <f aca="false">IF($Q229="","",PROPER(INDEX('Reguler Class Availability'!$I:$I,$Q229)&amp;"")&amp;IF(INDEX('Reguler Class Availability'!$J:$J,$Q229)&amp;""="",""," + asst "&amp;PROPER(INDEX('Reguler Class Availability'!$J:$J,$Q229)&amp;"")))</f>
        <v/>
      </c>
      <c r="I229" s="77" t="s">
        <v>461</v>
      </c>
      <c r="J229" s="77" t="s">
        <v>188</v>
      </c>
      <c r="K229" s="78"/>
      <c r="L229" s="78"/>
      <c r="M229" s="78"/>
      <c r="N229" s="79"/>
      <c r="O229" s="78"/>
      <c r="Q229" s="30" t="n">
        <f aca="false">IFERROR(MATCH($B$4&amp;"|- Lane "&amp;D229&amp;" - "&amp;B229&amp;"|"&amp;C229,'Reguler Class Availability'!$L:$L,0),"")</f>
        <v>2012</v>
      </c>
      <c r="BD229" s="30" t="s">
        <v>158</v>
      </c>
      <c r="BE229" s="30" t="n">
        <f aca="false">IF(COUNTIFS('Reguler Class Availability'!$L:$L,$B$4&amp;"|- Lane 4 - *|"&amp;BD229)&gt;0,1,0)</f>
        <v>0</v>
      </c>
      <c r="BF229" s="30" t="n">
        <f aca="false">BE229+BF228</f>
        <v>12</v>
      </c>
    </row>
    <row r="230" customFormat="false" ht="15.75" hidden="false" customHeight="true" outlineLevel="0" collapsed="false">
      <c r="A230" s="76" t="n">
        <v>104</v>
      </c>
      <c r="B230" s="77" t="s">
        <v>115</v>
      </c>
      <c r="C230" s="76" t="s">
        <v>152</v>
      </c>
      <c r="D230" s="76" t="n">
        <v>5</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Kosong</v>
      </c>
      <c r="F230" s="77" t="str">
        <f aca="false">IF($Q230="","",PROPER(INDEX('Reguler Class Availability'!$B:$B,$Q230)&amp;""))</f>
        <v/>
      </c>
      <c r="G230" s="76" t="n">
        <f aca="false">IF($Q230="","",IFERROR(--(INDEX('Reguler Class Availability'!$F:$F,$Q230)&amp;""),0))</f>
        <v>4</v>
      </c>
      <c r="H230" s="77" t="str">
        <f aca="false">IF($Q230="","",PROPER(INDEX('Reguler Class Availability'!$I:$I,$Q230)&amp;"")&amp;IF(INDEX('Reguler Class Availability'!$J:$J,$Q230)&amp;""="",""," + asst "&amp;PROPER(INDEX('Reguler Class Availability'!$J:$J,$Q230)&amp;"")))</f>
        <v/>
      </c>
      <c r="I230" s="77" t="s">
        <v>461</v>
      </c>
      <c r="J230" s="77" t="s">
        <v>188</v>
      </c>
      <c r="K230" s="78"/>
      <c r="L230" s="78"/>
      <c r="M230" s="78"/>
      <c r="N230" s="79"/>
      <c r="O230" s="78"/>
      <c r="Q230" s="30" t="n">
        <f aca="false">IFERROR(MATCH($B$4&amp;"|- Lane "&amp;D230&amp;" - "&amp;B230&amp;"|"&amp;C230,'Reguler Class Availability'!$L:$L,0),"")</f>
        <v>2264</v>
      </c>
      <c r="BD230" s="30" t="s">
        <v>160</v>
      </c>
      <c r="BE230" s="30" t="n">
        <f aca="false">IF(COUNTIFS('Reguler Class Availability'!$L:$L,$B$4&amp;"|- Lane 4 - *|"&amp;BD230)&gt;0,1,0)</f>
        <v>0</v>
      </c>
      <c r="BF230" s="30" t="n">
        <f aca="false">BE230+BF229</f>
        <v>12</v>
      </c>
    </row>
    <row r="231" customFormat="false" ht="27.75" hidden="false" customHeight="true" outlineLevel="0" collapsed="false">
      <c r="A231" s="76" t="n">
        <v>105</v>
      </c>
      <c r="B231" s="77" t="s">
        <v>115</v>
      </c>
      <c r="C231" s="76" t="s">
        <v>153</v>
      </c>
      <c r="D231" s="76" t="n">
        <v>3</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Belum terisi</v>
      </c>
      <c r="F231" s="77" t="str">
        <f aca="false">IF($Q231="","",PROPER(INDEX('Reguler Class Availability'!$B:$B,$Q231)&amp;""))</f>
        <v>Little</v>
      </c>
      <c r="G231" s="76" t="n">
        <f aca="false">IF($Q231="","",IFERROR(--(INDEX('Reguler Class Availability'!$F:$F,$Q231)&amp;""),0))</f>
        <v>4</v>
      </c>
      <c r="H231" s="77" t="str">
        <f aca="false">IF($Q231="","",PROPER(INDEX('Reguler Class Availability'!$I:$I,$Q231)&amp;"")&amp;IF(INDEX('Reguler Class Availability'!$J:$J,$Q231)&amp;""="",""," + asst "&amp;PROPER(INDEX('Reguler Class Availability'!$J:$J,$Q231)&amp;"")))</f>
        <v/>
      </c>
      <c r="I231" s="77" t="s">
        <v>462</v>
      </c>
      <c r="J231" s="77" t="s">
        <v>188</v>
      </c>
      <c r="K231" s="78"/>
      <c r="L231" s="78"/>
      <c r="M231" s="78"/>
      <c r="N231" s="79"/>
      <c r="O231" s="78"/>
      <c r="Q231" s="30" t="n">
        <f aca="false">IFERROR(MATCH($B$4&amp;"|- Lane "&amp;D231&amp;" - "&amp;B231&amp;"|"&amp;C231,'Reguler Class Availability'!$L:$L,0),"")</f>
        <v>2096</v>
      </c>
      <c r="BD231" s="30" t="s">
        <v>161</v>
      </c>
      <c r="BE231" s="30" t="n">
        <f aca="false">IF(COUNTIFS('Reguler Class Availability'!$L:$L,$B$4&amp;"|- Lane 4 - *|"&amp;BD231)&gt;0,1,0)</f>
        <v>0</v>
      </c>
      <c r="BF231" s="30" t="n">
        <f aca="false">BE231+BF230</f>
        <v>12</v>
      </c>
    </row>
    <row r="232" customFormat="false" ht="27.75" hidden="false" customHeight="true" outlineLevel="0" collapsed="false">
      <c r="A232" s="76" t="n">
        <v>106</v>
      </c>
      <c r="B232" s="77" t="s">
        <v>115</v>
      </c>
      <c r="C232" s="76" t="s">
        <v>155</v>
      </c>
      <c r="D232" s="76" t="n">
        <v>1</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Belum terisi</v>
      </c>
      <c r="F232" s="77" t="str">
        <f aca="false">IF($Q232="","",PROPER(INDEX('Reguler Class Availability'!$B:$B,$Q232)&amp;""))</f>
        <v>Baby</v>
      </c>
      <c r="G232" s="76" t="n">
        <f aca="false">IF($Q232="","",IFERROR(--(INDEX('Reguler Class Availability'!$F:$F,$Q232)&amp;""),0))</f>
        <v>5</v>
      </c>
      <c r="H232" s="77" t="str">
        <f aca="false">IF($Q232="","",PROPER(INDEX('Reguler Class Availability'!$I:$I,$Q232)&amp;"")&amp;IF(INDEX('Reguler Class Availability'!$J:$J,$Q232)&amp;""="",""," + asst "&amp;PROPER(INDEX('Reguler Class Availability'!$J:$J,$Q232)&amp;"")))</f>
        <v/>
      </c>
      <c r="I232" s="77" t="s">
        <v>462</v>
      </c>
      <c r="J232" s="77" t="s">
        <v>188</v>
      </c>
      <c r="K232" s="78"/>
      <c r="L232" s="78"/>
      <c r="M232" s="78"/>
      <c r="N232" s="79"/>
      <c r="O232" s="78"/>
      <c r="Q232" s="30" t="n">
        <f aca="false">IFERROR(MATCH($B$4&amp;"|- Lane "&amp;D232&amp;" - "&amp;B232&amp;"|"&amp;C232,'Reguler Class Availability'!$L:$L,0),"")</f>
        <v>1915</v>
      </c>
      <c r="BD232" s="30" t="s">
        <v>162</v>
      </c>
      <c r="BE232" s="30" t="n">
        <f aca="false">IF(COUNTIFS('Reguler Class Availability'!$L:$L,$B$4&amp;"|- Lane 4 - *|"&amp;BD232)&gt;0,1,0)</f>
        <v>0</v>
      </c>
      <c r="BF232" s="30" t="n">
        <f aca="false">BE232+BF231</f>
        <v>12</v>
      </c>
    </row>
    <row r="233" customFormat="false" ht="27.75" hidden="false" customHeight="true" outlineLevel="0" collapsed="false">
      <c r="A233" s="76" t="n">
        <v>107</v>
      </c>
      <c r="B233" s="77" t="s">
        <v>115</v>
      </c>
      <c r="C233" s="76" t="s">
        <v>155</v>
      </c>
      <c r="D233" s="76" t="n">
        <v>2</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Belum terisi</v>
      </c>
      <c r="F233" s="77" t="str">
        <f aca="false">IF($Q233="","",PROPER(INDEX('Reguler Class Availability'!$B:$B,$Q233)&amp;""))</f>
        <v>Tiny</v>
      </c>
      <c r="G233" s="76" t="n">
        <f aca="false">IF($Q233="","",IFERROR(--(INDEX('Reguler Class Availability'!$F:$F,$Q233)&amp;""),0))</f>
        <v>5</v>
      </c>
      <c r="H233" s="77" t="str">
        <f aca="false">IF($Q233="","",PROPER(INDEX('Reguler Class Availability'!$I:$I,$Q233)&amp;"")&amp;IF(INDEX('Reguler Class Availability'!$J:$J,$Q233)&amp;""="",""," + asst "&amp;PROPER(INDEX('Reguler Class Availability'!$J:$J,$Q233)&amp;"")))</f>
        <v/>
      </c>
      <c r="I233" s="77" t="s">
        <v>462</v>
      </c>
      <c r="J233" s="77" t="s">
        <v>188</v>
      </c>
      <c r="K233" s="78"/>
      <c r="L233" s="78"/>
      <c r="M233" s="78"/>
      <c r="N233" s="79"/>
      <c r="O233" s="78"/>
      <c r="Q233" s="30" t="n">
        <f aca="false">IFERROR(MATCH($B$4&amp;"|- Lane "&amp;D233&amp;" - "&amp;B233&amp;"|"&amp;C233,'Reguler Class Availability'!$L:$L,0),"")</f>
        <v>2013</v>
      </c>
      <c r="BD233" s="30" t="s">
        <v>163</v>
      </c>
      <c r="BE233" s="30" t="n">
        <f aca="false">IF(COUNTIFS('Reguler Class Availability'!$L:$L,$B$4&amp;"|- Lane 4 - *|"&amp;BD233)&gt;0,1,0)</f>
        <v>0</v>
      </c>
      <c r="BF233" s="30" t="n">
        <f aca="false">BE233+BF232</f>
        <v>12</v>
      </c>
    </row>
    <row r="234" customFormat="false" ht="27.75" hidden="false" customHeight="true" outlineLevel="0" collapsed="false">
      <c r="A234" s="76" t="n">
        <v>108</v>
      </c>
      <c r="B234" s="77" t="s">
        <v>115</v>
      </c>
      <c r="C234" s="76" t="s">
        <v>155</v>
      </c>
      <c r="D234" s="76" t="n">
        <v>5</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Kosong</v>
      </c>
      <c r="F234" s="77" t="str">
        <f aca="false">IF($Q234="","",PROPER(INDEX('Reguler Class Availability'!$B:$B,$Q234)&amp;""))</f>
        <v/>
      </c>
      <c r="G234" s="76" t="n">
        <f aca="false">IF($Q234="","",IFERROR(--(INDEX('Reguler Class Availability'!$F:$F,$Q234)&amp;""),0))</f>
        <v>4</v>
      </c>
      <c r="H234" s="77" t="str">
        <f aca="false">IF($Q234="","",PROPER(INDEX('Reguler Class Availability'!$I:$I,$Q234)&amp;"")&amp;IF(INDEX('Reguler Class Availability'!$J:$J,$Q234)&amp;""="",""," + asst "&amp;PROPER(INDEX('Reguler Class Availability'!$J:$J,$Q234)&amp;"")))</f>
        <v/>
      </c>
      <c r="I234" s="77" t="s">
        <v>462</v>
      </c>
      <c r="J234" s="77" t="s">
        <v>188</v>
      </c>
      <c r="K234" s="78"/>
      <c r="L234" s="78"/>
      <c r="M234" s="78"/>
      <c r="N234" s="79"/>
      <c r="O234" s="78"/>
      <c r="Q234" s="30" t="n">
        <f aca="false">IFERROR(MATCH($B$4&amp;"|- Lane "&amp;D234&amp;" - "&amp;B234&amp;"|"&amp;C234,'Reguler Class Availability'!$L:$L,0),"")</f>
        <v>2265</v>
      </c>
      <c r="BD234" s="30" t="s">
        <v>164</v>
      </c>
      <c r="BE234" s="30" t="n">
        <f aca="false">IF(COUNTIFS('Reguler Class Availability'!$L:$L,$B$4&amp;"|- Lane 4 - *|"&amp;BD234)&gt;0,1,0)</f>
        <v>0</v>
      </c>
      <c r="BF234" s="30" t="n">
        <f aca="false">BE234+BF233</f>
        <v>12</v>
      </c>
    </row>
    <row r="235" customFormat="false" ht="27.75" hidden="false" customHeight="true" outlineLevel="0" collapsed="false">
      <c r="A235" s="76" t="n">
        <v>109</v>
      </c>
      <c r="B235" s="77" t="s">
        <v>115</v>
      </c>
      <c r="C235" s="76" t="s">
        <v>156</v>
      </c>
      <c r="D235" s="76" t="n">
        <v>3</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Belum terisi</v>
      </c>
      <c r="F235" s="77" t="str">
        <f aca="false">IF($Q235="","",PROPER(INDEX('Reguler Class Availability'!$B:$B,$Q235)&amp;""))</f>
        <v>Little</v>
      </c>
      <c r="G235" s="76" t="n">
        <f aca="false">IF($Q235="","",IFERROR(--(INDEX('Reguler Class Availability'!$F:$F,$Q235)&amp;""),0))</f>
        <v>4</v>
      </c>
      <c r="H235" s="77" t="str">
        <f aca="false">IF($Q235="","",PROPER(INDEX('Reguler Class Availability'!$I:$I,$Q235)&amp;"")&amp;IF(INDEX('Reguler Class Availability'!$J:$J,$Q235)&amp;""="",""," + asst "&amp;PROPER(INDEX('Reguler Class Availability'!$J:$J,$Q235)&amp;"")))</f>
        <v/>
      </c>
      <c r="I235" s="77" t="s">
        <v>458</v>
      </c>
      <c r="J235" s="77" t="s">
        <v>188</v>
      </c>
      <c r="K235" s="78"/>
      <c r="L235" s="78"/>
      <c r="M235" s="78"/>
      <c r="N235" s="79"/>
      <c r="O235" s="78"/>
      <c r="Q235" s="30" t="n">
        <f aca="false">IFERROR(MATCH($B$4&amp;"|- Lane "&amp;D235&amp;" - "&amp;B235&amp;"|"&amp;C235,'Reguler Class Availability'!$L:$L,0),"")</f>
        <v>2097</v>
      </c>
      <c r="BD235" s="30" t="s">
        <v>165</v>
      </c>
      <c r="BE235" s="30" t="n">
        <f aca="false">IF(COUNTIFS('Reguler Class Availability'!$L:$L,$B$4&amp;"|- Lane 4 - *|"&amp;BD235)&gt;0,1,0)</f>
        <v>0</v>
      </c>
      <c r="BF235" s="30" t="n">
        <f aca="false">BE235+BF234</f>
        <v>12</v>
      </c>
    </row>
    <row r="236" customFormat="false" ht="27.75" hidden="false" customHeight="true" outlineLevel="0" collapsed="false">
      <c r="A236" s="76" t="n">
        <v>110</v>
      </c>
      <c r="B236" s="77" t="s">
        <v>115</v>
      </c>
      <c r="C236" s="76" t="s">
        <v>156</v>
      </c>
      <c r="D236" s="76" t="n">
        <v>4</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Kids</v>
      </c>
      <c r="G236" s="76" t="n">
        <f aca="false">IF($Q236="","",IFERROR(--(INDEX('Reguler Class Availability'!$F:$F,$Q236)&amp;""),0))</f>
        <v>4</v>
      </c>
      <c r="H236" s="77" t="str">
        <f aca="false">IF($Q236="","",PROPER(INDEX('Reguler Class Availability'!$I:$I,$Q236)&amp;"")&amp;IF(INDEX('Reguler Class Availability'!$J:$J,$Q236)&amp;""="",""," + asst "&amp;PROPER(INDEX('Reguler Class Availability'!$J:$J,$Q236)&amp;"")))</f>
        <v/>
      </c>
      <c r="I236" s="77" t="s">
        <v>458</v>
      </c>
      <c r="J236" s="77" t="s">
        <v>188</v>
      </c>
      <c r="K236" s="78"/>
      <c r="L236" s="78"/>
      <c r="M236" s="78"/>
      <c r="N236" s="79"/>
      <c r="O236" s="78"/>
      <c r="Q236" s="30" t="n">
        <f aca="false">IFERROR(MATCH($B$4&amp;"|- Lane "&amp;D236&amp;" - "&amp;B236&amp;"|"&amp;C236,'Reguler Class Availability'!$L:$L,0),"")</f>
        <v>2181</v>
      </c>
      <c r="BD236" s="30" t="s">
        <v>166</v>
      </c>
      <c r="BE236" s="30" t="n">
        <f aca="false">IF(COUNTIFS('Reguler Class Availability'!$L:$L,$B$4&amp;"|- Lane 4 - *|"&amp;BD236)&gt;0,1,0)</f>
        <v>0</v>
      </c>
      <c r="BF236" s="30" t="n">
        <f aca="false">BE236+BF235</f>
        <v>12</v>
      </c>
    </row>
    <row r="237" customFormat="false" ht="27.75" hidden="false" customHeight="true" outlineLevel="0" collapsed="false">
      <c r="A237" s="76" t="n">
        <v>111</v>
      </c>
      <c r="B237" s="77" t="s">
        <v>115</v>
      </c>
      <c r="C237" s="76" t="s">
        <v>160</v>
      </c>
      <c r="D237" s="76" t="n">
        <v>1</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Belum terisi</v>
      </c>
      <c r="F237" s="77" t="str">
        <f aca="false">IF($Q237="","",PROPER(INDEX('Reguler Class Availability'!$B:$B,$Q237)&amp;""))</f>
        <v>Star</v>
      </c>
      <c r="G237" s="76" t="n">
        <f aca="false">IF($Q237="","",IFERROR(--(INDEX('Reguler Class Availability'!$F:$F,$Q237)&amp;""),0))</f>
        <v>8</v>
      </c>
      <c r="H237" s="77" t="str">
        <f aca="false">IF($Q237="","",PROPER(INDEX('Reguler Class Availability'!$I:$I,$Q237)&amp;"")&amp;IF(INDEX('Reguler Class Availability'!$J:$J,$Q237)&amp;""="",""," + asst "&amp;PROPER(INDEX('Reguler Class Availability'!$J:$J,$Q237)&amp;"")))</f>
        <v/>
      </c>
      <c r="I237" s="77" t="s">
        <v>458</v>
      </c>
      <c r="J237" s="77" t="s">
        <v>186</v>
      </c>
      <c r="K237" s="78"/>
      <c r="L237" s="78"/>
      <c r="M237" s="78"/>
      <c r="N237" s="79"/>
      <c r="O237" s="78"/>
      <c r="Q237" s="30" t="n">
        <f aca="false">IFERROR(MATCH($B$4&amp;"|- Lane "&amp;D237&amp;" - "&amp;B237&amp;"|"&amp;C237,'Reguler Class Availability'!$L:$L,0),"")</f>
        <v>1984</v>
      </c>
      <c r="BD237" s="30" t="s">
        <v>167</v>
      </c>
      <c r="BE237" s="30" t="n">
        <f aca="false">IF(COUNTIFS('Reguler Class Availability'!$L:$L,$B$4&amp;"|- Lane 4 - *|"&amp;BD237)&gt;0,1,0)</f>
        <v>0</v>
      </c>
      <c r="BF237" s="30" t="n">
        <f aca="false">BE237+BF236</f>
        <v>12</v>
      </c>
    </row>
    <row r="238" customFormat="false" ht="40.5" hidden="false" customHeight="true" outlineLevel="0" collapsed="false">
      <c r="A238" s="76" t="n">
        <v>112</v>
      </c>
      <c r="B238" s="77" t="s">
        <v>116</v>
      </c>
      <c r="C238" s="76" t="s">
        <v>91</v>
      </c>
      <c r="D238" s="76" t="n">
        <v>1</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Star</v>
      </c>
      <c r="G238" s="76" t="n">
        <f aca="false">IF($Q238="","",IFERROR(--(INDEX('Reguler Class Availability'!$F:$F,$Q238)&amp;""),0))</f>
        <v>8</v>
      </c>
      <c r="H238" s="77" t="str">
        <f aca="false">IF($Q238="","",PROPER(INDEX('Reguler Class Availability'!$I:$I,$Q238)&amp;"")&amp;IF(INDEX('Reguler Class Availability'!$J:$J,$Q238)&amp;""="",""," + asst "&amp;PROPER(INDEX('Reguler Class Availability'!$J:$J,$Q238)&amp;"")))</f>
        <v/>
      </c>
      <c r="I238" s="77" t="s">
        <v>463</v>
      </c>
      <c r="J238" s="77" t="s">
        <v>186</v>
      </c>
      <c r="K238" s="78"/>
      <c r="L238" s="78"/>
      <c r="M238" s="78"/>
      <c r="N238" s="79"/>
      <c r="O238" s="78"/>
      <c r="Q238" s="30" t="n">
        <f aca="false">IFERROR(MATCH($B$4&amp;"|- Lane "&amp;D238&amp;" - "&amp;B238&amp;"|"&amp;C238,'Reguler Class Availability'!$L:$L,0),"")</f>
        <v>1978</v>
      </c>
      <c r="BD238" s="30" t="s">
        <v>168</v>
      </c>
      <c r="BE238" s="30" t="n">
        <f aca="false">IF(COUNTIFS('Reguler Class Availability'!$L:$L,$B$4&amp;"|- Lane 4 - *|"&amp;BD238)&gt;0,1,0)</f>
        <v>0</v>
      </c>
      <c r="BF238" s="30" t="n">
        <f aca="false">BE238+BF237</f>
        <v>12</v>
      </c>
    </row>
    <row r="239" customFormat="false" ht="40.5" hidden="false" customHeight="true" outlineLevel="0" collapsed="false">
      <c r="A239" s="76" t="n">
        <v>113</v>
      </c>
      <c r="B239" s="77" t="s">
        <v>116</v>
      </c>
      <c r="C239" s="76" t="s">
        <v>105</v>
      </c>
      <c r="D239" s="76" t="n">
        <v>1</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Belum terisi</v>
      </c>
      <c r="F239" s="77" t="str">
        <f aca="false">IF($Q239="","",PROPER(INDEX('Reguler Class Availability'!$B:$B,$Q239)&amp;""))</f>
        <v>Baby</v>
      </c>
      <c r="G239" s="76" t="n">
        <f aca="false">IF($Q239="","",IFERROR(--(INDEX('Reguler Class Availability'!$F:$F,$Q239)&amp;""),0))</f>
        <v>5</v>
      </c>
      <c r="H239" s="77" t="str">
        <f aca="false">IF($Q239="","",PROPER(INDEX('Reguler Class Availability'!$I:$I,$Q239)&amp;"")&amp;IF(INDEX('Reguler Class Availability'!$J:$J,$Q239)&amp;""="",""," + asst "&amp;PROPER(INDEX('Reguler Class Availability'!$J:$J,$Q239)&amp;"")))</f>
        <v/>
      </c>
      <c r="I239" s="77" t="s">
        <v>463</v>
      </c>
      <c r="J239" s="77" t="s">
        <v>188</v>
      </c>
      <c r="K239" s="78"/>
      <c r="L239" s="78"/>
      <c r="M239" s="78"/>
      <c r="N239" s="79"/>
      <c r="O239" s="78"/>
      <c r="Q239" s="30" t="n">
        <f aca="false">IFERROR(MATCH($B$4&amp;"|- Lane "&amp;D239&amp;" - "&amp;B239&amp;"|"&amp;C239,'Reguler Class Availability'!$L:$L,0),"")</f>
        <v>1916</v>
      </c>
      <c r="BD239" s="30" t="s">
        <v>169</v>
      </c>
      <c r="BE239" s="30" t="n">
        <f aca="false">IF(COUNTIFS('Reguler Class Availability'!$L:$L,$B$4&amp;"|- Lane 4 - *|"&amp;BD239)&gt;0,1,0)</f>
        <v>0</v>
      </c>
      <c r="BF239" s="30" t="n">
        <f aca="false">BE239+BF238</f>
        <v>12</v>
      </c>
    </row>
    <row r="240" customFormat="false" ht="40.5" hidden="false" customHeight="true" outlineLevel="0" collapsed="false">
      <c r="A240" s="76" t="n">
        <v>114</v>
      </c>
      <c r="B240" s="77" t="s">
        <v>116</v>
      </c>
      <c r="C240" s="76" t="s">
        <v>105</v>
      </c>
      <c r="D240" s="76" t="n">
        <v>2</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Belum terisi</v>
      </c>
      <c r="F240" s="77" t="str">
        <f aca="false">IF($Q240="","",PROPER(INDEX('Reguler Class Availability'!$B:$B,$Q240)&amp;""))</f>
        <v>Tiny</v>
      </c>
      <c r="G240" s="76" t="n">
        <f aca="false">IF($Q240="","",IFERROR(--(INDEX('Reguler Class Availability'!$F:$F,$Q240)&amp;""),0))</f>
        <v>5</v>
      </c>
      <c r="H240" s="77" t="str">
        <f aca="false">IF($Q240="","",PROPER(INDEX('Reguler Class Availability'!$I:$I,$Q240)&amp;"")&amp;IF(INDEX('Reguler Class Availability'!$J:$J,$Q240)&amp;""="",""," + asst "&amp;PROPER(INDEX('Reguler Class Availability'!$J:$J,$Q240)&amp;"")))</f>
        <v/>
      </c>
      <c r="I240" s="77" t="s">
        <v>463</v>
      </c>
      <c r="J240" s="77" t="s">
        <v>188</v>
      </c>
      <c r="K240" s="78"/>
      <c r="L240" s="78"/>
      <c r="M240" s="78"/>
      <c r="N240" s="79"/>
      <c r="O240" s="78"/>
      <c r="Q240" s="30" t="n">
        <f aca="false">IFERROR(MATCH($B$4&amp;"|- Lane "&amp;D240&amp;" - "&amp;B240&amp;"|"&amp;C240,'Reguler Class Availability'!$L:$L,0),"")</f>
        <v>2014</v>
      </c>
      <c r="BD240" s="30" t="s">
        <v>170</v>
      </c>
      <c r="BE240" s="30" t="n">
        <f aca="false">IF(COUNTIFS('Reguler Class Availability'!$L:$L,$B$4&amp;"|- Lane 4 - *|"&amp;BD240)&gt;0,1,0)</f>
        <v>0</v>
      </c>
      <c r="BF240" s="30" t="n">
        <f aca="false">BE240+BF239</f>
        <v>12</v>
      </c>
    </row>
    <row r="241" customFormat="false" ht="40.5" hidden="false" customHeight="true" outlineLevel="0" collapsed="false">
      <c r="A241" s="76" t="n">
        <v>115</v>
      </c>
      <c r="B241" s="77" t="s">
        <v>116</v>
      </c>
      <c r="C241" s="76" t="s">
        <v>105</v>
      </c>
      <c r="D241" s="76" t="n">
        <v>5</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Kosong</v>
      </c>
      <c r="F241" s="77" t="str">
        <f aca="false">IF($Q241="","",PROPER(INDEX('Reguler Class Availability'!$B:$B,$Q241)&amp;""))</f>
        <v/>
      </c>
      <c r="G241" s="76" t="n">
        <f aca="false">IF($Q241="","",IFERROR(--(INDEX('Reguler Class Availability'!$F:$F,$Q241)&amp;""),0))</f>
        <v>4</v>
      </c>
      <c r="H241" s="77" t="str">
        <f aca="false">IF($Q241="","",PROPER(INDEX('Reguler Class Availability'!$I:$I,$Q241)&amp;"")&amp;IF(INDEX('Reguler Class Availability'!$J:$J,$Q241)&amp;""="",""," + asst "&amp;PROPER(INDEX('Reguler Class Availability'!$J:$J,$Q241)&amp;"")))</f>
        <v/>
      </c>
      <c r="I241" s="77" t="s">
        <v>463</v>
      </c>
      <c r="J241" s="77" t="s">
        <v>188</v>
      </c>
      <c r="K241" s="78"/>
      <c r="L241" s="78"/>
      <c r="M241" s="78"/>
      <c r="N241" s="79"/>
      <c r="O241" s="78"/>
      <c r="Q241" s="30" t="n">
        <f aca="false">IFERROR(MATCH($B$4&amp;"|- Lane "&amp;D241&amp;" - "&amp;B241&amp;"|"&amp;C241,'Reguler Class Availability'!$L:$L,0),"")</f>
        <v>2266</v>
      </c>
      <c r="BD241" s="30" t="s">
        <v>171</v>
      </c>
      <c r="BE241" s="30" t="n">
        <f aca="false">IF(COUNTIFS('Reguler Class Availability'!$L:$L,$B$4&amp;"|- Lane 4 - *|"&amp;BD241)&gt;0,1,0)</f>
        <v>0</v>
      </c>
      <c r="BF241" s="30" t="n">
        <f aca="false">BE241+BF240</f>
        <v>12</v>
      </c>
    </row>
    <row r="242" customFormat="false" ht="40.5" hidden="false" customHeight="true" outlineLevel="0" collapsed="false">
      <c r="A242" s="76" t="n">
        <v>116</v>
      </c>
      <c r="B242" s="77" t="s">
        <v>116</v>
      </c>
      <c r="C242" s="76" t="s">
        <v>110</v>
      </c>
      <c r="D242" s="76" t="n">
        <v>3</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Belum terisi</v>
      </c>
      <c r="F242" s="77" t="str">
        <f aca="false">IF($Q242="","",PROPER(INDEX('Reguler Class Availability'!$B:$B,$Q242)&amp;""))</f>
        <v>Little</v>
      </c>
      <c r="G242" s="76" t="n">
        <f aca="false">IF($Q242="","",IFERROR(--(INDEX('Reguler Class Availability'!$F:$F,$Q242)&amp;""),0))</f>
        <v>4</v>
      </c>
      <c r="H242" s="77" t="str">
        <f aca="false">IF($Q242="","",PROPER(INDEX('Reguler Class Availability'!$I:$I,$Q242)&amp;"")&amp;IF(INDEX('Reguler Class Availability'!$J:$J,$Q242)&amp;""="",""," + asst "&amp;PROPER(INDEX('Reguler Class Availability'!$J:$J,$Q242)&amp;"")))</f>
        <v/>
      </c>
      <c r="I242" s="77" t="s">
        <v>463</v>
      </c>
      <c r="J242" s="77" t="s">
        <v>188</v>
      </c>
      <c r="K242" s="78"/>
      <c r="L242" s="78"/>
      <c r="M242" s="78"/>
      <c r="N242" s="79"/>
      <c r="O242" s="78"/>
      <c r="Q242" s="30" t="n">
        <f aca="false">IFERROR(MATCH($B$4&amp;"|- Lane "&amp;D242&amp;" - "&amp;B242&amp;"|"&amp;C242,'Reguler Class Availability'!$L:$L,0),"")</f>
        <v>2098</v>
      </c>
      <c r="BD242" s="30" t="s">
        <v>78</v>
      </c>
      <c r="BE242" s="30" t="n">
        <f aca="false">IF(COUNTIFS('Reguler Class Availability'!$L:$L,$B$4&amp;"|- Lane 5 - *|"&amp;BD242)&gt;0,1,0)</f>
        <v>0</v>
      </c>
      <c r="BF242" s="30" t="n">
        <f aca="false">BE242</f>
        <v>0</v>
      </c>
    </row>
    <row r="243" customFormat="false" ht="40.5" hidden="false" customHeight="true" outlineLevel="0" collapsed="false">
      <c r="A243" s="76" t="n">
        <v>117</v>
      </c>
      <c r="B243" s="77" t="s">
        <v>116</v>
      </c>
      <c r="C243" s="76" t="s">
        <v>110</v>
      </c>
      <c r="D243" s="76" t="n">
        <v>4</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Kids</v>
      </c>
      <c r="G243" s="76" t="n">
        <f aca="false">IF($Q243="","",IFERROR(--(INDEX('Reguler Class Availability'!$F:$F,$Q243)&amp;""),0))</f>
        <v>4</v>
      </c>
      <c r="H243" s="77" t="str">
        <f aca="false">IF($Q243="","",PROPER(INDEX('Reguler Class Availability'!$I:$I,$Q243)&amp;"")&amp;IF(INDEX('Reguler Class Availability'!$J:$J,$Q243)&amp;""="",""," + asst "&amp;PROPER(INDEX('Reguler Class Availability'!$J:$J,$Q243)&amp;"")))</f>
        <v/>
      </c>
      <c r="I243" s="77" t="s">
        <v>463</v>
      </c>
      <c r="J243" s="77" t="s">
        <v>188</v>
      </c>
      <c r="K243" s="78"/>
      <c r="L243" s="78"/>
      <c r="M243" s="78"/>
      <c r="N243" s="79"/>
      <c r="O243" s="78"/>
      <c r="Q243" s="30" t="n">
        <f aca="false">IFERROR(MATCH($B$4&amp;"|- Lane "&amp;D243&amp;" - "&amp;B243&amp;"|"&amp;C243,'Reguler Class Availability'!$L:$L,0),"")</f>
        <v>2182</v>
      </c>
      <c r="BD243" s="30" t="s">
        <v>79</v>
      </c>
      <c r="BE243" s="30" t="n">
        <f aca="false">IF(COUNTIFS('Reguler Class Availability'!$L:$L,$B$4&amp;"|- Lane 5 - *|"&amp;BD243)&gt;0,1,0)</f>
        <v>0</v>
      </c>
      <c r="BF243" s="30" t="n">
        <f aca="false">BE243+BF242</f>
        <v>0</v>
      </c>
    </row>
    <row r="244" customFormat="false" ht="40.5" hidden="false" customHeight="true" outlineLevel="0" collapsed="false">
      <c r="A244" s="76" t="n">
        <v>118</v>
      </c>
      <c r="B244" s="77" t="s">
        <v>116</v>
      </c>
      <c r="C244" s="76" t="s">
        <v>120</v>
      </c>
      <c r="D244" s="76" t="n">
        <v>1</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Belum terisi</v>
      </c>
      <c r="F244" s="77" t="str">
        <f aca="false">IF($Q244="","",PROPER(INDEX('Reguler Class Availability'!$B:$B,$Q244)&amp;""))</f>
        <v>Baby</v>
      </c>
      <c r="G244" s="76" t="n">
        <f aca="false">IF($Q244="","",IFERROR(--(INDEX('Reguler Class Availability'!$F:$F,$Q244)&amp;""),0))</f>
        <v>5</v>
      </c>
      <c r="H244" s="77" t="str">
        <f aca="false">IF($Q244="","",PROPER(INDEX('Reguler Class Availability'!$I:$I,$Q244)&amp;"")&amp;IF(INDEX('Reguler Class Availability'!$J:$J,$Q244)&amp;""="",""," + asst "&amp;PROPER(INDEX('Reguler Class Availability'!$J:$J,$Q244)&amp;"")))</f>
        <v/>
      </c>
      <c r="I244" s="77" t="s">
        <v>463</v>
      </c>
      <c r="J244" s="77" t="s">
        <v>188</v>
      </c>
      <c r="K244" s="78"/>
      <c r="L244" s="78"/>
      <c r="M244" s="78"/>
      <c r="N244" s="79"/>
      <c r="O244" s="78"/>
      <c r="Q244" s="30" t="n">
        <f aca="false">IFERROR(MATCH($B$4&amp;"|- Lane "&amp;D244&amp;" - "&amp;B244&amp;"|"&amp;C244,'Reguler Class Availability'!$L:$L,0),"")</f>
        <v>1917</v>
      </c>
      <c r="BD244" s="30" t="s">
        <v>84</v>
      </c>
      <c r="BE244" s="30" t="n">
        <f aca="false">IF(COUNTIFS('Reguler Class Availability'!$L:$L,$B$4&amp;"|- Lane 5 - *|"&amp;BD244)&gt;0,1,0)</f>
        <v>0</v>
      </c>
      <c r="BF244" s="30" t="n">
        <f aca="false">BE244+BF243</f>
        <v>0</v>
      </c>
    </row>
    <row r="245" customFormat="false" ht="40.5" hidden="false" customHeight="true" outlineLevel="0" collapsed="false">
      <c r="A245" s="76" t="n">
        <v>119</v>
      </c>
      <c r="B245" s="77" t="s">
        <v>116</v>
      </c>
      <c r="C245" s="76" t="s">
        <v>120</v>
      </c>
      <c r="D245" s="76" t="n">
        <v>2</v>
      </c>
      <c r="E245" s="77" t="str">
        <f aca="false">IF($Q245="","Tidak ada di data",IF(AND(IFERROR(--(INDEX('Reguler Class Availability'!$F:$F,$Q245)&amp;""),0)=0,IFERROR(--(INDEX('Reguler Class Availability'!$G:$G,$Q245)&amp;""),0)=0),"Tutup",IF(IFERROR(--(INDEX('Reguler Class Availability'!$G:$G,$Q245)&amp;""),0)&gt;IFERROR(--(INDEX('Reguler Class Availability'!$F:$F,$Q245)&amp;""),0),"Lebih",IF(IFERROR(--(INDEX('Reguler Class Availability'!$G:$G,$Q245)&amp;""),0)=IFERROR(--(INDEX('Reguler Class Availability'!$F:$F,$Q245)&amp;""),0),"Penuh",IF(IFERROR(--(INDEX('Reguler Class Availability'!$G:$G,$Q245)&amp;""),0)=0,IF(INDEX('Reguler Class Availability'!$B:$B,$Q245)&amp;""="","Kosong","Belum terisi"),IF(IFERROR(--(INDEX('Reguler Class Availability'!$G:$G,$Q245)&amp;""),0)/IFERROR(--(INDEX('Reguler Class Availability'!$F:$F,$Q245)&amp;""),0)&gt;=0.6,"Tinggi","Sebagian"))))))</f>
        <v>Belum terisi</v>
      </c>
      <c r="F245" s="77" t="str">
        <f aca="false">IF($Q245="","",PROPER(INDEX('Reguler Class Availability'!$B:$B,$Q245)&amp;""))</f>
        <v>Tiny</v>
      </c>
      <c r="G245" s="76" t="n">
        <f aca="false">IF($Q245="","",IFERROR(--(INDEX('Reguler Class Availability'!$F:$F,$Q245)&amp;""),0))</f>
        <v>5</v>
      </c>
      <c r="H245" s="77" t="str">
        <f aca="false">IF($Q245="","",PROPER(INDEX('Reguler Class Availability'!$I:$I,$Q245)&amp;"")&amp;IF(INDEX('Reguler Class Availability'!$J:$J,$Q245)&amp;""="",""," + asst "&amp;PROPER(INDEX('Reguler Class Availability'!$J:$J,$Q245)&amp;"")))</f>
        <v/>
      </c>
      <c r="I245" s="77" t="s">
        <v>463</v>
      </c>
      <c r="J245" s="77" t="s">
        <v>188</v>
      </c>
      <c r="K245" s="78"/>
      <c r="L245" s="78"/>
      <c r="M245" s="78"/>
      <c r="N245" s="79"/>
      <c r="O245" s="78"/>
      <c r="Q245" s="30" t="n">
        <f aca="false">IFERROR(MATCH($B$4&amp;"|- Lane "&amp;D245&amp;" - "&amp;B245&amp;"|"&amp;C245,'Reguler Class Availability'!$L:$L,0),"")</f>
        <v>2015</v>
      </c>
      <c r="BD245" s="30" t="s">
        <v>85</v>
      </c>
      <c r="BE245" s="30" t="n">
        <f aca="false">IF(COUNTIFS('Reguler Class Availability'!$L:$L,$B$4&amp;"|- Lane 5 - *|"&amp;BD245)&gt;0,1,0)</f>
        <v>0</v>
      </c>
      <c r="BF245" s="30" t="n">
        <f aca="false">BE245+BF244</f>
        <v>0</v>
      </c>
    </row>
    <row r="246" customFormat="false" ht="40.5" hidden="false" customHeight="true" outlineLevel="0" collapsed="false">
      <c r="A246" s="76" t="n">
        <v>120</v>
      </c>
      <c r="B246" s="77" t="s">
        <v>116</v>
      </c>
      <c r="C246" s="76" t="s">
        <v>120</v>
      </c>
      <c r="D246" s="76" t="n">
        <v>5</v>
      </c>
      <c r="E246" s="77" t="str">
        <f aca="false">IF($Q246="","Tidak ada di data",IF(AND(IFERROR(--(INDEX('Reguler Class Availability'!$F:$F,$Q246)&amp;""),0)=0,IFERROR(--(INDEX('Reguler Class Availability'!$G:$G,$Q246)&amp;""),0)=0),"Tutup",IF(IFERROR(--(INDEX('Reguler Class Availability'!$G:$G,$Q246)&amp;""),0)&gt;IFERROR(--(INDEX('Reguler Class Availability'!$F:$F,$Q246)&amp;""),0),"Lebih",IF(IFERROR(--(INDEX('Reguler Class Availability'!$G:$G,$Q246)&amp;""),0)=IFERROR(--(INDEX('Reguler Class Availability'!$F:$F,$Q246)&amp;""),0),"Penuh",IF(IFERROR(--(INDEX('Reguler Class Availability'!$G:$G,$Q246)&amp;""),0)=0,IF(INDEX('Reguler Class Availability'!$B:$B,$Q246)&amp;""="","Kosong","Belum terisi"),IF(IFERROR(--(INDEX('Reguler Class Availability'!$G:$G,$Q246)&amp;""),0)/IFERROR(--(INDEX('Reguler Class Availability'!$F:$F,$Q246)&amp;""),0)&gt;=0.6,"Tinggi","Sebagian"))))))</f>
        <v>Kosong</v>
      </c>
      <c r="F246" s="77" t="str">
        <f aca="false">IF($Q246="","",PROPER(INDEX('Reguler Class Availability'!$B:$B,$Q246)&amp;""))</f>
        <v/>
      </c>
      <c r="G246" s="76" t="n">
        <f aca="false">IF($Q246="","",IFERROR(--(INDEX('Reguler Class Availability'!$F:$F,$Q246)&amp;""),0))</f>
        <v>4</v>
      </c>
      <c r="H246" s="77" t="str">
        <f aca="false">IF($Q246="","",PROPER(INDEX('Reguler Class Availability'!$I:$I,$Q246)&amp;"")&amp;IF(INDEX('Reguler Class Availability'!$J:$J,$Q246)&amp;""="",""," + asst "&amp;PROPER(INDEX('Reguler Class Availability'!$J:$J,$Q246)&amp;"")))</f>
        <v/>
      </c>
      <c r="I246" s="77" t="s">
        <v>463</v>
      </c>
      <c r="J246" s="77" t="s">
        <v>188</v>
      </c>
      <c r="K246" s="78"/>
      <c r="L246" s="78"/>
      <c r="M246" s="78"/>
      <c r="N246" s="79"/>
      <c r="O246" s="78"/>
      <c r="Q246" s="30" t="n">
        <f aca="false">IFERROR(MATCH($B$4&amp;"|- Lane "&amp;D246&amp;" - "&amp;B246&amp;"|"&amp;C246,'Reguler Class Availability'!$L:$L,0),"")</f>
        <v>2267</v>
      </c>
      <c r="BD246" s="30" t="s">
        <v>89</v>
      </c>
      <c r="BE246" s="30" t="n">
        <f aca="false">IF(COUNTIFS('Reguler Class Availability'!$L:$L,$B$4&amp;"|- Lane 5 - *|"&amp;BD246)&gt;0,1,0)</f>
        <v>0</v>
      </c>
      <c r="BF246" s="30" t="n">
        <f aca="false">BE246+BF245</f>
        <v>0</v>
      </c>
    </row>
    <row r="247" customFormat="false" ht="15.75" hidden="false" customHeight="true" outlineLevel="0" collapsed="false">
      <c r="A247" s="76" t="n">
        <v>121</v>
      </c>
      <c r="B247" s="77" t="s">
        <v>116</v>
      </c>
      <c r="C247" s="76" t="s">
        <v>121</v>
      </c>
      <c r="D247" s="76" t="n">
        <v>3</v>
      </c>
      <c r="E247" s="77" t="str">
        <f aca="false">IF($Q247="","Tidak ada di data",IF(AND(IFERROR(--(INDEX('Reguler Class Availability'!$F:$F,$Q247)&amp;""),0)=0,IFERROR(--(INDEX('Reguler Class Availability'!$G:$G,$Q247)&amp;""),0)=0),"Tutup",IF(IFERROR(--(INDEX('Reguler Class Availability'!$G:$G,$Q247)&amp;""),0)&gt;IFERROR(--(INDEX('Reguler Class Availability'!$F:$F,$Q247)&amp;""),0),"Lebih",IF(IFERROR(--(INDEX('Reguler Class Availability'!$G:$G,$Q247)&amp;""),0)=IFERROR(--(INDEX('Reguler Class Availability'!$F:$F,$Q247)&amp;""),0),"Penuh",IF(IFERROR(--(INDEX('Reguler Class Availability'!$G:$G,$Q247)&amp;""),0)=0,IF(INDEX('Reguler Class Availability'!$B:$B,$Q247)&amp;""="","Kosong","Belum terisi"),IF(IFERROR(--(INDEX('Reguler Class Availability'!$G:$G,$Q247)&amp;""),0)/IFERROR(--(INDEX('Reguler Class Availability'!$F:$F,$Q247)&amp;""),0)&gt;=0.6,"Tinggi","Sebagian"))))))</f>
        <v>Belum terisi</v>
      </c>
      <c r="F247" s="77" t="str">
        <f aca="false">IF($Q247="","",PROPER(INDEX('Reguler Class Availability'!$B:$B,$Q247)&amp;""))</f>
        <v>Little</v>
      </c>
      <c r="G247" s="76" t="n">
        <f aca="false">IF($Q247="","",IFERROR(--(INDEX('Reguler Class Availability'!$F:$F,$Q247)&amp;""),0))</f>
        <v>4</v>
      </c>
      <c r="H247" s="77" t="str">
        <f aca="false">IF($Q247="","",PROPER(INDEX('Reguler Class Availability'!$I:$I,$Q247)&amp;"")&amp;IF(INDEX('Reguler Class Availability'!$J:$J,$Q247)&amp;""="",""," + asst "&amp;PROPER(INDEX('Reguler Class Availability'!$J:$J,$Q247)&amp;"")))</f>
        <v/>
      </c>
      <c r="I247" s="77" t="s">
        <v>464</v>
      </c>
      <c r="J247" s="77" t="s">
        <v>260</v>
      </c>
      <c r="K247" s="78"/>
      <c r="L247" s="78"/>
      <c r="M247" s="78"/>
      <c r="N247" s="79"/>
      <c r="O247" s="78"/>
      <c r="Q247" s="30" t="n">
        <f aca="false">IFERROR(MATCH($B$4&amp;"|- Lane "&amp;D247&amp;" - "&amp;B247&amp;"|"&amp;C247,'Reguler Class Availability'!$L:$L,0),"")</f>
        <v>2099</v>
      </c>
      <c r="BD247" s="30" t="s">
        <v>90</v>
      </c>
      <c r="BE247" s="30" t="n">
        <f aca="false">IF(COUNTIFS('Reguler Class Availability'!$L:$L,$B$4&amp;"|- Lane 5 - *|"&amp;BD247)&gt;0,1,0)</f>
        <v>0</v>
      </c>
      <c r="BF247" s="30" t="n">
        <f aca="false">BE247+BF246</f>
        <v>0</v>
      </c>
    </row>
    <row r="248" customFormat="false" ht="15.75" hidden="false" customHeight="true" outlineLevel="0" collapsed="false">
      <c r="A248" s="76" t="n">
        <v>122</v>
      </c>
      <c r="B248" s="77" t="s">
        <v>116</v>
      </c>
      <c r="C248" s="76" t="s">
        <v>121</v>
      </c>
      <c r="D248" s="76" t="n">
        <v>4</v>
      </c>
      <c r="E248" s="77" t="str">
        <f aca="false">IF($Q248="","Tidak ada di data",IF(AND(IFERROR(--(INDEX('Reguler Class Availability'!$F:$F,$Q248)&amp;""),0)=0,IFERROR(--(INDEX('Reguler Class Availability'!$G:$G,$Q248)&amp;""),0)=0),"Tutup",IF(IFERROR(--(INDEX('Reguler Class Availability'!$G:$G,$Q248)&amp;""),0)&gt;IFERROR(--(INDEX('Reguler Class Availability'!$F:$F,$Q248)&amp;""),0),"Lebih",IF(IFERROR(--(INDEX('Reguler Class Availability'!$G:$G,$Q248)&amp;""),0)=IFERROR(--(INDEX('Reguler Class Availability'!$F:$F,$Q248)&amp;""),0),"Penuh",IF(IFERROR(--(INDEX('Reguler Class Availability'!$G:$G,$Q248)&amp;""),0)=0,IF(INDEX('Reguler Class Availability'!$B:$B,$Q248)&amp;""="","Kosong","Belum terisi"),IF(IFERROR(--(INDEX('Reguler Class Availability'!$G:$G,$Q248)&amp;""),0)/IFERROR(--(INDEX('Reguler Class Availability'!$F:$F,$Q248)&amp;""),0)&gt;=0.6,"Tinggi","Sebagian"))))))</f>
        <v>Belum terisi</v>
      </c>
      <c r="F248" s="77" t="str">
        <f aca="false">IF($Q248="","",PROPER(INDEX('Reguler Class Availability'!$B:$B,$Q248)&amp;""))</f>
        <v>Kids</v>
      </c>
      <c r="G248" s="76" t="n">
        <f aca="false">IF($Q248="","",IFERROR(--(INDEX('Reguler Class Availability'!$F:$F,$Q248)&amp;""),0))</f>
        <v>4</v>
      </c>
      <c r="H248" s="77" t="str">
        <f aca="false">IF($Q248="","",PROPER(INDEX('Reguler Class Availability'!$I:$I,$Q248)&amp;"")&amp;IF(INDEX('Reguler Class Availability'!$J:$J,$Q248)&amp;""="",""," + asst "&amp;PROPER(INDEX('Reguler Class Availability'!$J:$J,$Q248)&amp;"")))</f>
        <v/>
      </c>
      <c r="I248" s="77" t="s">
        <v>464</v>
      </c>
      <c r="J248" s="77" t="s">
        <v>260</v>
      </c>
      <c r="K248" s="78"/>
      <c r="L248" s="78"/>
      <c r="M248" s="78"/>
      <c r="N248" s="79"/>
      <c r="O248" s="78"/>
      <c r="Q248" s="30" t="n">
        <f aca="false">IFERROR(MATCH($B$4&amp;"|- Lane "&amp;D248&amp;" - "&amp;B248&amp;"|"&amp;C248,'Reguler Class Availability'!$L:$L,0),"")</f>
        <v>2183</v>
      </c>
      <c r="BD248" s="30" t="s">
        <v>91</v>
      </c>
      <c r="BE248" s="30" t="n">
        <f aca="false">IF(COUNTIFS('Reguler Class Availability'!$L:$L,$B$4&amp;"|- Lane 5 - *|"&amp;BD248)&gt;0,1,0)</f>
        <v>0</v>
      </c>
      <c r="BF248" s="30" t="n">
        <f aca="false">BE248+BF247</f>
        <v>0</v>
      </c>
    </row>
    <row r="249" customFormat="false" ht="15.75" hidden="false" customHeight="true" outlineLevel="0" collapsed="false">
      <c r="A249" s="76" t="n">
        <v>123</v>
      </c>
      <c r="B249" s="77" t="s">
        <v>116</v>
      </c>
      <c r="C249" s="76" t="s">
        <v>123</v>
      </c>
      <c r="D249" s="76" t="n">
        <v>5</v>
      </c>
      <c r="E249" s="77" t="str">
        <f aca="false">IF($Q249="","Tidak ada di data",IF(AND(IFERROR(--(INDEX('Reguler Class Availability'!$F:$F,$Q249)&amp;""),0)=0,IFERROR(--(INDEX('Reguler Class Availability'!$G:$G,$Q249)&amp;""),0)=0),"Tutup",IF(IFERROR(--(INDEX('Reguler Class Availability'!$G:$G,$Q249)&amp;""),0)&gt;IFERROR(--(INDEX('Reguler Class Availability'!$F:$F,$Q249)&amp;""),0),"Lebih",IF(IFERROR(--(INDEX('Reguler Class Availability'!$G:$G,$Q249)&amp;""),0)=IFERROR(--(INDEX('Reguler Class Availability'!$F:$F,$Q249)&amp;""),0),"Penuh",IF(IFERROR(--(INDEX('Reguler Class Availability'!$G:$G,$Q249)&amp;""),0)=0,IF(INDEX('Reguler Class Availability'!$B:$B,$Q249)&amp;""="","Kosong","Belum terisi"),IF(IFERROR(--(INDEX('Reguler Class Availability'!$G:$G,$Q249)&amp;""),0)/IFERROR(--(INDEX('Reguler Class Availability'!$F:$F,$Q249)&amp;""),0)&gt;=0.6,"Tinggi","Sebagian"))))))</f>
        <v>Kosong</v>
      </c>
      <c r="F249" s="77" t="str">
        <f aca="false">IF($Q249="","",PROPER(INDEX('Reguler Class Availability'!$B:$B,$Q249)&amp;""))</f>
        <v/>
      </c>
      <c r="G249" s="76" t="n">
        <f aca="false">IF($Q249="","",IFERROR(--(INDEX('Reguler Class Availability'!$F:$F,$Q249)&amp;""),0))</f>
        <v>4</v>
      </c>
      <c r="H249" s="77" t="str">
        <f aca="false">IF($Q249="","",PROPER(INDEX('Reguler Class Availability'!$I:$I,$Q249)&amp;"")&amp;IF(INDEX('Reguler Class Availability'!$J:$J,$Q249)&amp;""="",""," + asst "&amp;PROPER(INDEX('Reguler Class Availability'!$J:$J,$Q249)&amp;"")))</f>
        <v/>
      </c>
      <c r="I249" s="77" t="s">
        <v>464</v>
      </c>
      <c r="J249" s="77" t="s">
        <v>260</v>
      </c>
      <c r="K249" s="78"/>
      <c r="L249" s="78"/>
      <c r="M249" s="78"/>
      <c r="N249" s="79"/>
      <c r="O249" s="78"/>
      <c r="Q249" s="30" t="n">
        <f aca="false">IFERROR(MATCH($B$4&amp;"|- Lane "&amp;D249&amp;" - "&amp;B249&amp;"|"&amp;C249,'Reguler Class Availability'!$L:$L,0),"")</f>
        <v>2268</v>
      </c>
      <c r="BD249" s="30" t="s">
        <v>98</v>
      </c>
      <c r="BE249" s="30" t="n">
        <f aca="false">IF(COUNTIFS('Reguler Class Availability'!$L:$L,$B$4&amp;"|- Lane 5 - *|"&amp;BD249)&gt;0,1,0)</f>
        <v>0</v>
      </c>
      <c r="BF249" s="30" t="n">
        <f aca="false">BE249+BF248</f>
        <v>0</v>
      </c>
    </row>
    <row r="250" customFormat="false" ht="15.75" hidden="false" customHeight="true" outlineLevel="0" collapsed="false">
      <c r="A250" s="76" t="n">
        <v>124</v>
      </c>
      <c r="B250" s="77" t="s">
        <v>116</v>
      </c>
      <c r="C250" s="76" t="s">
        <v>124</v>
      </c>
      <c r="D250" s="76" t="n">
        <v>3</v>
      </c>
      <c r="E250" s="77" t="str">
        <f aca="false">IF($Q250="","Tidak ada di data",IF(AND(IFERROR(--(INDEX('Reguler Class Availability'!$F:$F,$Q250)&amp;""),0)=0,IFERROR(--(INDEX('Reguler Class Availability'!$G:$G,$Q250)&amp;""),0)=0),"Tutup",IF(IFERROR(--(INDEX('Reguler Class Availability'!$G:$G,$Q250)&amp;""),0)&gt;IFERROR(--(INDEX('Reguler Class Availability'!$F:$F,$Q250)&amp;""),0),"Lebih",IF(IFERROR(--(INDEX('Reguler Class Availability'!$G:$G,$Q250)&amp;""),0)=IFERROR(--(INDEX('Reguler Class Availability'!$F:$F,$Q250)&amp;""),0),"Penuh",IF(IFERROR(--(INDEX('Reguler Class Availability'!$G:$G,$Q250)&amp;""),0)=0,IF(INDEX('Reguler Class Availability'!$B:$B,$Q250)&amp;""="","Kosong","Belum terisi"),IF(IFERROR(--(INDEX('Reguler Class Availability'!$G:$G,$Q250)&amp;""),0)/IFERROR(--(INDEX('Reguler Class Availability'!$F:$F,$Q250)&amp;""),0)&gt;=0.6,"Tinggi","Sebagian"))))))</f>
        <v>Belum terisi</v>
      </c>
      <c r="F250" s="77" t="str">
        <f aca="false">IF($Q250="","",PROPER(INDEX('Reguler Class Availability'!$B:$B,$Q250)&amp;""))</f>
        <v>Little</v>
      </c>
      <c r="G250" s="76" t="n">
        <f aca="false">IF($Q250="","",IFERROR(--(INDEX('Reguler Class Availability'!$F:$F,$Q250)&amp;""),0))</f>
        <v>4</v>
      </c>
      <c r="H250" s="77" t="str">
        <f aca="false">IF($Q250="","",PROPER(INDEX('Reguler Class Availability'!$I:$I,$Q250)&amp;"")&amp;IF(INDEX('Reguler Class Availability'!$J:$J,$Q250)&amp;""="",""," + asst "&amp;PROPER(INDEX('Reguler Class Availability'!$J:$J,$Q250)&amp;"")))</f>
        <v/>
      </c>
      <c r="I250" s="77" t="s">
        <v>464</v>
      </c>
      <c r="J250" s="77" t="s">
        <v>260</v>
      </c>
      <c r="K250" s="78"/>
      <c r="L250" s="78"/>
      <c r="M250" s="78"/>
      <c r="N250" s="79"/>
      <c r="O250" s="78"/>
      <c r="Q250" s="30" t="n">
        <f aca="false">IFERROR(MATCH($B$4&amp;"|- Lane "&amp;D250&amp;" - "&amp;B250&amp;"|"&amp;C250,'Reguler Class Availability'!$L:$L,0),"")</f>
        <v>2100</v>
      </c>
      <c r="BD250" s="30" t="s">
        <v>105</v>
      </c>
      <c r="BE250" s="30" t="n">
        <f aca="false">IF(COUNTIFS('Reguler Class Availability'!$L:$L,$B$4&amp;"|- Lane 5 - *|"&amp;BD250)&gt;0,1,0)</f>
        <v>1</v>
      </c>
      <c r="BF250" s="30" t="n">
        <f aca="false">BE250+BF249</f>
        <v>1</v>
      </c>
    </row>
    <row r="251" customFormat="false" ht="15.75" hidden="false" customHeight="true" outlineLevel="0" collapsed="false">
      <c r="A251" s="76" t="n">
        <v>125</v>
      </c>
      <c r="B251" s="77" t="s">
        <v>116</v>
      </c>
      <c r="C251" s="76" t="s">
        <v>124</v>
      </c>
      <c r="D251" s="76" t="n">
        <v>4</v>
      </c>
      <c r="E251" s="77" t="str">
        <f aca="false">IF($Q251="","Tidak ada di data",IF(AND(IFERROR(--(INDEX('Reguler Class Availability'!$F:$F,$Q251)&amp;""),0)=0,IFERROR(--(INDEX('Reguler Class Availability'!$G:$G,$Q251)&amp;""),0)=0),"Tutup",IF(IFERROR(--(INDEX('Reguler Class Availability'!$G:$G,$Q251)&amp;""),0)&gt;IFERROR(--(INDEX('Reguler Class Availability'!$F:$F,$Q251)&amp;""),0),"Lebih",IF(IFERROR(--(INDEX('Reguler Class Availability'!$G:$G,$Q251)&amp;""),0)=IFERROR(--(INDEX('Reguler Class Availability'!$F:$F,$Q251)&amp;""),0),"Penuh",IF(IFERROR(--(INDEX('Reguler Class Availability'!$G:$G,$Q251)&amp;""),0)=0,IF(INDEX('Reguler Class Availability'!$B:$B,$Q251)&amp;""="","Kosong","Belum terisi"),IF(IFERROR(--(INDEX('Reguler Class Availability'!$G:$G,$Q251)&amp;""),0)/IFERROR(--(INDEX('Reguler Class Availability'!$F:$F,$Q251)&amp;""),0)&gt;=0.6,"Tinggi","Sebagian"))))))</f>
        <v>Belum terisi</v>
      </c>
      <c r="F251" s="77" t="str">
        <f aca="false">IF($Q251="","",PROPER(INDEX('Reguler Class Availability'!$B:$B,$Q251)&amp;""))</f>
        <v>Kids</v>
      </c>
      <c r="G251" s="76" t="n">
        <f aca="false">IF($Q251="","",IFERROR(--(INDEX('Reguler Class Availability'!$F:$F,$Q251)&amp;""),0))</f>
        <v>4</v>
      </c>
      <c r="H251" s="77" t="str">
        <f aca="false">IF($Q251="","",PROPER(INDEX('Reguler Class Availability'!$I:$I,$Q251)&amp;"")&amp;IF(INDEX('Reguler Class Availability'!$J:$J,$Q251)&amp;""="",""," + asst "&amp;PROPER(INDEX('Reguler Class Availability'!$J:$J,$Q251)&amp;"")))</f>
        <v/>
      </c>
      <c r="I251" s="77" t="s">
        <v>464</v>
      </c>
      <c r="J251" s="77" t="s">
        <v>260</v>
      </c>
      <c r="K251" s="78"/>
      <c r="L251" s="78"/>
      <c r="M251" s="78"/>
      <c r="N251" s="79"/>
      <c r="O251" s="78"/>
      <c r="Q251" s="30" t="n">
        <f aca="false">IFERROR(MATCH($B$4&amp;"|- Lane "&amp;D251&amp;" - "&amp;B251&amp;"|"&amp;C251,'Reguler Class Availability'!$L:$L,0),"")</f>
        <v>2184</v>
      </c>
      <c r="BD251" s="30" t="s">
        <v>110</v>
      </c>
      <c r="BE251" s="30" t="n">
        <f aca="false">IF(COUNTIFS('Reguler Class Availability'!$L:$L,$B$4&amp;"|- Lane 5 - *|"&amp;BD251)&gt;0,1,0)</f>
        <v>0</v>
      </c>
      <c r="BF251" s="30" t="n">
        <f aca="false">BE251+BF250</f>
        <v>1</v>
      </c>
    </row>
    <row r="252" customFormat="false" ht="27.75" hidden="false" customHeight="true" outlineLevel="0" collapsed="false">
      <c r="A252" s="76" t="n">
        <v>126</v>
      </c>
      <c r="B252" s="77" t="s">
        <v>116</v>
      </c>
      <c r="C252" s="76" t="s">
        <v>126</v>
      </c>
      <c r="D252" s="76" t="n">
        <v>1</v>
      </c>
      <c r="E252" s="77" t="str">
        <f aca="false">IF($Q252="","Tidak ada di data",IF(AND(IFERROR(--(INDEX('Reguler Class Availability'!$F:$F,$Q252)&amp;""),0)=0,IFERROR(--(INDEX('Reguler Class Availability'!$G:$G,$Q252)&amp;""),0)=0),"Tutup",IF(IFERROR(--(INDEX('Reguler Class Availability'!$G:$G,$Q252)&amp;""),0)&gt;IFERROR(--(INDEX('Reguler Class Availability'!$F:$F,$Q252)&amp;""),0),"Lebih",IF(IFERROR(--(INDEX('Reguler Class Availability'!$G:$G,$Q252)&amp;""),0)=IFERROR(--(INDEX('Reguler Class Availability'!$F:$F,$Q252)&amp;""),0),"Penuh",IF(IFERROR(--(INDEX('Reguler Class Availability'!$G:$G,$Q252)&amp;""),0)=0,IF(INDEX('Reguler Class Availability'!$B:$B,$Q252)&amp;""="","Kosong","Belum terisi"),IF(IFERROR(--(INDEX('Reguler Class Availability'!$G:$G,$Q252)&amp;""),0)/IFERROR(--(INDEX('Reguler Class Availability'!$F:$F,$Q252)&amp;""),0)&gt;=0.6,"Tinggi","Sebagian"))))))</f>
        <v>Belum terisi</v>
      </c>
      <c r="F252" s="77" t="str">
        <f aca="false">IF($Q252="","",PROPER(INDEX('Reguler Class Availability'!$B:$B,$Q252)&amp;""))</f>
        <v>Baby</v>
      </c>
      <c r="G252" s="76" t="n">
        <f aca="false">IF($Q252="","",IFERROR(--(INDEX('Reguler Class Availability'!$F:$F,$Q252)&amp;""),0))</f>
        <v>5</v>
      </c>
      <c r="H252" s="77" t="str">
        <f aca="false">IF($Q252="","",PROPER(INDEX('Reguler Class Availability'!$I:$I,$Q252)&amp;"")&amp;IF(INDEX('Reguler Class Availability'!$J:$J,$Q252)&amp;""="",""," + asst "&amp;PROPER(INDEX('Reguler Class Availability'!$J:$J,$Q252)&amp;"")))</f>
        <v/>
      </c>
      <c r="I252" s="77" t="s">
        <v>465</v>
      </c>
      <c r="J252" s="77" t="s">
        <v>188</v>
      </c>
      <c r="K252" s="78"/>
      <c r="L252" s="78"/>
      <c r="M252" s="78"/>
      <c r="N252" s="79"/>
      <c r="O252" s="78"/>
      <c r="Q252" s="30" t="n">
        <f aca="false">IFERROR(MATCH($B$4&amp;"|- Lane "&amp;D252&amp;" - "&amp;B252&amp;"|"&amp;C252,'Reguler Class Availability'!$L:$L,0),"")</f>
        <v>1919</v>
      </c>
      <c r="BD252" s="30" t="s">
        <v>112</v>
      </c>
      <c r="BE252" s="30" t="n">
        <f aca="false">IF(COUNTIFS('Reguler Class Availability'!$L:$L,$B$4&amp;"|- Lane 5 - *|"&amp;BD252)&gt;0,1,0)</f>
        <v>0</v>
      </c>
      <c r="BF252" s="30" t="n">
        <f aca="false">BE252+BF251</f>
        <v>1</v>
      </c>
    </row>
    <row r="253" customFormat="false" ht="27.75" hidden="false" customHeight="true" outlineLevel="0" collapsed="false">
      <c r="A253" s="76" t="n">
        <v>127</v>
      </c>
      <c r="B253" s="77" t="s">
        <v>116</v>
      </c>
      <c r="C253" s="76" t="s">
        <v>126</v>
      </c>
      <c r="D253" s="76" t="n">
        <v>5</v>
      </c>
      <c r="E253" s="77" t="str">
        <f aca="false">IF($Q253="","Tidak ada di data",IF(AND(IFERROR(--(INDEX('Reguler Class Availability'!$F:$F,$Q253)&amp;""),0)=0,IFERROR(--(INDEX('Reguler Class Availability'!$G:$G,$Q253)&amp;""),0)=0),"Tutup",IF(IFERROR(--(INDEX('Reguler Class Availability'!$G:$G,$Q253)&amp;""),0)&gt;IFERROR(--(INDEX('Reguler Class Availability'!$F:$F,$Q253)&amp;""),0),"Lebih",IF(IFERROR(--(INDEX('Reguler Class Availability'!$G:$G,$Q253)&amp;""),0)=IFERROR(--(INDEX('Reguler Class Availability'!$F:$F,$Q253)&amp;""),0),"Penuh",IF(IFERROR(--(INDEX('Reguler Class Availability'!$G:$G,$Q253)&amp;""),0)=0,IF(INDEX('Reguler Class Availability'!$B:$B,$Q253)&amp;""="","Kosong","Belum terisi"),IF(IFERROR(--(INDEX('Reguler Class Availability'!$G:$G,$Q253)&amp;""),0)/IFERROR(--(INDEX('Reguler Class Availability'!$F:$F,$Q253)&amp;""),0)&gt;=0.6,"Tinggi","Sebagian"))))))</f>
        <v>Kosong</v>
      </c>
      <c r="F253" s="77" t="str">
        <f aca="false">IF($Q253="","",PROPER(INDEX('Reguler Class Availability'!$B:$B,$Q253)&amp;""))</f>
        <v/>
      </c>
      <c r="G253" s="76" t="n">
        <f aca="false">IF($Q253="","",IFERROR(--(INDEX('Reguler Class Availability'!$F:$F,$Q253)&amp;""),0))</f>
        <v>4</v>
      </c>
      <c r="H253" s="77" t="str">
        <f aca="false">IF($Q253="","",PROPER(INDEX('Reguler Class Availability'!$I:$I,$Q253)&amp;"")&amp;IF(INDEX('Reguler Class Availability'!$J:$J,$Q253)&amp;""="",""," + asst "&amp;PROPER(INDEX('Reguler Class Availability'!$J:$J,$Q253)&amp;"")))</f>
        <v/>
      </c>
      <c r="I253" s="77" t="s">
        <v>465</v>
      </c>
      <c r="J253" s="77" t="s">
        <v>188</v>
      </c>
      <c r="K253" s="78"/>
      <c r="L253" s="78"/>
      <c r="M253" s="78"/>
      <c r="N253" s="79"/>
      <c r="O253" s="78"/>
      <c r="Q253" s="30" t="n">
        <f aca="false">IFERROR(MATCH($B$4&amp;"|- Lane "&amp;D253&amp;" - "&amp;B253&amp;"|"&amp;C253,'Reguler Class Availability'!$L:$L,0),"")</f>
        <v>2269</v>
      </c>
      <c r="BD253" s="30" t="s">
        <v>120</v>
      </c>
      <c r="BE253" s="30" t="n">
        <f aca="false">IF(COUNTIFS('Reguler Class Availability'!$L:$L,$B$4&amp;"|- Lane 5 - *|"&amp;BD253)&gt;0,1,0)</f>
        <v>1</v>
      </c>
      <c r="BF253" s="30" t="n">
        <f aca="false">BE253+BF252</f>
        <v>2</v>
      </c>
    </row>
    <row r="254" customFormat="false" ht="27.75" hidden="false" customHeight="true" outlineLevel="0" collapsed="false">
      <c r="A254" s="76" t="n">
        <v>128</v>
      </c>
      <c r="B254" s="77" t="s">
        <v>116</v>
      </c>
      <c r="C254" s="76" t="s">
        <v>127</v>
      </c>
      <c r="D254" s="76" t="n">
        <v>3</v>
      </c>
      <c r="E254" s="77" t="str">
        <f aca="false">IF($Q254="","Tidak ada di data",IF(AND(IFERROR(--(INDEX('Reguler Class Availability'!$F:$F,$Q254)&amp;""),0)=0,IFERROR(--(INDEX('Reguler Class Availability'!$G:$G,$Q254)&amp;""),0)=0),"Tutup",IF(IFERROR(--(INDEX('Reguler Class Availability'!$G:$G,$Q254)&amp;""),0)&gt;IFERROR(--(INDEX('Reguler Class Availability'!$F:$F,$Q254)&amp;""),0),"Lebih",IF(IFERROR(--(INDEX('Reguler Class Availability'!$G:$G,$Q254)&amp;""),0)=IFERROR(--(INDEX('Reguler Class Availability'!$F:$F,$Q254)&amp;""),0),"Penuh",IF(IFERROR(--(INDEX('Reguler Class Availability'!$G:$G,$Q254)&amp;""),0)=0,IF(INDEX('Reguler Class Availability'!$B:$B,$Q254)&amp;""="","Kosong","Belum terisi"),IF(IFERROR(--(INDEX('Reguler Class Availability'!$G:$G,$Q254)&amp;""),0)/IFERROR(--(INDEX('Reguler Class Availability'!$F:$F,$Q254)&amp;""),0)&gt;=0.6,"Tinggi","Sebagian"))))))</f>
        <v>Belum terisi</v>
      </c>
      <c r="F254" s="77" t="str">
        <f aca="false">IF($Q254="","",PROPER(INDEX('Reguler Class Availability'!$B:$B,$Q254)&amp;""))</f>
        <v>Little</v>
      </c>
      <c r="G254" s="76" t="n">
        <f aca="false">IF($Q254="","",IFERROR(--(INDEX('Reguler Class Availability'!$F:$F,$Q254)&amp;""),0))</f>
        <v>4</v>
      </c>
      <c r="H254" s="77" t="str">
        <f aca="false">IF($Q254="","",PROPER(INDEX('Reguler Class Availability'!$I:$I,$Q254)&amp;"")&amp;IF(INDEX('Reguler Class Availability'!$J:$J,$Q254)&amp;""="",""," + asst "&amp;PROPER(INDEX('Reguler Class Availability'!$J:$J,$Q254)&amp;"")))</f>
        <v/>
      </c>
      <c r="I254" s="77" t="s">
        <v>465</v>
      </c>
      <c r="J254" s="77" t="s">
        <v>188</v>
      </c>
      <c r="K254" s="78"/>
      <c r="L254" s="78"/>
      <c r="M254" s="78"/>
      <c r="N254" s="79"/>
      <c r="O254" s="78"/>
      <c r="Q254" s="30" t="n">
        <f aca="false">IFERROR(MATCH($B$4&amp;"|- Lane "&amp;D254&amp;" - "&amp;B254&amp;"|"&amp;C254,'Reguler Class Availability'!$L:$L,0),"")</f>
        <v>2101</v>
      </c>
      <c r="BD254" s="30" t="s">
        <v>121</v>
      </c>
      <c r="BE254" s="30" t="n">
        <f aca="false">IF(COUNTIFS('Reguler Class Availability'!$L:$L,$B$4&amp;"|- Lane 5 - *|"&amp;BD254)&gt;0,1,0)</f>
        <v>0</v>
      </c>
      <c r="BF254" s="30" t="n">
        <f aca="false">BE254+BF253</f>
        <v>2</v>
      </c>
    </row>
    <row r="255" customFormat="false" ht="27.75" hidden="false" customHeight="true" outlineLevel="0" collapsed="false">
      <c r="A255" s="76" t="n">
        <v>129</v>
      </c>
      <c r="B255" s="77" t="s">
        <v>116</v>
      </c>
      <c r="C255" s="76" t="s">
        <v>127</v>
      </c>
      <c r="D255" s="76" t="n">
        <v>4</v>
      </c>
      <c r="E255" s="77" t="str">
        <f aca="false">IF($Q255="","Tidak ada di data",IF(AND(IFERROR(--(INDEX('Reguler Class Availability'!$F:$F,$Q255)&amp;""),0)=0,IFERROR(--(INDEX('Reguler Class Availability'!$G:$G,$Q255)&amp;""),0)=0),"Tutup",IF(IFERROR(--(INDEX('Reguler Class Availability'!$G:$G,$Q255)&amp;""),0)&gt;IFERROR(--(INDEX('Reguler Class Availability'!$F:$F,$Q255)&amp;""),0),"Lebih",IF(IFERROR(--(INDEX('Reguler Class Availability'!$G:$G,$Q255)&amp;""),0)=IFERROR(--(INDEX('Reguler Class Availability'!$F:$F,$Q255)&amp;""),0),"Penuh",IF(IFERROR(--(INDEX('Reguler Class Availability'!$G:$G,$Q255)&amp;""),0)=0,IF(INDEX('Reguler Class Availability'!$B:$B,$Q255)&amp;""="","Kosong","Belum terisi"),IF(IFERROR(--(INDEX('Reguler Class Availability'!$G:$G,$Q255)&amp;""),0)/IFERROR(--(INDEX('Reguler Class Availability'!$F:$F,$Q255)&amp;""),0)&gt;=0.6,"Tinggi","Sebagian"))))))</f>
        <v>Belum terisi</v>
      </c>
      <c r="F255" s="77" t="str">
        <f aca="false">IF($Q255="","",PROPER(INDEX('Reguler Class Availability'!$B:$B,$Q255)&amp;""))</f>
        <v>Kids</v>
      </c>
      <c r="G255" s="76" t="n">
        <f aca="false">IF($Q255="","",IFERROR(--(INDEX('Reguler Class Availability'!$F:$F,$Q255)&amp;""),0))</f>
        <v>4</v>
      </c>
      <c r="H255" s="77" t="str">
        <f aca="false">IF($Q255="","",PROPER(INDEX('Reguler Class Availability'!$I:$I,$Q255)&amp;"")&amp;IF(INDEX('Reguler Class Availability'!$J:$J,$Q255)&amp;""="",""," + asst "&amp;PROPER(INDEX('Reguler Class Availability'!$J:$J,$Q255)&amp;"")))</f>
        <v/>
      </c>
      <c r="I255" s="77" t="s">
        <v>465</v>
      </c>
      <c r="J255" s="77" t="s">
        <v>188</v>
      </c>
      <c r="K255" s="78"/>
      <c r="L255" s="78"/>
      <c r="M255" s="78"/>
      <c r="N255" s="79"/>
      <c r="O255" s="78"/>
      <c r="Q255" s="30" t="n">
        <f aca="false">IFERROR(MATCH($B$4&amp;"|- Lane "&amp;D255&amp;" - "&amp;B255&amp;"|"&amp;C255,'Reguler Class Availability'!$L:$L,0),"")</f>
        <v>2185</v>
      </c>
      <c r="BD255" s="30" t="s">
        <v>122</v>
      </c>
      <c r="BE255" s="30" t="n">
        <f aca="false">IF(COUNTIFS('Reguler Class Availability'!$L:$L,$B$4&amp;"|- Lane 5 - *|"&amp;BD255)&gt;0,1,0)</f>
        <v>0</v>
      </c>
      <c r="BF255" s="30" t="n">
        <f aca="false">BE255+BF254</f>
        <v>2</v>
      </c>
    </row>
    <row r="256" customFormat="false" ht="27.75" hidden="false" customHeight="true" outlineLevel="0" collapsed="false">
      <c r="A256" s="76" t="n">
        <v>130</v>
      </c>
      <c r="B256" s="77" t="s">
        <v>116</v>
      </c>
      <c r="C256" s="76" t="s">
        <v>129</v>
      </c>
      <c r="D256" s="76" t="n">
        <v>1</v>
      </c>
      <c r="E256" s="77" t="str">
        <f aca="false">IF($Q256="","Tidak ada di data",IF(AND(IFERROR(--(INDEX('Reguler Class Availability'!$F:$F,$Q256)&amp;""),0)=0,IFERROR(--(INDEX('Reguler Class Availability'!$G:$G,$Q256)&amp;""),0)=0),"Tutup",IF(IFERROR(--(INDEX('Reguler Class Availability'!$G:$G,$Q256)&amp;""),0)&gt;IFERROR(--(INDEX('Reguler Class Availability'!$F:$F,$Q256)&amp;""),0),"Lebih",IF(IFERROR(--(INDEX('Reguler Class Availability'!$G:$G,$Q256)&amp;""),0)=IFERROR(--(INDEX('Reguler Class Availability'!$F:$F,$Q256)&amp;""),0),"Penuh",IF(IFERROR(--(INDEX('Reguler Class Availability'!$G:$G,$Q256)&amp;""),0)=0,IF(INDEX('Reguler Class Availability'!$B:$B,$Q256)&amp;""="","Kosong","Belum terisi"),IF(IFERROR(--(INDEX('Reguler Class Availability'!$G:$G,$Q256)&amp;""),0)/IFERROR(--(INDEX('Reguler Class Availability'!$F:$F,$Q256)&amp;""),0)&gt;=0.6,"Tinggi","Sebagian"))))))</f>
        <v>Belum terisi</v>
      </c>
      <c r="F256" s="77" t="str">
        <f aca="false">IF($Q256="","",PROPER(INDEX('Reguler Class Availability'!$B:$B,$Q256)&amp;""))</f>
        <v>Baby</v>
      </c>
      <c r="G256" s="76" t="n">
        <f aca="false">IF($Q256="","",IFERROR(--(INDEX('Reguler Class Availability'!$F:$F,$Q256)&amp;""),0))</f>
        <v>5</v>
      </c>
      <c r="H256" s="77" t="str">
        <f aca="false">IF($Q256="","",PROPER(INDEX('Reguler Class Availability'!$I:$I,$Q256)&amp;"")&amp;IF(INDEX('Reguler Class Availability'!$J:$J,$Q256)&amp;""="",""," + asst "&amp;PROPER(INDEX('Reguler Class Availability'!$J:$J,$Q256)&amp;"")))</f>
        <v/>
      </c>
      <c r="I256" s="77" t="s">
        <v>466</v>
      </c>
      <c r="J256" s="77" t="s">
        <v>188</v>
      </c>
      <c r="K256" s="78"/>
      <c r="L256" s="78"/>
      <c r="M256" s="78"/>
      <c r="N256" s="79"/>
      <c r="O256" s="78"/>
      <c r="Q256" s="30" t="n">
        <f aca="false">IFERROR(MATCH($B$4&amp;"|- Lane "&amp;D256&amp;" - "&amp;B256&amp;"|"&amp;C256,'Reguler Class Availability'!$L:$L,0),"")</f>
        <v>1920</v>
      </c>
      <c r="BD256" s="30" t="s">
        <v>123</v>
      </c>
      <c r="BE256" s="30" t="n">
        <f aca="false">IF(COUNTIFS('Reguler Class Availability'!$L:$L,$B$4&amp;"|- Lane 5 - *|"&amp;BD256)&gt;0,1,0)</f>
        <v>1</v>
      </c>
      <c r="BF256" s="30" t="n">
        <f aca="false">BE256+BF255</f>
        <v>3</v>
      </c>
    </row>
    <row r="257" customFormat="false" ht="27.75" hidden="false" customHeight="true" outlineLevel="0" collapsed="false">
      <c r="A257" s="76" t="n">
        <v>131</v>
      </c>
      <c r="B257" s="77" t="s">
        <v>116</v>
      </c>
      <c r="C257" s="76" t="s">
        <v>129</v>
      </c>
      <c r="D257" s="76" t="n">
        <v>2</v>
      </c>
      <c r="E257" s="77" t="str">
        <f aca="false">IF($Q257="","Tidak ada di data",IF(AND(IFERROR(--(INDEX('Reguler Class Availability'!$F:$F,$Q257)&amp;""),0)=0,IFERROR(--(INDEX('Reguler Class Availability'!$G:$G,$Q257)&amp;""),0)=0),"Tutup",IF(IFERROR(--(INDEX('Reguler Class Availability'!$G:$G,$Q257)&amp;""),0)&gt;IFERROR(--(INDEX('Reguler Class Availability'!$F:$F,$Q257)&amp;""),0),"Lebih",IF(IFERROR(--(INDEX('Reguler Class Availability'!$G:$G,$Q257)&amp;""),0)=IFERROR(--(INDEX('Reguler Class Availability'!$F:$F,$Q257)&amp;""),0),"Penuh",IF(IFERROR(--(INDEX('Reguler Class Availability'!$G:$G,$Q257)&amp;""),0)=0,IF(INDEX('Reguler Class Availability'!$B:$B,$Q257)&amp;""="","Kosong","Belum terisi"),IF(IFERROR(--(INDEX('Reguler Class Availability'!$G:$G,$Q257)&amp;""),0)/IFERROR(--(INDEX('Reguler Class Availability'!$F:$F,$Q257)&amp;""),0)&gt;=0.6,"Tinggi","Sebagian"))))))</f>
        <v>Belum terisi</v>
      </c>
      <c r="F257" s="77" t="str">
        <f aca="false">IF($Q257="","",PROPER(INDEX('Reguler Class Availability'!$B:$B,$Q257)&amp;""))</f>
        <v>Tiny</v>
      </c>
      <c r="G257" s="76" t="n">
        <f aca="false">IF($Q257="","",IFERROR(--(INDEX('Reguler Class Availability'!$F:$F,$Q257)&amp;""),0))</f>
        <v>5</v>
      </c>
      <c r="H257" s="77" t="str">
        <f aca="false">IF($Q257="","",PROPER(INDEX('Reguler Class Availability'!$I:$I,$Q257)&amp;"")&amp;IF(INDEX('Reguler Class Availability'!$J:$J,$Q257)&amp;""="",""," + asst "&amp;PROPER(INDEX('Reguler Class Availability'!$J:$J,$Q257)&amp;"")))</f>
        <v/>
      </c>
      <c r="I257" s="77" t="s">
        <v>466</v>
      </c>
      <c r="J257" s="77" t="s">
        <v>188</v>
      </c>
      <c r="K257" s="78"/>
      <c r="L257" s="78"/>
      <c r="M257" s="78"/>
      <c r="N257" s="79"/>
      <c r="O257" s="78"/>
      <c r="Q257" s="30" t="n">
        <f aca="false">IFERROR(MATCH($B$4&amp;"|- Lane "&amp;D257&amp;" - "&amp;B257&amp;"|"&amp;C257,'Reguler Class Availability'!$L:$L,0),"")</f>
        <v>2018</v>
      </c>
      <c r="BD257" s="30" t="s">
        <v>124</v>
      </c>
      <c r="BE257" s="30" t="n">
        <f aca="false">IF(COUNTIFS('Reguler Class Availability'!$L:$L,$B$4&amp;"|- Lane 5 - *|"&amp;BD257)&gt;0,1,0)</f>
        <v>0</v>
      </c>
      <c r="BF257" s="30" t="n">
        <f aca="false">BE257+BF256</f>
        <v>3</v>
      </c>
    </row>
    <row r="258" customFormat="false" ht="27.75" hidden="false" customHeight="true" outlineLevel="0" collapsed="false">
      <c r="A258" s="76" t="n">
        <v>132</v>
      </c>
      <c r="B258" s="77" t="s">
        <v>116</v>
      </c>
      <c r="C258" s="76" t="s">
        <v>129</v>
      </c>
      <c r="D258" s="76" t="n">
        <v>5</v>
      </c>
      <c r="E258" s="77" t="str">
        <f aca="false">IF($Q258="","Tidak ada di data",IF(AND(IFERROR(--(INDEX('Reguler Class Availability'!$F:$F,$Q258)&amp;""),0)=0,IFERROR(--(INDEX('Reguler Class Availability'!$G:$G,$Q258)&amp;""),0)=0),"Tutup",IF(IFERROR(--(INDEX('Reguler Class Availability'!$G:$G,$Q258)&amp;""),0)&gt;IFERROR(--(INDEX('Reguler Class Availability'!$F:$F,$Q258)&amp;""),0),"Lebih",IF(IFERROR(--(INDEX('Reguler Class Availability'!$G:$G,$Q258)&amp;""),0)=IFERROR(--(INDEX('Reguler Class Availability'!$F:$F,$Q258)&amp;""),0),"Penuh",IF(IFERROR(--(INDEX('Reguler Class Availability'!$G:$G,$Q258)&amp;""),0)=0,IF(INDEX('Reguler Class Availability'!$B:$B,$Q258)&amp;""="","Kosong","Belum terisi"),IF(IFERROR(--(INDEX('Reguler Class Availability'!$G:$G,$Q258)&amp;""),0)/IFERROR(--(INDEX('Reguler Class Availability'!$F:$F,$Q258)&amp;""),0)&gt;=0.6,"Tinggi","Sebagian"))))))</f>
        <v>Kosong</v>
      </c>
      <c r="F258" s="77" t="str">
        <f aca="false">IF($Q258="","",PROPER(INDEX('Reguler Class Availability'!$B:$B,$Q258)&amp;""))</f>
        <v/>
      </c>
      <c r="G258" s="76" t="n">
        <f aca="false">IF($Q258="","",IFERROR(--(INDEX('Reguler Class Availability'!$F:$F,$Q258)&amp;""),0))</f>
        <v>4</v>
      </c>
      <c r="H258" s="77" t="str">
        <f aca="false">IF($Q258="","",PROPER(INDEX('Reguler Class Availability'!$I:$I,$Q258)&amp;"")&amp;IF(INDEX('Reguler Class Availability'!$J:$J,$Q258)&amp;""="",""," + asst "&amp;PROPER(INDEX('Reguler Class Availability'!$J:$J,$Q258)&amp;"")))</f>
        <v/>
      </c>
      <c r="I258" s="77" t="s">
        <v>466</v>
      </c>
      <c r="J258" s="77" t="s">
        <v>188</v>
      </c>
      <c r="K258" s="78"/>
      <c r="L258" s="78"/>
      <c r="M258" s="78"/>
      <c r="N258" s="79"/>
      <c r="O258" s="78"/>
      <c r="Q258" s="30" t="n">
        <f aca="false">IFERROR(MATCH($B$4&amp;"|- Lane "&amp;D258&amp;" - "&amp;B258&amp;"|"&amp;C258,'Reguler Class Availability'!$L:$L,0),"")</f>
        <v>2270</v>
      </c>
      <c r="BD258" s="30" t="s">
        <v>125</v>
      </c>
      <c r="BE258" s="30" t="n">
        <f aca="false">IF(COUNTIFS('Reguler Class Availability'!$L:$L,$B$4&amp;"|- Lane 5 - *|"&amp;BD258)&gt;0,1,0)</f>
        <v>0</v>
      </c>
      <c r="BF258" s="30" t="n">
        <f aca="false">BE258+BF257</f>
        <v>3</v>
      </c>
    </row>
    <row r="259" customFormat="false" ht="27.75" hidden="false" customHeight="true" outlineLevel="0" collapsed="false">
      <c r="A259" s="76" t="n">
        <v>133</v>
      </c>
      <c r="B259" s="77" t="s">
        <v>116</v>
      </c>
      <c r="C259" s="76" t="s">
        <v>130</v>
      </c>
      <c r="D259" s="76" t="n">
        <v>3</v>
      </c>
      <c r="E259" s="77" t="str">
        <f aca="false">IF($Q259="","Tidak ada di data",IF(AND(IFERROR(--(INDEX('Reguler Class Availability'!$F:$F,$Q259)&amp;""),0)=0,IFERROR(--(INDEX('Reguler Class Availability'!$G:$G,$Q259)&amp;""),0)=0),"Tutup",IF(IFERROR(--(INDEX('Reguler Class Availability'!$G:$G,$Q259)&amp;""),0)&gt;IFERROR(--(INDEX('Reguler Class Availability'!$F:$F,$Q259)&amp;""),0),"Lebih",IF(IFERROR(--(INDEX('Reguler Class Availability'!$G:$G,$Q259)&amp;""),0)=IFERROR(--(INDEX('Reguler Class Availability'!$F:$F,$Q259)&amp;""),0),"Penuh",IF(IFERROR(--(INDEX('Reguler Class Availability'!$G:$G,$Q259)&amp;""),0)=0,IF(INDEX('Reguler Class Availability'!$B:$B,$Q259)&amp;""="","Kosong","Belum terisi"),IF(IFERROR(--(INDEX('Reguler Class Availability'!$G:$G,$Q259)&amp;""),0)/IFERROR(--(INDEX('Reguler Class Availability'!$F:$F,$Q259)&amp;""),0)&gt;=0.6,"Tinggi","Sebagian"))))))</f>
        <v>Belum terisi</v>
      </c>
      <c r="F259" s="77" t="str">
        <f aca="false">IF($Q259="","",PROPER(INDEX('Reguler Class Availability'!$B:$B,$Q259)&amp;""))</f>
        <v>Little</v>
      </c>
      <c r="G259" s="76" t="n">
        <f aca="false">IF($Q259="","",IFERROR(--(INDEX('Reguler Class Availability'!$F:$F,$Q259)&amp;""),0))</f>
        <v>4</v>
      </c>
      <c r="H259" s="77" t="str">
        <f aca="false">IF($Q259="","",PROPER(INDEX('Reguler Class Availability'!$I:$I,$Q259)&amp;"")&amp;IF(INDEX('Reguler Class Availability'!$J:$J,$Q259)&amp;""="",""," + asst "&amp;PROPER(INDEX('Reguler Class Availability'!$J:$J,$Q259)&amp;"")))</f>
        <v/>
      </c>
      <c r="I259" s="77" t="s">
        <v>466</v>
      </c>
      <c r="J259" s="77" t="s">
        <v>188</v>
      </c>
      <c r="K259" s="78"/>
      <c r="L259" s="78"/>
      <c r="M259" s="78"/>
      <c r="N259" s="79"/>
      <c r="O259" s="78"/>
      <c r="Q259" s="30" t="n">
        <f aca="false">IFERROR(MATCH($B$4&amp;"|- Lane "&amp;D259&amp;" - "&amp;B259&amp;"|"&amp;C259,'Reguler Class Availability'!$L:$L,0),"")</f>
        <v>2102</v>
      </c>
      <c r="BD259" s="30" t="s">
        <v>126</v>
      </c>
      <c r="BE259" s="30" t="n">
        <f aca="false">IF(COUNTIFS('Reguler Class Availability'!$L:$L,$B$4&amp;"|- Lane 5 - *|"&amp;BD259)&gt;0,1,0)</f>
        <v>1</v>
      </c>
      <c r="BF259" s="30" t="n">
        <f aca="false">BE259+BF258</f>
        <v>4</v>
      </c>
    </row>
    <row r="260" customFormat="false" ht="27.75" hidden="false" customHeight="true" outlineLevel="0" collapsed="false">
      <c r="A260" s="76" t="n">
        <v>134</v>
      </c>
      <c r="B260" s="77" t="s">
        <v>116</v>
      </c>
      <c r="C260" s="76" t="s">
        <v>132</v>
      </c>
      <c r="D260" s="76" t="n">
        <v>1</v>
      </c>
      <c r="E260" s="77" t="str">
        <f aca="false">IF($Q260="","Tidak ada di data",IF(AND(IFERROR(--(INDEX('Reguler Class Availability'!$F:$F,$Q260)&amp;""),0)=0,IFERROR(--(INDEX('Reguler Class Availability'!$G:$G,$Q260)&amp;""),0)=0),"Tutup",IF(IFERROR(--(INDEX('Reguler Class Availability'!$G:$G,$Q260)&amp;""),0)&gt;IFERROR(--(INDEX('Reguler Class Availability'!$F:$F,$Q260)&amp;""),0),"Lebih",IF(IFERROR(--(INDEX('Reguler Class Availability'!$G:$G,$Q260)&amp;""),0)=IFERROR(--(INDEX('Reguler Class Availability'!$F:$F,$Q260)&amp;""),0),"Penuh",IF(IFERROR(--(INDEX('Reguler Class Availability'!$G:$G,$Q260)&amp;""),0)=0,IF(INDEX('Reguler Class Availability'!$B:$B,$Q260)&amp;""="","Kosong","Belum terisi"),IF(IFERROR(--(INDEX('Reguler Class Availability'!$G:$G,$Q260)&amp;""),0)/IFERROR(--(INDEX('Reguler Class Availability'!$F:$F,$Q260)&amp;""),0)&gt;=0.6,"Tinggi","Sebagian"))))))</f>
        <v>Belum terisi</v>
      </c>
      <c r="F260" s="77" t="str">
        <f aca="false">IF($Q260="","",PROPER(INDEX('Reguler Class Availability'!$B:$B,$Q260)&amp;""))</f>
        <v>Baby</v>
      </c>
      <c r="G260" s="76" t="n">
        <f aca="false">IF($Q260="","",IFERROR(--(INDEX('Reguler Class Availability'!$F:$F,$Q260)&amp;""),0))</f>
        <v>5</v>
      </c>
      <c r="H260" s="77" t="str">
        <f aca="false">IF($Q260="","",PROPER(INDEX('Reguler Class Availability'!$I:$I,$Q260)&amp;"")&amp;IF(INDEX('Reguler Class Availability'!$J:$J,$Q260)&amp;""="",""," + asst "&amp;PROPER(INDEX('Reguler Class Availability'!$J:$J,$Q260)&amp;"")))</f>
        <v/>
      </c>
      <c r="I260" s="77" t="s">
        <v>466</v>
      </c>
      <c r="J260" s="77" t="s">
        <v>188</v>
      </c>
      <c r="K260" s="78"/>
      <c r="L260" s="78"/>
      <c r="M260" s="78"/>
      <c r="N260" s="79"/>
      <c r="O260" s="78"/>
      <c r="Q260" s="30" t="n">
        <f aca="false">IFERROR(MATCH($B$4&amp;"|- Lane "&amp;D260&amp;" - "&amp;B260&amp;"|"&amp;C260,'Reguler Class Availability'!$L:$L,0),"")</f>
        <v>1921</v>
      </c>
      <c r="BD260" s="30" t="s">
        <v>127</v>
      </c>
      <c r="BE260" s="30" t="n">
        <f aca="false">IF(COUNTIFS('Reguler Class Availability'!$L:$L,$B$4&amp;"|- Lane 5 - *|"&amp;BD260)&gt;0,1,0)</f>
        <v>0</v>
      </c>
      <c r="BF260" s="30" t="n">
        <f aca="false">BE260+BF259</f>
        <v>4</v>
      </c>
    </row>
    <row r="261" customFormat="false" ht="27.75" hidden="false" customHeight="true" outlineLevel="0" collapsed="false">
      <c r="A261" s="76" t="n">
        <v>135</v>
      </c>
      <c r="B261" s="77" t="s">
        <v>116</v>
      </c>
      <c r="C261" s="76" t="s">
        <v>132</v>
      </c>
      <c r="D261" s="76" t="n">
        <v>2</v>
      </c>
      <c r="E261" s="77" t="str">
        <f aca="false">IF($Q261="","Tidak ada di data",IF(AND(IFERROR(--(INDEX('Reguler Class Availability'!$F:$F,$Q261)&amp;""),0)=0,IFERROR(--(INDEX('Reguler Class Availability'!$G:$G,$Q261)&amp;""),0)=0),"Tutup",IF(IFERROR(--(INDEX('Reguler Class Availability'!$G:$G,$Q261)&amp;""),0)&gt;IFERROR(--(INDEX('Reguler Class Availability'!$F:$F,$Q261)&amp;""),0),"Lebih",IF(IFERROR(--(INDEX('Reguler Class Availability'!$G:$G,$Q261)&amp;""),0)=IFERROR(--(INDEX('Reguler Class Availability'!$F:$F,$Q261)&amp;""),0),"Penuh",IF(IFERROR(--(INDEX('Reguler Class Availability'!$G:$G,$Q261)&amp;""),0)=0,IF(INDEX('Reguler Class Availability'!$B:$B,$Q261)&amp;""="","Kosong","Belum terisi"),IF(IFERROR(--(INDEX('Reguler Class Availability'!$G:$G,$Q261)&amp;""),0)/IFERROR(--(INDEX('Reguler Class Availability'!$F:$F,$Q261)&amp;""),0)&gt;=0.6,"Tinggi","Sebagian"))))))</f>
        <v>Belum terisi</v>
      </c>
      <c r="F261" s="77" t="str">
        <f aca="false">IF($Q261="","",PROPER(INDEX('Reguler Class Availability'!$B:$B,$Q261)&amp;""))</f>
        <v>Tiny</v>
      </c>
      <c r="G261" s="76" t="n">
        <f aca="false">IF($Q261="","",IFERROR(--(INDEX('Reguler Class Availability'!$F:$F,$Q261)&amp;""),0))</f>
        <v>5</v>
      </c>
      <c r="H261" s="77" t="str">
        <f aca="false">IF($Q261="","",PROPER(INDEX('Reguler Class Availability'!$I:$I,$Q261)&amp;"")&amp;IF(INDEX('Reguler Class Availability'!$J:$J,$Q261)&amp;""="",""," + asst "&amp;PROPER(INDEX('Reguler Class Availability'!$J:$J,$Q261)&amp;"")))</f>
        <v/>
      </c>
      <c r="I261" s="77" t="s">
        <v>466</v>
      </c>
      <c r="J261" s="77" t="s">
        <v>188</v>
      </c>
      <c r="K261" s="78"/>
      <c r="L261" s="78"/>
      <c r="M261" s="78"/>
      <c r="N261" s="79"/>
      <c r="O261" s="78"/>
      <c r="Q261" s="30" t="n">
        <f aca="false">IFERROR(MATCH($B$4&amp;"|- Lane "&amp;D261&amp;" - "&amp;B261&amp;"|"&amp;C261,'Reguler Class Availability'!$L:$L,0),"")</f>
        <v>2019</v>
      </c>
      <c r="BD261" s="30" t="s">
        <v>128</v>
      </c>
      <c r="BE261" s="30" t="n">
        <f aca="false">IF(COUNTIFS('Reguler Class Availability'!$L:$L,$B$4&amp;"|- Lane 5 - *|"&amp;BD261)&gt;0,1,0)</f>
        <v>0</v>
      </c>
      <c r="BF261" s="30" t="n">
        <f aca="false">BE261+BF260</f>
        <v>4</v>
      </c>
    </row>
    <row r="262" customFormat="false" ht="27.75" hidden="false" customHeight="true" outlineLevel="0" collapsed="false">
      <c r="A262" s="76" t="n">
        <v>136</v>
      </c>
      <c r="B262" s="77" t="s">
        <v>116</v>
      </c>
      <c r="C262" s="76" t="s">
        <v>132</v>
      </c>
      <c r="D262" s="76" t="n">
        <v>5</v>
      </c>
      <c r="E262" s="77" t="str">
        <f aca="false">IF($Q262="","Tidak ada di data",IF(AND(IFERROR(--(INDEX('Reguler Class Availability'!$F:$F,$Q262)&amp;""),0)=0,IFERROR(--(INDEX('Reguler Class Availability'!$G:$G,$Q262)&amp;""),0)=0),"Tutup",IF(IFERROR(--(INDEX('Reguler Class Availability'!$G:$G,$Q262)&amp;""),0)&gt;IFERROR(--(INDEX('Reguler Class Availability'!$F:$F,$Q262)&amp;""),0),"Lebih",IF(IFERROR(--(INDEX('Reguler Class Availability'!$G:$G,$Q262)&amp;""),0)=IFERROR(--(INDEX('Reguler Class Availability'!$F:$F,$Q262)&amp;""),0),"Penuh",IF(IFERROR(--(INDEX('Reguler Class Availability'!$G:$G,$Q262)&amp;""),0)=0,IF(INDEX('Reguler Class Availability'!$B:$B,$Q262)&amp;""="","Kosong","Belum terisi"),IF(IFERROR(--(INDEX('Reguler Class Availability'!$G:$G,$Q262)&amp;""),0)/IFERROR(--(INDEX('Reguler Class Availability'!$F:$F,$Q262)&amp;""),0)&gt;=0.6,"Tinggi","Sebagian"))))))</f>
        <v>Kosong</v>
      </c>
      <c r="F262" s="77" t="str">
        <f aca="false">IF($Q262="","",PROPER(INDEX('Reguler Class Availability'!$B:$B,$Q262)&amp;""))</f>
        <v/>
      </c>
      <c r="G262" s="76" t="n">
        <f aca="false">IF($Q262="","",IFERROR(--(INDEX('Reguler Class Availability'!$F:$F,$Q262)&amp;""),0))</f>
        <v>4</v>
      </c>
      <c r="H262" s="77" t="str">
        <f aca="false">IF($Q262="","",PROPER(INDEX('Reguler Class Availability'!$I:$I,$Q262)&amp;"")&amp;IF(INDEX('Reguler Class Availability'!$J:$J,$Q262)&amp;""="",""," + asst "&amp;PROPER(INDEX('Reguler Class Availability'!$J:$J,$Q262)&amp;"")))</f>
        <v/>
      </c>
      <c r="I262" s="77" t="s">
        <v>466</v>
      </c>
      <c r="J262" s="77" t="s">
        <v>188</v>
      </c>
      <c r="K262" s="78"/>
      <c r="L262" s="78"/>
      <c r="M262" s="78"/>
      <c r="N262" s="79"/>
      <c r="O262" s="78"/>
      <c r="Q262" s="30" t="n">
        <f aca="false">IFERROR(MATCH($B$4&amp;"|- Lane "&amp;D262&amp;" - "&amp;B262&amp;"|"&amp;C262,'Reguler Class Availability'!$L:$L,0),"")</f>
        <v>2271</v>
      </c>
      <c r="BD262" s="30" t="s">
        <v>129</v>
      </c>
      <c r="BE262" s="30" t="n">
        <f aca="false">IF(COUNTIFS('Reguler Class Availability'!$L:$L,$B$4&amp;"|- Lane 5 - *|"&amp;BD262)&gt;0,1,0)</f>
        <v>1</v>
      </c>
      <c r="BF262" s="30" t="n">
        <f aca="false">BE262+BF261</f>
        <v>5</v>
      </c>
    </row>
    <row r="263" customFormat="false" ht="40.5" hidden="false" customHeight="true" outlineLevel="0" collapsed="false">
      <c r="A263" s="76" t="n">
        <v>137</v>
      </c>
      <c r="B263" s="77" t="s">
        <v>116</v>
      </c>
      <c r="C263" s="76" t="s">
        <v>133</v>
      </c>
      <c r="D263" s="76" t="n">
        <v>3</v>
      </c>
      <c r="E263" s="77" t="str">
        <f aca="false">IF($Q263="","Tidak ada di data",IF(AND(IFERROR(--(INDEX('Reguler Class Availability'!$F:$F,$Q263)&amp;""),0)=0,IFERROR(--(INDEX('Reguler Class Availability'!$G:$G,$Q263)&amp;""),0)=0),"Tutup",IF(IFERROR(--(INDEX('Reguler Class Availability'!$G:$G,$Q263)&amp;""),0)&gt;IFERROR(--(INDEX('Reguler Class Availability'!$F:$F,$Q263)&amp;""),0),"Lebih",IF(IFERROR(--(INDEX('Reguler Class Availability'!$G:$G,$Q263)&amp;""),0)=IFERROR(--(INDEX('Reguler Class Availability'!$F:$F,$Q263)&amp;""),0),"Penuh",IF(IFERROR(--(INDEX('Reguler Class Availability'!$G:$G,$Q263)&amp;""),0)=0,IF(INDEX('Reguler Class Availability'!$B:$B,$Q263)&amp;""="","Kosong","Belum terisi"),IF(IFERROR(--(INDEX('Reguler Class Availability'!$G:$G,$Q263)&amp;""),0)/IFERROR(--(INDEX('Reguler Class Availability'!$F:$F,$Q263)&amp;""),0)&gt;=0.6,"Tinggi","Sebagian"))))))</f>
        <v>Belum terisi</v>
      </c>
      <c r="F263" s="77" t="str">
        <f aca="false">IF($Q263="","",PROPER(INDEX('Reguler Class Availability'!$B:$B,$Q263)&amp;""))</f>
        <v>Little</v>
      </c>
      <c r="G263" s="76" t="n">
        <f aca="false">IF($Q263="","",IFERROR(--(INDEX('Reguler Class Availability'!$F:$F,$Q263)&amp;""),0))</f>
        <v>4</v>
      </c>
      <c r="H263" s="77" t="str">
        <f aca="false">IF($Q263="","",PROPER(INDEX('Reguler Class Availability'!$I:$I,$Q263)&amp;"")&amp;IF(INDEX('Reguler Class Availability'!$J:$J,$Q263)&amp;""="",""," + asst "&amp;PROPER(INDEX('Reguler Class Availability'!$J:$J,$Q263)&amp;"")))</f>
        <v/>
      </c>
      <c r="I263" s="77" t="s">
        <v>463</v>
      </c>
      <c r="J263" s="77" t="s">
        <v>188</v>
      </c>
      <c r="K263" s="78"/>
      <c r="L263" s="78"/>
      <c r="M263" s="78"/>
      <c r="N263" s="79"/>
      <c r="O263" s="78"/>
      <c r="Q263" s="30" t="n">
        <f aca="false">IFERROR(MATCH($B$4&amp;"|- Lane "&amp;D263&amp;" - "&amp;B263&amp;"|"&amp;C263,'Reguler Class Availability'!$L:$L,0),"")</f>
        <v>2103</v>
      </c>
      <c r="BD263" s="30" t="s">
        <v>130</v>
      </c>
      <c r="BE263" s="30" t="n">
        <f aca="false">IF(COUNTIFS('Reguler Class Availability'!$L:$L,$B$4&amp;"|- Lane 5 - *|"&amp;BD263)&gt;0,1,0)</f>
        <v>0</v>
      </c>
      <c r="BF263" s="30" t="n">
        <f aca="false">BE263+BF262</f>
        <v>5</v>
      </c>
    </row>
    <row r="264" customFormat="false" ht="40.5" hidden="false" customHeight="true" outlineLevel="0" collapsed="false">
      <c r="A264" s="76" t="n">
        <v>138</v>
      </c>
      <c r="B264" s="77" t="s">
        <v>116</v>
      </c>
      <c r="C264" s="76" t="s">
        <v>133</v>
      </c>
      <c r="D264" s="76" t="n">
        <v>4</v>
      </c>
      <c r="E264" s="77" t="str">
        <f aca="false">IF($Q264="","Tidak ada di data",IF(AND(IFERROR(--(INDEX('Reguler Class Availability'!$F:$F,$Q264)&amp;""),0)=0,IFERROR(--(INDEX('Reguler Class Availability'!$G:$G,$Q264)&amp;""),0)=0),"Tutup",IF(IFERROR(--(INDEX('Reguler Class Availability'!$G:$G,$Q264)&amp;""),0)&gt;IFERROR(--(INDEX('Reguler Class Availability'!$F:$F,$Q264)&amp;""),0),"Lebih",IF(IFERROR(--(INDEX('Reguler Class Availability'!$G:$G,$Q264)&amp;""),0)=IFERROR(--(INDEX('Reguler Class Availability'!$F:$F,$Q264)&amp;""),0),"Penuh",IF(IFERROR(--(INDEX('Reguler Class Availability'!$G:$G,$Q264)&amp;""),0)=0,IF(INDEX('Reguler Class Availability'!$B:$B,$Q264)&amp;""="","Kosong","Belum terisi"),IF(IFERROR(--(INDEX('Reguler Class Availability'!$G:$G,$Q264)&amp;""),0)/IFERROR(--(INDEX('Reguler Class Availability'!$F:$F,$Q264)&amp;""),0)&gt;=0.6,"Tinggi","Sebagian"))))))</f>
        <v>Belum terisi</v>
      </c>
      <c r="F264" s="77" t="str">
        <f aca="false">IF($Q264="","",PROPER(INDEX('Reguler Class Availability'!$B:$B,$Q264)&amp;""))</f>
        <v>Kids</v>
      </c>
      <c r="G264" s="76" t="n">
        <f aca="false">IF($Q264="","",IFERROR(--(INDEX('Reguler Class Availability'!$F:$F,$Q264)&amp;""),0))</f>
        <v>4</v>
      </c>
      <c r="H264" s="77" t="str">
        <f aca="false">IF($Q264="","",PROPER(INDEX('Reguler Class Availability'!$I:$I,$Q264)&amp;"")&amp;IF(INDEX('Reguler Class Availability'!$J:$J,$Q264)&amp;""="",""," + asst "&amp;PROPER(INDEX('Reguler Class Availability'!$J:$J,$Q264)&amp;"")))</f>
        <v/>
      </c>
      <c r="I264" s="77" t="s">
        <v>463</v>
      </c>
      <c r="J264" s="77" t="s">
        <v>188</v>
      </c>
      <c r="K264" s="78"/>
      <c r="L264" s="78"/>
      <c r="M264" s="78"/>
      <c r="N264" s="79"/>
      <c r="O264" s="78"/>
      <c r="Q264" s="30" t="n">
        <f aca="false">IFERROR(MATCH($B$4&amp;"|- Lane "&amp;D264&amp;" - "&amp;B264&amp;"|"&amp;C264,'Reguler Class Availability'!$L:$L,0),"")</f>
        <v>2187</v>
      </c>
      <c r="BD264" s="30" t="s">
        <v>131</v>
      </c>
      <c r="BE264" s="30" t="n">
        <f aca="false">IF(COUNTIFS('Reguler Class Availability'!$L:$L,$B$4&amp;"|- Lane 5 - *|"&amp;BD264)&gt;0,1,0)</f>
        <v>0</v>
      </c>
      <c r="BF264" s="30" t="n">
        <f aca="false">BE264+BF263</f>
        <v>5</v>
      </c>
    </row>
    <row r="265" customFormat="false" ht="27.75" hidden="false" customHeight="true" outlineLevel="0" collapsed="false">
      <c r="A265" s="76" t="n">
        <v>139</v>
      </c>
      <c r="B265" s="77" t="s">
        <v>116</v>
      </c>
      <c r="C265" s="76" t="s">
        <v>139</v>
      </c>
      <c r="D265" s="76" t="n">
        <v>1</v>
      </c>
      <c r="E265" s="77" t="str">
        <f aca="false">IF($Q265="","Tidak ada di data",IF(AND(IFERROR(--(INDEX('Reguler Class Availability'!$F:$F,$Q265)&amp;""),0)=0,IFERROR(--(INDEX('Reguler Class Availability'!$G:$G,$Q265)&amp;""),0)=0),"Tutup",IF(IFERROR(--(INDEX('Reguler Class Availability'!$G:$G,$Q265)&amp;""),0)&gt;IFERROR(--(INDEX('Reguler Class Availability'!$F:$F,$Q265)&amp;""),0),"Lebih",IF(IFERROR(--(INDEX('Reguler Class Availability'!$G:$G,$Q265)&amp;""),0)=IFERROR(--(INDEX('Reguler Class Availability'!$F:$F,$Q265)&amp;""),0),"Penuh",IF(IFERROR(--(INDEX('Reguler Class Availability'!$G:$G,$Q265)&amp;""),0)=0,IF(INDEX('Reguler Class Availability'!$B:$B,$Q265)&amp;""="","Kosong","Belum terisi"),IF(IFERROR(--(INDEX('Reguler Class Availability'!$G:$G,$Q265)&amp;""),0)/IFERROR(--(INDEX('Reguler Class Availability'!$F:$F,$Q265)&amp;""),0)&gt;=0.6,"Tinggi","Sebagian"))))))</f>
        <v>Belum terisi</v>
      </c>
      <c r="F265" s="77" t="str">
        <f aca="false">IF($Q265="","",PROPER(INDEX('Reguler Class Availability'!$B:$B,$Q265)&amp;""))</f>
        <v>Baby</v>
      </c>
      <c r="G265" s="76" t="n">
        <f aca="false">IF($Q265="","",IFERROR(--(INDEX('Reguler Class Availability'!$F:$F,$Q265)&amp;""),0))</f>
        <v>5</v>
      </c>
      <c r="H265" s="77" t="str">
        <f aca="false">IF($Q265="","",PROPER(INDEX('Reguler Class Availability'!$I:$I,$Q265)&amp;"")&amp;IF(INDEX('Reguler Class Availability'!$J:$J,$Q265)&amp;""="",""," + asst "&amp;PROPER(INDEX('Reguler Class Availability'!$J:$J,$Q265)&amp;"")))</f>
        <v/>
      </c>
      <c r="I265" s="77" t="s">
        <v>466</v>
      </c>
      <c r="J265" s="77" t="s">
        <v>188</v>
      </c>
      <c r="K265" s="78"/>
      <c r="L265" s="78"/>
      <c r="M265" s="78"/>
      <c r="N265" s="79"/>
      <c r="O265" s="78"/>
      <c r="Q265" s="30" t="n">
        <f aca="false">IFERROR(MATCH($B$4&amp;"|- Lane "&amp;D265&amp;" - "&amp;B265&amp;"|"&amp;C265,'Reguler Class Availability'!$L:$L,0),"")</f>
        <v>1922</v>
      </c>
      <c r="BD265" s="30" t="s">
        <v>132</v>
      </c>
      <c r="BE265" s="30" t="n">
        <f aca="false">IF(COUNTIFS('Reguler Class Availability'!$L:$L,$B$4&amp;"|- Lane 5 - *|"&amp;BD265)&gt;0,1,0)</f>
        <v>1</v>
      </c>
      <c r="BF265" s="30" t="n">
        <f aca="false">BE265+BF264</f>
        <v>6</v>
      </c>
    </row>
    <row r="266" customFormat="false" ht="27.75" hidden="false" customHeight="true" outlineLevel="0" collapsed="false">
      <c r="A266" s="76" t="n">
        <v>140</v>
      </c>
      <c r="B266" s="77" t="s">
        <v>116</v>
      </c>
      <c r="C266" s="76" t="s">
        <v>139</v>
      </c>
      <c r="D266" s="76" t="n">
        <v>2</v>
      </c>
      <c r="E266" s="77" t="str">
        <f aca="false">IF($Q266="","Tidak ada di data",IF(AND(IFERROR(--(INDEX('Reguler Class Availability'!$F:$F,$Q266)&amp;""),0)=0,IFERROR(--(INDEX('Reguler Class Availability'!$G:$G,$Q266)&amp;""),0)=0),"Tutup",IF(IFERROR(--(INDEX('Reguler Class Availability'!$G:$G,$Q266)&amp;""),0)&gt;IFERROR(--(INDEX('Reguler Class Availability'!$F:$F,$Q266)&amp;""),0),"Lebih",IF(IFERROR(--(INDEX('Reguler Class Availability'!$G:$G,$Q266)&amp;""),0)=IFERROR(--(INDEX('Reguler Class Availability'!$F:$F,$Q266)&amp;""),0),"Penuh",IF(IFERROR(--(INDEX('Reguler Class Availability'!$G:$G,$Q266)&amp;""),0)=0,IF(INDEX('Reguler Class Availability'!$B:$B,$Q266)&amp;""="","Kosong","Belum terisi"),IF(IFERROR(--(INDEX('Reguler Class Availability'!$G:$G,$Q266)&amp;""),0)/IFERROR(--(INDEX('Reguler Class Availability'!$F:$F,$Q266)&amp;""),0)&gt;=0.6,"Tinggi","Sebagian"))))))</f>
        <v>Belum terisi</v>
      </c>
      <c r="F266" s="77" t="str">
        <f aca="false">IF($Q266="","",PROPER(INDEX('Reguler Class Availability'!$B:$B,$Q266)&amp;""))</f>
        <v>Tiny</v>
      </c>
      <c r="G266" s="76" t="n">
        <f aca="false">IF($Q266="","",IFERROR(--(INDEX('Reguler Class Availability'!$F:$F,$Q266)&amp;""),0))</f>
        <v>5</v>
      </c>
      <c r="H266" s="77" t="str">
        <f aca="false">IF($Q266="","",PROPER(INDEX('Reguler Class Availability'!$I:$I,$Q266)&amp;"")&amp;IF(INDEX('Reguler Class Availability'!$J:$J,$Q266)&amp;""="",""," + asst "&amp;PROPER(INDEX('Reguler Class Availability'!$J:$J,$Q266)&amp;"")))</f>
        <v/>
      </c>
      <c r="I266" s="77" t="s">
        <v>466</v>
      </c>
      <c r="J266" s="77" t="s">
        <v>188</v>
      </c>
      <c r="K266" s="78"/>
      <c r="L266" s="78"/>
      <c r="M266" s="78"/>
      <c r="N266" s="79"/>
      <c r="O266" s="78"/>
      <c r="Q266" s="30" t="n">
        <f aca="false">IFERROR(MATCH($B$4&amp;"|- Lane "&amp;D266&amp;" - "&amp;B266&amp;"|"&amp;C266,'Reguler Class Availability'!$L:$L,0),"")</f>
        <v>2020</v>
      </c>
      <c r="BD266" s="30" t="s">
        <v>133</v>
      </c>
      <c r="BE266" s="30" t="n">
        <f aca="false">IF(COUNTIFS('Reguler Class Availability'!$L:$L,$B$4&amp;"|- Lane 5 - *|"&amp;BD266)&gt;0,1,0)</f>
        <v>0</v>
      </c>
      <c r="BF266" s="30" t="n">
        <f aca="false">BE266+BF265</f>
        <v>6</v>
      </c>
    </row>
    <row r="267" customFormat="false" ht="27.75" hidden="false" customHeight="true" outlineLevel="0" collapsed="false">
      <c r="A267" s="76" t="n">
        <v>141</v>
      </c>
      <c r="B267" s="77" t="s">
        <v>116</v>
      </c>
      <c r="C267" s="76" t="s">
        <v>139</v>
      </c>
      <c r="D267" s="76" t="n">
        <v>5</v>
      </c>
      <c r="E267" s="77" t="str">
        <f aca="false">IF($Q267="","Tidak ada di data",IF(AND(IFERROR(--(INDEX('Reguler Class Availability'!$F:$F,$Q267)&amp;""),0)=0,IFERROR(--(INDEX('Reguler Class Availability'!$G:$G,$Q267)&amp;""),0)=0),"Tutup",IF(IFERROR(--(INDEX('Reguler Class Availability'!$G:$G,$Q267)&amp;""),0)&gt;IFERROR(--(INDEX('Reguler Class Availability'!$F:$F,$Q267)&amp;""),0),"Lebih",IF(IFERROR(--(INDEX('Reguler Class Availability'!$G:$G,$Q267)&amp;""),0)=IFERROR(--(INDEX('Reguler Class Availability'!$F:$F,$Q267)&amp;""),0),"Penuh",IF(IFERROR(--(INDEX('Reguler Class Availability'!$G:$G,$Q267)&amp;""),0)=0,IF(INDEX('Reguler Class Availability'!$B:$B,$Q267)&amp;""="","Kosong","Belum terisi"),IF(IFERROR(--(INDEX('Reguler Class Availability'!$G:$G,$Q267)&amp;""),0)/IFERROR(--(INDEX('Reguler Class Availability'!$F:$F,$Q267)&amp;""),0)&gt;=0.6,"Tinggi","Sebagian"))))))</f>
        <v>Kosong</v>
      </c>
      <c r="F267" s="77" t="str">
        <f aca="false">IF($Q267="","",PROPER(INDEX('Reguler Class Availability'!$B:$B,$Q267)&amp;""))</f>
        <v/>
      </c>
      <c r="G267" s="76" t="n">
        <f aca="false">IF($Q267="","",IFERROR(--(INDEX('Reguler Class Availability'!$F:$F,$Q267)&amp;""),0))</f>
        <v>4</v>
      </c>
      <c r="H267" s="77" t="str">
        <f aca="false">IF($Q267="","",PROPER(INDEX('Reguler Class Availability'!$I:$I,$Q267)&amp;"")&amp;IF(INDEX('Reguler Class Availability'!$J:$J,$Q267)&amp;""="",""," + asst "&amp;PROPER(INDEX('Reguler Class Availability'!$J:$J,$Q267)&amp;"")))</f>
        <v/>
      </c>
      <c r="I267" s="77" t="s">
        <v>466</v>
      </c>
      <c r="J267" s="77" t="s">
        <v>188</v>
      </c>
      <c r="K267" s="78"/>
      <c r="L267" s="78"/>
      <c r="M267" s="78"/>
      <c r="N267" s="79"/>
      <c r="O267" s="78"/>
      <c r="Q267" s="30" t="n">
        <f aca="false">IFERROR(MATCH($B$4&amp;"|- Lane "&amp;D267&amp;" - "&amp;B267&amp;"|"&amp;C267,'Reguler Class Availability'!$L:$L,0),"")</f>
        <v>2272</v>
      </c>
      <c r="BD267" s="30" t="s">
        <v>134</v>
      </c>
      <c r="BE267" s="30" t="n">
        <f aca="false">IF(COUNTIFS('Reguler Class Availability'!$L:$L,$B$4&amp;"|- Lane 5 - *|"&amp;BD267)&gt;0,1,0)</f>
        <v>0</v>
      </c>
      <c r="BF267" s="30" t="n">
        <f aca="false">BE267+BF266</f>
        <v>6</v>
      </c>
    </row>
    <row r="268" customFormat="false" ht="27.75" hidden="false" customHeight="true" outlineLevel="0" collapsed="false">
      <c r="A268" s="76" t="n">
        <v>142</v>
      </c>
      <c r="B268" s="77" t="s">
        <v>116</v>
      </c>
      <c r="C268" s="76" t="s">
        <v>141</v>
      </c>
      <c r="D268" s="76" t="n">
        <v>4</v>
      </c>
      <c r="E268" s="77" t="str">
        <f aca="false">IF($Q268="","Tidak ada di data",IF(AND(IFERROR(--(INDEX('Reguler Class Availability'!$F:$F,$Q268)&amp;""),0)=0,IFERROR(--(INDEX('Reguler Class Availability'!$G:$G,$Q268)&amp;""),0)=0),"Tutup",IF(IFERROR(--(INDEX('Reguler Class Availability'!$G:$G,$Q268)&amp;""),0)&gt;IFERROR(--(INDEX('Reguler Class Availability'!$F:$F,$Q268)&amp;""),0),"Lebih",IF(IFERROR(--(INDEX('Reguler Class Availability'!$G:$G,$Q268)&amp;""),0)=IFERROR(--(INDEX('Reguler Class Availability'!$F:$F,$Q268)&amp;""),0),"Penuh",IF(IFERROR(--(INDEX('Reguler Class Availability'!$G:$G,$Q268)&amp;""),0)=0,IF(INDEX('Reguler Class Availability'!$B:$B,$Q268)&amp;""="","Kosong","Belum terisi"),IF(IFERROR(--(INDEX('Reguler Class Availability'!$G:$G,$Q268)&amp;""),0)/IFERROR(--(INDEX('Reguler Class Availability'!$F:$F,$Q268)&amp;""),0)&gt;=0.6,"Tinggi","Sebagian"))))))</f>
        <v>Belum terisi</v>
      </c>
      <c r="F268" s="77" t="str">
        <f aca="false">IF($Q268="","",PROPER(INDEX('Reguler Class Availability'!$B:$B,$Q268)&amp;""))</f>
        <v>Kids</v>
      </c>
      <c r="G268" s="76" t="n">
        <f aca="false">IF($Q268="","",IFERROR(--(INDEX('Reguler Class Availability'!$F:$F,$Q268)&amp;""),0))</f>
        <v>4</v>
      </c>
      <c r="H268" s="77" t="str">
        <f aca="false">IF($Q268="","",PROPER(INDEX('Reguler Class Availability'!$I:$I,$Q268)&amp;"")&amp;IF(INDEX('Reguler Class Availability'!$J:$J,$Q268)&amp;""="",""," + asst "&amp;PROPER(INDEX('Reguler Class Availability'!$J:$J,$Q268)&amp;"")))</f>
        <v/>
      </c>
      <c r="I268" s="77" t="s">
        <v>466</v>
      </c>
      <c r="J268" s="77" t="s">
        <v>188</v>
      </c>
      <c r="K268" s="78"/>
      <c r="L268" s="78"/>
      <c r="M268" s="78"/>
      <c r="N268" s="79"/>
      <c r="O268" s="78"/>
      <c r="Q268" s="30" t="n">
        <f aca="false">IFERROR(MATCH($B$4&amp;"|- Lane "&amp;D268&amp;" - "&amp;B268&amp;"|"&amp;C268,'Reguler Class Availability'!$L:$L,0),"")</f>
        <v>2188</v>
      </c>
      <c r="BD268" s="30" t="s">
        <v>135</v>
      </c>
      <c r="BE268" s="30" t="n">
        <f aca="false">IF(COUNTIFS('Reguler Class Availability'!$L:$L,$B$4&amp;"|- Lane 5 - *|"&amp;BD268)&gt;0,1,0)</f>
        <v>0</v>
      </c>
      <c r="BF268" s="30" t="n">
        <f aca="false">BE268+BF267</f>
        <v>6</v>
      </c>
    </row>
    <row r="269" customFormat="false" ht="27.75" hidden="false" customHeight="true" outlineLevel="0" collapsed="false">
      <c r="A269" s="76" t="n">
        <v>143</v>
      </c>
      <c r="B269" s="77" t="s">
        <v>116</v>
      </c>
      <c r="C269" s="76" t="s">
        <v>143</v>
      </c>
      <c r="D269" s="76" t="n">
        <v>1</v>
      </c>
      <c r="E269" s="77" t="str">
        <f aca="false">IF($Q269="","Tidak ada di data",IF(AND(IFERROR(--(INDEX('Reguler Class Availability'!$F:$F,$Q269)&amp;""),0)=0,IFERROR(--(INDEX('Reguler Class Availability'!$G:$G,$Q269)&amp;""),0)=0),"Tutup",IF(IFERROR(--(INDEX('Reguler Class Availability'!$G:$G,$Q269)&amp;""),0)&gt;IFERROR(--(INDEX('Reguler Class Availability'!$F:$F,$Q269)&amp;""),0),"Lebih",IF(IFERROR(--(INDEX('Reguler Class Availability'!$G:$G,$Q269)&amp;""),0)=IFERROR(--(INDEX('Reguler Class Availability'!$F:$F,$Q269)&amp;""),0),"Penuh",IF(IFERROR(--(INDEX('Reguler Class Availability'!$G:$G,$Q269)&amp;""),0)=0,IF(INDEX('Reguler Class Availability'!$B:$B,$Q269)&amp;""="","Kosong","Belum terisi"),IF(IFERROR(--(INDEX('Reguler Class Availability'!$G:$G,$Q269)&amp;""),0)/IFERROR(--(INDEX('Reguler Class Availability'!$F:$F,$Q269)&amp;""),0)&gt;=0.6,"Tinggi","Sebagian"))))))</f>
        <v>Belum terisi</v>
      </c>
      <c r="F269" s="77" t="str">
        <f aca="false">IF($Q269="","",PROPER(INDEX('Reguler Class Availability'!$B:$B,$Q269)&amp;""))</f>
        <v>Baby</v>
      </c>
      <c r="G269" s="76" t="n">
        <f aca="false">IF($Q269="","",IFERROR(--(INDEX('Reguler Class Availability'!$F:$F,$Q269)&amp;""),0))</f>
        <v>5</v>
      </c>
      <c r="H269" s="77" t="str">
        <f aca="false">IF($Q269="","",PROPER(INDEX('Reguler Class Availability'!$I:$I,$Q269)&amp;"")&amp;IF(INDEX('Reguler Class Availability'!$J:$J,$Q269)&amp;""="",""," + asst "&amp;PROPER(INDEX('Reguler Class Availability'!$J:$J,$Q269)&amp;"")))</f>
        <v/>
      </c>
      <c r="I269" s="77" t="s">
        <v>466</v>
      </c>
      <c r="J269" s="77" t="s">
        <v>188</v>
      </c>
      <c r="K269" s="78"/>
      <c r="L269" s="78"/>
      <c r="M269" s="78"/>
      <c r="N269" s="79"/>
      <c r="O269" s="78"/>
      <c r="Q269" s="30" t="n">
        <f aca="false">IFERROR(MATCH($B$4&amp;"|- Lane "&amp;D269&amp;" - "&amp;B269&amp;"|"&amp;C269,'Reguler Class Availability'!$L:$L,0),"")</f>
        <v>1923</v>
      </c>
      <c r="BD269" s="30" t="s">
        <v>136</v>
      </c>
      <c r="BE269" s="30" t="n">
        <f aca="false">IF(COUNTIFS('Reguler Class Availability'!$L:$L,$B$4&amp;"|- Lane 5 - *|"&amp;BD269)&gt;0,1,0)</f>
        <v>0</v>
      </c>
      <c r="BF269" s="30" t="n">
        <f aca="false">BE269+BF268</f>
        <v>6</v>
      </c>
    </row>
    <row r="270" customFormat="false" ht="27.75" hidden="false" customHeight="true" outlineLevel="0" collapsed="false">
      <c r="A270" s="76" t="n">
        <v>144</v>
      </c>
      <c r="B270" s="77" t="s">
        <v>116</v>
      </c>
      <c r="C270" s="76" t="s">
        <v>143</v>
      </c>
      <c r="D270" s="76" t="n">
        <v>2</v>
      </c>
      <c r="E270" s="77" t="str">
        <f aca="false">IF($Q270="","Tidak ada di data",IF(AND(IFERROR(--(INDEX('Reguler Class Availability'!$F:$F,$Q270)&amp;""),0)=0,IFERROR(--(INDEX('Reguler Class Availability'!$G:$G,$Q270)&amp;""),0)=0),"Tutup",IF(IFERROR(--(INDEX('Reguler Class Availability'!$G:$G,$Q270)&amp;""),0)&gt;IFERROR(--(INDEX('Reguler Class Availability'!$F:$F,$Q270)&amp;""),0),"Lebih",IF(IFERROR(--(INDEX('Reguler Class Availability'!$G:$G,$Q270)&amp;""),0)=IFERROR(--(INDEX('Reguler Class Availability'!$F:$F,$Q270)&amp;""),0),"Penuh",IF(IFERROR(--(INDEX('Reguler Class Availability'!$G:$G,$Q270)&amp;""),0)=0,IF(INDEX('Reguler Class Availability'!$B:$B,$Q270)&amp;""="","Kosong","Belum terisi"),IF(IFERROR(--(INDEX('Reguler Class Availability'!$G:$G,$Q270)&amp;""),0)/IFERROR(--(INDEX('Reguler Class Availability'!$F:$F,$Q270)&amp;""),0)&gt;=0.6,"Tinggi","Sebagian"))))))</f>
        <v>Belum terisi</v>
      </c>
      <c r="F270" s="77" t="str">
        <f aca="false">IF($Q270="","",PROPER(INDEX('Reguler Class Availability'!$B:$B,$Q270)&amp;""))</f>
        <v>Tiny</v>
      </c>
      <c r="G270" s="76" t="n">
        <f aca="false">IF($Q270="","",IFERROR(--(INDEX('Reguler Class Availability'!$F:$F,$Q270)&amp;""),0))</f>
        <v>5</v>
      </c>
      <c r="H270" s="77" t="str">
        <f aca="false">IF($Q270="","",PROPER(INDEX('Reguler Class Availability'!$I:$I,$Q270)&amp;"")&amp;IF(INDEX('Reguler Class Availability'!$J:$J,$Q270)&amp;""="",""," + asst "&amp;PROPER(INDEX('Reguler Class Availability'!$J:$J,$Q270)&amp;"")))</f>
        <v/>
      </c>
      <c r="I270" s="77" t="s">
        <v>466</v>
      </c>
      <c r="J270" s="77" t="s">
        <v>188</v>
      </c>
      <c r="K270" s="78"/>
      <c r="L270" s="78"/>
      <c r="M270" s="78"/>
      <c r="N270" s="79"/>
      <c r="O270" s="78"/>
      <c r="Q270" s="30" t="n">
        <f aca="false">IFERROR(MATCH($B$4&amp;"|- Lane "&amp;D270&amp;" - "&amp;B270&amp;"|"&amp;C270,'Reguler Class Availability'!$L:$L,0),"")</f>
        <v>2021</v>
      </c>
      <c r="BD270" s="30" t="s">
        <v>138</v>
      </c>
      <c r="BE270" s="30" t="n">
        <f aca="false">IF(COUNTIFS('Reguler Class Availability'!$L:$L,$B$4&amp;"|- Lane 5 - *|"&amp;BD270)&gt;0,1,0)</f>
        <v>0</v>
      </c>
      <c r="BF270" s="30" t="n">
        <f aca="false">BE270+BF269</f>
        <v>6</v>
      </c>
    </row>
    <row r="271" customFormat="false" ht="27.75" hidden="false" customHeight="true" outlineLevel="0" collapsed="false">
      <c r="A271" s="76" t="n">
        <v>145</v>
      </c>
      <c r="B271" s="77" t="s">
        <v>116</v>
      </c>
      <c r="C271" s="76" t="s">
        <v>143</v>
      </c>
      <c r="D271" s="76" t="n">
        <v>5</v>
      </c>
      <c r="E271" s="77" t="str">
        <f aca="false">IF($Q271="","Tidak ada di data",IF(AND(IFERROR(--(INDEX('Reguler Class Availability'!$F:$F,$Q271)&amp;""),0)=0,IFERROR(--(INDEX('Reguler Class Availability'!$G:$G,$Q271)&amp;""),0)=0),"Tutup",IF(IFERROR(--(INDEX('Reguler Class Availability'!$G:$G,$Q271)&amp;""),0)&gt;IFERROR(--(INDEX('Reguler Class Availability'!$F:$F,$Q271)&amp;""),0),"Lebih",IF(IFERROR(--(INDEX('Reguler Class Availability'!$G:$G,$Q271)&amp;""),0)=IFERROR(--(INDEX('Reguler Class Availability'!$F:$F,$Q271)&amp;""),0),"Penuh",IF(IFERROR(--(INDEX('Reguler Class Availability'!$G:$G,$Q271)&amp;""),0)=0,IF(INDEX('Reguler Class Availability'!$B:$B,$Q271)&amp;""="","Kosong","Belum terisi"),IF(IFERROR(--(INDEX('Reguler Class Availability'!$G:$G,$Q271)&amp;""),0)/IFERROR(--(INDEX('Reguler Class Availability'!$F:$F,$Q271)&amp;""),0)&gt;=0.6,"Tinggi","Sebagian"))))))</f>
        <v>Kosong</v>
      </c>
      <c r="F271" s="77" t="str">
        <f aca="false">IF($Q271="","",PROPER(INDEX('Reguler Class Availability'!$B:$B,$Q271)&amp;""))</f>
        <v/>
      </c>
      <c r="G271" s="76" t="n">
        <f aca="false">IF($Q271="","",IFERROR(--(INDEX('Reguler Class Availability'!$F:$F,$Q271)&amp;""),0))</f>
        <v>4</v>
      </c>
      <c r="H271" s="77" t="str">
        <f aca="false">IF($Q271="","",PROPER(INDEX('Reguler Class Availability'!$I:$I,$Q271)&amp;"")&amp;IF(INDEX('Reguler Class Availability'!$J:$J,$Q271)&amp;""="",""," + asst "&amp;PROPER(INDEX('Reguler Class Availability'!$J:$J,$Q271)&amp;"")))</f>
        <v/>
      </c>
      <c r="I271" s="77" t="s">
        <v>466</v>
      </c>
      <c r="J271" s="77" t="s">
        <v>188</v>
      </c>
      <c r="K271" s="78"/>
      <c r="L271" s="78"/>
      <c r="M271" s="78"/>
      <c r="N271" s="79"/>
      <c r="O271" s="78"/>
      <c r="Q271" s="30" t="n">
        <f aca="false">IFERROR(MATCH($B$4&amp;"|- Lane "&amp;D271&amp;" - "&amp;B271&amp;"|"&amp;C271,'Reguler Class Availability'!$L:$L,0),"")</f>
        <v>2273</v>
      </c>
      <c r="BD271" s="30" t="s">
        <v>139</v>
      </c>
      <c r="BE271" s="30" t="n">
        <f aca="false">IF(COUNTIFS('Reguler Class Availability'!$L:$L,$B$4&amp;"|- Lane 5 - *|"&amp;BD271)&gt;0,1,0)</f>
        <v>1</v>
      </c>
      <c r="BF271" s="30" t="n">
        <f aca="false">BE271+BF270</f>
        <v>7</v>
      </c>
    </row>
    <row r="272" customFormat="false" ht="40.5" hidden="false" customHeight="true" outlineLevel="0" collapsed="false">
      <c r="A272" s="76" t="n">
        <v>146</v>
      </c>
      <c r="B272" s="77" t="s">
        <v>116</v>
      </c>
      <c r="C272" s="76" t="s">
        <v>144</v>
      </c>
      <c r="D272" s="76" t="n">
        <v>3</v>
      </c>
      <c r="E272" s="77" t="str">
        <f aca="false">IF($Q272="","Tidak ada di data",IF(AND(IFERROR(--(INDEX('Reguler Class Availability'!$F:$F,$Q272)&amp;""),0)=0,IFERROR(--(INDEX('Reguler Class Availability'!$G:$G,$Q272)&amp;""),0)=0),"Tutup",IF(IFERROR(--(INDEX('Reguler Class Availability'!$G:$G,$Q272)&amp;""),0)&gt;IFERROR(--(INDEX('Reguler Class Availability'!$F:$F,$Q272)&amp;""),0),"Lebih",IF(IFERROR(--(INDEX('Reguler Class Availability'!$G:$G,$Q272)&amp;""),0)=IFERROR(--(INDEX('Reguler Class Availability'!$F:$F,$Q272)&amp;""),0),"Penuh",IF(IFERROR(--(INDEX('Reguler Class Availability'!$G:$G,$Q272)&amp;""),0)=0,IF(INDEX('Reguler Class Availability'!$B:$B,$Q272)&amp;""="","Kosong","Belum terisi"),IF(IFERROR(--(INDEX('Reguler Class Availability'!$G:$G,$Q272)&amp;""),0)/IFERROR(--(INDEX('Reguler Class Availability'!$F:$F,$Q272)&amp;""),0)&gt;=0.6,"Tinggi","Sebagian"))))))</f>
        <v>Belum terisi</v>
      </c>
      <c r="F272" s="77" t="str">
        <f aca="false">IF($Q272="","",PROPER(INDEX('Reguler Class Availability'!$B:$B,$Q272)&amp;""))</f>
        <v>Little</v>
      </c>
      <c r="G272" s="76" t="n">
        <f aca="false">IF($Q272="","",IFERROR(--(INDEX('Reguler Class Availability'!$F:$F,$Q272)&amp;""),0))</f>
        <v>4</v>
      </c>
      <c r="H272" s="77" t="str">
        <f aca="false">IF($Q272="","",PROPER(INDEX('Reguler Class Availability'!$I:$I,$Q272)&amp;"")&amp;IF(INDEX('Reguler Class Availability'!$J:$J,$Q272)&amp;""="",""," + asst "&amp;PROPER(INDEX('Reguler Class Availability'!$J:$J,$Q272)&amp;"")))</f>
        <v/>
      </c>
      <c r="I272" s="77" t="s">
        <v>463</v>
      </c>
      <c r="J272" s="77" t="s">
        <v>188</v>
      </c>
      <c r="K272" s="78"/>
      <c r="L272" s="78"/>
      <c r="M272" s="78"/>
      <c r="N272" s="79"/>
      <c r="O272" s="78"/>
      <c r="Q272" s="30" t="n">
        <f aca="false">IFERROR(MATCH($B$4&amp;"|- Lane "&amp;D272&amp;" - "&amp;B272&amp;"|"&amp;C272,'Reguler Class Availability'!$L:$L,0),"")</f>
        <v>2105</v>
      </c>
      <c r="BD272" s="30" t="s">
        <v>141</v>
      </c>
      <c r="BE272" s="30" t="n">
        <f aca="false">IF(COUNTIFS('Reguler Class Availability'!$L:$L,$B$4&amp;"|- Lane 5 - *|"&amp;BD272)&gt;0,1,0)</f>
        <v>0</v>
      </c>
      <c r="BF272" s="30" t="n">
        <f aca="false">BE272+BF271</f>
        <v>7</v>
      </c>
    </row>
    <row r="273" customFormat="false" ht="40.5" hidden="false" customHeight="true" outlineLevel="0" collapsed="false">
      <c r="A273" s="76" t="n">
        <v>147</v>
      </c>
      <c r="B273" s="77" t="s">
        <v>116</v>
      </c>
      <c r="C273" s="76" t="s">
        <v>144</v>
      </c>
      <c r="D273" s="76" t="n">
        <v>4</v>
      </c>
      <c r="E273" s="77" t="str">
        <f aca="false">IF($Q273="","Tidak ada di data",IF(AND(IFERROR(--(INDEX('Reguler Class Availability'!$F:$F,$Q273)&amp;""),0)=0,IFERROR(--(INDEX('Reguler Class Availability'!$G:$G,$Q273)&amp;""),0)=0),"Tutup",IF(IFERROR(--(INDEX('Reguler Class Availability'!$G:$G,$Q273)&amp;""),0)&gt;IFERROR(--(INDEX('Reguler Class Availability'!$F:$F,$Q273)&amp;""),0),"Lebih",IF(IFERROR(--(INDEX('Reguler Class Availability'!$G:$G,$Q273)&amp;""),0)=IFERROR(--(INDEX('Reguler Class Availability'!$F:$F,$Q273)&amp;""),0),"Penuh",IF(IFERROR(--(INDEX('Reguler Class Availability'!$G:$G,$Q273)&amp;""),0)=0,IF(INDEX('Reguler Class Availability'!$B:$B,$Q273)&amp;""="","Kosong","Belum terisi"),IF(IFERROR(--(INDEX('Reguler Class Availability'!$G:$G,$Q273)&amp;""),0)/IFERROR(--(INDEX('Reguler Class Availability'!$F:$F,$Q273)&amp;""),0)&gt;=0.6,"Tinggi","Sebagian"))))))</f>
        <v>Belum terisi</v>
      </c>
      <c r="F273" s="77" t="str">
        <f aca="false">IF($Q273="","",PROPER(INDEX('Reguler Class Availability'!$B:$B,$Q273)&amp;""))</f>
        <v>Kids</v>
      </c>
      <c r="G273" s="76" t="n">
        <f aca="false">IF($Q273="","",IFERROR(--(INDEX('Reguler Class Availability'!$F:$F,$Q273)&amp;""),0))</f>
        <v>4</v>
      </c>
      <c r="H273" s="77" t="str">
        <f aca="false">IF($Q273="","",PROPER(INDEX('Reguler Class Availability'!$I:$I,$Q273)&amp;"")&amp;IF(INDEX('Reguler Class Availability'!$J:$J,$Q273)&amp;""="",""," + asst "&amp;PROPER(INDEX('Reguler Class Availability'!$J:$J,$Q273)&amp;"")))</f>
        <v/>
      </c>
      <c r="I273" s="77" t="s">
        <v>463</v>
      </c>
      <c r="J273" s="77" t="s">
        <v>188</v>
      </c>
      <c r="K273" s="78"/>
      <c r="L273" s="78"/>
      <c r="M273" s="78"/>
      <c r="N273" s="79"/>
      <c r="O273" s="78"/>
      <c r="Q273" s="30" t="n">
        <f aca="false">IFERROR(MATCH($B$4&amp;"|- Lane "&amp;D273&amp;" - "&amp;B273&amp;"|"&amp;C273,'Reguler Class Availability'!$L:$L,0),"")</f>
        <v>2189</v>
      </c>
      <c r="BD273" s="30" t="s">
        <v>142</v>
      </c>
      <c r="BE273" s="30" t="n">
        <f aca="false">IF(COUNTIFS('Reguler Class Availability'!$L:$L,$B$4&amp;"|- Lane 5 - *|"&amp;BD273)&gt;0,1,0)</f>
        <v>0</v>
      </c>
      <c r="BF273" s="30" t="n">
        <f aca="false">BE273+BF272</f>
        <v>7</v>
      </c>
    </row>
    <row r="274" customFormat="false" ht="27.75" hidden="false" customHeight="true" outlineLevel="0" collapsed="false">
      <c r="A274" s="76" t="n">
        <v>148</v>
      </c>
      <c r="B274" s="77" t="s">
        <v>116</v>
      </c>
      <c r="C274" s="76" t="s">
        <v>146</v>
      </c>
      <c r="D274" s="76" t="n">
        <v>1</v>
      </c>
      <c r="E274" s="77" t="str">
        <f aca="false">IF($Q274="","Tidak ada di data",IF(AND(IFERROR(--(INDEX('Reguler Class Availability'!$F:$F,$Q274)&amp;""),0)=0,IFERROR(--(INDEX('Reguler Class Availability'!$G:$G,$Q274)&amp;""),0)=0),"Tutup",IF(IFERROR(--(INDEX('Reguler Class Availability'!$G:$G,$Q274)&amp;""),0)&gt;IFERROR(--(INDEX('Reguler Class Availability'!$F:$F,$Q274)&amp;""),0),"Lebih",IF(IFERROR(--(INDEX('Reguler Class Availability'!$G:$G,$Q274)&amp;""),0)=IFERROR(--(INDEX('Reguler Class Availability'!$F:$F,$Q274)&amp;""),0),"Penuh",IF(IFERROR(--(INDEX('Reguler Class Availability'!$G:$G,$Q274)&amp;""),0)=0,IF(INDEX('Reguler Class Availability'!$B:$B,$Q274)&amp;""="","Kosong","Belum terisi"),IF(IFERROR(--(INDEX('Reguler Class Availability'!$G:$G,$Q274)&amp;""),0)/IFERROR(--(INDEX('Reguler Class Availability'!$F:$F,$Q274)&amp;""),0)&gt;=0.6,"Tinggi","Sebagian"))))))</f>
        <v>Belum terisi</v>
      </c>
      <c r="F274" s="77" t="str">
        <f aca="false">IF($Q274="","",PROPER(INDEX('Reguler Class Availability'!$B:$B,$Q274)&amp;""))</f>
        <v>Baby</v>
      </c>
      <c r="G274" s="76" t="n">
        <f aca="false">IF($Q274="","",IFERROR(--(INDEX('Reguler Class Availability'!$F:$F,$Q274)&amp;""),0))</f>
        <v>5</v>
      </c>
      <c r="H274" s="77" t="str">
        <f aca="false">IF($Q274="","",PROPER(INDEX('Reguler Class Availability'!$I:$I,$Q274)&amp;"")&amp;IF(INDEX('Reguler Class Availability'!$J:$J,$Q274)&amp;""="",""," + asst "&amp;PROPER(INDEX('Reguler Class Availability'!$J:$J,$Q274)&amp;"")))</f>
        <v/>
      </c>
      <c r="I274" s="77" t="s">
        <v>467</v>
      </c>
      <c r="J274" s="77" t="s">
        <v>188</v>
      </c>
      <c r="K274" s="78"/>
      <c r="L274" s="78"/>
      <c r="M274" s="78"/>
      <c r="N274" s="79"/>
      <c r="O274" s="78"/>
      <c r="Q274" s="30" t="n">
        <f aca="false">IFERROR(MATCH($B$4&amp;"|- Lane "&amp;D274&amp;" - "&amp;B274&amp;"|"&amp;C274,'Reguler Class Availability'!$L:$L,0),"")</f>
        <v>1924</v>
      </c>
      <c r="BD274" s="30" t="s">
        <v>143</v>
      </c>
      <c r="BE274" s="30" t="n">
        <f aca="false">IF(COUNTIFS('Reguler Class Availability'!$L:$L,$B$4&amp;"|- Lane 5 - *|"&amp;BD274)&gt;0,1,0)</f>
        <v>1</v>
      </c>
      <c r="BF274" s="30" t="n">
        <f aca="false">BE274+BF273</f>
        <v>8</v>
      </c>
    </row>
    <row r="275" customFormat="false" ht="27.75" hidden="false" customHeight="true" outlineLevel="0" collapsed="false">
      <c r="A275" s="76" t="n">
        <v>149</v>
      </c>
      <c r="B275" s="77" t="s">
        <v>116</v>
      </c>
      <c r="C275" s="76" t="s">
        <v>146</v>
      </c>
      <c r="D275" s="76" t="n">
        <v>2</v>
      </c>
      <c r="E275" s="77" t="str">
        <f aca="false">IF($Q275="","Tidak ada di data",IF(AND(IFERROR(--(INDEX('Reguler Class Availability'!$F:$F,$Q275)&amp;""),0)=0,IFERROR(--(INDEX('Reguler Class Availability'!$G:$G,$Q275)&amp;""),0)=0),"Tutup",IF(IFERROR(--(INDEX('Reguler Class Availability'!$G:$G,$Q275)&amp;""),0)&gt;IFERROR(--(INDEX('Reguler Class Availability'!$F:$F,$Q275)&amp;""),0),"Lebih",IF(IFERROR(--(INDEX('Reguler Class Availability'!$G:$G,$Q275)&amp;""),0)=IFERROR(--(INDEX('Reguler Class Availability'!$F:$F,$Q275)&amp;""),0),"Penuh",IF(IFERROR(--(INDEX('Reguler Class Availability'!$G:$G,$Q275)&amp;""),0)=0,IF(INDEX('Reguler Class Availability'!$B:$B,$Q275)&amp;""="","Kosong","Belum terisi"),IF(IFERROR(--(INDEX('Reguler Class Availability'!$G:$G,$Q275)&amp;""),0)/IFERROR(--(INDEX('Reguler Class Availability'!$F:$F,$Q275)&amp;""),0)&gt;=0.6,"Tinggi","Sebagian"))))))</f>
        <v>Belum terisi</v>
      </c>
      <c r="F275" s="77" t="str">
        <f aca="false">IF($Q275="","",PROPER(INDEX('Reguler Class Availability'!$B:$B,$Q275)&amp;""))</f>
        <v>Tiny</v>
      </c>
      <c r="G275" s="76" t="n">
        <f aca="false">IF($Q275="","",IFERROR(--(INDEX('Reguler Class Availability'!$F:$F,$Q275)&amp;""),0))</f>
        <v>5</v>
      </c>
      <c r="H275" s="77" t="str">
        <f aca="false">IF($Q275="","",PROPER(INDEX('Reguler Class Availability'!$I:$I,$Q275)&amp;"")&amp;IF(INDEX('Reguler Class Availability'!$J:$J,$Q275)&amp;""="",""," + asst "&amp;PROPER(INDEX('Reguler Class Availability'!$J:$J,$Q275)&amp;"")))</f>
        <v/>
      </c>
      <c r="I275" s="77" t="s">
        <v>467</v>
      </c>
      <c r="J275" s="77" t="s">
        <v>188</v>
      </c>
      <c r="K275" s="78"/>
      <c r="L275" s="78"/>
      <c r="M275" s="78"/>
      <c r="N275" s="79"/>
      <c r="O275" s="78"/>
      <c r="Q275" s="30" t="n">
        <f aca="false">IFERROR(MATCH($B$4&amp;"|- Lane "&amp;D275&amp;" - "&amp;B275&amp;"|"&amp;C275,'Reguler Class Availability'!$L:$L,0),"")</f>
        <v>2022</v>
      </c>
      <c r="BD275" s="30" t="s">
        <v>144</v>
      </c>
      <c r="BE275" s="30" t="n">
        <f aca="false">IF(COUNTIFS('Reguler Class Availability'!$L:$L,$B$4&amp;"|- Lane 5 - *|"&amp;BD275)&gt;0,1,0)</f>
        <v>0</v>
      </c>
      <c r="BF275" s="30" t="n">
        <f aca="false">BE275+BF274</f>
        <v>8</v>
      </c>
    </row>
    <row r="276" customFormat="false" ht="27.75" hidden="false" customHeight="true" outlineLevel="0" collapsed="false">
      <c r="A276" s="76" t="n">
        <v>150</v>
      </c>
      <c r="B276" s="77" t="s">
        <v>116</v>
      </c>
      <c r="C276" s="76" t="s">
        <v>146</v>
      </c>
      <c r="D276" s="76" t="n">
        <v>5</v>
      </c>
      <c r="E276" s="77" t="str">
        <f aca="false">IF($Q276="","Tidak ada di data",IF(AND(IFERROR(--(INDEX('Reguler Class Availability'!$F:$F,$Q276)&amp;""),0)=0,IFERROR(--(INDEX('Reguler Class Availability'!$G:$G,$Q276)&amp;""),0)=0),"Tutup",IF(IFERROR(--(INDEX('Reguler Class Availability'!$G:$G,$Q276)&amp;""),0)&gt;IFERROR(--(INDEX('Reguler Class Availability'!$F:$F,$Q276)&amp;""),0),"Lebih",IF(IFERROR(--(INDEX('Reguler Class Availability'!$G:$G,$Q276)&amp;""),0)=IFERROR(--(INDEX('Reguler Class Availability'!$F:$F,$Q276)&amp;""),0),"Penuh",IF(IFERROR(--(INDEX('Reguler Class Availability'!$G:$G,$Q276)&amp;""),0)=0,IF(INDEX('Reguler Class Availability'!$B:$B,$Q276)&amp;""="","Kosong","Belum terisi"),IF(IFERROR(--(INDEX('Reguler Class Availability'!$G:$G,$Q276)&amp;""),0)/IFERROR(--(INDEX('Reguler Class Availability'!$F:$F,$Q276)&amp;""),0)&gt;=0.6,"Tinggi","Sebagian"))))))</f>
        <v>Kosong</v>
      </c>
      <c r="F276" s="77" t="str">
        <f aca="false">IF($Q276="","",PROPER(INDEX('Reguler Class Availability'!$B:$B,$Q276)&amp;""))</f>
        <v/>
      </c>
      <c r="G276" s="76" t="n">
        <f aca="false">IF($Q276="","",IFERROR(--(INDEX('Reguler Class Availability'!$F:$F,$Q276)&amp;""),0))</f>
        <v>4</v>
      </c>
      <c r="H276" s="77" t="str">
        <f aca="false">IF($Q276="","",PROPER(INDEX('Reguler Class Availability'!$I:$I,$Q276)&amp;"")&amp;IF(INDEX('Reguler Class Availability'!$J:$J,$Q276)&amp;""="",""," + asst "&amp;PROPER(INDEX('Reguler Class Availability'!$J:$J,$Q276)&amp;"")))</f>
        <v/>
      </c>
      <c r="I276" s="77" t="s">
        <v>467</v>
      </c>
      <c r="J276" s="77" t="s">
        <v>188</v>
      </c>
      <c r="K276" s="78"/>
      <c r="L276" s="78"/>
      <c r="M276" s="78"/>
      <c r="N276" s="79"/>
      <c r="O276" s="78"/>
      <c r="Q276" s="30" t="n">
        <f aca="false">IFERROR(MATCH($B$4&amp;"|- Lane "&amp;D276&amp;" - "&amp;B276&amp;"|"&amp;C276,'Reguler Class Availability'!$L:$L,0),"")</f>
        <v>2274</v>
      </c>
      <c r="BD276" s="30" t="s">
        <v>145</v>
      </c>
      <c r="BE276" s="30" t="n">
        <f aca="false">IF(COUNTIFS('Reguler Class Availability'!$L:$L,$B$4&amp;"|- Lane 5 - *|"&amp;BD276)&gt;0,1,0)</f>
        <v>0</v>
      </c>
      <c r="BF276" s="30" t="n">
        <f aca="false">BE276+BF275</f>
        <v>8</v>
      </c>
    </row>
    <row r="277" customFormat="false" ht="15.75" hidden="false" customHeight="true" outlineLevel="0" collapsed="false">
      <c r="A277" s="76" t="n">
        <v>151</v>
      </c>
      <c r="B277" s="77" t="s">
        <v>116</v>
      </c>
      <c r="C277" s="76" t="s">
        <v>149</v>
      </c>
      <c r="D277" s="76" t="n">
        <v>1</v>
      </c>
      <c r="E277" s="77" t="str">
        <f aca="false">IF($Q277="","Tidak ada di data",IF(AND(IFERROR(--(INDEX('Reguler Class Availability'!$F:$F,$Q277)&amp;""),0)=0,IFERROR(--(INDEX('Reguler Class Availability'!$G:$G,$Q277)&amp;""),0)=0),"Tutup",IF(IFERROR(--(INDEX('Reguler Class Availability'!$G:$G,$Q277)&amp;""),0)&gt;IFERROR(--(INDEX('Reguler Class Availability'!$F:$F,$Q277)&amp;""),0),"Lebih",IF(IFERROR(--(INDEX('Reguler Class Availability'!$G:$G,$Q277)&amp;""),0)=IFERROR(--(INDEX('Reguler Class Availability'!$F:$F,$Q277)&amp;""),0),"Penuh",IF(IFERROR(--(INDEX('Reguler Class Availability'!$G:$G,$Q277)&amp;""),0)=0,IF(INDEX('Reguler Class Availability'!$B:$B,$Q277)&amp;""="","Kosong","Belum terisi"),IF(IFERROR(--(INDEX('Reguler Class Availability'!$G:$G,$Q277)&amp;""),0)/IFERROR(--(INDEX('Reguler Class Availability'!$F:$F,$Q277)&amp;""),0)&gt;=0.6,"Tinggi","Sebagian"))))))</f>
        <v>Belum terisi</v>
      </c>
      <c r="F277" s="77" t="str">
        <f aca="false">IF($Q277="","",PROPER(INDEX('Reguler Class Availability'!$B:$B,$Q277)&amp;""))</f>
        <v>Baby</v>
      </c>
      <c r="G277" s="76" t="n">
        <f aca="false">IF($Q277="","",IFERROR(--(INDEX('Reguler Class Availability'!$F:$F,$Q277)&amp;""),0))</f>
        <v>5</v>
      </c>
      <c r="H277" s="77" t="str">
        <f aca="false">IF($Q277="","",PROPER(INDEX('Reguler Class Availability'!$I:$I,$Q277)&amp;"")&amp;IF(INDEX('Reguler Class Availability'!$J:$J,$Q277)&amp;""="",""," + asst "&amp;PROPER(INDEX('Reguler Class Availability'!$J:$J,$Q277)&amp;"")))</f>
        <v/>
      </c>
      <c r="I277" s="77" t="s">
        <v>461</v>
      </c>
      <c r="J277" s="77" t="s">
        <v>188</v>
      </c>
      <c r="K277" s="78"/>
      <c r="L277" s="78"/>
      <c r="M277" s="78"/>
      <c r="N277" s="79"/>
      <c r="O277" s="78"/>
      <c r="Q277" s="30" t="n">
        <f aca="false">IFERROR(MATCH($B$4&amp;"|- Lane "&amp;D277&amp;" - "&amp;B277&amp;"|"&amp;C277,'Reguler Class Availability'!$L:$L,0),"")</f>
        <v>1925</v>
      </c>
      <c r="BD277" s="30" t="s">
        <v>146</v>
      </c>
      <c r="BE277" s="30" t="n">
        <f aca="false">IF(COUNTIFS('Reguler Class Availability'!$L:$L,$B$4&amp;"|- Lane 5 - *|"&amp;BD277)&gt;0,1,0)</f>
        <v>1</v>
      </c>
      <c r="BF277" s="30" t="n">
        <f aca="false">BE277+BF276</f>
        <v>9</v>
      </c>
    </row>
    <row r="278" customFormat="false" ht="15.75" hidden="false" customHeight="true" outlineLevel="0" collapsed="false">
      <c r="A278" s="76" t="n">
        <v>152</v>
      </c>
      <c r="B278" s="77" t="s">
        <v>116</v>
      </c>
      <c r="C278" s="76" t="s">
        <v>149</v>
      </c>
      <c r="D278" s="76" t="n">
        <v>2</v>
      </c>
      <c r="E278" s="77" t="str">
        <f aca="false">IF($Q278="","Tidak ada di data",IF(AND(IFERROR(--(INDEX('Reguler Class Availability'!$F:$F,$Q278)&amp;""),0)=0,IFERROR(--(INDEX('Reguler Class Availability'!$G:$G,$Q278)&amp;""),0)=0),"Tutup",IF(IFERROR(--(INDEX('Reguler Class Availability'!$G:$G,$Q278)&amp;""),0)&gt;IFERROR(--(INDEX('Reguler Class Availability'!$F:$F,$Q278)&amp;""),0),"Lebih",IF(IFERROR(--(INDEX('Reguler Class Availability'!$G:$G,$Q278)&amp;""),0)=IFERROR(--(INDEX('Reguler Class Availability'!$F:$F,$Q278)&amp;""),0),"Penuh",IF(IFERROR(--(INDEX('Reguler Class Availability'!$G:$G,$Q278)&amp;""),0)=0,IF(INDEX('Reguler Class Availability'!$B:$B,$Q278)&amp;""="","Kosong","Belum terisi"),IF(IFERROR(--(INDEX('Reguler Class Availability'!$G:$G,$Q278)&amp;""),0)/IFERROR(--(INDEX('Reguler Class Availability'!$F:$F,$Q278)&amp;""),0)&gt;=0.6,"Tinggi","Sebagian"))))))</f>
        <v>Belum terisi</v>
      </c>
      <c r="F278" s="77" t="str">
        <f aca="false">IF($Q278="","",PROPER(INDEX('Reguler Class Availability'!$B:$B,$Q278)&amp;""))</f>
        <v>Tiny</v>
      </c>
      <c r="G278" s="76" t="n">
        <f aca="false">IF($Q278="","",IFERROR(--(INDEX('Reguler Class Availability'!$F:$F,$Q278)&amp;""),0))</f>
        <v>5</v>
      </c>
      <c r="H278" s="77" t="str">
        <f aca="false">IF($Q278="","",PROPER(INDEX('Reguler Class Availability'!$I:$I,$Q278)&amp;"")&amp;IF(INDEX('Reguler Class Availability'!$J:$J,$Q278)&amp;""="",""," + asst "&amp;PROPER(INDEX('Reguler Class Availability'!$J:$J,$Q278)&amp;"")))</f>
        <v/>
      </c>
      <c r="I278" s="77" t="s">
        <v>461</v>
      </c>
      <c r="J278" s="77" t="s">
        <v>188</v>
      </c>
      <c r="K278" s="78"/>
      <c r="L278" s="78"/>
      <c r="M278" s="78"/>
      <c r="N278" s="79"/>
      <c r="O278" s="78"/>
      <c r="Q278" s="30" t="n">
        <f aca="false">IFERROR(MATCH($B$4&amp;"|- Lane "&amp;D278&amp;" - "&amp;B278&amp;"|"&amp;C278,'Reguler Class Availability'!$L:$L,0),"")</f>
        <v>2023</v>
      </c>
      <c r="BD278" s="30" t="s">
        <v>147</v>
      </c>
      <c r="BE278" s="30" t="n">
        <f aca="false">IF(COUNTIFS('Reguler Class Availability'!$L:$L,$B$4&amp;"|- Lane 5 - *|"&amp;BD278)&gt;0,1,0)</f>
        <v>0</v>
      </c>
      <c r="BF278" s="30" t="n">
        <f aca="false">BE278+BF277</f>
        <v>9</v>
      </c>
    </row>
    <row r="279" customFormat="false" ht="15.75" hidden="false" customHeight="true" outlineLevel="0" collapsed="false">
      <c r="A279" s="76" t="n">
        <v>153</v>
      </c>
      <c r="B279" s="77" t="s">
        <v>116</v>
      </c>
      <c r="C279" s="76" t="s">
        <v>149</v>
      </c>
      <c r="D279" s="76" t="n">
        <v>5</v>
      </c>
      <c r="E279" s="77" t="str">
        <f aca="false">IF($Q279="","Tidak ada di data",IF(AND(IFERROR(--(INDEX('Reguler Class Availability'!$F:$F,$Q279)&amp;""),0)=0,IFERROR(--(INDEX('Reguler Class Availability'!$G:$G,$Q279)&amp;""),0)=0),"Tutup",IF(IFERROR(--(INDEX('Reguler Class Availability'!$G:$G,$Q279)&amp;""),0)&gt;IFERROR(--(INDEX('Reguler Class Availability'!$F:$F,$Q279)&amp;""),0),"Lebih",IF(IFERROR(--(INDEX('Reguler Class Availability'!$G:$G,$Q279)&amp;""),0)=IFERROR(--(INDEX('Reguler Class Availability'!$F:$F,$Q279)&amp;""),0),"Penuh",IF(IFERROR(--(INDEX('Reguler Class Availability'!$G:$G,$Q279)&amp;""),0)=0,IF(INDEX('Reguler Class Availability'!$B:$B,$Q279)&amp;""="","Kosong","Belum terisi"),IF(IFERROR(--(INDEX('Reguler Class Availability'!$G:$G,$Q279)&amp;""),0)/IFERROR(--(INDEX('Reguler Class Availability'!$F:$F,$Q279)&amp;""),0)&gt;=0.6,"Tinggi","Sebagian"))))))</f>
        <v>Kosong</v>
      </c>
      <c r="F279" s="77" t="str">
        <f aca="false">IF($Q279="","",PROPER(INDEX('Reguler Class Availability'!$B:$B,$Q279)&amp;""))</f>
        <v/>
      </c>
      <c r="G279" s="76" t="n">
        <f aca="false">IF($Q279="","",IFERROR(--(INDEX('Reguler Class Availability'!$F:$F,$Q279)&amp;""),0))</f>
        <v>4</v>
      </c>
      <c r="H279" s="77" t="str">
        <f aca="false">IF($Q279="","",PROPER(INDEX('Reguler Class Availability'!$I:$I,$Q279)&amp;"")&amp;IF(INDEX('Reguler Class Availability'!$J:$J,$Q279)&amp;""="",""," + asst "&amp;PROPER(INDEX('Reguler Class Availability'!$J:$J,$Q279)&amp;"")))</f>
        <v/>
      </c>
      <c r="I279" s="77" t="s">
        <v>461</v>
      </c>
      <c r="J279" s="77" t="s">
        <v>188</v>
      </c>
      <c r="K279" s="78"/>
      <c r="L279" s="78"/>
      <c r="M279" s="78"/>
      <c r="N279" s="79"/>
      <c r="O279" s="78"/>
      <c r="Q279" s="30" t="n">
        <f aca="false">IFERROR(MATCH($B$4&amp;"|- Lane "&amp;D279&amp;" - "&amp;B279&amp;"|"&amp;C279,'Reguler Class Availability'!$L:$L,0),"")</f>
        <v>2275</v>
      </c>
      <c r="BD279" s="30" t="s">
        <v>148</v>
      </c>
      <c r="BE279" s="30" t="n">
        <f aca="false">IF(COUNTIFS('Reguler Class Availability'!$L:$L,$B$4&amp;"|- Lane 5 - *|"&amp;BD279)&gt;0,1,0)</f>
        <v>0</v>
      </c>
      <c r="BF279" s="30" t="n">
        <f aca="false">BE279+BF278</f>
        <v>9</v>
      </c>
    </row>
    <row r="280" customFormat="false" ht="27.75" hidden="false" customHeight="true" outlineLevel="0" collapsed="false">
      <c r="A280" s="76" t="n">
        <v>154</v>
      </c>
      <c r="B280" s="77" t="s">
        <v>116</v>
      </c>
      <c r="C280" s="76" t="s">
        <v>150</v>
      </c>
      <c r="D280" s="76" t="n">
        <v>4</v>
      </c>
      <c r="E280" s="77" t="str">
        <f aca="false">IF($Q280="","Tidak ada di data",IF(AND(IFERROR(--(INDEX('Reguler Class Availability'!$F:$F,$Q280)&amp;""),0)=0,IFERROR(--(INDEX('Reguler Class Availability'!$G:$G,$Q280)&amp;""),0)=0),"Tutup",IF(IFERROR(--(INDEX('Reguler Class Availability'!$G:$G,$Q280)&amp;""),0)&gt;IFERROR(--(INDEX('Reguler Class Availability'!$F:$F,$Q280)&amp;""),0),"Lebih",IF(IFERROR(--(INDEX('Reguler Class Availability'!$G:$G,$Q280)&amp;""),0)=IFERROR(--(INDEX('Reguler Class Availability'!$F:$F,$Q280)&amp;""),0),"Penuh",IF(IFERROR(--(INDEX('Reguler Class Availability'!$G:$G,$Q280)&amp;""),0)=0,IF(INDEX('Reguler Class Availability'!$B:$B,$Q280)&amp;""="","Kosong","Belum terisi"),IF(IFERROR(--(INDEX('Reguler Class Availability'!$G:$G,$Q280)&amp;""),0)/IFERROR(--(INDEX('Reguler Class Availability'!$F:$F,$Q280)&amp;""),0)&gt;=0.6,"Tinggi","Sebagian"))))))</f>
        <v>Belum terisi</v>
      </c>
      <c r="F280" s="77" t="str">
        <f aca="false">IF($Q280="","",PROPER(INDEX('Reguler Class Availability'!$B:$B,$Q280)&amp;""))</f>
        <v>Kids</v>
      </c>
      <c r="G280" s="76" t="n">
        <f aca="false">IF($Q280="","",IFERROR(--(INDEX('Reguler Class Availability'!$F:$F,$Q280)&amp;""),0))</f>
        <v>4</v>
      </c>
      <c r="H280" s="77" t="str">
        <f aca="false">IF($Q280="","",PROPER(INDEX('Reguler Class Availability'!$I:$I,$Q280)&amp;"")&amp;IF(INDEX('Reguler Class Availability'!$J:$J,$Q280)&amp;""="",""," + asst "&amp;PROPER(INDEX('Reguler Class Availability'!$J:$J,$Q280)&amp;"")))</f>
        <v/>
      </c>
      <c r="I280" s="77" t="s">
        <v>465</v>
      </c>
      <c r="J280" s="77" t="s">
        <v>188</v>
      </c>
      <c r="K280" s="78"/>
      <c r="L280" s="78"/>
      <c r="M280" s="78"/>
      <c r="N280" s="79"/>
      <c r="O280" s="78"/>
      <c r="Q280" s="30" t="n">
        <f aca="false">IFERROR(MATCH($B$4&amp;"|- Lane "&amp;D280&amp;" - "&amp;B280&amp;"|"&amp;C280,'Reguler Class Availability'!$L:$L,0),"")</f>
        <v>2191</v>
      </c>
      <c r="BD280" s="30" t="s">
        <v>149</v>
      </c>
      <c r="BE280" s="30" t="n">
        <f aca="false">IF(COUNTIFS('Reguler Class Availability'!$L:$L,$B$4&amp;"|- Lane 5 - *|"&amp;BD280)&gt;0,1,0)</f>
        <v>1</v>
      </c>
      <c r="BF280" s="30" t="n">
        <f aca="false">BE280+BF279</f>
        <v>10</v>
      </c>
    </row>
    <row r="281" customFormat="false" ht="27.75" hidden="false" customHeight="true" outlineLevel="0" collapsed="false">
      <c r="A281" s="76" t="n">
        <v>155</v>
      </c>
      <c r="B281" s="77" t="s">
        <v>116</v>
      </c>
      <c r="C281" s="76" t="s">
        <v>152</v>
      </c>
      <c r="D281" s="76" t="n">
        <v>1</v>
      </c>
      <c r="E281" s="77" t="str">
        <f aca="false">IF($Q281="","Tidak ada di data",IF(AND(IFERROR(--(INDEX('Reguler Class Availability'!$F:$F,$Q281)&amp;""),0)=0,IFERROR(--(INDEX('Reguler Class Availability'!$G:$G,$Q281)&amp;""),0)=0),"Tutup",IF(IFERROR(--(INDEX('Reguler Class Availability'!$G:$G,$Q281)&amp;""),0)&gt;IFERROR(--(INDEX('Reguler Class Availability'!$F:$F,$Q281)&amp;""),0),"Lebih",IF(IFERROR(--(INDEX('Reguler Class Availability'!$G:$G,$Q281)&amp;""),0)=IFERROR(--(INDEX('Reguler Class Availability'!$F:$F,$Q281)&amp;""),0),"Penuh",IF(IFERROR(--(INDEX('Reguler Class Availability'!$G:$G,$Q281)&amp;""),0)=0,IF(INDEX('Reguler Class Availability'!$B:$B,$Q281)&amp;""="","Kosong","Belum terisi"),IF(IFERROR(--(INDEX('Reguler Class Availability'!$G:$G,$Q281)&amp;""),0)/IFERROR(--(INDEX('Reguler Class Availability'!$F:$F,$Q281)&amp;""),0)&gt;=0.6,"Tinggi","Sebagian"))))))</f>
        <v>Belum terisi</v>
      </c>
      <c r="F281" s="77" t="str">
        <f aca="false">IF($Q281="","",PROPER(INDEX('Reguler Class Availability'!$B:$B,$Q281)&amp;""))</f>
        <v>Baby</v>
      </c>
      <c r="G281" s="76" t="n">
        <f aca="false">IF($Q281="","",IFERROR(--(INDEX('Reguler Class Availability'!$F:$F,$Q281)&amp;""),0))</f>
        <v>5</v>
      </c>
      <c r="H281" s="77" t="str">
        <f aca="false">IF($Q281="","",PROPER(INDEX('Reguler Class Availability'!$I:$I,$Q281)&amp;"")&amp;IF(INDEX('Reguler Class Availability'!$J:$J,$Q281)&amp;""="",""," + asst "&amp;PROPER(INDEX('Reguler Class Availability'!$J:$J,$Q281)&amp;"")))</f>
        <v/>
      </c>
      <c r="I281" s="77" t="s">
        <v>468</v>
      </c>
      <c r="J281" s="77" t="s">
        <v>188</v>
      </c>
      <c r="K281" s="78"/>
      <c r="L281" s="78"/>
      <c r="M281" s="78"/>
      <c r="N281" s="79"/>
      <c r="O281" s="78"/>
      <c r="Q281" s="30" t="n">
        <f aca="false">IFERROR(MATCH($B$4&amp;"|- Lane "&amp;D281&amp;" - "&amp;B281&amp;"|"&amp;C281,'Reguler Class Availability'!$L:$L,0),"")</f>
        <v>1926</v>
      </c>
      <c r="BD281" s="30" t="s">
        <v>150</v>
      </c>
      <c r="BE281" s="30" t="n">
        <f aca="false">IF(COUNTIFS('Reguler Class Availability'!$L:$L,$B$4&amp;"|- Lane 5 - *|"&amp;BD281)&gt;0,1,0)</f>
        <v>0</v>
      </c>
      <c r="BF281" s="30" t="n">
        <f aca="false">BE281+BF280</f>
        <v>10</v>
      </c>
    </row>
    <row r="282" customFormat="false" ht="27.75" hidden="false" customHeight="true" outlineLevel="0" collapsed="false">
      <c r="A282" s="76" t="n">
        <v>156</v>
      </c>
      <c r="B282" s="77" t="s">
        <v>116</v>
      </c>
      <c r="C282" s="76" t="s">
        <v>152</v>
      </c>
      <c r="D282" s="76" t="n">
        <v>2</v>
      </c>
      <c r="E282" s="77" t="str">
        <f aca="false">IF($Q282="","Tidak ada di data",IF(AND(IFERROR(--(INDEX('Reguler Class Availability'!$F:$F,$Q282)&amp;""),0)=0,IFERROR(--(INDEX('Reguler Class Availability'!$G:$G,$Q282)&amp;""),0)=0),"Tutup",IF(IFERROR(--(INDEX('Reguler Class Availability'!$G:$G,$Q282)&amp;""),0)&gt;IFERROR(--(INDEX('Reguler Class Availability'!$F:$F,$Q282)&amp;""),0),"Lebih",IF(IFERROR(--(INDEX('Reguler Class Availability'!$G:$G,$Q282)&amp;""),0)=IFERROR(--(INDEX('Reguler Class Availability'!$F:$F,$Q282)&amp;""),0),"Penuh",IF(IFERROR(--(INDEX('Reguler Class Availability'!$G:$G,$Q282)&amp;""),0)=0,IF(INDEX('Reguler Class Availability'!$B:$B,$Q282)&amp;""="","Kosong","Belum terisi"),IF(IFERROR(--(INDEX('Reguler Class Availability'!$G:$G,$Q282)&amp;""),0)/IFERROR(--(INDEX('Reguler Class Availability'!$F:$F,$Q282)&amp;""),0)&gt;=0.6,"Tinggi","Sebagian"))))))</f>
        <v>Belum terisi</v>
      </c>
      <c r="F282" s="77" t="str">
        <f aca="false">IF($Q282="","",PROPER(INDEX('Reguler Class Availability'!$B:$B,$Q282)&amp;""))</f>
        <v>Tiny</v>
      </c>
      <c r="G282" s="76" t="n">
        <f aca="false">IF($Q282="","",IFERROR(--(INDEX('Reguler Class Availability'!$F:$F,$Q282)&amp;""),0))</f>
        <v>5</v>
      </c>
      <c r="H282" s="77" t="str">
        <f aca="false">IF($Q282="","",PROPER(INDEX('Reguler Class Availability'!$I:$I,$Q282)&amp;"")&amp;IF(INDEX('Reguler Class Availability'!$J:$J,$Q282)&amp;""="",""," + asst "&amp;PROPER(INDEX('Reguler Class Availability'!$J:$J,$Q282)&amp;"")))</f>
        <v/>
      </c>
      <c r="I282" s="77" t="s">
        <v>468</v>
      </c>
      <c r="J282" s="77" t="s">
        <v>188</v>
      </c>
      <c r="K282" s="78"/>
      <c r="L282" s="78"/>
      <c r="M282" s="78"/>
      <c r="N282" s="79"/>
      <c r="O282" s="78"/>
      <c r="Q282" s="30" t="n">
        <f aca="false">IFERROR(MATCH($B$4&amp;"|- Lane "&amp;D282&amp;" - "&amp;B282&amp;"|"&amp;C282,'Reguler Class Availability'!$L:$L,0),"")</f>
        <v>2024</v>
      </c>
      <c r="BD282" s="30" t="s">
        <v>151</v>
      </c>
      <c r="BE282" s="30" t="n">
        <f aca="false">IF(COUNTIFS('Reguler Class Availability'!$L:$L,$B$4&amp;"|- Lane 5 - *|"&amp;BD282)&gt;0,1,0)</f>
        <v>0</v>
      </c>
      <c r="BF282" s="30" t="n">
        <f aca="false">BE282+BF281</f>
        <v>10</v>
      </c>
    </row>
    <row r="283" customFormat="false" ht="27.75" hidden="false" customHeight="true" outlineLevel="0" collapsed="false">
      <c r="A283" s="76" t="n">
        <v>157</v>
      </c>
      <c r="B283" s="77" t="s">
        <v>116</v>
      </c>
      <c r="C283" s="76" t="s">
        <v>152</v>
      </c>
      <c r="D283" s="76" t="n">
        <v>5</v>
      </c>
      <c r="E283" s="77" t="str">
        <f aca="false">IF($Q283="","Tidak ada di data",IF(AND(IFERROR(--(INDEX('Reguler Class Availability'!$F:$F,$Q283)&amp;""),0)=0,IFERROR(--(INDEX('Reguler Class Availability'!$G:$G,$Q283)&amp;""),0)=0),"Tutup",IF(IFERROR(--(INDEX('Reguler Class Availability'!$G:$G,$Q283)&amp;""),0)&gt;IFERROR(--(INDEX('Reguler Class Availability'!$F:$F,$Q283)&amp;""),0),"Lebih",IF(IFERROR(--(INDEX('Reguler Class Availability'!$G:$G,$Q283)&amp;""),0)=IFERROR(--(INDEX('Reguler Class Availability'!$F:$F,$Q283)&amp;""),0),"Penuh",IF(IFERROR(--(INDEX('Reguler Class Availability'!$G:$G,$Q283)&amp;""),0)=0,IF(INDEX('Reguler Class Availability'!$B:$B,$Q283)&amp;""="","Kosong","Belum terisi"),IF(IFERROR(--(INDEX('Reguler Class Availability'!$G:$G,$Q283)&amp;""),0)/IFERROR(--(INDEX('Reguler Class Availability'!$F:$F,$Q283)&amp;""),0)&gt;=0.6,"Tinggi","Sebagian"))))))</f>
        <v>Kosong</v>
      </c>
      <c r="F283" s="77" t="str">
        <f aca="false">IF($Q283="","",PROPER(INDEX('Reguler Class Availability'!$B:$B,$Q283)&amp;""))</f>
        <v/>
      </c>
      <c r="G283" s="76" t="n">
        <f aca="false">IF($Q283="","",IFERROR(--(INDEX('Reguler Class Availability'!$F:$F,$Q283)&amp;""),0))</f>
        <v>4</v>
      </c>
      <c r="H283" s="77" t="str">
        <f aca="false">IF($Q283="","",PROPER(INDEX('Reguler Class Availability'!$I:$I,$Q283)&amp;"")&amp;IF(INDEX('Reguler Class Availability'!$J:$J,$Q283)&amp;""="",""," + asst "&amp;PROPER(INDEX('Reguler Class Availability'!$J:$J,$Q283)&amp;"")))</f>
        <v/>
      </c>
      <c r="I283" s="77" t="s">
        <v>468</v>
      </c>
      <c r="J283" s="77" t="s">
        <v>188</v>
      </c>
      <c r="K283" s="78"/>
      <c r="L283" s="78"/>
      <c r="M283" s="78"/>
      <c r="N283" s="79"/>
      <c r="O283" s="78"/>
      <c r="Q283" s="30" t="n">
        <f aca="false">IFERROR(MATCH($B$4&amp;"|- Lane "&amp;D283&amp;" - "&amp;B283&amp;"|"&amp;C283,'Reguler Class Availability'!$L:$L,0),"")</f>
        <v>2276</v>
      </c>
      <c r="BD283" s="30" t="s">
        <v>152</v>
      </c>
      <c r="BE283" s="30" t="n">
        <f aca="false">IF(COUNTIFS('Reguler Class Availability'!$L:$L,$B$4&amp;"|- Lane 5 - *|"&amp;BD283)&gt;0,1,0)</f>
        <v>1</v>
      </c>
      <c r="BF283" s="30" t="n">
        <f aca="false">BE283+BF282</f>
        <v>11</v>
      </c>
    </row>
    <row r="284" customFormat="false" ht="27.75" hidden="false" customHeight="true" outlineLevel="0" collapsed="false">
      <c r="A284" s="76" t="n">
        <v>158</v>
      </c>
      <c r="B284" s="77" t="s">
        <v>116</v>
      </c>
      <c r="C284" s="76" t="s">
        <v>155</v>
      </c>
      <c r="D284" s="76" t="n">
        <v>1</v>
      </c>
      <c r="E284" s="77" t="str">
        <f aca="false">IF($Q284="","Tidak ada di data",IF(AND(IFERROR(--(INDEX('Reguler Class Availability'!$F:$F,$Q284)&amp;""),0)=0,IFERROR(--(INDEX('Reguler Class Availability'!$G:$G,$Q284)&amp;""),0)=0),"Tutup",IF(IFERROR(--(INDEX('Reguler Class Availability'!$G:$G,$Q284)&amp;""),0)&gt;IFERROR(--(INDEX('Reguler Class Availability'!$F:$F,$Q284)&amp;""),0),"Lebih",IF(IFERROR(--(INDEX('Reguler Class Availability'!$G:$G,$Q284)&amp;""),0)=IFERROR(--(INDEX('Reguler Class Availability'!$F:$F,$Q284)&amp;""),0),"Penuh",IF(IFERROR(--(INDEX('Reguler Class Availability'!$G:$G,$Q284)&amp;""),0)=0,IF(INDEX('Reguler Class Availability'!$B:$B,$Q284)&amp;""="","Kosong","Belum terisi"),IF(IFERROR(--(INDEX('Reguler Class Availability'!$G:$G,$Q284)&amp;""),0)/IFERROR(--(INDEX('Reguler Class Availability'!$F:$F,$Q284)&amp;""),0)&gt;=0.6,"Tinggi","Sebagian"))))))</f>
        <v>Belum terisi</v>
      </c>
      <c r="F284" s="77" t="str">
        <f aca="false">IF($Q284="","",PROPER(INDEX('Reguler Class Availability'!$B:$B,$Q284)&amp;""))</f>
        <v>Baby</v>
      </c>
      <c r="G284" s="76" t="n">
        <f aca="false">IF($Q284="","",IFERROR(--(INDEX('Reguler Class Availability'!$F:$F,$Q284)&amp;""),0))</f>
        <v>5</v>
      </c>
      <c r="H284" s="77" t="str">
        <f aca="false">IF($Q284="","",PROPER(INDEX('Reguler Class Availability'!$I:$I,$Q284)&amp;"")&amp;IF(INDEX('Reguler Class Availability'!$J:$J,$Q284)&amp;""="",""," + asst "&amp;PROPER(INDEX('Reguler Class Availability'!$J:$J,$Q284)&amp;"")))</f>
        <v/>
      </c>
      <c r="I284" s="77" t="s">
        <v>468</v>
      </c>
      <c r="J284" s="77" t="s">
        <v>188</v>
      </c>
      <c r="K284" s="78"/>
      <c r="L284" s="78"/>
      <c r="M284" s="78"/>
      <c r="N284" s="79"/>
      <c r="O284" s="78"/>
      <c r="Q284" s="30" t="n">
        <f aca="false">IFERROR(MATCH($B$4&amp;"|- Lane "&amp;D284&amp;" - "&amp;B284&amp;"|"&amp;C284,'Reguler Class Availability'!$L:$L,0),"")</f>
        <v>1927</v>
      </c>
      <c r="BD284" s="30" t="s">
        <v>153</v>
      </c>
      <c r="BE284" s="30" t="n">
        <f aca="false">IF(COUNTIFS('Reguler Class Availability'!$L:$L,$B$4&amp;"|- Lane 5 - *|"&amp;BD284)&gt;0,1,0)</f>
        <v>0</v>
      </c>
      <c r="BF284" s="30" t="n">
        <f aca="false">BE284+BF283</f>
        <v>11</v>
      </c>
    </row>
    <row r="285" customFormat="false" ht="27.75" hidden="false" customHeight="true" outlineLevel="0" collapsed="false">
      <c r="A285" s="76" t="n">
        <v>159</v>
      </c>
      <c r="B285" s="77" t="s">
        <v>116</v>
      </c>
      <c r="C285" s="76" t="s">
        <v>155</v>
      </c>
      <c r="D285" s="76" t="n">
        <v>2</v>
      </c>
      <c r="E285" s="77" t="str">
        <f aca="false">IF($Q285="","Tidak ada di data",IF(AND(IFERROR(--(INDEX('Reguler Class Availability'!$F:$F,$Q285)&amp;""),0)=0,IFERROR(--(INDEX('Reguler Class Availability'!$G:$G,$Q285)&amp;""),0)=0),"Tutup",IF(IFERROR(--(INDEX('Reguler Class Availability'!$G:$G,$Q285)&amp;""),0)&gt;IFERROR(--(INDEX('Reguler Class Availability'!$F:$F,$Q285)&amp;""),0),"Lebih",IF(IFERROR(--(INDEX('Reguler Class Availability'!$G:$G,$Q285)&amp;""),0)=IFERROR(--(INDEX('Reguler Class Availability'!$F:$F,$Q285)&amp;""),0),"Penuh",IF(IFERROR(--(INDEX('Reguler Class Availability'!$G:$G,$Q285)&amp;""),0)=0,IF(INDEX('Reguler Class Availability'!$B:$B,$Q285)&amp;""="","Kosong","Belum terisi"),IF(IFERROR(--(INDEX('Reguler Class Availability'!$G:$G,$Q285)&amp;""),0)/IFERROR(--(INDEX('Reguler Class Availability'!$F:$F,$Q285)&amp;""),0)&gt;=0.6,"Tinggi","Sebagian"))))))</f>
        <v>Belum terisi</v>
      </c>
      <c r="F285" s="77" t="str">
        <f aca="false">IF($Q285="","",PROPER(INDEX('Reguler Class Availability'!$B:$B,$Q285)&amp;""))</f>
        <v>Tiny</v>
      </c>
      <c r="G285" s="76" t="n">
        <f aca="false">IF($Q285="","",IFERROR(--(INDEX('Reguler Class Availability'!$F:$F,$Q285)&amp;""),0))</f>
        <v>5</v>
      </c>
      <c r="H285" s="77" t="str">
        <f aca="false">IF($Q285="","",PROPER(INDEX('Reguler Class Availability'!$I:$I,$Q285)&amp;"")&amp;IF(INDEX('Reguler Class Availability'!$J:$J,$Q285)&amp;""="",""," + asst "&amp;PROPER(INDEX('Reguler Class Availability'!$J:$J,$Q285)&amp;"")))</f>
        <v/>
      </c>
      <c r="I285" s="77" t="s">
        <v>468</v>
      </c>
      <c r="J285" s="77" t="s">
        <v>188</v>
      </c>
      <c r="K285" s="78"/>
      <c r="L285" s="78"/>
      <c r="M285" s="78"/>
      <c r="N285" s="79"/>
      <c r="O285" s="78"/>
      <c r="Q285" s="30" t="n">
        <f aca="false">IFERROR(MATCH($B$4&amp;"|- Lane "&amp;D285&amp;" - "&amp;B285&amp;"|"&amp;C285,'Reguler Class Availability'!$L:$L,0),"")</f>
        <v>2025</v>
      </c>
      <c r="BD285" s="30" t="s">
        <v>154</v>
      </c>
      <c r="BE285" s="30" t="n">
        <f aca="false">IF(COUNTIFS('Reguler Class Availability'!$L:$L,$B$4&amp;"|- Lane 5 - *|"&amp;BD285)&gt;0,1,0)</f>
        <v>0</v>
      </c>
      <c r="BF285" s="30" t="n">
        <f aca="false">BE285+BF284</f>
        <v>11</v>
      </c>
    </row>
    <row r="286" customFormat="false" ht="27.75" hidden="false" customHeight="true" outlineLevel="0" collapsed="false">
      <c r="A286" s="76" t="n">
        <v>160</v>
      </c>
      <c r="B286" s="77" t="s">
        <v>116</v>
      </c>
      <c r="C286" s="76" t="s">
        <v>155</v>
      </c>
      <c r="D286" s="76" t="n">
        <v>5</v>
      </c>
      <c r="E286" s="77" t="str">
        <f aca="false">IF($Q286="","Tidak ada di data",IF(AND(IFERROR(--(INDEX('Reguler Class Availability'!$F:$F,$Q286)&amp;""),0)=0,IFERROR(--(INDEX('Reguler Class Availability'!$G:$G,$Q286)&amp;""),0)=0),"Tutup",IF(IFERROR(--(INDEX('Reguler Class Availability'!$G:$G,$Q286)&amp;""),0)&gt;IFERROR(--(INDEX('Reguler Class Availability'!$F:$F,$Q286)&amp;""),0),"Lebih",IF(IFERROR(--(INDEX('Reguler Class Availability'!$G:$G,$Q286)&amp;""),0)=IFERROR(--(INDEX('Reguler Class Availability'!$F:$F,$Q286)&amp;""),0),"Penuh",IF(IFERROR(--(INDEX('Reguler Class Availability'!$G:$G,$Q286)&amp;""),0)=0,IF(INDEX('Reguler Class Availability'!$B:$B,$Q286)&amp;""="","Kosong","Belum terisi"),IF(IFERROR(--(INDEX('Reguler Class Availability'!$G:$G,$Q286)&amp;""),0)/IFERROR(--(INDEX('Reguler Class Availability'!$F:$F,$Q286)&amp;""),0)&gt;=0.6,"Tinggi","Sebagian"))))))</f>
        <v>Kosong</v>
      </c>
      <c r="F286" s="77" t="str">
        <f aca="false">IF($Q286="","",PROPER(INDEX('Reguler Class Availability'!$B:$B,$Q286)&amp;""))</f>
        <v/>
      </c>
      <c r="G286" s="76" t="n">
        <f aca="false">IF($Q286="","",IFERROR(--(INDEX('Reguler Class Availability'!$F:$F,$Q286)&amp;""),0))</f>
        <v>4</v>
      </c>
      <c r="H286" s="77" t="str">
        <f aca="false">IF($Q286="","",PROPER(INDEX('Reguler Class Availability'!$I:$I,$Q286)&amp;"")&amp;IF(INDEX('Reguler Class Availability'!$J:$J,$Q286)&amp;""="",""," + asst "&amp;PROPER(INDEX('Reguler Class Availability'!$J:$J,$Q286)&amp;"")))</f>
        <v/>
      </c>
      <c r="I286" s="77" t="s">
        <v>468</v>
      </c>
      <c r="J286" s="77" t="s">
        <v>188</v>
      </c>
      <c r="K286" s="78"/>
      <c r="L286" s="78"/>
      <c r="M286" s="78"/>
      <c r="N286" s="79"/>
      <c r="O286" s="78"/>
      <c r="Q286" s="30" t="n">
        <f aca="false">IFERROR(MATCH($B$4&amp;"|- Lane "&amp;D286&amp;" - "&amp;B286&amp;"|"&amp;C286,'Reguler Class Availability'!$L:$L,0),"")</f>
        <v>2277</v>
      </c>
      <c r="BD286" s="30" t="s">
        <v>155</v>
      </c>
      <c r="BE286" s="30" t="n">
        <f aca="false">IF(COUNTIFS('Reguler Class Availability'!$L:$L,$B$4&amp;"|- Lane 5 - *|"&amp;BD286)&gt;0,1,0)</f>
        <v>1</v>
      </c>
      <c r="BF286" s="30" t="n">
        <f aca="false">BE286+BF285</f>
        <v>12</v>
      </c>
    </row>
    <row r="287" customFormat="false" ht="40.5" hidden="false" customHeight="true" outlineLevel="0" collapsed="false">
      <c r="A287" s="76" t="n">
        <v>161</v>
      </c>
      <c r="B287" s="77" t="s">
        <v>116</v>
      </c>
      <c r="C287" s="76" t="s">
        <v>156</v>
      </c>
      <c r="D287" s="76" t="n">
        <v>3</v>
      </c>
      <c r="E287" s="77" t="str">
        <f aca="false">IF($Q287="","Tidak ada di data",IF(AND(IFERROR(--(INDEX('Reguler Class Availability'!$F:$F,$Q287)&amp;""),0)=0,IFERROR(--(INDEX('Reguler Class Availability'!$G:$G,$Q287)&amp;""),0)=0),"Tutup",IF(IFERROR(--(INDEX('Reguler Class Availability'!$G:$G,$Q287)&amp;""),0)&gt;IFERROR(--(INDEX('Reguler Class Availability'!$F:$F,$Q287)&amp;""),0),"Lebih",IF(IFERROR(--(INDEX('Reguler Class Availability'!$G:$G,$Q287)&amp;""),0)=IFERROR(--(INDEX('Reguler Class Availability'!$F:$F,$Q287)&amp;""),0),"Penuh",IF(IFERROR(--(INDEX('Reguler Class Availability'!$G:$G,$Q287)&amp;""),0)=0,IF(INDEX('Reguler Class Availability'!$B:$B,$Q287)&amp;""="","Kosong","Belum terisi"),IF(IFERROR(--(INDEX('Reguler Class Availability'!$G:$G,$Q287)&amp;""),0)/IFERROR(--(INDEX('Reguler Class Availability'!$F:$F,$Q287)&amp;""),0)&gt;=0.6,"Tinggi","Sebagian"))))))</f>
        <v>Belum terisi</v>
      </c>
      <c r="F287" s="77" t="str">
        <f aca="false">IF($Q287="","",PROPER(INDEX('Reguler Class Availability'!$B:$B,$Q287)&amp;""))</f>
        <v>Little</v>
      </c>
      <c r="G287" s="76" t="n">
        <f aca="false">IF($Q287="","",IFERROR(--(INDEX('Reguler Class Availability'!$F:$F,$Q287)&amp;""),0))</f>
        <v>4</v>
      </c>
      <c r="H287" s="77" t="str">
        <f aca="false">IF($Q287="","",PROPER(INDEX('Reguler Class Availability'!$I:$I,$Q287)&amp;"")&amp;IF(INDEX('Reguler Class Availability'!$J:$J,$Q287)&amp;""="",""," + asst "&amp;PROPER(INDEX('Reguler Class Availability'!$J:$J,$Q287)&amp;"")))</f>
        <v/>
      </c>
      <c r="I287" s="77" t="s">
        <v>463</v>
      </c>
      <c r="J287" s="77" t="s">
        <v>188</v>
      </c>
      <c r="K287" s="78"/>
      <c r="L287" s="78"/>
      <c r="M287" s="78"/>
      <c r="N287" s="79"/>
      <c r="O287" s="78"/>
      <c r="Q287" s="30" t="n">
        <f aca="false">IFERROR(MATCH($B$4&amp;"|- Lane "&amp;D287&amp;" - "&amp;B287&amp;"|"&amp;C287,'Reguler Class Availability'!$L:$L,0),"")</f>
        <v>2109</v>
      </c>
      <c r="BD287" s="30" t="s">
        <v>156</v>
      </c>
      <c r="BE287" s="30" t="n">
        <f aca="false">IF(COUNTIFS('Reguler Class Availability'!$L:$L,$B$4&amp;"|- Lane 5 - *|"&amp;BD287)&gt;0,1,0)</f>
        <v>0</v>
      </c>
      <c r="BF287" s="30" t="n">
        <f aca="false">BE287+BF286</f>
        <v>12</v>
      </c>
    </row>
    <row r="288" customFormat="false" ht="40.5" hidden="false" customHeight="true" outlineLevel="0" collapsed="false">
      <c r="A288" s="76" t="n">
        <v>162</v>
      </c>
      <c r="B288" s="77" t="s">
        <v>116</v>
      </c>
      <c r="C288" s="76" t="s">
        <v>156</v>
      </c>
      <c r="D288" s="76" t="n">
        <v>4</v>
      </c>
      <c r="E288" s="77" t="str">
        <f aca="false">IF($Q288="","Tidak ada di data",IF(AND(IFERROR(--(INDEX('Reguler Class Availability'!$F:$F,$Q288)&amp;""),0)=0,IFERROR(--(INDEX('Reguler Class Availability'!$G:$G,$Q288)&amp;""),0)=0),"Tutup",IF(IFERROR(--(INDEX('Reguler Class Availability'!$G:$G,$Q288)&amp;""),0)&gt;IFERROR(--(INDEX('Reguler Class Availability'!$F:$F,$Q288)&amp;""),0),"Lebih",IF(IFERROR(--(INDEX('Reguler Class Availability'!$G:$G,$Q288)&amp;""),0)=IFERROR(--(INDEX('Reguler Class Availability'!$F:$F,$Q288)&amp;""),0),"Penuh",IF(IFERROR(--(INDEX('Reguler Class Availability'!$G:$G,$Q288)&amp;""),0)=0,IF(INDEX('Reguler Class Availability'!$B:$B,$Q288)&amp;""="","Kosong","Belum terisi"),IF(IFERROR(--(INDEX('Reguler Class Availability'!$G:$G,$Q288)&amp;""),0)/IFERROR(--(INDEX('Reguler Class Availability'!$F:$F,$Q288)&amp;""),0)&gt;=0.6,"Tinggi","Sebagian"))))))</f>
        <v>Belum terisi</v>
      </c>
      <c r="F288" s="77" t="str">
        <f aca="false">IF($Q288="","",PROPER(INDEX('Reguler Class Availability'!$B:$B,$Q288)&amp;""))</f>
        <v>Kids</v>
      </c>
      <c r="G288" s="76" t="n">
        <f aca="false">IF($Q288="","",IFERROR(--(INDEX('Reguler Class Availability'!$F:$F,$Q288)&amp;""),0))</f>
        <v>4</v>
      </c>
      <c r="H288" s="77" t="str">
        <f aca="false">IF($Q288="","",PROPER(INDEX('Reguler Class Availability'!$I:$I,$Q288)&amp;"")&amp;IF(INDEX('Reguler Class Availability'!$J:$J,$Q288)&amp;""="",""," + asst "&amp;PROPER(INDEX('Reguler Class Availability'!$J:$J,$Q288)&amp;"")))</f>
        <v/>
      </c>
      <c r="I288" s="77" t="s">
        <v>463</v>
      </c>
      <c r="J288" s="77" t="s">
        <v>188</v>
      </c>
      <c r="K288" s="78"/>
      <c r="L288" s="78"/>
      <c r="M288" s="78"/>
      <c r="N288" s="79"/>
      <c r="O288" s="78"/>
      <c r="Q288" s="30" t="n">
        <f aca="false">IFERROR(MATCH($B$4&amp;"|- Lane "&amp;D288&amp;" - "&amp;B288&amp;"|"&amp;C288,'Reguler Class Availability'!$L:$L,0),"")</f>
        <v>2193</v>
      </c>
      <c r="BD288" s="30" t="s">
        <v>157</v>
      </c>
      <c r="BE288" s="30" t="n">
        <f aca="false">IF(COUNTIFS('Reguler Class Availability'!$L:$L,$B$4&amp;"|- Lane 5 - *|"&amp;BD288)&gt;0,1,0)</f>
        <v>0</v>
      </c>
      <c r="BF288" s="30" t="n">
        <f aca="false">BE288+BF287</f>
        <v>12</v>
      </c>
    </row>
    <row r="289" customFormat="false" ht="40.5" hidden="false" customHeight="true" outlineLevel="0" collapsed="false">
      <c r="A289" s="76" t="n">
        <v>163</v>
      </c>
      <c r="B289" s="77" t="s">
        <v>116</v>
      </c>
      <c r="C289" s="76" t="s">
        <v>160</v>
      </c>
      <c r="D289" s="76" t="n">
        <v>1</v>
      </c>
      <c r="E289" s="77" t="str">
        <f aca="false">IF($Q289="","Tidak ada di data",IF(AND(IFERROR(--(INDEX('Reguler Class Availability'!$F:$F,$Q289)&amp;""),0)=0,IFERROR(--(INDEX('Reguler Class Availability'!$G:$G,$Q289)&amp;""),0)=0),"Tutup",IF(IFERROR(--(INDEX('Reguler Class Availability'!$G:$G,$Q289)&amp;""),0)&gt;IFERROR(--(INDEX('Reguler Class Availability'!$F:$F,$Q289)&amp;""),0),"Lebih",IF(IFERROR(--(INDEX('Reguler Class Availability'!$G:$G,$Q289)&amp;""),0)=IFERROR(--(INDEX('Reguler Class Availability'!$F:$F,$Q289)&amp;""),0),"Penuh",IF(IFERROR(--(INDEX('Reguler Class Availability'!$G:$G,$Q289)&amp;""),0)=0,IF(INDEX('Reguler Class Availability'!$B:$B,$Q289)&amp;""="","Kosong","Belum terisi"),IF(IFERROR(--(INDEX('Reguler Class Availability'!$G:$G,$Q289)&amp;""),0)/IFERROR(--(INDEX('Reguler Class Availability'!$F:$F,$Q289)&amp;""),0)&gt;=0.6,"Tinggi","Sebagian"))))))</f>
        <v>Belum terisi</v>
      </c>
      <c r="F289" s="77" t="str">
        <f aca="false">IF($Q289="","",PROPER(INDEX('Reguler Class Availability'!$B:$B,$Q289)&amp;""))</f>
        <v>Star</v>
      </c>
      <c r="G289" s="76" t="n">
        <f aca="false">IF($Q289="","",IFERROR(--(INDEX('Reguler Class Availability'!$F:$F,$Q289)&amp;""),0))</f>
        <v>8</v>
      </c>
      <c r="H289" s="77" t="str">
        <f aca="false">IF($Q289="","",PROPER(INDEX('Reguler Class Availability'!$I:$I,$Q289)&amp;"")&amp;IF(INDEX('Reguler Class Availability'!$J:$J,$Q289)&amp;""="",""," + asst "&amp;PROPER(INDEX('Reguler Class Availability'!$J:$J,$Q289)&amp;"")))</f>
        <v/>
      </c>
      <c r="I289" s="77" t="s">
        <v>463</v>
      </c>
      <c r="J289" s="77" t="s">
        <v>186</v>
      </c>
      <c r="K289" s="78"/>
      <c r="L289" s="78"/>
      <c r="M289" s="78"/>
      <c r="N289" s="79"/>
      <c r="O289" s="78"/>
      <c r="Q289" s="30" t="n">
        <f aca="false">IFERROR(MATCH($B$4&amp;"|- Lane "&amp;D289&amp;" - "&amp;B289&amp;"|"&amp;C289,'Reguler Class Availability'!$L:$L,0),"")</f>
        <v>1985</v>
      </c>
      <c r="BD289" s="30" t="s">
        <v>158</v>
      </c>
      <c r="BE289" s="30" t="n">
        <f aca="false">IF(COUNTIFS('Reguler Class Availability'!$L:$L,$B$4&amp;"|- Lane 5 - *|"&amp;BD289)&gt;0,1,0)</f>
        <v>0</v>
      </c>
      <c r="BF289" s="30" t="n">
        <f aca="false">BE289+BF288</f>
        <v>12</v>
      </c>
    </row>
    <row r="290" customFormat="false" ht="40.5" hidden="false" customHeight="true" outlineLevel="0" collapsed="false">
      <c r="A290" s="76" t="n">
        <v>164</v>
      </c>
      <c r="B290" s="77" t="s">
        <v>117</v>
      </c>
      <c r="C290" s="76" t="s">
        <v>91</v>
      </c>
      <c r="D290" s="76" t="n">
        <v>1</v>
      </c>
      <c r="E290" s="77" t="str">
        <f aca="false">IF($Q290="","Tidak ada di data",IF(AND(IFERROR(--(INDEX('Reguler Class Availability'!$F:$F,$Q290)&amp;""),0)=0,IFERROR(--(INDEX('Reguler Class Availability'!$G:$G,$Q290)&amp;""),0)=0),"Tutup",IF(IFERROR(--(INDEX('Reguler Class Availability'!$G:$G,$Q290)&amp;""),0)&gt;IFERROR(--(INDEX('Reguler Class Availability'!$F:$F,$Q290)&amp;""),0),"Lebih",IF(IFERROR(--(INDEX('Reguler Class Availability'!$G:$G,$Q290)&amp;""),0)=IFERROR(--(INDEX('Reguler Class Availability'!$F:$F,$Q290)&amp;""),0),"Penuh",IF(IFERROR(--(INDEX('Reguler Class Availability'!$G:$G,$Q290)&amp;""),0)=0,IF(INDEX('Reguler Class Availability'!$B:$B,$Q290)&amp;""="","Kosong","Belum terisi"),IF(IFERROR(--(INDEX('Reguler Class Availability'!$G:$G,$Q290)&amp;""),0)/IFERROR(--(INDEX('Reguler Class Availability'!$F:$F,$Q290)&amp;""),0)&gt;=0.6,"Tinggi","Sebagian"))))))</f>
        <v>Belum terisi</v>
      </c>
      <c r="F290" s="77" t="str">
        <f aca="false">IF($Q290="","",PROPER(INDEX('Reguler Class Availability'!$B:$B,$Q290)&amp;""))</f>
        <v>Star</v>
      </c>
      <c r="G290" s="76" t="n">
        <f aca="false">IF($Q290="","",IFERROR(--(INDEX('Reguler Class Availability'!$F:$F,$Q290)&amp;""),0))</f>
        <v>8</v>
      </c>
      <c r="H290" s="77" t="str">
        <f aca="false">IF($Q290="","",PROPER(INDEX('Reguler Class Availability'!$I:$I,$Q290)&amp;"")&amp;IF(INDEX('Reguler Class Availability'!$J:$J,$Q290)&amp;""="",""," + asst "&amp;PROPER(INDEX('Reguler Class Availability'!$J:$J,$Q290)&amp;"")))</f>
        <v/>
      </c>
      <c r="I290" s="77" t="s">
        <v>469</v>
      </c>
      <c r="J290" s="77" t="s">
        <v>186</v>
      </c>
      <c r="K290" s="78"/>
      <c r="L290" s="78"/>
      <c r="M290" s="78"/>
      <c r="N290" s="79"/>
      <c r="O290" s="78"/>
      <c r="Q290" s="30" t="n">
        <f aca="false">IFERROR(MATCH($B$4&amp;"|- Lane "&amp;D290&amp;" - "&amp;B290&amp;"|"&amp;C290,'Reguler Class Availability'!$L:$L,0),"")</f>
        <v>1979</v>
      </c>
      <c r="BD290" s="30" t="s">
        <v>160</v>
      </c>
      <c r="BE290" s="30" t="n">
        <f aca="false">IF(COUNTIFS('Reguler Class Availability'!$L:$L,$B$4&amp;"|- Lane 5 - *|"&amp;BD290)&gt;0,1,0)</f>
        <v>0</v>
      </c>
      <c r="BF290" s="30" t="n">
        <f aca="false">BE290+BF289</f>
        <v>12</v>
      </c>
    </row>
    <row r="291" customFormat="false" ht="40.5" hidden="false" customHeight="true" outlineLevel="0" collapsed="false">
      <c r="A291" s="76" t="n">
        <v>165</v>
      </c>
      <c r="B291" s="77" t="s">
        <v>117</v>
      </c>
      <c r="C291" s="76" t="s">
        <v>105</v>
      </c>
      <c r="D291" s="76" t="n">
        <v>1</v>
      </c>
      <c r="E291" s="77" t="str">
        <f aca="false">IF($Q291="","Tidak ada di data",IF(AND(IFERROR(--(INDEX('Reguler Class Availability'!$F:$F,$Q291)&amp;""),0)=0,IFERROR(--(INDEX('Reguler Class Availability'!$G:$G,$Q291)&amp;""),0)=0),"Tutup",IF(IFERROR(--(INDEX('Reguler Class Availability'!$G:$G,$Q291)&amp;""),0)&gt;IFERROR(--(INDEX('Reguler Class Availability'!$F:$F,$Q291)&amp;""),0),"Lebih",IF(IFERROR(--(INDEX('Reguler Class Availability'!$G:$G,$Q291)&amp;""),0)=IFERROR(--(INDEX('Reguler Class Availability'!$F:$F,$Q291)&amp;""),0),"Penuh",IF(IFERROR(--(INDEX('Reguler Class Availability'!$G:$G,$Q291)&amp;""),0)=0,IF(INDEX('Reguler Class Availability'!$B:$B,$Q291)&amp;""="","Kosong","Belum terisi"),IF(IFERROR(--(INDEX('Reguler Class Availability'!$G:$G,$Q291)&amp;""),0)/IFERROR(--(INDEX('Reguler Class Availability'!$F:$F,$Q291)&amp;""),0)&gt;=0.6,"Tinggi","Sebagian"))))))</f>
        <v>Belum terisi</v>
      </c>
      <c r="F291" s="77" t="str">
        <f aca="false">IF($Q291="","",PROPER(INDEX('Reguler Class Availability'!$B:$B,$Q291)&amp;""))</f>
        <v>Baby</v>
      </c>
      <c r="G291" s="76" t="n">
        <f aca="false">IF($Q291="","",IFERROR(--(INDEX('Reguler Class Availability'!$F:$F,$Q291)&amp;""),0))</f>
        <v>5</v>
      </c>
      <c r="H291" s="77" t="str">
        <f aca="false">IF($Q291="","",PROPER(INDEX('Reguler Class Availability'!$I:$I,$Q291)&amp;"")&amp;IF(INDEX('Reguler Class Availability'!$J:$J,$Q291)&amp;""="",""," + asst "&amp;PROPER(INDEX('Reguler Class Availability'!$J:$J,$Q291)&amp;"")))</f>
        <v/>
      </c>
      <c r="I291" s="77" t="s">
        <v>469</v>
      </c>
      <c r="J291" s="77" t="s">
        <v>188</v>
      </c>
      <c r="K291" s="78"/>
      <c r="L291" s="78"/>
      <c r="M291" s="78"/>
      <c r="N291" s="79"/>
      <c r="O291" s="78"/>
      <c r="Q291" s="30" t="n">
        <f aca="false">IFERROR(MATCH($B$4&amp;"|- Lane "&amp;D291&amp;" - "&amp;B291&amp;"|"&amp;C291,'Reguler Class Availability'!$L:$L,0),"")</f>
        <v>1928</v>
      </c>
      <c r="BD291" s="30" t="s">
        <v>161</v>
      </c>
      <c r="BE291" s="30" t="n">
        <f aca="false">IF(COUNTIFS('Reguler Class Availability'!$L:$L,$B$4&amp;"|- Lane 5 - *|"&amp;BD291)&gt;0,1,0)</f>
        <v>0</v>
      </c>
      <c r="BF291" s="30" t="n">
        <f aca="false">BE291+BF290</f>
        <v>12</v>
      </c>
    </row>
    <row r="292" customFormat="false" ht="40.5" hidden="false" customHeight="true" outlineLevel="0" collapsed="false">
      <c r="A292" s="76" t="n">
        <v>166</v>
      </c>
      <c r="B292" s="77" t="s">
        <v>117</v>
      </c>
      <c r="C292" s="76" t="s">
        <v>105</v>
      </c>
      <c r="D292" s="76" t="n">
        <v>2</v>
      </c>
      <c r="E292" s="77" t="str">
        <f aca="false">IF($Q292="","Tidak ada di data",IF(AND(IFERROR(--(INDEX('Reguler Class Availability'!$F:$F,$Q292)&amp;""),0)=0,IFERROR(--(INDEX('Reguler Class Availability'!$G:$G,$Q292)&amp;""),0)=0),"Tutup",IF(IFERROR(--(INDEX('Reguler Class Availability'!$G:$G,$Q292)&amp;""),0)&gt;IFERROR(--(INDEX('Reguler Class Availability'!$F:$F,$Q292)&amp;""),0),"Lebih",IF(IFERROR(--(INDEX('Reguler Class Availability'!$G:$G,$Q292)&amp;""),0)=IFERROR(--(INDEX('Reguler Class Availability'!$F:$F,$Q292)&amp;""),0),"Penuh",IF(IFERROR(--(INDEX('Reguler Class Availability'!$G:$G,$Q292)&amp;""),0)=0,IF(INDEX('Reguler Class Availability'!$B:$B,$Q292)&amp;""="","Kosong","Belum terisi"),IF(IFERROR(--(INDEX('Reguler Class Availability'!$G:$G,$Q292)&amp;""),0)/IFERROR(--(INDEX('Reguler Class Availability'!$F:$F,$Q292)&amp;""),0)&gt;=0.6,"Tinggi","Sebagian"))))))</f>
        <v>Belum terisi</v>
      </c>
      <c r="F292" s="77" t="str">
        <f aca="false">IF($Q292="","",PROPER(INDEX('Reguler Class Availability'!$B:$B,$Q292)&amp;""))</f>
        <v>Tiny</v>
      </c>
      <c r="G292" s="76" t="n">
        <f aca="false">IF($Q292="","",IFERROR(--(INDEX('Reguler Class Availability'!$F:$F,$Q292)&amp;""),0))</f>
        <v>5</v>
      </c>
      <c r="H292" s="77" t="str">
        <f aca="false">IF($Q292="","",PROPER(INDEX('Reguler Class Availability'!$I:$I,$Q292)&amp;"")&amp;IF(INDEX('Reguler Class Availability'!$J:$J,$Q292)&amp;""="",""," + asst "&amp;PROPER(INDEX('Reguler Class Availability'!$J:$J,$Q292)&amp;"")))</f>
        <v/>
      </c>
      <c r="I292" s="77" t="s">
        <v>469</v>
      </c>
      <c r="J292" s="77" t="s">
        <v>188</v>
      </c>
      <c r="K292" s="78"/>
      <c r="L292" s="78"/>
      <c r="M292" s="78"/>
      <c r="N292" s="79"/>
      <c r="O292" s="78"/>
      <c r="Q292" s="30" t="n">
        <f aca="false">IFERROR(MATCH($B$4&amp;"|- Lane "&amp;D292&amp;" - "&amp;B292&amp;"|"&amp;C292,'Reguler Class Availability'!$L:$L,0),"")</f>
        <v>2026</v>
      </c>
      <c r="BD292" s="30" t="s">
        <v>162</v>
      </c>
      <c r="BE292" s="30" t="n">
        <f aca="false">IF(COUNTIFS('Reguler Class Availability'!$L:$L,$B$4&amp;"|- Lane 5 - *|"&amp;BD292)&gt;0,1,0)</f>
        <v>0</v>
      </c>
      <c r="BF292" s="30" t="n">
        <f aca="false">BE292+BF291</f>
        <v>12</v>
      </c>
    </row>
    <row r="293" customFormat="false" ht="40.5" hidden="false" customHeight="true" outlineLevel="0" collapsed="false">
      <c r="A293" s="76" t="n">
        <v>167</v>
      </c>
      <c r="B293" s="77" t="s">
        <v>117</v>
      </c>
      <c r="C293" s="76" t="s">
        <v>105</v>
      </c>
      <c r="D293" s="76" t="n">
        <v>5</v>
      </c>
      <c r="E293" s="77" t="str">
        <f aca="false">IF($Q293="","Tidak ada di data",IF(AND(IFERROR(--(INDEX('Reguler Class Availability'!$F:$F,$Q293)&amp;""),0)=0,IFERROR(--(INDEX('Reguler Class Availability'!$G:$G,$Q293)&amp;""),0)=0),"Tutup",IF(IFERROR(--(INDEX('Reguler Class Availability'!$G:$G,$Q293)&amp;""),0)&gt;IFERROR(--(INDEX('Reguler Class Availability'!$F:$F,$Q293)&amp;""),0),"Lebih",IF(IFERROR(--(INDEX('Reguler Class Availability'!$G:$G,$Q293)&amp;""),0)=IFERROR(--(INDEX('Reguler Class Availability'!$F:$F,$Q293)&amp;""),0),"Penuh",IF(IFERROR(--(INDEX('Reguler Class Availability'!$G:$G,$Q293)&amp;""),0)=0,IF(INDEX('Reguler Class Availability'!$B:$B,$Q293)&amp;""="","Kosong","Belum terisi"),IF(IFERROR(--(INDEX('Reguler Class Availability'!$G:$G,$Q293)&amp;""),0)/IFERROR(--(INDEX('Reguler Class Availability'!$F:$F,$Q293)&amp;""),0)&gt;=0.6,"Tinggi","Sebagian"))))))</f>
        <v>Kosong</v>
      </c>
      <c r="F293" s="77" t="str">
        <f aca="false">IF($Q293="","",PROPER(INDEX('Reguler Class Availability'!$B:$B,$Q293)&amp;""))</f>
        <v/>
      </c>
      <c r="G293" s="76" t="n">
        <f aca="false">IF($Q293="","",IFERROR(--(INDEX('Reguler Class Availability'!$F:$F,$Q293)&amp;""),0))</f>
        <v>4</v>
      </c>
      <c r="H293" s="77" t="str">
        <f aca="false">IF($Q293="","",PROPER(INDEX('Reguler Class Availability'!$I:$I,$Q293)&amp;"")&amp;IF(INDEX('Reguler Class Availability'!$J:$J,$Q293)&amp;""="",""," + asst "&amp;PROPER(INDEX('Reguler Class Availability'!$J:$J,$Q293)&amp;"")))</f>
        <v/>
      </c>
      <c r="I293" s="77" t="s">
        <v>469</v>
      </c>
      <c r="J293" s="77" t="s">
        <v>188</v>
      </c>
      <c r="K293" s="78"/>
      <c r="L293" s="78"/>
      <c r="M293" s="78"/>
      <c r="N293" s="79"/>
      <c r="O293" s="78"/>
      <c r="Q293" s="30" t="n">
        <f aca="false">IFERROR(MATCH($B$4&amp;"|- Lane "&amp;D293&amp;" - "&amp;B293&amp;"|"&amp;C293,'Reguler Class Availability'!$L:$L,0),"")</f>
        <v>2278</v>
      </c>
      <c r="BD293" s="30" t="s">
        <v>163</v>
      </c>
      <c r="BE293" s="30" t="n">
        <f aca="false">IF(COUNTIFS('Reguler Class Availability'!$L:$L,$B$4&amp;"|- Lane 5 - *|"&amp;BD293)&gt;0,1,0)</f>
        <v>0</v>
      </c>
      <c r="BF293" s="30" t="n">
        <f aca="false">BE293+BF292</f>
        <v>12</v>
      </c>
    </row>
    <row r="294" customFormat="false" ht="27.75" hidden="false" customHeight="true" outlineLevel="0" collapsed="false">
      <c r="A294" s="76" t="n">
        <v>168</v>
      </c>
      <c r="B294" s="77" t="s">
        <v>117</v>
      </c>
      <c r="C294" s="76" t="s">
        <v>110</v>
      </c>
      <c r="D294" s="76" t="n">
        <v>3</v>
      </c>
      <c r="E294" s="77" t="str">
        <f aca="false">IF($Q294="","Tidak ada di data",IF(AND(IFERROR(--(INDEX('Reguler Class Availability'!$F:$F,$Q294)&amp;""),0)=0,IFERROR(--(INDEX('Reguler Class Availability'!$G:$G,$Q294)&amp;""),0)=0),"Tutup",IF(IFERROR(--(INDEX('Reguler Class Availability'!$G:$G,$Q294)&amp;""),0)&gt;IFERROR(--(INDEX('Reguler Class Availability'!$F:$F,$Q294)&amp;""),0),"Lebih",IF(IFERROR(--(INDEX('Reguler Class Availability'!$G:$G,$Q294)&amp;""),0)=IFERROR(--(INDEX('Reguler Class Availability'!$F:$F,$Q294)&amp;""),0),"Penuh",IF(IFERROR(--(INDEX('Reguler Class Availability'!$G:$G,$Q294)&amp;""),0)=0,IF(INDEX('Reguler Class Availability'!$B:$B,$Q294)&amp;""="","Kosong","Belum terisi"),IF(IFERROR(--(INDEX('Reguler Class Availability'!$G:$G,$Q294)&amp;""),0)/IFERROR(--(INDEX('Reguler Class Availability'!$F:$F,$Q294)&amp;""),0)&gt;=0.6,"Tinggi","Sebagian"))))))</f>
        <v>Belum terisi</v>
      </c>
      <c r="F294" s="77" t="str">
        <f aca="false">IF($Q294="","",PROPER(INDEX('Reguler Class Availability'!$B:$B,$Q294)&amp;""))</f>
        <v>Little</v>
      </c>
      <c r="G294" s="76" t="n">
        <f aca="false">IF($Q294="","",IFERROR(--(INDEX('Reguler Class Availability'!$F:$F,$Q294)&amp;""),0))</f>
        <v>4</v>
      </c>
      <c r="H294" s="77" t="str">
        <f aca="false">IF($Q294="","",PROPER(INDEX('Reguler Class Availability'!$I:$I,$Q294)&amp;"")&amp;IF(INDEX('Reguler Class Availability'!$J:$J,$Q294)&amp;""="",""," + asst "&amp;PROPER(INDEX('Reguler Class Availability'!$J:$J,$Q294)&amp;"")))</f>
        <v/>
      </c>
      <c r="I294" s="77" t="s">
        <v>470</v>
      </c>
      <c r="J294" s="77" t="s">
        <v>188</v>
      </c>
      <c r="K294" s="78"/>
      <c r="L294" s="78"/>
      <c r="M294" s="78"/>
      <c r="N294" s="79"/>
      <c r="O294" s="78"/>
      <c r="Q294" s="30" t="n">
        <f aca="false">IFERROR(MATCH($B$4&amp;"|- Lane "&amp;D294&amp;" - "&amp;B294&amp;"|"&amp;C294,'Reguler Class Availability'!$L:$L,0),"")</f>
        <v>2110</v>
      </c>
      <c r="BD294" s="30" t="s">
        <v>164</v>
      </c>
      <c r="BE294" s="30" t="n">
        <f aca="false">IF(COUNTIFS('Reguler Class Availability'!$L:$L,$B$4&amp;"|- Lane 5 - *|"&amp;BD294)&gt;0,1,0)</f>
        <v>0</v>
      </c>
      <c r="BF294" s="30" t="n">
        <f aca="false">BE294+BF293</f>
        <v>12</v>
      </c>
    </row>
    <row r="295" customFormat="false" ht="27.75" hidden="false" customHeight="true" outlineLevel="0" collapsed="false">
      <c r="A295" s="76" t="n">
        <v>169</v>
      </c>
      <c r="B295" s="77" t="s">
        <v>117</v>
      </c>
      <c r="C295" s="76" t="s">
        <v>110</v>
      </c>
      <c r="D295" s="76" t="n">
        <v>4</v>
      </c>
      <c r="E295" s="77" t="str">
        <f aca="false">IF($Q295="","Tidak ada di data",IF(AND(IFERROR(--(INDEX('Reguler Class Availability'!$F:$F,$Q295)&amp;""),0)=0,IFERROR(--(INDEX('Reguler Class Availability'!$G:$G,$Q295)&amp;""),0)=0),"Tutup",IF(IFERROR(--(INDEX('Reguler Class Availability'!$G:$G,$Q295)&amp;""),0)&gt;IFERROR(--(INDEX('Reguler Class Availability'!$F:$F,$Q295)&amp;""),0),"Lebih",IF(IFERROR(--(INDEX('Reguler Class Availability'!$G:$G,$Q295)&amp;""),0)=IFERROR(--(INDEX('Reguler Class Availability'!$F:$F,$Q295)&amp;""),0),"Penuh",IF(IFERROR(--(INDEX('Reguler Class Availability'!$G:$G,$Q295)&amp;""),0)=0,IF(INDEX('Reguler Class Availability'!$B:$B,$Q295)&amp;""="","Kosong","Belum terisi"),IF(IFERROR(--(INDEX('Reguler Class Availability'!$G:$G,$Q295)&amp;""),0)/IFERROR(--(INDEX('Reguler Class Availability'!$F:$F,$Q295)&amp;""),0)&gt;=0.6,"Tinggi","Sebagian"))))))</f>
        <v>Belum terisi</v>
      </c>
      <c r="F295" s="77" t="str">
        <f aca="false">IF($Q295="","",PROPER(INDEX('Reguler Class Availability'!$B:$B,$Q295)&amp;""))</f>
        <v>Kids</v>
      </c>
      <c r="G295" s="76" t="n">
        <f aca="false">IF($Q295="","",IFERROR(--(INDEX('Reguler Class Availability'!$F:$F,$Q295)&amp;""),0))</f>
        <v>4</v>
      </c>
      <c r="H295" s="77" t="str">
        <f aca="false">IF($Q295="","",PROPER(INDEX('Reguler Class Availability'!$I:$I,$Q295)&amp;"")&amp;IF(INDEX('Reguler Class Availability'!$J:$J,$Q295)&amp;""="",""," + asst "&amp;PROPER(INDEX('Reguler Class Availability'!$J:$J,$Q295)&amp;"")))</f>
        <v/>
      </c>
      <c r="I295" s="77" t="s">
        <v>470</v>
      </c>
      <c r="J295" s="77" t="s">
        <v>188</v>
      </c>
      <c r="K295" s="78"/>
      <c r="L295" s="78"/>
      <c r="M295" s="78"/>
      <c r="N295" s="79"/>
      <c r="O295" s="78"/>
      <c r="Q295" s="30" t="n">
        <f aca="false">IFERROR(MATCH($B$4&amp;"|- Lane "&amp;D295&amp;" - "&amp;B295&amp;"|"&amp;C295,'Reguler Class Availability'!$L:$L,0),"")</f>
        <v>2194</v>
      </c>
      <c r="BD295" s="30" t="s">
        <v>165</v>
      </c>
      <c r="BE295" s="30" t="n">
        <f aca="false">IF(COUNTIFS('Reguler Class Availability'!$L:$L,$B$4&amp;"|- Lane 5 - *|"&amp;BD295)&gt;0,1,0)</f>
        <v>0</v>
      </c>
      <c r="BF295" s="30" t="n">
        <f aca="false">BE295+BF294</f>
        <v>12</v>
      </c>
    </row>
    <row r="296" customFormat="false" ht="27.75" hidden="false" customHeight="true" outlineLevel="0" collapsed="false">
      <c r="A296" s="76" t="n">
        <v>170</v>
      </c>
      <c r="B296" s="77" t="s">
        <v>117</v>
      </c>
      <c r="C296" s="76" t="s">
        <v>120</v>
      </c>
      <c r="D296" s="76" t="n">
        <v>1</v>
      </c>
      <c r="E296" s="77" t="str">
        <f aca="false">IF($Q296="","Tidak ada di data",IF(AND(IFERROR(--(INDEX('Reguler Class Availability'!$F:$F,$Q296)&amp;""),0)=0,IFERROR(--(INDEX('Reguler Class Availability'!$G:$G,$Q296)&amp;""),0)=0),"Tutup",IF(IFERROR(--(INDEX('Reguler Class Availability'!$G:$G,$Q296)&amp;""),0)&gt;IFERROR(--(INDEX('Reguler Class Availability'!$F:$F,$Q296)&amp;""),0),"Lebih",IF(IFERROR(--(INDEX('Reguler Class Availability'!$G:$G,$Q296)&amp;""),0)=IFERROR(--(INDEX('Reguler Class Availability'!$F:$F,$Q296)&amp;""),0),"Penuh",IF(IFERROR(--(INDEX('Reguler Class Availability'!$G:$G,$Q296)&amp;""),0)=0,IF(INDEX('Reguler Class Availability'!$B:$B,$Q296)&amp;""="","Kosong","Belum terisi"),IF(IFERROR(--(INDEX('Reguler Class Availability'!$G:$G,$Q296)&amp;""),0)/IFERROR(--(INDEX('Reguler Class Availability'!$F:$F,$Q296)&amp;""),0)&gt;=0.6,"Tinggi","Sebagian"))))))</f>
        <v>Belum terisi</v>
      </c>
      <c r="F296" s="77" t="str">
        <f aca="false">IF($Q296="","",PROPER(INDEX('Reguler Class Availability'!$B:$B,$Q296)&amp;""))</f>
        <v>Baby</v>
      </c>
      <c r="G296" s="76" t="n">
        <f aca="false">IF($Q296="","",IFERROR(--(INDEX('Reguler Class Availability'!$F:$F,$Q296)&amp;""),0))</f>
        <v>5</v>
      </c>
      <c r="H296" s="77" t="str">
        <f aca="false">IF($Q296="","",PROPER(INDEX('Reguler Class Availability'!$I:$I,$Q296)&amp;"")&amp;IF(INDEX('Reguler Class Availability'!$J:$J,$Q296)&amp;""="",""," + asst "&amp;PROPER(INDEX('Reguler Class Availability'!$J:$J,$Q296)&amp;"")))</f>
        <v/>
      </c>
      <c r="I296" s="77" t="s">
        <v>470</v>
      </c>
      <c r="J296" s="77" t="s">
        <v>188</v>
      </c>
      <c r="K296" s="78"/>
      <c r="L296" s="78"/>
      <c r="M296" s="78"/>
      <c r="N296" s="79"/>
      <c r="O296" s="78"/>
      <c r="Q296" s="30" t="n">
        <f aca="false">IFERROR(MATCH($B$4&amp;"|- Lane "&amp;D296&amp;" - "&amp;B296&amp;"|"&amp;C296,'Reguler Class Availability'!$L:$L,0),"")</f>
        <v>1929</v>
      </c>
      <c r="BD296" s="30" t="s">
        <v>166</v>
      </c>
      <c r="BE296" s="30" t="n">
        <f aca="false">IF(COUNTIFS('Reguler Class Availability'!$L:$L,$B$4&amp;"|- Lane 5 - *|"&amp;BD296)&gt;0,1,0)</f>
        <v>0</v>
      </c>
      <c r="BF296" s="30" t="n">
        <f aca="false">BE296+BF295</f>
        <v>12</v>
      </c>
    </row>
    <row r="297" customFormat="false" ht="27.75" hidden="false" customHeight="true" outlineLevel="0" collapsed="false">
      <c r="A297" s="76" t="n">
        <v>171</v>
      </c>
      <c r="B297" s="77" t="s">
        <v>117</v>
      </c>
      <c r="C297" s="76" t="s">
        <v>120</v>
      </c>
      <c r="D297" s="76" t="n">
        <v>5</v>
      </c>
      <c r="E297" s="77" t="str">
        <f aca="false">IF($Q297="","Tidak ada di data",IF(AND(IFERROR(--(INDEX('Reguler Class Availability'!$F:$F,$Q297)&amp;""),0)=0,IFERROR(--(INDEX('Reguler Class Availability'!$G:$G,$Q297)&amp;""),0)=0),"Tutup",IF(IFERROR(--(INDEX('Reguler Class Availability'!$G:$G,$Q297)&amp;""),0)&gt;IFERROR(--(INDEX('Reguler Class Availability'!$F:$F,$Q297)&amp;""),0),"Lebih",IF(IFERROR(--(INDEX('Reguler Class Availability'!$G:$G,$Q297)&amp;""),0)=IFERROR(--(INDEX('Reguler Class Availability'!$F:$F,$Q297)&amp;""),0),"Penuh",IF(IFERROR(--(INDEX('Reguler Class Availability'!$G:$G,$Q297)&amp;""),0)=0,IF(INDEX('Reguler Class Availability'!$B:$B,$Q297)&amp;""="","Kosong","Belum terisi"),IF(IFERROR(--(INDEX('Reguler Class Availability'!$G:$G,$Q297)&amp;""),0)/IFERROR(--(INDEX('Reguler Class Availability'!$F:$F,$Q297)&amp;""),0)&gt;=0.6,"Tinggi","Sebagian"))))))</f>
        <v>Kosong</v>
      </c>
      <c r="F297" s="77" t="str">
        <f aca="false">IF($Q297="","",PROPER(INDEX('Reguler Class Availability'!$B:$B,$Q297)&amp;""))</f>
        <v/>
      </c>
      <c r="G297" s="76" t="n">
        <f aca="false">IF($Q297="","",IFERROR(--(INDEX('Reguler Class Availability'!$F:$F,$Q297)&amp;""),0))</f>
        <v>4</v>
      </c>
      <c r="H297" s="77" t="str">
        <f aca="false">IF($Q297="","",PROPER(INDEX('Reguler Class Availability'!$I:$I,$Q297)&amp;"")&amp;IF(INDEX('Reguler Class Availability'!$J:$J,$Q297)&amp;""="",""," + asst "&amp;PROPER(INDEX('Reguler Class Availability'!$J:$J,$Q297)&amp;"")))</f>
        <v/>
      </c>
      <c r="I297" s="77" t="s">
        <v>470</v>
      </c>
      <c r="J297" s="77" t="s">
        <v>188</v>
      </c>
      <c r="K297" s="78"/>
      <c r="L297" s="78"/>
      <c r="M297" s="78"/>
      <c r="N297" s="79"/>
      <c r="O297" s="78"/>
      <c r="Q297" s="30" t="n">
        <f aca="false">IFERROR(MATCH($B$4&amp;"|- Lane "&amp;D297&amp;" - "&amp;B297&amp;"|"&amp;C297,'Reguler Class Availability'!$L:$L,0),"")</f>
        <v>2279</v>
      </c>
      <c r="BD297" s="30" t="s">
        <v>167</v>
      </c>
      <c r="BE297" s="30" t="n">
        <f aca="false">IF(COUNTIFS('Reguler Class Availability'!$L:$L,$B$4&amp;"|- Lane 5 - *|"&amp;BD297)&gt;0,1,0)</f>
        <v>0</v>
      </c>
      <c r="BF297" s="30" t="n">
        <f aca="false">BE297+BF296</f>
        <v>12</v>
      </c>
    </row>
    <row r="298" customFormat="false" ht="27.75" hidden="false" customHeight="true" outlineLevel="0" collapsed="false">
      <c r="A298" s="76" t="n">
        <v>172</v>
      </c>
      <c r="B298" s="77" t="s">
        <v>117</v>
      </c>
      <c r="C298" s="76" t="s">
        <v>121</v>
      </c>
      <c r="D298" s="76" t="n">
        <v>3</v>
      </c>
      <c r="E298" s="77" t="str">
        <f aca="false">IF($Q298="","Tidak ada di data",IF(AND(IFERROR(--(INDEX('Reguler Class Availability'!$F:$F,$Q298)&amp;""),0)=0,IFERROR(--(INDEX('Reguler Class Availability'!$G:$G,$Q298)&amp;""),0)=0),"Tutup",IF(IFERROR(--(INDEX('Reguler Class Availability'!$G:$G,$Q298)&amp;""),0)&gt;IFERROR(--(INDEX('Reguler Class Availability'!$F:$F,$Q298)&amp;""),0),"Lebih",IF(IFERROR(--(INDEX('Reguler Class Availability'!$G:$G,$Q298)&amp;""),0)=IFERROR(--(INDEX('Reguler Class Availability'!$F:$F,$Q298)&amp;""),0),"Penuh",IF(IFERROR(--(INDEX('Reguler Class Availability'!$G:$G,$Q298)&amp;""),0)=0,IF(INDEX('Reguler Class Availability'!$B:$B,$Q298)&amp;""="","Kosong","Belum terisi"),IF(IFERROR(--(INDEX('Reguler Class Availability'!$G:$G,$Q298)&amp;""),0)/IFERROR(--(INDEX('Reguler Class Availability'!$F:$F,$Q298)&amp;""),0)&gt;=0.6,"Tinggi","Sebagian"))))))</f>
        <v>Belum terisi</v>
      </c>
      <c r="F298" s="77" t="str">
        <f aca="false">IF($Q298="","",PROPER(INDEX('Reguler Class Availability'!$B:$B,$Q298)&amp;""))</f>
        <v>Little</v>
      </c>
      <c r="G298" s="76" t="n">
        <f aca="false">IF($Q298="","",IFERROR(--(INDEX('Reguler Class Availability'!$F:$F,$Q298)&amp;""),0))</f>
        <v>4</v>
      </c>
      <c r="H298" s="77" t="str">
        <f aca="false">IF($Q298="","",PROPER(INDEX('Reguler Class Availability'!$I:$I,$Q298)&amp;"")&amp;IF(INDEX('Reguler Class Availability'!$J:$J,$Q298)&amp;""="",""," + asst "&amp;PROPER(INDEX('Reguler Class Availability'!$J:$J,$Q298)&amp;"")))</f>
        <v/>
      </c>
      <c r="I298" s="77" t="s">
        <v>470</v>
      </c>
      <c r="J298" s="77" t="s">
        <v>188</v>
      </c>
      <c r="K298" s="78"/>
      <c r="L298" s="78"/>
      <c r="M298" s="78"/>
      <c r="N298" s="79"/>
      <c r="O298" s="78"/>
      <c r="Q298" s="30" t="n">
        <f aca="false">IFERROR(MATCH($B$4&amp;"|- Lane "&amp;D298&amp;" - "&amp;B298&amp;"|"&amp;C298,'Reguler Class Availability'!$L:$L,0),"")</f>
        <v>2111</v>
      </c>
      <c r="BD298" s="30" t="s">
        <v>168</v>
      </c>
      <c r="BE298" s="30" t="n">
        <f aca="false">IF(COUNTIFS('Reguler Class Availability'!$L:$L,$B$4&amp;"|- Lane 5 - *|"&amp;BD298)&gt;0,1,0)</f>
        <v>0</v>
      </c>
      <c r="BF298" s="30" t="n">
        <f aca="false">BE298+BF297</f>
        <v>12</v>
      </c>
    </row>
    <row r="299" customFormat="false" ht="27.75" hidden="false" customHeight="true" outlineLevel="0" collapsed="false">
      <c r="A299" s="76" t="n">
        <v>173</v>
      </c>
      <c r="B299" s="77" t="s">
        <v>117</v>
      </c>
      <c r="C299" s="76" t="s">
        <v>121</v>
      </c>
      <c r="D299" s="76" t="n">
        <v>4</v>
      </c>
      <c r="E299" s="77" t="str">
        <f aca="false">IF($Q299="","Tidak ada di data",IF(AND(IFERROR(--(INDEX('Reguler Class Availability'!$F:$F,$Q299)&amp;""),0)=0,IFERROR(--(INDEX('Reguler Class Availability'!$G:$G,$Q299)&amp;""),0)=0),"Tutup",IF(IFERROR(--(INDEX('Reguler Class Availability'!$G:$G,$Q299)&amp;""),0)&gt;IFERROR(--(INDEX('Reguler Class Availability'!$F:$F,$Q299)&amp;""),0),"Lebih",IF(IFERROR(--(INDEX('Reguler Class Availability'!$G:$G,$Q299)&amp;""),0)=IFERROR(--(INDEX('Reguler Class Availability'!$F:$F,$Q299)&amp;""),0),"Penuh",IF(IFERROR(--(INDEX('Reguler Class Availability'!$G:$G,$Q299)&amp;""),0)=0,IF(INDEX('Reguler Class Availability'!$B:$B,$Q299)&amp;""="","Kosong","Belum terisi"),IF(IFERROR(--(INDEX('Reguler Class Availability'!$G:$G,$Q299)&amp;""),0)/IFERROR(--(INDEX('Reguler Class Availability'!$F:$F,$Q299)&amp;""),0)&gt;=0.6,"Tinggi","Sebagian"))))))</f>
        <v>Belum terisi</v>
      </c>
      <c r="F299" s="77" t="str">
        <f aca="false">IF($Q299="","",PROPER(INDEX('Reguler Class Availability'!$B:$B,$Q299)&amp;""))</f>
        <v>Kids</v>
      </c>
      <c r="G299" s="76" t="n">
        <f aca="false">IF($Q299="","",IFERROR(--(INDEX('Reguler Class Availability'!$F:$F,$Q299)&amp;""),0))</f>
        <v>4</v>
      </c>
      <c r="H299" s="77" t="str">
        <f aca="false">IF($Q299="","",PROPER(INDEX('Reguler Class Availability'!$I:$I,$Q299)&amp;"")&amp;IF(INDEX('Reguler Class Availability'!$J:$J,$Q299)&amp;""="",""," + asst "&amp;PROPER(INDEX('Reguler Class Availability'!$J:$J,$Q299)&amp;"")))</f>
        <v/>
      </c>
      <c r="I299" s="77" t="s">
        <v>470</v>
      </c>
      <c r="J299" s="77" t="s">
        <v>188</v>
      </c>
      <c r="K299" s="78"/>
      <c r="L299" s="78"/>
      <c r="M299" s="78"/>
      <c r="N299" s="79"/>
      <c r="O299" s="78"/>
      <c r="Q299" s="30" t="n">
        <f aca="false">IFERROR(MATCH($B$4&amp;"|- Lane "&amp;D299&amp;" - "&amp;B299&amp;"|"&amp;C299,'Reguler Class Availability'!$L:$L,0),"")</f>
        <v>2195</v>
      </c>
      <c r="BD299" s="30" t="s">
        <v>169</v>
      </c>
      <c r="BE299" s="30" t="n">
        <f aca="false">IF(COUNTIFS('Reguler Class Availability'!$L:$L,$B$4&amp;"|- Lane 5 - *|"&amp;BD299)&gt;0,1,0)</f>
        <v>0</v>
      </c>
      <c r="BF299" s="30" t="n">
        <f aca="false">BE299+BF298</f>
        <v>12</v>
      </c>
    </row>
    <row r="300" customFormat="false" ht="27.75" hidden="false" customHeight="true" outlineLevel="0" collapsed="false">
      <c r="A300" s="76" t="n">
        <v>174</v>
      </c>
      <c r="B300" s="77" t="s">
        <v>117</v>
      </c>
      <c r="C300" s="76" t="s">
        <v>123</v>
      </c>
      <c r="D300" s="76" t="n">
        <v>1</v>
      </c>
      <c r="E300" s="77" t="str">
        <f aca="false">IF($Q300="","Tidak ada di data",IF(AND(IFERROR(--(INDEX('Reguler Class Availability'!$F:$F,$Q300)&amp;""),0)=0,IFERROR(--(INDEX('Reguler Class Availability'!$G:$G,$Q300)&amp;""),0)=0),"Tutup",IF(IFERROR(--(INDEX('Reguler Class Availability'!$G:$G,$Q300)&amp;""),0)&gt;IFERROR(--(INDEX('Reguler Class Availability'!$F:$F,$Q300)&amp;""),0),"Lebih",IF(IFERROR(--(INDEX('Reguler Class Availability'!$G:$G,$Q300)&amp;""),0)=IFERROR(--(INDEX('Reguler Class Availability'!$F:$F,$Q300)&amp;""),0),"Penuh",IF(IFERROR(--(INDEX('Reguler Class Availability'!$G:$G,$Q300)&amp;""),0)=0,IF(INDEX('Reguler Class Availability'!$B:$B,$Q300)&amp;""="","Kosong","Belum terisi"),IF(IFERROR(--(INDEX('Reguler Class Availability'!$G:$G,$Q300)&amp;""),0)/IFERROR(--(INDEX('Reguler Class Availability'!$F:$F,$Q300)&amp;""),0)&gt;=0.6,"Tinggi","Sebagian"))))))</f>
        <v>Belum terisi</v>
      </c>
      <c r="F300" s="77" t="str">
        <f aca="false">IF($Q300="","",PROPER(INDEX('Reguler Class Availability'!$B:$B,$Q300)&amp;""))</f>
        <v>Baby</v>
      </c>
      <c r="G300" s="76" t="n">
        <f aca="false">IF($Q300="","",IFERROR(--(INDEX('Reguler Class Availability'!$F:$F,$Q300)&amp;""),0))</f>
        <v>5</v>
      </c>
      <c r="H300" s="77" t="str">
        <f aca="false">IF($Q300="","",PROPER(INDEX('Reguler Class Availability'!$I:$I,$Q300)&amp;"")&amp;IF(INDEX('Reguler Class Availability'!$J:$J,$Q300)&amp;""="",""," + asst "&amp;PROPER(INDEX('Reguler Class Availability'!$J:$J,$Q300)&amp;"")))</f>
        <v/>
      </c>
      <c r="I300" s="77" t="s">
        <v>471</v>
      </c>
      <c r="J300" s="77" t="s">
        <v>188</v>
      </c>
      <c r="K300" s="78"/>
      <c r="L300" s="78"/>
      <c r="M300" s="78"/>
      <c r="N300" s="79"/>
      <c r="O300" s="78"/>
      <c r="Q300" s="30" t="n">
        <f aca="false">IFERROR(MATCH($B$4&amp;"|- Lane "&amp;D300&amp;" - "&amp;B300&amp;"|"&amp;C300,'Reguler Class Availability'!$L:$L,0),"")</f>
        <v>1930</v>
      </c>
      <c r="BD300" s="30" t="s">
        <v>170</v>
      </c>
      <c r="BE300" s="30" t="n">
        <f aca="false">IF(COUNTIFS('Reguler Class Availability'!$L:$L,$B$4&amp;"|- Lane 5 - *|"&amp;BD300)&gt;0,1,0)</f>
        <v>0</v>
      </c>
      <c r="BF300" s="30" t="n">
        <f aca="false">BE300+BF299</f>
        <v>12</v>
      </c>
    </row>
    <row r="301" customFormat="false" ht="27.75" hidden="false" customHeight="true" outlineLevel="0" collapsed="false">
      <c r="A301" s="76" t="n">
        <v>175</v>
      </c>
      <c r="B301" s="77" t="s">
        <v>117</v>
      </c>
      <c r="C301" s="76" t="s">
        <v>123</v>
      </c>
      <c r="D301" s="76" t="n">
        <v>2</v>
      </c>
      <c r="E301" s="77" t="str">
        <f aca="false">IF($Q301="","Tidak ada di data",IF(AND(IFERROR(--(INDEX('Reguler Class Availability'!$F:$F,$Q301)&amp;""),0)=0,IFERROR(--(INDEX('Reguler Class Availability'!$G:$G,$Q301)&amp;""),0)=0),"Tutup",IF(IFERROR(--(INDEX('Reguler Class Availability'!$G:$G,$Q301)&amp;""),0)&gt;IFERROR(--(INDEX('Reguler Class Availability'!$F:$F,$Q301)&amp;""),0),"Lebih",IF(IFERROR(--(INDEX('Reguler Class Availability'!$G:$G,$Q301)&amp;""),0)=IFERROR(--(INDEX('Reguler Class Availability'!$F:$F,$Q301)&amp;""),0),"Penuh",IF(IFERROR(--(INDEX('Reguler Class Availability'!$G:$G,$Q301)&amp;""),0)=0,IF(INDEX('Reguler Class Availability'!$B:$B,$Q301)&amp;""="","Kosong","Belum terisi"),IF(IFERROR(--(INDEX('Reguler Class Availability'!$G:$G,$Q301)&amp;""),0)/IFERROR(--(INDEX('Reguler Class Availability'!$F:$F,$Q301)&amp;""),0)&gt;=0.6,"Tinggi","Sebagian"))))))</f>
        <v>Belum terisi</v>
      </c>
      <c r="F301" s="77" t="str">
        <f aca="false">IF($Q301="","",PROPER(INDEX('Reguler Class Availability'!$B:$B,$Q301)&amp;""))</f>
        <v>Tiny</v>
      </c>
      <c r="G301" s="76" t="n">
        <f aca="false">IF($Q301="","",IFERROR(--(INDEX('Reguler Class Availability'!$F:$F,$Q301)&amp;""),0))</f>
        <v>5</v>
      </c>
      <c r="H301" s="77" t="str">
        <f aca="false">IF($Q301="","",PROPER(INDEX('Reguler Class Availability'!$I:$I,$Q301)&amp;"")&amp;IF(INDEX('Reguler Class Availability'!$J:$J,$Q301)&amp;""="",""," + asst "&amp;PROPER(INDEX('Reguler Class Availability'!$J:$J,$Q301)&amp;"")))</f>
        <v/>
      </c>
      <c r="I301" s="77" t="s">
        <v>471</v>
      </c>
      <c r="J301" s="77" t="s">
        <v>188</v>
      </c>
      <c r="K301" s="78"/>
      <c r="L301" s="78"/>
      <c r="M301" s="78"/>
      <c r="N301" s="79"/>
      <c r="O301" s="78"/>
      <c r="Q301" s="30" t="n">
        <f aca="false">IFERROR(MATCH($B$4&amp;"|- Lane "&amp;D301&amp;" - "&amp;B301&amp;"|"&amp;C301,'Reguler Class Availability'!$L:$L,0),"")</f>
        <v>2028</v>
      </c>
      <c r="BD301" s="30" t="s">
        <v>171</v>
      </c>
      <c r="BE301" s="30" t="n">
        <f aca="false">IF(COUNTIFS('Reguler Class Availability'!$L:$L,$B$4&amp;"|- Lane 5 - *|"&amp;BD301)&gt;0,1,0)</f>
        <v>0</v>
      </c>
      <c r="BF301" s="30" t="n">
        <f aca="false">BE301+BF300</f>
        <v>12</v>
      </c>
    </row>
    <row r="302" customFormat="false" ht="27.75" hidden="false" customHeight="true" outlineLevel="0" collapsed="false">
      <c r="A302" s="76" t="n">
        <v>176</v>
      </c>
      <c r="B302" s="77" t="s">
        <v>117</v>
      </c>
      <c r="C302" s="76" t="s">
        <v>123</v>
      </c>
      <c r="D302" s="76" t="n">
        <v>5</v>
      </c>
      <c r="E302" s="77" t="str">
        <f aca="false">IF($Q302="","Tidak ada di data",IF(AND(IFERROR(--(INDEX('Reguler Class Availability'!$F:$F,$Q302)&amp;""),0)=0,IFERROR(--(INDEX('Reguler Class Availability'!$G:$G,$Q302)&amp;""),0)=0),"Tutup",IF(IFERROR(--(INDEX('Reguler Class Availability'!$G:$G,$Q302)&amp;""),0)&gt;IFERROR(--(INDEX('Reguler Class Availability'!$F:$F,$Q302)&amp;""),0),"Lebih",IF(IFERROR(--(INDEX('Reguler Class Availability'!$G:$G,$Q302)&amp;""),0)=IFERROR(--(INDEX('Reguler Class Availability'!$F:$F,$Q302)&amp;""),0),"Penuh",IF(IFERROR(--(INDEX('Reguler Class Availability'!$G:$G,$Q302)&amp;""),0)=0,IF(INDEX('Reguler Class Availability'!$B:$B,$Q302)&amp;""="","Kosong","Belum terisi"),IF(IFERROR(--(INDEX('Reguler Class Availability'!$G:$G,$Q302)&amp;""),0)/IFERROR(--(INDEX('Reguler Class Availability'!$F:$F,$Q302)&amp;""),0)&gt;=0.6,"Tinggi","Sebagian"))))))</f>
        <v>Kosong</v>
      </c>
      <c r="F302" s="77" t="str">
        <f aca="false">IF($Q302="","",PROPER(INDEX('Reguler Class Availability'!$B:$B,$Q302)&amp;""))</f>
        <v/>
      </c>
      <c r="G302" s="76" t="n">
        <f aca="false">IF($Q302="","",IFERROR(--(INDEX('Reguler Class Availability'!$F:$F,$Q302)&amp;""),0))</f>
        <v>4</v>
      </c>
      <c r="H302" s="77" t="str">
        <f aca="false">IF($Q302="","",PROPER(INDEX('Reguler Class Availability'!$I:$I,$Q302)&amp;"")&amp;IF(INDEX('Reguler Class Availability'!$J:$J,$Q302)&amp;""="",""," + asst "&amp;PROPER(INDEX('Reguler Class Availability'!$J:$J,$Q302)&amp;"")))</f>
        <v/>
      </c>
      <c r="I302" s="77" t="s">
        <v>471</v>
      </c>
      <c r="J302" s="77" t="s">
        <v>188</v>
      </c>
      <c r="K302" s="78"/>
      <c r="L302" s="78"/>
      <c r="M302" s="78"/>
      <c r="N302" s="79"/>
      <c r="O302" s="78"/>
      <c r="Q302" s="30" t="n">
        <f aca="false">IFERROR(MATCH($B$4&amp;"|- Lane "&amp;D302&amp;" - "&amp;B302&amp;"|"&amp;C302,'Reguler Class Availability'!$L:$L,0),"")</f>
        <v>2280</v>
      </c>
      <c r="BD302" s="30" t="s">
        <v>78</v>
      </c>
      <c r="BE302" s="30" t="n">
        <f aca="false">IF(COUNTIFS('Reguler Class Availability'!$L:$L,$B$4&amp;"|- Lane 6 - *|"&amp;BD302)&gt;0,1,0)</f>
        <v>0</v>
      </c>
      <c r="BF302" s="30" t="n">
        <f aca="false">BE302</f>
        <v>0</v>
      </c>
    </row>
    <row r="303" customFormat="false" ht="15.75" hidden="false" customHeight="true" outlineLevel="0" collapsed="false">
      <c r="A303" s="76" t="n">
        <v>177</v>
      </c>
      <c r="B303" s="77" t="s">
        <v>117</v>
      </c>
      <c r="C303" s="76" t="s">
        <v>124</v>
      </c>
      <c r="D303" s="76" t="n">
        <v>4</v>
      </c>
      <c r="E303" s="77" t="str">
        <f aca="false">IF($Q303="","Tidak ada di data",IF(AND(IFERROR(--(INDEX('Reguler Class Availability'!$F:$F,$Q303)&amp;""),0)=0,IFERROR(--(INDEX('Reguler Class Availability'!$G:$G,$Q303)&amp;""),0)=0),"Tutup",IF(IFERROR(--(INDEX('Reguler Class Availability'!$G:$G,$Q303)&amp;""),0)&gt;IFERROR(--(INDEX('Reguler Class Availability'!$F:$F,$Q303)&amp;""),0),"Lebih",IF(IFERROR(--(INDEX('Reguler Class Availability'!$G:$G,$Q303)&amp;""),0)=IFERROR(--(INDEX('Reguler Class Availability'!$F:$F,$Q303)&amp;""),0),"Penuh",IF(IFERROR(--(INDEX('Reguler Class Availability'!$G:$G,$Q303)&amp;""),0)=0,IF(INDEX('Reguler Class Availability'!$B:$B,$Q303)&amp;""="","Kosong","Belum terisi"),IF(IFERROR(--(INDEX('Reguler Class Availability'!$G:$G,$Q303)&amp;""),0)/IFERROR(--(INDEX('Reguler Class Availability'!$F:$F,$Q303)&amp;""),0)&gt;=0.6,"Tinggi","Sebagian"))))))</f>
        <v>Belum terisi</v>
      </c>
      <c r="F303" s="77" t="str">
        <f aca="false">IF($Q303="","",PROPER(INDEX('Reguler Class Availability'!$B:$B,$Q303)&amp;""))</f>
        <v>Kids</v>
      </c>
      <c r="G303" s="76" t="n">
        <f aca="false">IF($Q303="","",IFERROR(--(INDEX('Reguler Class Availability'!$F:$F,$Q303)&amp;""),0))</f>
        <v>4</v>
      </c>
      <c r="H303" s="77" t="str">
        <f aca="false">IF($Q303="","",PROPER(INDEX('Reguler Class Availability'!$I:$I,$Q303)&amp;"")&amp;IF(INDEX('Reguler Class Availability'!$J:$J,$Q303)&amp;""="",""," + asst "&amp;PROPER(INDEX('Reguler Class Availability'!$J:$J,$Q303)&amp;"")))</f>
        <v/>
      </c>
      <c r="I303" s="77" t="s">
        <v>472</v>
      </c>
      <c r="J303" s="77" t="s">
        <v>260</v>
      </c>
      <c r="K303" s="78"/>
      <c r="L303" s="78"/>
      <c r="M303" s="78"/>
      <c r="N303" s="79"/>
      <c r="O303" s="78"/>
      <c r="Q303" s="30" t="n">
        <f aca="false">IFERROR(MATCH($B$4&amp;"|- Lane "&amp;D303&amp;" - "&amp;B303&amp;"|"&amp;C303,'Reguler Class Availability'!$L:$L,0),"")</f>
        <v>2196</v>
      </c>
      <c r="BD303" s="30" t="s">
        <v>79</v>
      </c>
      <c r="BE303" s="30" t="n">
        <f aca="false">IF(COUNTIFS('Reguler Class Availability'!$L:$L,$B$4&amp;"|- Lane 6 - *|"&amp;BD303)&gt;0,1,0)</f>
        <v>0</v>
      </c>
      <c r="BF303" s="30" t="n">
        <f aca="false">BE303+BF302</f>
        <v>0</v>
      </c>
    </row>
    <row r="304" customFormat="false" ht="15.75" hidden="false" customHeight="true" outlineLevel="0" collapsed="false">
      <c r="A304" s="76" t="n">
        <v>178</v>
      </c>
      <c r="B304" s="77" t="s">
        <v>117</v>
      </c>
      <c r="C304" s="76" t="s">
        <v>126</v>
      </c>
      <c r="D304" s="76" t="n">
        <v>2</v>
      </c>
      <c r="E304" s="77" t="str">
        <f aca="false">IF($Q304="","Tidak ada di data",IF(AND(IFERROR(--(INDEX('Reguler Class Availability'!$F:$F,$Q304)&amp;""),0)=0,IFERROR(--(INDEX('Reguler Class Availability'!$G:$G,$Q304)&amp;""),0)=0),"Tutup",IF(IFERROR(--(INDEX('Reguler Class Availability'!$G:$G,$Q304)&amp;""),0)&gt;IFERROR(--(INDEX('Reguler Class Availability'!$F:$F,$Q304)&amp;""),0),"Lebih",IF(IFERROR(--(INDEX('Reguler Class Availability'!$G:$G,$Q304)&amp;""),0)=IFERROR(--(INDEX('Reguler Class Availability'!$F:$F,$Q304)&amp;""),0),"Penuh",IF(IFERROR(--(INDEX('Reguler Class Availability'!$G:$G,$Q304)&amp;""),0)=0,IF(INDEX('Reguler Class Availability'!$B:$B,$Q304)&amp;""="","Kosong","Belum terisi"),IF(IFERROR(--(INDEX('Reguler Class Availability'!$G:$G,$Q304)&amp;""),0)/IFERROR(--(INDEX('Reguler Class Availability'!$F:$F,$Q304)&amp;""),0)&gt;=0.6,"Tinggi","Sebagian"))))))</f>
        <v>Belum terisi</v>
      </c>
      <c r="F304" s="77" t="str">
        <f aca="false">IF($Q304="","",PROPER(INDEX('Reguler Class Availability'!$B:$B,$Q304)&amp;""))</f>
        <v>Tiny</v>
      </c>
      <c r="G304" s="76" t="n">
        <f aca="false">IF($Q304="","",IFERROR(--(INDEX('Reguler Class Availability'!$F:$F,$Q304)&amp;""),0))</f>
        <v>5</v>
      </c>
      <c r="H304" s="77" t="str">
        <f aca="false">IF($Q304="","",PROPER(INDEX('Reguler Class Availability'!$I:$I,$Q304)&amp;"")&amp;IF(INDEX('Reguler Class Availability'!$J:$J,$Q304)&amp;""="",""," + asst "&amp;PROPER(INDEX('Reguler Class Availability'!$J:$J,$Q304)&amp;"")))</f>
        <v/>
      </c>
      <c r="I304" s="77" t="s">
        <v>472</v>
      </c>
      <c r="J304" s="77" t="s">
        <v>198</v>
      </c>
      <c r="K304" s="78"/>
      <c r="L304" s="78"/>
      <c r="M304" s="78"/>
      <c r="N304" s="79"/>
      <c r="O304" s="78"/>
      <c r="Q304" s="30" t="n">
        <f aca="false">IFERROR(MATCH($B$4&amp;"|- Lane "&amp;D304&amp;" - "&amp;B304&amp;"|"&amp;C304,'Reguler Class Availability'!$L:$L,0),"")</f>
        <v>2029</v>
      </c>
      <c r="BD304" s="30" t="s">
        <v>84</v>
      </c>
      <c r="BE304" s="30" t="n">
        <f aca="false">IF(COUNTIFS('Reguler Class Availability'!$L:$L,$B$4&amp;"|- Lane 6 - *|"&amp;BD304)&gt;0,1,0)</f>
        <v>0</v>
      </c>
      <c r="BF304" s="30" t="n">
        <f aca="false">BE304+BF303</f>
        <v>0</v>
      </c>
    </row>
    <row r="305" customFormat="false" ht="15.75" hidden="false" customHeight="true" outlineLevel="0" collapsed="false">
      <c r="A305" s="76" t="n">
        <v>179</v>
      </c>
      <c r="B305" s="77" t="s">
        <v>117</v>
      </c>
      <c r="C305" s="76" t="s">
        <v>126</v>
      </c>
      <c r="D305" s="76" t="n">
        <v>5</v>
      </c>
      <c r="E305" s="77" t="str">
        <f aca="false">IF($Q305="","Tidak ada di data",IF(AND(IFERROR(--(INDEX('Reguler Class Availability'!$F:$F,$Q305)&amp;""),0)=0,IFERROR(--(INDEX('Reguler Class Availability'!$G:$G,$Q305)&amp;""),0)=0),"Tutup",IF(IFERROR(--(INDEX('Reguler Class Availability'!$G:$G,$Q305)&amp;""),0)&gt;IFERROR(--(INDEX('Reguler Class Availability'!$F:$F,$Q305)&amp;""),0),"Lebih",IF(IFERROR(--(INDEX('Reguler Class Availability'!$G:$G,$Q305)&amp;""),0)=IFERROR(--(INDEX('Reguler Class Availability'!$F:$F,$Q305)&amp;""),0),"Penuh",IF(IFERROR(--(INDEX('Reguler Class Availability'!$G:$G,$Q305)&amp;""),0)=0,IF(INDEX('Reguler Class Availability'!$B:$B,$Q305)&amp;""="","Kosong","Belum terisi"),IF(IFERROR(--(INDEX('Reguler Class Availability'!$G:$G,$Q305)&amp;""),0)/IFERROR(--(INDEX('Reguler Class Availability'!$F:$F,$Q305)&amp;""),0)&gt;=0.6,"Tinggi","Sebagian"))))))</f>
        <v>Kosong</v>
      </c>
      <c r="F305" s="77" t="str">
        <f aca="false">IF($Q305="","",PROPER(INDEX('Reguler Class Availability'!$B:$B,$Q305)&amp;""))</f>
        <v/>
      </c>
      <c r="G305" s="76" t="n">
        <f aca="false">IF($Q305="","",IFERROR(--(INDEX('Reguler Class Availability'!$F:$F,$Q305)&amp;""),0))</f>
        <v>4</v>
      </c>
      <c r="H305" s="77" t="str">
        <f aca="false">IF($Q305="","",PROPER(INDEX('Reguler Class Availability'!$I:$I,$Q305)&amp;"")&amp;IF(INDEX('Reguler Class Availability'!$J:$J,$Q305)&amp;""="",""," + asst "&amp;PROPER(INDEX('Reguler Class Availability'!$J:$J,$Q305)&amp;"")))</f>
        <v/>
      </c>
      <c r="I305" s="77" t="s">
        <v>472</v>
      </c>
      <c r="J305" s="77" t="s">
        <v>260</v>
      </c>
      <c r="K305" s="78"/>
      <c r="L305" s="78"/>
      <c r="M305" s="78"/>
      <c r="N305" s="79"/>
      <c r="O305" s="78"/>
      <c r="Q305" s="30" t="n">
        <f aca="false">IFERROR(MATCH($B$4&amp;"|- Lane "&amp;D305&amp;" - "&amp;B305&amp;"|"&amp;C305,'Reguler Class Availability'!$L:$L,0),"")</f>
        <v>2281</v>
      </c>
      <c r="BD305" s="30" t="s">
        <v>85</v>
      </c>
      <c r="BE305" s="30" t="n">
        <f aca="false">IF(COUNTIFS('Reguler Class Availability'!$L:$L,$B$4&amp;"|- Lane 6 - *|"&amp;BD305)&gt;0,1,0)</f>
        <v>0</v>
      </c>
      <c r="BF305" s="30" t="n">
        <f aca="false">BE305+BF304</f>
        <v>0</v>
      </c>
    </row>
    <row r="306" customFormat="false" ht="27.75" hidden="false" customHeight="true" outlineLevel="0" collapsed="false">
      <c r="A306" s="76" t="n">
        <v>180</v>
      </c>
      <c r="B306" s="77" t="s">
        <v>117</v>
      </c>
      <c r="C306" s="76" t="s">
        <v>127</v>
      </c>
      <c r="D306" s="76" t="n">
        <v>3</v>
      </c>
      <c r="E306" s="77" t="str">
        <f aca="false">IF($Q306="","Tidak ada di data",IF(AND(IFERROR(--(INDEX('Reguler Class Availability'!$F:$F,$Q306)&amp;""),0)=0,IFERROR(--(INDEX('Reguler Class Availability'!$G:$G,$Q306)&amp;""),0)=0),"Tutup",IF(IFERROR(--(INDEX('Reguler Class Availability'!$G:$G,$Q306)&amp;""),0)&gt;IFERROR(--(INDEX('Reguler Class Availability'!$F:$F,$Q306)&amp;""),0),"Lebih",IF(IFERROR(--(INDEX('Reguler Class Availability'!$G:$G,$Q306)&amp;""),0)=IFERROR(--(INDEX('Reguler Class Availability'!$F:$F,$Q306)&amp;""),0),"Penuh",IF(IFERROR(--(INDEX('Reguler Class Availability'!$G:$G,$Q306)&amp;""),0)=0,IF(INDEX('Reguler Class Availability'!$B:$B,$Q306)&amp;""="","Kosong","Belum terisi"),IF(IFERROR(--(INDEX('Reguler Class Availability'!$G:$G,$Q306)&amp;""),0)/IFERROR(--(INDEX('Reguler Class Availability'!$F:$F,$Q306)&amp;""),0)&gt;=0.6,"Tinggi","Sebagian"))))))</f>
        <v>Belum terisi</v>
      </c>
      <c r="F306" s="77" t="str">
        <f aca="false">IF($Q306="","",PROPER(INDEX('Reguler Class Availability'!$B:$B,$Q306)&amp;""))</f>
        <v>Little</v>
      </c>
      <c r="G306" s="76" t="n">
        <f aca="false">IF($Q306="","",IFERROR(--(INDEX('Reguler Class Availability'!$F:$F,$Q306)&amp;""),0))</f>
        <v>4</v>
      </c>
      <c r="H306" s="77" t="str">
        <f aca="false">IF($Q306="","",PROPER(INDEX('Reguler Class Availability'!$I:$I,$Q306)&amp;"")&amp;IF(INDEX('Reguler Class Availability'!$J:$J,$Q306)&amp;""="",""," + asst "&amp;PROPER(INDEX('Reguler Class Availability'!$J:$J,$Q306)&amp;"")))</f>
        <v/>
      </c>
      <c r="I306" s="77" t="s">
        <v>470</v>
      </c>
      <c r="J306" s="77" t="s">
        <v>188</v>
      </c>
      <c r="K306" s="78"/>
      <c r="L306" s="78"/>
      <c r="M306" s="78"/>
      <c r="N306" s="79"/>
      <c r="O306" s="78"/>
      <c r="Q306" s="30" t="n">
        <f aca="false">IFERROR(MATCH($B$4&amp;"|- Lane "&amp;D306&amp;" - "&amp;B306&amp;"|"&amp;C306,'Reguler Class Availability'!$L:$L,0),"")</f>
        <v>2113</v>
      </c>
      <c r="BD306" s="30" t="s">
        <v>89</v>
      </c>
      <c r="BE306" s="30" t="n">
        <f aca="false">IF(COUNTIFS('Reguler Class Availability'!$L:$L,$B$4&amp;"|- Lane 6 - *|"&amp;BD306)&gt;0,1,0)</f>
        <v>0</v>
      </c>
      <c r="BF306" s="30" t="n">
        <f aca="false">BE306+BF305</f>
        <v>0</v>
      </c>
    </row>
    <row r="307" customFormat="false" ht="27.75" hidden="false" customHeight="true" outlineLevel="0" collapsed="false">
      <c r="A307" s="76" t="n">
        <v>181</v>
      </c>
      <c r="B307" s="77" t="s">
        <v>117</v>
      </c>
      <c r="C307" s="76" t="s">
        <v>127</v>
      </c>
      <c r="D307" s="76" t="n">
        <v>4</v>
      </c>
      <c r="E307" s="77" t="str">
        <f aca="false">IF($Q307="","Tidak ada di data",IF(AND(IFERROR(--(INDEX('Reguler Class Availability'!$F:$F,$Q307)&amp;""),0)=0,IFERROR(--(INDEX('Reguler Class Availability'!$G:$G,$Q307)&amp;""),0)=0),"Tutup",IF(IFERROR(--(INDEX('Reguler Class Availability'!$G:$G,$Q307)&amp;""),0)&gt;IFERROR(--(INDEX('Reguler Class Availability'!$F:$F,$Q307)&amp;""),0),"Lebih",IF(IFERROR(--(INDEX('Reguler Class Availability'!$G:$G,$Q307)&amp;""),0)=IFERROR(--(INDEX('Reguler Class Availability'!$F:$F,$Q307)&amp;""),0),"Penuh",IF(IFERROR(--(INDEX('Reguler Class Availability'!$G:$G,$Q307)&amp;""),0)=0,IF(INDEX('Reguler Class Availability'!$B:$B,$Q307)&amp;""="","Kosong","Belum terisi"),IF(IFERROR(--(INDEX('Reguler Class Availability'!$G:$G,$Q307)&amp;""),0)/IFERROR(--(INDEX('Reguler Class Availability'!$F:$F,$Q307)&amp;""),0)&gt;=0.6,"Tinggi","Sebagian"))))))</f>
        <v>Belum terisi</v>
      </c>
      <c r="F307" s="77" t="str">
        <f aca="false">IF($Q307="","",PROPER(INDEX('Reguler Class Availability'!$B:$B,$Q307)&amp;""))</f>
        <v>Kids</v>
      </c>
      <c r="G307" s="76" t="n">
        <f aca="false">IF($Q307="","",IFERROR(--(INDEX('Reguler Class Availability'!$F:$F,$Q307)&amp;""),0))</f>
        <v>4</v>
      </c>
      <c r="H307" s="77" t="str">
        <f aca="false">IF($Q307="","",PROPER(INDEX('Reguler Class Availability'!$I:$I,$Q307)&amp;"")&amp;IF(INDEX('Reguler Class Availability'!$J:$J,$Q307)&amp;""="",""," + asst "&amp;PROPER(INDEX('Reguler Class Availability'!$J:$J,$Q307)&amp;"")))</f>
        <v/>
      </c>
      <c r="I307" s="77" t="s">
        <v>470</v>
      </c>
      <c r="J307" s="77" t="s">
        <v>188</v>
      </c>
      <c r="K307" s="78"/>
      <c r="L307" s="78"/>
      <c r="M307" s="78"/>
      <c r="N307" s="79"/>
      <c r="O307" s="78"/>
      <c r="Q307" s="30" t="n">
        <f aca="false">IFERROR(MATCH($B$4&amp;"|- Lane "&amp;D307&amp;" - "&amp;B307&amp;"|"&amp;C307,'Reguler Class Availability'!$L:$L,0),"")</f>
        <v>2197</v>
      </c>
      <c r="BD307" s="30" t="s">
        <v>90</v>
      </c>
      <c r="BE307" s="30" t="n">
        <f aca="false">IF(COUNTIFS('Reguler Class Availability'!$L:$L,$B$4&amp;"|- Lane 6 - *|"&amp;BD307)&gt;0,1,0)</f>
        <v>0</v>
      </c>
      <c r="BF307" s="30" t="n">
        <f aca="false">BE307+BF306</f>
        <v>0</v>
      </c>
    </row>
    <row r="308" customFormat="false" ht="40.5" hidden="false" customHeight="true" outlineLevel="0" collapsed="false">
      <c r="A308" s="76" t="n">
        <v>182</v>
      </c>
      <c r="B308" s="77" t="s">
        <v>117</v>
      </c>
      <c r="C308" s="76" t="s">
        <v>129</v>
      </c>
      <c r="D308" s="76" t="n">
        <v>1</v>
      </c>
      <c r="E308" s="77" t="str">
        <f aca="false">IF($Q308="","Tidak ada di data",IF(AND(IFERROR(--(INDEX('Reguler Class Availability'!$F:$F,$Q308)&amp;""),0)=0,IFERROR(--(INDEX('Reguler Class Availability'!$G:$G,$Q308)&amp;""),0)=0),"Tutup",IF(IFERROR(--(INDEX('Reguler Class Availability'!$G:$G,$Q308)&amp;""),0)&gt;IFERROR(--(INDEX('Reguler Class Availability'!$F:$F,$Q308)&amp;""),0),"Lebih",IF(IFERROR(--(INDEX('Reguler Class Availability'!$G:$G,$Q308)&amp;""),0)=IFERROR(--(INDEX('Reguler Class Availability'!$F:$F,$Q308)&amp;""),0),"Penuh",IF(IFERROR(--(INDEX('Reguler Class Availability'!$G:$G,$Q308)&amp;""),0)=0,IF(INDEX('Reguler Class Availability'!$B:$B,$Q308)&amp;""="","Kosong","Belum terisi"),IF(IFERROR(--(INDEX('Reguler Class Availability'!$G:$G,$Q308)&amp;""),0)/IFERROR(--(INDEX('Reguler Class Availability'!$F:$F,$Q308)&amp;""),0)&gt;=0.6,"Tinggi","Sebagian"))))))</f>
        <v>Belum terisi</v>
      </c>
      <c r="F308" s="77" t="str">
        <f aca="false">IF($Q308="","",PROPER(INDEX('Reguler Class Availability'!$B:$B,$Q308)&amp;""))</f>
        <v>Baby</v>
      </c>
      <c r="G308" s="76" t="n">
        <f aca="false">IF($Q308="","",IFERROR(--(INDEX('Reguler Class Availability'!$F:$F,$Q308)&amp;""),0))</f>
        <v>5</v>
      </c>
      <c r="H308" s="77" t="str">
        <f aca="false">IF($Q308="","",PROPER(INDEX('Reguler Class Availability'!$I:$I,$Q308)&amp;"")&amp;IF(INDEX('Reguler Class Availability'!$J:$J,$Q308)&amp;""="",""," + asst "&amp;PROPER(INDEX('Reguler Class Availability'!$J:$J,$Q308)&amp;"")))</f>
        <v/>
      </c>
      <c r="I308" s="77" t="s">
        <v>469</v>
      </c>
      <c r="J308" s="77" t="s">
        <v>188</v>
      </c>
      <c r="K308" s="78"/>
      <c r="L308" s="78"/>
      <c r="M308" s="78"/>
      <c r="N308" s="79"/>
      <c r="O308" s="78"/>
      <c r="Q308" s="30" t="n">
        <f aca="false">IFERROR(MATCH($B$4&amp;"|- Lane "&amp;D308&amp;" - "&amp;B308&amp;"|"&amp;C308,'Reguler Class Availability'!$L:$L,0),"")</f>
        <v>1932</v>
      </c>
      <c r="BD308" s="30" t="s">
        <v>91</v>
      </c>
      <c r="BE308" s="30" t="n">
        <f aca="false">IF(COUNTIFS('Reguler Class Availability'!$L:$L,$B$4&amp;"|- Lane 6 - *|"&amp;BD308)&gt;0,1,0)</f>
        <v>0</v>
      </c>
      <c r="BF308" s="30" t="n">
        <f aca="false">BE308+BF307</f>
        <v>0</v>
      </c>
    </row>
    <row r="309" customFormat="false" ht="40.5" hidden="false" customHeight="true" outlineLevel="0" collapsed="false">
      <c r="A309" s="76" t="n">
        <v>183</v>
      </c>
      <c r="B309" s="77" t="s">
        <v>117</v>
      </c>
      <c r="C309" s="76" t="s">
        <v>129</v>
      </c>
      <c r="D309" s="76" t="n">
        <v>2</v>
      </c>
      <c r="E309" s="77" t="str">
        <f aca="false">IF($Q309="","Tidak ada di data",IF(AND(IFERROR(--(INDEX('Reguler Class Availability'!$F:$F,$Q309)&amp;""),0)=0,IFERROR(--(INDEX('Reguler Class Availability'!$G:$G,$Q309)&amp;""),0)=0),"Tutup",IF(IFERROR(--(INDEX('Reguler Class Availability'!$G:$G,$Q309)&amp;""),0)&gt;IFERROR(--(INDEX('Reguler Class Availability'!$F:$F,$Q309)&amp;""),0),"Lebih",IF(IFERROR(--(INDEX('Reguler Class Availability'!$G:$G,$Q309)&amp;""),0)=IFERROR(--(INDEX('Reguler Class Availability'!$F:$F,$Q309)&amp;""),0),"Penuh",IF(IFERROR(--(INDEX('Reguler Class Availability'!$G:$G,$Q309)&amp;""),0)=0,IF(INDEX('Reguler Class Availability'!$B:$B,$Q309)&amp;""="","Kosong","Belum terisi"),IF(IFERROR(--(INDEX('Reguler Class Availability'!$G:$G,$Q309)&amp;""),0)/IFERROR(--(INDEX('Reguler Class Availability'!$F:$F,$Q309)&amp;""),0)&gt;=0.6,"Tinggi","Sebagian"))))))</f>
        <v>Belum terisi</v>
      </c>
      <c r="F309" s="77" t="str">
        <f aca="false">IF($Q309="","",PROPER(INDEX('Reguler Class Availability'!$B:$B,$Q309)&amp;""))</f>
        <v>Tiny</v>
      </c>
      <c r="G309" s="76" t="n">
        <f aca="false">IF($Q309="","",IFERROR(--(INDEX('Reguler Class Availability'!$F:$F,$Q309)&amp;""),0))</f>
        <v>5</v>
      </c>
      <c r="H309" s="77" t="str">
        <f aca="false">IF($Q309="","",PROPER(INDEX('Reguler Class Availability'!$I:$I,$Q309)&amp;"")&amp;IF(INDEX('Reguler Class Availability'!$J:$J,$Q309)&amp;""="",""," + asst "&amp;PROPER(INDEX('Reguler Class Availability'!$J:$J,$Q309)&amp;"")))</f>
        <v/>
      </c>
      <c r="I309" s="77" t="s">
        <v>469</v>
      </c>
      <c r="J309" s="77" t="s">
        <v>188</v>
      </c>
      <c r="K309" s="78"/>
      <c r="L309" s="78"/>
      <c r="M309" s="78"/>
      <c r="N309" s="79"/>
      <c r="O309" s="78"/>
      <c r="Q309" s="30" t="n">
        <f aca="false">IFERROR(MATCH($B$4&amp;"|- Lane "&amp;D309&amp;" - "&amp;B309&amp;"|"&amp;C309,'Reguler Class Availability'!$L:$L,0),"")</f>
        <v>2030</v>
      </c>
      <c r="BD309" s="30" t="s">
        <v>98</v>
      </c>
      <c r="BE309" s="30" t="n">
        <f aca="false">IF(COUNTIFS('Reguler Class Availability'!$L:$L,$B$4&amp;"|- Lane 6 - *|"&amp;BD309)&gt;0,1,0)</f>
        <v>0</v>
      </c>
      <c r="BF309" s="30" t="n">
        <f aca="false">BE309+BF308</f>
        <v>0</v>
      </c>
    </row>
    <row r="310" customFormat="false" ht="40.5" hidden="false" customHeight="true" outlineLevel="0" collapsed="false">
      <c r="A310" s="76" t="n">
        <v>184</v>
      </c>
      <c r="B310" s="77" t="s">
        <v>117</v>
      </c>
      <c r="C310" s="76" t="s">
        <v>129</v>
      </c>
      <c r="D310" s="76" t="n">
        <v>5</v>
      </c>
      <c r="E310" s="77" t="str">
        <f aca="false">IF($Q310="","Tidak ada di data",IF(AND(IFERROR(--(INDEX('Reguler Class Availability'!$F:$F,$Q310)&amp;""),0)=0,IFERROR(--(INDEX('Reguler Class Availability'!$G:$G,$Q310)&amp;""),0)=0),"Tutup",IF(IFERROR(--(INDEX('Reguler Class Availability'!$G:$G,$Q310)&amp;""),0)&gt;IFERROR(--(INDEX('Reguler Class Availability'!$F:$F,$Q310)&amp;""),0),"Lebih",IF(IFERROR(--(INDEX('Reguler Class Availability'!$G:$G,$Q310)&amp;""),0)=IFERROR(--(INDEX('Reguler Class Availability'!$F:$F,$Q310)&amp;""),0),"Penuh",IF(IFERROR(--(INDEX('Reguler Class Availability'!$G:$G,$Q310)&amp;""),0)=0,IF(INDEX('Reguler Class Availability'!$B:$B,$Q310)&amp;""="","Kosong","Belum terisi"),IF(IFERROR(--(INDEX('Reguler Class Availability'!$G:$G,$Q310)&amp;""),0)/IFERROR(--(INDEX('Reguler Class Availability'!$F:$F,$Q310)&amp;""),0)&gt;=0.6,"Tinggi","Sebagian"))))))</f>
        <v>Kosong</v>
      </c>
      <c r="F310" s="77" t="str">
        <f aca="false">IF($Q310="","",PROPER(INDEX('Reguler Class Availability'!$B:$B,$Q310)&amp;""))</f>
        <v/>
      </c>
      <c r="G310" s="76" t="n">
        <f aca="false">IF($Q310="","",IFERROR(--(INDEX('Reguler Class Availability'!$F:$F,$Q310)&amp;""),0))</f>
        <v>4</v>
      </c>
      <c r="H310" s="77" t="str">
        <f aca="false">IF($Q310="","",PROPER(INDEX('Reguler Class Availability'!$I:$I,$Q310)&amp;"")&amp;IF(INDEX('Reguler Class Availability'!$J:$J,$Q310)&amp;""="",""," + asst "&amp;PROPER(INDEX('Reguler Class Availability'!$J:$J,$Q310)&amp;"")))</f>
        <v/>
      </c>
      <c r="I310" s="77" t="s">
        <v>469</v>
      </c>
      <c r="J310" s="77" t="s">
        <v>188</v>
      </c>
      <c r="K310" s="78"/>
      <c r="L310" s="78"/>
      <c r="M310" s="78"/>
      <c r="N310" s="79"/>
      <c r="O310" s="78"/>
      <c r="Q310" s="30" t="n">
        <f aca="false">IFERROR(MATCH($B$4&amp;"|- Lane "&amp;D310&amp;" - "&amp;B310&amp;"|"&amp;C310,'Reguler Class Availability'!$L:$L,0),"")</f>
        <v>2282</v>
      </c>
      <c r="BD310" s="30" t="s">
        <v>105</v>
      </c>
      <c r="BE310" s="30" t="n">
        <f aca="false">IF(COUNTIFS('Reguler Class Availability'!$L:$L,$B$4&amp;"|- Lane 6 - *|"&amp;BD310)&gt;0,1,0)</f>
        <v>1</v>
      </c>
      <c r="BF310" s="30" t="n">
        <f aca="false">BE310+BF309</f>
        <v>1</v>
      </c>
    </row>
    <row r="311" customFormat="false" ht="40.5" hidden="false" customHeight="true" outlineLevel="0" collapsed="false">
      <c r="A311" s="76" t="n">
        <v>185</v>
      </c>
      <c r="B311" s="77" t="s">
        <v>117</v>
      </c>
      <c r="C311" s="76" t="s">
        <v>130</v>
      </c>
      <c r="D311" s="76" t="n">
        <v>3</v>
      </c>
      <c r="E311" s="77" t="str">
        <f aca="false">IF($Q311="","Tidak ada di data",IF(AND(IFERROR(--(INDEX('Reguler Class Availability'!$F:$F,$Q311)&amp;""),0)=0,IFERROR(--(INDEX('Reguler Class Availability'!$G:$G,$Q311)&amp;""),0)=0),"Tutup",IF(IFERROR(--(INDEX('Reguler Class Availability'!$G:$G,$Q311)&amp;""),0)&gt;IFERROR(--(INDEX('Reguler Class Availability'!$F:$F,$Q311)&amp;""),0),"Lebih",IF(IFERROR(--(INDEX('Reguler Class Availability'!$G:$G,$Q311)&amp;""),0)=IFERROR(--(INDEX('Reguler Class Availability'!$F:$F,$Q311)&amp;""),0),"Penuh",IF(IFERROR(--(INDEX('Reguler Class Availability'!$G:$G,$Q311)&amp;""),0)=0,IF(INDEX('Reguler Class Availability'!$B:$B,$Q311)&amp;""="","Kosong","Belum terisi"),IF(IFERROR(--(INDEX('Reguler Class Availability'!$G:$G,$Q311)&amp;""),0)/IFERROR(--(INDEX('Reguler Class Availability'!$F:$F,$Q311)&amp;""),0)&gt;=0.6,"Tinggi","Sebagian"))))))</f>
        <v>Belum terisi</v>
      </c>
      <c r="F311" s="77" t="str">
        <f aca="false">IF($Q311="","",PROPER(INDEX('Reguler Class Availability'!$B:$B,$Q311)&amp;""))</f>
        <v>Little</v>
      </c>
      <c r="G311" s="76" t="n">
        <f aca="false">IF($Q311="","",IFERROR(--(INDEX('Reguler Class Availability'!$F:$F,$Q311)&amp;""),0))</f>
        <v>4</v>
      </c>
      <c r="H311" s="77" t="str">
        <f aca="false">IF($Q311="","",PROPER(INDEX('Reguler Class Availability'!$I:$I,$Q311)&amp;"")&amp;IF(INDEX('Reguler Class Availability'!$J:$J,$Q311)&amp;""="",""," + asst "&amp;PROPER(INDEX('Reguler Class Availability'!$J:$J,$Q311)&amp;"")))</f>
        <v/>
      </c>
      <c r="I311" s="77" t="s">
        <v>469</v>
      </c>
      <c r="J311" s="77" t="s">
        <v>188</v>
      </c>
      <c r="K311" s="78"/>
      <c r="L311" s="78"/>
      <c r="M311" s="78"/>
      <c r="N311" s="79"/>
      <c r="O311" s="78"/>
      <c r="Q311" s="30" t="n">
        <f aca="false">IFERROR(MATCH($B$4&amp;"|- Lane "&amp;D311&amp;" - "&amp;B311&amp;"|"&amp;C311,'Reguler Class Availability'!$L:$L,0),"")</f>
        <v>2114</v>
      </c>
      <c r="BD311" s="30" t="s">
        <v>110</v>
      </c>
      <c r="BE311" s="30" t="n">
        <f aca="false">IF(COUNTIFS('Reguler Class Availability'!$L:$L,$B$4&amp;"|- Lane 6 - *|"&amp;BD311)&gt;0,1,0)</f>
        <v>0</v>
      </c>
      <c r="BF311" s="30" t="n">
        <f aca="false">BE311+BF310</f>
        <v>1</v>
      </c>
    </row>
    <row r="312" customFormat="false" ht="40.5" hidden="false" customHeight="true" outlineLevel="0" collapsed="false">
      <c r="A312" s="76" t="n">
        <v>186</v>
      </c>
      <c r="B312" s="77" t="s">
        <v>117</v>
      </c>
      <c r="C312" s="76" t="s">
        <v>130</v>
      </c>
      <c r="D312" s="76" t="n">
        <v>4</v>
      </c>
      <c r="E312" s="77" t="str">
        <f aca="false">IF($Q312="","Tidak ada di data",IF(AND(IFERROR(--(INDEX('Reguler Class Availability'!$F:$F,$Q312)&amp;""),0)=0,IFERROR(--(INDEX('Reguler Class Availability'!$G:$G,$Q312)&amp;""),0)=0),"Tutup",IF(IFERROR(--(INDEX('Reguler Class Availability'!$G:$G,$Q312)&amp;""),0)&gt;IFERROR(--(INDEX('Reguler Class Availability'!$F:$F,$Q312)&amp;""),0),"Lebih",IF(IFERROR(--(INDEX('Reguler Class Availability'!$G:$G,$Q312)&amp;""),0)=IFERROR(--(INDEX('Reguler Class Availability'!$F:$F,$Q312)&amp;""),0),"Penuh",IF(IFERROR(--(INDEX('Reguler Class Availability'!$G:$G,$Q312)&amp;""),0)=0,IF(INDEX('Reguler Class Availability'!$B:$B,$Q312)&amp;""="","Kosong","Belum terisi"),IF(IFERROR(--(INDEX('Reguler Class Availability'!$G:$G,$Q312)&amp;""),0)/IFERROR(--(INDEX('Reguler Class Availability'!$F:$F,$Q312)&amp;""),0)&gt;=0.6,"Tinggi","Sebagian"))))))</f>
        <v>Belum terisi</v>
      </c>
      <c r="F312" s="77" t="str">
        <f aca="false">IF($Q312="","",PROPER(INDEX('Reguler Class Availability'!$B:$B,$Q312)&amp;""))</f>
        <v>Kids</v>
      </c>
      <c r="G312" s="76" t="n">
        <f aca="false">IF($Q312="","",IFERROR(--(INDEX('Reguler Class Availability'!$F:$F,$Q312)&amp;""),0))</f>
        <v>4</v>
      </c>
      <c r="H312" s="77" t="str">
        <f aca="false">IF($Q312="","",PROPER(INDEX('Reguler Class Availability'!$I:$I,$Q312)&amp;"")&amp;IF(INDEX('Reguler Class Availability'!$J:$J,$Q312)&amp;""="",""," + asst "&amp;PROPER(INDEX('Reguler Class Availability'!$J:$J,$Q312)&amp;"")))</f>
        <v/>
      </c>
      <c r="I312" s="77" t="s">
        <v>469</v>
      </c>
      <c r="J312" s="77" t="s">
        <v>188</v>
      </c>
      <c r="K312" s="78"/>
      <c r="L312" s="78"/>
      <c r="M312" s="78"/>
      <c r="N312" s="79"/>
      <c r="O312" s="78"/>
      <c r="Q312" s="30" t="n">
        <f aca="false">IFERROR(MATCH($B$4&amp;"|- Lane "&amp;D312&amp;" - "&amp;B312&amp;"|"&amp;C312,'Reguler Class Availability'!$L:$L,0),"")</f>
        <v>2198</v>
      </c>
      <c r="BD312" s="30" t="s">
        <v>112</v>
      </c>
      <c r="BE312" s="30" t="n">
        <f aca="false">IF(COUNTIFS('Reguler Class Availability'!$L:$L,$B$4&amp;"|- Lane 6 - *|"&amp;BD312)&gt;0,1,0)</f>
        <v>0</v>
      </c>
      <c r="BF312" s="30" t="n">
        <f aca="false">BE312+BF311</f>
        <v>1</v>
      </c>
    </row>
    <row r="313" customFormat="false" ht="40.5" hidden="false" customHeight="true" outlineLevel="0" collapsed="false">
      <c r="A313" s="76" t="n">
        <v>187</v>
      </c>
      <c r="B313" s="77" t="s">
        <v>117</v>
      </c>
      <c r="C313" s="76" t="s">
        <v>132</v>
      </c>
      <c r="D313" s="76" t="n">
        <v>1</v>
      </c>
      <c r="E313" s="77" t="str">
        <f aca="false">IF($Q313="","Tidak ada di data",IF(AND(IFERROR(--(INDEX('Reguler Class Availability'!$F:$F,$Q313)&amp;""),0)=0,IFERROR(--(INDEX('Reguler Class Availability'!$G:$G,$Q313)&amp;""),0)=0),"Tutup",IF(IFERROR(--(INDEX('Reguler Class Availability'!$G:$G,$Q313)&amp;""),0)&gt;IFERROR(--(INDEX('Reguler Class Availability'!$F:$F,$Q313)&amp;""),0),"Lebih",IF(IFERROR(--(INDEX('Reguler Class Availability'!$G:$G,$Q313)&amp;""),0)=IFERROR(--(INDEX('Reguler Class Availability'!$F:$F,$Q313)&amp;""),0),"Penuh",IF(IFERROR(--(INDEX('Reguler Class Availability'!$G:$G,$Q313)&amp;""),0)=0,IF(INDEX('Reguler Class Availability'!$B:$B,$Q313)&amp;""="","Kosong","Belum terisi"),IF(IFERROR(--(INDEX('Reguler Class Availability'!$G:$G,$Q313)&amp;""),0)/IFERROR(--(INDEX('Reguler Class Availability'!$F:$F,$Q313)&amp;""),0)&gt;=0.6,"Tinggi","Sebagian"))))))</f>
        <v>Belum terisi</v>
      </c>
      <c r="F313" s="77" t="str">
        <f aca="false">IF($Q313="","",PROPER(INDEX('Reguler Class Availability'!$B:$B,$Q313)&amp;""))</f>
        <v>Baby</v>
      </c>
      <c r="G313" s="76" t="n">
        <f aca="false">IF($Q313="","",IFERROR(--(INDEX('Reguler Class Availability'!$F:$F,$Q313)&amp;""),0))</f>
        <v>5</v>
      </c>
      <c r="H313" s="77" t="str">
        <f aca="false">IF($Q313="","",PROPER(INDEX('Reguler Class Availability'!$I:$I,$Q313)&amp;"")&amp;IF(INDEX('Reguler Class Availability'!$J:$J,$Q313)&amp;""="",""," + asst "&amp;PROPER(INDEX('Reguler Class Availability'!$J:$J,$Q313)&amp;"")))</f>
        <v/>
      </c>
      <c r="I313" s="77" t="s">
        <v>469</v>
      </c>
      <c r="J313" s="77" t="s">
        <v>188</v>
      </c>
      <c r="K313" s="78"/>
      <c r="L313" s="78"/>
      <c r="M313" s="78"/>
      <c r="N313" s="79"/>
      <c r="O313" s="78"/>
      <c r="Q313" s="30" t="n">
        <f aca="false">IFERROR(MATCH($B$4&amp;"|- Lane "&amp;D313&amp;" - "&amp;B313&amp;"|"&amp;C313,'Reguler Class Availability'!$L:$L,0),"")</f>
        <v>1933</v>
      </c>
      <c r="BD313" s="30" t="s">
        <v>120</v>
      </c>
      <c r="BE313" s="30" t="n">
        <f aca="false">IF(COUNTIFS('Reguler Class Availability'!$L:$L,$B$4&amp;"|- Lane 6 - *|"&amp;BD313)&gt;0,1,0)</f>
        <v>1</v>
      </c>
      <c r="BF313" s="30" t="n">
        <f aca="false">BE313+BF312</f>
        <v>2</v>
      </c>
    </row>
    <row r="314" customFormat="false" ht="40.5" hidden="false" customHeight="true" outlineLevel="0" collapsed="false">
      <c r="A314" s="76" t="n">
        <v>188</v>
      </c>
      <c r="B314" s="77" t="s">
        <v>117</v>
      </c>
      <c r="C314" s="76" t="s">
        <v>132</v>
      </c>
      <c r="D314" s="76" t="n">
        <v>2</v>
      </c>
      <c r="E314" s="77" t="str">
        <f aca="false">IF($Q314="","Tidak ada di data",IF(AND(IFERROR(--(INDEX('Reguler Class Availability'!$F:$F,$Q314)&amp;""),0)=0,IFERROR(--(INDEX('Reguler Class Availability'!$G:$G,$Q314)&amp;""),0)=0),"Tutup",IF(IFERROR(--(INDEX('Reguler Class Availability'!$G:$G,$Q314)&amp;""),0)&gt;IFERROR(--(INDEX('Reguler Class Availability'!$F:$F,$Q314)&amp;""),0),"Lebih",IF(IFERROR(--(INDEX('Reguler Class Availability'!$G:$G,$Q314)&amp;""),0)=IFERROR(--(INDEX('Reguler Class Availability'!$F:$F,$Q314)&amp;""),0),"Penuh",IF(IFERROR(--(INDEX('Reguler Class Availability'!$G:$G,$Q314)&amp;""),0)=0,IF(INDEX('Reguler Class Availability'!$B:$B,$Q314)&amp;""="","Kosong","Belum terisi"),IF(IFERROR(--(INDEX('Reguler Class Availability'!$G:$G,$Q314)&amp;""),0)/IFERROR(--(INDEX('Reguler Class Availability'!$F:$F,$Q314)&amp;""),0)&gt;=0.6,"Tinggi","Sebagian"))))))</f>
        <v>Belum terisi</v>
      </c>
      <c r="F314" s="77" t="str">
        <f aca="false">IF($Q314="","",PROPER(INDEX('Reguler Class Availability'!$B:$B,$Q314)&amp;""))</f>
        <v>Tiny</v>
      </c>
      <c r="G314" s="76" t="n">
        <f aca="false">IF($Q314="","",IFERROR(--(INDEX('Reguler Class Availability'!$F:$F,$Q314)&amp;""),0))</f>
        <v>5</v>
      </c>
      <c r="H314" s="77" t="str">
        <f aca="false">IF($Q314="","",PROPER(INDEX('Reguler Class Availability'!$I:$I,$Q314)&amp;"")&amp;IF(INDEX('Reguler Class Availability'!$J:$J,$Q314)&amp;""="",""," + asst "&amp;PROPER(INDEX('Reguler Class Availability'!$J:$J,$Q314)&amp;"")))</f>
        <v/>
      </c>
      <c r="I314" s="77" t="s">
        <v>469</v>
      </c>
      <c r="J314" s="77" t="s">
        <v>188</v>
      </c>
      <c r="K314" s="78"/>
      <c r="L314" s="78"/>
      <c r="M314" s="78"/>
      <c r="N314" s="79"/>
      <c r="O314" s="78"/>
      <c r="Q314" s="30" t="n">
        <f aca="false">IFERROR(MATCH($B$4&amp;"|- Lane "&amp;D314&amp;" - "&amp;B314&amp;"|"&amp;C314,'Reguler Class Availability'!$L:$L,0),"")</f>
        <v>2031</v>
      </c>
      <c r="BD314" s="30" t="s">
        <v>121</v>
      </c>
      <c r="BE314" s="30" t="n">
        <f aca="false">IF(COUNTIFS('Reguler Class Availability'!$L:$L,$B$4&amp;"|- Lane 6 - *|"&amp;BD314)&gt;0,1,0)</f>
        <v>0</v>
      </c>
      <c r="BF314" s="30" t="n">
        <f aca="false">BE314+BF313</f>
        <v>2</v>
      </c>
    </row>
    <row r="315" customFormat="false" ht="40.5" hidden="false" customHeight="true" outlineLevel="0" collapsed="false">
      <c r="A315" s="76" t="n">
        <v>189</v>
      </c>
      <c r="B315" s="77" t="s">
        <v>117</v>
      </c>
      <c r="C315" s="76" t="s">
        <v>132</v>
      </c>
      <c r="D315" s="76" t="n">
        <v>5</v>
      </c>
      <c r="E315" s="77" t="str">
        <f aca="false">IF($Q315="","Tidak ada di data",IF(AND(IFERROR(--(INDEX('Reguler Class Availability'!$F:$F,$Q315)&amp;""),0)=0,IFERROR(--(INDEX('Reguler Class Availability'!$G:$G,$Q315)&amp;""),0)=0),"Tutup",IF(IFERROR(--(INDEX('Reguler Class Availability'!$G:$G,$Q315)&amp;""),0)&gt;IFERROR(--(INDEX('Reguler Class Availability'!$F:$F,$Q315)&amp;""),0),"Lebih",IF(IFERROR(--(INDEX('Reguler Class Availability'!$G:$G,$Q315)&amp;""),0)=IFERROR(--(INDEX('Reguler Class Availability'!$F:$F,$Q315)&amp;""),0),"Penuh",IF(IFERROR(--(INDEX('Reguler Class Availability'!$G:$G,$Q315)&amp;""),0)=0,IF(INDEX('Reguler Class Availability'!$B:$B,$Q315)&amp;""="","Kosong","Belum terisi"),IF(IFERROR(--(INDEX('Reguler Class Availability'!$G:$G,$Q315)&amp;""),0)/IFERROR(--(INDEX('Reguler Class Availability'!$F:$F,$Q315)&amp;""),0)&gt;=0.6,"Tinggi","Sebagian"))))))</f>
        <v>Kosong</v>
      </c>
      <c r="F315" s="77" t="str">
        <f aca="false">IF($Q315="","",PROPER(INDEX('Reguler Class Availability'!$B:$B,$Q315)&amp;""))</f>
        <v/>
      </c>
      <c r="G315" s="76" t="n">
        <f aca="false">IF($Q315="","",IFERROR(--(INDEX('Reguler Class Availability'!$F:$F,$Q315)&amp;""),0))</f>
        <v>4</v>
      </c>
      <c r="H315" s="77" t="str">
        <f aca="false">IF($Q315="","",PROPER(INDEX('Reguler Class Availability'!$I:$I,$Q315)&amp;"")&amp;IF(INDEX('Reguler Class Availability'!$J:$J,$Q315)&amp;""="",""," + asst "&amp;PROPER(INDEX('Reguler Class Availability'!$J:$J,$Q315)&amp;"")))</f>
        <v/>
      </c>
      <c r="I315" s="77" t="s">
        <v>469</v>
      </c>
      <c r="J315" s="77" t="s">
        <v>188</v>
      </c>
      <c r="K315" s="78"/>
      <c r="L315" s="78"/>
      <c r="M315" s="78"/>
      <c r="N315" s="79"/>
      <c r="O315" s="78"/>
      <c r="Q315" s="30" t="n">
        <f aca="false">IFERROR(MATCH($B$4&amp;"|- Lane "&amp;D315&amp;" - "&amp;B315&amp;"|"&amp;C315,'Reguler Class Availability'!$L:$L,0),"")</f>
        <v>2283</v>
      </c>
      <c r="BD315" s="30" t="s">
        <v>122</v>
      </c>
      <c r="BE315" s="30" t="n">
        <f aca="false">IF(COUNTIFS('Reguler Class Availability'!$L:$L,$B$4&amp;"|- Lane 6 - *|"&amp;BD315)&gt;0,1,0)</f>
        <v>0</v>
      </c>
      <c r="BF315" s="30" t="n">
        <f aca="false">BE315+BF314</f>
        <v>2</v>
      </c>
    </row>
    <row r="316" customFormat="false" ht="40.5" hidden="false" customHeight="true" outlineLevel="0" collapsed="false">
      <c r="A316" s="76" t="n">
        <v>190</v>
      </c>
      <c r="B316" s="77" t="s">
        <v>117</v>
      </c>
      <c r="C316" s="76" t="s">
        <v>133</v>
      </c>
      <c r="D316" s="76" t="n">
        <v>3</v>
      </c>
      <c r="E316" s="77" t="str">
        <f aca="false">IF($Q316="","Tidak ada di data",IF(AND(IFERROR(--(INDEX('Reguler Class Availability'!$F:$F,$Q316)&amp;""),0)=0,IFERROR(--(INDEX('Reguler Class Availability'!$G:$G,$Q316)&amp;""),0)=0),"Tutup",IF(IFERROR(--(INDEX('Reguler Class Availability'!$G:$G,$Q316)&amp;""),0)&gt;IFERROR(--(INDEX('Reguler Class Availability'!$F:$F,$Q316)&amp;""),0),"Lebih",IF(IFERROR(--(INDEX('Reguler Class Availability'!$G:$G,$Q316)&amp;""),0)=IFERROR(--(INDEX('Reguler Class Availability'!$F:$F,$Q316)&amp;""),0),"Penuh",IF(IFERROR(--(INDEX('Reguler Class Availability'!$G:$G,$Q316)&amp;""),0)=0,IF(INDEX('Reguler Class Availability'!$B:$B,$Q316)&amp;""="","Kosong","Belum terisi"),IF(IFERROR(--(INDEX('Reguler Class Availability'!$G:$G,$Q316)&amp;""),0)/IFERROR(--(INDEX('Reguler Class Availability'!$F:$F,$Q316)&amp;""),0)&gt;=0.6,"Tinggi","Sebagian"))))))</f>
        <v>Belum terisi</v>
      </c>
      <c r="F316" s="77" t="str">
        <f aca="false">IF($Q316="","",PROPER(INDEX('Reguler Class Availability'!$B:$B,$Q316)&amp;""))</f>
        <v>Little</v>
      </c>
      <c r="G316" s="76" t="n">
        <f aca="false">IF($Q316="","",IFERROR(--(INDEX('Reguler Class Availability'!$F:$F,$Q316)&amp;""),0))</f>
        <v>4</v>
      </c>
      <c r="H316" s="77" t="str">
        <f aca="false">IF($Q316="","",PROPER(INDEX('Reguler Class Availability'!$I:$I,$Q316)&amp;"")&amp;IF(INDEX('Reguler Class Availability'!$J:$J,$Q316)&amp;""="",""," + asst "&amp;PROPER(INDEX('Reguler Class Availability'!$J:$J,$Q316)&amp;"")))</f>
        <v/>
      </c>
      <c r="I316" s="77" t="s">
        <v>469</v>
      </c>
      <c r="J316" s="77" t="s">
        <v>188</v>
      </c>
      <c r="K316" s="78"/>
      <c r="L316" s="78"/>
      <c r="M316" s="78"/>
      <c r="N316" s="79"/>
      <c r="O316" s="78"/>
      <c r="Q316" s="30" t="n">
        <f aca="false">IFERROR(MATCH($B$4&amp;"|- Lane "&amp;D316&amp;" - "&amp;B316&amp;"|"&amp;C316,'Reguler Class Availability'!$L:$L,0),"")</f>
        <v>2115</v>
      </c>
      <c r="BD316" s="30" t="s">
        <v>123</v>
      </c>
      <c r="BE316" s="30" t="n">
        <f aca="false">IF(COUNTIFS('Reguler Class Availability'!$L:$L,$B$4&amp;"|- Lane 6 - *|"&amp;BD316)&gt;0,1,0)</f>
        <v>1</v>
      </c>
      <c r="BF316" s="30" t="n">
        <f aca="false">BE316+BF315</f>
        <v>3</v>
      </c>
    </row>
    <row r="317" customFormat="false" ht="40.5" hidden="false" customHeight="true" outlineLevel="0" collapsed="false">
      <c r="A317" s="76" t="n">
        <v>191</v>
      </c>
      <c r="B317" s="77" t="s">
        <v>117</v>
      </c>
      <c r="C317" s="76" t="s">
        <v>133</v>
      </c>
      <c r="D317" s="76" t="n">
        <v>4</v>
      </c>
      <c r="E317" s="77" t="str">
        <f aca="false">IF($Q317="","Tidak ada di data",IF(AND(IFERROR(--(INDEX('Reguler Class Availability'!$F:$F,$Q317)&amp;""),0)=0,IFERROR(--(INDEX('Reguler Class Availability'!$G:$G,$Q317)&amp;""),0)=0),"Tutup",IF(IFERROR(--(INDEX('Reguler Class Availability'!$G:$G,$Q317)&amp;""),0)&gt;IFERROR(--(INDEX('Reguler Class Availability'!$F:$F,$Q317)&amp;""),0),"Lebih",IF(IFERROR(--(INDEX('Reguler Class Availability'!$G:$G,$Q317)&amp;""),0)=IFERROR(--(INDEX('Reguler Class Availability'!$F:$F,$Q317)&amp;""),0),"Penuh",IF(IFERROR(--(INDEX('Reguler Class Availability'!$G:$G,$Q317)&amp;""),0)=0,IF(INDEX('Reguler Class Availability'!$B:$B,$Q317)&amp;""="","Kosong","Belum terisi"),IF(IFERROR(--(INDEX('Reguler Class Availability'!$G:$G,$Q317)&amp;""),0)/IFERROR(--(INDEX('Reguler Class Availability'!$F:$F,$Q317)&amp;""),0)&gt;=0.6,"Tinggi","Sebagian"))))))</f>
        <v>Belum terisi</v>
      </c>
      <c r="F317" s="77" t="str">
        <f aca="false">IF($Q317="","",PROPER(INDEX('Reguler Class Availability'!$B:$B,$Q317)&amp;""))</f>
        <v>Kids</v>
      </c>
      <c r="G317" s="76" t="n">
        <f aca="false">IF($Q317="","",IFERROR(--(INDEX('Reguler Class Availability'!$F:$F,$Q317)&amp;""),0))</f>
        <v>4</v>
      </c>
      <c r="H317" s="77" t="str">
        <f aca="false">IF($Q317="","",PROPER(INDEX('Reguler Class Availability'!$I:$I,$Q317)&amp;"")&amp;IF(INDEX('Reguler Class Availability'!$J:$J,$Q317)&amp;""="",""," + asst "&amp;PROPER(INDEX('Reguler Class Availability'!$J:$J,$Q317)&amp;"")))</f>
        <v/>
      </c>
      <c r="I317" s="77" t="s">
        <v>469</v>
      </c>
      <c r="J317" s="77" t="s">
        <v>188</v>
      </c>
      <c r="K317" s="78"/>
      <c r="L317" s="78"/>
      <c r="M317" s="78"/>
      <c r="N317" s="79"/>
      <c r="O317" s="78"/>
      <c r="Q317" s="30" t="n">
        <f aca="false">IFERROR(MATCH($B$4&amp;"|- Lane "&amp;D317&amp;" - "&amp;B317&amp;"|"&amp;C317,'Reguler Class Availability'!$L:$L,0),"")</f>
        <v>2199</v>
      </c>
      <c r="BD317" s="30" t="s">
        <v>124</v>
      </c>
      <c r="BE317" s="30" t="n">
        <f aca="false">IF(COUNTIFS('Reguler Class Availability'!$L:$L,$B$4&amp;"|- Lane 6 - *|"&amp;BD317)&gt;0,1,0)</f>
        <v>0</v>
      </c>
      <c r="BF317" s="30" t="n">
        <f aca="false">BE317+BF316</f>
        <v>3</v>
      </c>
    </row>
    <row r="318" customFormat="false" ht="27.75" hidden="false" customHeight="true" outlineLevel="0" collapsed="false">
      <c r="A318" s="76" t="n">
        <v>192</v>
      </c>
      <c r="B318" s="77" t="s">
        <v>117</v>
      </c>
      <c r="C318" s="76" t="s">
        <v>139</v>
      </c>
      <c r="D318" s="76" t="n">
        <v>1</v>
      </c>
      <c r="E318" s="77" t="str">
        <f aca="false">IF($Q318="","Tidak ada di data",IF(AND(IFERROR(--(INDEX('Reguler Class Availability'!$F:$F,$Q318)&amp;""),0)=0,IFERROR(--(INDEX('Reguler Class Availability'!$G:$G,$Q318)&amp;""),0)=0),"Tutup",IF(IFERROR(--(INDEX('Reguler Class Availability'!$G:$G,$Q318)&amp;""),0)&gt;IFERROR(--(INDEX('Reguler Class Availability'!$F:$F,$Q318)&amp;""),0),"Lebih",IF(IFERROR(--(INDEX('Reguler Class Availability'!$G:$G,$Q318)&amp;""),0)=IFERROR(--(INDEX('Reguler Class Availability'!$F:$F,$Q318)&amp;""),0),"Penuh",IF(IFERROR(--(INDEX('Reguler Class Availability'!$G:$G,$Q318)&amp;""),0)=0,IF(INDEX('Reguler Class Availability'!$B:$B,$Q318)&amp;""="","Kosong","Belum terisi"),IF(IFERROR(--(INDEX('Reguler Class Availability'!$G:$G,$Q318)&amp;""),0)/IFERROR(--(INDEX('Reguler Class Availability'!$F:$F,$Q318)&amp;""),0)&gt;=0.6,"Tinggi","Sebagian"))))))</f>
        <v>Belum terisi</v>
      </c>
      <c r="F318" s="77" t="str">
        <f aca="false">IF($Q318="","",PROPER(INDEX('Reguler Class Availability'!$B:$B,$Q318)&amp;""))</f>
        <v>Baby</v>
      </c>
      <c r="G318" s="76" t="n">
        <f aca="false">IF($Q318="","",IFERROR(--(INDEX('Reguler Class Availability'!$F:$F,$Q318)&amp;""),0))</f>
        <v>5</v>
      </c>
      <c r="H318" s="77" t="str">
        <f aca="false">IF($Q318="","",PROPER(INDEX('Reguler Class Availability'!$I:$I,$Q318)&amp;"")&amp;IF(INDEX('Reguler Class Availability'!$J:$J,$Q318)&amp;""="",""," + asst "&amp;PROPER(INDEX('Reguler Class Availability'!$J:$J,$Q318)&amp;"")))</f>
        <v/>
      </c>
      <c r="I318" s="77" t="s">
        <v>473</v>
      </c>
      <c r="J318" s="77" t="s">
        <v>188</v>
      </c>
      <c r="K318" s="78"/>
      <c r="L318" s="78"/>
      <c r="M318" s="78"/>
      <c r="N318" s="79"/>
      <c r="O318" s="78"/>
      <c r="Q318" s="30" t="n">
        <f aca="false">IFERROR(MATCH($B$4&amp;"|- Lane "&amp;D318&amp;" - "&amp;B318&amp;"|"&amp;C318,'Reguler Class Availability'!$L:$L,0),"")</f>
        <v>1934</v>
      </c>
      <c r="BD318" s="30" t="s">
        <v>125</v>
      </c>
      <c r="BE318" s="30" t="n">
        <f aca="false">IF(COUNTIFS('Reguler Class Availability'!$L:$L,$B$4&amp;"|- Lane 6 - *|"&amp;BD318)&gt;0,1,0)</f>
        <v>0</v>
      </c>
      <c r="BF318" s="30" t="n">
        <f aca="false">BE318+BF317</f>
        <v>3</v>
      </c>
    </row>
    <row r="319" customFormat="false" ht="27.75" hidden="false" customHeight="true" outlineLevel="0" collapsed="false">
      <c r="A319" s="76" t="n">
        <v>193</v>
      </c>
      <c r="B319" s="77" t="s">
        <v>117</v>
      </c>
      <c r="C319" s="76" t="s">
        <v>139</v>
      </c>
      <c r="D319" s="76" t="n">
        <v>2</v>
      </c>
      <c r="E319" s="77" t="str">
        <f aca="false">IF($Q319="","Tidak ada di data",IF(AND(IFERROR(--(INDEX('Reguler Class Availability'!$F:$F,$Q319)&amp;""),0)=0,IFERROR(--(INDEX('Reguler Class Availability'!$G:$G,$Q319)&amp;""),0)=0),"Tutup",IF(IFERROR(--(INDEX('Reguler Class Availability'!$G:$G,$Q319)&amp;""),0)&gt;IFERROR(--(INDEX('Reguler Class Availability'!$F:$F,$Q319)&amp;""),0),"Lebih",IF(IFERROR(--(INDEX('Reguler Class Availability'!$G:$G,$Q319)&amp;""),0)=IFERROR(--(INDEX('Reguler Class Availability'!$F:$F,$Q319)&amp;""),0),"Penuh",IF(IFERROR(--(INDEX('Reguler Class Availability'!$G:$G,$Q319)&amp;""),0)=0,IF(INDEX('Reguler Class Availability'!$B:$B,$Q319)&amp;""="","Kosong","Belum terisi"),IF(IFERROR(--(INDEX('Reguler Class Availability'!$G:$G,$Q319)&amp;""),0)/IFERROR(--(INDEX('Reguler Class Availability'!$F:$F,$Q319)&amp;""),0)&gt;=0.6,"Tinggi","Sebagian"))))))</f>
        <v>Belum terisi</v>
      </c>
      <c r="F319" s="77" t="str">
        <f aca="false">IF($Q319="","",PROPER(INDEX('Reguler Class Availability'!$B:$B,$Q319)&amp;""))</f>
        <v>Tiny</v>
      </c>
      <c r="G319" s="76" t="n">
        <f aca="false">IF($Q319="","",IFERROR(--(INDEX('Reguler Class Availability'!$F:$F,$Q319)&amp;""),0))</f>
        <v>5</v>
      </c>
      <c r="H319" s="77" t="str">
        <f aca="false">IF($Q319="","",PROPER(INDEX('Reguler Class Availability'!$I:$I,$Q319)&amp;"")&amp;IF(INDEX('Reguler Class Availability'!$J:$J,$Q319)&amp;""="",""," + asst "&amp;PROPER(INDEX('Reguler Class Availability'!$J:$J,$Q319)&amp;"")))</f>
        <v/>
      </c>
      <c r="I319" s="77" t="s">
        <v>473</v>
      </c>
      <c r="J319" s="77" t="s">
        <v>188</v>
      </c>
      <c r="K319" s="78"/>
      <c r="L319" s="78"/>
      <c r="M319" s="78"/>
      <c r="N319" s="79"/>
      <c r="O319" s="78"/>
      <c r="Q319" s="30" t="n">
        <f aca="false">IFERROR(MATCH($B$4&amp;"|- Lane "&amp;D319&amp;" - "&amp;B319&amp;"|"&amp;C319,'Reguler Class Availability'!$L:$L,0),"")</f>
        <v>2032</v>
      </c>
      <c r="BD319" s="30" t="s">
        <v>126</v>
      </c>
      <c r="BE319" s="30" t="n">
        <f aca="false">IF(COUNTIFS('Reguler Class Availability'!$L:$L,$B$4&amp;"|- Lane 6 - *|"&amp;BD319)&gt;0,1,0)</f>
        <v>1</v>
      </c>
      <c r="BF319" s="30" t="n">
        <f aca="false">BE319+BF318</f>
        <v>4</v>
      </c>
    </row>
    <row r="320" customFormat="false" ht="27.75" hidden="false" customHeight="true" outlineLevel="0" collapsed="false">
      <c r="A320" s="76" t="n">
        <v>194</v>
      </c>
      <c r="B320" s="77" t="s">
        <v>117</v>
      </c>
      <c r="C320" s="76" t="s">
        <v>139</v>
      </c>
      <c r="D320" s="76" t="n">
        <v>5</v>
      </c>
      <c r="E320" s="77" t="str">
        <f aca="false">IF($Q320="","Tidak ada di data",IF(AND(IFERROR(--(INDEX('Reguler Class Availability'!$F:$F,$Q320)&amp;""),0)=0,IFERROR(--(INDEX('Reguler Class Availability'!$G:$G,$Q320)&amp;""),0)=0),"Tutup",IF(IFERROR(--(INDEX('Reguler Class Availability'!$G:$G,$Q320)&amp;""),0)&gt;IFERROR(--(INDEX('Reguler Class Availability'!$F:$F,$Q320)&amp;""),0),"Lebih",IF(IFERROR(--(INDEX('Reguler Class Availability'!$G:$G,$Q320)&amp;""),0)=IFERROR(--(INDEX('Reguler Class Availability'!$F:$F,$Q320)&amp;""),0),"Penuh",IF(IFERROR(--(INDEX('Reguler Class Availability'!$G:$G,$Q320)&amp;""),0)=0,IF(INDEX('Reguler Class Availability'!$B:$B,$Q320)&amp;""="","Kosong","Belum terisi"),IF(IFERROR(--(INDEX('Reguler Class Availability'!$G:$G,$Q320)&amp;""),0)/IFERROR(--(INDEX('Reguler Class Availability'!$F:$F,$Q320)&amp;""),0)&gt;=0.6,"Tinggi","Sebagian"))))))</f>
        <v>Kosong</v>
      </c>
      <c r="F320" s="77" t="str">
        <f aca="false">IF($Q320="","",PROPER(INDEX('Reguler Class Availability'!$B:$B,$Q320)&amp;""))</f>
        <v/>
      </c>
      <c r="G320" s="76" t="n">
        <f aca="false">IF($Q320="","",IFERROR(--(INDEX('Reguler Class Availability'!$F:$F,$Q320)&amp;""),0))</f>
        <v>4</v>
      </c>
      <c r="H320" s="77" t="str">
        <f aca="false">IF($Q320="","",PROPER(INDEX('Reguler Class Availability'!$I:$I,$Q320)&amp;"")&amp;IF(INDEX('Reguler Class Availability'!$J:$J,$Q320)&amp;""="",""," + asst "&amp;PROPER(INDEX('Reguler Class Availability'!$J:$J,$Q320)&amp;"")))</f>
        <v/>
      </c>
      <c r="I320" s="77" t="s">
        <v>473</v>
      </c>
      <c r="J320" s="77" t="s">
        <v>188</v>
      </c>
      <c r="K320" s="78"/>
      <c r="L320" s="78"/>
      <c r="M320" s="78"/>
      <c r="N320" s="79"/>
      <c r="O320" s="78"/>
      <c r="Q320" s="30" t="n">
        <f aca="false">IFERROR(MATCH($B$4&amp;"|- Lane "&amp;D320&amp;" - "&amp;B320&amp;"|"&amp;C320,'Reguler Class Availability'!$L:$L,0),"")</f>
        <v>2284</v>
      </c>
      <c r="BD320" s="30" t="s">
        <v>127</v>
      </c>
      <c r="BE320" s="30" t="n">
        <f aca="false">IF(COUNTIFS('Reguler Class Availability'!$L:$L,$B$4&amp;"|- Lane 6 - *|"&amp;BD320)&gt;0,1,0)</f>
        <v>0</v>
      </c>
      <c r="BF320" s="30" t="n">
        <f aca="false">BE320+BF319</f>
        <v>4</v>
      </c>
    </row>
    <row r="321" customFormat="false" ht="27.75" hidden="false" customHeight="true" outlineLevel="0" collapsed="false">
      <c r="A321" s="76" t="n">
        <v>195</v>
      </c>
      <c r="B321" s="77" t="s">
        <v>117</v>
      </c>
      <c r="C321" s="76" t="s">
        <v>141</v>
      </c>
      <c r="D321" s="76" t="n">
        <v>4</v>
      </c>
      <c r="E321" s="77" t="str">
        <f aca="false">IF($Q321="","Tidak ada di data",IF(AND(IFERROR(--(INDEX('Reguler Class Availability'!$F:$F,$Q321)&amp;""),0)=0,IFERROR(--(INDEX('Reguler Class Availability'!$G:$G,$Q321)&amp;""),0)=0),"Tutup",IF(IFERROR(--(INDEX('Reguler Class Availability'!$G:$G,$Q321)&amp;""),0)&gt;IFERROR(--(INDEX('Reguler Class Availability'!$F:$F,$Q321)&amp;""),0),"Lebih",IF(IFERROR(--(INDEX('Reguler Class Availability'!$G:$G,$Q321)&amp;""),0)=IFERROR(--(INDEX('Reguler Class Availability'!$F:$F,$Q321)&amp;""),0),"Penuh",IF(IFERROR(--(INDEX('Reguler Class Availability'!$G:$G,$Q321)&amp;""),0)=0,IF(INDEX('Reguler Class Availability'!$B:$B,$Q321)&amp;""="","Kosong","Belum terisi"),IF(IFERROR(--(INDEX('Reguler Class Availability'!$G:$G,$Q321)&amp;""),0)/IFERROR(--(INDEX('Reguler Class Availability'!$F:$F,$Q321)&amp;""),0)&gt;=0.6,"Tinggi","Sebagian"))))))</f>
        <v>Belum terisi</v>
      </c>
      <c r="F321" s="77" t="str">
        <f aca="false">IF($Q321="","",PROPER(INDEX('Reguler Class Availability'!$B:$B,$Q321)&amp;""))</f>
        <v>Kids</v>
      </c>
      <c r="G321" s="76" t="n">
        <f aca="false">IF($Q321="","",IFERROR(--(INDEX('Reguler Class Availability'!$F:$F,$Q321)&amp;""),0))</f>
        <v>4</v>
      </c>
      <c r="H321" s="77" t="str">
        <f aca="false">IF($Q321="","",PROPER(INDEX('Reguler Class Availability'!$I:$I,$Q321)&amp;"")&amp;IF(INDEX('Reguler Class Availability'!$J:$J,$Q321)&amp;""="",""," + asst "&amp;PROPER(INDEX('Reguler Class Availability'!$J:$J,$Q321)&amp;"")))</f>
        <v/>
      </c>
      <c r="I321" s="77" t="s">
        <v>473</v>
      </c>
      <c r="J321" s="77" t="s">
        <v>188</v>
      </c>
      <c r="K321" s="78"/>
      <c r="L321" s="78"/>
      <c r="M321" s="78"/>
      <c r="N321" s="79"/>
      <c r="O321" s="78"/>
      <c r="Q321" s="30" t="n">
        <f aca="false">IFERROR(MATCH($B$4&amp;"|- Lane "&amp;D321&amp;" - "&amp;B321&amp;"|"&amp;C321,'Reguler Class Availability'!$L:$L,0),"")</f>
        <v>2200</v>
      </c>
      <c r="BD321" s="30" t="s">
        <v>128</v>
      </c>
      <c r="BE321" s="30" t="n">
        <f aca="false">IF(COUNTIFS('Reguler Class Availability'!$L:$L,$B$4&amp;"|- Lane 6 - *|"&amp;BD321)&gt;0,1,0)</f>
        <v>0</v>
      </c>
      <c r="BF321" s="30" t="n">
        <f aca="false">BE321+BF320</f>
        <v>4</v>
      </c>
    </row>
    <row r="322" customFormat="false" ht="27.75" hidden="false" customHeight="true" outlineLevel="0" collapsed="false">
      <c r="A322" s="76" t="n">
        <v>196</v>
      </c>
      <c r="B322" s="77" t="s">
        <v>117</v>
      </c>
      <c r="C322" s="76" t="s">
        <v>143</v>
      </c>
      <c r="D322" s="76" t="n">
        <v>1</v>
      </c>
      <c r="E322" s="77" t="str">
        <f aca="false">IF($Q322="","Tidak ada di data",IF(AND(IFERROR(--(INDEX('Reguler Class Availability'!$F:$F,$Q322)&amp;""),0)=0,IFERROR(--(INDEX('Reguler Class Availability'!$G:$G,$Q322)&amp;""),0)=0),"Tutup",IF(IFERROR(--(INDEX('Reguler Class Availability'!$G:$G,$Q322)&amp;""),0)&gt;IFERROR(--(INDEX('Reguler Class Availability'!$F:$F,$Q322)&amp;""),0),"Lebih",IF(IFERROR(--(INDEX('Reguler Class Availability'!$G:$G,$Q322)&amp;""),0)=IFERROR(--(INDEX('Reguler Class Availability'!$F:$F,$Q322)&amp;""),0),"Penuh",IF(IFERROR(--(INDEX('Reguler Class Availability'!$G:$G,$Q322)&amp;""),0)=0,IF(INDEX('Reguler Class Availability'!$B:$B,$Q322)&amp;""="","Kosong","Belum terisi"),IF(IFERROR(--(INDEX('Reguler Class Availability'!$G:$G,$Q322)&amp;""),0)/IFERROR(--(INDEX('Reguler Class Availability'!$F:$F,$Q322)&amp;""),0)&gt;=0.6,"Tinggi","Sebagian"))))))</f>
        <v>Belum terisi</v>
      </c>
      <c r="F322" s="77" t="str">
        <f aca="false">IF($Q322="","",PROPER(INDEX('Reguler Class Availability'!$B:$B,$Q322)&amp;""))</f>
        <v>Baby</v>
      </c>
      <c r="G322" s="76" t="n">
        <f aca="false">IF($Q322="","",IFERROR(--(INDEX('Reguler Class Availability'!$F:$F,$Q322)&amp;""),0))</f>
        <v>5</v>
      </c>
      <c r="H322" s="77" t="str">
        <f aca="false">IF($Q322="","",PROPER(INDEX('Reguler Class Availability'!$I:$I,$Q322)&amp;"")&amp;IF(INDEX('Reguler Class Availability'!$J:$J,$Q322)&amp;""="",""," + asst "&amp;PROPER(INDEX('Reguler Class Availability'!$J:$J,$Q322)&amp;"")))</f>
        <v/>
      </c>
      <c r="I322" s="77" t="s">
        <v>473</v>
      </c>
      <c r="J322" s="77" t="s">
        <v>188</v>
      </c>
      <c r="K322" s="78"/>
      <c r="L322" s="78"/>
      <c r="M322" s="78"/>
      <c r="N322" s="79"/>
      <c r="O322" s="78"/>
      <c r="Q322" s="30" t="n">
        <f aca="false">IFERROR(MATCH($B$4&amp;"|- Lane "&amp;D322&amp;" - "&amp;B322&amp;"|"&amp;C322,'Reguler Class Availability'!$L:$L,0),"")</f>
        <v>1935</v>
      </c>
      <c r="BD322" s="30" t="s">
        <v>129</v>
      </c>
      <c r="BE322" s="30" t="n">
        <f aca="false">IF(COUNTIFS('Reguler Class Availability'!$L:$L,$B$4&amp;"|- Lane 6 - *|"&amp;BD322)&gt;0,1,0)</f>
        <v>1</v>
      </c>
      <c r="BF322" s="30" t="n">
        <f aca="false">BE322+BF321</f>
        <v>5</v>
      </c>
    </row>
    <row r="323" customFormat="false" ht="27.75" hidden="false" customHeight="true" outlineLevel="0" collapsed="false">
      <c r="A323" s="76" t="n">
        <v>197</v>
      </c>
      <c r="B323" s="77" t="s">
        <v>117</v>
      </c>
      <c r="C323" s="76" t="s">
        <v>143</v>
      </c>
      <c r="D323" s="76" t="n">
        <v>2</v>
      </c>
      <c r="E323" s="77" t="str">
        <f aca="false">IF($Q323="","Tidak ada di data",IF(AND(IFERROR(--(INDEX('Reguler Class Availability'!$F:$F,$Q323)&amp;""),0)=0,IFERROR(--(INDEX('Reguler Class Availability'!$G:$G,$Q323)&amp;""),0)=0),"Tutup",IF(IFERROR(--(INDEX('Reguler Class Availability'!$G:$G,$Q323)&amp;""),0)&gt;IFERROR(--(INDEX('Reguler Class Availability'!$F:$F,$Q323)&amp;""),0),"Lebih",IF(IFERROR(--(INDEX('Reguler Class Availability'!$G:$G,$Q323)&amp;""),0)=IFERROR(--(INDEX('Reguler Class Availability'!$F:$F,$Q323)&amp;""),0),"Penuh",IF(IFERROR(--(INDEX('Reguler Class Availability'!$G:$G,$Q323)&amp;""),0)=0,IF(INDEX('Reguler Class Availability'!$B:$B,$Q323)&amp;""="","Kosong","Belum terisi"),IF(IFERROR(--(INDEX('Reguler Class Availability'!$G:$G,$Q323)&amp;""),0)/IFERROR(--(INDEX('Reguler Class Availability'!$F:$F,$Q323)&amp;""),0)&gt;=0.6,"Tinggi","Sebagian"))))))</f>
        <v>Belum terisi</v>
      </c>
      <c r="F323" s="77" t="str">
        <f aca="false">IF($Q323="","",PROPER(INDEX('Reguler Class Availability'!$B:$B,$Q323)&amp;""))</f>
        <v>Tiny</v>
      </c>
      <c r="G323" s="76" t="n">
        <f aca="false">IF($Q323="","",IFERROR(--(INDEX('Reguler Class Availability'!$F:$F,$Q323)&amp;""),0))</f>
        <v>5</v>
      </c>
      <c r="H323" s="77" t="str">
        <f aca="false">IF($Q323="","",PROPER(INDEX('Reguler Class Availability'!$I:$I,$Q323)&amp;"")&amp;IF(INDEX('Reguler Class Availability'!$J:$J,$Q323)&amp;""="",""," + asst "&amp;PROPER(INDEX('Reguler Class Availability'!$J:$J,$Q323)&amp;"")))</f>
        <v/>
      </c>
      <c r="I323" s="77" t="s">
        <v>473</v>
      </c>
      <c r="J323" s="77" t="s">
        <v>188</v>
      </c>
      <c r="K323" s="78"/>
      <c r="L323" s="78"/>
      <c r="M323" s="78"/>
      <c r="N323" s="79"/>
      <c r="O323" s="78"/>
      <c r="Q323" s="30" t="n">
        <f aca="false">IFERROR(MATCH($B$4&amp;"|- Lane "&amp;D323&amp;" - "&amp;B323&amp;"|"&amp;C323,'Reguler Class Availability'!$L:$L,0),"")</f>
        <v>2033</v>
      </c>
      <c r="BD323" s="30" t="s">
        <v>130</v>
      </c>
      <c r="BE323" s="30" t="n">
        <f aca="false">IF(COUNTIFS('Reguler Class Availability'!$L:$L,$B$4&amp;"|- Lane 6 - *|"&amp;BD323)&gt;0,1,0)</f>
        <v>0</v>
      </c>
      <c r="BF323" s="30" t="n">
        <f aca="false">BE323+BF322</f>
        <v>5</v>
      </c>
    </row>
    <row r="324" customFormat="false" ht="27.75" hidden="false" customHeight="true" outlineLevel="0" collapsed="false">
      <c r="A324" s="76" t="n">
        <v>198</v>
      </c>
      <c r="B324" s="77" t="s">
        <v>117</v>
      </c>
      <c r="C324" s="76" t="s">
        <v>143</v>
      </c>
      <c r="D324" s="76" t="n">
        <v>5</v>
      </c>
      <c r="E324" s="77" t="str">
        <f aca="false">IF($Q324="","Tidak ada di data",IF(AND(IFERROR(--(INDEX('Reguler Class Availability'!$F:$F,$Q324)&amp;""),0)=0,IFERROR(--(INDEX('Reguler Class Availability'!$G:$G,$Q324)&amp;""),0)=0),"Tutup",IF(IFERROR(--(INDEX('Reguler Class Availability'!$G:$G,$Q324)&amp;""),0)&gt;IFERROR(--(INDEX('Reguler Class Availability'!$F:$F,$Q324)&amp;""),0),"Lebih",IF(IFERROR(--(INDEX('Reguler Class Availability'!$G:$G,$Q324)&amp;""),0)=IFERROR(--(INDEX('Reguler Class Availability'!$F:$F,$Q324)&amp;""),0),"Penuh",IF(IFERROR(--(INDEX('Reguler Class Availability'!$G:$G,$Q324)&amp;""),0)=0,IF(INDEX('Reguler Class Availability'!$B:$B,$Q324)&amp;""="","Kosong","Belum terisi"),IF(IFERROR(--(INDEX('Reguler Class Availability'!$G:$G,$Q324)&amp;""),0)/IFERROR(--(INDEX('Reguler Class Availability'!$F:$F,$Q324)&amp;""),0)&gt;=0.6,"Tinggi","Sebagian"))))))</f>
        <v>Kosong</v>
      </c>
      <c r="F324" s="77" t="str">
        <f aca="false">IF($Q324="","",PROPER(INDEX('Reguler Class Availability'!$B:$B,$Q324)&amp;""))</f>
        <v/>
      </c>
      <c r="G324" s="76" t="n">
        <f aca="false">IF($Q324="","",IFERROR(--(INDEX('Reguler Class Availability'!$F:$F,$Q324)&amp;""),0))</f>
        <v>4</v>
      </c>
      <c r="H324" s="77" t="str">
        <f aca="false">IF($Q324="","",PROPER(INDEX('Reguler Class Availability'!$I:$I,$Q324)&amp;"")&amp;IF(INDEX('Reguler Class Availability'!$J:$J,$Q324)&amp;""="",""," + asst "&amp;PROPER(INDEX('Reguler Class Availability'!$J:$J,$Q324)&amp;"")))</f>
        <v/>
      </c>
      <c r="I324" s="77" t="s">
        <v>473</v>
      </c>
      <c r="J324" s="77" t="s">
        <v>188</v>
      </c>
      <c r="K324" s="78"/>
      <c r="L324" s="78"/>
      <c r="M324" s="78"/>
      <c r="N324" s="79"/>
      <c r="O324" s="78"/>
      <c r="Q324" s="30" t="n">
        <f aca="false">IFERROR(MATCH($B$4&amp;"|- Lane "&amp;D324&amp;" - "&amp;B324&amp;"|"&amp;C324,'Reguler Class Availability'!$L:$L,0),"")</f>
        <v>2285</v>
      </c>
      <c r="BD324" s="30" t="s">
        <v>131</v>
      </c>
      <c r="BE324" s="30" t="n">
        <f aca="false">IF(COUNTIFS('Reguler Class Availability'!$L:$L,$B$4&amp;"|- Lane 6 - *|"&amp;BD324)&gt;0,1,0)</f>
        <v>0</v>
      </c>
      <c r="BF324" s="30" t="n">
        <f aca="false">BE324+BF323</f>
        <v>5</v>
      </c>
    </row>
    <row r="325" customFormat="false" ht="40.5" hidden="false" customHeight="true" outlineLevel="0" collapsed="false">
      <c r="A325" s="76" t="n">
        <v>199</v>
      </c>
      <c r="B325" s="77" t="s">
        <v>117</v>
      </c>
      <c r="C325" s="76" t="s">
        <v>144</v>
      </c>
      <c r="D325" s="76" t="n">
        <v>3</v>
      </c>
      <c r="E325" s="77" t="str">
        <f aca="false">IF($Q325="","Tidak ada di data",IF(AND(IFERROR(--(INDEX('Reguler Class Availability'!$F:$F,$Q325)&amp;""),0)=0,IFERROR(--(INDEX('Reguler Class Availability'!$G:$G,$Q325)&amp;""),0)=0),"Tutup",IF(IFERROR(--(INDEX('Reguler Class Availability'!$G:$G,$Q325)&amp;""),0)&gt;IFERROR(--(INDEX('Reguler Class Availability'!$F:$F,$Q325)&amp;""),0),"Lebih",IF(IFERROR(--(INDEX('Reguler Class Availability'!$G:$G,$Q325)&amp;""),0)=IFERROR(--(INDEX('Reguler Class Availability'!$F:$F,$Q325)&amp;""),0),"Penuh",IF(IFERROR(--(INDEX('Reguler Class Availability'!$G:$G,$Q325)&amp;""),0)=0,IF(INDEX('Reguler Class Availability'!$B:$B,$Q325)&amp;""="","Kosong","Belum terisi"),IF(IFERROR(--(INDEX('Reguler Class Availability'!$G:$G,$Q325)&amp;""),0)/IFERROR(--(INDEX('Reguler Class Availability'!$F:$F,$Q325)&amp;""),0)&gt;=0.6,"Tinggi","Sebagian"))))))</f>
        <v>Belum terisi</v>
      </c>
      <c r="F325" s="77" t="str">
        <f aca="false">IF($Q325="","",PROPER(INDEX('Reguler Class Availability'!$B:$B,$Q325)&amp;""))</f>
        <v>Little</v>
      </c>
      <c r="G325" s="76" t="n">
        <f aca="false">IF($Q325="","",IFERROR(--(INDEX('Reguler Class Availability'!$F:$F,$Q325)&amp;""),0))</f>
        <v>4</v>
      </c>
      <c r="H325" s="77" t="str">
        <f aca="false">IF($Q325="","",PROPER(INDEX('Reguler Class Availability'!$I:$I,$Q325)&amp;"")&amp;IF(INDEX('Reguler Class Availability'!$J:$J,$Q325)&amp;""="",""," + asst "&amp;PROPER(INDEX('Reguler Class Availability'!$J:$J,$Q325)&amp;"")))</f>
        <v/>
      </c>
      <c r="I325" s="77" t="s">
        <v>469</v>
      </c>
      <c r="J325" s="77" t="s">
        <v>188</v>
      </c>
      <c r="K325" s="78"/>
      <c r="L325" s="78"/>
      <c r="M325" s="78"/>
      <c r="N325" s="79"/>
      <c r="O325" s="78"/>
      <c r="Q325" s="30" t="n">
        <f aca="false">IFERROR(MATCH($B$4&amp;"|- Lane "&amp;D325&amp;" - "&amp;B325&amp;"|"&amp;C325,'Reguler Class Availability'!$L:$L,0),"")</f>
        <v>2117</v>
      </c>
      <c r="BD325" s="30" t="s">
        <v>132</v>
      </c>
      <c r="BE325" s="30" t="n">
        <f aca="false">IF(COUNTIFS('Reguler Class Availability'!$L:$L,$B$4&amp;"|- Lane 6 - *|"&amp;BD325)&gt;0,1,0)</f>
        <v>1</v>
      </c>
      <c r="BF325" s="30" t="n">
        <f aca="false">BE325+BF324</f>
        <v>6</v>
      </c>
    </row>
    <row r="326" customFormat="false" ht="40.5" hidden="false" customHeight="true" outlineLevel="0" collapsed="false">
      <c r="A326" s="76" t="n">
        <v>200</v>
      </c>
      <c r="B326" s="77" t="s">
        <v>117</v>
      </c>
      <c r="C326" s="76" t="s">
        <v>144</v>
      </c>
      <c r="D326" s="76" t="n">
        <v>4</v>
      </c>
      <c r="E326" s="77" t="str">
        <f aca="false">IF($Q326="","Tidak ada di data",IF(AND(IFERROR(--(INDEX('Reguler Class Availability'!$F:$F,$Q326)&amp;""),0)=0,IFERROR(--(INDEX('Reguler Class Availability'!$G:$G,$Q326)&amp;""),0)=0),"Tutup",IF(IFERROR(--(INDEX('Reguler Class Availability'!$G:$G,$Q326)&amp;""),0)&gt;IFERROR(--(INDEX('Reguler Class Availability'!$F:$F,$Q326)&amp;""),0),"Lebih",IF(IFERROR(--(INDEX('Reguler Class Availability'!$G:$G,$Q326)&amp;""),0)=IFERROR(--(INDEX('Reguler Class Availability'!$F:$F,$Q326)&amp;""),0),"Penuh",IF(IFERROR(--(INDEX('Reguler Class Availability'!$G:$G,$Q326)&amp;""),0)=0,IF(INDEX('Reguler Class Availability'!$B:$B,$Q326)&amp;""="","Kosong","Belum terisi"),IF(IFERROR(--(INDEX('Reguler Class Availability'!$G:$G,$Q326)&amp;""),0)/IFERROR(--(INDEX('Reguler Class Availability'!$F:$F,$Q326)&amp;""),0)&gt;=0.6,"Tinggi","Sebagian"))))))</f>
        <v>Belum terisi</v>
      </c>
      <c r="F326" s="77" t="str">
        <f aca="false">IF($Q326="","",PROPER(INDEX('Reguler Class Availability'!$B:$B,$Q326)&amp;""))</f>
        <v>Kids</v>
      </c>
      <c r="G326" s="76" t="n">
        <f aca="false">IF($Q326="","",IFERROR(--(INDEX('Reguler Class Availability'!$F:$F,$Q326)&amp;""),0))</f>
        <v>4</v>
      </c>
      <c r="H326" s="77" t="str">
        <f aca="false">IF($Q326="","",PROPER(INDEX('Reguler Class Availability'!$I:$I,$Q326)&amp;"")&amp;IF(INDEX('Reguler Class Availability'!$J:$J,$Q326)&amp;""="",""," + asst "&amp;PROPER(INDEX('Reguler Class Availability'!$J:$J,$Q326)&amp;"")))</f>
        <v/>
      </c>
      <c r="I326" s="77" t="s">
        <v>469</v>
      </c>
      <c r="J326" s="77" t="s">
        <v>188</v>
      </c>
      <c r="K326" s="78"/>
      <c r="L326" s="78"/>
      <c r="M326" s="78"/>
      <c r="N326" s="79"/>
      <c r="O326" s="78"/>
      <c r="Q326" s="30" t="n">
        <f aca="false">IFERROR(MATCH($B$4&amp;"|- Lane "&amp;D326&amp;" - "&amp;B326&amp;"|"&amp;C326,'Reguler Class Availability'!$L:$L,0),"")</f>
        <v>2201</v>
      </c>
      <c r="BD326" s="30" t="s">
        <v>133</v>
      </c>
      <c r="BE326" s="30" t="n">
        <f aca="false">IF(COUNTIFS('Reguler Class Availability'!$L:$L,$B$4&amp;"|- Lane 6 - *|"&amp;BD326)&gt;0,1,0)</f>
        <v>0</v>
      </c>
      <c r="BF326" s="30" t="n">
        <f aca="false">BE326+BF325</f>
        <v>6</v>
      </c>
    </row>
    <row r="327" customFormat="false" ht="27.75" hidden="false" customHeight="true" outlineLevel="0" collapsed="false">
      <c r="A327" s="76" t="n">
        <v>201</v>
      </c>
      <c r="B327" s="77" t="s">
        <v>117</v>
      </c>
      <c r="C327" s="76" t="s">
        <v>146</v>
      </c>
      <c r="D327" s="76" t="n">
        <v>1</v>
      </c>
      <c r="E327" s="77" t="str">
        <f aca="false">IF($Q327="","Tidak ada di data",IF(AND(IFERROR(--(INDEX('Reguler Class Availability'!$F:$F,$Q327)&amp;""),0)=0,IFERROR(--(INDEX('Reguler Class Availability'!$G:$G,$Q327)&amp;""),0)=0),"Tutup",IF(IFERROR(--(INDEX('Reguler Class Availability'!$G:$G,$Q327)&amp;""),0)&gt;IFERROR(--(INDEX('Reguler Class Availability'!$F:$F,$Q327)&amp;""),0),"Lebih",IF(IFERROR(--(INDEX('Reguler Class Availability'!$G:$G,$Q327)&amp;""),0)=IFERROR(--(INDEX('Reguler Class Availability'!$F:$F,$Q327)&amp;""),0),"Penuh",IF(IFERROR(--(INDEX('Reguler Class Availability'!$G:$G,$Q327)&amp;""),0)=0,IF(INDEX('Reguler Class Availability'!$B:$B,$Q327)&amp;""="","Kosong","Belum terisi"),IF(IFERROR(--(INDEX('Reguler Class Availability'!$G:$G,$Q327)&amp;""),0)/IFERROR(--(INDEX('Reguler Class Availability'!$F:$F,$Q327)&amp;""),0)&gt;=0.6,"Tinggi","Sebagian"))))))</f>
        <v>Belum terisi</v>
      </c>
      <c r="F327" s="77" t="str">
        <f aca="false">IF($Q327="","",PROPER(INDEX('Reguler Class Availability'!$B:$B,$Q327)&amp;""))</f>
        <v>Baby</v>
      </c>
      <c r="G327" s="76" t="n">
        <f aca="false">IF($Q327="","",IFERROR(--(INDEX('Reguler Class Availability'!$F:$F,$Q327)&amp;""),0))</f>
        <v>5</v>
      </c>
      <c r="H327" s="77" t="str">
        <f aca="false">IF($Q327="","",PROPER(INDEX('Reguler Class Availability'!$I:$I,$Q327)&amp;"")&amp;IF(INDEX('Reguler Class Availability'!$J:$J,$Q327)&amp;""="",""," + asst "&amp;PROPER(INDEX('Reguler Class Availability'!$J:$J,$Q327)&amp;"")))</f>
        <v/>
      </c>
      <c r="I327" s="77" t="s">
        <v>470</v>
      </c>
      <c r="J327" s="77" t="s">
        <v>188</v>
      </c>
      <c r="K327" s="78"/>
      <c r="L327" s="78"/>
      <c r="M327" s="78"/>
      <c r="N327" s="79"/>
      <c r="O327" s="78"/>
      <c r="Q327" s="30" t="n">
        <f aca="false">IFERROR(MATCH($B$4&amp;"|- Lane "&amp;D327&amp;" - "&amp;B327&amp;"|"&amp;C327,'Reguler Class Availability'!$L:$L,0),"")</f>
        <v>1936</v>
      </c>
      <c r="BD327" s="30" t="s">
        <v>134</v>
      </c>
      <c r="BE327" s="30" t="n">
        <f aca="false">IF(COUNTIFS('Reguler Class Availability'!$L:$L,$B$4&amp;"|- Lane 6 - *|"&amp;BD327)&gt;0,1,0)</f>
        <v>0</v>
      </c>
      <c r="BF327" s="30" t="n">
        <f aca="false">BE327+BF326</f>
        <v>6</v>
      </c>
    </row>
    <row r="328" customFormat="false" ht="27.75" hidden="false" customHeight="true" outlineLevel="0" collapsed="false">
      <c r="A328" s="76" t="n">
        <v>202</v>
      </c>
      <c r="B328" s="77" t="s">
        <v>117</v>
      </c>
      <c r="C328" s="76" t="s">
        <v>146</v>
      </c>
      <c r="D328" s="76" t="n">
        <v>2</v>
      </c>
      <c r="E328" s="77" t="str">
        <f aca="false">IF($Q328="","Tidak ada di data",IF(AND(IFERROR(--(INDEX('Reguler Class Availability'!$F:$F,$Q328)&amp;""),0)=0,IFERROR(--(INDEX('Reguler Class Availability'!$G:$G,$Q328)&amp;""),0)=0),"Tutup",IF(IFERROR(--(INDEX('Reguler Class Availability'!$G:$G,$Q328)&amp;""),0)&gt;IFERROR(--(INDEX('Reguler Class Availability'!$F:$F,$Q328)&amp;""),0),"Lebih",IF(IFERROR(--(INDEX('Reguler Class Availability'!$G:$G,$Q328)&amp;""),0)=IFERROR(--(INDEX('Reguler Class Availability'!$F:$F,$Q328)&amp;""),0),"Penuh",IF(IFERROR(--(INDEX('Reguler Class Availability'!$G:$G,$Q328)&amp;""),0)=0,IF(INDEX('Reguler Class Availability'!$B:$B,$Q328)&amp;""="","Kosong","Belum terisi"),IF(IFERROR(--(INDEX('Reguler Class Availability'!$G:$G,$Q328)&amp;""),0)/IFERROR(--(INDEX('Reguler Class Availability'!$F:$F,$Q328)&amp;""),0)&gt;=0.6,"Tinggi","Sebagian"))))))</f>
        <v>Belum terisi</v>
      </c>
      <c r="F328" s="77" t="str">
        <f aca="false">IF($Q328="","",PROPER(INDEX('Reguler Class Availability'!$B:$B,$Q328)&amp;""))</f>
        <v>Tiny</v>
      </c>
      <c r="G328" s="76" t="n">
        <f aca="false">IF($Q328="","",IFERROR(--(INDEX('Reguler Class Availability'!$F:$F,$Q328)&amp;""),0))</f>
        <v>5</v>
      </c>
      <c r="H328" s="77" t="str">
        <f aca="false">IF($Q328="","",PROPER(INDEX('Reguler Class Availability'!$I:$I,$Q328)&amp;"")&amp;IF(INDEX('Reguler Class Availability'!$J:$J,$Q328)&amp;""="",""," + asst "&amp;PROPER(INDEX('Reguler Class Availability'!$J:$J,$Q328)&amp;"")))</f>
        <v/>
      </c>
      <c r="I328" s="77" t="s">
        <v>470</v>
      </c>
      <c r="J328" s="77" t="s">
        <v>188</v>
      </c>
      <c r="K328" s="78"/>
      <c r="L328" s="78"/>
      <c r="M328" s="78"/>
      <c r="N328" s="79"/>
      <c r="O328" s="78"/>
      <c r="Q328" s="30" t="n">
        <f aca="false">IFERROR(MATCH($B$4&amp;"|- Lane "&amp;D328&amp;" - "&amp;B328&amp;"|"&amp;C328,'Reguler Class Availability'!$L:$L,0),"")</f>
        <v>2034</v>
      </c>
      <c r="BD328" s="30" t="s">
        <v>135</v>
      </c>
      <c r="BE328" s="30" t="n">
        <f aca="false">IF(COUNTIFS('Reguler Class Availability'!$L:$L,$B$4&amp;"|- Lane 6 - *|"&amp;BD328)&gt;0,1,0)</f>
        <v>0</v>
      </c>
      <c r="BF328" s="30" t="n">
        <f aca="false">BE328+BF327</f>
        <v>6</v>
      </c>
    </row>
    <row r="329" customFormat="false" ht="27.75" hidden="false" customHeight="true" outlineLevel="0" collapsed="false">
      <c r="A329" s="76" t="n">
        <v>203</v>
      </c>
      <c r="B329" s="77" t="s">
        <v>117</v>
      </c>
      <c r="C329" s="76" t="s">
        <v>146</v>
      </c>
      <c r="D329" s="76" t="n">
        <v>5</v>
      </c>
      <c r="E329" s="77" t="str">
        <f aca="false">IF($Q329="","Tidak ada di data",IF(AND(IFERROR(--(INDEX('Reguler Class Availability'!$F:$F,$Q329)&amp;""),0)=0,IFERROR(--(INDEX('Reguler Class Availability'!$G:$G,$Q329)&amp;""),0)=0),"Tutup",IF(IFERROR(--(INDEX('Reguler Class Availability'!$G:$G,$Q329)&amp;""),0)&gt;IFERROR(--(INDEX('Reguler Class Availability'!$F:$F,$Q329)&amp;""),0),"Lebih",IF(IFERROR(--(INDEX('Reguler Class Availability'!$G:$G,$Q329)&amp;""),0)=IFERROR(--(INDEX('Reguler Class Availability'!$F:$F,$Q329)&amp;""),0),"Penuh",IF(IFERROR(--(INDEX('Reguler Class Availability'!$G:$G,$Q329)&amp;""),0)=0,IF(INDEX('Reguler Class Availability'!$B:$B,$Q329)&amp;""="","Kosong","Belum terisi"),IF(IFERROR(--(INDEX('Reguler Class Availability'!$G:$G,$Q329)&amp;""),0)/IFERROR(--(INDEX('Reguler Class Availability'!$F:$F,$Q329)&amp;""),0)&gt;=0.6,"Tinggi","Sebagian"))))))</f>
        <v>Kosong</v>
      </c>
      <c r="F329" s="77" t="str">
        <f aca="false">IF($Q329="","",PROPER(INDEX('Reguler Class Availability'!$B:$B,$Q329)&amp;""))</f>
        <v/>
      </c>
      <c r="G329" s="76" t="n">
        <f aca="false">IF($Q329="","",IFERROR(--(INDEX('Reguler Class Availability'!$F:$F,$Q329)&amp;""),0))</f>
        <v>4</v>
      </c>
      <c r="H329" s="77" t="str">
        <f aca="false">IF($Q329="","",PROPER(INDEX('Reguler Class Availability'!$I:$I,$Q329)&amp;"")&amp;IF(INDEX('Reguler Class Availability'!$J:$J,$Q329)&amp;""="",""," + asst "&amp;PROPER(INDEX('Reguler Class Availability'!$J:$J,$Q329)&amp;"")))</f>
        <v/>
      </c>
      <c r="I329" s="77" t="s">
        <v>470</v>
      </c>
      <c r="J329" s="77" t="s">
        <v>188</v>
      </c>
      <c r="K329" s="78"/>
      <c r="L329" s="78"/>
      <c r="M329" s="78"/>
      <c r="N329" s="79"/>
      <c r="O329" s="78"/>
      <c r="Q329" s="30" t="n">
        <f aca="false">IFERROR(MATCH($B$4&amp;"|- Lane "&amp;D329&amp;" - "&amp;B329&amp;"|"&amp;C329,'Reguler Class Availability'!$L:$L,0),"")</f>
        <v>2286</v>
      </c>
      <c r="BD329" s="30" t="s">
        <v>136</v>
      </c>
      <c r="BE329" s="30" t="n">
        <f aca="false">IF(COUNTIFS('Reguler Class Availability'!$L:$L,$B$4&amp;"|- Lane 6 - *|"&amp;BD329)&gt;0,1,0)</f>
        <v>0</v>
      </c>
      <c r="BF329" s="30" t="n">
        <f aca="false">BE329+BF328</f>
        <v>6</v>
      </c>
    </row>
    <row r="330" customFormat="false" ht="27.75" hidden="false" customHeight="true" outlineLevel="0" collapsed="false">
      <c r="A330" s="76" t="n">
        <v>204</v>
      </c>
      <c r="B330" s="77" t="s">
        <v>117</v>
      </c>
      <c r="C330" s="76" t="s">
        <v>147</v>
      </c>
      <c r="D330" s="76" t="n">
        <v>3</v>
      </c>
      <c r="E330" s="77" t="str">
        <f aca="false">IF($Q330="","Tidak ada di data",IF(AND(IFERROR(--(INDEX('Reguler Class Availability'!$F:$F,$Q330)&amp;""),0)=0,IFERROR(--(INDEX('Reguler Class Availability'!$G:$G,$Q330)&amp;""),0)=0),"Tutup",IF(IFERROR(--(INDEX('Reguler Class Availability'!$G:$G,$Q330)&amp;""),0)&gt;IFERROR(--(INDEX('Reguler Class Availability'!$F:$F,$Q330)&amp;""),0),"Lebih",IF(IFERROR(--(INDEX('Reguler Class Availability'!$G:$G,$Q330)&amp;""),0)=IFERROR(--(INDEX('Reguler Class Availability'!$F:$F,$Q330)&amp;""),0),"Penuh",IF(IFERROR(--(INDEX('Reguler Class Availability'!$G:$G,$Q330)&amp;""),0)=0,IF(INDEX('Reguler Class Availability'!$B:$B,$Q330)&amp;""="","Kosong","Belum terisi"),IF(IFERROR(--(INDEX('Reguler Class Availability'!$G:$G,$Q330)&amp;""),0)/IFERROR(--(INDEX('Reguler Class Availability'!$F:$F,$Q330)&amp;""),0)&gt;=0.6,"Tinggi","Sebagian"))))))</f>
        <v>Belum terisi</v>
      </c>
      <c r="F330" s="77" t="str">
        <f aca="false">IF($Q330="","",PROPER(INDEX('Reguler Class Availability'!$B:$B,$Q330)&amp;""))</f>
        <v>Little</v>
      </c>
      <c r="G330" s="76" t="n">
        <f aca="false">IF($Q330="","",IFERROR(--(INDEX('Reguler Class Availability'!$F:$F,$Q330)&amp;""),0))</f>
        <v>4</v>
      </c>
      <c r="H330" s="77" t="str">
        <f aca="false">IF($Q330="","",PROPER(INDEX('Reguler Class Availability'!$I:$I,$Q330)&amp;"")&amp;IF(INDEX('Reguler Class Availability'!$J:$J,$Q330)&amp;""="",""," + asst "&amp;PROPER(INDEX('Reguler Class Availability'!$J:$J,$Q330)&amp;"")))</f>
        <v/>
      </c>
      <c r="I330" s="77" t="s">
        <v>470</v>
      </c>
      <c r="J330" s="77" t="s">
        <v>188</v>
      </c>
      <c r="K330" s="78"/>
      <c r="L330" s="78"/>
      <c r="M330" s="78"/>
      <c r="N330" s="79"/>
      <c r="O330" s="78"/>
      <c r="Q330" s="30" t="n">
        <f aca="false">IFERROR(MATCH($B$4&amp;"|- Lane "&amp;D330&amp;" - "&amp;B330&amp;"|"&amp;C330,'Reguler Class Availability'!$L:$L,0),"")</f>
        <v>2118</v>
      </c>
      <c r="BD330" s="30" t="s">
        <v>138</v>
      </c>
      <c r="BE330" s="30" t="n">
        <f aca="false">IF(COUNTIFS('Reguler Class Availability'!$L:$L,$B$4&amp;"|- Lane 6 - *|"&amp;BD330)&gt;0,1,0)</f>
        <v>0</v>
      </c>
      <c r="BF330" s="30" t="n">
        <f aca="false">BE330+BF329</f>
        <v>6</v>
      </c>
    </row>
    <row r="331" customFormat="false" ht="15.75" hidden="false" customHeight="true" outlineLevel="0" collapsed="false">
      <c r="A331" s="76" t="n">
        <v>205</v>
      </c>
      <c r="B331" s="77" t="s">
        <v>117</v>
      </c>
      <c r="C331" s="76" t="s">
        <v>149</v>
      </c>
      <c r="D331" s="76" t="n">
        <v>1</v>
      </c>
      <c r="E331" s="77" t="str">
        <f aca="false">IF($Q331="","Tidak ada di data",IF(AND(IFERROR(--(INDEX('Reguler Class Availability'!$F:$F,$Q331)&amp;""),0)=0,IFERROR(--(INDEX('Reguler Class Availability'!$G:$G,$Q331)&amp;""),0)=0),"Tutup",IF(IFERROR(--(INDEX('Reguler Class Availability'!$G:$G,$Q331)&amp;""),0)&gt;IFERROR(--(INDEX('Reguler Class Availability'!$F:$F,$Q331)&amp;""),0),"Lebih",IF(IFERROR(--(INDEX('Reguler Class Availability'!$G:$G,$Q331)&amp;""),0)=IFERROR(--(INDEX('Reguler Class Availability'!$F:$F,$Q331)&amp;""),0),"Penuh",IF(IFERROR(--(INDEX('Reguler Class Availability'!$G:$G,$Q331)&amp;""),0)=0,IF(INDEX('Reguler Class Availability'!$B:$B,$Q331)&amp;""="","Kosong","Belum terisi"),IF(IFERROR(--(INDEX('Reguler Class Availability'!$G:$G,$Q331)&amp;""),0)/IFERROR(--(INDEX('Reguler Class Availability'!$F:$F,$Q331)&amp;""),0)&gt;=0.6,"Tinggi","Sebagian"))))))</f>
        <v>Belum terisi</v>
      </c>
      <c r="F331" s="77" t="str">
        <f aca="false">IF($Q331="","",PROPER(INDEX('Reguler Class Availability'!$B:$B,$Q331)&amp;""))</f>
        <v>Baby</v>
      </c>
      <c r="G331" s="76" t="n">
        <f aca="false">IF($Q331="","",IFERROR(--(INDEX('Reguler Class Availability'!$F:$F,$Q331)&amp;""),0))</f>
        <v>5</v>
      </c>
      <c r="H331" s="77" t="str">
        <f aca="false">IF($Q331="","",PROPER(INDEX('Reguler Class Availability'!$I:$I,$Q331)&amp;"")&amp;IF(INDEX('Reguler Class Availability'!$J:$J,$Q331)&amp;""="",""," + asst "&amp;PROPER(INDEX('Reguler Class Availability'!$J:$J,$Q331)&amp;"")))</f>
        <v/>
      </c>
      <c r="I331" s="77" t="s">
        <v>472</v>
      </c>
      <c r="J331" s="77" t="s">
        <v>288</v>
      </c>
      <c r="K331" s="78"/>
      <c r="L331" s="78"/>
      <c r="M331" s="78"/>
      <c r="N331" s="79"/>
      <c r="O331" s="78"/>
      <c r="Q331" s="30" t="n">
        <f aca="false">IFERROR(MATCH($B$4&amp;"|- Lane "&amp;D331&amp;" - "&amp;B331&amp;"|"&amp;C331,'Reguler Class Availability'!$L:$L,0),"")</f>
        <v>1937</v>
      </c>
      <c r="BD331" s="30" t="s">
        <v>139</v>
      </c>
      <c r="BE331" s="30" t="n">
        <f aca="false">IF(COUNTIFS('Reguler Class Availability'!$L:$L,$B$4&amp;"|- Lane 6 - *|"&amp;BD331)&gt;0,1,0)</f>
        <v>1</v>
      </c>
      <c r="BF331" s="30" t="n">
        <f aca="false">BE331+BF330</f>
        <v>7</v>
      </c>
    </row>
    <row r="332" customFormat="false" ht="15.75" hidden="false" customHeight="true" outlineLevel="0" collapsed="false">
      <c r="A332" s="76" t="n">
        <v>206</v>
      </c>
      <c r="B332" s="77" t="s">
        <v>117</v>
      </c>
      <c r="C332" s="76" t="s">
        <v>149</v>
      </c>
      <c r="D332" s="76" t="n">
        <v>2</v>
      </c>
      <c r="E332" s="77" t="str">
        <f aca="false">IF($Q332="","Tidak ada di data",IF(AND(IFERROR(--(INDEX('Reguler Class Availability'!$F:$F,$Q332)&amp;""),0)=0,IFERROR(--(INDEX('Reguler Class Availability'!$G:$G,$Q332)&amp;""),0)=0),"Tutup",IF(IFERROR(--(INDEX('Reguler Class Availability'!$G:$G,$Q332)&amp;""),0)&gt;IFERROR(--(INDEX('Reguler Class Availability'!$F:$F,$Q332)&amp;""),0),"Lebih",IF(IFERROR(--(INDEX('Reguler Class Availability'!$G:$G,$Q332)&amp;""),0)=IFERROR(--(INDEX('Reguler Class Availability'!$F:$F,$Q332)&amp;""),0),"Penuh",IF(IFERROR(--(INDEX('Reguler Class Availability'!$G:$G,$Q332)&amp;""),0)=0,IF(INDEX('Reguler Class Availability'!$B:$B,$Q332)&amp;""="","Kosong","Belum terisi"),IF(IFERROR(--(INDEX('Reguler Class Availability'!$G:$G,$Q332)&amp;""),0)/IFERROR(--(INDEX('Reguler Class Availability'!$F:$F,$Q332)&amp;""),0)&gt;=0.6,"Tinggi","Sebagian"))))))</f>
        <v>Belum terisi</v>
      </c>
      <c r="F332" s="77" t="str">
        <f aca="false">IF($Q332="","",PROPER(INDEX('Reguler Class Availability'!$B:$B,$Q332)&amp;""))</f>
        <v>Tiny</v>
      </c>
      <c r="G332" s="76" t="n">
        <f aca="false">IF($Q332="","",IFERROR(--(INDEX('Reguler Class Availability'!$F:$F,$Q332)&amp;""),0))</f>
        <v>5</v>
      </c>
      <c r="H332" s="77" t="str">
        <f aca="false">IF($Q332="","",PROPER(INDEX('Reguler Class Availability'!$I:$I,$Q332)&amp;"")&amp;IF(INDEX('Reguler Class Availability'!$J:$J,$Q332)&amp;""="",""," + asst "&amp;PROPER(INDEX('Reguler Class Availability'!$J:$J,$Q332)&amp;"")))</f>
        <v/>
      </c>
      <c r="I332" s="77" t="s">
        <v>472</v>
      </c>
      <c r="J332" s="77" t="s">
        <v>198</v>
      </c>
      <c r="K332" s="78"/>
      <c r="L332" s="78"/>
      <c r="M332" s="78"/>
      <c r="N332" s="79"/>
      <c r="O332" s="78"/>
      <c r="Q332" s="30" t="n">
        <f aca="false">IFERROR(MATCH($B$4&amp;"|- Lane "&amp;D332&amp;" - "&amp;B332&amp;"|"&amp;C332,'Reguler Class Availability'!$L:$L,0),"")</f>
        <v>2035</v>
      </c>
      <c r="BD332" s="30" t="s">
        <v>141</v>
      </c>
      <c r="BE332" s="30" t="n">
        <f aca="false">IF(COUNTIFS('Reguler Class Availability'!$L:$L,$B$4&amp;"|- Lane 6 - *|"&amp;BD332)&gt;0,1,0)</f>
        <v>0</v>
      </c>
      <c r="BF332" s="30" t="n">
        <f aca="false">BE332+BF331</f>
        <v>7</v>
      </c>
    </row>
    <row r="333" customFormat="false" ht="15.75" hidden="false" customHeight="true" outlineLevel="0" collapsed="false">
      <c r="A333" s="76" t="n">
        <v>207</v>
      </c>
      <c r="B333" s="77" t="s">
        <v>117</v>
      </c>
      <c r="C333" s="76" t="s">
        <v>149</v>
      </c>
      <c r="D333" s="76" t="n">
        <v>5</v>
      </c>
      <c r="E333" s="77" t="str">
        <f aca="false">IF($Q333="","Tidak ada di data",IF(AND(IFERROR(--(INDEX('Reguler Class Availability'!$F:$F,$Q333)&amp;""),0)=0,IFERROR(--(INDEX('Reguler Class Availability'!$G:$G,$Q333)&amp;""),0)=0),"Tutup",IF(IFERROR(--(INDEX('Reguler Class Availability'!$G:$G,$Q333)&amp;""),0)&gt;IFERROR(--(INDEX('Reguler Class Availability'!$F:$F,$Q333)&amp;""),0),"Lebih",IF(IFERROR(--(INDEX('Reguler Class Availability'!$G:$G,$Q333)&amp;""),0)=IFERROR(--(INDEX('Reguler Class Availability'!$F:$F,$Q333)&amp;""),0),"Penuh",IF(IFERROR(--(INDEX('Reguler Class Availability'!$G:$G,$Q333)&amp;""),0)=0,IF(INDEX('Reguler Class Availability'!$B:$B,$Q333)&amp;""="","Kosong","Belum terisi"),IF(IFERROR(--(INDEX('Reguler Class Availability'!$G:$G,$Q333)&amp;""),0)/IFERROR(--(INDEX('Reguler Class Availability'!$F:$F,$Q333)&amp;""),0)&gt;=0.6,"Tinggi","Sebagian"))))))</f>
        <v>Kosong</v>
      </c>
      <c r="F333" s="77" t="str">
        <f aca="false">IF($Q333="","",PROPER(INDEX('Reguler Class Availability'!$B:$B,$Q333)&amp;""))</f>
        <v/>
      </c>
      <c r="G333" s="76" t="n">
        <f aca="false">IF($Q333="","",IFERROR(--(INDEX('Reguler Class Availability'!$F:$F,$Q333)&amp;""),0))</f>
        <v>4</v>
      </c>
      <c r="H333" s="77" t="str">
        <f aca="false">IF($Q333="","",PROPER(INDEX('Reguler Class Availability'!$I:$I,$Q333)&amp;"")&amp;IF(INDEX('Reguler Class Availability'!$J:$J,$Q333)&amp;""="",""," + asst "&amp;PROPER(INDEX('Reguler Class Availability'!$J:$J,$Q333)&amp;"")))</f>
        <v/>
      </c>
      <c r="I333" s="77" t="s">
        <v>472</v>
      </c>
      <c r="J333" s="77" t="s">
        <v>260</v>
      </c>
      <c r="K333" s="78"/>
      <c r="L333" s="78"/>
      <c r="M333" s="78"/>
      <c r="N333" s="79"/>
      <c r="O333" s="78"/>
      <c r="Q333" s="30" t="n">
        <f aca="false">IFERROR(MATCH($B$4&amp;"|- Lane "&amp;D333&amp;" - "&amp;B333&amp;"|"&amp;C333,'Reguler Class Availability'!$L:$L,0),"")</f>
        <v>2287</v>
      </c>
      <c r="BD333" s="30" t="s">
        <v>142</v>
      </c>
      <c r="BE333" s="30" t="n">
        <f aca="false">IF(COUNTIFS('Reguler Class Availability'!$L:$L,$B$4&amp;"|- Lane 6 - *|"&amp;BD333)&gt;0,1,0)</f>
        <v>0</v>
      </c>
      <c r="BF333" s="30" t="n">
        <f aca="false">BE333+BF332</f>
        <v>7</v>
      </c>
    </row>
    <row r="334" customFormat="false" ht="15.75" hidden="false" customHeight="true" outlineLevel="0" collapsed="false">
      <c r="A334" s="76" t="n">
        <v>208</v>
      </c>
      <c r="B334" s="77" t="s">
        <v>117</v>
      </c>
      <c r="C334" s="76" t="s">
        <v>152</v>
      </c>
      <c r="D334" s="76" t="n">
        <v>1</v>
      </c>
      <c r="E334" s="77" t="str">
        <f aca="false">IF($Q334="","Tidak ada di data",IF(AND(IFERROR(--(INDEX('Reguler Class Availability'!$F:$F,$Q334)&amp;""),0)=0,IFERROR(--(INDEX('Reguler Class Availability'!$G:$G,$Q334)&amp;""),0)=0),"Tutup",IF(IFERROR(--(INDEX('Reguler Class Availability'!$G:$G,$Q334)&amp;""),0)&gt;IFERROR(--(INDEX('Reguler Class Availability'!$F:$F,$Q334)&amp;""),0),"Lebih",IF(IFERROR(--(INDEX('Reguler Class Availability'!$G:$G,$Q334)&amp;""),0)=IFERROR(--(INDEX('Reguler Class Availability'!$F:$F,$Q334)&amp;""),0),"Penuh",IF(IFERROR(--(INDEX('Reguler Class Availability'!$G:$G,$Q334)&amp;""),0)=0,IF(INDEX('Reguler Class Availability'!$B:$B,$Q334)&amp;""="","Kosong","Belum terisi"),IF(IFERROR(--(INDEX('Reguler Class Availability'!$G:$G,$Q334)&amp;""),0)/IFERROR(--(INDEX('Reguler Class Availability'!$F:$F,$Q334)&amp;""),0)&gt;=0.6,"Tinggi","Sebagian"))))))</f>
        <v>Belum terisi</v>
      </c>
      <c r="F334" s="77" t="str">
        <f aca="false">IF($Q334="","",PROPER(INDEX('Reguler Class Availability'!$B:$B,$Q334)&amp;""))</f>
        <v>Baby</v>
      </c>
      <c r="G334" s="76" t="n">
        <f aca="false">IF($Q334="","",IFERROR(--(INDEX('Reguler Class Availability'!$F:$F,$Q334)&amp;""),0))</f>
        <v>5</v>
      </c>
      <c r="H334" s="77" t="str">
        <f aca="false">IF($Q334="","",PROPER(INDEX('Reguler Class Availability'!$I:$I,$Q334)&amp;"")&amp;IF(INDEX('Reguler Class Availability'!$J:$J,$Q334)&amp;""="",""," + asst "&amp;PROPER(INDEX('Reguler Class Availability'!$J:$J,$Q334)&amp;"")))</f>
        <v/>
      </c>
      <c r="I334" s="77" t="s">
        <v>474</v>
      </c>
      <c r="J334" s="77" t="s">
        <v>288</v>
      </c>
      <c r="K334" s="78"/>
      <c r="L334" s="78"/>
      <c r="M334" s="78"/>
      <c r="N334" s="79"/>
      <c r="O334" s="78"/>
      <c r="Q334" s="30" t="n">
        <f aca="false">IFERROR(MATCH($B$4&amp;"|- Lane "&amp;D334&amp;" - "&amp;B334&amp;"|"&amp;C334,'Reguler Class Availability'!$L:$L,0),"")</f>
        <v>1938</v>
      </c>
      <c r="BD334" s="30" t="s">
        <v>143</v>
      </c>
      <c r="BE334" s="30" t="n">
        <f aca="false">IF(COUNTIFS('Reguler Class Availability'!$L:$L,$B$4&amp;"|- Lane 6 - *|"&amp;BD334)&gt;0,1,0)</f>
        <v>1</v>
      </c>
      <c r="BF334" s="30" t="n">
        <f aca="false">BE334+BF333</f>
        <v>8</v>
      </c>
    </row>
    <row r="335" customFormat="false" ht="15.75" hidden="false" customHeight="true" outlineLevel="0" collapsed="false">
      <c r="A335" s="76" t="n">
        <v>209</v>
      </c>
      <c r="B335" s="77" t="s">
        <v>117</v>
      </c>
      <c r="C335" s="76" t="s">
        <v>152</v>
      </c>
      <c r="D335" s="76" t="n">
        <v>2</v>
      </c>
      <c r="E335" s="77" t="str">
        <f aca="false">IF($Q335="","Tidak ada di data",IF(AND(IFERROR(--(INDEX('Reguler Class Availability'!$F:$F,$Q335)&amp;""),0)=0,IFERROR(--(INDEX('Reguler Class Availability'!$G:$G,$Q335)&amp;""),0)=0),"Tutup",IF(IFERROR(--(INDEX('Reguler Class Availability'!$G:$G,$Q335)&amp;""),0)&gt;IFERROR(--(INDEX('Reguler Class Availability'!$F:$F,$Q335)&amp;""),0),"Lebih",IF(IFERROR(--(INDEX('Reguler Class Availability'!$G:$G,$Q335)&amp;""),0)=IFERROR(--(INDEX('Reguler Class Availability'!$F:$F,$Q335)&amp;""),0),"Penuh",IF(IFERROR(--(INDEX('Reguler Class Availability'!$G:$G,$Q335)&amp;""),0)=0,IF(INDEX('Reguler Class Availability'!$B:$B,$Q335)&amp;""="","Kosong","Belum terisi"),IF(IFERROR(--(INDEX('Reguler Class Availability'!$G:$G,$Q335)&amp;""),0)/IFERROR(--(INDEX('Reguler Class Availability'!$F:$F,$Q335)&amp;""),0)&gt;=0.6,"Tinggi","Sebagian"))))))</f>
        <v>Belum terisi</v>
      </c>
      <c r="F335" s="77" t="str">
        <f aca="false">IF($Q335="","",PROPER(INDEX('Reguler Class Availability'!$B:$B,$Q335)&amp;""))</f>
        <v>Tiny</v>
      </c>
      <c r="G335" s="76" t="n">
        <f aca="false">IF($Q335="","",IFERROR(--(INDEX('Reguler Class Availability'!$F:$F,$Q335)&amp;""),0))</f>
        <v>5</v>
      </c>
      <c r="H335" s="77" t="str">
        <f aca="false">IF($Q335="","",PROPER(INDEX('Reguler Class Availability'!$I:$I,$Q335)&amp;"")&amp;IF(INDEX('Reguler Class Availability'!$J:$J,$Q335)&amp;""="",""," + asst "&amp;PROPER(INDEX('Reguler Class Availability'!$J:$J,$Q335)&amp;"")))</f>
        <v/>
      </c>
      <c r="I335" s="77" t="s">
        <v>474</v>
      </c>
      <c r="J335" s="77" t="s">
        <v>198</v>
      </c>
      <c r="K335" s="78"/>
      <c r="L335" s="78"/>
      <c r="M335" s="78"/>
      <c r="N335" s="79"/>
      <c r="O335" s="78"/>
      <c r="Q335" s="30" t="n">
        <f aca="false">IFERROR(MATCH($B$4&amp;"|- Lane "&amp;D335&amp;" - "&amp;B335&amp;"|"&amp;C335,'Reguler Class Availability'!$L:$L,0),"")</f>
        <v>2036</v>
      </c>
      <c r="BD335" s="30" t="s">
        <v>144</v>
      </c>
      <c r="BE335" s="30" t="n">
        <f aca="false">IF(COUNTIFS('Reguler Class Availability'!$L:$L,$B$4&amp;"|- Lane 6 - *|"&amp;BD335)&gt;0,1,0)</f>
        <v>0</v>
      </c>
      <c r="BF335" s="30" t="n">
        <f aca="false">BE335+BF334</f>
        <v>8</v>
      </c>
    </row>
    <row r="336" customFormat="false" ht="15.75" hidden="false" customHeight="true" outlineLevel="0" collapsed="false">
      <c r="A336" s="76" t="n">
        <v>210</v>
      </c>
      <c r="B336" s="77" t="s">
        <v>117</v>
      </c>
      <c r="C336" s="76" t="s">
        <v>152</v>
      </c>
      <c r="D336" s="76" t="n">
        <v>5</v>
      </c>
      <c r="E336" s="77" t="str">
        <f aca="false">IF($Q336="","Tidak ada di data",IF(AND(IFERROR(--(INDEX('Reguler Class Availability'!$F:$F,$Q336)&amp;""),0)=0,IFERROR(--(INDEX('Reguler Class Availability'!$G:$G,$Q336)&amp;""),0)=0),"Tutup",IF(IFERROR(--(INDEX('Reguler Class Availability'!$G:$G,$Q336)&amp;""),0)&gt;IFERROR(--(INDEX('Reguler Class Availability'!$F:$F,$Q336)&amp;""),0),"Lebih",IF(IFERROR(--(INDEX('Reguler Class Availability'!$G:$G,$Q336)&amp;""),0)=IFERROR(--(INDEX('Reguler Class Availability'!$F:$F,$Q336)&amp;""),0),"Penuh",IF(IFERROR(--(INDEX('Reguler Class Availability'!$G:$G,$Q336)&amp;""),0)=0,IF(INDEX('Reguler Class Availability'!$B:$B,$Q336)&amp;""="","Kosong","Belum terisi"),IF(IFERROR(--(INDEX('Reguler Class Availability'!$G:$G,$Q336)&amp;""),0)/IFERROR(--(INDEX('Reguler Class Availability'!$F:$F,$Q336)&amp;""),0)&gt;=0.6,"Tinggi","Sebagian"))))))</f>
        <v>Kosong</v>
      </c>
      <c r="F336" s="77" t="str">
        <f aca="false">IF($Q336="","",PROPER(INDEX('Reguler Class Availability'!$B:$B,$Q336)&amp;""))</f>
        <v/>
      </c>
      <c r="G336" s="76" t="n">
        <f aca="false">IF($Q336="","",IFERROR(--(INDEX('Reguler Class Availability'!$F:$F,$Q336)&amp;""),0))</f>
        <v>4</v>
      </c>
      <c r="H336" s="77" t="str">
        <f aca="false">IF($Q336="","",PROPER(INDEX('Reguler Class Availability'!$I:$I,$Q336)&amp;"")&amp;IF(INDEX('Reguler Class Availability'!$J:$J,$Q336)&amp;""="",""," + asst "&amp;PROPER(INDEX('Reguler Class Availability'!$J:$J,$Q336)&amp;"")))</f>
        <v/>
      </c>
      <c r="I336" s="77" t="s">
        <v>474</v>
      </c>
      <c r="J336" s="77" t="s">
        <v>260</v>
      </c>
      <c r="K336" s="78"/>
      <c r="L336" s="78"/>
      <c r="M336" s="78"/>
      <c r="N336" s="79"/>
      <c r="O336" s="78"/>
      <c r="Q336" s="30" t="n">
        <f aca="false">IFERROR(MATCH($B$4&amp;"|- Lane "&amp;D336&amp;" - "&amp;B336&amp;"|"&amp;C336,'Reguler Class Availability'!$L:$L,0),"")</f>
        <v>2288</v>
      </c>
      <c r="BD336" s="30" t="s">
        <v>145</v>
      </c>
      <c r="BE336" s="30" t="n">
        <f aca="false">IF(COUNTIFS('Reguler Class Availability'!$L:$L,$B$4&amp;"|- Lane 6 - *|"&amp;BD336)&gt;0,1,0)</f>
        <v>0</v>
      </c>
      <c r="BF336" s="30" t="n">
        <f aca="false">BE336+BF335</f>
        <v>8</v>
      </c>
    </row>
    <row r="337" customFormat="false" ht="15.75" hidden="false" customHeight="true" outlineLevel="0" collapsed="false">
      <c r="A337" s="76" t="n">
        <v>211</v>
      </c>
      <c r="B337" s="77" t="s">
        <v>117</v>
      </c>
      <c r="C337" s="76" t="s">
        <v>155</v>
      </c>
      <c r="D337" s="76" t="n">
        <v>1</v>
      </c>
      <c r="E337" s="77" t="str">
        <f aca="false">IF($Q337="","Tidak ada di data",IF(AND(IFERROR(--(INDEX('Reguler Class Availability'!$F:$F,$Q337)&amp;""),0)=0,IFERROR(--(INDEX('Reguler Class Availability'!$G:$G,$Q337)&amp;""),0)=0),"Tutup",IF(IFERROR(--(INDEX('Reguler Class Availability'!$G:$G,$Q337)&amp;""),0)&gt;IFERROR(--(INDEX('Reguler Class Availability'!$F:$F,$Q337)&amp;""),0),"Lebih",IF(IFERROR(--(INDEX('Reguler Class Availability'!$G:$G,$Q337)&amp;""),0)=IFERROR(--(INDEX('Reguler Class Availability'!$F:$F,$Q337)&amp;""),0),"Penuh",IF(IFERROR(--(INDEX('Reguler Class Availability'!$G:$G,$Q337)&amp;""),0)=0,IF(INDEX('Reguler Class Availability'!$B:$B,$Q337)&amp;""="","Kosong","Belum terisi"),IF(IFERROR(--(INDEX('Reguler Class Availability'!$G:$G,$Q337)&amp;""),0)/IFERROR(--(INDEX('Reguler Class Availability'!$F:$F,$Q337)&amp;""),0)&gt;=0.6,"Tinggi","Sebagian"))))))</f>
        <v>Belum terisi</v>
      </c>
      <c r="F337" s="77" t="str">
        <f aca="false">IF($Q337="","",PROPER(INDEX('Reguler Class Availability'!$B:$B,$Q337)&amp;""))</f>
        <v>Baby</v>
      </c>
      <c r="G337" s="76" t="n">
        <f aca="false">IF($Q337="","",IFERROR(--(INDEX('Reguler Class Availability'!$F:$F,$Q337)&amp;""),0))</f>
        <v>5</v>
      </c>
      <c r="H337" s="77" t="str">
        <f aca="false">IF($Q337="","",PROPER(INDEX('Reguler Class Availability'!$I:$I,$Q337)&amp;"")&amp;IF(INDEX('Reguler Class Availability'!$J:$J,$Q337)&amp;""="",""," + asst "&amp;PROPER(INDEX('Reguler Class Availability'!$J:$J,$Q337)&amp;"")))</f>
        <v/>
      </c>
      <c r="I337" s="77" t="s">
        <v>475</v>
      </c>
      <c r="J337" s="77" t="s">
        <v>188</v>
      </c>
      <c r="K337" s="78"/>
      <c r="L337" s="78"/>
      <c r="M337" s="78"/>
      <c r="N337" s="79"/>
      <c r="O337" s="78"/>
      <c r="Q337" s="30" t="n">
        <f aca="false">IFERROR(MATCH($B$4&amp;"|- Lane "&amp;D337&amp;" - "&amp;B337&amp;"|"&amp;C337,'Reguler Class Availability'!$L:$L,0),"")</f>
        <v>1939</v>
      </c>
      <c r="BD337" s="30" t="s">
        <v>146</v>
      </c>
      <c r="BE337" s="30" t="n">
        <f aca="false">IF(COUNTIFS('Reguler Class Availability'!$L:$L,$B$4&amp;"|- Lane 6 - *|"&amp;BD337)&gt;0,1,0)</f>
        <v>1</v>
      </c>
      <c r="BF337" s="30" t="n">
        <f aca="false">BE337+BF336</f>
        <v>9</v>
      </c>
    </row>
    <row r="338" customFormat="false" ht="15.75" hidden="false" customHeight="true" outlineLevel="0" collapsed="false">
      <c r="A338" s="76" t="n">
        <v>212</v>
      </c>
      <c r="B338" s="77" t="s">
        <v>117</v>
      </c>
      <c r="C338" s="76" t="s">
        <v>155</v>
      </c>
      <c r="D338" s="76" t="n">
        <v>2</v>
      </c>
      <c r="E338" s="77" t="str">
        <f aca="false">IF($Q338="","Tidak ada di data",IF(AND(IFERROR(--(INDEX('Reguler Class Availability'!$F:$F,$Q338)&amp;""),0)=0,IFERROR(--(INDEX('Reguler Class Availability'!$G:$G,$Q338)&amp;""),0)=0),"Tutup",IF(IFERROR(--(INDEX('Reguler Class Availability'!$G:$G,$Q338)&amp;""),0)&gt;IFERROR(--(INDEX('Reguler Class Availability'!$F:$F,$Q338)&amp;""),0),"Lebih",IF(IFERROR(--(INDEX('Reguler Class Availability'!$G:$G,$Q338)&amp;""),0)=IFERROR(--(INDEX('Reguler Class Availability'!$F:$F,$Q338)&amp;""),0),"Penuh",IF(IFERROR(--(INDEX('Reguler Class Availability'!$G:$G,$Q338)&amp;""),0)=0,IF(INDEX('Reguler Class Availability'!$B:$B,$Q338)&amp;""="","Kosong","Belum terisi"),IF(IFERROR(--(INDEX('Reguler Class Availability'!$G:$G,$Q338)&amp;""),0)/IFERROR(--(INDEX('Reguler Class Availability'!$F:$F,$Q338)&amp;""),0)&gt;=0.6,"Tinggi","Sebagian"))))))</f>
        <v>Belum terisi</v>
      </c>
      <c r="F338" s="77" t="str">
        <f aca="false">IF($Q338="","",PROPER(INDEX('Reguler Class Availability'!$B:$B,$Q338)&amp;""))</f>
        <v>Tiny</v>
      </c>
      <c r="G338" s="76" t="n">
        <f aca="false">IF($Q338="","",IFERROR(--(INDEX('Reguler Class Availability'!$F:$F,$Q338)&amp;""),0))</f>
        <v>5</v>
      </c>
      <c r="H338" s="77" t="str">
        <f aca="false">IF($Q338="","",PROPER(INDEX('Reguler Class Availability'!$I:$I,$Q338)&amp;"")&amp;IF(INDEX('Reguler Class Availability'!$J:$J,$Q338)&amp;""="",""," + asst "&amp;PROPER(INDEX('Reguler Class Availability'!$J:$J,$Q338)&amp;"")))</f>
        <v/>
      </c>
      <c r="I338" s="77" t="s">
        <v>475</v>
      </c>
      <c r="J338" s="77" t="s">
        <v>188</v>
      </c>
      <c r="K338" s="78"/>
      <c r="L338" s="78"/>
      <c r="M338" s="78"/>
      <c r="N338" s="79"/>
      <c r="O338" s="78"/>
      <c r="Q338" s="30" t="n">
        <f aca="false">IFERROR(MATCH($B$4&amp;"|- Lane "&amp;D338&amp;" - "&amp;B338&amp;"|"&amp;C338,'Reguler Class Availability'!$L:$L,0),"")</f>
        <v>2037</v>
      </c>
      <c r="BD338" s="30" t="s">
        <v>147</v>
      </c>
      <c r="BE338" s="30" t="n">
        <f aca="false">IF(COUNTIFS('Reguler Class Availability'!$L:$L,$B$4&amp;"|- Lane 6 - *|"&amp;BD338)&gt;0,1,0)</f>
        <v>0</v>
      </c>
      <c r="BF338" s="30" t="n">
        <f aca="false">BE338+BF337</f>
        <v>9</v>
      </c>
    </row>
    <row r="339" customFormat="false" ht="15.75" hidden="false" customHeight="true" outlineLevel="0" collapsed="false">
      <c r="A339" s="76" t="n">
        <v>213</v>
      </c>
      <c r="B339" s="77" t="s">
        <v>117</v>
      </c>
      <c r="C339" s="76" t="s">
        <v>155</v>
      </c>
      <c r="D339" s="76" t="n">
        <v>5</v>
      </c>
      <c r="E339" s="77" t="str">
        <f aca="false">IF($Q339="","Tidak ada di data",IF(AND(IFERROR(--(INDEX('Reguler Class Availability'!$F:$F,$Q339)&amp;""),0)=0,IFERROR(--(INDEX('Reguler Class Availability'!$G:$G,$Q339)&amp;""),0)=0),"Tutup",IF(IFERROR(--(INDEX('Reguler Class Availability'!$G:$G,$Q339)&amp;""),0)&gt;IFERROR(--(INDEX('Reguler Class Availability'!$F:$F,$Q339)&amp;""),0),"Lebih",IF(IFERROR(--(INDEX('Reguler Class Availability'!$G:$G,$Q339)&amp;""),0)=IFERROR(--(INDEX('Reguler Class Availability'!$F:$F,$Q339)&amp;""),0),"Penuh",IF(IFERROR(--(INDEX('Reguler Class Availability'!$G:$G,$Q339)&amp;""),0)=0,IF(INDEX('Reguler Class Availability'!$B:$B,$Q339)&amp;""="","Kosong","Belum terisi"),IF(IFERROR(--(INDEX('Reguler Class Availability'!$G:$G,$Q339)&amp;""),0)/IFERROR(--(INDEX('Reguler Class Availability'!$F:$F,$Q339)&amp;""),0)&gt;=0.6,"Tinggi","Sebagian"))))))</f>
        <v>Kosong</v>
      </c>
      <c r="F339" s="77" t="str">
        <f aca="false">IF($Q339="","",PROPER(INDEX('Reguler Class Availability'!$B:$B,$Q339)&amp;""))</f>
        <v/>
      </c>
      <c r="G339" s="76" t="n">
        <f aca="false">IF($Q339="","",IFERROR(--(INDEX('Reguler Class Availability'!$F:$F,$Q339)&amp;""),0))</f>
        <v>4</v>
      </c>
      <c r="H339" s="77" t="str">
        <f aca="false">IF($Q339="","",PROPER(INDEX('Reguler Class Availability'!$I:$I,$Q339)&amp;"")&amp;IF(INDEX('Reguler Class Availability'!$J:$J,$Q339)&amp;""="",""," + asst "&amp;PROPER(INDEX('Reguler Class Availability'!$J:$J,$Q339)&amp;"")))</f>
        <v/>
      </c>
      <c r="I339" s="77" t="s">
        <v>475</v>
      </c>
      <c r="J339" s="77" t="s">
        <v>188</v>
      </c>
      <c r="K339" s="78"/>
      <c r="L339" s="78"/>
      <c r="M339" s="78"/>
      <c r="N339" s="79"/>
      <c r="O339" s="78"/>
      <c r="Q339" s="30" t="n">
        <f aca="false">IFERROR(MATCH($B$4&amp;"|- Lane "&amp;D339&amp;" - "&amp;B339&amp;"|"&amp;C339,'Reguler Class Availability'!$L:$L,0),"")</f>
        <v>2289</v>
      </c>
      <c r="BD339" s="30" t="s">
        <v>148</v>
      </c>
      <c r="BE339" s="30" t="n">
        <f aca="false">IF(COUNTIFS('Reguler Class Availability'!$L:$L,$B$4&amp;"|- Lane 6 - *|"&amp;BD339)&gt;0,1,0)</f>
        <v>0</v>
      </c>
      <c r="BF339" s="30" t="n">
        <f aca="false">BE339+BF338</f>
        <v>9</v>
      </c>
    </row>
    <row r="340" customFormat="false" ht="27.75" hidden="false" customHeight="true" outlineLevel="0" collapsed="false">
      <c r="A340" s="76" t="n">
        <v>214</v>
      </c>
      <c r="B340" s="77" t="s">
        <v>117</v>
      </c>
      <c r="C340" s="76" t="s">
        <v>156</v>
      </c>
      <c r="D340" s="76" t="n">
        <v>3</v>
      </c>
      <c r="E340" s="77" t="str">
        <f aca="false">IF($Q340="","Tidak ada di data",IF(AND(IFERROR(--(INDEX('Reguler Class Availability'!$F:$F,$Q340)&amp;""),0)=0,IFERROR(--(INDEX('Reguler Class Availability'!$G:$G,$Q340)&amp;""),0)=0),"Tutup",IF(IFERROR(--(INDEX('Reguler Class Availability'!$G:$G,$Q340)&amp;""),0)&gt;IFERROR(--(INDEX('Reguler Class Availability'!$F:$F,$Q340)&amp;""),0),"Lebih",IF(IFERROR(--(INDEX('Reguler Class Availability'!$G:$G,$Q340)&amp;""),0)=IFERROR(--(INDEX('Reguler Class Availability'!$F:$F,$Q340)&amp;""),0),"Penuh",IF(IFERROR(--(INDEX('Reguler Class Availability'!$G:$G,$Q340)&amp;""),0)=0,IF(INDEX('Reguler Class Availability'!$B:$B,$Q340)&amp;""="","Kosong","Belum terisi"),IF(IFERROR(--(INDEX('Reguler Class Availability'!$G:$G,$Q340)&amp;""),0)/IFERROR(--(INDEX('Reguler Class Availability'!$F:$F,$Q340)&amp;""),0)&gt;=0.6,"Tinggi","Sebagian"))))))</f>
        <v>Belum terisi</v>
      </c>
      <c r="F340" s="77" t="str">
        <f aca="false">IF($Q340="","",PROPER(INDEX('Reguler Class Availability'!$B:$B,$Q340)&amp;""))</f>
        <v>Little</v>
      </c>
      <c r="G340" s="76" t="n">
        <f aca="false">IF($Q340="","",IFERROR(--(INDEX('Reguler Class Availability'!$F:$F,$Q340)&amp;""),0))</f>
        <v>4</v>
      </c>
      <c r="H340" s="77" t="str">
        <f aca="false">IF($Q340="","",PROPER(INDEX('Reguler Class Availability'!$I:$I,$Q340)&amp;"")&amp;IF(INDEX('Reguler Class Availability'!$J:$J,$Q340)&amp;""="",""," + asst "&amp;PROPER(INDEX('Reguler Class Availability'!$J:$J,$Q340)&amp;"")))</f>
        <v/>
      </c>
      <c r="I340" s="77" t="s">
        <v>476</v>
      </c>
      <c r="J340" s="77" t="s">
        <v>188</v>
      </c>
      <c r="K340" s="78"/>
      <c r="L340" s="78"/>
      <c r="M340" s="78"/>
      <c r="N340" s="79"/>
      <c r="O340" s="78"/>
      <c r="Q340" s="30" t="n">
        <f aca="false">IFERROR(MATCH($B$4&amp;"|- Lane "&amp;D340&amp;" - "&amp;B340&amp;"|"&amp;C340,'Reguler Class Availability'!$L:$L,0),"")</f>
        <v>2121</v>
      </c>
      <c r="BD340" s="30" t="s">
        <v>149</v>
      </c>
      <c r="BE340" s="30" t="n">
        <f aca="false">IF(COUNTIFS('Reguler Class Availability'!$L:$L,$B$4&amp;"|- Lane 6 - *|"&amp;BD340)&gt;0,1,0)</f>
        <v>1</v>
      </c>
      <c r="BF340" s="30" t="n">
        <f aca="false">BE340+BF339</f>
        <v>10</v>
      </c>
    </row>
    <row r="341" customFormat="false" ht="40.5" hidden="false" customHeight="true" outlineLevel="0" collapsed="false">
      <c r="A341" s="76" t="n">
        <v>215</v>
      </c>
      <c r="B341" s="77" t="s">
        <v>117</v>
      </c>
      <c r="C341" s="76" t="s">
        <v>160</v>
      </c>
      <c r="D341" s="76" t="n">
        <v>1</v>
      </c>
      <c r="E341" s="77" t="str">
        <f aca="false">IF($Q341="","Tidak ada di data",IF(AND(IFERROR(--(INDEX('Reguler Class Availability'!$F:$F,$Q341)&amp;""),0)=0,IFERROR(--(INDEX('Reguler Class Availability'!$G:$G,$Q341)&amp;""),0)=0),"Tutup",IF(IFERROR(--(INDEX('Reguler Class Availability'!$G:$G,$Q341)&amp;""),0)&gt;IFERROR(--(INDEX('Reguler Class Availability'!$F:$F,$Q341)&amp;""),0),"Lebih",IF(IFERROR(--(INDEX('Reguler Class Availability'!$G:$G,$Q341)&amp;""),0)=IFERROR(--(INDEX('Reguler Class Availability'!$F:$F,$Q341)&amp;""),0),"Penuh",IF(IFERROR(--(INDEX('Reguler Class Availability'!$G:$G,$Q341)&amp;""),0)=0,IF(INDEX('Reguler Class Availability'!$B:$B,$Q341)&amp;""="","Kosong","Belum terisi"),IF(IFERROR(--(INDEX('Reguler Class Availability'!$G:$G,$Q341)&amp;""),0)/IFERROR(--(INDEX('Reguler Class Availability'!$F:$F,$Q341)&amp;""),0)&gt;=0.6,"Tinggi","Sebagian"))))))</f>
        <v>Belum terisi</v>
      </c>
      <c r="F341" s="77" t="str">
        <f aca="false">IF($Q341="","",PROPER(INDEX('Reguler Class Availability'!$B:$B,$Q341)&amp;""))</f>
        <v>Star</v>
      </c>
      <c r="G341" s="76" t="n">
        <f aca="false">IF($Q341="","",IFERROR(--(INDEX('Reguler Class Availability'!$F:$F,$Q341)&amp;""),0))</f>
        <v>8</v>
      </c>
      <c r="H341" s="77" t="str">
        <f aca="false">IF($Q341="","",PROPER(INDEX('Reguler Class Availability'!$I:$I,$Q341)&amp;"")&amp;IF(INDEX('Reguler Class Availability'!$J:$J,$Q341)&amp;""="",""," + asst "&amp;PROPER(INDEX('Reguler Class Availability'!$J:$J,$Q341)&amp;"")))</f>
        <v/>
      </c>
      <c r="I341" s="77" t="s">
        <v>469</v>
      </c>
      <c r="J341" s="77" t="s">
        <v>186</v>
      </c>
      <c r="K341" s="78"/>
      <c r="L341" s="78"/>
      <c r="M341" s="78"/>
      <c r="N341" s="79"/>
      <c r="O341" s="78"/>
      <c r="Q341" s="30" t="n">
        <f aca="false">IFERROR(MATCH($B$4&amp;"|- Lane "&amp;D341&amp;" - "&amp;B341&amp;"|"&amp;C341,'Reguler Class Availability'!$L:$L,0),"")</f>
        <v>1986</v>
      </c>
      <c r="BD341" s="30" t="s">
        <v>150</v>
      </c>
      <c r="BE341" s="30" t="n">
        <f aca="false">IF(COUNTIFS('Reguler Class Availability'!$L:$L,$B$4&amp;"|- Lane 6 - *|"&amp;BD341)&gt;0,1,0)</f>
        <v>0</v>
      </c>
      <c r="BF341" s="30" t="n">
        <f aca="false">BE341+BF340</f>
        <v>10</v>
      </c>
    </row>
    <row r="342" customFormat="false" ht="52.5" hidden="false" customHeight="true" outlineLevel="0" collapsed="false">
      <c r="A342" s="76" t="n">
        <v>216</v>
      </c>
      <c r="B342" s="77" t="s">
        <v>118</v>
      </c>
      <c r="C342" s="76" t="s">
        <v>91</v>
      </c>
      <c r="D342" s="76" t="n">
        <v>1</v>
      </c>
      <c r="E342" s="77" t="str">
        <f aca="false">IF($Q342="","Tidak ada di data",IF(AND(IFERROR(--(INDEX('Reguler Class Availability'!$F:$F,$Q342)&amp;""),0)=0,IFERROR(--(INDEX('Reguler Class Availability'!$G:$G,$Q342)&amp;""),0)=0),"Tutup",IF(IFERROR(--(INDEX('Reguler Class Availability'!$G:$G,$Q342)&amp;""),0)&gt;IFERROR(--(INDEX('Reguler Class Availability'!$F:$F,$Q342)&amp;""),0),"Lebih",IF(IFERROR(--(INDEX('Reguler Class Availability'!$G:$G,$Q342)&amp;""),0)=IFERROR(--(INDEX('Reguler Class Availability'!$F:$F,$Q342)&amp;""),0),"Penuh",IF(IFERROR(--(INDEX('Reguler Class Availability'!$G:$G,$Q342)&amp;""),0)=0,IF(INDEX('Reguler Class Availability'!$B:$B,$Q342)&amp;""="","Kosong","Belum terisi"),IF(IFERROR(--(INDEX('Reguler Class Availability'!$G:$G,$Q342)&amp;""),0)/IFERROR(--(INDEX('Reguler Class Availability'!$F:$F,$Q342)&amp;""),0)&gt;=0.6,"Tinggi","Sebagian"))))))</f>
        <v>Belum terisi</v>
      </c>
      <c r="F342" s="77" t="str">
        <f aca="false">IF($Q342="","",PROPER(INDEX('Reguler Class Availability'!$B:$B,$Q342)&amp;""))</f>
        <v>Star</v>
      </c>
      <c r="G342" s="76" t="n">
        <f aca="false">IF($Q342="","",IFERROR(--(INDEX('Reguler Class Availability'!$F:$F,$Q342)&amp;""),0))</f>
        <v>8</v>
      </c>
      <c r="H342" s="77" t="str">
        <f aca="false">IF($Q342="","",PROPER(INDEX('Reguler Class Availability'!$I:$I,$Q342)&amp;"")&amp;IF(INDEX('Reguler Class Availability'!$J:$J,$Q342)&amp;""="",""," + asst "&amp;PROPER(INDEX('Reguler Class Availability'!$J:$J,$Q342)&amp;"")))</f>
        <v/>
      </c>
      <c r="I342" s="77" t="s">
        <v>477</v>
      </c>
      <c r="J342" s="77" t="s">
        <v>186</v>
      </c>
      <c r="K342" s="78"/>
      <c r="L342" s="78"/>
      <c r="M342" s="78"/>
      <c r="N342" s="79"/>
      <c r="O342" s="78"/>
      <c r="Q342" s="30" t="n">
        <f aca="false">IFERROR(MATCH($B$4&amp;"|- Lane "&amp;D342&amp;" - "&amp;B342&amp;"|"&amp;C342,'Reguler Class Availability'!$L:$L,0),"")</f>
        <v>1980</v>
      </c>
      <c r="BD342" s="30" t="s">
        <v>151</v>
      </c>
      <c r="BE342" s="30" t="n">
        <f aca="false">IF(COUNTIFS('Reguler Class Availability'!$L:$L,$B$4&amp;"|- Lane 6 - *|"&amp;BD342)&gt;0,1,0)</f>
        <v>0</v>
      </c>
      <c r="BF342" s="30" t="n">
        <f aca="false">BE342+BF341</f>
        <v>10</v>
      </c>
    </row>
    <row r="343" customFormat="false" ht="52.5" hidden="false" customHeight="true" outlineLevel="0" collapsed="false">
      <c r="A343" s="76" t="n">
        <v>217</v>
      </c>
      <c r="B343" s="77" t="s">
        <v>118</v>
      </c>
      <c r="C343" s="76" t="s">
        <v>105</v>
      </c>
      <c r="D343" s="76" t="n">
        <v>1</v>
      </c>
      <c r="E343" s="77" t="str">
        <f aca="false">IF($Q343="","Tidak ada di data",IF(AND(IFERROR(--(INDEX('Reguler Class Availability'!$F:$F,$Q343)&amp;""),0)=0,IFERROR(--(INDEX('Reguler Class Availability'!$G:$G,$Q343)&amp;""),0)=0),"Tutup",IF(IFERROR(--(INDEX('Reguler Class Availability'!$G:$G,$Q343)&amp;""),0)&gt;IFERROR(--(INDEX('Reguler Class Availability'!$F:$F,$Q343)&amp;""),0),"Lebih",IF(IFERROR(--(INDEX('Reguler Class Availability'!$G:$G,$Q343)&amp;""),0)=IFERROR(--(INDEX('Reguler Class Availability'!$F:$F,$Q343)&amp;""),0),"Penuh",IF(IFERROR(--(INDEX('Reguler Class Availability'!$G:$G,$Q343)&amp;""),0)=0,IF(INDEX('Reguler Class Availability'!$B:$B,$Q343)&amp;""="","Kosong","Belum terisi"),IF(IFERROR(--(INDEX('Reguler Class Availability'!$G:$G,$Q343)&amp;""),0)/IFERROR(--(INDEX('Reguler Class Availability'!$F:$F,$Q343)&amp;""),0)&gt;=0.6,"Tinggi","Sebagian"))))))</f>
        <v>Belum terisi</v>
      </c>
      <c r="F343" s="77" t="str">
        <f aca="false">IF($Q343="","",PROPER(INDEX('Reguler Class Availability'!$B:$B,$Q343)&amp;""))</f>
        <v>Baby</v>
      </c>
      <c r="G343" s="76" t="n">
        <f aca="false">IF($Q343="","",IFERROR(--(INDEX('Reguler Class Availability'!$F:$F,$Q343)&amp;""),0))</f>
        <v>5</v>
      </c>
      <c r="H343" s="77" t="str">
        <f aca="false">IF($Q343="","",PROPER(INDEX('Reguler Class Availability'!$I:$I,$Q343)&amp;"")&amp;IF(INDEX('Reguler Class Availability'!$J:$J,$Q343)&amp;""="",""," + asst "&amp;PROPER(INDEX('Reguler Class Availability'!$J:$J,$Q343)&amp;"")))</f>
        <v/>
      </c>
      <c r="I343" s="77" t="s">
        <v>477</v>
      </c>
      <c r="J343" s="77" t="s">
        <v>188</v>
      </c>
      <c r="K343" s="78"/>
      <c r="L343" s="78"/>
      <c r="M343" s="78"/>
      <c r="N343" s="79"/>
      <c r="O343" s="78"/>
      <c r="Q343" s="30" t="n">
        <f aca="false">IFERROR(MATCH($B$4&amp;"|- Lane "&amp;D343&amp;" - "&amp;B343&amp;"|"&amp;C343,'Reguler Class Availability'!$L:$L,0),"")</f>
        <v>1940</v>
      </c>
      <c r="BD343" s="30" t="s">
        <v>152</v>
      </c>
      <c r="BE343" s="30" t="n">
        <f aca="false">IF(COUNTIFS('Reguler Class Availability'!$L:$L,$B$4&amp;"|- Lane 6 - *|"&amp;BD343)&gt;0,1,0)</f>
        <v>1</v>
      </c>
      <c r="BF343" s="30" t="n">
        <f aca="false">BE343+BF342</f>
        <v>11</v>
      </c>
    </row>
    <row r="344" customFormat="false" ht="52.5" hidden="false" customHeight="true" outlineLevel="0" collapsed="false">
      <c r="A344" s="76" t="n">
        <v>218</v>
      </c>
      <c r="B344" s="77" t="s">
        <v>118</v>
      </c>
      <c r="C344" s="76" t="s">
        <v>105</v>
      </c>
      <c r="D344" s="76" t="n">
        <v>2</v>
      </c>
      <c r="E344" s="77" t="str">
        <f aca="false">IF($Q344="","Tidak ada di data",IF(AND(IFERROR(--(INDEX('Reguler Class Availability'!$F:$F,$Q344)&amp;""),0)=0,IFERROR(--(INDEX('Reguler Class Availability'!$G:$G,$Q344)&amp;""),0)=0),"Tutup",IF(IFERROR(--(INDEX('Reguler Class Availability'!$G:$G,$Q344)&amp;""),0)&gt;IFERROR(--(INDEX('Reguler Class Availability'!$F:$F,$Q344)&amp;""),0),"Lebih",IF(IFERROR(--(INDEX('Reguler Class Availability'!$G:$G,$Q344)&amp;""),0)=IFERROR(--(INDEX('Reguler Class Availability'!$F:$F,$Q344)&amp;""),0),"Penuh",IF(IFERROR(--(INDEX('Reguler Class Availability'!$G:$G,$Q344)&amp;""),0)=0,IF(INDEX('Reguler Class Availability'!$B:$B,$Q344)&amp;""="","Kosong","Belum terisi"),IF(IFERROR(--(INDEX('Reguler Class Availability'!$G:$G,$Q344)&amp;""),0)/IFERROR(--(INDEX('Reguler Class Availability'!$F:$F,$Q344)&amp;""),0)&gt;=0.6,"Tinggi","Sebagian"))))))</f>
        <v>Belum terisi</v>
      </c>
      <c r="F344" s="77" t="str">
        <f aca="false">IF($Q344="","",PROPER(INDEX('Reguler Class Availability'!$B:$B,$Q344)&amp;""))</f>
        <v>Tiny</v>
      </c>
      <c r="G344" s="76" t="n">
        <f aca="false">IF($Q344="","",IFERROR(--(INDEX('Reguler Class Availability'!$F:$F,$Q344)&amp;""),0))</f>
        <v>5</v>
      </c>
      <c r="H344" s="77" t="str">
        <f aca="false">IF($Q344="","",PROPER(INDEX('Reguler Class Availability'!$I:$I,$Q344)&amp;"")&amp;IF(INDEX('Reguler Class Availability'!$J:$J,$Q344)&amp;""="",""," + asst "&amp;PROPER(INDEX('Reguler Class Availability'!$J:$J,$Q344)&amp;"")))</f>
        <v/>
      </c>
      <c r="I344" s="77" t="s">
        <v>477</v>
      </c>
      <c r="J344" s="77" t="s">
        <v>188</v>
      </c>
      <c r="K344" s="78"/>
      <c r="L344" s="78"/>
      <c r="M344" s="78"/>
      <c r="N344" s="79"/>
      <c r="O344" s="78"/>
      <c r="Q344" s="30" t="n">
        <f aca="false">IFERROR(MATCH($B$4&amp;"|- Lane "&amp;D344&amp;" - "&amp;B344&amp;"|"&amp;C344,'Reguler Class Availability'!$L:$L,0),"")</f>
        <v>2038</v>
      </c>
      <c r="BD344" s="30" t="s">
        <v>153</v>
      </c>
      <c r="BE344" s="30" t="n">
        <f aca="false">IF(COUNTIFS('Reguler Class Availability'!$L:$L,$B$4&amp;"|- Lane 6 - *|"&amp;BD344)&gt;0,1,0)</f>
        <v>0</v>
      </c>
      <c r="BF344" s="30" t="n">
        <f aca="false">BE344+BF343</f>
        <v>11</v>
      </c>
    </row>
    <row r="345" customFormat="false" ht="52.5" hidden="false" customHeight="true" outlineLevel="0" collapsed="false">
      <c r="A345" s="76" t="n">
        <v>219</v>
      </c>
      <c r="B345" s="77" t="s">
        <v>118</v>
      </c>
      <c r="C345" s="76" t="s">
        <v>105</v>
      </c>
      <c r="D345" s="76" t="n">
        <v>5</v>
      </c>
      <c r="E345" s="77" t="str">
        <f aca="false">IF($Q345="","Tidak ada di data",IF(AND(IFERROR(--(INDEX('Reguler Class Availability'!$F:$F,$Q345)&amp;""),0)=0,IFERROR(--(INDEX('Reguler Class Availability'!$G:$G,$Q345)&amp;""),0)=0),"Tutup",IF(IFERROR(--(INDEX('Reguler Class Availability'!$G:$G,$Q345)&amp;""),0)&gt;IFERROR(--(INDEX('Reguler Class Availability'!$F:$F,$Q345)&amp;""),0),"Lebih",IF(IFERROR(--(INDEX('Reguler Class Availability'!$G:$G,$Q345)&amp;""),0)=IFERROR(--(INDEX('Reguler Class Availability'!$F:$F,$Q345)&amp;""),0),"Penuh",IF(IFERROR(--(INDEX('Reguler Class Availability'!$G:$G,$Q345)&amp;""),0)=0,IF(INDEX('Reguler Class Availability'!$B:$B,$Q345)&amp;""="","Kosong","Belum terisi"),IF(IFERROR(--(INDEX('Reguler Class Availability'!$G:$G,$Q345)&amp;""),0)/IFERROR(--(INDEX('Reguler Class Availability'!$F:$F,$Q345)&amp;""),0)&gt;=0.6,"Tinggi","Sebagian"))))))</f>
        <v>Kosong</v>
      </c>
      <c r="F345" s="77" t="str">
        <f aca="false">IF($Q345="","",PROPER(INDEX('Reguler Class Availability'!$B:$B,$Q345)&amp;""))</f>
        <v/>
      </c>
      <c r="G345" s="76" t="n">
        <f aca="false">IF($Q345="","",IFERROR(--(INDEX('Reguler Class Availability'!$F:$F,$Q345)&amp;""),0))</f>
        <v>4</v>
      </c>
      <c r="H345" s="77" t="str">
        <f aca="false">IF($Q345="","",PROPER(INDEX('Reguler Class Availability'!$I:$I,$Q345)&amp;"")&amp;IF(INDEX('Reguler Class Availability'!$J:$J,$Q345)&amp;""="",""," + asst "&amp;PROPER(INDEX('Reguler Class Availability'!$J:$J,$Q345)&amp;"")))</f>
        <v/>
      </c>
      <c r="I345" s="77" t="s">
        <v>477</v>
      </c>
      <c r="J345" s="77" t="s">
        <v>188</v>
      </c>
      <c r="K345" s="78"/>
      <c r="L345" s="78"/>
      <c r="M345" s="78"/>
      <c r="N345" s="79"/>
      <c r="O345" s="78"/>
      <c r="Q345" s="30" t="n">
        <f aca="false">IFERROR(MATCH($B$4&amp;"|- Lane "&amp;D345&amp;" - "&amp;B345&amp;"|"&amp;C345,'Reguler Class Availability'!$L:$L,0),"")</f>
        <v>2290</v>
      </c>
      <c r="BD345" s="30" t="s">
        <v>154</v>
      </c>
      <c r="BE345" s="30" t="n">
        <f aca="false">IF(COUNTIFS('Reguler Class Availability'!$L:$L,$B$4&amp;"|- Lane 6 - *|"&amp;BD345)&gt;0,1,0)</f>
        <v>0</v>
      </c>
      <c r="BF345" s="30" t="n">
        <f aca="false">BE345+BF344</f>
        <v>11</v>
      </c>
    </row>
    <row r="346" customFormat="false" ht="27.75" hidden="false" customHeight="true" outlineLevel="0" collapsed="false">
      <c r="A346" s="76" t="n">
        <v>220</v>
      </c>
      <c r="B346" s="77" t="s">
        <v>118</v>
      </c>
      <c r="C346" s="76" t="s">
        <v>110</v>
      </c>
      <c r="D346" s="76" t="n">
        <v>3</v>
      </c>
      <c r="E346" s="77" t="str">
        <f aca="false">IF($Q346="","Tidak ada di data",IF(AND(IFERROR(--(INDEX('Reguler Class Availability'!$F:$F,$Q346)&amp;""),0)=0,IFERROR(--(INDEX('Reguler Class Availability'!$G:$G,$Q346)&amp;""),0)=0),"Tutup",IF(IFERROR(--(INDEX('Reguler Class Availability'!$G:$G,$Q346)&amp;""),0)&gt;IFERROR(--(INDEX('Reguler Class Availability'!$F:$F,$Q346)&amp;""),0),"Lebih",IF(IFERROR(--(INDEX('Reguler Class Availability'!$G:$G,$Q346)&amp;""),0)=IFERROR(--(INDEX('Reguler Class Availability'!$F:$F,$Q346)&amp;""),0),"Penuh",IF(IFERROR(--(INDEX('Reguler Class Availability'!$G:$G,$Q346)&amp;""),0)=0,IF(INDEX('Reguler Class Availability'!$B:$B,$Q346)&amp;""="","Kosong","Belum terisi"),IF(IFERROR(--(INDEX('Reguler Class Availability'!$G:$G,$Q346)&amp;""),0)/IFERROR(--(INDEX('Reguler Class Availability'!$F:$F,$Q346)&amp;""),0)&gt;=0.6,"Tinggi","Sebagian"))))))</f>
        <v>Belum terisi</v>
      </c>
      <c r="F346" s="77" t="str">
        <f aca="false">IF($Q346="","",PROPER(INDEX('Reguler Class Availability'!$B:$B,$Q346)&amp;""))</f>
        <v>Little</v>
      </c>
      <c r="G346" s="76" t="n">
        <f aca="false">IF($Q346="","",IFERROR(--(INDEX('Reguler Class Availability'!$F:$F,$Q346)&amp;""),0))</f>
        <v>4</v>
      </c>
      <c r="H346" s="77" t="str">
        <f aca="false">IF($Q346="","",PROPER(INDEX('Reguler Class Availability'!$I:$I,$Q346)&amp;"")&amp;IF(INDEX('Reguler Class Availability'!$J:$J,$Q346)&amp;""="",""," + asst "&amp;PROPER(INDEX('Reguler Class Availability'!$J:$J,$Q346)&amp;"")))</f>
        <v/>
      </c>
      <c r="I346" s="77" t="s">
        <v>478</v>
      </c>
      <c r="J346" s="77" t="s">
        <v>188</v>
      </c>
      <c r="K346" s="78"/>
      <c r="L346" s="78"/>
      <c r="M346" s="78"/>
      <c r="N346" s="79"/>
      <c r="O346" s="78"/>
      <c r="Q346" s="30" t="n">
        <f aca="false">IFERROR(MATCH($B$4&amp;"|- Lane "&amp;D346&amp;" - "&amp;B346&amp;"|"&amp;C346,'Reguler Class Availability'!$L:$L,0),"")</f>
        <v>2122</v>
      </c>
      <c r="BD346" s="30" t="s">
        <v>155</v>
      </c>
      <c r="BE346" s="30" t="n">
        <f aca="false">IF(COUNTIFS('Reguler Class Availability'!$L:$L,$B$4&amp;"|- Lane 6 - *|"&amp;BD346)&gt;0,1,0)</f>
        <v>1</v>
      </c>
      <c r="BF346" s="30" t="n">
        <f aca="false">BE346+BF345</f>
        <v>12</v>
      </c>
    </row>
    <row r="347" customFormat="false" ht="27.75" hidden="false" customHeight="true" outlineLevel="0" collapsed="false">
      <c r="A347" s="76" t="n">
        <v>221</v>
      </c>
      <c r="B347" s="77" t="s">
        <v>118</v>
      </c>
      <c r="C347" s="76" t="s">
        <v>110</v>
      </c>
      <c r="D347" s="76" t="n">
        <v>4</v>
      </c>
      <c r="E347" s="77" t="str">
        <f aca="false">IF($Q347="","Tidak ada di data",IF(AND(IFERROR(--(INDEX('Reguler Class Availability'!$F:$F,$Q347)&amp;""),0)=0,IFERROR(--(INDEX('Reguler Class Availability'!$G:$G,$Q347)&amp;""),0)=0),"Tutup",IF(IFERROR(--(INDEX('Reguler Class Availability'!$G:$G,$Q347)&amp;""),0)&gt;IFERROR(--(INDEX('Reguler Class Availability'!$F:$F,$Q347)&amp;""),0),"Lebih",IF(IFERROR(--(INDEX('Reguler Class Availability'!$G:$G,$Q347)&amp;""),0)=IFERROR(--(INDEX('Reguler Class Availability'!$F:$F,$Q347)&amp;""),0),"Penuh",IF(IFERROR(--(INDEX('Reguler Class Availability'!$G:$G,$Q347)&amp;""),0)=0,IF(INDEX('Reguler Class Availability'!$B:$B,$Q347)&amp;""="","Kosong","Belum terisi"),IF(IFERROR(--(INDEX('Reguler Class Availability'!$G:$G,$Q347)&amp;""),0)/IFERROR(--(INDEX('Reguler Class Availability'!$F:$F,$Q347)&amp;""),0)&gt;=0.6,"Tinggi","Sebagian"))))))</f>
        <v>Belum terisi</v>
      </c>
      <c r="F347" s="77" t="str">
        <f aca="false">IF($Q347="","",PROPER(INDEX('Reguler Class Availability'!$B:$B,$Q347)&amp;""))</f>
        <v>Kids</v>
      </c>
      <c r="G347" s="76" t="n">
        <f aca="false">IF($Q347="","",IFERROR(--(INDEX('Reguler Class Availability'!$F:$F,$Q347)&amp;""),0))</f>
        <v>4</v>
      </c>
      <c r="H347" s="77" t="str">
        <f aca="false">IF($Q347="","",PROPER(INDEX('Reguler Class Availability'!$I:$I,$Q347)&amp;"")&amp;IF(INDEX('Reguler Class Availability'!$J:$J,$Q347)&amp;""="",""," + asst "&amp;PROPER(INDEX('Reguler Class Availability'!$J:$J,$Q347)&amp;"")))</f>
        <v/>
      </c>
      <c r="I347" s="77" t="s">
        <v>478</v>
      </c>
      <c r="J347" s="77" t="s">
        <v>188</v>
      </c>
      <c r="K347" s="78"/>
      <c r="L347" s="78"/>
      <c r="M347" s="78"/>
      <c r="N347" s="79"/>
      <c r="O347" s="78"/>
      <c r="Q347" s="30" t="n">
        <f aca="false">IFERROR(MATCH($B$4&amp;"|- Lane "&amp;D347&amp;" - "&amp;B347&amp;"|"&amp;C347,'Reguler Class Availability'!$L:$L,0),"")</f>
        <v>2206</v>
      </c>
      <c r="BD347" s="30" t="s">
        <v>156</v>
      </c>
      <c r="BE347" s="30" t="n">
        <f aca="false">IF(COUNTIFS('Reguler Class Availability'!$L:$L,$B$4&amp;"|- Lane 6 - *|"&amp;BD347)&gt;0,1,0)</f>
        <v>0</v>
      </c>
      <c r="BF347" s="30" t="n">
        <f aca="false">BE347+BF346</f>
        <v>12</v>
      </c>
    </row>
    <row r="348" customFormat="false" ht="27.75" hidden="false" customHeight="true" outlineLevel="0" collapsed="false">
      <c r="A348" s="76" t="n">
        <v>222</v>
      </c>
      <c r="B348" s="77" t="s">
        <v>118</v>
      </c>
      <c r="C348" s="76" t="s">
        <v>120</v>
      </c>
      <c r="D348" s="76" t="n">
        <v>5</v>
      </c>
      <c r="E348" s="77" t="str">
        <f aca="false">IF($Q348="","Tidak ada di data",IF(AND(IFERROR(--(INDEX('Reguler Class Availability'!$F:$F,$Q348)&amp;""),0)=0,IFERROR(--(INDEX('Reguler Class Availability'!$G:$G,$Q348)&amp;""),0)=0),"Tutup",IF(IFERROR(--(INDEX('Reguler Class Availability'!$G:$G,$Q348)&amp;""),0)&gt;IFERROR(--(INDEX('Reguler Class Availability'!$F:$F,$Q348)&amp;""),0),"Lebih",IF(IFERROR(--(INDEX('Reguler Class Availability'!$G:$G,$Q348)&amp;""),0)=IFERROR(--(INDEX('Reguler Class Availability'!$F:$F,$Q348)&amp;""),0),"Penuh",IF(IFERROR(--(INDEX('Reguler Class Availability'!$G:$G,$Q348)&amp;""),0)=0,IF(INDEX('Reguler Class Availability'!$B:$B,$Q348)&amp;""="","Kosong","Belum terisi"),IF(IFERROR(--(INDEX('Reguler Class Availability'!$G:$G,$Q348)&amp;""),0)/IFERROR(--(INDEX('Reguler Class Availability'!$F:$F,$Q348)&amp;""),0)&gt;=0.6,"Tinggi","Sebagian"))))))</f>
        <v>Kosong</v>
      </c>
      <c r="F348" s="77" t="str">
        <f aca="false">IF($Q348="","",PROPER(INDEX('Reguler Class Availability'!$B:$B,$Q348)&amp;""))</f>
        <v/>
      </c>
      <c r="G348" s="76" t="n">
        <f aca="false">IF($Q348="","",IFERROR(--(INDEX('Reguler Class Availability'!$F:$F,$Q348)&amp;""),0))</f>
        <v>4</v>
      </c>
      <c r="H348" s="77" t="str">
        <f aca="false">IF($Q348="","",PROPER(INDEX('Reguler Class Availability'!$I:$I,$Q348)&amp;"")&amp;IF(INDEX('Reguler Class Availability'!$J:$J,$Q348)&amp;""="",""," + asst "&amp;PROPER(INDEX('Reguler Class Availability'!$J:$J,$Q348)&amp;"")))</f>
        <v/>
      </c>
      <c r="I348" s="77" t="s">
        <v>478</v>
      </c>
      <c r="J348" s="77" t="s">
        <v>188</v>
      </c>
      <c r="K348" s="78"/>
      <c r="L348" s="78"/>
      <c r="M348" s="78"/>
      <c r="N348" s="79"/>
      <c r="O348" s="78"/>
      <c r="Q348" s="30" t="n">
        <f aca="false">IFERROR(MATCH($B$4&amp;"|- Lane "&amp;D348&amp;" - "&amp;B348&amp;"|"&amp;C348,'Reguler Class Availability'!$L:$L,0),"")</f>
        <v>2291</v>
      </c>
      <c r="BD348" s="30" t="s">
        <v>157</v>
      </c>
      <c r="BE348" s="30" t="n">
        <f aca="false">IF(COUNTIFS('Reguler Class Availability'!$L:$L,$B$4&amp;"|- Lane 6 - *|"&amp;BD348)&gt;0,1,0)</f>
        <v>0</v>
      </c>
      <c r="BF348" s="30" t="n">
        <f aca="false">BE348+BF347</f>
        <v>12</v>
      </c>
    </row>
    <row r="349" customFormat="false" ht="27.75" hidden="false" customHeight="true" outlineLevel="0" collapsed="false">
      <c r="A349" s="76" t="n">
        <v>223</v>
      </c>
      <c r="B349" s="77" t="s">
        <v>118</v>
      </c>
      <c r="C349" s="76" t="s">
        <v>121</v>
      </c>
      <c r="D349" s="76" t="n">
        <v>3</v>
      </c>
      <c r="E349" s="77" t="str">
        <f aca="false">IF($Q349="","Tidak ada di data",IF(AND(IFERROR(--(INDEX('Reguler Class Availability'!$F:$F,$Q349)&amp;""),0)=0,IFERROR(--(INDEX('Reguler Class Availability'!$G:$G,$Q349)&amp;""),0)=0),"Tutup",IF(IFERROR(--(INDEX('Reguler Class Availability'!$G:$G,$Q349)&amp;""),0)&gt;IFERROR(--(INDEX('Reguler Class Availability'!$F:$F,$Q349)&amp;""),0),"Lebih",IF(IFERROR(--(INDEX('Reguler Class Availability'!$G:$G,$Q349)&amp;""),0)=IFERROR(--(INDEX('Reguler Class Availability'!$F:$F,$Q349)&amp;""),0),"Penuh",IF(IFERROR(--(INDEX('Reguler Class Availability'!$G:$G,$Q349)&amp;""),0)=0,IF(INDEX('Reguler Class Availability'!$B:$B,$Q349)&amp;""="","Kosong","Belum terisi"),IF(IFERROR(--(INDEX('Reguler Class Availability'!$G:$G,$Q349)&amp;""),0)/IFERROR(--(INDEX('Reguler Class Availability'!$F:$F,$Q349)&amp;""),0)&gt;=0.6,"Tinggi","Sebagian"))))))</f>
        <v>Belum terisi</v>
      </c>
      <c r="F349" s="77" t="str">
        <f aca="false">IF($Q349="","",PROPER(INDEX('Reguler Class Availability'!$B:$B,$Q349)&amp;""))</f>
        <v>Little</v>
      </c>
      <c r="G349" s="76" t="n">
        <f aca="false">IF($Q349="","",IFERROR(--(INDEX('Reguler Class Availability'!$F:$F,$Q349)&amp;""),0))</f>
        <v>4</v>
      </c>
      <c r="H349" s="77" t="str">
        <f aca="false">IF($Q349="","",PROPER(INDEX('Reguler Class Availability'!$I:$I,$Q349)&amp;"")&amp;IF(INDEX('Reguler Class Availability'!$J:$J,$Q349)&amp;""="",""," + asst "&amp;PROPER(INDEX('Reguler Class Availability'!$J:$J,$Q349)&amp;"")))</f>
        <v/>
      </c>
      <c r="I349" s="77" t="s">
        <v>478</v>
      </c>
      <c r="J349" s="77" t="s">
        <v>188</v>
      </c>
      <c r="K349" s="78"/>
      <c r="L349" s="78"/>
      <c r="M349" s="78"/>
      <c r="N349" s="79"/>
      <c r="O349" s="78"/>
      <c r="Q349" s="30" t="n">
        <f aca="false">IFERROR(MATCH($B$4&amp;"|- Lane "&amp;D349&amp;" - "&amp;B349&amp;"|"&amp;C349,'Reguler Class Availability'!$L:$L,0),"")</f>
        <v>2123</v>
      </c>
      <c r="BD349" s="30" t="s">
        <v>158</v>
      </c>
      <c r="BE349" s="30" t="n">
        <f aca="false">IF(COUNTIFS('Reguler Class Availability'!$L:$L,$B$4&amp;"|- Lane 6 - *|"&amp;BD349)&gt;0,1,0)</f>
        <v>0</v>
      </c>
      <c r="BF349" s="30" t="n">
        <f aca="false">BE349+BF348</f>
        <v>12</v>
      </c>
    </row>
    <row r="350" customFormat="false" ht="27.75" hidden="false" customHeight="true" outlineLevel="0" collapsed="false">
      <c r="A350" s="76" t="n">
        <v>224</v>
      </c>
      <c r="B350" s="77" t="s">
        <v>118</v>
      </c>
      <c r="C350" s="76" t="s">
        <v>121</v>
      </c>
      <c r="D350" s="76" t="n">
        <v>4</v>
      </c>
      <c r="E350" s="77" t="str">
        <f aca="false">IF($Q350="","Tidak ada di data",IF(AND(IFERROR(--(INDEX('Reguler Class Availability'!$F:$F,$Q350)&amp;""),0)=0,IFERROR(--(INDEX('Reguler Class Availability'!$G:$G,$Q350)&amp;""),0)=0),"Tutup",IF(IFERROR(--(INDEX('Reguler Class Availability'!$G:$G,$Q350)&amp;""),0)&gt;IFERROR(--(INDEX('Reguler Class Availability'!$F:$F,$Q350)&amp;""),0),"Lebih",IF(IFERROR(--(INDEX('Reguler Class Availability'!$G:$G,$Q350)&amp;""),0)=IFERROR(--(INDEX('Reguler Class Availability'!$F:$F,$Q350)&amp;""),0),"Penuh",IF(IFERROR(--(INDEX('Reguler Class Availability'!$G:$G,$Q350)&amp;""),0)=0,IF(INDEX('Reguler Class Availability'!$B:$B,$Q350)&amp;""="","Kosong","Belum terisi"),IF(IFERROR(--(INDEX('Reguler Class Availability'!$G:$G,$Q350)&amp;""),0)/IFERROR(--(INDEX('Reguler Class Availability'!$F:$F,$Q350)&amp;""),0)&gt;=0.6,"Tinggi","Sebagian"))))))</f>
        <v>Belum terisi</v>
      </c>
      <c r="F350" s="77" t="str">
        <f aca="false">IF($Q350="","",PROPER(INDEX('Reguler Class Availability'!$B:$B,$Q350)&amp;""))</f>
        <v>Kids</v>
      </c>
      <c r="G350" s="76" t="n">
        <f aca="false">IF($Q350="","",IFERROR(--(INDEX('Reguler Class Availability'!$F:$F,$Q350)&amp;""),0))</f>
        <v>4</v>
      </c>
      <c r="H350" s="77" t="str">
        <f aca="false">IF($Q350="","",PROPER(INDEX('Reguler Class Availability'!$I:$I,$Q350)&amp;"")&amp;IF(INDEX('Reguler Class Availability'!$J:$J,$Q350)&amp;""="",""," + asst "&amp;PROPER(INDEX('Reguler Class Availability'!$J:$J,$Q350)&amp;"")))</f>
        <v/>
      </c>
      <c r="I350" s="77" t="s">
        <v>478</v>
      </c>
      <c r="J350" s="77" t="s">
        <v>188</v>
      </c>
      <c r="K350" s="78"/>
      <c r="L350" s="78"/>
      <c r="M350" s="78"/>
      <c r="N350" s="79"/>
      <c r="O350" s="78"/>
      <c r="Q350" s="30" t="n">
        <f aca="false">IFERROR(MATCH($B$4&amp;"|- Lane "&amp;D350&amp;" - "&amp;B350&amp;"|"&amp;C350,'Reguler Class Availability'!$L:$L,0),"")</f>
        <v>2207</v>
      </c>
      <c r="BD350" s="30" t="s">
        <v>160</v>
      </c>
      <c r="BE350" s="30" t="n">
        <f aca="false">IF(COUNTIFS('Reguler Class Availability'!$L:$L,$B$4&amp;"|- Lane 6 - *|"&amp;BD350)&gt;0,1,0)</f>
        <v>0</v>
      </c>
      <c r="BF350" s="30" t="n">
        <f aca="false">BE350+BF349</f>
        <v>12</v>
      </c>
    </row>
    <row r="351" customFormat="false" ht="52.5" hidden="false" customHeight="true" outlineLevel="0" collapsed="false">
      <c r="A351" s="76" t="n">
        <v>225</v>
      </c>
      <c r="B351" s="77" t="s">
        <v>118</v>
      </c>
      <c r="C351" s="76" t="s">
        <v>123</v>
      </c>
      <c r="D351" s="76" t="n">
        <v>1</v>
      </c>
      <c r="E351" s="77" t="str">
        <f aca="false">IF($Q351="","Tidak ada di data",IF(AND(IFERROR(--(INDEX('Reguler Class Availability'!$F:$F,$Q351)&amp;""),0)=0,IFERROR(--(INDEX('Reguler Class Availability'!$G:$G,$Q351)&amp;""),0)=0),"Tutup",IF(IFERROR(--(INDEX('Reguler Class Availability'!$G:$G,$Q351)&amp;""),0)&gt;IFERROR(--(INDEX('Reguler Class Availability'!$F:$F,$Q351)&amp;""),0),"Lebih",IF(IFERROR(--(INDEX('Reguler Class Availability'!$G:$G,$Q351)&amp;""),0)=IFERROR(--(INDEX('Reguler Class Availability'!$F:$F,$Q351)&amp;""),0),"Penuh",IF(IFERROR(--(INDEX('Reguler Class Availability'!$G:$G,$Q351)&amp;""),0)=0,IF(INDEX('Reguler Class Availability'!$B:$B,$Q351)&amp;""="","Kosong","Belum terisi"),IF(IFERROR(--(INDEX('Reguler Class Availability'!$G:$G,$Q351)&amp;""),0)/IFERROR(--(INDEX('Reguler Class Availability'!$F:$F,$Q351)&amp;""),0)&gt;=0.6,"Tinggi","Sebagian"))))))</f>
        <v>Belum terisi</v>
      </c>
      <c r="F351" s="77" t="str">
        <f aca="false">IF($Q351="","",PROPER(INDEX('Reguler Class Availability'!$B:$B,$Q351)&amp;""))</f>
        <v>Baby</v>
      </c>
      <c r="G351" s="76" t="n">
        <f aca="false">IF($Q351="","",IFERROR(--(INDEX('Reguler Class Availability'!$F:$F,$Q351)&amp;""),0))</f>
        <v>5</v>
      </c>
      <c r="H351" s="77" t="str">
        <f aca="false">IF($Q351="","",PROPER(INDEX('Reguler Class Availability'!$I:$I,$Q351)&amp;"")&amp;IF(INDEX('Reguler Class Availability'!$J:$J,$Q351)&amp;""="",""," + asst "&amp;PROPER(INDEX('Reguler Class Availability'!$J:$J,$Q351)&amp;"")))</f>
        <v/>
      </c>
      <c r="I351" s="77" t="s">
        <v>477</v>
      </c>
      <c r="J351" s="77" t="s">
        <v>188</v>
      </c>
      <c r="K351" s="78"/>
      <c r="L351" s="78"/>
      <c r="M351" s="78"/>
      <c r="N351" s="79"/>
      <c r="O351" s="78"/>
      <c r="Q351" s="30" t="n">
        <f aca="false">IFERROR(MATCH($B$4&amp;"|- Lane "&amp;D351&amp;" - "&amp;B351&amp;"|"&amp;C351,'Reguler Class Availability'!$L:$L,0),"")</f>
        <v>1942</v>
      </c>
      <c r="BD351" s="30" t="s">
        <v>161</v>
      </c>
      <c r="BE351" s="30" t="n">
        <f aca="false">IF(COUNTIFS('Reguler Class Availability'!$L:$L,$B$4&amp;"|- Lane 6 - *|"&amp;BD351)&gt;0,1,0)</f>
        <v>0</v>
      </c>
      <c r="BF351" s="30" t="n">
        <f aca="false">BE351+BF350</f>
        <v>12</v>
      </c>
    </row>
    <row r="352" customFormat="false" ht="52.5" hidden="false" customHeight="true" outlineLevel="0" collapsed="false">
      <c r="A352" s="76" t="n">
        <v>226</v>
      </c>
      <c r="B352" s="77" t="s">
        <v>118</v>
      </c>
      <c r="C352" s="76" t="s">
        <v>123</v>
      </c>
      <c r="D352" s="76" t="n">
        <v>2</v>
      </c>
      <c r="E352" s="77" t="str">
        <f aca="false">IF($Q352="","Tidak ada di data",IF(AND(IFERROR(--(INDEX('Reguler Class Availability'!$F:$F,$Q352)&amp;""),0)=0,IFERROR(--(INDEX('Reguler Class Availability'!$G:$G,$Q352)&amp;""),0)=0),"Tutup",IF(IFERROR(--(INDEX('Reguler Class Availability'!$G:$G,$Q352)&amp;""),0)&gt;IFERROR(--(INDEX('Reguler Class Availability'!$F:$F,$Q352)&amp;""),0),"Lebih",IF(IFERROR(--(INDEX('Reguler Class Availability'!$G:$G,$Q352)&amp;""),0)=IFERROR(--(INDEX('Reguler Class Availability'!$F:$F,$Q352)&amp;""),0),"Penuh",IF(IFERROR(--(INDEX('Reguler Class Availability'!$G:$G,$Q352)&amp;""),0)=0,IF(INDEX('Reguler Class Availability'!$B:$B,$Q352)&amp;""="","Kosong","Belum terisi"),IF(IFERROR(--(INDEX('Reguler Class Availability'!$G:$G,$Q352)&amp;""),0)/IFERROR(--(INDEX('Reguler Class Availability'!$F:$F,$Q352)&amp;""),0)&gt;=0.6,"Tinggi","Sebagian"))))))</f>
        <v>Belum terisi</v>
      </c>
      <c r="F352" s="77" t="str">
        <f aca="false">IF($Q352="","",PROPER(INDEX('Reguler Class Availability'!$B:$B,$Q352)&amp;""))</f>
        <v>Tiny</v>
      </c>
      <c r="G352" s="76" t="n">
        <f aca="false">IF($Q352="","",IFERROR(--(INDEX('Reguler Class Availability'!$F:$F,$Q352)&amp;""),0))</f>
        <v>5</v>
      </c>
      <c r="H352" s="77" t="str">
        <f aca="false">IF($Q352="","",PROPER(INDEX('Reguler Class Availability'!$I:$I,$Q352)&amp;"")&amp;IF(INDEX('Reguler Class Availability'!$J:$J,$Q352)&amp;""="",""," + asst "&amp;PROPER(INDEX('Reguler Class Availability'!$J:$J,$Q352)&amp;"")))</f>
        <v/>
      </c>
      <c r="I352" s="77" t="s">
        <v>477</v>
      </c>
      <c r="J352" s="77" t="s">
        <v>188</v>
      </c>
      <c r="K352" s="78"/>
      <c r="L352" s="78"/>
      <c r="M352" s="78"/>
      <c r="N352" s="79"/>
      <c r="O352" s="78"/>
      <c r="Q352" s="30" t="n">
        <f aca="false">IFERROR(MATCH($B$4&amp;"|- Lane "&amp;D352&amp;" - "&amp;B352&amp;"|"&amp;C352,'Reguler Class Availability'!$L:$L,0),"")</f>
        <v>2040</v>
      </c>
      <c r="BD352" s="30" t="s">
        <v>162</v>
      </c>
      <c r="BE352" s="30" t="n">
        <f aca="false">IF(COUNTIFS('Reguler Class Availability'!$L:$L,$B$4&amp;"|- Lane 6 - *|"&amp;BD352)&gt;0,1,0)</f>
        <v>0</v>
      </c>
      <c r="BF352" s="30" t="n">
        <f aca="false">BE352+BF351</f>
        <v>12</v>
      </c>
    </row>
    <row r="353" customFormat="false" ht="52.5" hidden="false" customHeight="true" outlineLevel="0" collapsed="false">
      <c r="A353" s="76" t="n">
        <v>227</v>
      </c>
      <c r="B353" s="77" t="s">
        <v>118</v>
      </c>
      <c r="C353" s="76" t="s">
        <v>123</v>
      </c>
      <c r="D353" s="76" t="n">
        <v>5</v>
      </c>
      <c r="E353" s="77" t="str">
        <f aca="false">IF($Q353="","Tidak ada di data",IF(AND(IFERROR(--(INDEX('Reguler Class Availability'!$F:$F,$Q353)&amp;""),0)=0,IFERROR(--(INDEX('Reguler Class Availability'!$G:$G,$Q353)&amp;""),0)=0),"Tutup",IF(IFERROR(--(INDEX('Reguler Class Availability'!$G:$G,$Q353)&amp;""),0)&gt;IFERROR(--(INDEX('Reguler Class Availability'!$F:$F,$Q353)&amp;""),0),"Lebih",IF(IFERROR(--(INDEX('Reguler Class Availability'!$G:$G,$Q353)&amp;""),0)=IFERROR(--(INDEX('Reguler Class Availability'!$F:$F,$Q353)&amp;""),0),"Penuh",IF(IFERROR(--(INDEX('Reguler Class Availability'!$G:$G,$Q353)&amp;""),0)=0,IF(INDEX('Reguler Class Availability'!$B:$B,$Q353)&amp;""="","Kosong","Belum terisi"),IF(IFERROR(--(INDEX('Reguler Class Availability'!$G:$G,$Q353)&amp;""),0)/IFERROR(--(INDEX('Reguler Class Availability'!$F:$F,$Q353)&amp;""),0)&gt;=0.6,"Tinggi","Sebagian"))))))</f>
        <v>Kosong</v>
      </c>
      <c r="F353" s="77" t="str">
        <f aca="false">IF($Q353="","",PROPER(INDEX('Reguler Class Availability'!$B:$B,$Q353)&amp;""))</f>
        <v/>
      </c>
      <c r="G353" s="76" t="n">
        <f aca="false">IF($Q353="","",IFERROR(--(INDEX('Reguler Class Availability'!$F:$F,$Q353)&amp;""),0))</f>
        <v>4</v>
      </c>
      <c r="H353" s="77" t="str">
        <f aca="false">IF($Q353="","",PROPER(INDEX('Reguler Class Availability'!$I:$I,$Q353)&amp;"")&amp;IF(INDEX('Reguler Class Availability'!$J:$J,$Q353)&amp;""="",""," + asst "&amp;PROPER(INDEX('Reguler Class Availability'!$J:$J,$Q353)&amp;"")))</f>
        <v/>
      </c>
      <c r="I353" s="77" t="s">
        <v>477</v>
      </c>
      <c r="J353" s="77" t="s">
        <v>188</v>
      </c>
      <c r="K353" s="78"/>
      <c r="L353" s="78"/>
      <c r="M353" s="78"/>
      <c r="N353" s="79"/>
      <c r="O353" s="78"/>
      <c r="Q353" s="30" t="n">
        <f aca="false">IFERROR(MATCH($B$4&amp;"|- Lane "&amp;D353&amp;" - "&amp;B353&amp;"|"&amp;C353,'Reguler Class Availability'!$L:$L,0),"")</f>
        <v>2292</v>
      </c>
      <c r="BD353" s="30" t="s">
        <v>163</v>
      </c>
      <c r="BE353" s="30" t="n">
        <f aca="false">IF(COUNTIFS('Reguler Class Availability'!$L:$L,$B$4&amp;"|- Lane 6 - *|"&amp;BD353)&gt;0,1,0)</f>
        <v>0</v>
      </c>
      <c r="BF353" s="30" t="n">
        <f aca="false">BE353+BF352</f>
        <v>12</v>
      </c>
    </row>
    <row r="354" customFormat="false" ht="52.5" hidden="false" customHeight="true" outlineLevel="0" collapsed="false">
      <c r="A354" s="76" t="n">
        <v>228</v>
      </c>
      <c r="B354" s="77" t="s">
        <v>118</v>
      </c>
      <c r="C354" s="76" t="s">
        <v>124</v>
      </c>
      <c r="D354" s="76" t="n">
        <v>3</v>
      </c>
      <c r="E354" s="77" t="str">
        <f aca="false">IF($Q354="","Tidak ada di data",IF(AND(IFERROR(--(INDEX('Reguler Class Availability'!$F:$F,$Q354)&amp;""),0)=0,IFERROR(--(INDEX('Reguler Class Availability'!$G:$G,$Q354)&amp;""),0)=0),"Tutup",IF(IFERROR(--(INDEX('Reguler Class Availability'!$G:$G,$Q354)&amp;""),0)&gt;IFERROR(--(INDEX('Reguler Class Availability'!$F:$F,$Q354)&amp;""),0),"Lebih",IF(IFERROR(--(INDEX('Reguler Class Availability'!$G:$G,$Q354)&amp;""),0)=IFERROR(--(INDEX('Reguler Class Availability'!$F:$F,$Q354)&amp;""),0),"Penuh",IF(IFERROR(--(INDEX('Reguler Class Availability'!$G:$G,$Q354)&amp;""),0)=0,IF(INDEX('Reguler Class Availability'!$B:$B,$Q354)&amp;""="","Kosong","Belum terisi"),IF(IFERROR(--(INDEX('Reguler Class Availability'!$G:$G,$Q354)&amp;""),0)/IFERROR(--(INDEX('Reguler Class Availability'!$F:$F,$Q354)&amp;""),0)&gt;=0.6,"Tinggi","Sebagian"))))))</f>
        <v>Belum terisi</v>
      </c>
      <c r="F354" s="77" t="str">
        <f aca="false">IF($Q354="","",PROPER(INDEX('Reguler Class Availability'!$B:$B,$Q354)&amp;""))</f>
        <v>Little</v>
      </c>
      <c r="G354" s="76" t="n">
        <f aca="false">IF($Q354="","",IFERROR(--(INDEX('Reguler Class Availability'!$F:$F,$Q354)&amp;""),0))</f>
        <v>4</v>
      </c>
      <c r="H354" s="77" t="str">
        <f aca="false">IF($Q354="","",PROPER(INDEX('Reguler Class Availability'!$I:$I,$Q354)&amp;"")&amp;IF(INDEX('Reguler Class Availability'!$J:$J,$Q354)&amp;""="",""," + asst "&amp;PROPER(INDEX('Reguler Class Availability'!$J:$J,$Q354)&amp;"")))</f>
        <v/>
      </c>
      <c r="I354" s="77" t="s">
        <v>477</v>
      </c>
      <c r="J354" s="77" t="s">
        <v>188</v>
      </c>
      <c r="K354" s="78"/>
      <c r="L354" s="78"/>
      <c r="M354" s="78"/>
      <c r="N354" s="79"/>
      <c r="O354" s="78"/>
      <c r="Q354" s="30" t="n">
        <f aca="false">IFERROR(MATCH($B$4&amp;"|- Lane "&amp;D354&amp;" - "&amp;B354&amp;"|"&amp;C354,'Reguler Class Availability'!$L:$L,0),"")</f>
        <v>2124</v>
      </c>
      <c r="BD354" s="30" t="s">
        <v>164</v>
      </c>
      <c r="BE354" s="30" t="n">
        <f aca="false">IF(COUNTIFS('Reguler Class Availability'!$L:$L,$B$4&amp;"|- Lane 6 - *|"&amp;BD354)&gt;0,1,0)</f>
        <v>0</v>
      </c>
      <c r="BF354" s="30" t="n">
        <f aca="false">BE354+BF353</f>
        <v>12</v>
      </c>
    </row>
    <row r="355" customFormat="false" ht="52.5" hidden="false" customHeight="true" outlineLevel="0" collapsed="false">
      <c r="A355" s="76" t="n">
        <v>229</v>
      </c>
      <c r="B355" s="77" t="s">
        <v>118</v>
      </c>
      <c r="C355" s="76" t="s">
        <v>124</v>
      </c>
      <c r="D355" s="76" t="n">
        <v>4</v>
      </c>
      <c r="E355" s="77" t="str">
        <f aca="false">IF($Q355="","Tidak ada di data",IF(AND(IFERROR(--(INDEX('Reguler Class Availability'!$F:$F,$Q355)&amp;""),0)=0,IFERROR(--(INDEX('Reguler Class Availability'!$G:$G,$Q355)&amp;""),0)=0),"Tutup",IF(IFERROR(--(INDEX('Reguler Class Availability'!$G:$G,$Q355)&amp;""),0)&gt;IFERROR(--(INDEX('Reguler Class Availability'!$F:$F,$Q355)&amp;""),0),"Lebih",IF(IFERROR(--(INDEX('Reguler Class Availability'!$G:$G,$Q355)&amp;""),0)=IFERROR(--(INDEX('Reguler Class Availability'!$F:$F,$Q355)&amp;""),0),"Penuh",IF(IFERROR(--(INDEX('Reguler Class Availability'!$G:$G,$Q355)&amp;""),0)=0,IF(INDEX('Reguler Class Availability'!$B:$B,$Q355)&amp;""="","Kosong","Belum terisi"),IF(IFERROR(--(INDEX('Reguler Class Availability'!$G:$G,$Q355)&amp;""),0)/IFERROR(--(INDEX('Reguler Class Availability'!$F:$F,$Q355)&amp;""),0)&gt;=0.6,"Tinggi","Sebagian"))))))</f>
        <v>Belum terisi</v>
      </c>
      <c r="F355" s="77" t="str">
        <f aca="false">IF($Q355="","",PROPER(INDEX('Reguler Class Availability'!$B:$B,$Q355)&amp;""))</f>
        <v>Kids</v>
      </c>
      <c r="G355" s="76" t="n">
        <f aca="false">IF($Q355="","",IFERROR(--(INDEX('Reguler Class Availability'!$F:$F,$Q355)&amp;""),0))</f>
        <v>4</v>
      </c>
      <c r="H355" s="77" t="str">
        <f aca="false">IF($Q355="","",PROPER(INDEX('Reguler Class Availability'!$I:$I,$Q355)&amp;"")&amp;IF(INDEX('Reguler Class Availability'!$J:$J,$Q355)&amp;""="",""," + asst "&amp;PROPER(INDEX('Reguler Class Availability'!$J:$J,$Q355)&amp;"")))</f>
        <v/>
      </c>
      <c r="I355" s="77" t="s">
        <v>477</v>
      </c>
      <c r="J355" s="77" t="s">
        <v>188</v>
      </c>
      <c r="K355" s="78"/>
      <c r="L355" s="78"/>
      <c r="M355" s="78"/>
      <c r="N355" s="79"/>
      <c r="O355" s="78"/>
      <c r="Q355" s="30" t="n">
        <f aca="false">IFERROR(MATCH($B$4&amp;"|- Lane "&amp;D355&amp;" - "&amp;B355&amp;"|"&amp;C355,'Reguler Class Availability'!$L:$L,0),"")</f>
        <v>2208</v>
      </c>
      <c r="BD355" s="30" t="s">
        <v>165</v>
      </c>
      <c r="BE355" s="30" t="n">
        <f aca="false">IF(COUNTIFS('Reguler Class Availability'!$L:$L,$B$4&amp;"|- Lane 6 - *|"&amp;BD355)&gt;0,1,0)</f>
        <v>0</v>
      </c>
      <c r="BF355" s="30" t="n">
        <f aca="false">BE355+BF354</f>
        <v>12</v>
      </c>
    </row>
    <row r="356" customFormat="false" ht="52.5" hidden="false" customHeight="true" outlineLevel="0" collapsed="false">
      <c r="A356" s="76" t="n">
        <v>230</v>
      </c>
      <c r="B356" s="77" t="s">
        <v>118</v>
      </c>
      <c r="C356" s="76" t="s">
        <v>126</v>
      </c>
      <c r="D356" s="76" t="n">
        <v>1</v>
      </c>
      <c r="E356" s="77" t="str">
        <f aca="false">IF($Q356="","Tidak ada di data",IF(AND(IFERROR(--(INDEX('Reguler Class Availability'!$F:$F,$Q356)&amp;""),0)=0,IFERROR(--(INDEX('Reguler Class Availability'!$G:$G,$Q356)&amp;""),0)=0),"Tutup",IF(IFERROR(--(INDEX('Reguler Class Availability'!$G:$G,$Q356)&amp;""),0)&gt;IFERROR(--(INDEX('Reguler Class Availability'!$F:$F,$Q356)&amp;""),0),"Lebih",IF(IFERROR(--(INDEX('Reguler Class Availability'!$G:$G,$Q356)&amp;""),0)=IFERROR(--(INDEX('Reguler Class Availability'!$F:$F,$Q356)&amp;""),0),"Penuh",IF(IFERROR(--(INDEX('Reguler Class Availability'!$G:$G,$Q356)&amp;""),0)=0,IF(INDEX('Reguler Class Availability'!$B:$B,$Q356)&amp;""="","Kosong","Belum terisi"),IF(IFERROR(--(INDEX('Reguler Class Availability'!$G:$G,$Q356)&amp;""),0)/IFERROR(--(INDEX('Reguler Class Availability'!$F:$F,$Q356)&amp;""),0)&gt;=0.6,"Tinggi","Sebagian"))))))</f>
        <v>Belum terisi</v>
      </c>
      <c r="F356" s="77" t="str">
        <f aca="false">IF($Q356="","",PROPER(INDEX('Reguler Class Availability'!$B:$B,$Q356)&amp;""))</f>
        <v>Baby</v>
      </c>
      <c r="G356" s="76" t="n">
        <f aca="false">IF($Q356="","",IFERROR(--(INDEX('Reguler Class Availability'!$F:$F,$Q356)&amp;""),0))</f>
        <v>5</v>
      </c>
      <c r="H356" s="77" t="str">
        <f aca="false">IF($Q356="","",PROPER(INDEX('Reguler Class Availability'!$I:$I,$Q356)&amp;"")&amp;IF(INDEX('Reguler Class Availability'!$J:$J,$Q356)&amp;""="",""," + asst "&amp;PROPER(INDEX('Reguler Class Availability'!$J:$J,$Q356)&amp;"")))</f>
        <v/>
      </c>
      <c r="I356" s="77" t="s">
        <v>477</v>
      </c>
      <c r="J356" s="77" t="s">
        <v>188</v>
      </c>
      <c r="K356" s="78"/>
      <c r="L356" s="78"/>
      <c r="M356" s="78"/>
      <c r="N356" s="79"/>
      <c r="O356" s="78"/>
      <c r="Q356" s="30" t="n">
        <f aca="false">IFERROR(MATCH($B$4&amp;"|- Lane "&amp;D356&amp;" - "&amp;B356&amp;"|"&amp;C356,'Reguler Class Availability'!$L:$L,0),"")</f>
        <v>1943</v>
      </c>
      <c r="BD356" s="30" t="s">
        <v>166</v>
      </c>
      <c r="BE356" s="30" t="n">
        <f aca="false">IF(COUNTIFS('Reguler Class Availability'!$L:$L,$B$4&amp;"|- Lane 6 - *|"&amp;BD356)&gt;0,1,0)</f>
        <v>0</v>
      </c>
      <c r="BF356" s="30" t="n">
        <f aca="false">BE356+BF355</f>
        <v>12</v>
      </c>
    </row>
    <row r="357" customFormat="false" ht="52.5" hidden="false" customHeight="true" outlineLevel="0" collapsed="false">
      <c r="A357" s="76" t="n">
        <v>231</v>
      </c>
      <c r="B357" s="77" t="s">
        <v>118</v>
      </c>
      <c r="C357" s="76" t="s">
        <v>126</v>
      </c>
      <c r="D357" s="76" t="n">
        <v>2</v>
      </c>
      <c r="E357" s="77" t="str">
        <f aca="false">IF($Q357="","Tidak ada di data",IF(AND(IFERROR(--(INDEX('Reguler Class Availability'!$F:$F,$Q357)&amp;""),0)=0,IFERROR(--(INDEX('Reguler Class Availability'!$G:$G,$Q357)&amp;""),0)=0),"Tutup",IF(IFERROR(--(INDEX('Reguler Class Availability'!$G:$G,$Q357)&amp;""),0)&gt;IFERROR(--(INDEX('Reguler Class Availability'!$F:$F,$Q357)&amp;""),0),"Lebih",IF(IFERROR(--(INDEX('Reguler Class Availability'!$G:$G,$Q357)&amp;""),0)=IFERROR(--(INDEX('Reguler Class Availability'!$F:$F,$Q357)&amp;""),0),"Penuh",IF(IFERROR(--(INDEX('Reguler Class Availability'!$G:$G,$Q357)&amp;""),0)=0,IF(INDEX('Reguler Class Availability'!$B:$B,$Q357)&amp;""="","Kosong","Belum terisi"),IF(IFERROR(--(INDEX('Reguler Class Availability'!$G:$G,$Q357)&amp;""),0)/IFERROR(--(INDEX('Reguler Class Availability'!$F:$F,$Q357)&amp;""),0)&gt;=0.6,"Tinggi","Sebagian"))))))</f>
        <v>Belum terisi</v>
      </c>
      <c r="F357" s="77" t="str">
        <f aca="false">IF($Q357="","",PROPER(INDEX('Reguler Class Availability'!$B:$B,$Q357)&amp;""))</f>
        <v>Tiny</v>
      </c>
      <c r="G357" s="76" t="n">
        <f aca="false">IF($Q357="","",IFERROR(--(INDEX('Reguler Class Availability'!$F:$F,$Q357)&amp;""),0))</f>
        <v>5</v>
      </c>
      <c r="H357" s="77" t="str">
        <f aca="false">IF($Q357="","",PROPER(INDEX('Reguler Class Availability'!$I:$I,$Q357)&amp;"")&amp;IF(INDEX('Reguler Class Availability'!$J:$J,$Q357)&amp;""="",""," + asst "&amp;PROPER(INDEX('Reguler Class Availability'!$J:$J,$Q357)&amp;"")))</f>
        <v/>
      </c>
      <c r="I357" s="77" t="s">
        <v>477</v>
      </c>
      <c r="J357" s="77" t="s">
        <v>188</v>
      </c>
      <c r="K357" s="78"/>
      <c r="L357" s="78"/>
      <c r="M357" s="78"/>
      <c r="N357" s="79"/>
      <c r="O357" s="78"/>
      <c r="Q357" s="30" t="n">
        <f aca="false">IFERROR(MATCH($B$4&amp;"|- Lane "&amp;D357&amp;" - "&amp;B357&amp;"|"&amp;C357,'Reguler Class Availability'!$L:$L,0),"")</f>
        <v>2041</v>
      </c>
      <c r="BD357" s="30" t="s">
        <v>167</v>
      </c>
      <c r="BE357" s="30" t="n">
        <f aca="false">IF(COUNTIFS('Reguler Class Availability'!$L:$L,$B$4&amp;"|- Lane 6 - *|"&amp;BD357)&gt;0,1,0)</f>
        <v>0</v>
      </c>
      <c r="BF357" s="30" t="n">
        <f aca="false">BE357+BF356</f>
        <v>12</v>
      </c>
    </row>
    <row r="358" customFormat="false" ht="52.5" hidden="false" customHeight="true" outlineLevel="0" collapsed="false">
      <c r="A358" s="76" t="n">
        <v>232</v>
      </c>
      <c r="B358" s="77" t="s">
        <v>118</v>
      </c>
      <c r="C358" s="76" t="s">
        <v>126</v>
      </c>
      <c r="D358" s="76" t="n">
        <v>5</v>
      </c>
      <c r="E358" s="77" t="str">
        <f aca="false">IF($Q358="","Tidak ada di data",IF(AND(IFERROR(--(INDEX('Reguler Class Availability'!$F:$F,$Q358)&amp;""),0)=0,IFERROR(--(INDEX('Reguler Class Availability'!$G:$G,$Q358)&amp;""),0)=0),"Tutup",IF(IFERROR(--(INDEX('Reguler Class Availability'!$G:$G,$Q358)&amp;""),0)&gt;IFERROR(--(INDEX('Reguler Class Availability'!$F:$F,$Q358)&amp;""),0),"Lebih",IF(IFERROR(--(INDEX('Reguler Class Availability'!$G:$G,$Q358)&amp;""),0)=IFERROR(--(INDEX('Reguler Class Availability'!$F:$F,$Q358)&amp;""),0),"Penuh",IF(IFERROR(--(INDEX('Reguler Class Availability'!$G:$G,$Q358)&amp;""),0)=0,IF(INDEX('Reguler Class Availability'!$B:$B,$Q358)&amp;""="","Kosong","Belum terisi"),IF(IFERROR(--(INDEX('Reguler Class Availability'!$G:$G,$Q358)&amp;""),0)/IFERROR(--(INDEX('Reguler Class Availability'!$F:$F,$Q358)&amp;""),0)&gt;=0.6,"Tinggi","Sebagian"))))))</f>
        <v>Kosong</v>
      </c>
      <c r="F358" s="77" t="str">
        <f aca="false">IF($Q358="","",PROPER(INDEX('Reguler Class Availability'!$B:$B,$Q358)&amp;""))</f>
        <v/>
      </c>
      <c r="G358" s="76" t="n">
        <f aca="false">IF($Q358="","",IFERROR(--(INDEX('Reguler Class Availability'!$F:$F,$Q358)&amp;""),0))</f>
        <v>4</v>
      </c>
      <c r="H358" s="77" t="str">
        <f aca="false">IF($Q358="","",PROPER(INDEX('Reguler Class Availability'!$I:$I,$Q358)&amp;"")&amp;IF(INDEX('Reguler Class Availability'!$J:$J,$Q358)&amp;""="",""," + asst "&amp;PROPER(INDEX('Reguler Class Availability'!$J:$J,$Q358)&amp;"")))</f>
        <v/>
      </c>
      <c r="I358" s="77" t="s">
        <v>477</v>
      </c>
      <c r="J358" s="77" t="s">
        <v>188</v>
      </c>
      <c r="K358" s="78"/>
      <c r="L358" s="78"/>
      <c r="M358" s="78"/>
      <c r="N358" s="79"/>
      <c r="O358" s="78"/>
      <c r="Q358" s="30" t="n">
        <f aca="false">IFERROR(MATCH($B$4&amp;"|- Lane "&amp;D358&amp;" - "&amp;B358&amp;"|"&amp;C358,'Reguler Class Availability'!$L:$L,0),"")</f>
        <v>2293</v>
      </c>
      <c r="BD358" s="30" t="s">
        <v>168</v>
      </c>
      <c r="BE358" s="30" t="n">
        <f aca="false">IF(COUNTIFS('Reguler Class Availability'!$L:$L,$B$4&amp;"|- Lane 6 - *|"&amp;BD358)&gt;0,1,0)</f>
        <v>0</v>
      </c>
      <c r="BF358" s="30" t="n">
        <f aca="false">BE358+BF357</f>
        <v>12</v>
      </c>
    </row>
    <row r="359" customFormat="false" ht="52.5" hidden="false" customHeight="true" outlineLevel="0" collapsed="false">
      <c r="A359" s="76" t="n">
        <v>233</v>
      </c>
      <c r="B359" s="77" t="s">
        <v>118</v>
      </c>
      <c r="C359" s="76" t="s">
        <v>127</v>
      </c>
      <c r="D359" s="76" t="n">
        <v>3</v>
      </c>
      <c r="E359" s="77" t="str">
        <f aca="false">IF($Q359="","Tidak ada di data",IF(AND(IFERROR(--(INDEX('Reguler Class Availability'!$F:$F,$Q359)&amp;""),0)=0,IFERROR(--(INDEX('Reguler Class Availability'!$G:$G,$Q359)&amp;""),0)=0),"Tutup",IF(IFERROR(--(INDEX('Reguler Class Availability'!$G:$G,$Q359)&amp;""),0)&gt;IFERROR(--(INDEX('Reguler Class Availability'!$F:$F,$Q359)&amp;""),0),"Lebih",IF(IFERROR(--(INDEX('Reguler Class Availability'!$G:$G,$Q359)&amp;""),0)=IFERROR(--(INDEX('Reguler Class Availability'!$F:$F,$Q359)&amp;""),0),"Penuh",IF(IFERROR(--(INDEX('Reguler Class Availability'!$G:$G,$Q359)&amp;""),0)=0,IF(INDEX('Reguler Class Availability'!$B:$B,$Q359)&amp;""="","Kosong","Belum terisi"),IF(IFERROR(--(INDEX('Reguler Class Availability'!$G:$G,$Q359)&amp;""),0)/IFERROR(--(INDEX('Reguler Class Availability'!$F:$F,$Q359)&amp;""),0)&gt;=0.6,"Tinggi","Sebagian"))))))</f>
        <v>Belum terisi</v>
      </c>
      <c r="F359" s="77" t="str">
        <f aca="false">IF($Q359="","",PROPER(INDEX('Reguler Class Availability'!$B:$B,$Q359)&amp;""))</f>
        <v>Little</v>
      </c>
      <c r="G359" s="76" t="n">
        <f aca="false">IF($Q359="","",IFERROR(--(INDEX('Reguler Class Availability'!$F:$F,$Q359)&amp;""),0))</f>
        <v>4</v>
      </c>
      <c r="H359" s="77" t="str">
        <f aca="false">IF($Q359="","",PROPER(INDEX('Reguler Class Availability'!$I:$I,$Q359)&amp;"")&amp;IF(INDEX('Reguler Class Availability'!$J:$J,$Q359)&amp;""="",""," + asst "&amp;PROPER(INDEX('Reguler Class Availability'!$J:$J,$Q359)&amp;"")))</f>
        <v/>
      </c>
      <c r="I359" s="77" t="s">
        <v>477</v>
      </c>
      <c r="J359" s="77" t="s">
        <v>188</v>
      </c>
      <c r="K359" s="78"/>
      <c r="L359" s="78"/>
      <c r="M359" s="78"/>
      <c r="N359" s="79"/>
      <c r="O359" s="78"/>
      <c r="Q359" s="30" t="n">
        <f aca="false">IFERROR(MATCH($B$4&amp;"|- Lane "&amp;D359&amp;" - "&amp;B359&amp;"|"&amp;C359,'Reguler Class Availability'!$L:$L,0),"")</f>
        <v>2125</v>
      </c>
      <c r="BD359" s="30" t="s">
        <v>169</v>
      </c>
      <c r="BE359" s="30" t="n">
        <f aca="false">IF(COUNTIFS('Reguler Class Availability'!$L:$L,$B$4&amp;"|- Lane 6 - *|"&amp;BD359)&gt;0,1,0)</f>
        <v>0</v>
      </c>
      <c r="BF359" s="30" t="n">
        <f aca="false">BE359+BF358</f>
        <v>12</v>
      </c>
    </row>
    <row r="360" customFormat="false" ht="52.5" hidden="false" customHeight="true" outlineLevel="0" collapsed="false">
      <c r="A360" s="76" t="n">
        <v>234</v>
      </c>
      <c r="B360" s="77" t="s">
        <v>118</v>
      </c>
      <c r="C360" s="76" t="s">
        <v>127</v>
      </c>
      <c r="D360" s="76" t="n">
        <v>4</v>
      </c>
      <c r="E360" s="77" t="str">
        <f aca="false">IF($Q360="","Tidak ada di data",IF(AND(IFERROR(--(INDEX('Reguler Class Availability'!$F:$F,$Q360)&amp;""),0)=0,IFERROR(--(INDEX('Reguler Class Availability'!$G:$G,$Q360)&amp;""),0)=0),"Tutup",IF(IFERROR(--(INDEX('Reguler Class Availability'!$G:$G,$Q360)&amp;""),0)&gt;IFERROR(--(INDEX('Reguler Class Availability'!$F:$F,$Q360)&amp;""),0),"Lebih",IF(IFERROR(--(INDEX('Reguler Class Availability'!$G:$G,$Q360)&amp;""),0)=IFERROR(--(INDEX('Reguler Class Availability'!$F:$F,$Q360)&amp;""),0),"Penuh",IF(IFERROR(--(INDEX('Reguler Class Availability'!$G:$G,$Q360)&amp;""),0)=0,IF(INDEX('Reguler Class Availability'!$B:$B,$Q360)&amp;""="","Kosong","Belum terisi"),IF(IFERROR(--(INDEX('Reguler Class Availability'!$G:$G,$Q360)&amp;""),0)/IFERROR(--(INDEX('Reguler Class Availability'!$F:$F,$Q360)&amp;""),0)&gt;=0.6,"Tinggi","Sebagian"))))))</f>
        <v>Belum terisi</v>
      </c>
      <c r="F360" s="77" t="str">
        <f aca="false">IF($Q360="","",PROPER(INDEX('Reguler Class Availability'!$B:$B,$Q360)&amp;""))</f>
        <v>Kids</v>
      </c>
      <c r="G360" s="76" t="n">
        <f aca="false">IF($Q360="","",IFERROR(--(INDEX('Reguler Class Availability'!$F:$F,$Q360)&amp;""),0))</f>
        <v>4</v>
      </c>
      <c r="H360" s="77" t="str">
        <f aca="false">IF($Q360="","",PROPER(INDEX('Reguler Class Availability'!$I:$I,$Q360)&amp;"")&amp;IF(INDEX('Reguler Class Availability'!$J:$J,$Q360)&amp;""="",""," + asst "&amp;PROPER(INDEX('Reguler Class Availability'!$J:$J,$Q360)&amp;"")))</f>
        <v/>
      </c>
      <c r="I360" s="77" t="s">
        <v>477</v>
      </c>
      <c r="J360" s="77" t="s">
        <v>188</v>
      </c>
      <c r="K360" s="78"/>
      <c r="L360" s="78"/>
      <c r="M360" s="78"/>
      <c r="N360" s="79"/>
      <c r="O360" s="78"/>
      <c r="Q360" s="30" t="n">
        <f aca="false">IFERROR(MATCH($B$4&amp;"|- Lane "&amp;D360&amp;" - "&amp;B360&amp;"|"&amp;C360,'Reguler Class Availability'!$L:$L,0),"")</f>
        <v>2209</v>
      </c>
      <c r="BD360" s="30" t="s">
        <v>170</v>
      </c>
      <c r="BE360" s="30" t="n">
        <f aca="false">IF(COUNTIFS('Reguler Class Availability'!$L:$L,$B$4&amp;"|- Lane 6 - *|"&amp;BD360)&gt;0,1,0)</f>
        <v>0</v>
      </c>
      <c r="BF360" s="30" t="n">
        <f aca="false">BE360+BF359</f>
        <v>12</v>
      </c>
    </row>
    <row r="361" customFormat="false" ht="52.5" hidden="false" customHeight="true" outlineLevel="0" collapsed="false">
      <c r="A361" s="76" t="n">
        <v>235</v>
      </c>
      <c r="B361" s="77" t="s">
        <v>118</v>
      </c>
      <c r="C361" s="76" t="s">
        <v>129</v>
      </c>
      <c r="D361" s="76" t="n">
        <v>1</v>
      </c>
      <c r="E361" s="77" t="str">
        <f aca="false">IF($Q361="","Tidak ada di data",IF(AND(IFERROR(--(INDEX('Reguler Class Availability'!$F:$F,$Q361)&amp;""),0)=0,IFERROR(--(INDEX('Reguler Class Availability'!$G:$G,$Q361)&amp;""),0)=0),"Tutup",IF(IFERROR(--(INDEX('Reguler Class Availability'!$G:$G,$Q361)&amp;""),0)&gt;IFERROR(--(INDEX('Reguler Class Availability'!$F:$F,$Q361)&amp;""),0),"Lebih",IF(IFERROR(--(INDEX('Reguler Class Availability'!$G:$G,$Q361)&amp;""),0)=IFERROR(--(INDEX('Reguler Class Availability'!$F:$F,$Q361)&amp;""),0),"Penuh",IF(IFERROR(--(INDEX('Reguler Class Availability'!$G:$G,$Q361)&amp;""),0)=0,IF(INDEX('Reguler Class Availability'!$B:$B,$Q361)&amp;""="","Kosong","Belum terisi"),IF(IFERROR(--(INDEX('Reguler Class Availability'!$G:$G,$Q361)&amp;""),0)/IFERROR(--(INDEX('Reguler Class Availability'!$F:$F,$Q361)&amp;""),0)&gt;=0.6,"Tinggi","Sebagian"))))))</f>
        <v>Belum terisi</v>
      </c>
      <c r="F361" s="77" t="str">
        <f aca="false">IF($Q361="","",PROPER(INDEX('Reguler Class Availability'!$B:$B,$Q361)&amp;""))</f>
        <v>Baby</v>
      </c>
      <c r="G361" s="76" t="n">
        <f aca="false">IF($Q361="","",IFERROR(--(INDEX('Reguler Class Availability'!$F:$F,$Q361)&amp;""),0))</f>
        <v>5</v>
      </c>
      <c r="H361" s="77" t="str">
        <f aca="false">IF($Q361="","",PROPER(INDEX('Reguler Class Availability'!$I:$I,$Q361)&amp;"")&amp;IF(INDEX('Reguler Class Availability'!$J:$J,$Q361)&amp;""="",""," + asst "&amp;PROPER(INDEX('Reguler Class Availability'!$J:$J,$Q361)&amp;"")))</f>
        <v/>
      </c>
      <c r="I361" s="77" t="s">
        <v>477</v>
      </c>
      <c r="J361" s="77" t="s">
        <v>188</v>
      </c>
      <c r="K361" s="78"/>
      <c r="L361" s="78"/>
      <c r="M361" s="78"/>
      <c r="N361" s="79"/>
      <c r="O361" s="78"/>
      <c r="Q361" s="30" t="n">
        <f aca="false">IFERROR(MATCH($B$4&amp;"|- Lane "&amp;D361&amp;" - "&amp;B361&amp;"|"&amp;C361,'Reguler Class Availability'!$L:$L,0),"")</f>
        <v>1944</v>
      </c>
      <c r="BD361" s="30" t="s">
        <v>171</v>
      </c>
      <c r="BE361" s="30" t="n">
        <f aca="false">IF(COUNTIFS('Reguler Class Availability'!$L:$L,$B$4&amp;"|- Lane 6 - *|"&amp;BD361)&gt;0,1,0)</f>
        <v>0</v>
      </c>
      <c r="BF361" s="30" t="n">
        <f aca="false">BE361+BF360</f>
        <v>12</v>
      </c>
    </row>
    <row r="362" customFormat="false" ht="52.5" hidden="false" customHeight="true" outlineLevel="0" collapsed="false">
      <c r="A362" s="76" t="n">
        <v>236</v>
      </c>
      <c r="B362" s="77" t="s">
        <v>118</v>
      </c>
      <c r="C362" s="76" t="s">
        <v>129</v>
      </c>
      <c r="D362" s="76" t="n">
        <v>2</v>
      </c>
      <c r="E362" s="77" t="str">
        <f aca="false">IF($Q362="","Tidak ada di data",IF(AND(IFERROR(--(INDEX('Reguler Class Availability'!$F:$F,$Q362)&amp;""),0)=0,IFERROR(--(INDEX('Reguler Class Availability'!$G:$G,$Q362)&amp;""),0)=0),"Tutup",IF(IFERROR(--(INDEX('Reguler Class Availability'!$G:$G,$Q362)&amp;""),0)&gt;IFERROR(--(INDEX('Reguler Class Availability'!$F:$F,$Q362)&amp;""),0),"Lebih",IF(IFERROR(--(INDEX('Reguler Class Availability'!$G:$G,$Q362)&amp;""),0)=IFERROR(--(INDEX('Reguler Class Availability'!$F:$F,$Q362)&amp;""),0),"Penuh",IF(IFERROR(--(INDEX('Reguler Class Availability'!$G:$G,$Q362)&amp;""),0)=0,IF(INDEX('Reguler Class Availability'!$B:$B,$Q362)&amp;""="","Kosong","Belum terisi"),IF(IFERROR(--(INDEX('Reguler Class Availability'!$G:$G,$Q362)&amp;""),0)/IFERROR(--(INDEX('Reguler Class Availability'!$F:$F,$Q362)&amp;""),0)&gt;=0.6,"Tinggi","Sebagian"))))))</f>
        <v>Belum terisi</v>
      </c>
      <c r="F362" s="77" t="str">
        <f aca="false">IF($Q362="","",PROPER(INDEX('Reguler Class Availability'!$B:$B,$Q362)&amp;""))</f>
        <v>Tiny</v>
      </c>
      <c r="G362" s="76" t="n">
        <f aca="false">IF($Q362="","",IFERROR(--(INDEX('Reguler Class Availability'!$F:$F,$Q362)&amp;""),0))</f>
        <v>5</v>
      </c>
      <c r="H362" s="77" t="str">
        <f aca="false">IF($Q362="","",PROPER(INDEX('Reguler Class Availability'!$I:$I,$Q362)&amp;"")&amp;IF(INDEX('Reguler Class Availability'!$J:$J,$Q362)&amp;""="",""," + asst "&amp;PROPER(INDEX('Reguler Class Availability'!$J:$J,$Q362)&amp;"")))</f>
        <v/>
      </c>
      <c r="I362" s="77" t="s">
        <v>477</v>
      </c>
      <c r="J362" s="77" t="s">
        <v>188</v>
      </c>
      <c r="K362" s="78"/>
      <c r="L362" s="78"/>
      <c r="M362" s="78"/>
      <c r="N362" s="79"/>
      <c r="O362" s="78"/>
      <c r="Q362" s="30" t="n">
        <f aca="false">IFERROR(MATCH($B$4&amp;"|- Lane "&amp;D362&amp;" - "&amp;B362&amp;"|"&amp;C362,'Reguler Class Availability'!$L:$L,0),"")</f>
        <v>2042</v>
      </c>
    </row>
    <row r="363" customFormat="false" ht="52.5" hidden="false" customHeight="true" outlineLevel="0" collapsed="false">
      <c r="A363" s="76" t="n">
        <v>237</v>
      </c>
      <c r="B363" s="77" t="s">
        <v>118</v>
      </c>
      <c r="C363" s="76" t="s">
        <v>129</v>
      </c>
      <c r="D363" s="76" t="n">
        <v>5</v>
      </c>
      <c r="E363" s="77" t="str">
        <f aca="false">IF($Q363="","Tidak ada di data",IF(AND(IFERROR(--(INDEX('Reguler Class Availability'!$F:$F,$Q363)&amp;""),0)=0,IFERROR(--(INDEX('Reguler Class Availability'!$G:$G,$Q363)&amp;""),0)=0),"Tutup",IF(IFERROR(--(INDEX('Reguler Class Availability'!$G:$G,$Q363)&amp;""),0)&gt;IFERROR(--(INDEX('Reguler Class Availability'!$F:$F,$Q363)&amp;""),0),"Lebih",IF(IFERROR(--(INDEX('Reguler Class Availability'!$G:$G,$Q363)&amp;""),0)=IFERROR(--(INDEX('Reguler Class Availability'!$F:$F,$Q363)&amp;""),0),"Penuh",IF(IFERROR(--(INDEX('Reguler Class Availability'!$G:$G,$Q363)&amp;""),0)=0,IF(INDEX('Reguler Class Availability'!$B:$B,$Q363)&amp;""="","Kosong","Belum terisi"),IF(IFERROR(--(INDEX('Reguler Class Availability'!$G:$G,$Q363)&amp;""),0)/IFERROR(--(INDEX('Reguler Class Availability'!$F:$F,$Q363)&amp;""),0)&gt;=0.6,"Tinggi","Sebagian"))))))</f>
        <v>Kosong</v>
      </c>
      <c r="F363" s="77" t="str">
        <f aca="false">IF($Q363="","",PROPER(INDEX('Reguler Class Availability'!$B:$B,$Q363)&amp;""))</f>
        <v/>
      </c>
      <c r="G363" s="76" t="n">
        <f aca="false">IF($Q363="","",IFERROR(--(INDEX('Reguler Class Availability'!$F:$F,$Q363)&amp;""),0))</f>
        <v>4</v>
      </c>
      <c r="H363" s="77" t="str">
        <f aca="false">IF($Q363="","",PROPER(INDEX('Reguler Class Availability'!$I:$I,$Q363)&amp;"")&amp;IF(INDEX('Reguler Class Availability'!$J:$J,$Q363)&amp;""="",""," + asst "&amp;PROPER(INDEX('Reguler Class Availability'!$J:$J,$Q363)&amp;"")))</f>
        <v/>
      </c>
      <c r="I363" s="77" t="s">
        <v>477</v>
      </c>
      <c r="J363" s="77" t="s">
        <v>188</v>
      </c>
      <c r="K363" s="78"/>
      <c r="L363" s="78"/>
      <c r="M363" s="78"/>
      <c r="N363" s="79"/>
      <c r="O363" s="78"/>
      <c r="Q363" s="30" t="n">
        <f aca="false">IFERROR(MATCH($B$4&amp;"|- Lane "&amp;D363&amp;" - "&amp;B363&amp;"|"&amp;C363,'Reguler Class Availability'!$L:$L,0),"")</f>
        <v>2294</v>
      </c>
    </row>
    <row r="364" customFormat="false" ht="52.5" hidden="false" customHeight="true" outlineLevel="0" collapsed="false">
      <c r="A364" s="76" t="n">
        <v>238</v>
      </c>
      <c r="B364" s="77" t="s">
        <v>118</v>
      </c>
      <c r="C364" s="76" t="s">
        <v>130</v>
      </c>
      <c r="D364" s="76" t="n">
        <v>3</v>
      </c>
      <c r="E364" s="77" t="str">
        <f aca="false">IF($Q364="","Tidak ada di data",IF(AND(IFERROR(--(INDEX('Reguler Class Availability'!$F:$F,$Q364)&amp;""),0)=0,IFERROR(--(INDEX('Reguler Class Availability'!$G:$G,$Q364)&amp;""),0)=0),"Tutup",IF(IFERROR(--(INDEX('Reguler Class Availability'!$G:$G,$Q364)&amp;""),0)&gt;IFERROR(--(INDEX('Reguler Class Availability'!$F:$F,$Q364)&amp;""),0),"Lebih",IF(IFERROR(--(INDEX('Reguler Class Availability'!$G:$G,$Q364)&amp;""),0)=IFERROR(--(INDEX('Reguler Class Availability'!$F:$F,$Q364)&amp;""),0),"Penuh",IF(IFERROR(--(INDEX('Reguler Class Availability'!$G:$G,$Q364)&amp;""),0)=0,IF(INDEX('Reguler Class Availability'!$B:$B,$Q364)&amp;""="","Kosong","Belum terisi"),IF(IFERROR(--(INDEX('Reguler Class Availability'!$G:$G,$Q364)&amp;""),0)/IFERROR(--(INDEX('Reguler Class Availability'!$F:$F,$Q364)&amp;""),0)&gt;=0.6,"Tinggi","Sebagian"))))))</f>
        <v>Belum terisi</v>
      </c>
      <c r="F364" s="77" t="str">
        <f aca="false">IF($Q364="","",PROPER(INDEX('Reguler Class Availability'!$B:$B,$Q364)&amp;""))</f>
        <v>Little</v>
      </c>
      <c r="G364" s="76" t="n">
        <f aca="false">IF($Q364="","",IFERROR(--(INDEX('Reguler Class Availability'!$F:$F,$Q364)&amp;""),0))</f>
        <v>4</v>
      </c>
      <c r="H364" s="77" t="str">
        <f aca="false">IF($Q364="","",PROPER(INDEX('Reguler Class Availability'!$I:$I,$Q364)&amp;"")&amp;IF(INDEX('Reguler Class Availability'!$J:$J,$Q364)&amp;""="",""," + asst "&amp;PROPER(INDEX('Reguler Class Availability'!$J:$J,$Q364)&amp;"")))</f>
        <v/>
      </c>
      <c r="I364" s="77" t="s">
        <v>477</v>
      </c>
      <c r="J364" s="77" t="s">
        <v>188</v>
      </c>
      <c r="K364" s="78"/>
      <c r="L364" s="78"/>
      <c r="M364" s="78"/>
      <c r="N364" s="79"/>
      <c r="O364" s="78"/>
      <c r="Q364" s="30" t="n">
        <f aca="false">IFERROR(MATCH($B$4&amp;"|- Lane "&amp;D364&amp;" - "&amp;B364&amp;"|"&amp;C364,'Reguler Class Availability'!$L:$L,0),"")</f>
        <v>2126</v>
      </c>
    </row>
    <row r="365" customFormat="false" ht="52.5" hidden="false" customHeight="true" outlineLevel="0" collapsed="false">
      <c r="A365" s="76" t="n">
        <v>239</v>
      </c>
      <c r="B365" s="77" t="s">
        <v>118</v>
      </c>
      <c r="C365" s="76" t="s">
        <v>130</v>
      </c>
      <c r="D365" s="76" t="n">
        <v>4</v>
      </c>
      <c r="E365" s="77" t="str">
        <f aca="false">IF($Q365="","Tidak ada di data",IF(AND(IFERROR(--(INDEX('Reguler Class Availability'!$F:$F,$Q365)&amp;""),0)=0,IFERROR(--(INDEX('Reguler Class Availability'!$G:$G,$Q365)&amp;""),0)=0),"Tutup",IF(IFERROR(--(INDEX('Reguler Class Availability'!$G:$G,$Q365)&amp;""),0)&gt;IFERROR(--(INDEX('Reguler Class Availability'!$F:$F,$Q365)&amp;""),0),"Lebih",IF(IFERROR(--(INDEX('Reguler Class Availability'!$G:$G,$Q365)&amp;""),0)=IFERROR(--(INDEX('Reguler Class Availability'!$F:$F,$Q365)&amp;""),0),"Penuh",IF(IFERROR(--(INDEX('Reguler Class Availability'!$G:$G,$Q365)&amp;""),0)=0,IF(INDEX('Reguler Class Availability'!$B:$B,$Q365)&amp;""="","Kosong","Belum terisi"),IF(IFERROR(--(INDEX('Reguler Class Availability'!$G:$G,$Q365)&amp;""),0)/IFERROR(--(INDEX('Reguler Class Availability'!$F:$F,$Q365)&amp;""),0)&gt;=0.6,"Tinggi","Sebagian"))))))</f>
        <v>Belum terisi</v>
      </c>
      <c r="F365" s="77" t="str">
        <f aca="false">IF($Q365="","",PROPER(INDEX('Reguler Class Availability'!$B:$B,$Q365)&amp;""))</f>
        <v>Kids</v>
      </c>
      <c r="G365" s="76" t="n">
        <f aca="false">IF($Q365="","",IFERROR(--(INDEX('Reguler Class Availability'!$F:$F,$Q365)&amp;""),0))</f>
        <v>4</v>
      </c>
      <c r="H365" s="77" t="str">
        <f aca="false">IF($Q365="","",PROPER(INDEX('Reguler Class Availability'!$I:$I,$Q365)&amp;"")&amp;IF(INDEX('Reguler Class Availability'!$J:$J,$Q365)&amp;""="",""," + asst "&amp;PROPER(INDEX('Reguler Class Availability'!$J:$J,$Q365)&amp;"")))</f>
        <v/>
      </c>
      <c r="I365" s="77" t="s">
        <v>477</v>
      </c>
      <c r="J365" s="77" t="s">
        <v>188</v>
      </c>
      <c r="K365" s="78"/>
      <c r="L365" s="78"/>
      <c r="M365" s="78"/>
      <c r="N365" s="79"/>
      <c r="O365" s="78"/>
      <c r="Q365" s="30" t="n">
        <f aca="false">IFERROR(MATCH($B$4&amp;"|- Lane "&amp;D365&amp;" - "&amp;B365&amp;"|"&amp;C365,'Reguler Class Availability'!$L:$L,0),"")</f>
        <v>2210</v>
      </c>
    </row>
    <row r="366" customFormat="false" ht="52.5" hidden="false" customHeight="true" outlineLevel="0" collapsed="false">
      <c r="A366" s="76" t="n">
        <v>240</v>
      </c>
      <c r="B366" s="77" t="s">
        <v>118</v>
      </c>
      <c r="C366" s="76" t="s">
        <v>132</v>
      </c>
      <c r="D366" s="76" t="n">
        <v>1</v>
      </c>
      <c r="E366" s="77" t="str">
        <f aca="false">IF($Q366="","Tidak ada di data",IF(AND(IFERROR(--(INDEX('Reguler Class Availability'!$F:$F,$Q366)&amp;""),0)=0,IFERROR(--(INDEX('Reguler Class Availability'!$G:$G,$Q366)&amp;""),0)=0),"Tutup",IF(IFERROR(--(INDEX('Reguler Class Availability'!$G:$G,$Q366)&amp;""),0)&gt;IFERROR(--(INDEX('Reguler Class Availability'!$F:$F,$Q366)&amp;""),0),"Lebih",IF(IFERROR(--(INDEX('Reguler Class Availability'!$G:$G,$Q366)&amp;""),0)=IFERROR(--(INDEX('Reguler Class Availability'!$F:$F,$Q366)&amp;""),0),"Penuh",IF(IFERROR(--(INDEX('Reguler Class Availability'!$G:$G,$Q366)&amp;""),0)=0,IF(INDEX('Reguler Class Availability'!$B:$B,$Q366)&amp;""="","Kosong","Belum terisi"),IF(IFERROR(--(INDEX('Reguler Class Availability'!$G:$G,$Q366)&amp;""),0)/IFERROR(--(INDEX('Reguler Class Availability'!$F:$F,$Q366)&amp;""),0)&gt;=0.6,"Tinggi","Sebagian"))))))</f>
        <v>Belum terisi</v>
      </c>
      <c r="F366" s="77" t="str">
        <f aca="false">IF($Q366="","",PROPER(INDEX('Reguler Class Availability'!$B:$B,$Q366)&amp;""))</f>
        <v>Baby</v>
      </c>
      <c r="G366" s="76" t="n">
        <f aca="false">IF($Q366="","",IFERROR(--(INDEX('Reguler Class Availability'!$F:$F,$Q366)&amp;""),0))</f>
        <v>5</v>
      </c>
      <c r="H366" s="77" t="str">
        <f aca="false">IF($Q366="","",PROPER(INDEX('Reguler Class Availability'!$I:$I,$Q366)&amp;"")&amp;IF(INDEX('Reguler Class Availability'!$J:$J,$Q366)&amp;""="",""," + asst "&amp;PROPER(INDEX('Reguler Class Availability'!$J:$J,$Q366)&amp;"")))</f>
        <v/>
      </c>
      <c r="I366" s="77" t="s">
        <v>477</v>
      </c>
      <c r="J366" s="77" t="s">
        <v>188</v>
      </c>
      <c r="K366" s="78"/>
      <c r="L366" s="78"/>
      <c r="M366" s="78"/>
      <c r="N366" s="79"/>
      <c r="O366" s="78"/>
      <c r="Q366" s="30" t="n">
        <f aca="false">IFERROR(MATCH($B$4&amp;"|- Lane "&amp;D366&amp;" - "&amp;B366&amp;"|"&amp;C366,'Reguler Class Availability'!$L:$L,0),"")</f>
        <v>1945</v>
      </c>
    </row>
    <row r="367" customFormat="false" ht="52.5" hidden="false" customHeight="true" outlineLevel="0" collapsed="false">
      <c r="A367" s="76" t="n">
        <v>241</v>
      </c>
      <c r="B367" s="77" t="s">
        <v>118</v>
      </c>
      <c r="C367" s="76" t="s">
        <v>132</v>
      </c>
      <c r="D367" s="76" t="n">
        <v>2</v>
      </c>
      <c r="E367" s="77" t="str">
        <f aca="false">IF($Q367="","Tidak ada di data",IF(AND(IFERROR(--(INDEX('Reguler Class Availability'!$F:$F,$Q367)&amp;""),0)=0,IFERROR(--(INDEX('Reguler Class Availability'!$G:$G,$Q367)&amp;""),0)=0),"Tutup",IF(IFERROR(--(INDEX('Reguler Class Availability'!$G:$G,$Q367)&amp;""),0)&gt;IFERROR(--(INDEX('Reguler Class Availability'!$F:$F,$Q367)&amp;""),0),"Lebih",IF(IFERROR(--(INDEX('Reguler Class Availability'!$G:$G,$Q367)&amp;""),0)=IFERROR(--(INDEX('Reguler Class Availability'!$F:$F,$Q367)&amp;""),0),"Penuh",IF(IFERROR(--(INDEX('Reguler Class Availability'!$G:$G,$Q367)&amp;""),0)=0,IF(INDEX('Reguler Class Availability'!$B:$B,$Q367)&amp;""="","Kosong","Belum terisi"),IF(IFERROR(--(INDEX('Reguler Class Availability'!$G:$G,$Q367)&amp;""),0)/IFERROR(--(INDEX('Reguler Class Availability'!$F:$F,$Q367)&amp;""),0)&gt;=0.6,"Tinggi","Sebagian"))))))</f>
        <v>Belum terisi</v>
      </c>
      <c r="F367" s="77" t="str">
        <f aca="false">IF($Q367="","",PROPER(INDEX('Reguler Class Availability'!$B:$B,$Q367)&amp;""))</f>
        <v>Tiny</v>
      </c>
      <c r="G367" s="76" t="n">
        <f aca="false">IF($Q367="","",IFERROR(--(INDEX('Reguler Class Availability'!$F:$F,$Q367)&amp;""),0))</f>
        <v>5</v>
      </c>
      <c r="H367" s="77" t="str">
        <f aca="false">IF($Q367="","",PROPER(INDEX('Reguler Class Availability'!$I:$I,$Q367)&amp;"")&amp;IF(INDEX('Reguler Class Availability'!$J:$J,$Q367)&amp;""="",""," + asst "&amp;PROPER(INDEX('Reguler Class Availability'!$J:$J,$Q367)&amp;"")))</f>
        <v/>
      </c>
      <c r="I367" s="77" t="s">
        <v>477</v>
      </c>
      <c r="J367" s="77" t="s">
        <v>188</v>
      </c>
      <c r="K367" s="78"/>
      <c r="L367" s="78"/>
      <c r="M367" s="78"/>
      <c r="N367" s="79"/>
      <c r="O367" s="78"/>
      <c r="Q367" s="30" t="n">
        <f aca="false">IFERROR(MATCH($B$4&amp;"|- Lane "&amp;D367&amp;" - "&amp;B367&amp;"|"&amp;C367,'Reguler Class Availability'!$L:$L,0),"")</f>
        <v>2043</v>
      </c>
    </row>
    <row r="368" customFormat="false" ht="52.5" hidden="false" customHeight="true" outlineLevel="0" collapsed="false">
      <c r="A368" s="76" t="n">
        <v>242</v>
      </c>
      <c r="B368" s="77" t="s">
        <v>118</v>
      </c>
      <c r="C368" s="76" t="s">
        <v>132</v>
      </c>
      <c r="D368" s="76" t="n">
        <v>5</v>
      </c>
      <c r="E368" s="77" t="str">
        <f aca="false">IF($Q368="","Tidak ada di data",IF(AND(IFERROR(--(INDEX('Reguler Class Availability'!$F:$F,$Q368)&amp;""),0)=0,IFERROR(--(INDEX('Reguler Class Availability'!$G:$G,$Q368)&amp;""),0)=0),"Tutup",IF(IFERROR(--(INDEX('Reguler Class Availability'!$G:$G,$Q368)&amp;""),0)&gt;IFERROR(--(INDEX('Reguler Class Availability'!$F:$F,$Q368)&amp;""),0),"Lebih",IF(IFERROR(--(INDEX('Reguler Class Availability'!$G:$G,$Q368)&amp;""),0)=IFERROR(--(INDEX('Reguler Class Availability'!$F:$F,$Q368)&amp;""),0),"Penuh",IF(IFERROR(--(INDEX('Reguler Class Availability'!$G:$G,$Q368)&amp;""),0)=0,IF(INDEX('Reguler Class Availability'!$B:$B,$Q368)&amp;""="","Kosong","Belum terisi"),IF(IFERROR(--(INDEX('Reguler Class Availability'!$G:$G,$Q368)&amp;""),0)/IFERROR(--(INDEX('Reguler Class Availability'!$F:$F,$Q368)&amp;""),0)&gt;=0.6,"Tinggi","Sebagian"))))))</f>
        <v>Kosong</v>
      </c>
      <c r="F368" s="77" t="str">
        <f aca="false">IF($Q368="","",PROPER(INDEX('Reguler Class Availability'!$B:$B,$Q368)&amp;""))</f>
        <v/>
      </c>
      <c r="G368" s="76" t="n">
        <f aca="false">IF($Q368="","",IFERROR(--(INDEX('Reguler Class Availability'!$F:$F,$Q368)&amp;""),0))</f>
        <v>4</v>
      </c>
      <c r="H368" s="77" t="str">
        <f aca="false">IF($Q368="","",PROPER(INDEX('Reguler Class Availability'!$I:$I,$Q368)&amp;"")&amp;IF(INDEX('Reguler Class Availability'!$J:$J,$Q368)&amp;""="",""," + asst "&amp;PROPER(INDEX('Reguler Class Availability'!$J:$J,$Q368)&amp;"")))</f>
        <v/>
      </c>
      <c r="I368" s="77" t="s">
        <v>477</v>
      </c>
      <c r="J368" s="77" t="s">
        <v>188</v>
      </c>
      <c r="K368" s="78"/>
      <c r="L368" s="78"/>
      <c r="M368" s="78"/>
      <c r="N368" s="79"/>
      <c r="O368" s="78"/>
      <c r="Q368" s="30" t="n">
        <f aca="false">IFERROR(MATCH($B$4&amp;"|- Lane "&amp;D368&amp;" - "&amp;B368&amp;"|"&amp;C368,'Reguler Class Availability'!$L:$L,0),"")</f>
        <v>2295</v>
      </c>
    </row>
    <row r="369" customFormat="false" ht="52.5" hidden="false" customHeight="true" outlineLevel="0" collapsed="false">
      <c r="A369" s="76" t="n">
        <v>243</v>
      </c>
      <c r="B369" s="77" t="s">
        <v>118</v>
      </c>
      <c r="C369" s="76" t="s">
        <v>133</v>
      </c>
      <c r="D369" s="76" t="n">
        <v>3</v>
      </c>
      <c r="E369" s="77" t="str">
        <f aca="false">IF($Q369="","Tidak ada di data",IF(AND(IFERROR(--(INDEX('Reguler Class Availability'!$F:$F,$Q369)&amp;""),0)=0,IFERROR(--(INDEX('Reguler Class Availability'!$G:$G,$Q369)&amp;""),0)=0),"Tutup",IF(IFERROR(--(INDEX('Reguler Class Availability'!$G:$G,$Q369)&amp;""),0)&gt;IFERROR(--(INDEX('Reguler Class Availability'!$F:$F,$Q369)&amp;""),0),"Lebih",IF(IFERROR(--(INDEX('Reguler Class Availability'!$G:$G,$Q369)&amp;""),0)=IFERROR(--(INDEX('Reguler Class Availability'!$F:$F,$Q369)&amp;""),0),"Penuh",IF(IFERROR(--(INDEX('Reguler Class Availability'!$G:$G,$Q369)&amp;""),0)=0,IF(INDEX('Reguler Class Availability'!$B:$B,$Q369)&amp;""="","Kosong","Belum terisi"),IF(IFERROR(--(INDEX('Reguler Class Availability'!$G:$G,$Q369)&amp;""),0)/IFERROR(--(INDEX('Reguler Class Availability'!$F:$F,$Q369)&amp;""),0)&gt;=0.6,"Tinggi","Sebagian"))))))</f>
        <v>Belum terisi</v>
      </c>
      <c r="F369" s="77" t="str">
        <f aca="false">IF($Q369="","",PROPER(INDEX('Reguler Class Availability'!$B:$B,$Q369)&amp;""))</f>
        <v>Little</v>
      </c>
      <c r="G369" s="76" t="n">
        <f aca="false">IF($Q369="","",IFERROR(--(INDEX('Reguler Class Availability'!$F:$F,$Q369)&amp;""),0))</f>
        <v>4</v>
      </c>
      <c r="H369" s="77" t="str">
        <f aca="false">IF($Q369="","",PROPER(INDEX('Reguler Class Availability'!$I:$I,$Q369)&amp;"")&amp;IF(INDEX('Reguler Class Availability'!$J:$J,$Q369)&amp;""="",""," + asst "&amp;PROPER(INDEX('Reguler Class Availability'!$J:$J,$Q369)&amp;"")))</f>
        <v/>
      </c>
      <c r="I369" s="77" t="s">
        <v>477</v>
      </c>
      <c r="J369" s="77" t="s">
        <v>188</v>
      </c>
      <c r="K369" s="78"/>
      <c r="L369" s="78"/>
      <c r="M369" s="78"/>
      <c r="N369" s="79"/>
      <c r="O369" s="78"/>
      <c r="Q369" s="30" t="n">
        <f aca="false">IFERROR(MATCH($B$4&amp;"|- Lane "&amp;D369&amp;" - "&amp;B369&amp;"|"&amp;C369,'Reguler Class Availability'!$L:$L,0),"")</f>
        <v>2127</v>
      </c>
    </row>
    <row r="370" customFormat="false" ht="52.5" hidden="false" customHeight="true" outlineLevel="0" collapsed="false">
      <c r="A370" s="76" t="n">
        <v>244</v>
      </c>
      <c r="B370" s="77" t="s">
        <v>118</v>
      </c>
      <c r="C370" s="76" t="s">
        <v>133</v>
      </c>
      <c r="D370" s="76" t="n">
        <v>4</v>
      </c>
      <c r="E370" s="77" t="str">
        <f aca="false">IF($Q370="","Tidak ada di data",IF(AND(IFERROR(--(INDEX('Reguler Class Availability'!$F:$F,$Q370)&amp;""),0)=0,IFERROR(--(INDEX('Reguler Class Availability'!$G:$G,$Q370)&amp;""),0)=0),"Tutup",IF(IFERROR(--(INDEX('Reguler Class Availability'!$G:$G,$Q370)&amp;""),0)&gt;IFERROR(--(INDEX('Reguler Class Availability'!$F:$F,$Q370)&amp;""),0),"Lebih",IF(IFERROR(--(INDEX('Reguler Class Availability'!$G:$G,$Q370)&amp;""),0)=IFERROR(--(INDEX('Reguler Class Availability'!$F:$F,$Q370)&amp;""),0),"Penuh",IF(IFERROR(--(INDEX('Reguler Class Availability'!$G:$G,$Q370)&amp;""),0)=0,IF(INDEX('Reguler Class Availability'!$B:$B,$Q370)&amp;""="","Kosong","Belum terisi"),IF(IFERROR(--(INDEX('Reguler Class Availability'!$G:$G,$Q370)&amp;""),0)/IFERROR(--(INDEX('Reguler Class Availability'!$F:$F,$Q370)&amp;""),0)&gt;=0.6,"Tinggi","Sebagian"))))))</f>
        <v>Belum terisi</v>
      </c>
      <c r="F370" s="77" t="str">
        <f aca="false">IF($Q370="","",PROPER(INDEX('Reguler Class Availability'!$B:$B,$Q370)&amp;""))</f>
        <v>Kids</v>
      </c>
      <c r="G370" s="76" t="n">
        <f aca="false">IF($Q370="","",IFERROR(--(INDEX('Reguler Class Availability'!$F:$F,$Q370)&amp;""),0))</f>
        <v>4</v>
      </c>
      <c r="H370" s="77" t="str">
        <f aca="false">IF($Q370="","",PROPER(INDEX('Reguler Class Availability'!$I:$I,$Q370)&amp;"")&amp;IF(INDEX('Reguler Class Availability'!$J:$J,$Q370)&amp;""="",""," + asst "&amp;PROPER(INDEX('Reguler Class Availability'!$J:$J,$Q370)&amp;"")))</f>
        <v/>
      </c>
      <c r="I370" s="77" t="s">
        <v>477</v>
      </c>
      <c r="J370" s="77" t="s">
        <v>188</v>
      </c>
      <c r="K370" s="78"/>
      <c r="L370" s="78"/>
      <c r="M370" s="78"/>
      <c r="N370" s="79"/>
      <c r="O370" s="78"/>
      <c r="Q370" s="30" t="n">
        <f aca="false">IFERROR(MATCH($B$4&amp;"|- Lane "&amp;D370&amp;" - "&amp;B370&amp;"|"&amp;C370,'Reguler Class Availability'!$L:$L,0),"")</f>
        <v>2211</v>
      </c>
    </row>
    <row r="371" customFormat="false" ht="52.5" hidden="false" customHeight="true" outlineLevel="0" collapsed="false">
      <c r="A371" s="76" t="n">
        <v>245</v>
      </c>
      <c r="B371" s="77" t="s">
        <v>118</v>
      </c>
      <c r="C371" s="76" t="s">
        <v>139</v>
      </c>
      <c r="D371" s="76" t="n">
        <v>1</v>
      </c>
      <c r="E371" s="77" t="str">
        <f aca="false">IF($Q371="","Tidak ada di data",IF(AND(IFERROR(--(INDEX('Reguler Class Availability'!$F:$F,$Q371)&amp;""),0)=0,IFERROR(--(INDEX('Reguler Class Availability'!$G:$G,$Q371)&amp;""),0)=0),"Tutup",IF(IFERROR(--(INDEX('Reguler Class Availability'!$G:$G,$Q371)&amp;""),0)&gt;IFERROR(--(INDEX('Reguler Class Availability'!$F:$F,$Q371)&amp;""),0),"Lebih",IF(IFERROR(--(INDEX('Reguler Class Availability'!$G:$G,$Q371)&amp;""),0)=IFERROR(--(INDEX('Reguler Class Availability'!$F:$F,$Q371)&amp;""),0),"Penuh",IF(IFERROR(--(INDEX('Reguler Class Availability'!$G:$G,$Q371)&amp;""),0)=0,IF(INDEX('Reguler Class Availability'!$B:$B,$Q371)&amp;""="","Kosong","Belum terisi"),IF(IFERROR(--(INDEX('Reguler Class Availability'!$G:$G,$Q371)&amp;""),0)/IFERROR(--(INDEX('Reguler Class Availability'!$F:$F,$Q371)&amp;""),0)&gt;=0.6,"Tinggi","Sebagian"))))))</f>
        <v>Belum terisi</v>
      </c>
      <c r="F371" s="77" t="str">
        <f aca="false">IF($Q371="","",PROPER(INDEX('Reguler Class Availability'!$B:$B,$Q371)&amp;""))</f>
        <v>Baby</v>
      </c>
      <c r="G371" s="76" t="n">
        <f aca="false">IF($Q371="","",IFERROR(--(INDEX('Reguler Class Availability'!$F:$F,$Q371)&amp;""),0))</f>
        <v>5</v>
      </c>
      <c r="H371" s="77" t="str">
        <f aca="false">IF($Q371="","",PROPER(INDEX('Reguler Class Availability'!$I:$I,$Q371)&amp;"")&amp;IF(INDEX('Reguler Class Availability'!$J:$J,$Q371)&amp;""="",""," + asst "&amp;PROPER(INDEX('Reguler Class Availability'!$J:$J,$Q371)&amp;"")))</f>
        <v/>
      </c>
      <c r="I371" s="77" t="s">
        <v>477</v>
      </c>
      <c r="J371" s="77" t="s">
        <v>188</v>
      </c>
      <c r="K371" s="78"/>
      <c r="L371" s="78"/>
      <c r="M371" s="78"/>
      <c r="N371" s="79"/>
      <c r="O371" s="78"/>
      <c r="Q371" s="30" t="n">
        <f aca="false">IFERROR(MATCH($B$4&amp;"|- Lane "&amp;D371&amp;" - "&amp;B371&amp;"|"&amp;C371,'Reguler Class Availability'!$L:$L,0),"")</f>
        <v>1946</v>
      </c>
    </row>
    <row r="372" customFormat="false" ht="52.5" hidden="false" customHeight="true" outlineLevel="0" collapsed="false">
      <c r="A372" s="76" t="n">
        <v>246</v>
      </c>
      <c r="B372" s="77" t="s">
        <v>118</v>
      </c>
      <c r="C372" s="76" t="s">
        <v>139</v>
      </c>
      <c r="D372" s="76" t="n">
        <v>2</v>
      </c>
      <c r="E372" s="77" t="str">
        <f aca="false">IF($Q372="","Tidak ada di data",IF(AND(IFERROR(--(INDEX('Reguler Class Availability'!$F:$F,$Q372)&amp;""),0)=0,IFERROR(--(INDEX('Reguler Class Availability'!$G:$G,$Q372)&amp;""),0)=0),"Tutup",IF(IFERROR(--(INDEX('Reguler Class Availability'!$G:$G,$Q372)&amp;""),0)&gt;IFERROR(--(INDEX('Reguler Class Availability'!$F:$F,$Q372)&amp;""),0),"Lebih",IF(IFERROR(--(INDEX('Reguler Class Availability'!$G:$G,$Q372)&amp;""),0)=IFERROR(--(INDEX('Reguler Class Availability'!$F:$F,$Q372)&amp;""),0),"Penuh",IF(IFERROR(--(INDEX('Reguler Class Availability'!$G:$G,$Q372)&amp;""),0)=0,IF(INDEX('Reguler Class Availability'!$B:$B,$Q372)&amp;""="","Kosong","Belum terisi"),IF(IFERROR(--(INDEX('Reguler Class Availability'!$G:$G,$Q372)&amp;""),0)/IFERROR(--(INDEX('Reguler Class Availability'!$F:$F,$Q372)&amp;""),0)&gt;=0.6,"Tinggi","Sebagian"))))))</f>
        <v>Belum terisi</v>
      </c>
      <c r="F372" s="77" t="str">
        <f aca="false">IF($Q372="","",PROPER(INDEX('Reguler Class Availability'!$B:$B,$Q372)&amp;""))</f>
        <v>Tiny</v>
      </c>
      <c r="G372" s="76" t="n">
        <f aca="false">IF($Q372="","",IFERROR(--(INDEX('Reguler Class Availability'!$F:$F,$Q372)&amp;""),0))</f>
        <v>5</v>
      </c>
      <c r="H372" s="77" t="str">
        <f aca="false">IF($Q372="","",PROPER(INDEX('Reguler Class Availability'!$I:$I,$Q372)&amp;"")&amp;IF(INDEX('Reguler Class Availability'!$J:$J,$Q372)&amp;""="",""," + asst "&amp;PROPER(INDEX('Reguler Class Availability'!$J:$J,$Q372)&amp;"")))</f>
        <v/>
      </c>
      <c r="I372" s="77" t="s">
        <v>477</v>
      </c>
      <c r="J372" s="77" t="s">
        <v>188</v>
      </c>
      <c r="K372" s="78"/>
      <c r="L372" s="78"/>
      <c r="M372" s="78"/>
      <c r="N372" s="79"/>
      <c r="O372" s="78"/>
      <c r="Q372" s="30" t="n">
        <f aca="false">IFERROR(MATCH($B$4&amp;"|- Lane "&amp;D372&amp;" - "&amp;B372&amp;"|"&amp;C372,'Reguler Class Availability'!$L:$L,0),"")</f>
        <v>2044</v>
      </c>
    </row>
    <row r="373" customFormat="false" ht="52.5" hidden="false" customHeight="true" outlineLevel="0" collapsed="false">
      <c r="A373" s="76" t="n">
        <v>247</v>
      </c>
      <c r="B373" s="77" t="s">
        <v>118</v>
      </c>
      <c r="C373" s="76" t="s">
        <v>139</v>
      </c>
      <c r="D373" s="76" t="n">
        <v>5</v>
      </c>
      <c r="E373" s="77" t="str">
        <f aca="false">IF($Q373="","Tidak ada di data",IF(AND(IFERROR(--(INDEX('Reguler Class Availability'!$F:$F,$Q373)&amp;""),0)=0,IFERROR(--(INDEX('Reguler Class Availability'!$G:$G,$Q373)&amp;""),0)=0),"Tutup",IF(IFERROR(--(INDEX('Reguler Class Availability'!$G:$G,$Q373)&amp;""),0)&gt;IFERROR(--(INDEX('Reguler Class Availability'!$F:$F,$Q373)&amp;""),0),"Lebih",IF(IFERROR(--(INDEX('Reguler Class Availability'!$G:$G,$Q373)&amp;""),0)=IFERROR(--(INDEX('Reguler Class Availability'!$F:$F,$Q373)&amp;""),0),"Penuh",IF(IFERROR(--(INDEX('Reguler Class Availability'!$G:$G,$Q373)&amp;""),0)=0,IF(INDEX('Reguler Class Availability'!$B:$B,$Q373)&amp;""="","Kosong","Belum terisi"),IF(IFERROR(--(INDEX('Reguler Class Availability'!$G:$G,$Q373)&amp;""),0)/IFERROR(--(INDEX('Reguler Class Availability'!$F:$F,$Q373)&amp;""),0)&gt;=0.6,"Tinggi","Sebagian"))))))</f>
        <v>Kosong</v>
      </c>
      <c r="F373" s="77" t="str">
        <f aca="false">IF($Q373="","",PROPER(INDEX('Reguler Class Availability'!$B:$B,$Q373)&amp;""))</f>
        <v/>
      </c>
      <c r="G373" s="76" t="n">
        <f aca="false">IF($Q373="","",IFERROR(--(INDEX('Reguler Class Availability'!$F:$F,$Q373)&amp;""),0))</f>
        <v>4</v>
      </c>
      <c r="H373" s="77" t="str">
        <f aca="false">IF($Q373="","",PROPER(INDEX('Reguler Class Availability'!$I:$I,$Q373)&amp;"")&amp;IF(INDEX('Reguler Class Availability'!$J:$J,$Q373)&amp;""="",""," + asst "&amp;PROPER(INDEX('Reguler Class Availability'!$J:$J,$Q373)&amp;"")))</f>
        <v/>
      </c>
      <c r="I373" s="77" t="s">
        <v>477</v>
      </c>
      <c r="J373" s="77" t="s">
        <v>188</v>
      </c>
      <c r="K373" s="78"/>
      <c r="L373" s="78"/>
      <c r="M373" s="78"/>
      <c r="N373" s="79"/>
      <c r="O373" s="78"/>
      <c r="Q373" s="30" t="n">
        <f aca="false">IFERROR(MATCH($B$4&amp;"|- Lane "&amp;D373&amp;" - "&amp;B373&amp;"|"&amp;C373,'Reguler Class Availability'!$L:$L,0),"")</f>
        <v>2296</v>
      </c>
    </row>
    <row r="374" customFormat="false" ht="52.5" hidden="false" customHeight="true" outlineLevel="0" collapsed="false">
      <c r="A374" s="76" t="n">
        <v>248</v>
      </c>
      <c r="B374" s="77" t="s">
        <v>118</v>
      </c>
      <c r="C374" s="76" t="s">
        <v>141</v>
      </c>
      <c r="D374" s="76" t="n">
        <v>3</v>
      </c>
      <c r="E374" s="77" t="str">
        <f aca="false">IF($Q374="","Tidak ada di data",IF(AND(IFERROR(--(INDEX('Reguler Class Availability'!$F:$F,$Q374)&amp;""),0)=0,IFERROR(--(INDEX('Reguler Class Availability'!$G:$G,$Q374)&amp;""),0)=0),"Tutup",IF(IFERROR(--(INDEX('Reguler Class Availability'!$G:$G,$Q374)&amp;""),0)&gt;IFERROR(--(INDEX('Reguler Class Availability'!$F:$F,$Q374)&amp;""),0),"Lebih",IF(IFERROR(--(INDEX('Reguler Class Availability'!$G:$G,$Q374)&amp;""),0)=IFERROR(--(INDEX('Reguler Class Availability'!$F:$F,$Q374)&amp;""),0),"Penuh",IF(IFERROR(--(INDEX('Reguler Class Availability'!$G:$G,$Q374)&amp;""),0)=0,IF(INDEX('Reguler Class Availability'!$B:$B,$Q374)&amp;""="","Kosong","Belum terisi"),IF(IFERROR(--(INDEX('Reguler Class Availability'!$G:$G,$Q374)&amp;""),0)/IFERROR(--(INDEX('Reguler Class Availability'!$F:$F,$Q374)&amp;""),0)&gt;=0.6,"Tinggi","Sebagian"))))))</f>
        <v>Belum terisi</v>
      </c>
      <c r="F374" s="77" t="str">
        <f aca="false">IF($Q374="","",PROPER(INDEX('Reguler Class Availability'!$B:$B,$Q374)&amp;""))</f>
        <v>Little</v>
      </c>
      <c r="G374" s="76" t="n">
        <f aca="false">IF($Q374="","",IFERROR(--(INDEX('Reguler Class Availability'!$F:$F,$Q374)&amp;""),0))</f>
        <v>4</v>
      </c>
      <c r="H374" s="77" t="str">
        <f aca="false">IF($Q374="","",PROPER(INDEX('Reguler Class Availability'!$I:$I,$Q374)&amp;"")&amp;IF(INDEX('Reguler Class Availability'!$J:$J,$Q374)&amp;""="",""," + asst "&amp;PROPER(INDEX('Reguler Class Availability'!$J:$J,$Q374)&amp;"")))</f>
        <v/>
      </c>
      <c r="I374" s="77" t="s">
        <v>477</v>
      </c>
      <c r="J374" s="77" t="s">
        <v>188</v>
      </c>
      <c r="K374" s="78"/>
      <c r="L374" s="78"/>
      <c r="M374" s="78"/>
      <c r="N374" s="79"/>
      <c r="O374" s="78"/>
      <c r="Q374" s="30" t="n">
        <f aca="false">IFERROR(MATCH($B$4&amp;"|- Lane "&amp;D374&amp;" - "&amp;B374&amp;"|"&amp;C374,'Reguler Class Availability'!$L:$L,0),"")</f>
        <v>2128</v>
      </c>
    </row>
    <row r="375" customFormat="false" ht="52.5" hidden="false" customHeight="true" outlineLevel="0" collapsed="false">
      <c r="A375" s="76" t="n">
        <v>249</v>
      </c>
      <c r="B375" s="77" t="s">
        <v>118</v>
      </c>
      <c r="C375" s="76" t="s">
        <v>141</v>
      </c>
      <c r="D375" s="76" t="n">
        <v>4</v>
      </c>
      <c r="E375" s="77" t="str">
        <f aca="false">IF($Q375="","Tidak ada di data",IF(AND(IFERROR(--(INDEX('Reguler Class Availability'!$F:$F,$Q375)&amp;""),0)=0,IFERROR(--(INDEX('Reguler Class Availability'!$G:$G,$Q375)&amp;""),0)=0),"Tutup",IF(IFERROR(--(INDEX('Reguler Class Availability'!$G:$G,$Q375)&amp;""),0)&gt;IFERROR(--(INDEX('Reguler Class Availability'!$F:$F,$Q375)&amp;""),0),"Lebih",IF(IFERROR(--(INDEX('Reguler Class Availability'!$G:$G,$Q375)&amp;""),0)=IFERROR(--(INDEX('Reguler Class Availability'!$F:$F,$Q375)&amp;""),0),"Penuh",IF(IFERROR(--(INDEX('Reguler Class Availability'!$G:$G,$Q375)&amp;""),0)=0,IF(INDEX('Reguler Class Availability'!$B:$B,$Q375)&amp;""="","Kosong","Belum terisi"),IF(IFERROR(--(INDEX('Reguler Class Availability'!$G:$G,$Q375)&amp;""),0)/IFERROR(--(INDEX('Reguler Class Availability'!$F:$F,$Q375)&amp;""),0)&gt;=0.6,"Tinggi","Sebagian"))))))</f>
        <v>Belum terisi</v>
      </c>
      <c r="F375" s="77" t="str">
        <f aca="false">IF($Q375="","",PROPER(INDEX('Reguler Class Availability'!$B:$B,$Q375)&amp;""))</f>
        <v>Kids</v>
      </c>
      <c r="G375" s="76" t="n">
        <f aca="false">IF($Q375="","",IFERROR(--(INDEX('Reguler Class Availability'!$F:$F,$Q375)&amp;""),0))</f>
        <v>4</v>
      </c>
      <c r="H375" s="77" t="str">
        <f aca="false">IF($Q375="","",PROPER(INDEX('Reguler Class Availability'!$I:$I,$Q375)&amp;"")&amp;IF(INDEX('Reguler Class Availability'!$J:$J,$Q375)&amp;""="",""," + asst "&amp;PROPER(INDEX('Reguler Class Availability'!$J:$J,$Q375)&amp;"")))</f>
        <v/>
      </c>
      <c r="I375" s="77" t="s">
        <v>477</v>
      </c>
      <c r="J375" s="77" t="s">
        <v>188</v>
      </c>
      <c r="K375" s="78"/>
      <c r="L375" s="78"/>
      <c r="M375" s="78"/>
      <c r="N375" s="79"/>
      <c r="O375" s="78"/>
      <c r="Q375" s="30" t="n">
        <f aca="false">IFERROR(MATCH($B$4&amp;"|- Lane "&amp;D375&amp;" - "&amp;B375&amp;"|"&amp;C375,'Reguler Class Availability'!$L:$L,0),"")</f>
        <v>2212</v>
      </c>
    </row>
    <row r="376" customFormat="false" ht="40.5" hidden="false" customHeight="true" outlineLevel="0" collapsed="false">
      <c r="A376" s="76" t="n">
        <v>250</v>
      </c>
      <c r="B376" s="77" t="s">
        <v>118</v>
      </c>
      <c r="C376" s="76" t="s">
        <v>143</v>
      </c>
      <c r="D376" s="76" t="n">
        <v>1</v>
      </c>
      <c r="E376" s="77" t="str">
        <f aca="false">IF($Q376="","Tidak ada di data",IF(AND(IFERROR(--(INDEX('Reguler Class Availability'!$F:$F,$Q376)&amp;""),0)=0,IFERROR(--(INDEX('Reguler Class Availability'!$G:$G,$Q376)&amp;""),0)=0),"Tutup",IF(IFERROR(--(INDEX('Reguler Class Availability'!$G:$G,$Q376)&amp;""),0)&gt;IFERROR(--(INDEX('Reguler Class Availability'!$F:$F,$Q376)&amp;""),0),"Lebih",IF(IFERROR(--(INDEX('Reguler Class Availability'!$G:$G,$Q376)&amp;""),0)=IFERROR(--(INDEX('Reguler Class Availability'!$F:$F,$Q376)&amp;""),0),"Penuh",IF(IFERROR(--(INDEX('Reguler Class Availability'!$G:$G,$Q376)&amp;""),0)=0,IF(INDEX('Reguler Class Availability'!$B:$B,$Q376)&amp;""="","Kosong","Belum terisi"),IF(IFERROR(--(INDEX('Reguler Class Availability'!$G:$G,$Q376)&amp;""),0)/IFERROR(--(INDEX('Reguler Class Availability'!$F:$F,$Q376)&amp;""),0)&gt;=0.6,"Tinggi","Sebagian"))))))</f>
        <v>Belum terisi</v>
      </c>
      <c r="F376" s="77" t="str">
        <f aca="false">IF($Q376="","",PROPER(INDEX('Reguler Class Availability'!$B:$B,$Q376)&amp;""))</f>
        <v>Baby</v>
      </c>
      <c r="G376" s="76" t="n">
        <f aca="false">IF($Q376="","",IFERROR(--(INDEX('Reguler Class Availability'!$F:$F,$Q376)&amp;""),0))</f>
        <v>5</v>
      </c>
      <c r="H376" s="77" t="str">
        <f aca="false">IF($Q376="","",PROPER(INDEX('Reguler Class Availability'!$I:$I,$Q376)&amp;"")&amp;IF(INDEX('Reguler Class Availability'!$J:$J,$Q376)&amp;""="",""," + asst "&amp;PROPER(INDEX('Reguler Class Availability'!$J:$J,$Q376)&amp;"")))</f>
        <v/>
      </c>
      <c r="I376" s="77" t="s">
        <v>479</v>
      </c>
      <c r="J376" s="77" t="s">
        <v>188</v>
      </c>
      <c r="K376" s="78"/>
      <c r="L376" s="78"/>
      <c r="M376" s="78"/>
      <c r="N376" s="79"/>
      <c r="O376" s="78"/>
      <c r="Q376" s="30" t="n">
        <f aca="false">IFERROR(MATCH($B$4&amp;"|- Lane "&amp;D376&amp;" - "&amp;B376&amp;"|"&amp;C376,'Reguler Class Availability'!$L:$L,0),"")</f>
        <v>1947</v>
      </c>
    </row>
    <row r="377" customFormat="false" ht="40.5" hidden="false" customHeight="true" outlineLevel="0" collapsed="false">
      <c r="A377" s="76" t="n">
        <v>251</v>
      </c>
      <c r="B377" s="77" t="s">
        <v>118</v>
      </c>
      <c r="C377" s="76" t="s">
        <v>143</v>
      </c>
      <c r="D377" s="76" t="n">
        <v>2</v>
      </c>
      <c r="E377" s="77" t="str">
        <f aca="false">IF($Q377="","Tidak ada di data",IF(AND(IFERROR(--(INDEX('Reguler Class Availability'!$F:$F,$Q377)&amp;""),0)=0,IFERROR(--(INDEX('Reguler Class Availability'!$G:$G,$Q377)&amp;""),0)=0),"Tutup",IF(IFERROR(--(INDEX('Reguler Class Availability'!$G:$G,$Q377)&amp;""),0)&gt;IFERROR(--(INDEX('Reguler Class Availability'!$F:$F,$Q377)&amp;""),0),"Lebih",IF(IFERROR(--(INDEX('Reguler Class Availability'!$G:$G,$Q377)&amp;""),0)=IFERROR(--(INDEX('Reguler Class Availability'!$F:$F,$Q377)&amp;""),0),"Penuh",IF(IFERROR(--(INDEX('Reguler Class Availability'!$G:$G,$Q377)&amp;""),0)=0,IF(INDEX('Reguler Class Availability'!$B:$B,$Q377)&amp;""="","Kosong","Belum terisi"),IF(IFERROR(--(INDEX('Reguler Class Availability'!$G:$G,$Q377)&amp;""),0)/IFERROR(--(INDEX('Reguler Class Availability'!$F:$F,$Q377)&amp;""),0)&gt;=0.6,"Tinggi","Sebagian"))))))</f>
        <v>Belum terisi</v>
      </c>
      <c r="F377" s="77" t="str">
        <f aca="false">IF($Q377="","",PROPER(INDEX('Reguler Class Availability'!$B:$B,$Q377)&amp;""))</f>
        <v>Tiny</v>
      </c>
      <c r="G377" s="76" t="n">
        <f aca="false">IF($Q377="","",IFERROR(--(INDEX('Reguler Class Availability'!$F:$F,$Q377)&amp;""),0))</f>
        <v>5</v>
      </c>
      <c r="H377" s="77" t="str">
        <f aca="false">IF($Q377="","",PROPER(INDEX('Reguler Class Availability'!$I:$I,$Q377)&amp;"")&amp;IF(INDEX('Reguler Class Availability'!$J:$J,$Q377)&amp;""="",""," + asst "&amp;PROPER(INDEX('Reguler Class Availability'!$J:$J,$Q377)&amp;"")))</f>
        <v/>
      </c>
      <c r="I377" s="77" t="s">
        <v>479</v>
      </c>
      <c r="J377" s="77" t="s">
        <v>188</v>
      </c>
      <c r="K377" s="78"/>
      <c r="L377" s="78"/>
      <c r="M377" s="78"/>
      <c r="N377" s="79"/>
      <c r="O377" s="78"/>
      <c r="Q377" s="30" t="n">
        <f aca="false">IFERROR(MATCH($B$4&amp;"|- Lane "&amp;D377&amp;" - "&amp;B377&amp;"|"&amp;C377,'Reguler Class Availability'!$L:$L,0),"")</f>
        <v>2045</v>
      </c>
    </row>
    <row r="378" customFormat="false" ht="40.5" hidden="false" customHeight="true" outlineLevel="0" collapsed="false">
      <c r="A378" s="76" t="n">
        <v>252</v>
      </c>
      <c r="B378" s="77" t="s">
        <v>118</v>
      </c>
      <c r="C378" s="76" t="s">
        <v>143</v>
      </c>
      <c r="D378" s="76" t="n">
        <v>5</v>
      </c>
      <c r="E378" s="77" t="str">
        <f aca="false">IF($Q378="","Tidak ada di data",IF(AND(IFERROR(--(INDEX('Reguler Class Availability'!$F:$F,$Q378)&amp;""),0)=0,IFERROR(--(INDEX('Reguler Class Availability'!$G:$G,$Q378)&amp;""),0)=0),"Tutup",IF(IFERROR(--(INDEX('Reguler Class Availability'!$G:$G,$Q378)&amp;""),0)&gt;IFERROR(--(INDEX('Reguler Class Availability'!$F:$F,$Q378)&amp;""),0),"Lebih",IF(IFERROR(--(INDEX('Reguler Class Availability'!$G:$G,$Q378)&amp;""),0)=IFERROR(--(INDEX('Reguler Class Availability'!$F:$F,$Q378)&amp;""),0),"Penuh",IF(IFERROR(--(INDEX('Reguler Class Availability'!$G:$G,$Q378)&amp;""),0)=0,IF(INDEX('Reguler Class Availability'!$B:$B,$Q378)&amp;""="","Kosong","Belum terisi"),IF(IFERROR(--(INDEX('Reguler Class Availability'!$G:$G,$Q378)&amp;""),0)/IFERROR(--(INDEX('Reguler Class Availability'!$F:$F,$Q378)&amp;""),0)&gt;=0.6,"Tinggi","Sebagian"))))))</f>
        <v>Kosong</v>
      </c>
      <c r="F378" s="77" t="str">
        <f aca="false">IF($Q378="","",PROPER(INDEX('Reguler Class Availability'!$B:$B,$Q378)&amp;""))</f>
        <v/>
      </c>
      <c r="G378" s="76" t="n">
        <f aca="false">IF($Q378="","",IFERROR(--(INDEX('Reguler Class Availability'!$F:$F,$Q378)&amp;""),0))</f>
        <v>4</v>
      </c>
      <c r="H378" s="77" t="str">
        <f aca="false">IF($Q378="","",PROPER(INDEX('Reguler Class Availability'!$I:$I,$Q378)&amp;"")&amp;IF(INDEX('Reguler Class Availability'!$J:$J,$Q378)&amp;""="",""," + asst "&amp;PROPER(INDEX('Reguler Class Availability'!$J:$J,$Q378)&amp;"")))</f>
        <v/>
      </c>
      <c r="I378" s="77" t="s">
        <v>479</v>
      </c>
      <c r="J378" s="77" t="s">
        <v>188</v>
      </c>
      <c r="K378" s="78"/>
      <c r="L378" s="78"/>
      <c r="M378" s="78"/>
      <c r="N378" s="79"/>
      <c r="O378" s="78"/>
      <c r="Q378" s="30" t="n">
        <f aca="false">IFERROR(MATCH($B$4&amp;"|- Lane "&amp;D378&amp;" - "&amp;B378&amp;"|"&amp;C378,'Reguler Class Availability'!$L:$L,0),"")</f>
        <v>2297</v>
      </c>
    </row>
    <row r="379" customFormat="false" ht="40.5" hidden="false" customHeight="true" outlineLevel="0" collapsed="false">
      <c r="A379" s="76" t="n">
        <v>253</v>
      </c>
      <c r="B379" s="77" t="s">
        <v>118</v>
      </c>
      <c r="C379" s="76" t="s">
        <v>144</v>
      </c>
      <c r="D379" s="76" t="n">
        <v>3</v>
      </c>
      <c r="E379" s="77" t="str">
        <f aca="false">IF($Q379="","Tidak ada di data",IF(AND(IFERROR(--(INDEX('Reguler Class Availability'!$F:$F,$Q379)&amp;""),0)=0,IFERROR(--(INDEX('Reguler Class Availability'!$G:$G,$Q379)&amp;""),0)=0),"Tutup",IF(IFERROR(--(INDEX('Reguler Class Availability'!$G:$G,$Q379)&amp;""),0)&gt;IFERROR(--(INDEX('Reguler Class Availability'!$F:$F,$Q379)&amp;""),0),"Lebih",IF(IFERROR(--(INDEX('Reguler Class Availability'!$G:$G,$Q379)&amp;""),0)=IFERROR(--(INDEX('Reguler Class Availability'!$F:$F,$Q379)&amp;""),0),"Penuh",IF(IFERROR(--(INDEX('Reguler Class Availability'!$G:$G,$Q379)&amp;""),0)=0,IF(INDEX('Reguler Class Availability'!$B:$B,$Q379)&amp;""="","Kosong","Belum terisi"),IF(IFERROR(--(INDEX('Reguler Class Availability'!$G:$G,$Q379)&amp;""),0)/IFERROR(--(INDEX('Reguler Class Availability'!$F:$F,$Q379)&amp;""),0)&gt;=0.6,"Tinggi","Sebagian"))))))</f>
        <v>Belum terisi</v>
      </c>
      <c r="F379" s="77" t="str">
        <f aca="false">IF($Q379="","",PROPER(INDEX('Reguler Class Availability'!$B:$B,$Q379)&amp;""))</f>
        <v>Little</v>
      </c>
      <c r="G379" s="76" t="n">
        <f aca="false">IF($Q379="","",IFERROR(--(INDEX('Reguler Class Availability'!$F:$F,$Q379)&amp;""),0))</f>
        <v>4</v>
      </c>
      <c r="H379" s="77" t="str">
        <f aca="false">IF($Q379="","",PROPER(INDEX('Reguler Class Availability'!$I:$I,$Q379)&amp;"")&amp;IF(INDEX('Reguler Class Availability'!$J:$J,$Q379)&amp;""="",""," + asst "&amp;PROPER(INDEX('Reguler Class Availability'!$J:$J,$Q379)&amp;"")))</f>
        <v/>
      </c>
      <c r="I379" s="77" t="s">
        <v>479</v>
      </c>
      <c r="J379" s="77" t="s">
        <v>188</v>
      </c>
      <c r="K379" s="78"/>
      <c r="L379" s="78"/>
      <c r="M379" s="78"/>
      <c r="N379" s="79"/>
      <c r="O379" s="78"/>
      <c r="Q379" s="30" t="n">
        <f aca="false">IFERROR(MATCH($B$4&amp;"|- Lane "&amp;D379&amp;" - "&amp;B379&amp;"|"&amp;C379,'Reguler Class Availability'!$L:$L,0),"")</f>
        <v>2129</v>
      </c>
    </row>
    <row r="380" customFormat="false" ht="27.75" hidden="false" customHeight="true" outlineLevel="0" collapsed="false">
      <c r="A380" s="76" t="n">
        <v>254</v>
      </c>
      <c r="B380" s="77" t="s">
        <v>118</v>
      </c>
      <c r="C380" s="76" t="s">
        <v>146</v>
      </c>
      <c r="D380" s="76" t="n">
        <v>1</v>
      </c>
      <c r="E380" s="77" t="str">
        <f aca="false">IF($Q380="","Tidak ada di data",IF(AND(IFERROR(--(INDEX('Reguler Class Availability'!$F:$F,$Q380)&amp;""),0)=0,IFERROR(--(INDEX('Reguler Class Availability'!$G:$G,$Q380)&amp;""),0)=0),"Tutup",IF(IFERROR(--(INDEX('Reguler Class Availability'!$G:$G,$Q380)&amp;""),0)&gt;IFERROR(--(INDEX('Reguler Class Availability'!$F:$F,$Q380)&amp;""),0),"Lebih",IF(IFERROR(--(INDEX('Reguler Class Availability'!$G:$G,$Q380)&amp;""),0)=IFERROR(--(INDEX('Reguler Class Availability'!$F:$F,$Q380)&amp;""),0),"Penuh",IF(IFERROR(--(INDEX('Reguler Class Availability'!$G:$G,$Q380)&amp;""),0)=0,IF(INDEX('Reguler Class Availability'!$B:$B,$Q380)&amp;""="","Kosong","Belum terisi"),IF(IFERROR(--(INDEX('Reguler Class Availability'!$G:$G,$Q380)&amp;""),0)/IFERROR(--(INDEX('Reguler Class Availability'!$F:$F,$Q380)&amp;""),0)&gt;=0.6,"Tinggi","Sebagian"))))))</f>
        <v>Belum terisi</v>
      </c>
      <c r="F380" s="77" t="str">
        <f aca="false">IF($Q380="","",PROPER(INDEX('Reguler Class Availability'!$B:$B,$Q380)&amp;""))</f>
        <v>Baby</v>
      </c>
      <c r="G380" s="76" t="n">
        <f aca="false">IF($Q380="","",IFERROR(--(INDEX('Reguler Class Availability'!$F:$F,$Q380)&amp;""),0))</f>
        <v>5</v>
      </c>
      <c r="H380" s="77" t="str">
        <f aca="false">IF($Q380="","",PROPER(INDEX('Reguler Class Availability'!$I:$I,$Q380)&amp;"")&amp;IF(INDEX('Reguler Class Availability'!$J:$J,$Q380)&amp;""="",""," + asst "&amp;PROPER(INDEX('Reguler Class Availability'!$J:$J,$Q380)&amp;"")))</f>
        <v/>
      </c>
      <c r="I380" s="77" t="s">
        <v>480</v>
      </c>
      <c r="J380" s="77" t="s">
        <v>188</v>
      </c>
      <c r="K380" s="78"/>
      <c r="L380" s="78"/>
      <c r="M380" s="78"/>
      <c r="N380" s="79"/>
      <c r="O380" s="78"/>
      <c r="Q380" s="30" t="n">
        <f aca="false">IFERROR(MATCH($B$4&amp;"|- Lane "&amp;D380&amp;" - "&amp;B380&amp;"|"&amp;C380,'Reguler Class Availability'!$L:$L,0),"")</f>
        <v>1948</v>
      </c>
    </row>
    <row r="381" customFormat="false" ht="27.75" hidden="false" customHeight="true" outlineLevel="0" collapsed="false">
      <c r="A381" s="76" t="n">
        <v>255</v>
      </c>
      <c r="B381" s="77" t="s">
        <v>118</v>
      </c>
      <c r="C381" s="76" t="s">
        <v>146</v>
      </c>
      <c r="D381" s="76" t="n">
        <v>2</v>
      </c>
      <c r="E381" s="77" t="str">
        <f aca="false">IF($Q381="","Tidak ada di data",IF(AND(IFERROR(--(INDEX('Reguler Class Availability'!$F:$F,$Q381)&amp;""),0)=0,IFERROR(--(INDEX('Reguler Class Availability'!$G:$G,$Q381)&amp;""),0)=0),"Tutup",IF(IFERROR(--(INDEX('Reguler Class Availability'!$G:$G,$Q381)&amp;""),0)&gt;IFERROR(--(INDEX('Reguler Class Availability'!$F:$F,$Q381)&amp;""),0),"Lebih",IF(IFERROR(--(INDEX('Reguler Class Availability'!$G:$G,$Q381)&amp;""),0)=IFERROR(--(INDEX('Reguler Class Availability'!$F:$F,$Q381)&amp;""),0),"Penuh",IF(IFERROR(--(INDEX('Reguler Class Availability'!$G:$G,$Q381)&amp;""),0)=0,IF(INDEX('Reguler Class Availability'!$B:$B,$Q381)&amp;""="","Kosong","Belum terisi"),IF(IFERROR(--(INDEX('Reguler Class Availability'!$G:$G,$Q381)&amp;""),0)/IFERROR(--(INDEX('Reguler Class Availability'!$F:$F,$Q381)&amp;""),0)&gt;=0.6,"Tinggi","Sebagian"))))))</f>
        <v>Belum terisi</v>
      </c>
      <c r="F381" s="77" t="str">
        <f aca="false">IF($Q381="","",PROPER(INDEX('Reguler Class Availability'!$B:$B,$Q381)&amp;""))</f>
        <v>Tiny</v>
      </c>
      <c r="G381" s="76" t="n">
        <f aca="false">IF($Q381="","",IFERROR(--(INDEX('Reguler Class Availability'!$F:$F,$Q381)&amp;""),0))</f>
        <v>5</v>
      </c>
      <c r="H381" s="77" t="str">
        <f aca="false">IF($Q381="","",PROPER(INDEX('Reguler Class Availability'!$I:$I,$Q381)&amp;"")&amp;IF(INDEX('Reguler Class Availability'!$J:$J,$Q381)&amp;""="",""," + asst "&amp;PROPER(INDEX('Reguler Class Availability'!$J:$J,$Q381)&amp;"")))</f>
        <v/>
      </c>
      <c r="I381" s="77" t="s">
        <v>480</v>
      </c>
      <c r="J381" s="77" t="s">
        <v>188</v>
      </c>
      <c r="K381" s="78"/>
      <c r="L381" s="78"/>
      <c r="M381" s="78"/>
      <c r="N381" s="79"/>
      <c r="O381" s="78"/>
      <c r="Q381" s="30" t="n">
        <f aca="false">IFERROR(MATCH($B$4&amp;"|- Lane "&amp;D381&amp;" - "&amp;B381&amp;"|"&amp;C381,'Reguler Class Availability'!$L:$L,0),"")</f>
        <v>2046</v>
      </c>
    </row>
    <row r="382" customFormat="false" ht="27.75" hidden="false" customHeight="true" outlineLevel="0" collapsed="false">
      <c r="A382" s="76" t="n">
        <v>256</v>
      </c>
      <c r="B382" s="77" t="s">
        <v>118</v>
      </c>
      <c r="C382" s="76" t="s">
        <v>146</v>
      </c>
      <c r="D382" s="76" t="n">
        <v>5</v>
      </c>
      <c r="E382" s="77" t="str">
        <f aca="false">IF($Q382="","Tidak ada di data",IF(AND(IFERROR(--(INDEX('Reguler Class Availability'!$F:$F,$Q382)&amp;""),0)=0,IFERROR(--(INDEX('Reguler Class Availability'!$G:$G,$Q382)&amp;""),0)=0),"Tutup",IF(IFERROR(--(INDEX('Reguler Class Availability'!$G:$G,$Q382)&amp;""),0)&gt;IFERROR(--(INDEX('Reguler Class Availability'!$F:$F,$Q382)&amp;""),0),"Lebih",IF(IFERROR(--(INDEX('Reguler Class Availability'!$G:$G,$Q382)&amp;""),0)=IFERROR(--(INDEX('Reguler Class Availability'!$F:$F,$Q382)&amp;""),0),"Penuh",IF(IFERROR(--(INDEX('Reguler Class Availability'!$G:$G,$Q382)&amp;""),0)=0,IF(INDEX('Reguler Class Availability'!$B:$B,$Q382)&amp;""="","Kosong","Belum terisi"),IF(IFERROR(--(INDEX('Reguler Class Availability'!$G:$G,$Q382)&amp;""),0)/IFERROR(--(INDEX('Reguler Class Availability'!$F:$F,$Q382)&amp;""),0)&gt;=0.6,"Tinggi","Sebagian"))))))</f>
        <v>Kosong</v>
      </c>
      <c r="F382" s="77" t="str">
        <f aca="false">IF($Q382="","",PROPER(INDEX('Reguler Class Availability'!$B:$B,$Q382)&amp;""))</f>
        <v/>
      </c>
      <c r="G382" s="76" t="n">
        <f aca="false">IF($Q382="","",IFERROR(--(INDEX('Reguler Class Availability'!$F:$F,$Q382)&amp;""),0))</f>
        <v>4</v>
      </c>
      <c r="H382" s="77" t="str">
        <f aca="false">IF($Q382="","",PROPER(INDEX('Reguler Class Availability'!$I:$I,$Q382)&amp;"")&amp;IF(INDEX('Reguler Class Availability'!$J:$J,$Q382)&amp;""="",""," + asst "&amp;PROPER(INDEX('Reguler Class Availability'!$J:$J,$Q382)&amp;"")))</f>
        <v/>
      </c>
      <c r="I382" s="77" t="s">
        <v>480</v>
      </c>
      <c r="J382" s="77" t="s">
        <v>188</v>
      </c>
      <c r="K382" s="78"/>
      <c r="L382" s="78"/>
      <c r="M382" s="78"/>
      <c r="N382" s="79"/>
      <c r="O382" s="78"/>
      <c r="Q382" s="30" t="n">
        <f aca="false">IFERROR(MATCH($B$4&amp;"|- Lane "&amp;D382&amp;" - "&amp;B382&amp;"|"&amp;C382,'Reguler Class Availability'!$L:$L,0),"")</f>
        <v>2298</v>
      </c>
    </row>
    <row r="383" customFormat="false" ht="15.75" hidden="false" customHeight="true" outlineLevel="0" collapsed="false">
      <c r="A383" s="76" t="n">
        <v>257</v>
      </c>
      <c r="B383" s="77" t="s">
        <v>118</v>
      </c>
      <c r="C383" s="76" t="s">
        <v>149</v>
      </c>
      <c r="D383" s="76" t="n">
        <v>1</v>
      </c>
      <c r="E383" s="77" t="str">
        <f aca="false">IF($Q383="","Tidak ada di data",IF(AND(IFERROR(--(INDEX('Reguler Class Availability'!$F:$F,$Q383)&amp;""),0)=0,IFERROR(--(INDEX('Reguler Class Availability'!$G:$G,$Q383)&amp;""),0)=0),"Tutup",IF(IFERROR(--(INDEX('Reguler Class Availability'!$G:$G,$Q383)&amp;""),0)&gt;IFERROR(--(INDEX('Reguler Class Availability'!$F:$F,$Q383)&amp;""),0),"Lebih",IF(IFERROR(--(INDEX('Reguler Class Availability'!$G:$G,$Q383)&amp;""),0)=IFERROR(--(INDEX('Reguler Class Availability'!$F:$F,$Q383)&amp;""),0),"Penuh",IF(IFERROR(--(INDEX('Reguler Class Availability'!$G:$G,$Q383)&amp;""),0)=0,IF(INDEX('Reguler Class Availability'!$B:$B,$Q383)&amp;""="","Kosong","Belum terisi"),IF(IFERROR(--(INDEX('Reguler Class Availability'!$G:$G,$Q383)&amp;""),0)/IFERROR(--(INDEX('Reguler Class Availability'!$F:$F,$Q383)&amp;""),0)&gt;=0.6,"Tinggi","Sebagian"))))))</f>
        <v>Belum terisi</v>
      </c>
      <c r="F383" s="77" t="str">
        <f aca="false">IF($Q383="","",PROPER(INDEX('Reguler Class Availability'!$B:$B,$Q383)&amp;""))</f>
        <v>Baby</v>
      </c>
      <c r="G383" s="76" t="n">
        <f aca="false">IF($Q383="","",IFERROR(--(INDEX('Reguler Class Availability'!$F:$F,$Q383)&amp;""),0))</f>
        <v>5</v>
      </c>
      <c r="H383" s="77" t="str">
        <f aca="false">IF($Q383="","",PROPER(INDEX('Reguler Class Availability'!$I:$I,$Q383)&amp;"")&amp;IF(INDEX('Reguler Class Availability'!$J:$J,$Q383)&amp;""="",""," + asst "&amp;PROPER(INDEX('Reguler Class Availability'!$J:$J,$Q383)&amp;"")))</f>
        <v/>
      </c>
      <c r="I383" s="77" t="s">
        <v>474</v>
      </c>
      <c r="J383" s="77" t="s">
        <v>288</v>
      </c>
      <c r="K383" s="78"/>
      <c r="L383" s="78"/>
      <c r="M383" s="78"/>
      <c r="N383" s="79"/>
      <c r="O383" s="78"/>
      <c r="Q383" s="30" t="n">
        <f aca="false">IFERROR(MATCH($B$4&amp;"|- Lane "&amp;D383&amp;" - "&amp;B383&amp;"|"&amp;C383,'Reguler Class Availability'!$L:$L,0),"")</f>
        <v>1949</v>
      </c>
    </row>
    <row r="384" customFormat="false" ht="15.75" hidden="false" customHeight="true" outlineLevel="0" collapsed="false">
      <c r="A384" s="76" t="n">
        <v>258</v>
      </c>
      <c r="B384" s="77" t="s">
        <v>118</v>
      </c>
      <c r="C384" s="76" t="s">
        <v>149</v>
      </c>
      <c r="D384" s="76" t="n">
        <v>2</v>
      </c>
      <c r="E384" s="77" t="str">
        <f aca="false">IF($Q384="","Tidak ada di data",IF(AND(IFERROR(--(INDEX('Reguler Class Availability'!$F:$F,$Q384)&amp;""),0)=0,IFERROR(--(INDEX('Reguler Class Availability'!$G:$G,$Q384)&amp;""),0)=0),"Tutup",IF(IFERROR(--(INDEX('Reguler Class Availability'!$G:$G,$Q384)&amp;""),0)&gt;IFERROR(--(INDEX('Reguler Class Availability'!$F:$F,$Q384)&amp;""),0),"Lebih",IF(IFERROR(--(INDEX('Reguler Class Availability'!$G:$G,$Q384)&amp;""),0)=IFERROR(--(INDEX('Reguler Class Availability'!$F:$F,$Q384)&amp;""),0),"Penuh",IF(IFERROR(--(INDEX('Reguler Class Availability'!$G:$G,$Q384)&amp;""),0)=0,IF(INDEX('Reguler Class Availability'!$B:$B,$Q384)&amp;""="","Kosong","Belum terisi"),IF(IFERROR(--(INDEX('Reguler Class Availability'!$G:$G,$Q384)&amp;""),0)/IFERROR(--(INDEX('Reguler Class Availability'!$F:$F,$Q384)&amp;""),0)&gt;=0.6,"Tinggi","Sebagian"))))))</f>
        <v>Belum terisi</v>
      </c>
      <c r="F384" s="77" t="str">
        <f aca="false">IF($Q384="","",PROPER(INDEX('Reguler Class Availability'!$B:$B,$Q384)&amp;""))</f>
        <v>Tiny</v>
      </c>
      <c r="G384" s="76" t="n">
        <f aca="false">IF($Q384="","",IFERROR(--(INDEX('Reguler Class Availability'!$F:$F,$Q384)&amp;""),0))</f>
        <v>5</v>
      </c>
      <c r="H384" s="77" t="str">
        <f aca="false">IF($Q384="","",PROPER(INDEX('Reguler Class Availability'!$I:$I,$Q384)&amp;"")&amp;IF(INDEX('Reguler Class Availability'!$J:$J,$Q384)&amp;""="",""," + asst "&amp;PROPER(INDEX('Reguler Class Availability'!$J:$J,$Q384)&amp;"")))</f>
        <v/>
      </c>
      <c r="I384" s="77" t="s">
        <v>474</v>
      </c>
      <c r="J384" s="77" t="s">
        <v>198</v>
      </c>
      <c r="K384" s="78"/>
      <c r="L384" s="78"/>
      <c r="M384" s="78"/>
      <c r="N384" s="79"/>
      <c r="O384" s="78"/>
      <c r="Q384" s="30" t="n">
        <f aca="false">IFERROR(MATCH($B$4&amp;"|- Lane "&amp;D384&amp;" - "&amp;B384&amp;"|"&amp;C384,'Reguler Class Availability'!$L:$L,0),"")</f>
        <v>2047</v>
      </c>
    </row>
    <row r="385" customFormat="false" ht="15.75" hidden="false" customHeight="true" outlineLevel="0" collapsed="false">
      <c r="A385" s="76" t="n">
        <v>259</v>
      </c>
      <c r="B385" s="77" t="s">
        <v>118</v>
      </c>
      <c r="C385" s="76" t="s">
        <v>149</v>
      </c>
      <c r="D385" s="76" t="n">
        <v>5</v>
      </c>
      <c r="E385" s="77" t="str">
        <f aca="false">IF($Q385="","Tidak ada di data",IF(AND(IFERROR(--(INDEX('Reguler Class Availability'!$F:$F,$Q385)&amp;""),0)=0,IFERROR(--(INDEX('Reguler Class Availability'!$G:$G,$Q385)&amp;""),0)=0),"Tutup",IF(IFERROR(--(INDEX('Reguler Class Availability'!$G:$G,$Q385)&amp;""),0)&gt;IFERROR(--(INDEX('Reguler Class Availability'!$F:$F,$Q385)&amp;""),0),"Lebih",IF(IFERROR(--(INDEX('Reguler Class Availability'!$G:$G,$Q385)&amp;""),0)=IFERROR(--(INDEX('Reguler Class Availability'!$F:$F,$Q385)&amp;""),0),"Penuh",IF(IFERROR(--(INDEX('Reguler Class Availability'!$G:$G,$Q385)&amp;""),0)=0,IF(INDEX('Reguler Class Availability'!$B:$B,$Q385)&amp;""="","Kosong","Belum terisi"),IF(IFERROR(--(INDEX('Reguler Class Availability'!$G:$G,$Q385)&amp;""),0)/IFERROR(--(INDEX('Reguler Class Availability'!$F:$F,$Q385)&amp;""),0)&gt;=0.6,"Tinggi","Sebagian"))))))</f>
        <v>Kosong</v>
      </c>
      <c r="F385" s="77" t="str">
        <f aca="false">IF($Q385="","",PROPER(INDEX('Reguler Class Availability'!$B:$B,$Q385)&amp;""))</f>
        <v/>
      </c>
      <c r="G385" s="76" t="n">
        <f aca="false">IF($Q385="","",IFERROR(--(INDEX('Reguler Class Availability'!$F:$F,$Q385)&amp;""),0))</f>
        <v>4</v>
      </c>
      <c r="H385" s="77" t="str">
        <f aca="false">IF($Q385="","",PROPER(INDEX('Reguler Class Availability'!$I:$I,$Q385)&amp;"")&amp;IF(INDEX('Reguler Class Availability'!$J:$J,$Q385)&amp;""="",""," + asst "&amp;PROPER(INDEX('Reguler Class Availability'!$J:$J,$Q385)&amp;"")))</f>
        <v/>
      </c>
      <c r="I385" s="77" t="s">
        <v>474</v>
      </c>
      <c r="J385" s="77" t="s">
        <v>260</v>
      </c>
      <c r="K385" s="78"/>
      <c r="L385" s="78"/>
      <c r="M385" s="78"/>
      <c r="N385" s="79"/>
      <c r="O385" s="78"/>
      <c r="Q385" s="30" t="n">
        <f aca="false">IFERROR(MATCH($B$4&amp;"|- Lane "&amp;D385&amp;" - "&amp;B385&amp;"|"&amp;C385,'Reguler Class Availability'!$L:$L,0),"")</f>
        <v>2299</v>
      </c>
    </row>
    <row r="386" customFormat="false" ht="15.75" hidden="false" customHeight="true" outlineLevel="0" collapsed="false">
      <c r="A386" s="76" t="n">
        <v>260</v>
      </c>
      <c r="B386" s="77" t="s">
        <v>118</v>
      </c>
      <c r="C386" s="76" t="s">
        <v>152</v>
      </c>
      <c r="D386" s="76" t="n">
        <v>1</v>
      </c>
      <c r="E386" s="77" t="str">
        <f aca="false">IF($Q386="","Tidak ada di data",IF(AND(IFERROR(--(INDEX('Reguler Class Availability'!$F:$F,$Q386)&amp;""),0)=0,IFERROR(--(INDEX('Reguler Class Availability'!$G:$G,$Q386)&amp;""),0)=0),"Tutup",IF(IFERROR(--(INDEX('Reguler Class Availability'!$G:$G,$Q386)&amp;""),0)&gt;IFERROR(--(INDEX('Reguler Class Availability'!$F:$F,$Q386)&amp;""),0),"Lebih",IF(IFERROR(--(INDEX('Reguler Class Availability'!$G:$G,$Q386)&amp;""),0)=IFERROR(--(INDEX('Reguler Class Availability'!$F:$F,$Q386)&amp;""),0),"Penuh",IF(IFERROR(--(INDEX('Reguler Class Availability'!$G:$G,$Q386)&amp;""),0)=0,IF(INDEX('Reguler Class Availability'!$B:$B,$Q386)&amp;""="","Kosong","Belum terisi"),IF(IFERROR(--(INDEX('Reguler Class Availability'!$G:$G,$Q386)&amp;""),0)/IFERROR(--(INDEX('Reguler Class Availability'!$F:$F,$Q386)&amp;""),0)&gt;=0.6,"Tinggi","Sebagian"))))))</f>
        <v>Belum terisi</v>
      </c>
      <c r="F386" s="77" t="str">
        <f aca="false">IF($Q386="","",PROPER(INDEX('Reguler Class Availability'!$B:$B,$Q386)&amp;""))</f>
        <v>Baby</v>
      </c>
      <c r="G386" s="76" t="n">
        <f aca="false">IF($Q386="","",IFERROR(--(INDEX('Reguler Class Availability'!$F:$F,$Q386)&amp;""),0))</f>
        <v>5</v>
      </c>
      <c r="H386" s="77" t="str">
        <f aca="false">IF($Q386="","",PROPER(INDEX('Reguler Class Availability'!$I:$I,$Q386)&amp;"")&amp;IF(INDEX('Reguler Class Availability'!$J:$J,$Q386)&amp;""="",""," + asst "&amp;PROPER(INDEX('Reguler Class Availability'!$J:$J,$Q386)&amp;"")))</f>
        <v/>
      </c>
      <c r="I386" s="77" t="s">
        <v>472</v>
      </c>
      <c r="J386" s="77" t="s">
        <v>288</v>
      </c>
      <c r="K386" s="78"/>
      <c r="L386" s="78"/>
      <c r="M386" s="78"/>
      <c r="N386" s="79"/>
      <c r="O386" s="78"/>
      <c r="Q386" s="30" t="n">
        <f aca="false">IFERROR(MATCH($B$4&amp;"|- Lane "&amp;D386&amp;" - "&amp;B386&amp;"|"&amp;C386,'Reguler Class Availability'!$L:$L,0),"")</f>
        <v>1950</v>
      </c>
    </row>
    <row r="387" customFormat="false" ht="15.75" hidden="false" customHeight="true" outlineLevel="0" collapsed="false">
      <c r="A387" s="76" t="n">
        <v>261</v>
      </c>
      <c r="B387" s="77" t="s">
        <v>118</v>
      </c>
      <c r="C387" s="76" t="s">
        <v>152</v>
      </c>
      <c r="D387" s="76" t="n">
        <v>2</v>
      </c>
      <c r="E387" s="77" t="str">
        <f aca="false">IF($Q387="","Tidak ada di data",IF(AND(IFERROR(--(INDEX('Reguler Class Availability'!$F:$F,$Q387)&amp;""),0)=0,IFERROR(--(INDEX('Reguler Class Availability'!$G:$G,$Q387)&amp;""),0)=0),"Tutup",IF(IFERROR(--(INDEX('Reguler Class Availability'!$G:$G,$Q387)&amp;""),0)&gt;IFERROR(--(INDEX('Reguler Class Availability'!$F:$F,$Q387)&amp;""),0),"Lebih",IF(IFERROR(--(INDEX('Reguler Class Availability'!$G:$G,$Q387)&amp;""),0)=IFERROR(--(INDEX('Reguler Class Availability'!$F:$F,$Q387)&amp;""),0),"Penuh",IF(IFERROR(--(INDEX('Reguler Class Availability'!$G:$G,$Q387)&amp;""),0)=0,IF(INDEX('Reguler Class Availability'!$B:$B,$Q387)&amp;""="","Kosong","Belum terisi"),IF(IFERROR(--(INDEX('Reguler Class Availability'!$G:$G,$Q387)&amp;""),0)/IFERROR(--(INDEX('Reguler Class Availability'!$F:$F,$Q387)&amp;""),0)&gt;=0.6,"Tinggi","Sebagian"))))))</f>
        <v>Belum terisi</v>
      </c>
      <c r="F387" s="77" t="str">
        <f aca="false">IF($Q387="","",PROPER(INDEX('Reguler Class Availability'!$B:$B,$Q387)&amp;""))</f>
        <v>Tiny</v>
      </c>
      <c r="G387" s="76" t="n">
        <f aca="false">IF($Q387="","",IFERROR(--(INDEX('Reguler Class Availability'!$F:$F,$Q387)&amp;""),0))</f>
        <v>5</v>
      </c>
      <c r="H387" s="77" t="str">
        <f aca="false">IF($Q387="","",PROPER(INDEX('Reguler Class Availability'!$I:$I,$Q387)&amp;"")&amp;IF(INDEX('Reguler Class Availability'!$J:$J,$Q387)&amp;""="",""," + asst "&amp;PROPER(INDEX('Reguler Class Availability'!$J:$J,$Q387)&amp;"")))</f>
        <v/>
      </c>
      <c r="I387" s="77" t="s">
        <v>472</v>
      </c>
      <c r="J387" s="77" t="s">
        <v>198</v>
      </c>
      <c r="K387" s="78"/>
      <c r="L387" s="78"/>
      <c r="M387" s="78"/>
      <c r="N387" s="79"/>
      <c r="O387" s="78"/>
      <c r="Q387" s="30" t="n">
        <f aca="false">IFERROR(MATCH($B$4&amp;"|- Lane "&amp;D387&amp;" - "&amp;B387&amp;"|"&amp;C387,'Reguler Class Availability'!$L:$L,0),"")</f>
        <v>2048</v>
      </c>
    </row>
    <row r="388" customFormat="false" ht="15.75" hidden="false" customHeight="true" outlineLevel="0" collapsed="false">
      <c r="A388" s="76" t="n">
        <v>262</v>
      </c>
      <c r="B388" s="77" t="s">
        <v>118</v>
      </c>
      <c r="C388" s="76" t="s">
        <v>152</v>
      </c>
      <c r="D388" s="76" t="n">
        <v>5</v>
      </c>
      <c r="E388" s="77" t="str">
        <f aca="false">IF($Q388="","Tidak ada di data",IF(AND(IFERROR(--(INDEX('Reguler Class Availability'!$F:$F,$Q388)&amp;""),0)=0,IFERROR(--(INDEX('Reguler Class Availability'!$G:$G,$Q388)&amp;""),0)=0),"Tutup",IF(IFERROR(--(INDEX('Reguler Class Availability'!$G:$G,$Q388)&amp;""),0)&gt;IFERROR(--(INDEX('Reguler Class Availability'!$F:$F,$Q388)&amp;""),0),"Lebih",IF(IFERROR(--(INDEX('Reguler Class Availability'!$G:$G,$Q388)&amp;""),0)=IFERROR(--(INDEX('Reguler Class Availability'!$F:$F,$Q388)&amp;""),0),"Penuh",IF(IFERROR(--(INDEX('Reguler Class Availability'!$G:$G,$Q388)&amp;""),0)=0,IF(INDEX('Reguler Class Availability'!$B:$B,$Q388)&amp;""="","Kosong","Belum terisi"),IF(IFERROR(--(INDEX('Reguler Class Availability'!$G:$G,$Q388)&amp;""),0)/IFERROR(--(INDEX('Reguler Class Availability'!$F:$F,$Q388)&amp;""),0)&gt;=0.6,"Tinggi","Sebagian"))))))</f>
        <v>Kosong</v>
      </c>
      <c r="F388" s="77" t="str">
        <f aca="false">IF($Q388="","",PROPER(INDEX('Reguler Class Availability'!$B:$B,$Q388)&amp;""))</f>
        <v/>
      </c>
      <c r="G388" s="76" t="n">
        <f aca="false">IF($Q388="","",IFERROR(--(INDEX('Reguler Class Availability'!$F:$F,$Q388)&amp;""),0))</f>
        <v>4</v>
      </c>
      <c r="H388" s="77" t="str">
        <f aca="false">IF($Q388="","",PROPER(INDEX('Reguler Class Availability'!$I:$I,$Q388)&amp;"")&amp;IF(INDEX('Reguler Class Availability'!$J:$J,$Q388)&amp;""="",""," + asst "&amp;PROPER(INDEX('Reguler Class Availability'!$J:$J,$Q388)&amp;"")))</f>
        <v/>
      </c>
      <c r="I388" s="77" t="s">
        <v>472</v>
      </c>
      <c r="J388" s="77" t="s">
        <v>260</v>
      </c>
      <c r="K388" s="78"/>
      <c r="L388" s="78"/>
      <c r="M388" s="78"/>
      <c r="N388" s="79"/>
      <c r="O388" s="78"/>
      <c r="Q388" s="30" t="n">
        <f aca="false">IFERROR(MATCH($B$4&amp;"|- Lane "&amp;D388&amp;" - "&amp;B388&amp;"|"&amp;C388,'Reguler Class Availability'!$L:$L,0),"")</f>
        <v>2300</v>
      </c>
    </row>
    <row r="389" customFormat="false" ht="15.75" hidden="false" customHeight="true" outlineLevel="0" collapsed="false">
      <c r="A389" s="76" t="n">
        <v>263</v>
      </c>
      <c r="B389" s="77" t="s">
        <v>118</v>
      </c>
      <c r="C389" s="76" t="s">
        <v>155</v>
      </c>
      <c r="D389" s="76" t="n">
        <v>1</v>
      </c>
      <c r="E389" s="77" t="str">
        <f aca="false">IF($Q389="","Tidak ada di data",IF(AND(IFERROR(--(INDEX('Reguler Class Availability'!$F:$F,$Q389)&amp;""),0)=0,IFERROR(--(INDEX('Reguler Class Availability'!$G:$G,$Q389)&amp;""),0)=0),"Tutup",IF(IFERROR(--(INDEX('Reguler Class Availability'!$G:$G,$Q389)&amp;""),0)&gt;IFERROR(--(INDEX('Reguler Class Availability'!$F:$F,$Q389)&amp;""),0),"Lebih",IF(IFERROR(--(INDEX('Reguler Class Availability'!$G:$G,$Q389)&amp;""),0)=IFERROR(--(INDEX('Reguler Class Availability'!$F:$F,$Q389)&amp;""),0),"Penuh",IF(IFERROR(--(INDEX('Reguler Class Availability'!$G:$G,$Q389)&amp;""),0)=0,IF(INDEX('Reguler Class Availability'!$B:$B,$Q389)&amp;""="","Kosong","Belum terisi"),IF(IFERROR(--(INDEX('Reguler Class Availability'!$G:$G,$Q389)&amp;""),0)/IFERROR(--(INDEX('Reguler Class Availability'!$F:$F,$Q389)&amp;""),0)&gt;=0.6,"Tinggi","Sebagian"))))))</f>
        <v>Belum terisi</v>
      </c>
      <c r="F389" s="77" t="str">
        <f aca="false">IF($Q389="","",PROPER(INDEX('Reguler Class Availability'!$B:$B,$Q389)&amp;""))</f>
        <v>Baby</v>
      </c>
      <c r="G389" s="76" t="n">
        <f aca="false">IF($Q389="","",IFERROR(--(INDEX('Reguler Class Availability'!$F:$F,$Q389)&amp;""),0))</f>
        <v>5</v>
      </c>
      <c r="H389" s="77" t="str">
        <f aca="false">IF($Q389="","",PROPER(INDEX('Reguler Class Availability'!$I:$I,$Q389)&amp;"")&amp;IF(INDEX('Reguler Class Availability'!$J:$J,$Q389)&amp;""="",""," + asst "&amp;PROPER(INDEX('Reguler Class Availability'!$J:$J,$Q389)&amp;"")))</f>
        <v/>
      </c>
      <c r="I389" s="77" t="s">
        <v>481</v>
      </c>
      <c r="J389" s="77" t="s">
        <v>188</v>
      </c>
      <c r="K389" s="78"/>
      <c r="L389" s="78"/>
      <c r="M389" s="78"/>
      <c r="N389" s="79"/>
      <c r="O389" s="78"/>
      <c r="Q389" s="30" t="n">
        <f aca="false">IFERROR(MATCH($B$4&amp;"|- Lane "&amp;D389&amp;" - "&amp;B389&amp;"|"&amp;C389,'Reguler Class Availability'!$L:$L,0),"")</f>
        <v>1951</v>
      </c>
    </row>
    <row r="390" customFormat="false" ht="15.75" hidden="false" customHeight="true" outlineLevel="0" collapsed="false">
      <c r="A390" s="76" t="n">
        <v>264</v>
      </c>
      <c r="B390" s="77" t="s">
        <v>118</v>
      </c>
      <c r="C390" s="76" t="s">
        <v>155</v>
      </c>
      <c r="D390" s="76" t="n">
        <v>2</v>
      </c>
      <c r="E390" s="77" t="str">
        <f aca="false">IF($Q390="","Tidak ada di data",IF(AND(IFERROR(--(INDEX('Reguler Class Availability'!$F:$F,$Q390)&amp;""),0)=0,IFERROR(--(INDEX('Reguler Class Availability'!$G:$G,$Q390)&amp;""),0)=0),"Tutup",IF(IFERROR(--(INDEX('Reguler Class Availability'!$G:$G,$Q390)&amp;""),0)&gt;IFERROR(--(INDEX('Reguler Class Availability'!$F:$F,$Q390)&amp;""),0),"Lebih",IF(IFERROR(--(INDEX('Reguler Class Availability'!$G:$G,$Q390)&amp;""),0)=IFERROR(--(INDEX('Reguler Class Availability'!$F:$F,$Q390)&amp;""),0),"Penuh",IF(IFERROR(--(INDEX('Reguler Class Availability'!$G:$G,$Q390)&amp;""),0)=0,IF(INDEX('Reguler Class Availability'!$B:$B,$Q390)&amp;""="","Kosong","Belum terisi"),IF(IFERROR(--(INDEX('Reguler Class Availability'!$G:$G,$Q390)&amp;""),0)/IFERROR(--(INDEX('Reguler Class Availability'!$F:$F,$Q390)&amp;""),0)&gt;=0.6,"Tinggi","Sebagian"))))))</f>
        <v>Belum terisi</v>
      </c>
      <c r="F390" s="77" t="str">
        <f aca="false">IF($Q390="","",PROPER(INDEX('Reguler Class Availability'!$B:$B,$Q390)&amp;""))</f>
        <v>Tiny</v>
      </c>
      <c r="G390" s="76" t="n">
        <f aca="false">IF($Q390="","",IFERROR(--(INDEX('Reguler Class Availability'!$F:$F,$Q390)&amp;""),0))</f>
        <v>5</v>
      </c>
      <c r="H390" s="77" t="str">
        <f aca="false">IF($Q390="","",PROPER(INDEX('Reguler Class Availability'!$I:$I,$Q390)&amp;"")&amp;IF(INDEX('Reguler Class Availability'!$J:$J,$Q390)&amp;""="",""," + asst "&amp;PROPER(INDEX('Reguler Class Availability'!$J:$J,$Q390)&amp;"")))</f>
        <v/>
      </c>
      <c r="I390" s="77" t="s">
        <v>481</v>
      </c>
      <c r="J390" s="77" t="s">
        <v>188</v>
      </c>
      <c r="K390" s="78"/>
      <c r="L390" s="78"/>
      <c r="M390" s="78"/>
      <c r="N390" s="79"/>
      <c r="O390" s="78"/>
      <c r="Q390" s="30" t="n">
        <f aca="false">IFERROR(MATCH($B$4&amp;"|- Lane "&amp;D390&amp;" - "&amp;B390&amp;"|"&amp;C390,'Reguler Class Availability'!$L:$L,0),"")</f>
        <v>2049</v>
      </c>
    </row>
    <row r="391" customFormat="false" ht="15.75" hidden="false" customHeight="true" outlineLevel="0" collapsed="false">
      <c r="A391" s="76" t="n">
        <v>265</v>
      </c>
      <c r="B391" s="77" t="s">
        <v>118</v>
      </c>
      <c r="C391" s="76" t="s">
        <v>155</v>
      </c>
      <c r="D391" s="76" t="n">
        <v>5</v>
      </c>
      <c r="E391" s="77" t="str">
        <f aca="false">IF($Q391="","Tidak ada di data",IF(AND(IFERROR(--(INDEX('Reguler Class Availability'!$F:$F,$Q391)&amp;""),0)=0,IFERROR(--(INDEX('Reguler Class Availability'!$G:$G,$Q391)&amp;""),0)=0),"Tutup",IF(IFERROR(--(INDEX('Reguler Class Availability'!$G:$G,$Q391)&amp;""),0)&gt;IFERROR(--(INDEX('Reguler Class Availability'!$F:$F,$Q391)&amp;""),0),"Lebih",IF(IFERROR(--(INDEX('Reguler Class Availability'!$G:$G,$Q391)&amp;""),0)=IFERROR(--(INDEX('Reguler Class Availability'!$F:$F,$Q391)&amp;""),0),"Penuh",IF(IFERROR(--(INDEX('Reguler Class Availability'!$G:$G,$Q391)&amp;""),0)=0,IF(INDEX('Reguler Class Availability'!$B:$B,$Q391)&amp;""="","Kosong","Belum terisi"),IF(IFERROR(--(INDEX('Reguler Class Availability'!$G:$G,$Q391)&amp;""),0)/IFERROR(--(INDEX('Reguler Class Availability'!$F:$F,$Q391)&amp;""),0)&gt;=0.6,"Tinggi","Sebagian"))))))</f>
        <v>Kosong</v>
      </c>
      <c r="F391" s="77" t="str">
        <f aca="false">IF($Q391="","",PROPER(INDEX('Reguler Class Availability'!$B:$B,$Q391)&amp;""))</f>
        <v/>
      </c>
      <c r="G391" s="76" t="n">
        <f aca="false">IF($Q391="","",IFERROR(--(INDEX('Reguler Class Availability'!$F:$F,$Q391)&amp;""),0))</f>
        <v>4</v>
      </c>
      <c r="H391" s="77" t="str">
        <f aca="false">IF($Q391="","",PROPER(INDEX('Reguler Class Availability'!$I:$I,$Q391)&amp;"")&amp;IF(INDEX('Reguler Class Availability'!$J:$J,$Q391)&amp;""="",""," + asst "&amp;PROPER(INDEX('Reguler Class Availability'!$J:$J,$Q391)&amp;"")))</f>
        <v/>
      </c>
      <c r="I391" s="77" t="s">
        <v>481</v>
      </c>
      <c r="J391" s="77" t="s">
        <v>188</v>
      </c>
      <c r="K391" s="78"/>
      <c r="L391" s="78"/>
      <c r="M391" s="78"/>
      <c r="N391" s="79"/>
      <c r="O391" s="78"/>
      <c r="Q391" s="30" t="n">
        <f aca="false">IFERROR(MATCH($B$4&amp;"|- Lane "&amp;D391&amp;" - "&amp;B391&amp;"|"&amp;C391,'Reguler Class Availability'!$L:$L,0),"")</f>
        <v>2301</v>
      </c>
    </row>
    <row r="392" customFormat="false" ht="52.5" hidden="false" customHeight="true" outlineLevel="0" collapsed="false">
      <c r="A392" s="76" t="n">
        <v>266</v>
      </c>
      <c r="B392" s="77" t="s">
        <v>118</v>
      </c>
      <c r="C392" s="76" t="s">
        <v>160</v>
      </c>
      <c r="D392" s="76" t="n">
        <v>1</v>
      </c>
      <c r="E392" s="77" t="str">
        <f aca="false">IF($Q392="","Tidak ada di data",IF(AND(IFERROR(--(INDEX('Reguler Class Availability'!$F:$F,$Q392)&amp;""),0)=0,IFERROR(--(INDEX('Reguler Class Availability'!$G:$G,$Q392)&amp;""),0)=0),"Tutup",IF(IFERROR(--(INDEX('Reguler Class Availability'!$G:$G,$Q392)&amp;""),0)&gt;IFERROR(--(INDEX('Reguler Class Availability'!$F:$F,$Q392)&amp;""),0),"Lebih",IF(IFERROR(--(INDEX('Reguler Class Availability'!$G:$G,$Q392)&amp;""),0)=IFERROR(--(INDEX('Reguler Class Availability'!$F:$F,$Q392)&amp;""),0),"Penuh",IF(IFERROR(--(INDEX('Reguler Class Availability'!$G:$G,$Q392)&amp;""),0)=0,IF(INDEX('Reguler Class Availability'!$B:$B,$Q392)&amp;""="","Kosong","Belum terisi"),IF(IFERROR(--(INDEX('Reguler Class Availability'!$G:$G,$Q392)&amp;""),0)/IFERROR(--(INDEX('Reguler Class Availability'!$F:$F,$Q392)&amp;""),0)&gt;=0.6,"Tinggi","Sebagian"))))))</f>
        <v>Belum terisi</v>
      </c>
      <c r="F392" s="77" t="str">
        <f aca="false">IF($Q392="","",PROPER(INDEX('Reguler Class Availability'!$B:$B,$Q392)&amp;""))</f>
        <v>Star</v>
      </c>
      <c r="G392" s="76" t="n">
        <f aca="false">IF($Q392="","",IFERROR(--(INDEX('Reguler Class Availability'!$F:$F,$Q392)&amp;""),0))</f>
        <v>8</v>
      </c>
      <c r="H392" s="77" t="str">
        <f aca="false">IF($Q392="","",PROPER(INDEX('Reguler Class Availability'!$I:$I,$Q392)&amp;"")&amp;IF(INDEX('Reguler Class Availability'!$J:$J,$Q392)&amp;""="",""," + asst "&amp;PROPER(INDEX('Reguler Class Availability'!$J:$J,$Q392)&amp;"")))</f>
        <v/>
      </c>
      <c r="I392" s="77" t="s">
        <v>477</v>
      </c>
      <c r="J392" s="77" t="s">
        <v>186</v>
      </c>
      <c r="K392" s="78"/>
      <c r="L392" s="78"/>
      <c r="M392" s="78"/>
      <c r="N392" s="79"/>
      <c r="O392" s="78"/>
      <c r="Q392" s="30" t="n">
        <f aca="false">IFERROR(MATCH($B$4&amp;"|- Lane "&amp;D392&amp;" - "&amp;B392&amp;"|"&amp;C392,'Reguler Class Availability'!$L:$L,0),"")</f>
        <v>1987</v>
      </c>
    </row>
    <row r="393" customFormat="false" ht="65.25" hidden="false" customHeight="true" outlineLevel="0" collapsed="false">
      <c r="A393" s="76" t="n">
        <v>267</v>
      </c>
      <c r="B393" s="77" t="s">
        <v>119</v>
      </c>
      <c r="C393" s="76" t="s">
        <v>91</v>
      </c>
      <c r="D393" s="76" t="n">
        <v>1</v>
      </c>
      <c r="E393" s="77" t="str">
        <f aca="false">IF($Q393="","Tidak ada di data",IF(AND(IFERROR(--(INDEX('Reguler Class Availability'!$F:$F,$Q393)&amp;""),0)=0,IFERROR(--(INDEX('Reguler Class Availability'!$G:$G,$Q393)&amp;""),0)=0),"Tutup",IF(IFERROR(--(INDEX('Reguler Class Availability'!$G:$G,$Q393)&amp;""),0)&gt;IFERROR(--(INDEX('Reguler Class Availability'!$F:$F,$Q393)&amp;""),0),"Lebih",IF(IFERROR(--(INDEX('Reguler Class Availability'!$G:$G,$Q393)&amp;""),0)=IFERROR(--(INDEX('Reguler Class Availability'!$F:$F,$Q393)&amp;""),0),"Penuh",IF(IFERROR(--(INDEX('Reguler Class Availability'!$G:$G,$Q393)&amp;""),0)=0,IF(INDEX('Reguler Class Availability'!$B:$B,$Q393)&amp;""="","Kosong","Belum terisi"),IF(IFERROR(--(INDEX('Reguler Class Availability'!$G:$G,$Q393)&amp;""),0)/IFERROR(--(INDEX('Reguler Class Availability'!$F:$F,$Q393)&amp;""),0)&gt;=0.6,"Tinggi","Sebagian"))))))</f>
        <v>Belum terisi</v>
      </c>
      <c r="F393" s="77" t="str">
        <f aca="false">IF($Q393="","",PROPER(INDEX('Reguler Class Availability'!$B:$B,$Q393)&amp;""))</f>
        <v>Star</v>
      </c>
      <c r="G393" s="76" t="n">
        <f aca="false">IF($Q393="","",IFERROR(--(INDEX('Reguler Class Availability'!$F:$F,$Q393)&amp;""),0))</f>
        <v>8</v>
      </c>
      <c r="H393" s="77" t="str">
        <f aca="false">IF($Q393="","",PROPER(INDEX('Reguler Class Availability'!$I:$I,$Q393)&amp;"")&amp;IF(INDEX('Reguler Class Availability'!$J:$J,$Q393)&amp;""="",""," + asst "&amp;PROPER(INDEX('Reguler Class Availability'!$J:$J,$Q393)&amp;"")))</f>
        <v/>
      </c>
      <c r="I393" s="77" t="s">
        <v>482</v>
      </c>
      <c r="J393" s="77" t="s">
        <v>186</v>
      </c>
      <c r="K393" s="78"/>
      <c r="L393" s="78"/>
      <c r="M393" s="78"/>
      <c r="N393" s="79"/>
      <c r="O393" s="78"/>
      <c r="Q393" s="30" t="n">
        <f aca="false">IFERROR(MATCH($B$4&amp;"|- Lane "&amp;D393&amp;" - "&amp;B393&amp;"|"&amp;C393,'Reguler Class Availability'!$L:$L,0),"")</f>
        <v>1981</v>
      </c>
    </row>
    <row r="394" customFormat="false" ht="65.25" hidden="false" customHeight="true" outlineLevel="0" collapsed="false">
      <c r="A394" s="76" t="n">
        <v>268</v>
      </c>
      <c r="B394" s="77" t="s">
        <v>119</v>
      </c>
      <c r="C394" s="76" t="s">
        <v>105</v>
      </c>
      <c r="D394" s="76" t="n">
        <v>1</v>
      </c>
      <c r="E394" s="77" t="str">
        <f aca="false">IF($Q394="","Tidak ada di data",IF(AND(IFERROR(--(INDEX('Reguler Class Availability'!$F:$F,$Q394)&amp;""),0)=0,IFERROR(--(INDEX('Reguler Class Availability'!$G:$G,$Q394)&amp;""),0)=0),"Tutup",IF(IFERROR(--(INDEX('Reguler Class Availability'!$G:$G,$Q394)&amp;""),0)&gt;IFERROR(--(INDEX('Reguler Class Availability'!$F:$F,$Q394)&amp;""),0),"Lebih",IF(IFERROR(--(INDEX('Reguler Class Availability'!$G:$G,$Q394)&amp;""),0)=IFERROR(--(INDEX('Reguler Class Availability'!$F:$F,$Q394)&amp;""),0),"Penuh",IF(IFERROR(--(INDEX('Reguler Class Availability'!$G:$G,$Q394)&amp;""),0)=0,IF(INDEX('Reguler Class Availability'!$B:$B,$Q394)&amp;""="","Kosong","Belum terisi"),IF(IFERROR(--(INDEX('Reguler Class Availability'!$G:$G,$Q394)&amp;""),0)/IFERROR(--(INDEX('Reguler Class Availability'!$F:$F,$Q394)&amp;""),0)&gt;=0.6,"Tinggi","Sebagian"))))))</f>
        <v>Belum terisi</v>
      </c>
      <c r="F394" s="77" t="str">
        <f aca="false">IF($Q394="","",PROPER(INDEX('Reguler Class Availability'!$B:$B,$Q394)&amp;""))</f>
        <v>Baby</v>
      </c>
      <c r="G394" s="76" t="n">
        <f aca="false">IF($Q394="","",IFERROR(--(INDEX('Reguler Class Availability'!$F:$F,$Q394)&amp;""),0))</f>
        <v>5</v>
      </c>
      <c r="H394" s="77" t="str">
        <f aca="false">IF($Q394="","",PROPER(INDEX('Reguler Class Availability'!$I:$I,$Q394)&amp;"")&amp;IF(INDEX('Reguler Class Availability'!$J:$J,$Q394)&amp;""="",""," + asst "&amp;PROPER(INDEX('Reguler Class Availability'!$J:$J,$Q394)&amp;"")))</f>
        <v/>
      </c>
      <c r="I394" s="77" t="s">
        <v>482</v>
      </c>
      <c r="J394" s="77" t="s">
        <v>188</v>
      </c>
      <c r="K394" s="78"/>
      <c r="L394" s="78"/>
      <c r="M394" s="78"/>
      <c r="N394" s="79"/>
      <c r="O394" s="78"/>
      <c r="Q394" s="30" t="n">
        <f aca="false">IFERROR(MATCH($B$4&amp;"|- Lane "&amp;D394&amp;" - "&amp;B394&amp;"|"&amp;C394,'Reguler Class Availability'!$L:$L,0),"")</f>
        <v>1952</v>
      </c>
    </row>
    <row r="395" customFormat="false" ht="65.25" hidden="false" customHeight="true" outlineLevel="0" collapsed="false">
      <c r="A395" s="76" t="n">
        <v>269</v>
      </c>
      <c r="B395" s="77" t="s">
        <v>119</v>
      </c>
      <c r="C395" s="76" t="s">
        <v>105</v>
      </c>
      <c r="D395" s="76" t="n">
        <v>2</v>
      </c>
      <c r="E395" s="77" t="str">
        <f aca="false">IF($Q395="","Tidak ada di data",IF(AND(IFERROR(--(INDEX('Reguler Class Availability'!$F:$F,$Q395)&amp;""),0)=0,IFERROR(--(INDEX('Reguler Class Availability'!$G:$G,$Q395)&amp;""),0)=0),"Tutup",IF(IFERROR(--(INDEX('Reguler Class Availability'!$G:$G,$Q395)&amp;""),0)&gt;IFERROR(--(INDEX('Reguler Class Availability'!$F:$F,$Q395)&amp;""),0),"Lebih",IF(IFERROR(--(INDEX('Reguler Class Availability'!$G:$G,$Q395)&amp;""),0)=IFERROR(--(INDEX('Reguler Class Availability'!$F:$F,$Q395)&amp;""),0),"Penuh",IF(IFERROR(--(INDEX('Reguler Class Availability'!$G:$G,$Q395)&amp;""),0)=0,IF(INDEX('Reguler Class Availability'!$B:$B,$Q395)&amp;""="","Kosong","Belum terisi"),IF(IFERROR(--(INDEX('Reguler Class Availability'!$G:$G,$Q395)&amp;""),0)/IFERROR(--(INDEX('Reguler Class Availability'!$F:$F,$Q395)&amp;""),0)&gt;=0.6,"Tinggi","Sebagian"))))))</f>
        <v>Belum terisi</v>
      </c>
      <c r="F395" s="77" t="str">
        <f aca="false">IF($Q395="","",PROPER(INDEX('Reguler Class Availability'!$B:$B,$Q395)&amp;""))</f>
        <v>Tiny</v>
      </c>
      <c r="G395" s="76" t="n">
        <f aca="false">IF($Q395="","",IFERROR(--(INDEX('Reguler Class Availability'!$F:$F,$Q395)&amp;""),0))</f>
        <v>5</v>
      </c>
      <c r="H395" s="77" t="str">
        <f aca="false">IF($Q395="","",PROPER(INDEX('Reguler Class Availability'!$I:$I,$Q395)&amp;"")&amp;IF(INDEX('Reguler Class Availability'!$J:$J,$Q395)&amp;""="",""," + asst "&amp;PROPER(INDEX('Reguler Class Availability'!$J:$J,$Q395)&amp;"")))</f>
        <v/>
      </c>
      <c r="I395" s="77" t="s">
        <v>482</v>
      </c>
      <c r="J395" s="77" t="s">
        <v>188</v>
      </c>
      <c r="K395" s="78"/>
      <c r="L395" s="78"/>
      <c r="M395" s="78"/>
      <c r="N395" s="79"/>
      <c r="O395" s="78"/>
      <c r="Q395" s="30" t="n">
        <f aca="false">IFERROR(MATCH($B$4&amp;"|- Lane "&amp;D395&amp;" - "&amp;B395&amp;"|"&amp;C395,'Reguler Class Availability'!$L:$L,0),"")</f>
        <v>2050</v>
      </c>
    </row>
    <row r="396" customFormat="false" ht="65.25" hidden="false" customHeight="true" outlineLevel="0" collapsed="false">
      <c r="A396" s="76" t="n">
        <v>270</v>
      </c>
      <c r="B396" s="77" t="s">
        <v>119</v>
      </c>
      <c r="C396" s="76" t="s">
        <v>105</v>
      </c>
      <c r="D396" s="76" t="n">
        <v>5</v>
      </c>
      <c r="E396" s="77" t="str">
        <f aca="false">IF($Q396="","Tidak ada di data",IF(AND(IFERROR(--(INDEX('Reguler Class Availability'!$F:$F,$Q396)&amp;""),0)=0,IFERROR(--(INDEX('Reguler Class Availability'!$G:$G,$Q396)&amp;""),0)=0),"Tutup",IF(IFERROR(--(INDEX('Reguler Class Availability'!$G:$G,$Q396)&amp;""),0)&gt;IFERROR(--(INDEX('Reguler Class Availability'!$F:$F,$Q396)&amp;""),0),"Lebih",IF(IFERROR(--(INDEX('Reguler Class Availability'!$G:$G,$Q396)&amp;""),0)=IFERROR(--(INDEX('Reguler Class Availability'!$F:$F,$Q396)&amp;""),0),"Penuh",IF(IFERROR(--(INDEX('Reguler Class Availability'!$G:$G,$Q396)&amp;""),0)=0,IF(INDEX('Reguler Class Availability'!$B:$B,$Q396)&amp;""="","Kosong","Belum terisi"),IF(IFERROR(--(INDEX('Reguler Class Availability'!$G:$G,$Q396)&amp;""),0)/IFERROR(--(INDEX('Reguler Class Availability'!$F:$F,$Q396)&amp;""),0)&gt;=0.6,"Tinggi","Sebagian"))))))</f>
        <v>Kosong</v>
      </c>
      <c r="F396" s="77" t="str">
        <f aca="false">IF($Q396="","",PROPER(INDEX('Reguler Class Availability'!$B:$B,$Q396)&amp;""))</f>
        <v/>
      </c>
      <c r="G396" s="76" t="n">
        <f aca="false">IF($Q396="","",IFERROR(--(INDEX('Reguler Class Availability'!$F:$F,$Q396)&amp;""),0))</f>
        <v>4</v>
      </c>
      <c r="H396" s="77" t="str">
        <f aca="false">IF($Q396="","",PROPER(INDEX('Reguler Class Availability'!$I:$I,$Q396)&amp;"")&amp;IF(INDEX('Reguler Class Availability'!$J:$J,$Q396)&amp;""="",""," + asst "&amp;PROPER(INDEX('Reguler Class Availability'!$J:$J,$Q396)&amp;"")))</f>
        <v/>
      </c>
      <c r="I396" s="77" t="s">
        <v>482</v>
      </c>
      <c r="J396" s="77" t="s">
        <v>188</v>
      </c>
      <c r="K396" s="78"/>
      <c r="L396" s="78"/>
      <c r="M396" s="78"/>
      <c r="N396" s="79"/>
      <c r="O396" s="78"/>
      <c r="Q396" s="30" t="n">
        <f aca="false">IFERROR(MATCH($B$4&amp;"|- Lane "&amp;D396&amp;" - "&amp;B396&amp;"|"&amp;C396,'Reguler Class Availability'!$L:$L,0),"")</f>
        <v>2302</v>
      </c>
    </row>
    <row r="397" customFormat="false" ht="40.5" hidden="false" customHeight="true" outlineLevel="0" collapsed="false">
      <c r="A397" s="76" t="n">
        <v>271</v>
      </c>
      <c r="B397" s="77" t="s">
        <v>119</v>
      </c>
      <c r="C397" s="76" t="s">
        <v>110</v>
      </c>
      <c r="D397" s="76" t="n">
        <v>3</v>
      </c>
      <c r="E397" s="77" t="str">
        <f aca="false">IF($Q397="","Tidak ada di data",IF(AND(IFERROR(--(INDEX('Reguler Class Availability'!$F:$F,$Q397)&amp;""),0)=0,IFERROR(--(INDEX('Reguler Class Availability'!$G:$G,$Q397)&amp;""),0)=0),"Tutup",IF(IFERROR(--(INDEX('Reguler Class Availability'!$G:$G,$Q397)&amp;""),0)&gt;IFERROR(--(INDEX('Reguler Class Availability'!$F:$F,$Q397)&amp;""),0),"Lebih",IF(IFERROR(--(INDEX('Reguler Class Availability'!$G:$G,$Q397)&amp;""),0)=IFERROR(--(INDEX('Reguler Class Availability'!$F:$F,$Q397)&amp;""),0),"Penuh",IF(IFERROR(--(INDEX('Reguler Class Availability'!$G:$G,$Q397)&amp;""),0)=0,IF(INDEX('Reguler Class Availability'!$B:$B,$Q397)&amp;""="","Kosong","Belum terisi"),IF(IFERROR(--(INDEX('Reguler Class Availability'!$G:$G,$Q397)&amp;""),0)/IFERROR(--(INDEX('Reguler Class Availability'!$F:$F,$Q397)&amp;""),0)&gt;=0.6,"Tinggi","Sebagian"))))))</f>
        <v>Belum terisi</v>
      </c>
      <c r="F397" s="77" t="str">
        <f aca="false">IF($Q397="","",PROPER(INDEX('Reguler Class Availability'!$B:$B,$Q397)&amp;""))</f>
        <v>Little</v>
      </c>
      <c r="G397" s="76" t="n">
        <f aca="false">IF($Q397="","",IFERROR(--(INDEX('Reguler Class Availability'!$F:$F,$Q397)&amp;""),0))</f>
        <v>4</v>
      </c>
      <c r="H397" s="77" t="str">
        <f aca="false">IF($Q397="","",PROPER(INDEX('Reguler Class Availability'!$I:$I,$Q397)&amp;"")&amp;IF(INDEX('Reguler Class Availability'!$J:$J,$Q397)&amp;""="",""," + asst "&amp;PROPER(INDEX('Reguler Class Availability'!$J:$J,$Q397)&amp;"")))</f>
        <v/>
      </c>
      <c r="I397" s="77" t="s">
        <v>483</v>
      </c>
      <c r="J397" s="77" t="s">
        <v>188</v>
      </c>
      <c r="K397" s="78"/>
      <c r="L397" s="78"/>
      <c r="M397" s="78"/>
      <c r="N397" s="79"/>
      <c r="O397" s="78"/>
      <c r="Q397" s="30" t="n">
        <f aca="false">IFERROR(MATCH($B$4&amp;"|- Lane "&amp;D397&amp;" - "&amp;B397&amp;"|"&amp;C397,'Reguler Class Availability'!$L:$L,0),"")</f>
        <v>2134</v>
      </c>
    </row>
    <row r="398" customFormat="false" ht="40.5" hidden="false" customHeight="true" outlineLevel="0" collapsed="false">
      <c r="A398" s="76" t="n">
        <v>272</v>
      </c>
      <c r="B398" s="77" t="s">
        <v>119</v>
      </c>
      <c r="C398" s="76" t="s">
        <v>110</v>
      </c>
      <c r="D398" s="76" t="n">
        <v>4</v>
      </c>
      <c r="E398" s="77" t="str">
        <f aca="false">IF($Q398="","Tidak ada di data",IF(AND(IFERROR(--(INDEX('Reguler Class Availability'!$F:$F,$Q398)&amp;""),0)=0,IFERROR(--(INDEX('Reguler Class Availability'!$G:$G,$Q398)&amp;""),0)=0),"Tutup",IF(IFERROR(--(INDEX('Reguler Class Availability'!$G:$G,$Q398)&amp;""),0)&gt;IFERROR(--(INDEX('Reguler Class Availability'!$F:$F,$Q398)&amp;""),0),"Lebih",IF(IFERROR(--(INDEX('Reguler Class Availability'!$G:$G,$Q398)&amp;""),0)=IFERROR(--(INDEX('Reguler Class Availability'!$F:$F,$Q398)&amp;""),0),"Penuh",IF(IFERROR(--(INDEX('Reguler Class Availability'!$G:$G,$Q398)&amp;""),0)=0,IF(INDEX('Reguler Class Availability'!$B:$B,$Q398)&amp;""="","Kosong","Belum terisi"),IF(IFERROR(--(INDEX('Reguler Class Availability'!$G:$G,$Q398)&amp;""),0)/IFERROR(--(INDEX('Reguler Class Availability'!$F:$F,$Q398)&amp;""),0)&gt;=0.6,"Tinggi","Sebagian"))))))</f>
        <v>Belum terisi</v>
      </c>
      <c r="F398" s="77" t="str">
        <f aca="false">IF($Q398="","",PROPER(INDEX('Reguler Class Availability'!$B:$B,$Q398)&amp;""))</f>
        <v>Kids</v>
      </c>
      <c r="G398" s="76" t="n">
        <f aca="false">IF($Q398="","",IFERROR(--(INDEX('Reguler Class Availability'!$F:$F,$Q398)&amp;""),0))</f>
        <v>4</v>
      </c>
      <c r="H398" s="77" t="str">
        <f aca="false">IF($Q398="","",PROPER(INDEX('Reguler Class Availability'!$I:$I,$Q398)&amp;"")&amp;IF(INDEX('Reguler Class Availability'!$J:$J,$Q398)&amp;""="",""," + asst "&amp;PROPER(INDEX('Reguler Class Availability'!$J:$J,$Q398)&amp;"")))</f>
        <v/>
      </c>
      <c r="I398" s="77" t="s">
        <v>483</v>
      </c>
      <c r="J398" s="77" t="s">
        <v>188</v>
      </c>
      <c r="K398" s="78"/>
      <c r="L398" s="78"/>
      <c r="M398" s="78"/>
      <c r="N398" s="79"/>
      <c r="O398" s="78"/>
      <c r="Q398" s="30" t="n">
        <f aca="false">IFERROR(MATCH($B$4&amp;"|- Lane "&amp;D398&amp;" - "&amp;B398&amp;"|"&amp;C398,'Reguler Class Availability'!$L:$L,0),"")</f>
        <v>2218</v>
      </c>
    </row>
    <row r="399" customFormat="false" ht="40.5" hidden="false" customHeight="true" outlineLevel="0" collapsed="false">
      <c r="A399" s="76" t="n">
        <v>273</v>
      </c>
      <c r="B399" s="77" t="s">
        <v>119</v>
      </c>
      <c r="C399" s="76" t="s">
        <v>120</v>
      </c>
      <c r="D399" s="76" t="n">
        <v>5</v>
      </c>
      <c r="E399" s="77" t="str">
        <f aca="false">IF($Q399="","Tidak ada di data",IF(AND(IFERROR(--(INDEX('Reguler Class Availability'!$F:$F,$Q399)&amp;""),0)=0,IFERROR(--(INDEX('Reguler Class Availability'!$G:$G,$Q399)&amp;""),0)=0),"Tutup",IF(IFERROR(--(INDEX('Reguler Class Availability'!$G:$G,$Q399)&amp;""),0)&gt;IFERROR(--(INDEX('Reguler Class Availability'!$F:$F,$Q399)&amp;""),0),"Lebih",IF(IFERROR(--(INDEX('Reguler Class Availability'!$G:$G,$Q399)&amp;""),0)=IFERROR(--(INDEX('Reguler Class Availability'!$F:$F,$Q399)&amp;""),0),"Penuh",IF(IFERROR(--(INDEX('Reguler Class Availability'!$G:$G,$Q399)&amp;""),0)=0,IF(INDEX('Reguler Class Availability'!$B:$B,$Q399)&amp;""="","Kosong","Belum terisi"),IF(IFERROR(--(INDEX('Reguler Class Availability'!$G:$G,$Q399)&amp;""),0)/IFERROR(--(INDEX('Reguler Class Availability'!$F:$F,$Q399)&amp;""),0)&gt;=0.6,"Tinggi","Sebagian"))))))</f>
        <v>Kosong</v>
      </c>
      <c r="F399" s="77" t="str">
        <f aca="false">IF($Q399="","",PROPER(INDEX('Reguler Class Availability'!$B:$B,$Q399)&amp;""))</f>
        <v/>
      </c>
      <c r="G399" s="76" t="n">
        <f aca="false">IF($Q399="","",IFERROR(--(INDEX('Reguler Class Availability'!$F:$F,$Q399)&amp;""),0))</f>
        <v>4</v>
      </c>
      <c r="H399" s="77" t="str">
        <f aca="false">IF($Q399="","",PROPER(INDEX('Reguler Class Availability'!$I:$I,$Q399)&amp;"")&amp;IF(INDEX('Reguler Class Availability'!$J:$J,$Q399)&amp;""="",""," + asst "&amp;PROPER(INDEX('Reguler Class Availability'!$J:$J,$Q399)&amp;"")))</f>
        <v/>
      </c>
      <c r="I399" s="77" t="s">
        <v>484</v>
      </c>
      <c r="J399" s="77" t="s">
        <v>188</v>
      </c>
      <c r="K399" s="78"/>
      <c r="L399" s="78"/>
      <c r="M399" s="78"/>
      <c r="N399" s="79"/>
      <c r="O399" s="78"/>
      <c r="Q399" s="30" t="n">
        <f aca="false">IFERROR(MATCH($B$4&amp;"|- Lane "&amp;D399&amp;" - "&amp;B399&amp;"|"&amp;C399,'Reguler Class Availability'!$L:$L,0),"")</f>
        <v>2303</v>
      </c>
    </row>
    <row r="400" customFormat="false" ht="40.5" hidden="false" customHeight="true" outlineLevel="0" collapsed="false">
      <c r="A400" s="76" t="n">
        <v>274</v>
      </c>
      <c r="B400" s="77" t="s">
        <v>119</v>
      </c>
      <c r="C400" s="76" t="s">
        <v>121</v>
      </c>
      <c r="D400" s="76" t="n">
        <v>4</v>
      </c>
      <c r="E400" s="77" t="str">
        <f aca="false">IF($Q400="","Tidak ada di data",IF(AND(IFERROR(--(INDEX('Reguler Class Availability'!$F:$F,$Q400)&amp;""),0)=0,IFERROR(--(INDEX('Reguler Class Availability'!$G:$G,$Q400)&amp;""),0)=0),"Tutup",IF(IFERROR(--(INDEX('Reguler Class Availability'!$G:$G,$Q400)&amp;""),0)&gt;IFERROR(--(INDEX('Reguler Class Availability'!$F:$F,$Q400)&amp;""),0),"Lebih",IF(IFERROR(--(INDEX('Reguler Class Availability'!$G:$G,$Q400)&amp;""),0)=IFERROR(--(INDEX('Reguler Class Availability'!$F:$F,$Q400)&amp;""),0),"Penuh",IF(IFERROR(--(INDEX('Reguler Class Availability'!$G:$G,$Q400)&amp;""),0)=0,IF(INDEX('Reguler Class Availability'!$B:$B,$Q400)&amp;""="","Kosong","Belum terisi"),IF(IFERROR(--(INDEX('Reguler Class Availability'!$G:$G,$Q400)&amp;""),0)/IFERROR(--(INDEX('Reguler Class Availability'!$F:$F,$Q400)&amp;""),0)&gt;=0.6,"Tinggi","Sebagian"))))))</f>
        <v>Belum terisi</v>
      </c>
      <c r="F400" s="77" t="str">
        <f aca="false">IF($Q400="","",PROPER(INDEX('Reguler Class Availability'!$B:$B,$Q400)&amp;""))</f>
        <v>Kids</v>
      </c>
      <c r="G400" s="76" t="n">
        <f aca="false">IF($Q400="","",IFERROR(--(INDEX('Reguler Class Availability'!$F:$F,$Q400)&amp;""),0))</f>
        <v>4</v>
      </c>
      <c r="H400" s="77" t="str">
        <f aca="false">IF($Q400="","",PROPER(INDEX('Reguler Class Availability'!$I:$I,$Q400)&amp;"")&amp;IF(INDEX('Reguler Class Availability'!$J:$J,$Q400)&amp;""="",""," + asst "&amp;PROPER(INDEX('Reguler Class Availability'!$J:$J,$Q400)&amp;"")))</f>
        <v/>
      </c>
      <c r="I400" s="77" t="s">
        <v>484</v>
      </c>
      <c r="J400" s="77" t="s">
        <v>188</v>
      </c>
      <c r="K400" s="78"/>
      <c r="L400" s="78"/>
      <c r="M400" s="78"/>
      <c r="N400" s="79"/>
      <c r="O400" s="78"/>
      <c r="Q400" s="30" t="n">
        <f aca="false">IFERROR(MATCH($B$4&amp;"|- Lane "&amp;D400&amp;" - "&amp;B400&amp;"|"&amp;C400,'Reguler Class Availability'!$L:$L,0),"")</f>
        <v>2219</v>
      </c>
    </row>
    <row r="401" customFormat="false" ht="40.5" hidden="false" customHeight="true" outlineLevel="0" collapsed="false">
      <c r="A401" s="76" t="n">
        <v>275</v>
      </c>
      <c r="B401" s="77" t="s">
        <v>119</v>
      </c>
      <c r="C401" s="76" t="s">
        <v>123</v>
      </c>
      <c r="D401" s="76" t="n">
        <v>2</v>
      </c>
      <c r="E401" s="77" t="str">
        <f aca="false">IF($Q401="","Tidak ada di data",IF(AND(IFERROR(--(INDEX('Reguler Class Availability'!$F:$F,$Q401)&amp;""),0)=0,IFERROR(--(INDEX('Reguler Class Availability'!$G:$G,$Q401)&amp;""),0)=0),"Tutup",IF(IFERROR(--(INDEX('Reguler Class Availability'!$G:$G,$Q401)&amp;""),0)&gt;IFERROR(--(INDEX('Reguler Class Availability'!$F:$F,$Q401)&amp;""),0),"Lebih",IF(IFERROR(--(INDEX('Reguler Class Availability'!$G:$G,$Q401)&amp;""),0)=IFERROR(--(INDEX('Reguler Class Availability'!$F:$F,$Q401)&amp;""),0),"Penuh",IF(IFERROR(--(INDEX('Reguler Class Availability'!$G:$G,$Q401)&amp;""),0)=0,IF(INDEX('Reguler Class Availability'!$B:$B,$Q401)&amp;""="","Kosong","Belum terisi"),IF(IFERROR(--(INDEX('Reguler Class Availability'!$G:$G,$Q401)&amp;""),0)/IFERROR(--(INDEX('Reguler Class Availability'!$F:$F,$Q401)&amp;""),0)&gt;=0.6,"Tinggi","Sebagian"))))))</f>
        <v>Belum terisi</v>
      </c>
      <c r="F401" s="77" t="str">
        <f aca="false">IF($Q401="","",PROPER(INDEX('Reguler Class Availability'!$B:$B,$Q401)&amp;""))</f>
        <v>Tiny</v>
      </c>
      <c r="G401" s="76" t="n">
        <f aca="false">IF($Q401="","",IFERROR(--(INDEX('Reguler Class Availability'!$F:$F,$Q401)&amp;""),0))</f>
        <v>5</v>
      </c>
      <c r="H401" s="77" t="str">
        <f aca="false">IF($Q401="","",PROPER(INDEX('Reguler Class Availability'!$I:$I,$Q401)&amp;"")&amp;IF(INDEX('Reguler Class Availability'!$J:$J,$Q401)&amp;""="",""," + asst "&amp;PROPER(INDEX('Reguler Class Availability'!$J:$J,$Q401)&amp;"")))</f>
        <v/>
      </c>
      <c r="I401" s="77" t="s">
        <v>485</v>
      </c>
      <c r="J401" s="77" t="s">
        <v>188</v>
      </c>
      <c r="K401" s="78"/>
      <c r="L401" s="78"/>
      <c r="M401" s="78"/>
      <c r="N401" s="79"/>
      <c r="O401" s="78"/>
      <c r="Q401" s="30" t="n">
        <f aca="false">IFERROR(MATCH($B$4&amp;"|- Lane "&amp;D401&amp;" - "&amp;B401&amp;"|"&amp;C401,'Reguler Class Availability'!$L:$L,0),"")</f>
        <v>2052</v>
      </c>
    </row>
    <row r="402" customFormat="false" ht="40.5" hidden="false" customHeight="true" outlineLevel="0" collapsed="false">
      <c r="A402" s="76" t="n">
        <v>276</v>
      </c>
      <c r="B402" s="77" t="s">
        <v>119</v>
      </c>
      <c r="C402" s="76" t="s">
        <v>123</v>
      </c>
      <c r="D402" s="76" t="n">
        <v>5</v>
      </c>
      <c r="E402" s="77" t="str">
        <f aca="false">IF($Q402="","Tidak ada di data",IF(AND(IFERROR(--(INDEX('Reguler Class Availability'!$F:$F,$Q402)&amp;""),0)=0,IFERROR(--(INDEX('Reguler Class Availability'!$G:$G,$Q402)&amp;""),0)=0),"Tutup",IF(IFERROR(--(INDEX('Reguler Class Availability'!$G:$G,$Q402)&amp;""),0)&gt;IFERROR(--(INDEX('Reguler Class Availability'!$F:$F,$Q402)&amp;""),0),"Lebih",IF(IFERROR(--(INDEX('Reguler Class Availability'!$G:$G,$Q402)&amp;""),0)=IFERROR(--(INDEX('Reguler Class Availability'!$F:$F,$Q402)&amp;""),0),"Penuh",IF(IFERROR(--(INDEX('Reguler Class Availability'!$G:$G,$Q402)&amp;""),0)=0,IF(INDEX('Reguler Class Availability'!$B:$B,$Q402)&amp;""="","Kosong","Belum terisi"),IF(IFERROR(--(INDEX('Reguler Class Availability'!$G:$G,$Q402)&amp;""),0)/IFERROR(--(INDEX('Reguler Class Availability'!$F:$F,$Q402)&amp;""),0)&gt;=0.6,"Tinggi","Sebagian"))))))</f>
        <v>Kosong</v>
      </c>
      <c r="F402" s="77" t="str">
        <f aca="false">IF($Q402="","",PROPER(INDEX('Reguler Class Availability'!$B:$B,$Q402)&amp;""))</f>
        <v/>
      </c>
      <c r="G402" s="76" t="n">
        <f aca="false">IF($Q402="","",IFERROR(--(INDEX('Reguler Class Availability'!$F:$F,$Q402)&amp;""),0))</f>
        <v>4</v>
      </c>
      <c r="H402" s="77" t="str">
        <f aca="false">IF($Q402="","",PROPER(INDEX('Reguler Class Availability'!$I:$I,$Q402)&amp;"")&amp;IF(INDEX('Reguler Class Availability'!$J:$J,$Q402)&amp;""="",""," + asst "&amp;PROPER(INDEX('Reguler Class Availability'!$J:$J,$Q402)&amp;"")))</f>
        <v/>
      </c>
      <c r="I402" s="77" t="s">
        <v>485</v>
      </c>
      <c r="J402" s="77" t="s">
        <v>188</v>
      </c>
      <c r="K402" s="78"/>
      <c r="L402" s="78"/>
      <c r="M402" s="78"/>
      <c r="N402" s="79"/>
      <c r="O402" s="78"/>
      <c r="Q402" s="30" t="n">
        <f aca="false">IFERROR(MATCH($B$4&amp;"|- Lane "&amp;D402&amp;" - "&amp;B402&amp;"|"&amp;C402,'Reguler Class Availability'!$L:$L,0),"")</f>
        <v>2304</v>
      </c>
    </row>
    <row r="403" customFormat="false" ht="27.75" hidden="false" customHeight="true" outlineLevel="0" collapsed="false">
      <c r="A403" s="76" t="n">
        <v>277</v>
      </c>
      <c r="B403" s="77" t="s">
        <v>119</v>
      </c>
      <c r="C403" s="76" t="s">
        <v>126</v>
      </c>
      <c r="D403" s="76" t="n">
        <v>1</v>
      </c>
      <c r="E403" s="77" t="str">
        <f aca="false">IF($Q403="","Tidak ada di data",IF(AND(IFERROR(--(INDEX('Reguler Class Availability'!$F:$F,$Q403)&amp;""),0)=0,IFERROR(--(INDEX('Reguler Class Availability'!$G:$G,$Q403)&amp;""),0)=0),"Tutup",IF(IFERROR(--(INDEX('Reguler Class Availability'!$G:$G,$Q403)&amp;""),0)&gt;IFERROR(--(INDEX('Reguler Class Availability'!$F:$F,$Q403)&amp;""),0),"Lebih",IF(IFERROR(--(INDEX('Reguler Class Availability'!$G:$G,$Q403)&amp;""),0)=IFERROR(--(INDEX('Reguler Class Availability'!$F:$F,$Q403)&amp;""),0),"Penuh",IF(IFERROR(--(INDEX('Reguler Class Availability'!$G:$G,$Q403)&amp;""),0)=0,IF(INDEX('Reguler Class Availability'!$B:$B,$Q403)&amp;""="","Kosong","Belum terisi"),IF(IFERROR(--(INDEX('Reguler Class Availability'!$G:$G,$Q403)&amp;""),0)/IFERROR(--(INDEX('Reguler Class Availability'!$F:$F,$Q403)&amp;""),0)&gt;=0.6,"Tinggi","Sebagian"))))))</f>
        <v>Belum terisi</v>
      </c>
      <c r="F403" s="77" t="str">
        <f aca="false">IF($Q403="","",PROPER(INDEX('Reguler Class Availability'!$B:$B,$Q403)&amp;""))</f>
        <v>Baby</v>
      </c>
      <c r="G403" s="76" t="n">
        <f aca="false">IF($Q403="","",IFERROR(--(INDEX('Reguler Class Availability'!$F:$F,$Q403)&amp;""),0))</f>
        <v>5</v>
      </c>
      <c r="H403" s="77" t="str">
        <f aca="false">IF($Q403="","",PROPER(INDEX('Reguler Class Availability'!$I:$I,$Q403)&amp;"")&amp;IF(INDEX('Reguler Class Availability'!$J:$J,$Q403)&amp;""="",""," + asst "&amp;PROPER(INDEX('Reguler Class Availability'!$J:$J,$Q403)&amp;"")))</f>
        <v/>
      </c>
      <c r="I403" s="77" t="s">
        <v>480</v>
      </c>
      <c r="J403" s="77" t="s">
        <v>188</v>
      </c>
      <c r="K403" s="78"/>
      <c r="L403" s="78"/>
      <c r="M403" s="78"/>
      <c r="N403" s="79"/>
      <c r="O403" s="78"/>
      <c r="Q403" s="30" t="n">
        <f aca="false">IFERROR(MATCH($B$4&amp;"|- Lane "&amp;D403&amp;" - "&amp;B403&amp;"|"&amp;C403,'Reguler Class Availability'!$L:$L,0),"")</f>
        <v>1955</v>
      </c>
    </row>
    <row r="404" customFormat="false" ht="27.75" hidden="false" customHeight="true" outlineLevel="0" collapsed="false">
      <c r="A404" s="76" t="n">
        <v>278</v>
      </c>
      <c r="B404" s="77" t="s">
        <v>119</v>
      </c>
      <c r="C404" s="76" t="s">
        <v>126</v>
      </c>
      <c r="D404" s="76" t="n">
        <v>5</v>
      </c>
      <c r="E404" s="77" t="str">
        <f aca="false">IF($Q404="","Tidak ada di data",IF(AND(IFERROR(--(INDEX('Reguler Class Availability'!$F:$F,$Q404)&amp;""),0)=0,IFERROR(--(INDEX('Reguler Class Availability'!$G:$G,$Q404)&amp;""),0)=0),"Tutup",IF(IFERROR(--(INDEX('Reguler Class Availability'!$G:$G,$Q404)&amp;""),0)&gt;IFERROR(--(INDEX('Reguler Class Availability'!$F:$F,$Q404)&amp;""),0),"Lebih",IF(IFERROR(--(INDEX('Reguler Class Availability'!$G:$G,$Q404)&amp;""),0)=IFERROR(--(INDEX('Reguler Class Availability'!$F:$F,$Q404)&amp;""),0),"Penuh",IF(IFERROR(--(INDEX('Reguler Class Availability'!$G:$G,$Q404)&amp;""),0)=0,IF(INDEX('Reguler Class Availability'!$B:$B,$Q404)&amp;""="","Kosong","Belum terisi"),IF(IFERROR(--(INDEX('Reguler Class Availability'!$G:$G,$Q404)&amp;""),0)/IFERROR(--(INDEX('Reguler Class Availability'!$F:$F,$Q404)&amp;""),0)&gt;=0.6,"Tinggi","Sebagian"))))))</f>
        <v>Kosong</v>
      </c>
      <c r="F404" s="77" t="str">
        <f aca="false">IF($Q404="","",PROPER(INDEX('Reguler Class Availability'!$B:$B,$Q404)&amp;""))</f>
        <v/>
      </c>
      <c r="G404" s="76" t="n">
        <f aca="false">IF($Q404="","",IFERROR(--(INDEX('Reguler Class Availability'!$F:$F,$Q404)&amp;""),0))</f>
        <v>4</v>
      </c>
      <c r="H404" s="77" t="str">
        <f aca="false">IF($Q404="","",PROPER(INDEX('Reguler Class Availability'!$I:$I,$Q404)&amp;"")&amp;IF(INDEX('Reguler Class Availability'!$J:$J,$Q404)&amp;""="",""," + asst "&amp;PROPER(INDEX('Reguler Class Availability'!$J:$J,$Q404)&amp;"")))</f>
        <v/>
      </c>
      <c r="I404" s="77" t="s">
        <v>480</v>
      </c>
      <c r="J404" s="77" t="s">
        <v>188</v>
      </c>
      <c r="K404" s="78"/>
      <c r="L404" s="78"/>
      <c r="M404" s="78"/>
      <c r="N404" s="79"/>
      <c r="O404" s="78"/>
      <c r="Q404" s="30" t="n">
        <f aca="false">IFERROR(MATCH($B$4&amp;"|- Lane "&amp;D404&amp;" - "&amp;B404&amp;"|"&amp;C404,'Reguler Class Availability'!$L:$L,0),"")</f>
        <v>2305</v>
      </c>
    </row>
    <row r="405" customFormat="false" ht="52.5" hidden="false" customHeight="true" outlineLevel="0" collapsed="false">
      <c r="A405" s="76" t="n">
        <v>279</v>
      </c>
      <c r="B405" s="77" t="s">
        <v>119</v>
      </c>
      <c r="C405" s="76" t="s">
        <v>129</v>
      </c>
      <c r="D405" s="76" t="n">
        <v>1</v>
      </c>
      <c r="E405" s="77" t="str">
        <f aca="false">IF($Q405="","Tidak ada di data",IF(AND(IFERROR(--(INDEX('Reguler Class Availability'!$F:$F,$Q405)&amp;""),0)=0,IFERROR(--(INDEX('Reguler Class Availability'!$G:$G,$Q405)&amp;""),0)=0),"Tutup",IF(IFERROR(--(INDEX('Reguler Class Availability'!$G:$G,$Q405)&amp;""),0)&gt;IFERROR(--(INDEX('Reguler Class Availability'!$F:$F,$Q405)&amp;""),0),"Lebih",IF(IFERROR(--(INDEX('Reguler Class Availability'!$G:$G,$Q405)&amp;""),0)=IFERROR(--(INDEX('Reguler Class Availability'!$F:$F,$Q405)&amp;""),0),"Penuh",IF(IFERROR(--(INDEX('Reguler Class Availability'!$G:$G,$Q405)&amp;""),0)=0,IF(INDEX('Reguler Class Availability'!$B:$B,$Q405)&amp;""="","Kosong","Belum terisi"),IF(IFERROR(--(INDEX('Reguler Class Availability'!$G:$G,$Q405)&amp;""),0)/IFERROR(--(INDEX('Reguler Class Availability'!$F:$F,$Q405)&amp;""),0)&gt;=0.6,"Tinggi","Sebagian"))))))</f>
        <v>Belum terisi</v>
      </c>
      <c r="F405" s="77" t="str">
        <f aca="false">IF($Q405="","",PROPER(INDEX('Reguler Class Availability'!$B:$B,$Q405)&amp;""))</f>
        <v>Baby</v>
      </c>
      <c r="G405" s="76" t="n">
        <f aca="false">IF($Q405="","",IFERROR(--(INDEX('Reguler Class Availability'!$F:$F,$Q405)&amp;""),0))</f>
        <v>5</v>
      </c>
      <c r="H405" s="77" t="str">
        <f aca="false">IF($Q405="","",PROPER(INDEX('Reguler Class Availability'!$I:$I,$Q405)&amp;"")&amp;IF(INDEX('Reguler Class Availability'!$J:$J,$Q405)&amp;""="",""," + asst "&amp;PROPER(INDEX('Reguler Class Availability'!$J:$J,$Q405)&amp;"")))</f>
        <v/>
      </c>
      <c r="I405" s="77" t="s">
        <v>486</v>
      </c>
      <c r="J405" s="77" t="s">
        <v>188</v>
      </c>
      <c r="K405" s="78"/>
      <c r="L405" s="78"/>
      <c r="M405" s="78"/>
      <c r="N405" s="79"/>
      <c r="O405" s="78"/>
      <c r="Q405" s="30" t="n">
        <f aca="false">IFERROR(MATCH($B$4&amp;"|- Lane "&amp;D405&amp;" - "&amp;B405&amp;"|"&amp;C405,'Reguler Class Availability'!$L:$L,0),"")</f>
        <v>1956</v>
      </c>
    </row>
    <row r="406" customFormat="false" ht="52.5" hidden="false" customHeight="true" outlineLevel="0" collapsed="false">
      <c r="A406" s="76" t="n">
        <v>280</v>
      </c>
      <c r="B406" s="77" t="s">
        <v>119</v>
      </c>
      <c r="C406" s="76" t="s">
        <v>129</v>
      </c>
      <c r="D406" s="76" t="n">
        <v>2</v>
      </c>
      <c r="E406" s="77" t="str">
        <f aca="false">IF($Q406="","Tidak ada di data",IF(AND(IFERROR(--(INDEX('Reguler Class Availability'!$F:$F,$Q406)&amp;""),0)=0,IFERROR(--(INDEX('Reguler Class Availability'!$G:$G,$Q406)&amp;""),0)=0),"Tutup",IF(IFERROR(--(INDEX('Reguler Class Availability'!$G:$G,$Q406)&amp;""),0)&gt;IFERROR(--(INDEX('Reguler Class Availability'!$F:$F,$Q406)&amp;""),0),"Lebih",IF(IFERROR(--(INDEX('Reguler Class Availability'!$G:$G,$Q406)&amp;""),0)=IFERROR(--(INDEX('Reguler Class Availability'!$F:$F,$Q406)&amp;""),0),"Penuh",IF(IFERROR(--(INDEX('Reguler Class Availability'!$G:$G,$Q406)&amp;""),0)=0,IF(INDEX('Reguler Class Availability'!$B:$B,$Q406)&amp;""="","Kosong","Belum terisi"),IF(IFERROR(--(INDEX('Reguler Class Availability'!$G:$G,$Q406)&amp;""),0)/IFERROR(--(INDEX('Reguler Class Availability'!$F:$F,$Q406)&amp;""),0)&gt;=0.6,"Tinggi","Sebagian"))))))</f>
        <v>Belum terisi</v>
      </c>
      <c r="F406" s="77" t="str">
        <f aca="false">IF($Q406="","",PROPER(INDEX('Reguler Class Availability'!$B:$B,$Q406)&amp;""))</f>
        <v>Tiny</v>
      </c>
      <c r="G406" s="76" t="n">
        <f aca="false">IF($Q406="","",IFERROR(--(INDEX('Reguler Class Availability'!$F:$F,$Q406)&amp;""),0))</f>
        <v>5</v>
      </c>
      <c r="H406" s="77" t="str">
        <f aca="false">IF($Q406="","",PROPER(INDEX('Reguler Class Availability'!$I:$I,$Q406)&amp;"")&amp;IF(INDEX('Reguler Class Availability'!$J:$J,$Q406)&amp;""="",""," + asst "&amp;PROPER(INDEX('Reguler Class Availability'!$J:$J,$Q406)&amp;"")))</f>
        <v/>
      </c>
      <c r="I406" s="77" t="s">
        <v>486</v>
      </c>
      <c r="J406" s="77" t="s">
        <v>188</v>
      </c>
      <c r="K406" s="78"/>
      <c r="L406" s="78"/>
      <c r="M406" s="78"/>
      <c r="N406" s="79"/>
      <c r="O406" s="78"/>
      <c r="Q406" s="30" t="n">
        <f aca="false">IFERROR(MATCH($B$4&amp;"|- Lane "&amp;D406&amp;" - "&amp;B406&amp;"|"&amp;C406,'Reguler Class Availability'!$L:$L,0),"")</f>
        <v>2054</v>
      </c>
    </row>
    <row r="407" customFormat="false" ht="52.5" hidden="false" customHeight="true" outlineLevel="0" collapsed="false">
      <c r="A407" s="76" t="n">
        <v>281</v>
      </c>
      <c r="B407" s="77" t="s">
        <v>119</v>
      </c>
      <c r="C407" s="76" t="s">
        <v>129</v>
      </c>
      <c r="D407" s="76" t="n">
        <v>5</v>
      </c>
      <c r="E407" s="77" t="str">
        <f aca="false">IF($Q407="","Tidak ada di data",IF(AND(IFERROR(--(INDEX('Reguler Class Availability'!$F:$F,$Q407)&amp;""),0)=0,IFERROR(--(INDEX('Reguler Class Availability'!$G:$G,$Q407)&amp;""),0)=0),"Tutup",IF(IFERROR(--(INDEX('Reguler Class Availability'!$G:$G,$Q407)&amp;""),0)&gt;IFERROR(--(INDEX('Reguler Class Availability'!$F:$F,$Q407)&amp;""),0),"Lebih",IF(IFERROR(--(INDEX('Reguler Class Availability'!$G:$G,$Q407)&amp;""),0)=IFERROR(--(INDEX('Reguler Class Availability'!$F:$F,$Q407)&amp;""),0),"Penuh",IF(IFERROR(--(INDEX('Reguler Class Availability'!$G:$G,$Q407)&amp;""),0)=0,IF(INDEX('Reguler Class Availability'!$B:$B,$Q407)&amp;""="","Kosong","Belum terisi"),IF(IFERROR(--(INDEX('Reguler Class Availability'!$G:$G,$Q407)&amp;""),0)/IFERROR(--(INDEX('Reguler Class Availability'!$F:$F,$Q407)&amp;""),0)&gt;=0.6,"Tinggi","Sebagian"))))))</f>
        <v>Kosong</v>
      </c>
      <c r="F407" s="77" t="str">
        <f aca="false">IF($Q407="","",PROPER(INDEX('Reguler Class Availability'!$B:$B,$Q407)&amp;""))</f>
        <v/>
      </c>
      <c r="G407" s="76" t="n">
        <f aca="false">IF($Q407="","",IFERROR(--(INDEX('Reguler Class Availability'!$F:$F,$Q407)&amp;""),0))</f>
        <v>4</v>
      </c>
      <c r="H407" s="77" t="str">
        <f aca="false">IF($Q407="","",PROPER(INDEX('Reguler Class Availability'!$I:$I,$Q407)&amp;"")&amp;IF(INDEX('Reguler Class Availability'!$J:$J,$Q407)&amp;""="",""," + asst "&amp;PROPER(INDEX('Reguler Class Availability'!$J:$J,$Q407)&amp;"")))</f>
        <v/>
      </c>
      <c r="I407" s="77" t="s">
        <v>486</v>
      </c>
      <c r="J407" s="77" t="s">
        <v>188</v>
      </c>
      <c r="K407" s="78"/>
      <c r="L407" s="78"/>
      <c r="M407" s="78"/>
      <c r="N407" s="79"/>
      <c r="O407" s="78"/>
      <c r="Q407" s="30" t="n">
        <f aca="false">IFERROR(MATCH($B$4&amp;"|- Lane "&amp;D407&amp;" - "&amp;B407&amp;"|"&amp;C407,'Reguler Class Availability'!$L:$L,0),"")</f>
        <v>2306</v>
      </c>
    </row>
    <row r="408" customFormat="false" ht="52.5" hidden="false" customHeight="true" outlineLevel="0" collapsed="false">
      <c r="A408" s="76" t="n">
        <v>282</v>
      </c>
      <c r="B408" s="77" t="s">
        <v>119</v>
      </c>
      <c r="C408" s="76" t="s">
        <v>130</v>
      </c>
      <c r="D408" s="76" t="n">
        <v>3</v>
      </c>
      <c r="E408" s="77" t="str">
        <f aca="false">IF($Q408="","Tidak ada di data",IF(AND(IFERROR(--(INDEX('Reguler Class Availability'!$F:$F,$Q408)&amp;""),0)=0,IFERROR(--(INDEX('Reguler Class Availability'!$G:$G,$Q408)&amp;""),0)=0),"Tutup",IF(IFERROR(--(INDEX('Reguler Class Availability'!$G:$G,$Q408)&amp;""),0)&gt;IFERROR(--(INDEX('Reguler Class Availability'!$F:$F,$Q408)&amp;""),0),"Lebih",IF(IFERROR(--(INDEX('Reguler Class Availability'!$G:$G,$Q408)&amp;""),0)=IFERROR(--(INDEX('Reguler Class Availability'!$F:$F,$Q408)&amp;""),0),"Penuh",IF(IFERROR(--(INDEX('Reguler Class Availability'!$G:$G,$Q408)&amp;""),0)=0,IF(INDEX('Reguler Class Availability'!$B:$B,$Q408)&amp;""="","Kosong","Belum terisi"),IF(IFERROR(--(INDEX('Reguler Class Availability'!$G:$G,$Q408)&amp;""),0)/IFERROR(--(INDEX('Reguler Class Availability'!$F:$F,$Q408)&amp;""),0)&gt;=0.6,"Tinggi","Sebagian"))))))</f>
        <v>Belum terisi</v>
      </c>
      <c r="F408" s="77" t="str">
        <f aca="false">IF($Q408="","",PROPER(INDEX('Reguler Class Availability'!$B:$B,$Q408)&amp;""))</f>
        <v>Little</v>
      </c>
      <c r="G408" s="76" t="n">
        <f aca="false">IF($Q408="","",IFERROR(--(INDEX('Reguler Class Availability'!$F:$F,$Q408)&amp;""),0))</f>
        <v>4</v>
      </c>
      <c r="H408" s="77" t="str">
        <f aca="false">IF($Q408="","",PROPER(INDEX('Reguler Class Availability'!$I:$I,$Q408)&amp;"")&amp;IF(INDEX('Reguler Class Availability'!$J:$J,$Q408)&amp;""="",""," + asst "&amp;PROPER(INDEX('Reguler Class Availability'!$J:$J,$Q408)&amp;"")))</f>
        <v/>
      </c>
      <c r="I408" s="77" t="s">
        <v>487</v>
      </c>
      <c r="J408" s="77" t="s">
        <v>188</v>
      </c>
      <c r="K408" s="78"/>
      <c r="L408" s="78"/>
      <c r="M408" s="78"/>
      <c r="N408" s="79"/>
      <c r="O408" s="78"/>
      <c r="Q408" s="30" t="n">
        <f aca="false">IFERROR(MATCH($B$4&amp;"|- Lane "&amp;D408&amp;" - "&amp;B408&amp;"|"&amp;C408,'Reguler Class Availability'!$L:$L,0),"")</f>
        <v>2138</v>
      </c>
    </row>
    <row r="409" customFormat="false" ht="52.5" hidden="false" customHeight="true" outlineLevel="0" collapsed="false">
      <c r="A409" s="76" t="n">
        <v>283</v>
      </c>
      <c r="B409" s="77" t="s">
        <v>119</v>
      </c>
      <c r="C409" s="76" t="s">
        <v>130</v>
      </c>
      <c r="D409" s="76" t="n">
        <v>4</v>
      </c>
      <c r="E409" s="77" t="str">
        <f aca="false">IF($Q409="","Tidak ada di data",IF(AND(IFERROR(--(INDEX('Reguler Class Availability'!$F:$F,$Q409)&amp;""),0)=0,IFERROR(--(INDEX('Reguler Class Availability'!$G:$G,$Q409)&amp;""),0)=0),"Tutup",IF(IFERROR(--(INDEX('Reguler Class Availability'!$G:$G,$Q409)&amp;""),0)&gt;IFERROR(--(INDEX('Reguler Class Availability'!$F:$F,$Q409)&amp;""),0),"Lebih",IF(IFERROR(--(INDEX('Reguler Class Availability'!$G:$G,$Q409)&amp;""),0)=IFERROR(--(INDEX('Reguler Class Availability'!$F:$F,$Q409)&amp;""),0),"Penuh",IF(IFERROR(--(INDEX('Reguler Class Availability'!$G:$G,$Q409)&amp;""),0)=0,IF(INDEX('Reguler Class Availability'!$B:$B,$Q409)&amp;""="","Kosong","Belum terisi"),IF(IFERROR(--(INDEX('Reguler Class Availability'!$G:$G,$Q409)&amp;""),0)/IFERROR(--(INDEX('Reguler Class Availability'!$F:$F,$Q409)&amp;""),0)&gt;=0.6,"Tinggi","Sebagian"))))))</f>
        <v>Belum terisi</v>
      </c>
      <c r="F409" s="77" t="str">
        <f aca="false">IF($Q409="","",PROPER(INDEX('Reguler Class Availability'!$B:$B,$Q409)&amp;""))</f>
        <v>Kids</v>
      </c>
      <c r="G409" s="76" t="n">
        <f aca="false">IF($Q409="","",IFERROR(--(INDEX('Reguler Class Availability'!$F:$F,$Q409)&amp;""),0))</f>
        <v>4</v>
      </c>
      <c r="H409" s="77" t="str">
        <f aca="false">IF($Q409="","",PROPER(INDEX('Reguler Class Availability'!$I:$I,$Q409)&amp;"")&amp;IF(INDEX('Reguler Class Availability'!$J:$J,$Q409)&amp;""="",""," + asst "&amp;PROPER(INDEX('Reguler Class Availability'!$J:$J,$Q409)&amp;"")))</f>
        <v/>
      </c>
      <c r="I409" s="77" t="s">
        <v>487</v>
      </c>
      <c r="J409" s="77" t="s">
        <v>188</v>
      </c>
      <c r="K409" s="78"/>
      <c r="L409" s="78"/>
      <c r="M409" s="78"/>
      <c r="N409" s="79"/>
      <c r="O409" s="78"/>
      <c r="Q409" s="30" t="n">
        <f aca="false">IFERROR(MATCH($B$4&amp;"|- Lane "&amp;D409&amp;" - "&amp;B409&amp;"|"&amp;C409,'Reguler Class Availability'!$L:$L,0),"")</f>
        <v>2222</v>
      </c>
    </row>
    <row r="410" customFormat="false" ht="52.5" hidden="false" customHeight="true" outlineLevel="0" collapsed="false">
      <c r="A410" s="76" t="n">
        <v>284</v>
      </c>
      <c r="B410" s="77" t="s">
        <v>119</v>
      </c>
      <c r="C410" s="76" t="s">
        <v>132</v>
      </c>
      <c r="D410" s="76" t="n">
        <v>2</v>
      </c>
      <c r="E410" s="77" t="str">
        <f aca="false">IF($Q410="","Tidak ada di data",IF(AND(IFERROR(--(INDEX('Reguler Class Availability'!$F:$F,$Q410)&amp;""),0)=0,IFERROR(--(INDEX('Reguler Class Availability'!$G:$G,$Q410)&amp;""),0)=0),"Tutup",IF(IFERROR(--(INDEX('Reguler Class Availability'!$G:$G,$Q410)&amp;""),0)&gt;IFERROR(--(INDEX('Reguler Class Availability'!$F:$F,$Q410)&amp;""),0),"Lebih",IF(IFERROR(--(INDEX('Reguler Class Availability'!$G:$G,$Q410)&amp;""),0)=IFERROR(--(INDEX('Reguler Class Availability'!$F:$F,$Q410)&amp;""),0),"Penuh",IF(IFERROR(--(INDEX('Reguler Class Availability'!$G:$G,$Q410)&amp;""),0)=0,IF(INDEX('Reguler Class Availability'!$B:$B,$Q410)&amp;""="","Kosong","Belum terisi"),IF(IFERROR(--(INDEX('Reguler Class Availability'!$G:$G,$Q410)&amp;""),0)/IFERROR(--(INDEX('Reguler Class Availability'!$F:$F,$Q410)&amp;""),0)&gt;=0.6,"Tinggi","Sebagian"))))))</f>
        <v>Belum terisi</v>
      </c>
      <c r="F410" s="77" t="str">
        <f aca="false">IF($Q410="","",PROPER(INDEX('Reguler Class Availability'!$B:$B,$Q410)&amp;""))</f>
        <v>Tiny</v>
      </c>
      <c r="G410" s="76" t="n">
        <f aca="false">IF($Q410="","",IFERROR(--(INDEX('Reguler Class Availability'!$F:$F,$Q410)&amp;""),0))</f>
        <v>5</v>
      </c>
      <c r="H410" s="77" t="str">
        <f aca="false">IF($Q410="","",PROPER(INDEX('Reguler Class Availability'!$I:$I,$Q410)&amp;"")&amp;IF(INDEX('Reguler Class Availability'!$J:$J,$Q410)&amp;""="",""," + asst "&amp;PROPER(INDEX('Reguler Class Availability'!$J:$J,$Q410)&amp;"")))</f>
        <v/>
      </c>
      <c r="I410" s="77" t="s">
        <v>487</v>
      </c>
      <c r="J410" s="77" t="s">
        <v>188</v>
      </c>
      <c r="K410" s="78"/>
      <c r="L410" s="78"/>
      <c r="M410" s="78"/>
      <c r="N410" s="79"/>
      <c r="O410" s="78"/>
      <c r="Q410" s="30" t="n">
        <f aca="false">IFERROR(MATCH($B$4&amp;"|- Lane "&amp;D410&amp;" - "&amp;B410&amp;"|"&amp;C410,'Reguler Class Availability'!$L:$L,0),"")</f>
        <v>2055</v>
      </c>
    </row>
    <row r="411" customFormat="false" ht="52.5" hidden="false" customHeight="true" outlineLevel="0" collapsed="false">
      <c r="A411" s="76" t="n">
        <v>285</v>
      </c>
      <c r="B411" s="77" t="s">
        <v>119</v>
      </c>
      <c r="C411" s="76" t="s">
        <v>132</v>
      </c>
      <c r="D411" s="76" t="n">
        <v>5</v>
      </c>
      <c r="E411" s="77" t="str">
        <f aca="false">IF($Q411="","Tidak ada di data",IF(AND(IFERROR(--(INDEX('Reguler Class Availability'!$F:$F,$Q411)&amp;""),0)=0,IFERROR(--(INDEX('Reguler Class Availability'!$G:$G,$Q411)&amp;""),0)=0),"Tutup",IF(IFERROR(--(INDEX('Reguler Class Availability'!$G:$G,$Q411)&amp;""),0)&gt;IFERROR(--(INDEX('Reguler Class Availability'!$F:$F,$Q411)&amp;""),0),"Lebih",IF(IFERROR(--(INDEX('Reguler Class Availability'!$G:$G,$Q411)&amp;""),0)=IFERROR(--(INDEX('Reguler Class Availability'!$F:$F,$Q411)&amp;""),0),"Penuh",IF(IFERROR(--(INDEX('Reguler Class Availability'!$G:$G,$Q411)&amp;""),0)=0,IF(INDEX('Reguler Class Availability'!$B:$B,$Q411)&amp;""="","Kosong","Belum terisi"),IF(IFERROR(--(INDEX('Reguler Class Availability'!$G:$G,$Q411)&amp;""),0)/IFERROR(--(INDEX('Reguler Class Availability'!$F:$F,$Q411)&amp;""),0)&gt;=0.6,"Tinggi","Sebagian"))))))</f>
        <v>Kosong</v>
      </c>
      <c r="F411" s="77" t="str">
        <f aca="false">IF($Q411="","",PROPER(INDEX('Reguler Class Availability'!$B:$B,$Q411)&amp;""))</f>
        <v/>
      </c>
      <c r="G411" s="76" t="n">
        <f aca="false">IF($Q411="","",IFERROR(--(INDEX('Reguler Class Availability'!$F:$F,$Q411)&amp;""),0))</f>
        <v>4</v>
      </c>
      <c r="H411" s="77" t="str">
        <f aca="false">IF($Q411="","",PROPER(INDEX('Reguler Class Availability'!$I:$I,$Q411)&amp;"")&amp;IF(INDEX('Reguler Class Availability'!$J:$J,$Q411)&amp;""="",""," + asst "&amp;PROPER(INDEX('Reguler Class Availability'!$J:$J,$Q411)&amp;"")))</f>
        <v/>
      </c>
      <c r="I411" s="77" t="s">
        <v>487</v>
      </c>
      <c r="J411" s="77" t="s">
        <v>188</v>
      </c>
      <c r="K411" s="78"/>
      <c r="L411" s="78"/>
      <c r="M411" s="78"/>
      <c r="N411" s="79"/>
      <c r="O411" s="78"/>
      <c r="Q411" s="30" t="n">
        <f aca="false">IFERROR(MATCH($B$4&amp;"|- Lane "&amp;D411&amp;" - "&amp;B411&amp;"|"&amp;C411,'Reguler Class Availability'!$L:$L,0),"")</f>
        <v>2307</v>
      </c>
    </row>
    <row r="412" customFormat="false" ht="52.5" hidden="false" customHeight="true" outlineLevel="0" collapsed="false">
      <c r="A412" s="76" t="n">
        <v>286</v>
      </c>
      <c r="B412" s="77" t="s">
        <v>119</v>
      </c>
      <c r="C412" s="76" t="s">
        <v>133</v>
      </c>
      <c r="D412" s="76" t="n">
        <v>3</v>
      </c>
      <c r="E412" s="77" t="str">
        <f aca="false">IF($Q412="","Tidak ada di data",IF(AND(IFERROR(--(INDEX('Reguler Class Availability'!$F:$F,$Q412)&amp;""),0)=0,IFERROR(--(INDEX('Reguler Class Availability'!$G:$G,$Q412)&amp;""),0)=0),"Tutup",IF(IFERROR(--(INDEX('Reguler Class Availability'!$G:$G,$Q412)&amp;""),0)&gt;IFERROR(--(INDEX('Reguler Class Availability'!$F:$F,$Q412)&amp;""),0),"Lebih",IF(IFERROR(--(INDEX('Reguler Class Availability'!$G:$G,$Q412)&amp;""),0)=IFERROR(--(INDEX('Reguler Class Availability'!$F:$F,$Q412)&amp;""),0),"Penuh",IF(IFERROR(--(INDEX('Reguler Class Availability'!$G:$G,$Q412)&amp;""),0)=0,IF(INDEX('Reguler Class Availability'!$B:$B,$Q412)&amp;""="","Kosong","Belum terisi"),IF(IFERROR(--(INDEX('Reguler Class Availability'!$G:$G,$Q412)&amp;""),0)/IFERROR(--(INDEX('Reguler Class Availability'!$F:$F,$Q412)&amp;""),0)&gt;=0.6,"Tinggi","Sebagian"))))))</f>
        <v>Belum terisi</v>
      </c>
      <c r="F412" s="77" t="str">
        <f aca="false">IF($Q412="","",PROPER(INDEX('Reguler Class Availability'!$B:$B,$Q412)&amp;""))</f>
        <v>Little</v>
      </c>
      <c r="G412" s="76" t="n">
        <f aca="false">IF($Q412="","",IFERROR(--(INDEX('Reguler Class Availability'!$F:$F,$Q412)&amp;""),0))</f>
        <v>4</v>
      </c>
      <c r="H412" s="77" t="str">
        <f aca="false">IF($Q412="","",PROPER(INDEX('Reguler Class Availability'!$I:$I,$Q412)&amp;"")&amp;IF(INDEX('Reguler Class Availability'!$J:$J,$Q412)&amp;""="",""," + asst "&amp;PROPER(INDEX('Reguler Class Availability'!$J:$J,$Q412)&amp;"")))</f>
        <v/>
      </c>
      <c r="I412" s="77" t="s">
        <v>487</v>
      </c>
      <c r="J412" s="77" t="s">
        <v>188</v>
      </c>
      <c r="K412" s="78"/>
      <c r="L412" s="78"/>
      <c r="M412" s="78"/>
      <c r="N412" s="79"/>
      <c r="O412" s="78"/>
      <c r="Q412" s="30" t="n">
        <f aca="false">IFERROR(MATCH($B$4&amp;"|- Lane "&amp;D412&amp;" - "&amp;B412&amp;"|"&amp;C412,'Reguler Class Availability'!$L:$L,0),"")</f>
        <v>2139</v>
      </c>
    </row>
    <row r="413" customFormat="false" ht="52.5" hidden="false" customHeight="true" outlineLevel="0" collapsed="false">
      <c r="A413" s="76" t="n">
        <v>287</v>
      </c>
      <c r="B413" s="77" t="s">
        <v>119</v>
      </c>
      <c r="C413" s="76" t="s">
        <v>133</v>
      </c>
      <c r="D413" s="76" t="n">
        <v>4</v>
      </c>
      <c r="E413" s="77" t="str">
        <f aca="false">IF($Q413="","Tidak ada di data",IF(AND(IFERROR(--(INDEX('Reguler Class Availability'!$F:$F,$Q413)&amp;""),0)=0,IFERROR(--(INDEX('Reguler Class Availability'!$G:$G,$Q413)&amp;""),0)=0),"Tutup",IF(IFERROR(--(INDEX('Reguler Class Availability'!$G:$G,$Q413)&amp;""),0)&gt;IFERROR(--(INDEX('Reguler Class Availability'!$F:$F,$Q413)&amp;""),0),"Lebih",IF(IFERROR(--(INDEX('Reguler Class Availability'!$G:$G,$Q413)&amp;""),0)=IFERROR(--(INDEX('Reguler Class Availability'!$F:$F,$Q413)&amp;""),0),"Penuh",IF(IFERROR(--(INDEX('Reguler Class Availability'!$G:$G,$Q413)&amp;""),0)=0,IF(INDEX('Reguler Class Availability'!$B:$B,$Q413)&amp;""="","Kosong","Belum terisi"),IF(IFERROR(--(INDEX('Reguler Class Availability'!$G:$G,$Q413)&amp;""),0)/IFERROR(--(INDEX('Reguler Class Availability'!$F:$F,$Q413)&amp;""),0)&gt;=0.6,"Tinggi","Sebagian"))))))</f>
        <v>Belum terisi</v>
      </c>
      <c r="F413" s="77" t="str">
        <f aca="false">IF($Q413="","",PROPER(INDEX('Reguler Class Availability'!$B:$B,$Q413)&amp;""))</f>
        <v>Kids</v>
      </c>
      <c r="G413" s="76" t="n">
        <f aca="false">IF($Q413="","",IFERROR(--(INDEX('Reguler Class Availability'!$F:$F,$Q413)&amp;""),0))</f>
        <v>4</v>
      </c>
      <c r="H413" s="77" t="str">
        <f aca="false">IF($Q413="","",PROPER(INDEX('Reguler Class Availability'!$I:$I,$Q413)&amp;"")&amp;IF(INDEX('Reguler Class Availability'!$J:$J,$Q413)&amp;""="",""," + asst "&amp;PROPER(INDEX('Reguler Class Availability'!$J:$J,$Q413)&amp;"")))</f>
        <v/>
      </c>
      <c r="I413" s="77" t="s">
        <v>487</v>
      </c>
      <c r="J413" s="77" t="s">
        <v>188</v>
      </c>
      <c r="K413" s="78"/>
      <c r="L413" s="78"/>
      <c r="M413" s="78"/>
      <c r="N413" s="79"/>
      <c r="O413" s="78"/>
      <c r="Q413" s="30" t="n">
        <f aca="false">IFERROR(MATCH($B$4&amp;"|- Lane "&amp;D413&amp;" - "&amp;B413&amp;"|"&amp;C413,'Reguler Class Availability'!$L:$L,0),"")</f>
        <v>2223</v>
      </c>
    </row>
    <row r="414" customFormat="false" ht="52.5" hidden="false" customHeight="true" outlineLevel="0" collapsed="false">
      <c r="A414" s="76" t="n">
        <v>288</v>
      </c>
      <c r="B414" s="77" t="s">
        <v>119</v>
      </c>
      <c r="C414" s="76" t="s">
        <v>139</v>
      </c>
      <c r="D414" s="76" t="n">
        <v>2</v>
      </c>
      <c r="E414" s="77" t="str">
        <f aca="false">IF($Q414="","Tidak ada di data",IF(AND(IFERROR(--(INDEX('Reguler Class Availability'!$F:$F,$Q414)&amp;""),0)=0,IFERROR(--(INDEX('Reguler Class Availability'!$G:$G,$Q414)&amp;""),0)=0),"Tutup",IF(IFERROR(--(INDEX('Reguler Class Availability'!$G:$G,$Q414)&amp;""),0)&gt;IFERROR(--(INDEX('Reguler Class Availability'!$F:$F,$Q414)&amp;""),0),"Lebih",IF(IFERROR(--(INDEX('Reguler Class Availability'!$G:$G,$Q414)&amp;""),0)=IFERROR(--(INDEX('Reguler Class Availability'!$F:$F,$Q414)&amp;""),0),"Penuh",IF(IFERROR(--(INDEX('Reguler Class Availability'!$G:$G,$Q414)&amp;""),0)=0,IF(INDEX('Reguler Class Availability'!$B:$B,$Q414)&amp;""="","Kosong","Belum terisi"),IF(IFERROR(--(INDEX('Reguler Class Availability'!$G:$G,$Q414)&amp;""),0)/IFERROR(--(INDEX('Reguler Class Availability'!$F:$F,$Q414)&amp;""),0)&gt;=0.6,"Tinggi","Sebagian"))))))</f>
        <v>Belum terisi</v>
      </c>
      <c r="F414" s="77" t="str">
        <f aca="false">IF($Q414="","",PROPER(INDEX('Reguler Class Availability'!$B:$B,$Q414)&amp;""))</f>
        <v>Tiny</v>
      </c>
      <c r="G414" s="76" t="n">
        <f aca="false">IF($Q414="","",IFERROR(--(INDEX('Reguler Class Availability'!$F:$F,$Q414)&amp;""),0))</f>
        <v>5</v>
      </c>
      <c r="H414" s="77" t="str">
        <f aca="false">IF($Q414="","",PROPER(INDEX('Reguler Class Availability'!$I:$I,$Q414)&amp;"")&amp;IF(INDEX('Reguler Class Availability'!$J:$J,$Q414)&amp;""="",""," + asst "&amp;PROPER(INDEX('Reguler Class Availability'!$J:$J,$Q414)&amp;"")))</f>
        <v/>
      </c>
      <c r="I414" s="77" t="s">
        <v>488</v>
      </c>
      <c r="J414" s="77" t="s">
        <v>188</v>
      </c>
      <c r="K414" s="78"/>
      <c r="L414" s="78"/>
      <c r="M414" s="78"/>
      <c r="N414" s="79"/>
      <c r="O414" s="78"/>
      <c r="Q414" s="30" t="n">
        <f aca="false">IFERROR(MATCH($B$4&amp;"|- Lane "&amp;D414&amp;" - "&amp;B414&amp;"|"&amp;C414,'Reguler Class Availability'!$L:$L,0),"")</f>
        <v>2056</v>
      </c>
    </row>
    <row r="415" customFormat="false" ht="52.5" hidden="false" customHeight="true" outlineLevel="0" collapsed="false">
      <c r="A415" s="76" t="n">
        <v>289</v>
      </c>
      <c r="B415" s="77" t="s">
        <v>119</v>
      </c>
      <c r="C415" s="76" t="s">
        <v>139</v>
      </c>
      <c r="D415" s="76" t="n">
        <v>5</v>
      </c>
      <c r="E415" s="77" t="str">
        <f aca="false">IF($Q415="","Tidak ada di data",IF(AND(IFERROR(--(INDEX('Reguler Class Availability'!$F:$F,$Q415)&amp;""),0)=0,IFERROR(--(INDEX('Reguler Class Availability'!$G:$G,$Q415)&amp;""),0)=0),"Tutup",IF(IFERROR(--(INDEX('Reguler Class Availability'!$G:$G,$Q415)&amp;""),0)&gt;IFERROR(--(INDEX('Reguler Class Availability'!$F:$F,$Q415)&amp;""),0),"Lebih",IF(IFERROR(--(INDEX('Reguler Class Availability'!$G:$G,$Q415)&amp;""),0)=IFERROR(--(INDEX('Reguler Class Availability'!$F:$F,$Q415)&amp;""),0),"Penuh",IF(IFERROR(--(INDEX('Reguler Class Availability'!$G:$G,$Q415)&amp;""),0)=0,IF(INDEX('Reguler Class Availability'!$B:$B,$Q415)&amp;""="","Kosong","Belum terisi"),IF(IFERROR(--(INDEX('Reguler Class Availability'!$G:$G,$Q415)&amp;""),0)/IFERROR(--(INDEX('Reguler Class Availability'!$F:$F,$Q415)&amp;""),0)&gt;=0.6,"Tinggi","Sebagian"))))))</f>
        <v>Kosong</v>
      </c>
      <c r="F415" s="77" t="str">
        <f aca="false">IF($Q415="","",PROPER(INDEX('Reguler Class Availability'!$B:$B,$Q415)&amp;""))</f>
        <v/>
      </c>
      <c r="G415" s="76" t="n">
        <f aca="false">IF($Q415="","",IFERROR(--(INDEX('Reguler Class Availability'!$F:$F,$Q415)&amp;""),0))</f>
        <v>4</v>
      </c>
      <c r="H415" s="77" t="str">
        <f aca="false">IF($Q415="","",PROPER(INDEX('Reguler Class Availability'!$I:$I,$Q415)&amp;"")&amp;IF(INDEX('Reguler Class Availability'!$J:$J,$Q415)&amp;""="",""," + asst "&amp;PROPER(INDEX('Reguler Class Availability'!$J:$J,$Q415)&amp;"")))</f>
        <v/>
      </c>
      <c r="I415" s="77" t="s">
        <v>488</v>
      </c>
      <c r="J415" s="77" t="s">
        <v>188</v>
      </c>
      <c r="K415" s="78"/>
      <c r="L415" s="78"/>
      <c r="M415" s="78"/>
      <c r="N415" s="79"/>
      <c r="O415" s="78"/>
      <c r="Q415" s="30" t="n">
        <f aca="false">IFERROR(MATCH($B$4&amp;"|- Lane "&amp;D415&amp;" - "&amp;B415&amp;"|"&amp;C415,'Reguler Class Availability'!$L:$L,0),"")</f>
        <v>2308</v>
      </c>
    </row>
    <row r="416" customFormat="false" ht="52.5" hidden="false" customHeight="true" outlineLevel="0" collapsed="false">
      <c r="A416" s="76" t="n">
        <v>290</v>
      </c>
      <c r="B416" s="77" t="s">
        <v>119</v>
      </c>
      <c r="C416" s="76" t="s">
        <v>141</v>
      </c>
      <c r="D416" s="76" t="n">
        <v>3</v>
      </c>
      <c r="E416" s="77" t="str">
        <f aca="false">IF($Q416="","Tidak ada di data",IF(AND(IFERROR(--(INDEX('Reguler Class Availability'!$F:$F,$Q416)&amp;""),0)=0,IFERROR(--(INDEX('Reguler Class Availability'!$G:$G,$Q416)&amp;""),0)=0),"Tutup",IF(IFERROR(--(INDEX('Reguler Class Availability'!$G:$G,$Q416)&amp;""),0)&gt;IFERROR(--(INDEX('Reguler Class Availability'!$F:$F,$Q416)&amp;""),0),"Lebih",IF(IFERROR(--(INDEX('Reguler Class Availability'!$G:$G,$Q416)&amp;""),0)=IFERROR(--(INDEX('Reguler Class Availability'!$F:$F,$Q416)&amp;""),0),"Penuh",IF(IFERROR(--(INDEX('Reguler Class Availability'!$G:$G,$Q416)&amp;""),0)=0,IF(INDEX('Reguler Class Availability'!$B:$B,$Q416)&amp;""="","Kosong","Belum terisi"),IF(IFERROR(--(INDEX('Reguler Class Availability'!$G:$G,$Q416)&amp;""),0)/IFERROR(--(INDEX('Reguler Class Availability'!$F:$F,$Q416)&amp;""),0)&gt;=0.6,"Tinggi","Sebagian"))))))</f>
        <v>Belum terisi</v>
      </c>
      <c r="F416" s="77" t="str">
        <f aca="false">IF($Q416="","",PROPER(INDEX('Reguler Class Availability'!$B:$B,$Q416)&amp;""))</f>
        <v>Little</v>
      </c>
      <c r="G416" s="76" t="n">
        <f aca="false">IF($Q416="","",IFERROR(--(INDEX('Reguler Class Availability'!$F:$F,$Q416)&amp;""),0))</f>
        <v>4</v>
      </c>
      <c r="H416" s="77" t="str">
        <f aca="false">IF($Q416="","",PROPER(INDEX('Reguler Class Availability'!$I:$I,$Q416)&amp;"")&amp;IF(INDEX('Reguler Class Availability'!$J:$J,$Q416)&amp;""="",""," + asst "&amp;PROPER(INDEX('Reguler Class Availability'!$J:$J,$Q416)&amp;"")))</f>
        <v/>
      </c>
      <c r="I416" s="77" t="s">
        <v>488</v>
      </c>
      <c r="J416" s="77" t="s">
        <v>188</v>
      </c>
      <c r="K416" s="78"/>
      <c r="L416" s="78"/>
      <c r="M416" s="78"/>
      <c r="N416" s="79"/>
      <c r="O416" s="78"/>
      <c r="Q416" s="30" t="n">
        <f aca="false">IFERROR(MATCH($B$4&amp;"|- Lane "&amp;D416&amp;" - "&amp;B416&amp;"|"&amp;C416,'Reguler Class Availability'!$L:$L,0),"")</f>
        <v>2140</v>
      </c>
    </row>
    <row r="417" customFormat="false" ht="52.5" hidden="false" customHeight="true" outlineLevel="0" collapsed="false">
      <c r="A417" s="76" t="n">
        <v>291</v>
      </c>
      <c r="B417" s="77" t="s">
        <v>119</v>
      </c>
      <c r="C417" s="76" t="s">
        <v>141</v>
      </c>
      <c r="D417" s="76" t="n">
        <v>4</v>
      </c>
      <c r="E417" s="77" t="str">
        <f aca="false">IF($Q417="","Tidak ada di data",IF(AND(IFERROR(--(INDEX('Reguler Class Availability'!$F:$F,$Q417)&amp;""),0)=0,IFERROR(--(INDEX('Reguler Class Availability'!$G:$G,$Q417)&amp;""),0)=0),"Tutup",IF(IFERROR(--(INDEX('Reguler Class Availability'!$G:$G,$Q417)&amp;""),0)&gt;IFERROR(--(INDEX('Reguler Class Availability'!$F:$F,$Q417)&amp;""),0),"Lebih",IF(IFERROR(--(INDEX('Reguler Class Availability'!$G:$G,$Q417)&amp;""),0)=IFERROR(--(INDEX('Reguler Class Availability'!$F:$F,$Q417)&amp;""),0),"Penuh",IF(IFERROR(--(INDEX('Reguler Class Availability'!$G:$G,$Q417)&amp;""),0)=0,IF(INDEX('Reguler Class Availability'!$B:$B,$Q417)&amp;""="","Kosong","Belum terisi"),IF(IFERROR(--(INDEX('Reguler Class Availability'!$G:$G,$Q417)&amp;""),0)/IFERROR(--(INDEX('Reguler Class Availability'!$F:$F,$Q417)&amp;""),0)&gt;=0.6,"Tinggi","Sebagian"))))))</f>
        <v>Belum terisi</v>
      </c>
      <c r="F417" s="77" t="str">
        <f aca="false">IF($Q417="","",PROPER(INDEX('Reguler Class Availability'!$B:$B,$Q417)&amp;""))</f>
        <v>Kids</v>
      </c>
      <c r="G417" s="76" t="n">
        <f aca="false">IF($Q417="","",IFERROR(--(INDEX('Reguler Class Availability'!$F:$F,$Q417)&amp;""),0))</f>
        <v>4</v>
      </c>
      <c r="H417" s="77" t="str">
        <f aca="false">IF($Q417="","",PROPER(INDEX('Reguler Class Availability'!$I:$I,$Q417)&amp;"")&amp;IF(INDEX('Reguler Class Availability'!$J:$J,$Q417)&amp;""="",""," + asst "&amp;PROPER(INDEX('Reguler Class Availability'!$J:$J,$Q417)&amp;"")))</f>
        <v/>
      </c>
      <c r="I417" s="77" t="s">
        <v>488</v>
      </c>
      <c r="J417" s="77" t="s">
        <v>188</v>
      </c>
      <c r="K417" s="78"/>
      <c r="L417" s="78"/>
      <c r="M417" s="78"/>
      <c r="N417" s="79"/>
      <c r="O417" s="78"/>
      <c r="Q417" s="30" t="n">
        <f aca="false">IFERROR(MATCH($B$4&amp;"|- Lane "&amp;D417&amp;" - "&amp;B417&amp;"|"&amp;C417,'Reguler Class Availability'!$L:$L,0),"")</f>
        <v>2224</v>
      </c>
    </row>
    <row r="418" customFormat="false" ht="52.5" hidden="false" customHeight="true" outlineLevel="0" collapsed="false">
      <c r="A418" s="76" t="n">
        <v>292</v>
      </c>
      <c r="B418" s="77" t="s">
        <v>119</v>
      </c>
      <c r="C418" s="76" t="s">
        <v>143</v>
      </c>
      <c r="D418" s="76" t="n">
        <v>1</v>
      </c>
      <c r="E418" s="77" t="str">
        <f aca="false">IF($Q418="","Tidak ada di data",IF(AND(IFERROR(--(INDEX('Reguler Class Availability'!$F:$F,$Q418)&amp;""),0)=0,IFERROR(--(INDEX('Reguler Class Availability'!$G:$G,$Q418)&amp;""),0)=0),"Tutup",IF(IFERROR(--(INDEX('Reguler Class Availability'!$G:$G,$Q418)&amp;""),0)&gt;IFERROR(--(INDEX('Reguler Class Availability'!$F:$F,$Q418)&amp;""),0),"Lebih",IF(IFERROR(--(INDEX('Reguler Class Availability'!$G:$G,$Q418)&amp;""),0)=IFERROR(--(INDEX('Reguler Class Availability'!$F:$F,$Q418)&amp;""),0),"Penuh",IF(IFERROR(--(INDEX('Reguler Class Availability'!$G:$G,$Q418)&amp;""),0)=0,IF(INDEX('Reguler Class Availability'!$B:$B,$Q418)&amp;""="","Kosong","Belum terisi"),IF(IFERROR(--(INDEX('Reguler Class Availability'!$G:$G,$Q418)&amp;""),0)/IFERROR(--(INDEX('Reguler Class Availability'!$F:$F,$Q418)&amp;""),0)&gt;=0.6,"Tinggi","Sebagian"))))))</f>
        <v>Belum terisi</v>
      </c>
      <c r="F418" s="77" t="str">
        <f aca="false">IF($Q418="","",PROPER(INDEX('Reguler Class Availability'!$B:$B,$Q418)&amp;""))</f>
        <v>Baby</v>
      </c>
      <c r="G418" s="76" t="n">
        <f aca="false">IF($Q418="","",IFERROR(--(INDEX('Reguler Class Availability'!$F:$F,$Q418)&amp;""),0))</f>
        <v>5</v>
      </c>
      <c r="H418" s="77" t="str">
        <f aca="false">IF($Q418="","",PROPER(INDEX('Reguler Class Availability'!$I:$I,$Q418)&amp;"")&amp;IF(INDEX('Reguler Class Availability'!$J:$J,$Q418)&amp;""="",""," + asst "&amp;PROPER(INDEX('Reguler Class Availability'!$J:$J,$Q418)&amp;"")))</f>
        <v/>
      </c>
      <c r="I418" s="77" t="s">
        <v>489</v>
      </c>
      <c r="J418" s="77" t="s">
        <v>188</v>
      </c>
      <c r="K418" s="78"/>
      <c r="L418" s="78"/>
      <c r="M418" s="78"/>
      <c r="N418" s="79"/>
      <c r="O418" s="78"/>
      <c r="Q418" s="30" t="n">
        <f aca="false">IFERROR(MATCH($B$4&amp;"|- Lane "&amp;D418&amp;" - "&amp;B418&amp;"|"&amp;C418,'Reguler Class Availability'!$L:$L,0),"")</f>
        <v>1959</v>
      </c>
    </row>
    <row r="419" customFormat="false" ht="52.5" hidden="false" customHeight="true" outlineLevel="0" collapsed="false">
      <c r="A419" s="76" t="n">
        <v>293</v>
      </c>
      <c r="B419" s="77" t="s">
        <v>119</v>
      </c>
      <c r="C419" s="76" t="s">
        <v>143</v>
      </c>
      <c r="D419" s="76" t="n">
        <v>2</v>
      </c>
      <c r="E419" s="77" t="str">
        <f aca="false">IF($Q419="","Tidak ada di data",IF(AND(IFERROR(--(INDEX('Reguler Class Availability'!$F:$F,$Q419)&amp;""),0)=0,IFERROR(--(INDEX('Reguler Class Availability'!$G:$G,$Q419)&amp;""),0)=0),"Tutup",IF(IFERROR(--(INDEX('Reguler Class Availability'!$G:$G,$Q419)&amp;""),0)&gt;IFERROR(--(INDEX('Reguler Class Availability'!$F:$F,$Q419)&amp;""),0),"Lebih",IF(IFERROR(--(INDEX('Reguler Class Availability'!$G:$G,$Q419)&amp;""),0)=IFERROR(--(INDEX('Reguler Class Availability'!$F:$F,$Q419)&amp;""),0),"Penuh",IF(IFERROR(--(INDEX('Reguler Class Availability'!$G:$G,$Q419)&amp;""),0)=0,IF(INDEX('Reguler Class Availability'!$B:$B,$Q419)&amp;""="","Kosong","Belum terisi"),IF(IFERROR(--(INDEX('Reguler Class Availability'!$G:$G,$Q419)&amp;""),0)/IFERROR(--(INDEX('Reguler Class Availability'!$F:$F,$Q419)&amp;""),0)&gt;=0.6,"Tinggi","Sebagian"))))))</f>
        <v>Belum terisi</v>
      </c>
      <c r="F419" s="77" t="str">
        <f aca="false">IF($Q419="","",PROPER(INDEX('Reguler Class Availability'!$B:$B,$Q419)&amp;""))</f>
        <v>Tiny</v>
      </c>
      <c r="G419" s="76" t="n">
        <f aca="false">IF($Q419="","",IFERROR(--(INDEX('Reguler Class Availability'!$F:$F,$Q419)&amp;""),0))</f>
        <v>5</v>
      </c>
      <c r="H419" s="77" t="str">
        <f aca="false">IF($Q419="","",PROPER(INDEX('Reguler Class Availability'!$I:$I,$Q419)&amp;"")&amp;IF(INDEX('Reguler Class Availability'!$J:$J,$Q419)&amp;""="",""," + asst "&amp;PROPER(INDEX('Reguler Class Availability'!$J:$J,$Q419)&amp;"")))</f>
        <v/>
      </c>
      <c r="I419" s="77" t="s">
        <v>489</v>
      </c>
      <c r="J419" s="77" t="s">
        <v>188</v>
      </c>
      <c r="K419" s="78"/>
      <c r="L419" s="78"/>
      <c r="M419" s="78"/>
      <c r="N419" s="79"/>
      <c r="O419" s="78"/>
      <c r="Q419" s="30" t="n">
        <f aca="false">IFERROR(MATCH($B$4&amp;"|- Lane "&amp;D419&amp;" - "&amp;B419&amp;"|"&amp;C419,'Reguler Class Availability'!$L:$L,0),"")</f>
        <v>2057</v>
      </c>
    </row>
    <row r="420" customFormat="false" ht="52.5" hidden="false" customHeight="true" outlineLevel="0" collapsed="false">
      <c r="A420" s="76" t="n">
        <v>294</v>
      </c>
      <c r="B420" s="77" t="s">
        <v>119</v>
      </c>
      <c r="C420" s="76" t="s">
        <v>143</v>
      </c>
      <c r="D420" s="76" t="n">
        <v>5</v>
      </c>
      <c r="E420" s="77" t="str">
        <f aca="false">IF($Q420="","Tidak ada di data",IF(AND(IFERROR(--(INDEX('Reguler Class Availability'!$F:$F,$Q420)&amp;""),0)=0,IFERROR(--(INDEX('Reguler Class Availability'!$G:$G,$Q420)&amp;""),0)=0),"Tutup",IF(IFERROR(--(INDEX('Reguler Class Availability'!$G:$G,$Q420)&amp;""),0)&gt;IFERROR(--(INDEX('Reguler Class Availability'!$F:$F,$Q420)&amp;""),0),"Lebih",IF(IFERROR(--(INDEX('Reguler Class Availability'!$G:$G,$Q420)&amp;""),0)=IFERROR(--(INDEX('Reguler Class Availability'!$F:$F,$Q420)&amp;""),0),"Penuh",IF(IFERROR(--(INDEX('Reguler Class Availability'!$G:$G,$Q420)&amp;""),0)=0,IF(INDEX('Reguler Class Availability'!$B:$B,$Q420)&amp;""="","Kosong","Belum terisi"),IF(IFERROR(--(INDEX('Reguler Class Availability'!$G:$G,$Q420)&amp;""),0)/IFERROR(--(INDEX('Reguler Class Availability'!$F:$F,$Q420)&amp;""),0)&gt;=0.6,"Tinggi","Sebagian"))))))</f>
        <v>Kosong</v>
      </c>
      <c r="F420" s="77" t="str">
        <f aca="false">IF($Q420="","",PROPER(INDEX('Reguler Class Availability'!$B:$B,$Q420)&amp;""))</f>
        <v/>
      </c>
      <c r="G420" s="76" t="n">
        <f aca="false">IF($Q420="","",IFERROR(--(INDEX('Reguler Class Availability'!$F:$F,$Q420)&amp;""),0))</f>
        <v>4</v>
      </c>
      <c r="H420" s="77" t="str">
        <f aca="false">IF($Q420="","",PROPER(INDEX('Reguler Class Availability'!$I:$I,$Q420)&amp;"")&amp;IF(INDEX('Reguler Class Availability'!$J:$J,$Q420)&amp;""="",""," + asst "&amp;PROPER(INDEX('Reguler Class Availability'!$J:$J,$Q420)&amp;"")))</f>
        <v/>
      </c>
      <c r="I420" s="77" t="s">
        <v>489</v>
      </c>
      <c r="J420" s="77" t="s">
        <v>188</v>
      </c>
      <c r="K420" s="78"/>
      <c r="L420" s="78"/>
      <c r="M420" s="78"/>
      <c r="N420" s="79"/>
      <c r="O420" s="78"/>
      <c r="Q420" s="30" t="n">
        <f aca="false">IFERROR(MATCH($B$4&amp;"|- Lane "&amp;D420&amp;" - "&amp;B420&amp;"|"&amp;C420,'Reguler Class Availability'!$L:$L,0),"")</f>
        <v>2309</v>
      </c>
    </row>
    <row r="421" customFormat="false" ht="52.5" hidden="false" customHeight="true" outlineLevel="0" collapsed="false">
      <c r="A421" s="76" t="n">
        <v>295</v>
      </c>
      <c r="B421" s="77" t="s">
        <v>119</v>
      </c>
      <c r="C421" s="76" t="s">
        <v>144</v>
      </c>
      <c r="D421" s="76" t="n">
        <v>3</v>
      </c>
      <c r="E421" s="77" t="str">
        <f aca="false">IF($Q421="","Tidak ada di data",IF(AND(IFERROR(--(INDEX('Reguler Class Availability'!$F:$F,$Q421)&amp;""),0)=0,IFERROR(--(INDEX('Reguler Class Availability'!$G:$G,$Q421)&amp;""),0)=0),"Tutup",IF(IFERROR(--(INDEX('Reguler Class Availability'!$G:$G,$Q421)&amp;""),0)&gt;IFERROR(--(INDEX('Reguler Class Availability'!$F:$F,$Q421)&amp;""),0),"Lebih",IF(IFERROR(--(INDEX('Reguler Class Availability'!$G:$G,$Q421)&amp;""),0)=IFERROR(--(INDEX('Reguler Class Availability'!$F:$F,$Q421)&amp;""),0),"Penuh",IF(IFERROR(--(INDEX('Reguler Class Availability'!$G:$G,$Q421)&amp;""),0)=0,IF(INDEX('Reguler Class Availability'!$B:$B,$Q421)&amp;""="","Kosong","Belum terisi"),IF(IFERROR(--(INDEX('Reguler Class Availability'!$G:$G,$Q421)&amp;""),0)/IFERROR(--(INDEX('Reguler Class Availability'!$F:$F,$Q421)&amp;""),0)&gt;=0.6,"Tinggi","Sebagian"))))))</f>
        <v>Belum terisi</v>
      </c>
      <c r="F421" s="77" t="str">
        <f aca="false">IF($Q421="","",PROPER(INDEX('Reguler Class Availability'!$B:$B,$Q421)&amp;""))</f>
        <v>Little</v>
      </c>
      <c r="G421" s="76" t="n">
        <f aca="false">IF($Q421="","",IFERROR(--(INDEX('Reguler Class Availability'!$F:$F,$Q421)&amp;""),0))</f>
        <v>4</v>
      </c>
      <c r="H421" s="77" t="str">
        <f aca="false">IF($Q421="","",PROPER(INDEX('Reguler Class Availability'!$I:$I,$Q421)&amp;"")&amp;IF(INDEX('Reguler Class Availability'!$J:$J,$Q421)&amp;""="",""," + asst "&amp;PROPER(INDEX('Reguler Class Availability'!$J:$J,$Q421)&amp;"")))</f>
        <v/>
      </c>
      <c r="I421" s="77" t="s">
        <v>489</v>
      </c>
      <c r="J421" s="77" t="s">
        <v>188</v>
      </c>
      <c r="K421" s="78"/>
      <c r="L421" s="78"/>
      <c r="M421" s="78"/>
      <c r="N421" s="79"/>
      <c r="O421" s="78"/>
      <c r="Q421" s="30" t="n">
        <f aca="false">IFERROR(MATCH($B$4&amp;"|- Lane "&amp;D421&amp;" - "&amp;B421&amp;"|"&amp;C421,'Reguler Class Availability'!$L:$L,0),"")</f>
        <v>2141</v>
      </c>
    </row>
    <row r="422" customFormat="false" ht="52.5" hidden="false" customHeight="true" outlineLevel="0" collapsed="false">
      <c r="A422" s="76" t="n">
        <v>296</v>
      </c>
      <c r="B422" s="77" t="s">
        <v>119</v>
      </c>
      <c r="C422" s="76" t="s">
        <v>146</v>
      </c>
      <c r="D422" s="76" t="n">
        <v>1</v>
      </c>
      <c r="E422" s="77" t="str">
        <f aca="false">IF($Q422="","Tidak ada di data",IF(AND(IFERROR(--(INDEX('Reguler Class Availability'!$F:$F,$Q422)&amp;""),0)=0,IFERROR(--(INDEX('Reguler Class Availability'!$G:$G,$Q422)&amp;""),0)=0),"Tutup",IF(IFERROR(--(INDEX('Reguler Class Availability'!$G:$G,$Q422)&amp;""),0)&gt;IFERROR(--(INDEX('Reguler Class Availability'!$F:$F,$Q422)&amp;""),0),"Lebih",IF(IFERROR(--(INDEX('Reguler Class Availability'!$G:$G,$Q422)&amp;""),0)=IFERROR(--(INDEX('Reguler Class Availability'!$F:$F,$Q422)&amp;""),0),"Penuh",IF(IFERROR(--(INDEX('Reguler Class Availability'!$G:$G,$Q422)&amp;""),0)=0,IF(INDEX('Reguler Class Availability'!$B:$B,$Q422)&amp;""="","Kosong","Belum terisi"),IF(IFERROR(--(INDEX('Reguler Class Availability'!$G:$G,$Q422)&amp;""),0)/IFERROR(--(INDEX('Reguler Class Availability'!$F:$F,$Q422)&amp;""),0)&gt;=0.6,"Tinggi","Sebagian"))))))</f>
        <v>Belum terisi</v>
      </c>
      <c r="F422" s="77" t="str">
        <f aca="false">IF($Q422="","",PROPER(INDEX('Reguler Class Availability'!$B:$B,$Q422)&amp;""))</f>
        <v>Baby</v>
      </c>
      <c r="G422" s="76" t="n">
        <f aca="false">IF($Q422="","",IFERROR(--(INDEX('Reguler Class Availability'!$F:$F,$Q422)&amp;""),0))</f>
        <v>5</v>
      </c>
      <c r="H422" s="77" t="str">
        <f aca="false">IF($Q422="","",PROPER(INDEX('Reguler Class Availability'!$I:$I,$Q422)&amp;"")&amp;IF(INDEX('Reguler Class Availability'!$J:$J,$Q422)&amp;""="",""," + asst "&amp;PROPER(INDEX('Reguler Class Availability'!$J:$J,$Q422)&amp;"")))</f>
        <v/>
      </c>
      <c r="I422" s="77" t="s">
        <v>490</v>
      </c>
      <c r="J422" s="77" t="s">
        <v>188</v>
      </c>
      <c r="K422" s="78"/>
      <c r="L422" s="78"/>
      <c r="M422" s="78"/>
      <c r="N422" s="79"/>
      <c r="O422" s="78"/>
      <c r="Q422" s="30" t="n">
        <f aca="false">IFERROR(MATCH($B$4&amp;"|- Lane "&amp;D422&amp;" - "&amp;B422&amp;"|"&amp;C422,'Reguler Class Availability'!$L:$L,0),"")</f>
        <v>1960</v>
      </c>
    </row>
    <row r="423" customFormat="false" ht="52.5" hidden="false" customHeight="true" outlineLevel="0" collapsed="false">
      <c r="A423" s="76" t="n">
        <v>297</v>
      </c>
      <c r="B423" s="77" t="s">
        <v>119</v>
      </c>
      <c r="C423" s="76" t="s">
        <v>146</v>
      </c>
      <c r="D423" s="76" t="n">
        <v>2</v>
      </c>
      <c r="E423" s="77" t="str">
        <f aca="false">IF($Q423="","Tidak ada di data",IF(AND(IFERROR(--(INDEX('Reguler Class Availability'!$F:$F,$Q423)&amp;""),0)=0,IFERROR(--(INDEX('Reguler Class Availability'!$G:$G,$Q423)&amp;""),0)=0),"Tutup",IF(IFERROR(--(INDEX('Reguler Class Availability'!$G:$G,$Q423)&amp;""),0)&gt;IFERROR(--(INDEX('Reguler Class Availability'!$F:$F,$Q423)&amp;""),0),"Lebih",IF(IFERROR(--(INDEX('Reguler Class Availability'!$G:$G,$Q423)&amp;""),0)=IFERROR(--(INDEX('Reguler Class Availability'!$F:$F,$Q423)&amp;""),0),"Penuh",IF(IFERROR(--(INDEX('Reguler Class Availability'!$G:$G,$Q423)&amp;""),0)=0,IF(INDEX('Reguler Class Availability'!$B:$B,$Q423)&amp;""="","Kosong","Belum terisi"),IF(IFERROR(--(INDEX('Reguler Class Availability'!$G:$G,$Q423)&amp;""),0)/IFERROR(--(INDEX('Reguler Class Availability'!$F:$F,$Q423)&amp;""),0)&gt;=0.6,"Tinggi","Sebagian"))))))</f>
        <v>Belum terisi</v>
      </c>
      <c r="F423" s="77" t="str">
        <f aca="false">IF($Q423="","",PROPER(INDEX('Reguler Class Availability'!$B:$B,$Q423)&amp;""))</f>
        <v>Tiny</v>
      </c>
      <c r="G423" s="76" t="n">
        <f aca="false">IF($Q423="","",IFERROR(--(INDEX('Reguler Class Availability'!$F:$F,$Q423)&amp;""),0))</f>
        <v>5</v>
      </c>
      <c r="H423" s="77" t="str">
        <f aca="false">IF($Q423="","",PROPER(INDEX('Reguler Class Availability'!$I:$I,$Q423)&amp;"")&amp;IF(INDEX('Reguler Class Availability'!$J:$J,$Q423)&amp;""="",""," + asst "&amp;PROPER(INDEX('Reguler Class Availability'!$J:$J,$Q423)&amp;"")))</f>
        <v/>
      </c>
      <c r="I423" s="77" t="s">
        <v>490</v>
      </c>
      <c r="J423" s="77" t="s">
        <v>188</v>
      </c>
      <c r="K423" s="78"/>
      <c r="L423" s="78"/>
      <c r="M423" s="78"/>
      <c r="N423" s="79"/>
      <c r="O423" s="78"/>
      <c r="Q423" s="30" t="n">
        <f aca="false">IFERROR(MATCH($B$4&amp;"|- Lane "&amp;D423&amp;" - "&amp;B423&amp;"|"&amp;C423,'Reguler Class Availability'!$L:$L,0),"")</f>
        <v>2058</v>
      </c>
    </row>
    <row r="424" customFormat="false" ht="52.5" hidden="false" customHeight="true" outlineLevel="0" collapsed="false">
      <c r="A424" s="76" t="n">
        <v>298</v>
      </c>
      <c r="B424" s="77" t="s">
        <v>119</v>
      </c>
      <c r="C424" s="76" t="s">
        <v>146</v>
      </c>
      <c r="D424" s="76" t="n">
        <v>5</v>
      </c>
      <c r="E424" s="77" t="str">
        <f aca="false">IF($Q424="","Tidak ada di data",IF(AND(IFERROR(--(INDEX('Reguler Class Availability'!$F:$F,$Q424)&amp;""),0)=0,IFERROR(--(INDEX('Reguler Class Availability'!$G:$G,$Q424)&amp;""),0)=0),"Tutup",IF(IFERROR(--(INDEX('Reguler Class Availability'!$G:$G,$Q424)&amp;""),0)&gt;IFERROR(--(INDEX('Reguler Class Availability'!$F:$F,$Q424)&amp;""),0),"Lebih",IF(IFERROR(--(INDEX('Reguler Class Availability'!$G:$G,$Q424)&amp;""),0)=IFERROR(--(INDEX('Reguler Class Availability'!$F:$F,$Q424)&amp;""),0),"Penuh",IF(IFERROR(--(INDEX('Reguler Class Availability'!$G:$G,$Q424)&amp;""),0)=0,IF(INDEX('Reguler Class Availability'!$B:$B,$Q424)&amp;""="","Kosong","Belum terisi"),IF(IFERROR(--(INDEX('Reguler Class Availability'!$G:$G,$Q424)&amp;""),0)/IFERROR(--(INDEX('Reguler Class Availability'!$F:$F,$Q424)&amp;""),0)&gt;=0.6,"Tinggi","Sebagian"))))))</f>
        <v>Kosong</v>
      </c>
      <c r="F424" s="77" t="str">
        <f aca="false">IF($Q424="","",PROPER(INDEX('Reguler Class Availability'!$B:$B,$Q424)&amp;""))</f>
        <v/>
      </c>
      <c r="G424" s="76" t="n">
        <f aca="false">IF($Q424="","",IFERROR(--(INDEX('Reguler Class Availability'!$F:$F,$Q424)&amp;""),0))</f>
        <v>4</v>
      </c>
      <c r="H424" s="77" t="str">
        <f aca="false">IF($Q424="","",PROPER(INDEX('Reguler Class Availability'!$I:$I,$Q424)&amp;"")&amp;IF(INDEX('Reguler Class Availability'!$J:$J,$Q424)&amp;""="",""," + asst "&amp;PROPER(INDEX('Reguler Class Availability'!$J:$J,$Q424)&amp;"")))</f>
        <v/>
      </c>
      <c r="I424" s="77" t="s">
        <v>490</v>
      </c>
      <c r="J424" s="77" t="s">
        <v>188</v>
      </c>
      <c r="K424" s="78"/>
      <c r="L424" s="78"/>
      <c r="M424" s="78"/>
      <c r="N424" s="79"/>
      <c r="O424" s="78"/>
      <c r="Q424" s="30" t="n">
        <f aca="false">IFERROR(MATCH($B$4&amp;"|- Lane "&amp;D424&amp;" - "&amp;B424&amp;"|"&amp;C424,'Reguler Class Availability'!$L:$L,0),"")</f>
        <v>2310</v>
      </c>
    </row>
    <row r="425" customFormat="false" ht="65.25" hidden="false" customHeight="true" outlineLevel="0" collapsed="false">
      <c r="A425" s="76" t="n">
        <v>299</v>
      </c>
      <c r="B425" s="77" t="s">
        <v>119</v>
      </c>
      <c r="C425" s="76" t="s">
        <v>147</v>
      </c>
      <c r="D425" s="76" t="n">
        <v>3</v>
      </c>
      <c r="E425" s="77" t="str">
        <f aca="false">IF($Q425="","Tidak ada di data",IF(AND(IFERROR(--(INDEX('Reguler Class Availability'!$F:$F,$Q425)&amp;""),0)=0,IFERROR(--(INDEX('Reguler Class Availability'!$G:$G,$Q425)&amp;""),0)=0),"Tutup",IF(IFERROR(--(INDEX('Reguler Class Availability'!$G:$G,$Q425)&amp;""),0)&gt;IFERROR(--(INDEX('Reguler Class Availability'!$F:$F,$Q425)&amp;""),0),"Lebih",IF(IFERROR(--(INDEX('Reguler Class Availability'!$G:$G,$Q425)&amp;""),0)=IFERROR(--(INDEX('Reguler Class Availability'!$F:$F,$Q425)&amp;""),0),"Penuh",IF(IFERROR(--(INDEX('Reguler Class Availability'!$G:$G,$Q425)&amp;""),0)=0,IF(INDEX('Reguler Class Availability'!$B:$B,$Q425)&amp;""="","Kosong","Belum terisi"),IF(IFERROR(--(INDEX('Reguler Class Availability'!$G:$G,$Q425)&amp;""),0)/IFERROR(--(INDEX('Reguler Class Availability'!$F:$F,$Q425)&amp;""),0)&gt;=0.6,"Tinggi","Sebagian"))))))</f>
        <v>Belum terisi</v>
      </c>
      <c r="F425" s="77" t="str">
        <f aca="false">IF($Q425="","",PROPER(INDEX('Reguler Class Availability'!$B:$B,$Q425)&amp;""))</f>
        <v>Little</v>
      </c>
      <c r="G425" s="76" t="n">
        <f aca="false">IF($Q425="","",IFERROR(--(INDEX('Reguler Class Availability'!$F:$F,$Q425)&amp;""),0))</f>
        <v>4</v>
      </c>
      <c r="H425" s="77" t="str">
        <f aca="false">IF($Q425="","",PROPER(INDEX('Reguler Class Availability'!$I:$I,$Q425)&amp;"")&amp;IF(INDEX('Reguler Class Availability'!$J:$J,$Q425)&amp;""="",""," + asst "&amp;PROPER(INDEX('Reguler Class Availability'!$J:$J,$Q425)&amp;"")))</f>
        <v/>
      </c>
      <c r="I425" s="77" t="s">
        <v>491</v>
      </c>
      <c r="J425" s="77" t="s">
        <v>188</v>
      </c>
      <c r="K425" s="78"/>
      <c r="L425" s="78"/>
      <c r="M425" s="78"/>
      <c r="N425" s="79"/>
      <c r="O425" s="78"/>
      <c r="Q425" s="30" t="n">
        <f aca="false">IFERROR(MATCH($B$4&amp;"|- Lane "&amp;D425&amp;" - "&amp;B425&amp;"|"&amp;C425,'Reguler Class Availability'!$L:$L,0),"")</f>
        <v>2142</v>
      </c>
    </row>
    <row r="426" customFormat="false" ht="52.5" hidden="false" customHeight="true" outlineLevel="0" collapsed="false">
      <c r="A426" s="76" t="n">
        <v>300</v>
      </c>
      <c r="B426" s="77" t="s">
        <v>119</v>
      </c>
      <c r="C426" s="76" t="s">
        <v>149</v>
      </c>
      <c r="D426" s="76" t="n">
        <v>1</v>
      </c>
      <c r="E426" s="77" t="str">
        <f aca="false">IF($Q426="","Tidak ada di data",IF(AND(IFERROR(--(INDEX('Reguler Class Availability'!$F:$F,$Q426)&amp;""),0)=0,IFERROR(--(INDEX('Reguler Class Availability'!$G:$G,$Q426)&amp;""),0)=0),"Tutup",IF(IFERROR(--(INDEX('Reguler Class Availability'!$G:$G,$Q426)&amp;""),0)&gt;IFERROR(--(INDEX('Reguler Class Availability'!$F:$F,$Q426)&amp;""),0),"Lebih",IF(IFERROR(--(INDEX('Reguler Class Availability'!$G:$G,$Q426)&amp;""),0)=IFERROR(--(INDEX('Reguler Class Availability'!$F:$F,$Q426)&amp;""),0),"Penuh",IF(IFERROR(--(INDEX('Reguler Class Availability'!$G:$G,$Q426)&amp;""),0)=0,IF(INDEX('Reguler Class Availability'!$B:$B,$Q426)&amp;""="","Kosong","Belum terisi"),IF(IFERROR(--(INDEX('Reguler Class Availability'!$G:$G,$Q426)&amp;""),0)/IFERROR(--(INDEX('Reguler Class Availability'!$F:$F,$Q426)&amp;""),0)&gt;=0.6,"Tinggi","Sebagian"))))))</f>
        <v>Belum terisi</v>
      </c>
      <c r="F426" s="77" t="str">
        <f aca="false">IF($Q426="","",PROPER(INDEX('Reguler Class Availability'!$B:$B,$Q426)&amp;""))</f>
        <v>Baby</v>
      </c>
      <c r="G426" s="76" t="n">
        <f aca="false">IF($Q426="","",IFERROR(--(INDEX('Reguler Class Availability'!$F:$F,$Q426)&amp;""),0))</f>
        <v>5</v>
      </c>
      <c r="H426" s="77" t="str">
        <f aca="false">IF($Q426="","",PROPER(INDEX('Reguler Class Availability'!$I:$I,$Q426)&amp;"")&amp;IF(INDEX('Reguler Class Availability'!$J:$J,$Q426)&amp;""="",""," + asst "&amp;PROPER(INDEX('Reguler Class Availability'!$J:$J,$Q426)&amp;"")))</f>
        <v/>
      </c>
      <c r="I426" s="77" t="s">
        <v>492</v>
      </c>
      <c r="J426" s="77" t="s">
        <v>188</v>
      </c>
      <c r="K426" s="78"/>
      <c r="L426" s="78"/>
      <c r="M426" s="78"/>
      <c r="N426" s="79"/>
      <c r="O426" s="78"/>
      <c r="Q426" s="30" t="n">
        <f aca="false">IFERROR(MATCH($B$4&amp;"|- Lane "&amp;D426&amp;" - "&amp;B426&amp;"|"&amp;C426,'Reguler Class Availability'!$L:$L,0),"")</f>
        <v>1961</v>
      </c>
    </row>
    <row r="427" customFormat="false" ht="52.5" hidden="false" customHeight="true" outlineLevel="0" collapsed="false">
      <c r="A427" s="76" t="n">
        <v>301</v>
      </c>
      <c r="B427" s="77" t="s">
        <v>119</v>
      </c>
      <c r="C427" s="76" t="s">
        <v>149</v>
      </c>
      <c r="D427" s="76" t="n">
        <v>2</v>
      </c>
      <c r="E427" s="77" t="str">
        <f aca="false">IF($Q427="","Tidak ada di data",IF(AND(IFERROR(--(INDEX('Reguler Class Availability'!$F:$F,$Q427)&amp;""),0)=0,IFERROR(--(INDEX('Reguler Class Availability'!$G:$G,$Q427)&amp;""),0)=0),"Tutup",IF(IFERROR(--(INDEX('Reguler Class Availability'!$G:$G,$Q427)&amp;""),0)&gt;IFERROR(--(INDEX('Reguler Class Availability'!$F:$F,$Q427)&amp;""),0),"Lebih",IF(IFERROR(--(INDEX('Reguler Class Availability'!$G:$G,$Q427)&amp;""),0)=IFERROR(--(INDEX('Reguler Class Availability'!$F:$F,$Q427)&amp;""),0),"Penuh",IF(IFERROR(--(INDEX('Reguler Class Availability'!$G:$G,$Q427)&amp;""),0)=0,IF(INDEX('Reguler Class Availability'!$B:$B,$Q427)&amp;""="","Kosong","Belum terisi"),IF(IFERROR(--(INDEX('Reguler Class Availability'!$G:$G,$Q427)&amp;""),0)/IFERROR(--(INDEX('Reguler Class Availability'!$F:$F,$Q427)&amp;""),0)&gt;=0.6,"Tinggi","Sebagian"))))))</f>
        <v>Belum terisi</v>
      </c>
      <c r="F427" s="77" t="str">
        <f aca="false">IF($Q427="","",PROPER(INDEX('Reguler Class Availability'!$B:$B,$Q427)&amp;""))</f>
        <v>Tiny</v>
      </c>
      <c r="G427" s="76" t="n">
        <f aca="false">IF($Q427="","",IFERROR(--(INDEX('Reguler Class Availability'!$F:$F,$Q427)&amp;""),0))</f>
        <v>5</v>
      </c>
      <c r="H427" s="77" t="str">
        <f aca="false">IF($Q427="","",PROPER(INDEX('Reguler Class Availability'!$I:$I,$Q427)&amp;"")&amp;IF(INDEX('Reguler Class Availability'!$J:$J,$Q427)&amp;""="",""," + asst "&amp;PROPER(INDEX('Reguler Class Availability'!$J:$J,$Q427)&amp;"")))</f>
        <v/>
      </c>
      <c r="I427" s="77" t="s">
        <v>492</v>
      </c>
      <c r="J427" s="77" t="s">
        <v>188</v>
      </c>
      <c r="K427" s="78"/>
      <c r="L427" s="78"/>
      <c r="M427" s="78"/>
      <c r="N427" s="79"/>
      <c r="O427" s="78"/>
      <c r="Q427" s="30" t="n">
        <f aca="false">IFERROR(MATCH($B$4&amp;"|- Lane "&amp;D427&amp;" - "&amp;B427&amp;"|"&amp;C427,'Reguler Class Availability'!$L:$L,0),"")</f>
        <v>2059</v>
      </c>
    </row>
    <row r="428" customFormat="false" ht="52.5" hidden="false" customHeight="true" outlineLevel="0" collapsed="false">
      <c r="A428" s="76" t="n">
        <v>302</v>
      </c>
      <c r="B428" s="77" t="s">
        <v>119</v>
      </c>
      <c r="C428" s="76" t="s">
        <v>149</v>
      </c>
      <c r="D428" s="76" t="n">
        <v>5</v>
      </c>
      <c r="E428" s="77" t="str">
        <f aca="false">IF($Q428="","Tidak ada di data",IF(AND(IFERROR(--(INDEX('Reguler Class Availability'!$F:$F,$Q428)&amp;""),0)=0,IFERROR(--(INDEX('Reguler Class Availability'!$G:$G,$Q428)&amp;""),0)=0),"Tutup",IF(IFERROR(--(INDEX('Reguler Class Availability'!$G:$G,$Q428)&amp;""),0)&gt;IFERROR(--(INDEX('Reguler Class Availability'!$F:$F,$Q428)&amp;""),0),"Lebih",IF(IFERROR(--(INDEX('Reguler Class Availability'!$G:$G,$Q428)&amp;""),0)=IFERROR(--(INDEX('Reguler Class Availability'!$F:$F,$Q428)&amp;""),0),"Penuh",IF(IFERROR(--(INDEX('Reguler Class Availability'!$G:$G,$Q428)&amp;""),0)=0,IF(INDEX('Reguler Class Availability'!$B:$B,$Q428)&amp;""="","Kosong","Belum terisi"),IF(IFERROR(--(INDEX('Reguler Class Availability'!$G:$G,$Q428)&amp;""),0)/IFERROR(--(INDEX('Reguler Class Availability'!$F:$F,$Q428)&amp;""),0)&gt;=0.6,"Tinggi","Sebagian"))))))</f>
        <v>Kosong</v>
      </c>
      <c r="F428" s="77" t="str">
        <f aca="false">IF($Q428="","",PROPER(INDEX('Reguler Class Availability'!$B:$B,$Q428)&amp;""))</f>
        <v/>
      </c>
      <c r="G428" s="76" t="n">
        <f aca="false">IF($Q428="","",IFERROR(--(INDEX('Reguler Class Availability'!$F:$F,$Q428)&amp;""),0))</f>
        <v>4</v>
      </c>
      <c r="H428" s="77" t="str">
        <f aca="false">IF($Q428="","",PROPER(INDEX('Reguler Class Availability'!$I:$I,$Q428)&amp;"")&amp;IF(INDEX('Reguler Class Availability'!$J:$J,$Q428)&amp;""="",""," + asst "&amp;PROPER(INDEX('Reguler Class Availability'!$J:$J,$Q428)&amp;"")))</f>
        <v/>
      </c>
      <c r="I428" s="77" t="s">
        <v>492</v>
      </c>
      <c r="J428" s="77" t="s">
        <v>188</v>
      </c>
      <c r="K428" s="78"/>
      <c r="L428" s="78"/>
      <c r="M428" s="78"/>
      <c r="N428" s="79"/>
      <c r="O428" s="78"/>
      <c r="Q428" s="30" t="n">
        <f aca="false">IFERROR(MATCH($B$4&amp;"|- Lane "&amp;D428&amp;" - "&amp;B428&amp;"|"&amp;C428,'Reguler Class Availability'!$L:$L,0),"")</f>
        <v>2311</v>
      </c>
    </row>
    <row r="429" customFormat="false" ht="52.5" hidden="false" customHeight="true" outlineLevel="0" collapsed="false">
      <c r="A429" s="76" t="n">
        <v>303</v>
      </c>
      <c r="B429" s="77" t="s">
        <v>119</v>
      </c>
      <c r="C429" s="76" t="s">
        <v>150</v>
      </c>
      <c r="D429" s="76" t="n">
        <v>4</v>
      </c>
      <c r="E429" s="77" t="str">
        <f aca="false">IF($Q429="","Tidak ada di data",IF(AND(IFERROR(--(INDEX('Reguler Class Availability'!$F:$F,$Q429)&amp;""),0)=0,IFERROR(--(INDEX('Reguler Class Availability'!$G:$G,$Q429)&amp;""),0)=0),"Tutup",IF(IFERROR(--(INDEX('Reguler Class Availability'!$G:$G,$Q429)&amp;""),0)&gt;IFERROR(--(INDEX('Reguler Class Availability'!$F:$F,$Q429)&amp;""),0),"Lebih",IF(IFERROR(--(INDEX('Reguler Class Availability'!$G:$G,$Q429)&amp;""),0)=IFERROR(--(INDEX('Reguler Class Availability'!$F:$F,$Q429)&amp;""),0),"Penuh",IF(IFERROR(--(INDEX('Reguler Class Availability'!$G:$G,$Q429)&amp;""),0)=0,IF(INDEX('Reguler Class Availability'!$B:$B,$Q429)&amp;""="","Kosong","Belum terisi"),IF(IFERROR(--(INDEX('Reguler Class Availability'!$G:$G,$Q429)&amp;""),0)/IFERROR(--(INDEX('Reguler Class Availability'!$F:$F,$Q429)&amp;""),0)&gt;=0.6,"Tinggi","Sebagian"))))))</f>
        <v>Belum terisi</v>
      </c>
      <c r="F429" s="77" t="str">
        <f aca="false">IF($Q429="","",PROPER(INDEX('Reguler Class Availability'!$B:$B,$Q429)&amp;""))</f>
        <v>Kids</v>
      </c>
      <c r="G429" s="76" t="n">
        <f aca="false">IF($Q429="","",IFERROR(--(INDEX('Reguler Class Availability'!$F:$F,$Q429)&amp;""),0))</f>
        <v>4</v>
      </c>
      <c r="H429" s="77" t="str">
        <f aca="false">IF($Q429="","",PROPER(INDEX('Reguler Class Availability'!$I:$I,$Q429)&amp;"")&amp;IF(INDEX('Reguler Class Availability'!$J:$J,$Q429)&amp;""="",""," + asst "&amp;PROPER(INDEX('Reguler Class Availability'!$J:$J,$Q429)&amp;"")))</f>
        <v/>
      </c>
      <c r="I429" s="77" t="s">
        <v>451</v>
      </c>
      <c r="J429" s="77" t="s">
        <v>188</v>
      </c>
      <c r="K429" s="78"/>
      <c r="L429" s="78"/>
      <c r="M429" s="78"/>
      <c r="N429" s="79"/>
      <c r="O429" s="78"/>
      <c r="Q429" s="30" t="n">
        <f aca="false">IFERROR(MATCH($B$4&amp;"|- Lane "&amp;D429&amp;" - "&amp;B429&amp;"|"&amp;C429,'Reguler Class Availability'!$L:$L,0),"")</f>
        <v>2227</v>
      </c>
    </row>
    <row r="430" customFormat="false" ht="27.75" hidden="false" customHeight="true" outlineLevel="0" collapsed="false">
      <c r="A430" s="76" t="n">
        <v>304</v>
      </c>
      <c r="B430" s="77" t="s">
        <v>119</v>
      </c>
      <c r="C430" s="76" t="s">
        <v>152</v>
      </c>
      <c r="D430" s="76" t="n">
        <v>1</v>
      </c>
      <c r="E430" s="77" t="str">
        <f aca="false">IF($Q430="","Tidak ada di data",IF(AND(IFERROR(--(INDEX('Reguler Class Availability'!$F:$F,$Q430)&amp;""),0)=0,IFERROR(--(INDEX('Reguler Class Availability'!$G:$G,$Q430)&amp;""),0)=0),"Tutup",IF(IFERROR(--(INDEX('Reguler Class Availability'!$G:$G,$Q430)&amp;""),0)&gt;IFERROR(--(INDEX('Reguler Class Availability'!$F:$F,$Q430)&amp;""),0),"Lebih",IF(IFERROR(--(INDEX('Reguler Class Availability'!$G:$G,$Q430)&amp;""),0)=IFERROR(--(INDEX('Reguler Class Availability'!$F:$F,$Q430)&amp;""),0),"Penuh",IF(IFERROR(--(INDEX('Reguler Class Availability'!$G:$G,$Q430)&amp;""),0)=0,IF(INDEX('Reguler Class Availability'!$B:$B,$Q430)&amp;""="","Kosong","Belum terisi"),IF(IFERROR(--(INDEX('Reguler Class Availability'!$G:$G,$Q430)&amp;""),0)/IFERROR(--(INDEX('Reguler Class Availability'!$F:$F,$Q430)&amp;""),0)&gt;=0.6,"Tinggi","Sebagian"))))))</f>
        <v>Belum terisi</v>
      </c>
      <c r="F430" s="77" t="str">
        <f aca="false">IF($Q430="","",PROPER(INDEX('Reguler Class Availability'!$B:$B,$Q430)&amp;""))</f>
        <v>Baby</v>
      </c>
      <c r="G430" s="76" t="n">
        <f aca="false">IF($Q430="","",IFERROR(--(INDEX('Reguler Class Availability'!$F:$F,$Q430)&amp;""),0))</f>
        <v>5</v>
      </c>
      <c r="H430" s="77" t="str">
        <f aca="false">IF($Q430="","",PROPER(INDEX('Reguler Class Availability'!$I:$I,$Q430)&amp;"")&amp;IF(INDEX('Reguler Class Availability'!$J:$J,$Q430)&amp;""="",""," + asst "&amp;PROPER(INDEX('Reguler Class Availability'!$J:$J,$Q430)&amp;"")))</f>
        <v/>
      </c>
      <c r="I430" s="77" t="s">
        <v>457</v>
      </c>
      <c r="J430" s="77" t="s">
        <v>188</v>
      </c>
      <c r="K430" s="78"/>
      <c r="L430" s="78"/>
      <c r="M430" s="78"/>
      <c r="N430" s="79"/>
      <c r="O430" s="78"/>
      <c r="Q430" s="30" t="n">
        <f aca="false">IFERROR(MATCH($B$4&amp;"|- Lane "&amp;D430&amp;" - "&amp;B430&amp;"|"&amp;C430,'Reguler Class Availability'!$L:$L,0),"")</f>
        <v>1962</v>
      </c>
    </row>
    <row r="431" customFormat="false" ht="27.75" hidden="false" customHeight="true" outlineLevel="0" collapsed="false">
      <c r="A431" s="76" t="n">
        <v>305</v>
      </c>
      <c r="B431" s="77" t="s">
        <v>119</v>
      </c>
      <c r="C431" s="76" t="s">
        <v>152</v>
      </c>
      <c r="D431" s="76" t="n">
        <v>5</v>
      </c>
      <c r="E431" s="77" t="str">
        <f aca="false">IF($Q431="","Tidak ada di data",IF(AND(IFERROR(--(INDEX('Reguler Class Availability'!$F:$F,$Q431)&amp;""),0)=0,IFERROR(--(INDEX('Reguler Class Availability'!$G:$G,$Q431)&amp;""),0)=0),"Tutup",IF(IFERROR(--(INDEX('Reguler Class Availability'!$G:$G,$Q431)&amp;""),0)&gt;IFERROR(--(INDEX('Reguler Class Availability'!$F:$F,$Q431)&amp;""),0),"Lebih",IF(IFERROR(--(INDEX('Reguler Class Availability'!$G:$G,$Q431)&amp;""),0)=IFERROR(--(INDEX('Reguler Class Availability'!$F:$F,$Q431)&amp;""),0),"Penuh",IF(IFERROR(--(INDEX('Reguler Class Availability'!$G:$G,$Q431)&amp;""),0)=0,IF(INDEX('Reguler Class Availability'!$B:$B,$Q431)&amp;""="","Kosong","Belum terisi"),IF(IFERROR(--(INDEX('Reguler Class Availability'!$G:$G,$Q431)&amp;""),0)/IFERROR(--(INDEX('Reguler Class Availability'!$F:$F,$Q431)&amp;""),0)&gt;=0.6,"Tinggi","Sebagian"))))))</f>
        <v>Kosong</v>
      </c>
      <c r="F431" s="77" t="str">
        <f aca="false">IF($Q431="","",PROPER(INDEX('Reguler Class Availability'!$B:$B,$Q431)&amp;""))</f>
        <v/>
      </c>
      <c r="G431" s="76" t="n">
        <f aca="false">IF($Q431="","",IFERROR(--(INDEX('Reguler Class Availability'!$F:$F,$Q431)&amp;""),0))</f>
        <v>4</v>
      </c>
      <c r="H431" s="77" t="str">
        <f aca="false">IF($Q431="","",PROPER(INDEX('Reguler Class Availability'!$I:$I,$Q431)&amp;"")&amp;IF(INDEX('Reguler Class Availability'!$J:$J,$Q431)&amp;""="",""," + asst "&amp;PROPER(INDEX('Reguler Class Availability'!$J:$J,$Q431)&amp;"")))</f>
        <v/>
      </c>
      <c r="I431" s="77" t="s">
        <v>457</v>
      </c>
      <c r="J431" s="77" t="s">
        <v>188</v>
      </c>
      <c r="K431" s="78"/>
      <c r="L431" s="78"/>
      <c r="M431" s="78"/>
      <c r="N431" s="79"/>
      <c r="O431" s="78"/>
      <c r="Q431" s="30" t="n">
        <f aca="false">IFERROR(MATCH($B$4&amp;"|- Lane "&amp;D431&amp;" - "&amp;B431&amp;"|"&amp;C431,'Reguler Class Availability'!$L:$L,0),"")</f>
        <v>2312</v>
      </c>
    </row>
    <row r="432" customFormat="false" ht="52.5" hidden="false" customHeight="true" outlineLevel="0" collapsed="false">
      <c r="A432" s="76" t="n">
        <v>306</v>
      </c>
      <c r="B432" s="77" t="s">
        <v>119</v>
      </c>
      <c r="C432" s="76" t="s">
        <v>155</v>
      </c>
      <c r="D432" s="76" t="n">
        <v>1</v>
      </c>
      <c r="E432" s="77" t="str">
        <f aca="false">IF($Q432="","Tidak ada di data",IF(AND(IFERROR(--(INDEX('Reguler Class Availability'!$F:$F,$Q432)&amp;""),0)=0,IFERROR(--(INDEX('Reguler Class Availability'!$G:$G,$Q432)&amp;""),0)=0),"Tutup",IF(IFERROR(--(INDEX('Reguler Class Availability'!$G:$G,$Q432)&amp;""),0)&gt;IFERROR(--(INDEX('Reguler Class Availability'!$F:$F,$Q432)&amp;""),0),"Lebih",IF(IFERROR(--(INDEX('Reguler Class Availability'!$G:$G,$Q432)&amp;""),0)=IFERROR(--(INDEX('Reguler Class Availability'!$F:$F,$Q432)&amp;""),0),"Penuh",IF(IFERROR(--(INDEX('Reguler Class Availability'!$G:$G,$Q432)&amp;""),0)=0,IF(INDEX('Reguler Class Availability'!$B:$B,$Q432)&amp;""="","Kosong","Belum terisi"),IF(IFERROR(--(INDEX('Reguler Class Availability'!$G:$G,$Q432)&amp;""),0)/IFERROR(--(INDEX('Reguler Class Availability'!$F:$F,$Q432)&amp;""),0)&gt;=0.6,"Tinggi","Sebagian"))))))</f>
        <v>Belum terisi</v>
      </c>
      <c r="F432" s="77" t="str">
        <f aca="false">IF($Q432="","",PROPER(INDEX('Reguler Class Availability'!$B:$B,$Q432)&amp;""))</f>
        <v>Baby</v>
      </c>
      <c r="G432" s="76" t="n">
        <f aca="false">IF($Q432="","",IFERROR(--(INDEX('Reguler Class Availability'!$F:$F,$Q432)&amp;""),0))</f>
        <v>5</v>
      </c>
      <c r="H432" s="77" t="str">
        <f aca="false">IF($Q432="","",PROPER(INDEX('Reguler Class Availability'!$I:$I,$Q432)&amp;"")&amp;IF(INDEX('Reguler Class Availability'!$J:$J,$Q432)&amp;""="",""," + asst "&amp;PROPER(INDEX('Reguler Class Availability'!$J:$J,$Q432)&amp;"")))</f>
        <v/>
      </c>
      <c r="I432" s="77" t="s">
        <v>493</v>
      </c>
      <c r="J432" s="77" t="s">
        <v>188</v>
      </c>
      <c r="K432" s="78"/>
      <c r="L432" s="78"/>
      <c r="M432" s="78"/>
      <c r="N432" s="79"/>
      <c r="O432" s="78"/>
      <c r="Q432" s="30" t="n">
        <f aca="false">IFERROR(MATCH($B$4&amp;"|- Lane "&amp;D432&amp;" - "&amp;B432&amp;"|"&amp;C432,'Reguler Class Availability'!$L:$L,0),"")</f>
        <v>1963</v>
      </c>
    </row>
    <row r="433" customFormat="false" ht="52.5" hidden="false" customHeight="true" outlineLevel="0" collapsed="false">
      <c r="A433" s="76" t="n">
        <v>307</v>
      </c>
      <c r="B433" s="77" t="s">
        <v>119</v>
      </c>
      <c r="C433" s="76" t="s">
        <v>155</v>
      </c>
      <c r="D433" s="76" t="n">
        <v>2</v>
      </c>
      <c r="E433" s="77" t="str">
        <f aca="false">IF($Q433="","Tidak ada di data",IF(AND(IFERROR(--(INDEX('Reguler Class Availability'!$F:$F,$Q433)&amp;""),0)=0,IFERROR(--(INDEX('Reguler Class Availability'!$G:$G,$Q433)&amp;""),0)=0),"Tutup",IF(IFERROR(--(INDEX('Reguler Class Availability'!$G:$G,$Q433)&amp;""),0)&gt;IFERROR(--(INDEX('Reguler Class Availability'!$F:$F,$Q433)&amp;""),0),"Lebih",IF(IFERROR(--(INDEX('Reguler Class Availability'!$G:$G,$Q433)&amp;""),0)=IFERROR(--(INDEX('Reguler Class Availability'!$F:$F,$Q433)&amp;""),0),"Penuh",IF(IFERROR(--(INDEX('Reguler Class Availability'!$G:$G,$Q433)&amp;""),0)=0,IF(INDEX('Reguler Class Availability'!$B:$B,$Q433)&amp;""="","Kosong","Belum terisi"),IF(IFERROR(--(INDEX('Reguler Class Availability'!$G:$G,$Q433)&amp;""),0)/IFERROR(--(INDEX('Reguler Class Availability'!$F:$F,$Q433)&amp;""),0)&gt;=0.6,"Tinggi","Sebagian"))))))</f>
        <v>Belum terisi</v>
      </c>
      <c r="F433" s="77" t="str">
        <f aca="false">IF($Q433="","",PROPER(INDEX('Reguler Class Availability'!$B:$B,$Q433)&amp;""))</f>
        <v>Tiny</v>
      </c>
      <c r="G433" s="76" t="n">
        <f aca="false">IF($Q433="","",IFERROR(--(INDEX('Reguler Class Availability'!$F:$F,$Q433)&amp;""),0))</f>
        <v>5</v>
      </c>
      <c r="H433" s="77" t="str">
        <f aca="false">IF($Q433="","",PROPER(INDEX('Reguler Class Availability'!$I:$I,$Q433)&amp;"")&amp;IF(INDEX('Reguler Class Availability'!$J:$J,$Q433)&amp;""="",""," + asst "&amp;PROPER(INDEX('Reguler Class Availability'!$J:$J,$Q433)&amp;"")))</f>
        <v/>
      </c>
      <c r="I433" s="77" t="s">
        <v>493</v>
      </c>
      <c r="J433" s="77" t="s">
        <v>188</v>
      </c>
      <c r="K433" s="78"/>
      <c r="L433" s="78"/>
      <c r="M433" s="78"/>
      <c r="N433" s="79"/>
      <c r="O433" s="78"/>
      <c r="Q433" s="30" t="n">
        <f aca="false">IFERROR(MATCH($B$4&amp;"|- Lane "&amp;D433&amp;" - "&amp;B433&amp;"|"&amp;C433,'Reguler Class Availability'!$L:$L,0),"")</f>
        <v>2061</v>
      </c>
    </row>
    <row r="434" customFormat="false" ht="52.5" hidden="false" customHeight="true" outlineLevel="0" collapsed="false">
      <c r="A434" s="76" t="n">
        <v>308</v>
      </c>
      <c r="B434" s="77" t="s">
        <v>119</v>
      </c>
      <c r="C434" s="76" t="s">
        <v>155</v>
      </c>
      <c r="D434" s="76" t="n">
        <v>5</v>
      </c>
      <c r="E434" s="77" t="str">
        <f aca="false">IF($Q434="","Tidak ada di data",IF(AND(IFERROR(--(INDEX('Reguler Class Availability'!$F:$F,$Q434)&amp;""),0)=0,IFERROR(--(INDEX('Reguler Class Availability'!$G:$G,$Q434)&amp;""),0)=0),"Tutup",IF(IFERROR(--(INDEX('Reguler Class Availability'!$G:$G,$Q434)&amp;""),0)&gt;IFERROR(--(INDEX('Reguler Class Availability'!$F:$F,$Q434)&amp;""),0),"Lebih",IF(IFERROR(--(INDEX('Reguler Class Availability'!$G:$G,$Q434)&amp;""),0)=IFERROR(--(INDEX('Reguler Class Availability'!$F:$F,$Q434)&amp;""),0),"Penuh",IF(IFERROR(--(INDEX('Reguler Class Availability'!$G:$G,$Q434)&amp;""),0)=0,IF(INDEX('Reguler Class Availability'!$B:$B,$Q434)&amp;""="","Kosong","Belum terisi"),IF(IFERROR(--(INDEX('Reguler Class Availability'!$G:$G,$Q434)&amp;""),0)/IFERROR(--(INDEX('Reguler Class Availability'!$F:$F,$Q434)&amp;""),0)&gt;=0.6,"Tinggi","Sebagian"))))))</f>
        <v>Kosong</v>
      </c>
      <c r="F434" s="77" t="str">
        <f aca="false">IF($Q434="","",PROPER(INDEX('Reguler Class Availability'!$B:$B,$Q434)&amp;""))</f>
        <v/>
      </c>
      <c r="G434" s="76" t="n">
        <f aca="false">IF($Q434="","",IFERROR(--(INDEX('Reguler Class Availability'!$F:$F,$Q434)&amp;""),0))</f>
        <v>4</v>
      </c>
      <c r="H434" s="77" t="str">
        <f aca="false">IF($Q434="","",PROPER(INDEX('Reguler Class Availability'!$I:$I,$Q434)&amp;"")&amp;IF(INDEX('Reguler Class Availability'!$J:$J,$Q434)&amp;""="",""," + asst "&amp;PROPER(INDEX('Reguler Class Availability'!$J:$J,$Q434)&amp;"")))</f>
        <v/>
      </c>
      <c r="I434" s="77" t="s">
        <v>493</v>
      </c>
      <c r="J434" s="77" t="s">
        <v>188</v>
      </c>
      <c r="K434" s="78"/>
      <c r="L434" s="78"/>
      <c r="M434" s="78"/>
      <c r="N434" s="79"/>
      <c r="O434" s="78"/>
      <c r="Q434" s="30" t="n">
        <f aca="false">IFERROR(MATCH($B$4&amp;"|- Lane "&amp;D434&amp;" - "&amp;B434&amp;"|"&amp;C434,'Reguler Class Availability'!$L:$L,0),"")</f>
        <v>2313</v>
      </c>
    </row>
    <row r="435" customFormat="false" ht="65.25" hidden="false" customHeight="true" outlineLevel="0" collapsed="false">
      <c r="A435" s="76" t="n">
        <v>309</v>
      </c>
      <c r="B435" s="77" t="s">
        <v>119</v>
      </c>
      <c r="C435" s="76" t="s">
        <v>156</v>
      </c>
      <c r="D435" s="76" t="n">
        <v>3</v>
      </c>
      <c r="E435" s="77" t="str">
        <f aca="false">IF($Q435="","Tidak ada di data",IF(AND(IFERROR(--(INDEX('Reguler Class Availability'!$F:$F,$Q435)&amp;""),0)=0,IFERROR(--(INDEX('Reguler Class Availability'!$G:$G,$Q435)&amp;""),0)=0),"Tutup",IF(IFERROR(--(INDEX('Reguler Class Availability'!$G:$G,$Q435)&amp;""),0)&gt;IFERROR(--(INDEX('Reguler Class Availability'!$F:$F,$Q435)&amp;""),0),"Lebih",IF(IFERROR(--(INDEX('Reguler Class Availability'!$G:$G,$Q435)&amp;""),0)=IFERROR(--(INDEX('Reguler Class Availability'!$F:$F,$Q435)&amp;""),0),"Penuh",IF(IFERROR(--(INDEX('Reguler Class Availability'!$G:$G,$Q435)&amp;""),0)=0,IF(INDEX('Reguler Class Availability'!$B:$B,$Q435)&amp;""="","Kosong","Belum terisi"),IF(IFERROR(--(INDEX('Reguler Class Availability'!$G:$G,$Q435)&amp;""),0)/IFERROR(--(INDEX('Reguler Class Availability'!$F:$F,$Q435)&amp;""),0)&gt;=0.6,"Tinggi","Sebagian"))))))</f>
        <v>Belum terisi</v>
      </c>
      <c r="F435" s="77" t="str">
        <f aca="false">IF($Q435="","",PROPER(INDEX('Reguler Class Availability'!$B:$B,$Q435)&amp;""))</f>
        <v>Little</v>
      </c>
      <c r="G435" s="76" t="n">
        <f aca="false">IF($Q435="","",IFERROR(--(INDEX('Reguler Class Availability'!$F:$F,$Q435)&amp;""),0))</f>
        <v>4</v>
      </c>
      <c r="H435" s="77" t="str">
        <f aca="false">IF($Q435="","",PROPER(INDEX('Reguler Class Availability'!$I:$I,$Q435)&amp;"")&amp;IF(INDEX('Reguler Class Availability'!$J:$J,$Q435)&amp;""="",""," + asst "&amp;PROPER(INDEX('Reguler Class Availability'!$J:$J,$Q435)&amp;"")))</f>
        <v/>
      </c>
      <c r="I435" s="77" t="s">
        <v>482</v>
      </c>
      <c r="J435" s="77" t="s">
        <v>188</v>
      </c>
      <c r="K435" s="78"/>
      <c r="L435" s="78"/>
      <c r="M435" s="78"/>
      <c r="N435" s="79"/>
      <c r="O435" s="78"/>
      <c r="Q435" s="30" t="n">
        <f aca="false">IFERROR(MATCH($B$4&amp;"|- Lane "&amp;D435&amp;" - "&amp;B435&amp;"|"&amp;C435,'Reguler Class Availability'!$L:$L,0),"")</f>
        <v>2145</v>
      </c>
    </row>
    <row r="436" customFormat="false" ht="65.25" hidden="false" customHeight="true" outlineLevel="0" collapsed="false">
      <c r="A436" s="76" t="n">
        <v>310</v>
      </c>
      <c r="B436" s="77" t="s">
        <v>119</v>
      </c>
      <c r="C436" s="76" t="s">
        <v>156</v>
      </c>
      <c r="D436" s="76" t="n">
        <v>4</v>
      </c>
      <c r="E436" s="77" t="str">
        <f aca="false">IF($Q436="","Tidak ada di data",IF(AND(IFERROR(--(INDEX('Reguler Class Availability'!$F:$F,$Q436)&amp;""),0)=0,IFERROR(--(INDEX('Reguler Class Availability'!$G:$G,$Q436)&amp;""),0)=0),"Tutup",IF(IFERROR(--(INDEX('Reguler Class Availability'!$G:$G,$Q436)&amp;""),0)&gt;IFERROR(--(INDEX('Reguler Class Availability'!$F:$F,$Q436)&amp;""),0),"Lebih",IF(IFERROR(--(INDEX('Reguler Class Availability'!$G:$G,$Q436)&amp;""),0)=IFERROR(--(INDEX('Reguler Class Availability'!$F:$F,$Q436)&amp;""),0),"Penuh",IF(IFERROR(--(INDEX('Reguler Class Availability'!$G:$G,$Q436)&amp;""),0)=0,IF(INDEX('Reguler Class Availability'!$B:$B,$Q436)&amp;""="","Kosong","Belum terisi"),IF(IFERROR(--(INDEX('Reguler Class Availability'!$G:$G,$Q436)&amp;""),0)/IFERROR(--(INDEX('Reguler Class Availability'!$F:$F,$Q436)&amp;""),0)&gt;=0.6,"Tinggi","Sebagian"))))))</f>
        <v>Belum terisi</v>
      </c>
      <c r="F436" s="77" t="str">
        <f aca="false">IF($Q436="","",PROPER(INDEX('Reguler Class Availability'!$B:$B,$Q436)&amp;""))</f>
        <v>Kids</v>
      </c>
      <c r="G436" s="76" t="n">
        <f aca="false">IF($Q436="","",IFERROR(--(INDEX('Reguler Class Availability'!$F:$F,$Q436)&amp;""),0))</f>
        <v>4</v>
      </c>
      <c r="H436" s="77" t="str">
        <f aca="false">IF($Q436="","",PROPER(INDEX('Reguler Class Availability'!$I:$I,$Q436)&amp;"")&amp;IF(INDEX('Reguler Class Availability'!$J:$J,$Q436)&amp;""="",""," + asst "&amp;PROPER(INDEX('Reguler Class Availability'!$J:$J,$Q436)&amp;"")))</f>
        <v/>
      </c>
      <c r="I436" s="77" t="s">
        <v>482</v>
      </c>
      <c r="J436" s="77" t="s">
        <v>188</v>
      </c>
      <c r="K436" s="78"/>
      <c r="L436" s="78"/>
      <c r="M436" s="78"/>
      <c r="N436" s="79"/>
      <c r="O436" s="78"/>
      <c r="Q436" s="30" t="n">
        <f aca="false">IFERROR(MATCH($B$4&amp;"|- Lane "&amp;D436&amp;" - "&amp;B436&amp;"|"&amp;C436,'Reguler Class Availability'!$L:$L,0),"")</f>
        <v>2229</v>
      </c>
    </row>
    <row r="437" customFormat="false" ht="65.25" hidden="false" customHeight="true" outlineLevel="0" collapsed="false">
      <c r="A437" s="76" t="n">
        <v>311</v>
      </c>
      <c r="B437" s="77" t="s">
        <v>119</v>
      </c>
      <c r="C437" s="76" t="s">
        <v>160</v>
      </c>
      <c r="D437" s="76" t="n">
        <v>1</v>
      </c>
      <c r="E437" s="77" t="str">
        <f aca="false">IF($Q437="","Tidak ada di data",IF(AND(IFERROR(--(INDEX('Reguler Class Availability'!$F:$F,$Q437)&amp;""),0)=0,IFERROR(--(INDEX('Reguler Class Availability'!$G:$G,$Q437)&amp;""),0)=0),"Tutup",IF(IFERROR(--(INDEX('Reguler Class Availability'!$G:$G,$Q437)&amp;""),0)&gt;IFERROR(--(INDEX('Reguler Class Availability'!$F:$F,$Q437)&amp;""),0),"Lebih",IF(IFERROR(--(INDEX('Reguler Class Availability'!$G:$G,$Q437)&amp;""),0)=IFERROR(--(INDEX('Reguler Class Availability'!$F:$F,$Q437)&amp;""),0),"Penuh",IF(IFERROR(--(INDEX('Reguler Class Availability'!$G:$G,$Q437)&amp;""),0)=0,IF(INDEX('Reguler Class Availability'!$B:$B,$Q437)&amp;""="","Kosong","Belum terisi"),IF(IFERROR(--(INDEX('Reguler Class Availability'!$G:$G,$Q437)&amp;""),0)/IFERROR(--(INDEX('Reguler Class Availability'!$F:$F,$Q437)&amp;""),0)&gt;=0.6,"Tinggi","Sebagian"))))))</f>
        <v>Belum terisi</v>
      </c>
      <c r="F437" s="77" t="str">
        <f aca="false">IF($Q437="","",PROPER(INDEX('Reguler Class Availability'!$B:$B,$Q437)&amp;""))</f>
        <v>Star</v>
      </c>
      <c r="G437" s="76" t="n">
        <f aca="false">IF($Q437="","",IFERROR(--(INDEX('Reguler Class Availability'!$F:$F,$Q437)&amp;""),0))</f>
        <v>8</v>
      </c>
      <c r="H437" s="77" t="str">
        <f aca="false">IF($Q437="","",PROPER(INDEX('Reguler Class Availability'!$I:$I,$Q437)&amp;"")&amp;IF(INDEX('Reguler Class Availability'!$J:$J,$Q437)&amp;""="",""," + asst "&amp;PROPER(INDEX('Reguler Class Availability'!$J:$J,$Q437)&amp;"")))</f>
        <v/>
      </c>
      <c r="I437" s="77" t="s">
        <v>482</v>
      </c>
      <c r="J437" s="77" t="s">
        <v>186</v>
      </c>
      <c r="K437" s="78"/>
      <c r="L437" s="78"/>
      <c r="M437" s="78"/>
      <c r="N437" s="79"/>
      <c r="O437" s="78"/>
      <c r="Q437" s="30" t="n">
        <f aca="false">IFERROR(MATCH($B$4&amp;"|- Lane "&amp;D437&amp;" - "&amp;B437&amp;"|"&amp;C437,'Reguler Class Availability'!$L:$L,0),"")</f>
        <v>1988</v>
      </c>
    </row>
    <row r="438" customFormat="false" ht="40.5" hidden="false" customHeight="true" outlineLevel="0" collapsed="false">
      <c r="A438" s="76" t="n">
        <v>312</v>
      </c>
      <c r="B438" s="77" t="s">
        <v>80</v>
      </c>
      <c r="C438" s="76" t="s">
        <v>91</v>
      </c>
      <c r="D438" s="76" t="n">
        <v>1</v>
      </c>
      <c r="E438" s="77" t="str">
        <f aca="false">IF($Q438="","Tidak ada di data",IF(AND(IFERROR(--(INDEX('Reguler Class Availability'!$F:$F,$Q438)&amp;""),0)=0,IFERROR(--(INDEX('Reguler Class Availability'!$G:$G,$Q438)&amp;""),0)=0),"Tutup",IF(IFERROR(--(INDEX('Reguler Class Availability'!$G:$G,$Q438)&amp;""),0)&gt;IFERROR(--(INDEX('Reguler Class Availability'!$F:$F,$Q438)&amp;""),0),"Lebih",IF(IFERROR(--(INDEX('Reguler Class Availability'!$G:$G,$Q438)&amp;""),0)=IFERROR(--(INDEX('Reguler Class Availability'!$F:$F,$Q438)&amp;""),0),"Penuh",IF(IFERROR(--(INDEX('Reguler Class Availability'!$G:$G,$Q438)&amp;""),0)=0,IF(INDEX('Reguler Class Availability'!$B:$B,$Q438)&amp;""="","Kosong","Belum terisi"),IF(IFERROR(--(INDEX('Reguler Class Availability'!$G:$G,$Q438)&amp;""),0)/IFERROR(--(INDEX('Reguler Class Availability'!$F:$F,$Q438)&amp;""),0)&gt;=0.6,"Tinggi","Sebagian"))))))</f>
        <v>Belum terisi</v>
      </c>
      <c r="F438" s="77" t="str">
        <f aca="false">IF($Q438="","",PROPER(INDEX('Reguler Class Availability'!$B:$B,$Q438)&amp;""))</f>
        <v>Star</v>
      </c>
      <c r="G438" s="76" t="n">
        <f aca="false">IF($Q438="","",IFERROR(--(INDEX('Reguler Class Availability'!$F:$F,$Q438)&amp;""),0))</f>
        <v>8</v>
      </c>
      <c r="H438" s="77" t="str">
        <f aca="false">IF($Q438="","",PROPER(INDEX('Reguler Class Availability'!$I:$I,$Q438)&amp;"")&amp;IF(INDEX('Reguler Class Availability'!$J:$J,$Q438)&amp;""="",""," + asst "&amp;PROPER(INDEX('Reguler Class Availability'!$J:$J,$Q438)&amp;"")))</f>
        <v/>
      </c>
      <c r="I438" s="77" t="s">
        <v>494</v>
      </c>
      <c r="J438" s="77" t="s">
        <v>186</v>
      </c>
      <c r="K438" s="78"/>
      <c r="L438" s="78"/>
      <c r="M438" s="78"/>
      <c r="N438" s="79"/>
      <c r="O438" s="78"/>
      <c r="Q438" s="30" t="n">
        <f aca="false">IFERROR(MATCH($B$4&amp;"|- Lane "&amp;D438&amp;" - "&amp;B438&amp;"|"&amp;C438,'Reguler Class Availability'!$L:$L,0),"")</f>
        <v>1982</v>
      </c>
    </row>
    <row r="439" customFormat="false" ht="40.5" hidden="false" customHeight="true" outlineLevel="0" collapsed="false">
      <c r="A439" s="76" t="n">
        <v>313</v>
      </c>
      <c r="B439" s="77" t="s">
        <v>80</v>
      </c>
      <c r="C439" s="76" t="s">
        <v>105</v>
      </c>
      <c r="D439" s="76" t="n">
        <v>1</v>
      </c>
      <c r="E439" s="77" t="str">
        <f aca="false">IF($Q439="","Tidak ada di data",IF(AND(IFERROR(--(INDEX('Reguler Class Availability'!$F:$F,$Q439)&amp;""),0)=0,IFERROR(--(INDEX('Reguler Class Availability'!$G:$G,$Q439)&amp;""),0)=0),"Tutup",IF(IFERROR(--(INDEX('Reguler Class Availability'!$G:$G,$Q439)&amp;""),0)&gt;IFERROR(--(INDEX('Reguler Class Availability'!$F:$F,$Q439)&amp;""),0),"Lebih",IF(IFERROR(--(INDEX('Reguler Class Availability'!$G:$G,$Q439)&amp;""),0)=IFERROR(--(INDEX('Reguler Class Availability'!$F:$F,$Q439)&amp;""),0),"Penuh",IF(IFERROR(--(INDEX('Reguler Class Availability'!$G:$G,$Q439)&amp;""),0)=0,IF(INDEX('Reguler Class Availability'!$B:$B,$Q439)&amp;""="","Kosong","Belum terisi"),IF(IFERROR(--(INDEX('Reguler Class Availability'!$G:$G,$Q439)&amp;""),0)/IFERROR(--(INDEX('Reguler Class Availability'!$F:$F,$Q439)&amp;""),0)&gt;=0.6,"Tinggi","Sebagian"))))))</f>
        <v>Belum terisi</v>
      </c>
      <c r="F439" s="77" t="str">
        <f aca="false">IF($Q439="","",PROPER(INDEX('Reguler Class Availability'!$B:$B,$Q439)&amp;""))</f>
        <v>Baby</v>
      </c>
      <c r="G439" s="76" t="n">
        <f aca="false">IF($Q439="","",IFERROR(--(INDEX('Reguler Class Availability'!$F:$F,$Q439)&amp;""),0))</f>
        <v>5</v>
      </c>
      <c r="H439" s="77" t="str">
        <f aca="false">IF($Q439="","",PROPER(INDEX('Reguler Class Availability'!$I:$I,$Q439)&amp;"")&amp;IF(INDEX('Reguler Class Availability'!$J:$J,$Q439)&amp;""="",""," + asst "&amp;PROPER(INDEX('Reguler Class Availability'!$J:$J,$Q439)&amp;"")))</f>
        <v/>
      </c>
      <c r="I439" s="77" t="s">
        <v>494</v>
      </c>
      <c r="J439" s="77" t="s">
        <v>188</v>
      </c>
      <c r="K439" s="78"/>
      <c r="L439" s="78"/>
      <c r="M439" s="78"/>
      <c r="N439" s="79"/>
      <c r="O439" s="78"/>
      <c r="Q439" s="30" t="n">
        <f aca="false">IFERROR(MATCH($B$4&amp;"|- Lane "&amp;D439&amp;" - "&amp;B439&amp;"|"&amp;C439,'Reguler Class Availability'!$L:$L,0),"")</f>
        <v>1964</v>
      </c>
    </row>
    <row r="440" customFormat="false" ht="40.5" hidden="false" customHeight="true" outlineLevel="0" collapsed="false">
      <c r="A440" s="76" t="n">
        <v>314</v>
      </c>
      <c r="B440" s="77" t="s">
        <v>80</v>
      </c>
      <c r="C440" s="76" t="s">
        <v>105</v>
      </c>
      <c r="D440" s="76" t="n">
        <v>2</v>
      </c>
      <c r="E440" s="77" t="str">
        <f aca="false">IF($Q440="","Tidak ada di data",IF(AND(IFERROR(--(INDEX('Reguler Class Availability'!$F:$F,$Q440)&amp;""),0)=0,IFERROR(--(INDEX('Reguler Class Availability'!$G:$G,$Q440)&amp;""),0)=0),"Tutup",IF(IFERROR(--(INDEX('Reguler Class Availability'!$G:$G,$Q440)&amp;""),0)&gt;IFERROR(--(INDEX('Reguler Class Availability'!$F:$F,$Q440)&amp;""),0),"Lebih",IF(IFERROR(--(INDEX('Reguler Class Availability'!$G:$G,$Q440)&amp;""),0)=IFERROR(--(INDEX('Reguler Class Availability'!$F:$F,$Q440)&amp;""),0),"Penuh",IF(IFERROR(--(INDEX('Reguler Class Availability'!$G:$G,$Q440)&amp;""),0)=0,IF(INDEX('Reguler Class Availability'!$B:$B,$Q440)&amp;""="","Kosong","Belum terisi"),IF(IFERROR(--(INDEX('Reguler Class Availability'!$G:$G,$Q440)&amp;""),0)/IFERROR(--(INDEX('Reguler Class Availability'!$F:$F,$Q440)&amp;""),0)&gt;=0.6,"Tinggi","Sebagian"))))))</f>
        <v>Belum terisi</v>
      </c>
      <c r="F440" s="77" t="str">
        <f aca="false">IF($Q440="","",PROPER(INDEX('Reguler Class Availability'!$B:$B,$Q440)&amp;""))</f>
        <v>Tiny</v>
      </c>
      <c r="G440" s="76" t="n">
        <f aca="false">IF($Q440="","",IFERROR(--(INDEX('Reguler Class Availability'!$F:$F,$Q440)&amp;""),0))</f>
        <v>5</v>
      </c>
      <c r="H440" s="77" t="str">
        <f aca="false">IF($Q440="","",PROPER(INDEX('Reguler Class Availability'!$I:$I,$Q440)&amp;"")&amp;IF(INDEX('Reguler Class Availability'!$J:$J,$Q440)&amp;""="",""," + asst "&amp;PROPER(INDEX('Reguler Class Availability'!$J:$J,$Q440)&amp;"")))</f>
        <v/>
      </c>
      <c r="I440" s="77" t="s">
        <v>494</v>
      </c>
      <c r="J440" s="77" t="s">
        <v>188</v>
      </c>
      <c r="K440" s="78"/>
      <c r="L440" s="78"/>
      <c r="M440" s="78"/>
      <c r="N440" s="79"/>
      <c r="O440" s="78"/>
      <c r="Q440" s="30" t="n">
        <f aca="false">IFERROR(MATCH($B$4&amp;"|- Lane "&amp;D440&amp;" - "&amp;B440&amp;"|"&amp;C440,'Reguler Class Availability'!$L:$L,0),"")</f>
        <v>2062</v>
      </c>
    </row>
    <row r="441" customFormat="false" ht="40.5" hidden="false" customHeight="true" outlineLevel="0" collapsed="false">
      <c r="A441" s="76" t="n">
        <v>315</v>
      </c>
      <c r="B441" s="77" t="s">
        <v>80</v>
      </c>
      <c r="C441" s="76" t="s">
        <v>105</v>
      </c>
      <c r="D441" s="76" t="n">
        <v>5</v>
      </c>
      <c r="E441" s="77" t="str">
        <f aca="false">IF($Q441="","Tidak ada di data",IF(AND(IFERROR(--(INDEX('Reguler Class Availability'!$F:$F,$Q441)&amp;""),0)=0,IFERROR(--(INDEX('Reguler Class Availability'!$G:$G,$Q441)&amp;""),0)=0),"Tutup",IF(IFERROR(--(INDEX('Reguler Class Availability'!$G:$G,$Q441)&amp;""),0)&gt;IFERROR(--(INDEX('Reguler Class Availability'!$F:$F,$Q441)&amp;""),0),"Lebih",IF(IFERROR(--(INDEX('Reguler Class Availability'!$G:$G,$Q441)&amp;""),0)=IFERROR(--(INDEX('Reguler Class Availability'!$F:$F,$Q441)&amp;""),0),"Penuh",IF(IFERROR(--(INDEX('Reguler Class Availability'!$G:$G,$Q441)&amp;""),0)=0,IF(INDEX('Reguler Class Availability'!$B:$B,$Q441)&amp;""="","Kosong","Belum terisi"),IF(IFERROR(--(INDEX('Reguler Class Availability'!$G:$G,$Q441)&amp;""),0)/IFERROR(--(INDEX('Reguler Class Availability'!$F:$F,$Q441)&amp;""),0)&gt;=0.6,"Tinggi","Sebagian"))))))</f>
        <v>Kosong</v>
      </c>
      <c r="F441" s="77" t="str">
        <f aca="false">IF($Q441="","",PROPER(INDEX('Reguler Class Availability'!$B:$B,$Q441)&amp;""))</f>
        <v/>
      </c>
      <c r="G441" s="76" t="n">
        <f aca="false">IF($Q441="","",IFERROR(--(INDEX('Reguler Class Availability'!$F:$F,$Q441)&amp;""),0))</f>
        <v>4</v>
      </c>
      <c r="H441" s="77" t="str">
        <f aca="false">IF($Q441="","",PROPER(INDEX('Reguler Class Availability'!$I:$I,$Q441)&amp;"")&amp;IF(INDEX('Reguler Class Availability'!$J:$J,$Q441)&amp;""="",""," + asst "&amp;PROPER(INDEX('Reguler Class Availability'!$J:$J,$Q441)&amp;"")))</f>
        <v/>
      </c>
      <c r="I441" s="77" t="s">
        <v>494</v>
      </c>
      <c r="J441" s="77" t="s">
        <v>188</v>
      </c>
      <c r="K441" s="78"/>
      <c r="L441" s="78"/>
      <c r="M441" s="78"/>
      <c r="N441" s="79"/>
      <c r="O441" s="78"/>
      <c r="Q441" s="30" t="n">
        <f aca="false">IFERROR(MATCH($B$4&amp;"|- Lane "&amp;D441&amp;" - "&amp;B441&amp;"|"&amp;C441,'Reguler Class Availability'!$L:$L,0),"")</f>
        <v>2314</v>
      </c>
    </row>
    <row r="442" customFormat="false" ht="27.75" hidden="false" customHeight="true" outlineLevel="0" collapsed="false">
      <c r="A442" s="76" t="n">
        <v>316</v>
      </c>
      <c r="B442" s="77" t="s">
        <v>80</v>
      </c>
      <c r="C442" s="76" t="s">
        <v>110</v>
      </c>
      <c r="D442" s="76" t="n">
        <v>3</v>
      </c>
      <c r="E442" s="77" t="str">
        <f aca="false">IF($Q442="","Tidak ada di data",IF(AND(IFERROR(--(INDEX('Reguler Class Availability'!$F:$F,$Q442)&amp;""),0)=0,IFERROR(--(INDEX('Reguler Class Availability'!$G:$G,$Q442)&amp;""),0)=0),"Tutup",IF(IFERROR(--(INDEX('Reguler Class Availability'!$G:$G,$Q442)&amp;""),0)&gt;IFERROR(--(INDEX('Reguler Class Availability'!$F:$F,$Q442)&amp;""),0),"Lebih",IF(IFERROR(--(INDEX('Reguler Class Availability'!$G:$G,$Q442)&amp;""),0)=IFERROR(--(INDEX('Reguler Class Availability'!$F:$F,$Q442)&amp;""),0),"Penuh",IF(IFERROR(--(INDEX('Reguler Class Availability'!$G:$G,$Q442)&amp;""),0)=0,IF(INDEX('Reguler Class Availability'!$B:$B,$Q442)&amp;""="","Kosong","Belum terisi"),IF(IFERROR(--(INDEX('Reguler Class Availability'!$G:$G,$Q442)&amp;""),0)/IFERROR(--(INDEX('Reguler Class Availability'!$F:$F,$Q442)&amp;""),0)&gt;=0.6,"Tinggi","Sebagian"))))))</f>
        <v>Belum terisi</v>
      </c>
      <c r="F442" s="77" t="str">
        <f aca="false">IF($Q442="","",PROPER(INDEX('Reguler Class Availability'!$B:$B,$Q442)&amp;""))</f>
        <v>Little</v>
      </c>
      <c r="G442" s="76" t="n">
        <f aca="false">IF($Q442="","",IFERROR(--(INDEX('Reguler Class Availability'!$F:$F,$Q442)&amp;""),0))</f>
        <v>4</v>
      </c>
      <c r="H442" s="77" t="str">
        <f aca="false">IF($Q442="","",PROPER(INDEX('Reguler Class Availability'!$I:$I,$Q442)&amp;"")&amp;IF(INDEX('Reguler Class Availability'!$J:$J,$Q442)&amp;""="",""," + asst "&amp;PROPER(INDEX('Reguler Class Availability'!$J:$J,$Q442)&amp;"")))</f>
        <v/>
      </c>
      <c r="I442" s="77" t="s">
        <v>495</v>
      </c>
      <c r="J442" s="77" t="s">
        <v>188</v>
      </c>
      <c r="K442" s="78"/>
      <c r="L442" s="78"/>
      <c r="M442" s="78"/>
      <c r="N442" s="79"/>
      <c r="O442" s="78"/>
      <c r="Q442" s="30" t="n">
        <f aca="false">IFERROR(MATCH($B$4&amp;"|- Lane "&amp;D442&amp;" - "&amp;B442&amp;"|"&amp;C442,'Reguler Class Availability'!$L:$L,0),"")</f>
        <v>2146</v>
      </c>
    </row>
    <row r="443" customFormat="false" ht="27.75" hidden="false" customHeight="true" outlineLevel="0" collapsed="false">
      <c r="A443" s="76" t="n">
        <v>317</v>
      </c>
      <c r="B443" s="77" t="s">
        <v>80</v>
      </c>
      <c r="C443" s="76" t="s">
        <v>110</v>
      </c>
      <c r="D443" s="76" t="n">
        <v>4</v>
      </c>
      <c r="E443" s="77" t="str">
        <f aca="false">IF($Q443="","Tidak ada di data",IF(AND(IFERROR(--(INDEX('Reguler Class Availability'!$F:$F,$Q443)&amp;""),0)=0,IFERROR(--(INDEX('Reguler Class Availability'!$G:$G,$Q443)&amp;""),0)=0),"Tutup",IF(IFERROR(--(INDEX('Reguler Class Availability'!$G:$G,$Q443)&amp;""),0)&gt;IFERROR(--(INDEX('Reguler Class Availability'!$F:$F,$Q443)&amp;""),0),"Lebih",IF(IFERROR(--(INDEX('Reguler Class Availability'!$G:$G,$Q443)&amp;""),0)=IFERROR(--(INDEX('Reguler Class Availability'!$F:$F,$Q443)&amp;""),0),"Penuh",IF(IFERROR(--(INDEX('Reguler Class Availability'!$G:$G,$Q443)&amp;""),0)=0,IF(INDEX('Reguler Class Availability'!$B:$B,$Q443)&amp;""="","Kosong","Belum terisi"),IF(IFERROR(--(INDEX('Reguler Class Availability'!$G:$G,$Q443)&amp;""),0)/IFERROR(--(INDEX('Reguler Class Availability'!$F:$F,$Q443)&amp;""),0)&gt;=0.6,"Tinggi","Sebagian"))))))</f>
        <v>Belum terisi</v>
      </c>
      <c r="F443" s="77" t="str">
        <f aca="false">IF($Q443="","",PROPER(INDEX('Reguler Class Availability'!$B:$B,$Q443)&amp;""))</f>
        <v>Kids</v>
      </c>
      <c r="G443" s="76" t="n">
        <f aca="false">IF($Q443="","",IFERROR(--(INDEX('Reguler Class Availability'!$F:$F,$Q443)&amp;""),0))</f>
        <v>4</v>
      </c>
      <c r="H443" s="77" t="str">
        <f aca="false">IF($Q443="","",PROPER(INDEX('Reguler Class Availability'!$I:$I,$Q443)&amp;"")&amp;IF(INDEX('Reguler Class Availability'!$J:$J,$Q443)&amp;""="",""," + asst "&amp;PROPER(INDEX('Reguler Class Availability'!$J:$J,$Q443)&amp;"")))</f>
        <v/>
      </c>
      <c r="I443" s="77" t="s">
        <v>495</v>
      </c>
      <c r="J443" s="77" t="s">
        <v>188</v>
      </c>
      <c r="K443" s="78"/>
      <c r="L443" s="78"/>
      <c r="M443" s="78"/>
      <c r="N443" s="79"/>
      <c r="O443" s="78"/>
      <c r="Q443" s="30" t="n">
        <f aca="false">IFERROR(MATCH($B$4&amp;"|- Lane "&amp;D443&amp;" - "&amp;B443&amp;"|"&amp;C443,'Reguler Class Availability'!$L:$L,0),"")</f>
        <v>2230</v>
      </c>
    </row>
    <row r="444" customFormat="false" ht="15.75" hidden="false" customHeight="true" outlineLevel="0" collapsed="false">
      <c r="A444" s="76" t="n">
        <v>318</v>
      </c>
      <c r="B444" s="77" t="s">
        <v>80</v>
      </c>
      <c r="C444" s="76" t="s">
        <v>120</v>
      </c>
      <c r="D444" s="76" t="n">
        <v>1</v>
      </c>
      <c r="E444" s="77" t="str">
        <f aca="false">IF($Q444="","Tidak ada di data",IF(AND(IFERROR(--(INDEX('Reguler Class Availability'!$F:$F,$Q444)&amp;""),0)=0,IFERROR(--(INDEX('Reguler Class Availability'!$G:$G,$Q444)&amp;""),0)=0),"Tutup",IF(IFERROR(--(INDEX('Reguler Class Availability'!$G:$G,$Q444)&amp;""),0)&gt;IFERROR(--(INDEX('Reguler Class Availability'!$F:$F,$Q444)&amp;""),0),"Lebih",IF(IFERROR(--(INDEX('Reguler Class Availability'!$G:$G,$Q444)&amp;""),0)=IFERROR(--(INDEX('Reguler Class Availability'!$F:$F,$Q444)&amp;""),0),"Penuh",IF(IFERROR(--(INDEX('Reguler Class Availability'!$G:$G,$Q444)&amp;""),0)=0,IF(INDEX('Reguler Class Availability'!$B:$B,$Q444)&amp;""="","Kosong","Belum terisi"),IF(IFERROR(--(INDEX('Reguler Class Availability'!$G:$G,$Q444)&amp;""),0)/IFERROR(--(INDEX('Reguler Class Availability'!$F:$F,$Q444)&amp;""),0)&gt;=0.6,"Tinggi","Sebagian"))))))</f>
        <v>Belum terisi</v>
      </c>
      <c r="F444" s="77" t="str">
        <f aca="false">IF($Q444="","",PROPER(INDEX('Reguler Class Availability'!$B:$B,$Q444)&amp;""))</f>
        <v>Baby</v>
      </c>
      <c r="G444" s="76" t="n">
        <f aca="false">IF($Q444="","",IFERROR(--(INDEX('Reguler Class Availability'!$F:$F,$Q444)&amp;""),0))</f>
        <v>5</v>
      </c>
      <c r="H444" s="77" t="str">
        <f aca="false">IF($Q444="","",PROPER(INDEX('Reguler Class Availability'!$I:$I,$Q444)&amp;"")&amp;IF(INDEX('Reguler Class Availability'!$J:$J,$Q444)&amp;""="",""," + asst "&amp;PROPER(INDEX('Reguler Class Availability'!$J:$J,$Q444)&amp;"")))</f>
        <v/>
      </c>
      <c r="I444" s="77" t="s">
        <v>461</v>
      </c>
      <c r="J444" s="77" t="s">
        <v>188</v>
      </c>
      <c r="K444" s="78"/>
      <c r="L444" s="78"/>
      <c r="M444" s="78"/>
      <c r="N444" s="79"/>
      <c r="O444" s="78"/>
      <c r="Q444" s="30" t="n">
        <f aca="false">IFERROR(MATCH($B$4&amp;"|- Lane "&amp;D444&amp;" - "&amp;B444&amp;"|"&amp;C444,'Reguler Class Availability'!$L:$L,0),"")</f>
        <v>1965</v>
      </c>
    </row>
    <row r="445" customFormat="false" ht="15.75" hidden="false" customHeight="true" outlineLevel="0" collapsed="false">
      <c r="A445" s="76" t="n">
        <v>319</v>
      </c>
      <c r="B445" s="77" t="s">
        <v>80</v>
      </c>
      <c r="C445" s="76" t="s">
        <v>120</v>
      </c>
      <c r="D445" s="76" t="n">
        <v>5</v>
      </c>
      <c r="E445" s="77" t="str">
        <f aca="false">IF($Q445="","Tidak ada di data",IF(AND(IFERROR(--(INDEX('Reguler Class Availability'!$F:$F,$Q445)&amp;""),0)=0,IFERROR(--(INDEX('Reguler Class Availability'!$G:$G,$Q445)&amp;""),0)=0),"Tutup",IF(IFERROR(--(INDEX('Reguler Class Availability'!$G:$G,$Q445)&amp;""),0)&gt;IFERROR(--(INDEX('Reguler Class Availability'!$F:$F,$Q445)&amp;""),0),"Lebih",IF(IFERROR(--(INDEX('Reguler Class Availability'!$G:$G,$Q445)&amp;""),0)=IFERROR(--(INDEX('Reguler Class Availability'!$F:$F,$Q445)&amp;""),0),"Penuh",IF(IFERROR(--(INDEX('Reguler Class Availability'!$G:$G,$Q445)&amp;""),0)=0,IF(INDEX('Reguler Class Availability'!$B:$B,$Q445)&amp;""="","Kosong","Belum terisi"),IF(IFERROR(--(INDEX('Reguler Class Availability'!$G:$G,$Q445)&amp;""),0)/IFERROR(--(INDEX('Reguler Class Availability'!$F:$F,$Q445)&amp;""),0)&gt;=0.6,"Tinggi","Sebagian"))))))</f>
        <v>Kosong</v>
      </c>
      <c r="F445" s="77" t="str">
        <f aca="false">IF($Q445="","",PROPER(INDEX('Reguler Class Availability'!$B:$B,$Q445)&amp;""))</f>
        <v/>
      </c>
      <c r="G445" s="76" t="n">
        <f aca="false">IF($Q445="","",IFERROR(--(INDEX('Reguler Class Availability'!$F:$F,$Q445)&amp;""),0))</f>
        <v>4</v>
      </c>
      <c r="H445" s="77" t="str">
        <f aca="false">IF($Q445="","",PROPER(INDEX('Reguler Class Availability'!$I:$I,$Q445)&amp;"")&amp;IF(INDEX('Reguler Class Availability'!$J:$J,$Q445)&amp;""="",""," + asst "&amp;PROPER(INDEX('Reguler Class Availability'!$J:$J,$Q445)&amp;"")))</f>
        <v/>
      </c>
      <c r="I445" s="77" t="s">
        <v>461</v>
      </c>
      <c r="J445" s="77" t="s">
        <v>188</v>
      </c>
      <c r="K445" s="78"/>
      <c r="L445" s="78"/>
      <c r="M445" s="78"/>
      <c r="N445" s="79"/>
      <c r="O445" s="78"/>
      <c r="Q445" s="30" t="n">
        <f aca="false">IFERROR(MATCH($B$4&amp;"|- Lane "&amp;D445&amp;" - "&amp;B445&amp;"|"&amp;C445,'Reguler Class Availability'!$L:$L,0),"")</f>
        <v>2315</v>
      </c>
    </row>
    <row r="446" customFormat="false" ht="15.75" hidden="false" customHeight="true" outlineLevel="0" collapsed="false">
      <c r="A446" s="76" t="n">
        <v>320</v>
      </c>
      <c r="B446" s="77" t="s">
        <v>80</v>
      </c>
      <c r="C446" s="76" t="s">
        <v>123</v>
      </c>
      <c r="D446" s="76" t="n">
        <v>5</v>
      </c>
      <c r="E446" s="77" t="str">
        <f aca="false">IF($Q446="","Tidak ada di data",IF(AND(IFERROR(--(INDEX('Reguler Class Availability'!$F:$F,$Q446)&amp;""),0)=0,IFERROR(--(INDEX('Reguler Class Availability'!$G:$G,$Q446)&amp;""),0)=0),"Tutup",IF(IFERROR(--(INDEX('Reguler Class Availability'!$G:$G,$Q446)&amp;""),0)&gt;IFERROR(--(INDEX('Reguler Class Availability'!$F:$F,$Q446)&amp;""),0),"Lebih",IF(IFERROR(--(INDEX('Reguler Class Availability'!$G:$G,$Q446)&amp;""),0)=IFERROR(--(INDEX('Reguler Class Availability'!$F:$F,$Q446)&amp;""),0),"Penuh",IF(IFERROR(--(INDEX('Reguler Class Availability'!$G:$G,$Q446)&amp;""),0)=0,IF(INDEX('Reguler Class Availability'!$B:$B,$Q446)&amp;""="","Kosong","Belum terisi"),IF(IFERROR(--(INDEX('Reguler Class Availability'!$G:$G,$Q446)&amp;""),0)/IFERROR(--(INDEX('Reguler Class Availability'!$F:$F,$Q446)&amp;""),0)&gt;=0.6,"Tinggi","Sebagian"))))))</f>
        <v>Kosong</v>
      </c>
      <c r="F446" s="77" t="str">
        <f aca="false">IF($Q446="","",PROPER(INDEX('Reguler Class Availability'!$B:$B,$Q446)&amp;""))</f>
        <v/>
      </c>
      <c r="G446" s="76" t="n">
        <f aca="false">IF($Q446="","",IFERROR(--(INDEX('Reguler Class Availability'!$F:$F,$Q446)&amp;""),0))</f>
        <v>4</v>
      </c>
      <c r="H446" s="77" t="str">
        <f aca="false">IF($Q446="","",PROPER(INDEX('Reguler Class Availability'!$I:$I,$Q446)&amp;"")&amp;IF(INDEX('Reguler Class Availability'!$J:$J,$Q446)&amp;""="",""," + asst "&amp;PROPER(INDEX('Reguler Class Availability'!$J:$J,$Q446)&amp;"")))</f>
        <v/>
      </c>
      <c r="I446" s="80" t="s">
        <v>199</v>
      </c>
      <c r="J446" s="77" t="s">
        <v>309</v>
      </c>
      <c r="K446" s="78"/>
      <c r="L446" s="78"/>
      <c r="M446" s="78"/>
      <c r="N446" s="79"/>
      <c r="O446" s="78"/>
      <c r="Q446" s="30" t="n">
        <f aca="false">IFERROR(MATCH($B$4&amp;"|- Lane "&amp;D446&amp;" - "&amp;B446&amp;"|"&amp;C446,'Reguler Class Availability'!$L:$L,0),"")</f>
        <v>2316</v>
      </c>
    </row>
    <row r="447" customFormat="false" ht="15.75" hidden="false" customHeight="true" outlineLevel="0" collapsed="false">
      <c r="A447" s="76" t="n">
        <v>321</v>
      </c>
      <c r="B447" s="77" t="s">
        <v>80</v>
      </c>
      <c r="C447" s="76" t="s">
        <v>124</v>
      </c>
      <c r="D447" s="76" t="n">
        <v>4</v>
      </c>
      <c r="E447" s="77" t="str">
        <f aca="false">IF($Q447="","Tidak ada di data",IF(AND(IFERROR(--(INDEX('Reguler Class Availability'!$F:$F,$Q447)&amp;""),0)=0,IFERROR(--(INDEX('Reguler Class Availability'!$G:$G,$Q447)&amp;""),0)=0),"Tutup",IF(IFERROR(--(INDEX('Reguler Class Availability'!$G:$G,$Q447)&amp;""),0)&gt;IFERROR(--(INDEX('Reguler Class Availability'!$F:$F,$Q447)&amp;""),0),"Lebih",IF(IFERROR(--(INDEX('Reguler Class Availability'!$G:$G,$Q447)&amp;""),0)=IFERROR(--(INDEX('Reguler Class Availability'!$F:$F,$Q447)&amp;""),0),"Penuh",IF(IFERROR(--(INDEX('Reguler Class Availability'!$G:$G,$Q447)&amp;""),0)=0,IF(INDEX('Reguler Class Availability'!$B:$B,$Q447)&amp;""="","Kosong","Belum terisi"),IF(IFERROR(--(INDEX('Reguler Class Availability'!$G:$G,$Q447)&amp;""),0)/IFERROR(--(INDEX('Reguler Class Availability'!$F:$F,$Q447)&amp;""),0)&gt;=0.6,"Tinggi","Sebagian"))))))</f>
        <v>Belum terisi</v>
      </c>
      <c r="F447" s="77" t="str">
        <f aca="false">IF($Q447="","",PROPER(INDEX('Reguler Class Availability'!$B:$B,$Q447)&amp;""))</f>
        <v>Kids</v>
      </c>
      <c r="G447" s="76" t="n">
        <f aca="false">IF($Q447="","",IFERROR(--(INDEX('Reguler Class Availability'!$F:$F,$Q447)&amp;""),0))</f>
        <v>4</v>
      </c>
      <c r="H447" s="77" t="str">
        <f aca="false">IF($Q447="","",PROPER(INDEX('Reguler Class Availability'!$I:$I,$Q447)&amp;"")&amp;IF(INDEX('Reguler Class Availability'!$J:$J,$Q447)&amp;""="",""," + asst "&amp;PROPER(INDEX('Reguler Class Availability'!$J:$J,$Q447)&amp;"")))</f>
        <v/>
      </c>
      <c r="I447" s="77" t="s">
        <v>454</v>
      </c>
      <c r="J447" s="77" t="s">
        <v>260</v>
      </c>
      <c r="K447" s="78"/>
      <c r="L447" s="78"/>
      <c r="M447" s="78"/>
      <c r="N447" s="79"/>
      <c r="O447" s="78"/>
      <c r="Q447" s="30" t="n">
        <f aca="false">IFERROR(MATCH($B$4&amp;"|- Lane "&amp;D447&amp;" - "&amp;B447&amp;"|"&amp;C447,'Reguler Class Availability'!$L:$L,0),"")</f>
        <v>2232</v>
      </c>
    </row>
    <row r="448" customFormat="false" ht="27.75" hidden="false" customHeight="true" outlineLevel="0" collapsed="false">
      <c r="A448" s="76" t="n">
        <v>322</v>
      </c>
      <c r="B448" s="77" t="s">
        <v>80</v>
      </c>
      <c r="C448" s="76" t="s">
        <v>126</v>
      </c>
      <c r="D448" s="76" t="n">
        <v>1</v>
      </c>
      <c r="E448" s="77" t="str">
        <f aca="false">IF($Q448="","Tidak ada di data",IF(AND(IFERROR(--(INDEX('Reguler Class Availability'!$F:$F,$Q448)&amp;""),0)=0,IFERROR(--(INDEX('Reguler Class Availability'!$G:$G,$Q448)&amp;""),0)=0),"Tutup",IF(IFERROR(--(INDEX('Reguler Class Availability'!$G:$G,$Q448)&amp;""),0)&gt;IFERROR(--(INDEX('Reguler Class Availability'!$F:$F,$Q448)&amp;""),0),"Lebih",IF(IFERROR(--(INDEX('Reguler Class Availability'!$G:$G,$Q448)&amp;""),0)=IFERROR(--(INDEX('Reguler Class Availability'!$F:$F,$Q448)&amp;""),0),"Penuh",IF(IFERROR(--(INDEX('Reguler Class Availability'!$G:$G,$Q448)&amp;""),0)=0,IF(INDEX('Reguler Class Availability'!$B:$B,$Q448)&amp;""="","Kosong","Belum terisi"),IF(IFERROR(--(INDEX('Reguler Class Availability'!$G:$G,$Q448)&amp;""),0)/IFERROR(--(INDEX('Reguler Class Availability'!$F:$F,$Q448)&amp;""),0)&gt;=0.6,"Tinggi","Sebagian"))))))</f>
        <v>Belum terisi</v>
      </c>
      <c r="F448" s="77" t="str">
        <f aca="false">IF($Q448="","",PROPER(INDEX('Reguler Class Availability'!$B:$B,$Q448)&amp;""))</f>
        <v>Baby</v>
      </c>
      <c r="G448" s="76" t="n">
        <f aca="false">IF($Q448="","",IFERROR(--(INDEX('Reguler Class Availability'!$F:$F,$Q448)&amp;""),0))</f>
        <v>5</v>
      </c>
      <c r="H448" s="77" t="str">
        <f aca="false">IF($Q448="","",PROPER(INDEX('Reguler Class Availability'!$I:$I,$Q448)&amp;"")&amp;IF(INDEX('Reguler Class Availability'!$J:$J,$Q448)&amp;""="",""," + asst "&amp;PROPER(INDEX('Reguler Class Availability'!$J:$J,$Q448)&amp;"")))</f>
        <v/>
      </c>
      <c r="I448" s="77" t="s">
        <v>467</v>
      </c>
      <c r="J448" s="77" t="s">
        <v>188</v>
      </c>
      <c r="K448" s="78"/>
      <c r="L448" s="78"/>
      <c r="M448" s="78"/>
      <c r="N448" s="79"/>
      <c r="O448" s="78"/>
      <c r="Q448" s="30" t="n">
        <f aca="false">IFERROR(MATCH($B$4&amp;"|- Lane "&amp;D448&amp;" - "&amp;B448&amp;"|"&amp;C448,'Reguler Class Availability'!$L:$L,0),"")</f>
        <v>1967</v>
      </c>
    </row>
    <row r="449" customFormat="false" ht="27.75" hidden="false" customHeight="true" outlineLevel="0" collapsed="false">
      <c r="A449" s="76" t="n">
        <v>323</v>
      </c>
      <c r="B449" s="77" t="s">
        <v>80</v>
      </c>
      <c r="C449" s="76" t="s">
        <v>126</v>
      </c>
      <c r="D449" s="76" t="n">
        <v>2</v>
      </c>
      <c r="E449" s="77" t="str">
        <f aca="false">IF($Q449="","Tidak ada di data",IF(AND(IFERROR(--(INDEX('Reguler Class Availability'!$F:$F,$Q449)&amp;""),0)=0,IFERROR(--(INDEX('Reguler Class Availability'!$G:$G,$Q449)&amp;""),0)=0),"Tutup",IF(IFERROR(--(INDEX('Reguler Class Availability'!$G:$G,$Q449)&amp;""),0)&gt;IFERROR(--(INDEX('Reguler Class Availability'!$F:$F,$Q449)&amp;""),0),"Lebih",IF(IFERROR(--(INDEX('Reguler Class Availability'!$G:$G,$Q449)&amp;""),0)=IFERROR(--(INDEX('Reguler Class Availability'!$F:$F,$Q449)&amp;""),0),"Penuh",IF(IFERROR(--(INDEX('Reguler Class Availability'!$G:$G,$Q449)&amp;""),0)=0,IF(INDEX('Reguler Class Availability'!$B:$B,$Q449)&amp;""="","Kosong","Belum terisi"),IF(IFERROR(--(INDEX('Reguler Class Availability'!$G:$G,$Q449)&amp;""),0)/IFERROR(--(INDEX('Reguler Class Availability'!$F:$F,$Q449)&amp;""),0)&gt;=0.6,"Tinggi","Sebagian"))))))</f>
        <v>Belum terisi</v>
      </c>
      <c r="F449" s="77" t="str">
        <f aca="false">IF($Q449="","",PROPER(INDEX('Reguler Class Availability'!$B:$B,$Q449)&amp;""))</f>
        <v>Tiny</v>
      </c>
      <c r="G449" s="76" t="n">
        <f aca="false">IF($Q449="","",IFERROR(--(INDEX('Reguler Class Availability'!$F:$F,$Q449)&amp;""),0))</f>
        <v>5</v>
      </c>
      <c r="H449" s="77" t="str">
        <f aca="false">IF($Q449="","",PROPER(INDEX('Reguler Class Availability'!$I:$I,$Q449)&amp;"")&amp;IF(INDEX('Reguler Class Availability'!$J:$J,$Q449)&amp;""="",""," + asst "&amp;PROPER(INDEX('Reguler Class Availability'!$J:$J,$Q449)&amp;"")))</f>
        <v/>
      </c>
      <c r="I449" s="77" t="s">
        <v>467</v>
      </c>
      <c r="J449" s="77" t="s">
        <v>188</v>
      </c>
      <c r="K449" s="78"/>
      <c r="L449" s="78"/>
      <c r="M449" s="78"/>
      <c r="N449" s="79"/>
      <c r="O449" s="78"/>
      <c r="Q449" s="30" t="n">
        <f aca="false">IFERROR(MATCH($B$4&amp;"|- Lane "&amp;D449&amp;" - "&amp;B449&amp;"|"&amp;C449,'Reguler Class Availability'!$L:$L,0),"")</f>
        <v>2065</v>
      </c>
    </row>
    <row r="450" customFormat="false" ht="27.75" hidden="false" customHeight="true" outlineLevel="0" collapsed="false">
      <c r="A450" s="76" t="n">
        <v>324</v>
      </c>
      <c r="B450" s="77" t="s">
        <v>80</v>
      </c>
      <c r="C450" s="76" t="s">
        <v>126</v>
      </c>
      <c r="D450" s="76" t="n">
        <v>5</v>
      </c>
      <c r="E450" s="77" t="str">
        <f aca="false">IF($Q450="","Tidak ada di data",IF(AND(IFERROR(--(INDEX('Reguler Class Availability'!$F:$F,$Q450)&amp;""),0)=0,IFERROR(--(INDEX('Reguler Class Availability'!$G:$G,$Q450)&amp;""),0)=0),"Tutup",IF(IFERROR(--(INDEX('Reguler Class Availability'!$G:$G,$Q450)&amp;""),0)&gt;IFERROR(--(INDEX('Reguler Class Availability'!$F:$F,$Q450)&amp;""),0),"Lebih",IF(IFERROR(--(INDEX('Reguler Class Availability'!$G:$G,$Q450)&amp;""),0)=IFERROR(--(INDEX('Reguler Class Availability'!$F:$F,$Q450)&amp;""),0),"Penuh",IF(IFERROR(--(INDEX('Reguler Class Availability'!$G:$G,$Q450)&amp;""),0)=0,IF(INDEX('Reguler Class Availability'!$B:$B,$Q450)&amp;""="","Kosong","Belum terisi"),IF(IFERROR(--(INDEX('Reguler Class Availability'!$G:$G,$Q450)&amp;""),0)/IFERROR(--(INDEX('Reguler Class Availability'!$F:$F,$Q450)&amp;""),0)&gt;=0.6,"Tinggi","Sebagian"))))))</f>
        <v>Kosong</v>
      </c>
      <c r="F450" s="77" t="str">
        <f aca="false">IF($Q450="","",PROPER(INDEX('Reguler Class Availability'!$B:$B,$Q450)&amp;""))</f>
        <v/>
      </c>
      <c r="G450" s="76" t="n">
        <f aca="false">IF($Q450="","",IFERROR(--(INDEX('Reguler Class Availability'!$F:$F,$Q450)&amp;""),0))</f>
        <v>4</v>
      </c>
      <c r="H450" s="77" t="str">
        <f aca="false">IF($Q450="","",PROPER(INDEX('Reguler Class Availability'!$I:$I,$Q450)&amp;"")&amp;IF(INDEX('Reguler Class Availability'!$J:$J,$Q450)&amp;""="",""," + asst "&amp;PROPER(INDEX('Reguler Class Availability'!$J:$J,$Q450)&amp;"")))</f>
        <v/>
      </c>
      <c r="I450" s="77" t="s">
        <v>467</v>
      </c>
      <c r="J450" s="77" t="s">
        <v>188</v>
      </c>
      <c r="K450" s="78"/>
      <c r="L450" s="78"/>
      <c r="M450" s="78"/>
      <c r="N450" s="79"/>
      <c r="O450" s="78"/>
      <c r="Q450" s="30" t="n">
        <f aca="false">IFERROR(MATCH($B$4&amp;"|- Lane "&amp;D450&amp;" - "&amp;B450&amp;"|"&amp;C450,'Reguler Class Availability'!$L:$L,0),"")</f>
        <v>2317</v>
      </c>
    </row>
    <row r="451" customFormat="false" ht="40.5" hidden="false" customHeight="true" outlineLevel="0" collapsed="false">
      <c r="A451" s="76" t="n">
        <v>325</v>
      </c>
      <c r="B451" s="77" t="s">
        <v>80</v>
      </c>
      <c r="C451" s="76" t="s">
        <v>127</v>
      </c>
      <c r="D451" s="76" t="n">
        <v>4</v>
      </c>
      <c r="E451" s="77" t="str">
        <f aca="false">IF($Q451="","Tidak ada di data",IF(AND(IFERROR(--(INDEX('Reguler Class Availability'!$F:$F,$Q451)&amp;""),0)=0,IFERROR(--(INDEX('Reguler Class Availability'!$G:$G,$Q451)&amp;""),0)=0),"Tutup",IF(IFERROR(--(INDEX('Reguler Class Availability'!$G:$G,$Q451)&amp;""),0)&gt;IFERROR(--(INDEX('Reguler Class Availability'!$F:$F,$Q451)&amp;""),0),"Lebih",IF(IFERROR(--(INDEX('Reguler Class Availability'!$G:$G,$Q451)&amp;""),0)=IFERROR(--(INDEX('Reguler Class Availability'!$F:$F,$Q451)&amp;""),0),"Penuh",IF(IFERROR(--(INDEX('Reguler Class Availability'!$G:$G,$Q451)&amp;""),0)=0,IF(INDEX('Reguler Class Availability'!$B:$B,$Q451)&amp;""="","Kosong","Belum terisi"),IF(IFERROR(--(INDEX('Reguler Class Availability'!$G:$G,$Q451)&amp;""),0)/IFERROR(--(INDEX('Reguler Class Availability'!$F:$F,$Q451)&amp;""),0)&gt;=0.6,"Tinggi","Sebagian"))))))</f>
        <v>Belum terisi</v>
      </c>
      <c r="F451" s="77" t="str">
        <f aca="false">IF($Q451="","",PROPER(INDEX('Reguler Class Availability'!$B:$B,$Q451)&amp;""))</f>
        <v>Kids</v>
      </c>
      <c r="G451" s="76" t="n">
        <f aca="false">IF($Q451="","",IFERROR(--(INDEX('Reguler Class Availability'!$F:$F,$Q451)&amp;""),0))</f>
        <v>4</v>
      </c>
      <c r="H451" s="77" t="str">
        <f aca="false">IF($Q451="","",PROPER(INDEX('Reguler Class Availability'!$I:$I,$Q451)&amp;"")&amp;IF(INDEX('Reguler Class Availability'!$J:$J,$Q451)&amp;""="",""," + asst "&amp;PROPER(INDEX('Reguler Class Availability'!$J:$J,$Q451)&amp;"")))</f>
        <v/>
      </c>
      <c r="I451" s="77" t="s">
        <v>496</v>
      </c>
      <c r="J451" s="77" t="s">
        <v>188</v>
      </c>
      <c r="K451" s="78"/>
      <c r="L451" s="78"/>
      <c r="M451" s="78"/>
      <c r="N451" s="79"/>
      <c r="O451" s="78"/>
      <c r="Q451" s="30" t="n">
        <f aca="false">IFERROR(MATCH($B$4&amp;"|- Lane "&amp;D451&amp;" - "&amp;B451&amp;"|"&amp;C451,'Reguler Class Availability'!$L:$L,0),"")</f>
        <v>2233</v>
      </c>
    </row>
    <row r="452" customFormat="false" ht="40.5" hidden="false" customHeight="true" outlineLevel="0" collapsed="false">
      <c r="A452" s="76" t="n">
        <v>326</v>
      </c>
      <c r="B452" s="77" t="s">
        <v>80</v>
      </c>
      <c r="C452" s="76" t="s">
        <v>129</v>
      </c>
      <c r="D452" s="76" t="n">
        <v>1</v>
      </c>
      <c r="E452" s="77" t="str">
        <f aca="false">IF($Q452="","Tidak ada di data",IF(AND(IFERROR(--(INDEX('Reguler Class Availability'!$F:$F,$Q452)&amp;""),0)=0,IFERROR(--(INDEX('Reguler Class Availability'!$G:$G,$Q452)&amp;""),0)=0),"Tutup",IF(IFERROR(--(INDEX('Reguler Class Availability'!$G:$G,$Q452)&amp;""),0)&gt;IFERROR(--(INDEX('Reguler Class Availability'!$F:$F,$Q452)&amp;""),0),"Lebih",IF(IFERROR(--(INDEX('Reguler Class Availability'!$G:$G,$Q452)&amp;""),0)=IFERROR(--(INDEX('Reguler Class Availability'!$F:$F,$Q452)&amp;""),0),"Penuh",IF(IFERROR(--(INDEX('Reguler Class Availability'!$G:$G,$Q452)&amp;""),0)=0,IF(INDEX('Reguler Class Availability'!$B:$B,$Q452)&amp;""="","Kosong","Belum terisi"),IF(IFERROR(--(INDEX('Reguler Class Availability'!$G:$G,$Q452)&amp;""),0)/IFERROR(--(INDEX('Reguler Class Availability'!$F:$F,$Q452)&amp;""),0)&gt;=0.6,"Tinggi","Sebagian"))))))</f>
        <v>Belum terisi</v>
      </c>
      <c r="F452" s="77" t="str">
        <f aca="false">IF($Q452="","",PROPER(INDEX('Reguler Class Availability'!$B:$B,$Q452)&amp;""))</f>
        <v>Baby</v>
      </c>
      <c r="G452" s="76" t="n">
        <f aca="false">IF($Q452="","",IFERROR(--(INDEX('Reguler Class Availability'!$F:$F,$Q452)&amp;""),0))</f>
        <v>5</v>
      </c>
      <c r="H452" s="77" t="str">
        <f aca="false">IF($Q452="","",PROPER(INDEX('Reguler Class Availability'!$I:$I,$Q452)&amp;"")&amp;IF(INDEX('Reguler Class Availability'!$J:$J,$Q452)&amp;""="",""," + asst "&amp;PROPER(INDEX('Reguler Class Availability'!$J:$J,$Q452)&amp;"")))</f>
        <v/>
      </c>
      <c r="I452" s="77" t="s">
        <v>496</v>
      </c>
      <c r="J452" s="77" t="s">
        <v>188</v>
      </c>
      <c r="K452" s="78"/>
      <c r="L452" s="78"/>
      <c r="M452" s="78"/>
      <c r="N452" s="79"/>
      <c r="O452" s="78"/>
      <c r="Q452" s="30" t="n">
        <f aca="false">IFERROR(MATCH($B$4&amp;"|- Lane "&amp;D452&amp;" - "&amp;B452&amp;"|"&amp;C452,'Reguler Class Availability'!$L:$L,0),"")</f>
        <v>1968</v>
      </c>
    </row>
    <row r="453" customFormat="false" ht="40.5" hidden="false" customHeight="true" outlineLevel="0" collapsed="false">
      <c r="A453" s="76" t="n">
        <v>327</v>
      </c>
      <c r="B453" s="77" t="s">
        <v>80</v>
      </c>
      <c r="C453" s="76" t="s">
        <v>129</v>
      </c>
      <c r="D453" s="76" t="n">
        <v>2</v>
      </c>
      <c r="E453" s="77" t="str">
        <f aca="false">IF($Q453="","Tidak ada di data",IF(AND(IFERROR(--(INDEX('Reguler Class Availability'!$F:$F,$Q453)&amp;""),0)=0,IFERROR(--(INDEX('Reguler Class Availability'!$G:$G,$Q453)&amp;""),0)=0),"Tutup",IF(IFERROR(--(INDEX('Reguler Class Availability'!$G:$G,$Q453)&amp;""),0)&gt;IFERROR(--(INDEX('Reguler Class Availability'!$F:$F,$Q453)&amp;""),0),"Lebih",IF(IFERROR(--(INDEX('Reguler Class Availability'!$G:$G,$Q453)&amp;""),0)=IFERROR(--(INDEX('Reguler Class Availability'!$F:$F,$Q453)&amp;""),0),"Penuh",IF(IFERROR(--(INDEX('Reguler Class Availability'!$G:$G,$Q453)&amp;""),0)=0,IF(INDEX('Reguler Class Availability'!$B:$B,$Q453)&amp;""="","Kosong","Belum terisi"),IF(IFERROR(--(INDEX('Reguler Class Availability'!$G:$G,$Q453)&amp;""),0)/IFERROR(--(INDEX('Reguler Class Availability'!$F:$F,$Q453)&amp;""),0)&gt;=0.6,"Tinggi","Sebagian"))))))</f>
        <v>Belum terisi</v>
      </c>
      <c r="F453" s="77" t="str">
        <f aca="false">IF($Q453="","",PROPER(INDEX('Reguler Class Availability'!$B:$B,$Q453)&amp;""))</f>
        <v>Tiny</v>
      </c>
      <c r="G453" s="76" t="n">
        <f aca="false">IF($Q453="","",IFERROR(--(INDEX('Reguler Class Availability'!$F:$F,$Q453)&amp;""),0))</f>
        <v>5</v>
      </c>
      <c r="H453" s="77" t="str">
        <f aca="false">IF($Q453="","",PROPER(INDEX('Reguler Class Availability'!$I:$I,$Q453)&amp;"")&amp;IF(INDEX('Reguler Class Availability'!$J:$J,$Q453)&amp;""="",""," + asst "&amp;PROPER(INDEX('Reguler Class Availability'!$J:$J,$Q453)&amp;"")))</f>
        <v/>
      </c>
      <c r="I453" s="77" t="s">
        <v>496</v>
      </c>
      <c r="J453" s="77" t="s">
        <v>188</v>
      </c>
      <c r="K453" s="78"/>
      <c r="L453" s="78"/>
      <c r="M453" s="78"/>
      <c r="N453" s="79"/>
      <c r="O453" s="78"/>
      <c r="Q453" s="30" t="n">
        <f aca="false">IFERROR(MATCH($B$4&amp;"|- Lane "&amp;D453&amp;" - "&amp;B453&amp;"|"&amp;C453,'Reguler Class Availability'!$L:$L,0),"")</f>
        <v>2066</v>
      </c>
    </row>
    <row r="454" customFormat="false" ht="40.5" hidden="false" customHeight="true" outlineLevel="0" collapsed="false">
      <c r="A454" s="76" t="n">
        <v>328</v>
      </c>
      <c r="B454" s="77" t="s">
        <v>80</v>
      </c>
      <c r="C454" s="76" t="s">
        <v>129</v>
      </c>
      <c r="D454" s="76" t="n">
        <v>5</v>
      </c>
      <c r="E454" s="77" t="str">
        <f aca="false">IF($Q454="","Tidak ada di data",IF(AND(IFERROR(--(INDEX('Reguler Class Availability'!$F:$F,$Q454)&amp;""),0)=0,IFERROR(--(INDEX('Reguler Class Availability'!$G:$G,$Q454)&amp;""),0)=0),"Tutup",IF(IFERROR(--(INDEX('Reguler Class Availability'!$G:$G,$Q454)&amp;""),0)&gt;IFERROR(--(INDEX('Reguler Class Availability'!$F:$F,$Q454)&amp;""),0),"Lebih",IF(IFERROR(--(INDEX('Reguler Class Availability'!$G:$G,$Q454)&amp;""),0)=IFERROR(--(INDEX('Reguler Class Availability'!$F:$F,$Q454)&amp;""),0),"Penuh",IF(IFERROR(--(INDEX('Reguler Class Availability'!$G:$G,$Q454)&amp;""),0)=0,IF(INDEX('Reguler Class Availability'!$B:$B,$Q454)&amp;""="","Kosong","Belum terisi"),IF(IFERROR(--(INDEX('Reguler Class Availability'!$G:$G,$Q454)&amp;""),0)/IFERROR(--(INDEX('Reguler Class Availability'!$F:$F,$Q454)&amp;""),0)&gt;=0.6,"Tinggi","Sebagian"))))))</f>
        <v>Kosong</v>
      </c>
      <c r="F454" s="77" t="str">
        <f aca="false">IF($Q454="","",PROPER(INDEX('Reguler Class Availability'!$B:$B,$Q454)&amp;""))</f>
        <v/>
      </c>
      <c r="G454" s="76" t="n">
        <f aca="false">IF($Q454="","",IFERROR(--(INDEX('Reguler Class Availability'!$F:$F,$Q454)&amp;""),0))</f>
        <v>4</v>
      </c>
      <c r="H454" s="77" t="str">
        <f aca="false">IF($Q454="","",PROPER(INDEX('Reguler Class Availability'!$I:$I,$Q454)&amp;"")&amp;IF(INDEX('Reguler Class Availability'!$J:$J,$Q454)&amp;""="",""," + asst "&amp;PROPER(INDEX('Reguler Class Availability'!$J:$J,$Q454)&amp;"")))</f>
        <v/>
      </c>
      <c r="I454" s="77" t="s">
        <v>496</v>
      </c>
      <c r="J454" s="77" t="s">
        <v>188</v>
      </c>
      <c r="K454" s="78"/>
      <c r="L454" s="78"/>
      <c r="M454" s="78"/>
      <c r="N454" s="79"/>
      <c r="O454" s="78"/>
      <c r="Q454" s="30" t="n">
        <f aca="false">IFERROR(MATCH($B$4&amp;"|- Lane "&amp;D454&amp;" - "&amp;B454&amp;"|"&amp;C454,'Reguler Class Availability'!$L:$L,0),"")</f>
        <v>2318</v>
      </c>
    </row>
    <row r="455" customFormat="false" ht="40.5" hidden="false" customHeight="true" outlineLevel="0" collapsed="false">
      <c r="A455" s="76" t="n">
        <v>329</v>
      </c>
      <c r="B455" s="77" t="s">
        <v>80</v>
      </c>
      <c r="C455" s="76" t="s">
        <v>130</v>
      </c>
      <c r="D455" s="76" t="n">
        <v>3</v>
      </c>
      <c r="E455" s="77" t="str">
        <f aca="false">IF($Q455="","Tidak ada di data",IF(AND(IFERROR(--(INDEX('Reguler Class Availability'!$F:$F,$Q455)&amp;""),0)=0,IFERROR(--(INDEX('Reguler Class Availability'!$G:$G,$Q455)&amp;""),0)=0),"Tutup",IF(IFERROR(--(INDEX('Reguler Class Availability'!$G:$G,$Q455)&amp;""),0)&gt;IFERROR(--(INDEX('Reguler Class Availability'!$F:$F,$Q455)&amp;""),0),"Lebih",IF(IFERROR(--(INDEX('Reguler Class Availability'!$G:$G,$Q455)&amp;""),0)=IFERROR(--(INDEX('Reguler Class Availability'!$F:$F,$Q455)&amp;""),0),"Penuh",IF(IFERROR(--(INDEX('Reguler Class Availability'!$G:$G,$Q455)&amp;""),0)=0,IF(INDEX('Reguler Class Availability'!$B:$B,$Q455)&amp;""="","Kosong","Belum terisi"),IF(IFERROR(--(INDEX('Reguler Class Availability'!$G:$G,$Q455)&amp;""),0)/IFERROR(--(INDEX('Reguler Class Availability'!$F:$F,$Q455)&amp;""),0)&gt;=0.6,"Tinggi","Sebagian"))))))</f>
        <v>Belum terisi</v>
      </c>
      <c r="F455" s="77" t="str">
        <f aca="false">IF($Q455="","",PROPER(INDEX('Reguler Class Availability'!$B:$B,$Q455)&amp;""))</f>
        <v>Little</v>
      </c>
      <c r="G455" s="76" t="n">
        <f aca="false">IF($Q455="","",IFERROR(--(INDEX('Reguler Class Availability'!$F:$F,$Q455)&amp;""),0))</f>
        <v>4</v>
      </c>
      <c r="H455" s="77" t="str">
        <f aca="false">IF($Q455="","",PROPER(INDEX('Reguler Class Availability'!$I:$I,$Q455)&amp;"")&amp;IF(INDEX('Reguler Class Availability'!$J:$J,$Q455)&amp;""="",""," + asst "&amp;PROPER(INDEX('Reguler Class Availability'!$J:$J,$Q455)&amp;"")))</f>
        <v/>
      </c>
      <c r="I455" s="77" t="s">
        <v>494</v>
      </c>
      <c r="J455" s="77" t="s">
        <v>188</v>
      </c>
      <c r="K455" s="78"/>
      <c r="L455" s="78"/>
      <c r="M455" s="78"/>
      <c r="N455" s="79"/>
      <c r="O455" s="78"/>
      <c r="Q455" s="30" t="n">
        <f aca="false">IFERROR(MATCH($B$4&amp;"|- Lane "&amp;D455&amp;" - "&amp;B455&amp;"|"&amp;C455,'Reguler Class Availability'!$L:$L,0),"")</f>
        <v>2150</v>
      </c>
    </row>
    <row r="456" customFormat="false" ht="40.5" hidden="false" customHeight="true" outlineLevel="0" collapsed="false">
      <c r="A456" s="76" t="n">
        <v>330</v>
      </c>
      <c r="B456" s="77" t="s">
        <v>80</v>
      </c>
      <c r="C456" s="76" t="s">
        <v>130</v>
      </c>
      <c r="D456" s="76" t="n">
        <v>4</v>
      </c>
      <c r="E456" s="77" t="str">
        <f aca="false">IF($Q456="","Tidak ada di data",IF(AND(IFERROR(--(INDEX('Reguler Class Availability'!$F:$F,$Q456)&amp;""),0)=0,IFERROR(--(INDEX('Reguler Class Availability'!$G:$G,$Q456)&amp;""),0)=0),"Tutup",IF(IFERROR(--(INDEX('Reguler Class Availability'!$G:$G,$Q456)&amp;""),0)&gt;IFERROR(--(INDEX('Reguler Class Availability'!$F:$F,$Q456)&amp;""),0),"Lebih",IF(IFERROR(--(INDEX('Reguler Class Availability'!$G:$G,$Q456)&amp;""),0)=IFERROR(--(INDEX('Reguler Class Availability'!$F:$F,$Q456)&amp;""),0),"Penuh",IF(IFERROR(--(INDEX('Reguler Class Availability'!$G:$G,$Q456)&amp;""),0)=0,IF(INDEX('Reguler Class Availability'!$B:$B,$Q456)&amp;""="","Kosong","Belum terisi"),IF(IFERROR(--(INDEX('Reguler Class Availability'!$G:$G,$Q456)&amp;""),0)/IFERROR(--(INDEX('Reguler Class Availability'!$F:$F,$Q456)&amp;""),0)&gt;=0.6,"Tinggi","Sebagian"))))))</f>
        <v>Belum terisi</v>
      </c>
      <c r="F456" s="77" t="str">
        <f aca="false">IF($Q456="","",PROPER(INDEX('Reguler Class Availability'!$B:$B,$Q456)&amp;""))</f>
        <v>Kids</v>
      </c>
      <c r="G456" s="76" t="n">
        <f aca="false">IF($Q456="","",IFERROR(--(INDEX('Reguler Class Availability'!$F:$F,$Q456)&amp;""),0))</f>
        <v>4</v>
      </c>
      <c r="H456" s="77" t="str">
        <f aca="false">IF($Q456="","",PROPER(INDEX('Reguler Class Availability'!$I:$I,$Q456)&amp;"")&amp;IF(INDEX('Reguler Class Availability'!$J:$J,$Q456)&amp;""="",""," + asst "&amp;PROPER(INDEX('Reguler Class Availability'!$J:$J,$Q456)&amp;"")))</f>
        <v/>
      </c>
      <c r="I456" s="77" t="s">
        <v>494</v>
      </c>
      <c r="J456" s="77" t="s">
        <v>188</v>
      </c>
      <c r="K456" s="78"/>
      <c r="L456" s="78"/>
      <c r="M456" s="78"/>
      <c r="N456" s="79"/>
      <c r="O456" s="78"/>
      <c r="Q456" s="30" t="n">
        <f aca="false">IFERROR(MATCH($B$4&amp;"|- Lane "&amp;D456&amp;" - "&amp;B456&amp;"|"&amp;C456,'Reguler Class Availability'!$L:$L,0),"")</f>
        <v>2234</v>
      </c>
    </row>
    <row r="457" customFormat="false" ht="40.5" hidden="false" customHeight="true" outlineLevel="0" collapsed="false">
      <c r="A457" s="76" t="n">
        <v>331</v>
      </c>
      <c r="B457" s="77" t="s">
        <v>80</v>
      </c>
      <c r="C457" s="76" t="s">
        <v>132</v>
      </c>
      <c r="D457" s="76" t="n">
        <v>1</v>
      </c>
      <c r="E457" s="77" t="str">
        <f aca="false">IF($Q457="","Tidak ada di data",IF(AND(IFERROR(--(INDEX('Reguler Class Availability'!$F:$F,$Q457)&amp;""),0)=0,IFERROR(--(INDEX('Reguler Class Availability'!$G:$G,$Q457)&amp;""),0)=0),"Tutup",IF(IFERROR(--(INDEX('Reguler Class Availability'!$G:$G,$Q457)&amp;""),0)&gt;IFERROR(--(INDEX('Reguler Class Availability'!$F:$F,$Q457)&amp;""),0),"Lebih",IF(IFERROR(--(INDEX('Reguler Class Availability'!$G:$G,$Q457)&amp;""),0)=IFERROR(--(INDEX('Reguler Class Availability'!$F:$F,$Q457)&amp;""),0),"Penuh",IF(IFERROR(--(INDEX('Reguler Class Availability'!$G:$G,$Q457)&amp;""),0)=0,IF(INDEX('Reguler Class Availability'!$B:$B,$Q457)&amp;""="","Kosong","Belum terisi"),IF(IFERROR(--(INDEX('Reguler Class Availability'!$G:$G,$Q457)&amp;""),0)/IFERROR(--(INDEX('Reguler Class Availability'!$F:$F,$Q457)&amp;""),0)&gt;=0.6,"Tinggi","Sebagian"))))))</f>
        <v>Belum terisi</v>
      </c>
      <c r="F457" s="77" t="str">
        <f aca="false">IF($Q457="","",PROPER(INDEX('Reguler Class Availability'!$B:$B,$Q457)&amp;""))</f>
        <v>Baby</v>
      </c>
      <c r="G457" s="76" t="n">
        <f aca="false">IF($Q457="","",IFERROR(--(INDEX('Reguler Class Availability'!$F:$F,$Q457)&amp;""),0))</f>
        <v>5</v>
      </c>
      <c r="H457" s="77" t="str">
        <f aca="false">IF($Q457="","",PROPER(INDEX('Reguler Class Availability'!$I:$I,$Q457)&amp;"")&amp;IF(INDEX('Reguler Class Availability'!$J:$J,$Q457)&amp;""="",""," + asst "&amp;PROPER(INDEX('Reguler Class Availability'!$J:$J,$Q457)&amp;"")))</f>
        <v/>
      </c>
      <c r="I457" s="77" t="s">
        <v>494</v>
      </c>
      <c r="J457" s="77" t="s">
        <v>188</v>
      </c>
      <c r="K457" s="78"/>
      <c r="L457" s="78"/>
      <c r="M457" s="78"/>
      <c r="N457" s="79"/>
      <c r="O457" s="78"/>
      <c r="Q457" s="30" t="n">
        <f aca="false">IFERROR(MATCH($B$4&amp;"|- Lane "&amp;D457&amp;" - "&amp;B457&amp;"|"&amp;C457,'Reguler Class Availability'!$L:$L,0),"")</f>
        <v>1969</v>
      </c>
    </row>
    <row r="458" customFormat="false" ht="40.5" hidden="false" customHeight="true" outlineLevel="0" collapsed="false">
      <c r="A458" s="76" t="n">
        <v>332</v>
      </c>
      <c r="B458" s="77" t="s">
        <v>80</v>
      </c>
      <c r="C458" s="76" t="s">
        <v>132</v>
      </c>
      <c r="D458" s="76" t="n">
        <v>2</v>
      </c>
      <c r="E458" s="77" t="str">
        <f aca="false">IF($Q458="","Tidak ada di data",IF(AND(IFERROR(--(INDEX('Reguler Class Availability'!$F:$F,$Q458)&amp;""),0)=0,IFERROR(--(INDEX('Reguler Class Availability'!$G:$G,$Q458)&amp;""),0)=0),"Tutup",IF(IFERROR(--(INDEX('Reguler Class Availability'!$G:$G,$Q458)&amp;""),0)&gt;IFERROR(--(INDEX('Reguler Class Availability'!$F:$F,$Q458)&amp;""),0),"Lebih",IF(IFERROR(--(INDEX('Reguler Class Availability'!$G:$G,$Q458)&amp;""),0)=IFERROR(--(INDEX('Reguler Class Availability'!$F:$F,$Q458)&amp;""),0),"Penuh",IF(IFERROR(--(INDEX('Reguler Class Availability'!$G:$G,$Q458)&amp;""),0)=0,IF(INDEX('Reguler Class Availability'!$B:$B,$Q458)&amp;""="","Kosong","Belum terisi"),IF(IFERROR(--(INDEX('Reguler Class Availability'!$G:$G,$Q458)&amp;""),0)/IFERROR(--(INDEX('Reguler Class Availability'!$F:$F,$Q458)&amp;""),0)&gt;=0.6,"Tinggi","Sebagian"))))))</f>
        <v>Belum terisi</v>
      </c>
      <c r="F458" s="77" t="str">
        <f aca="false">IF($Q458="","",PROPER(INDEX('Reguler Class Availability'!$B:$B,$Q458)&amp;""))</f>
        <v>Tiny</v>
      </c>
      <c r="G458" s="76" t="n">
        <f aca="false">IF($Q458="","",IFERROR(--(INDEX('Reguler Class Availability'!$F:$F,$Q458)&amp;""),0))</f>
        <v>5</v>
      </c>
      <c r="H458" s="77" t="str">
        <f aca="false">IF($Q458="","",PROPER(INDEX('Reguler Class Availability'!$I:$I,$Q458)&amp;"")&amp;IF(INDEX('Reguler Class Availability'!$J:$J,$Q458)&amp;""="",""," + asst "&amp;PROPER(INDEX('Reguler Class Availability'!$J:$J,$Q458)&amp;"")))</f>
        <v/>
      </c>
      <c r="I458" s="77" t="s">
        <v>494</v>
      </c>
      <c r="J458" s="77" t="s">
        <v>188</v>
      </c>
      <c r="K458" s="78"/>
      <c r="L458" s="78"/>
      <c r="M458" s="78"/>
      <c r="N458" s="79"/>
      <c r="O458" s="78"/>
      <c r="Q458" s="30" t="n">
        <f aca="false">IFERROR(MATCH($B$4&amp;"|- Lane "&amp;D458&amp;" - "&amp;B458&amp;"|"&amp;C458,'Reguler Class Availability'!$L:$L,0),"")</f>
        <v>2067</v>
      </c>
    </row>
    <row r="459" customFormat="false" ht="40.5" hidden="false" customHeight="true" outlineLevel="0" collapsed="false">
      <c r="A459" s="76" t="n">
        <v>333</v>
      </c>
      <c r="B459" s="77" t="s">
        <v>80</v>
      </c>
      <c r="C459" s="76" t="s">
        <v>132</v>
      </c>
      <c r="D459" s="76" t="n">
        <v>5</v>
      </c>
      <c r="E459" s="77" t="str">
        <f aca="false">IF($Q459="","Tidak ada di data",IF(AND(IFERROR(--(INDEX('Reguler Class Availability'!$F:$F,$Q459)&amp;""),0)=0,IFERROR(--(INDEX('Reguler Class Availability'!$G:$G,$Q459)&amp;""),0)=0),"Tutup",IF(IFERROR(--(INDEX('Reguler Class Availability'!$G:$G,$Q459)&amp;""),0)&gt;IFERROR(--(INDEX('Reguler Class Availability'!$F:$F,$Q459)&amp;""),0),"Lebih",IF(IFERROR(--(INDEX('Reguler Class Availability'!$G:$G,$Q459)&amp;""),0)=IFERROR(--(INDEX('Reguler Class Availability'!$F:$F,$Q459)&amp;""),0),"Penuh",IF(IFERROR(--(INDEX('Reguler Class Availability'!$G:$G,$Q459)&amp;""),0)=0,IF(INDEX('Reguler Class Availability'!$B:$B,$Q459)&amp;""="","Kosong","Belum terisi"),IF(IFERROR(--(INDEX('Reguler Class Availability'!$G:$G,$Q459)&amp;""),0)/IFERROR(--(INDEX('Reguler Class Availability'!$F:$F,$Q459)&amp;""),0)&gt;=0.6,"Tinggi","Sebagian"))))))</f>
        <v>Kosong</v>
      </c>
      <c r="F459" s="77" t="str">
        <f aca="false">IF($Q459="","",PROPER(INDEX('Reguler Class Availability'!$B:$B,$Q459)&amp;""))</f>
        <v/>
      </c>
      <c r="G459" s="76" t="n">
        <f aca="false">IF($Q459="","",IFERROR(--(INDEX('Reguler Class Availability'!$F:$F,$Q459)&amp;""),0))</f>
        <v>4</v>
      </c>
      <c r="H459" s="77" t="str">
        <f aca="false">IF($Q459="","",PROPER(INDEX('Reguler Class Availability'!$I:$I,$Q459)&amp;"")&amp;IF(INDEX('Reguler Class Availability'!$J:$J,$Q459)&amp;""="",""," + asst "&amp;PROPER(INDEX('Reguler Class Availability'!$J:$J,$Q459)&amp;"")))</f>
        <v/>
      </c>
      <c r="I459" s="77" t="s">
        <v>494</v>
      </c>
      <c r="J459" s="77" t="s">
        <v>188</v>
      </c>
      <c r="K459" s="78"/>
      <c r="L459" s="78"/>
      <c r="M459" s="78"/>
      <c r="N459" s="79"/>
      <c r="O459" s="78"/>
      <c r="Q459" s="30" t="n">
        <f aca="false">IFERROR(MATCH($B$4&amp;"|- Lane "&amp;D459&amp;" - "&amp;B459&amp;"|"&amp;C459,'Reguler Class Availability'!$L:$L,0),"")</f>
        <v>2319</v>
      </c>
    </row>
    <row r="460" customFormat="false" ht="40.5" hidden="false" customHeight="true" outlineLevel="0" collapsed="false">
      <c r="A460" s="76" t="n">
        <v>334</v>
      </c>
      <c r="B460" s="77" t="s">
        <v>80</v>
      </c>
      <c r="C460" s="76" t="s">
        <v>133</v>
      </c>
      <c r="D460" s="76" t="n">
        <v>3</v>
      </c>
      <c r="E460" s="77" t="str">
        <f aca="false">IF($Q460="","Tidak ada di data",IF(AND(IFERROR(--(INDEX('Reguler Class Availability'!$F:$F,$Q460)&amp;""),0)=0,IFERROR(--(INDEX('Reguler Class Availability'!$G:$G,$Q460)&amp;""),0)=0),"Tutup",IF(IFERROR(--(INDEX('Reguler Class Availability'!$G:$G,$Q460)&amp;""),0)&gt;IFERROR(--(INDEX('Reguler Class Availability'!$F:$F,$Q460)&amp;""),0),"Lebih",IF(IFERROR(--(INDEX('Reguler Class Availability'!$G:$G,$Q460)&amp;""),0)=IFERROR(--(INDEX('Reguler Class Availability'!$F:$F,$Q460)&amp;""),0),"Penuh",IF(IFERROR(--(INDEX('Reguler Class Availability'!$G:$G,$Q460)&amp;""),0)=0,IF(INDEX('Reguler Class Availability'!$B:$B,$Q460)&amp;""="","Kosong","Belum terisi"),IF(IFERROR(--(INDEX('Reguler Class Availability'!$G:$G,$Q460)&amp;""),0)/IFERROR(--(INDEX('Reguler Class Availability'!$F:$F,$Q460)&amp;""),0)&gt;=0.6,"Tinggi","Sebagian"))))))</f>
        <v>Belum terisi</v>
      </c>
      <c r="F460" s="77" t="str">
        <f aca="false">IF($Q460="","",PROPER(INDEX('Reguler Class Availability'!$B:$B,$Q460)&amp;""))</f>
        <v>Little</v>
      </c>
      <c r="G460" s="76" t="n">
        <f aca="false">IF($Q460="","",IFERROR(--(INDEX('Reguler Class Availability'!$F:$F,$Q460)&amp;""),0))</f>
        <v>4</v>
      </c>
      <c r="H460" s="77" t="str">
        <f aca="false">IF($Q460="","",PROPER(INDEX('Reguler Class Availability'!$I:$I,$Q460)&amp;"")&amp;IF(INDEX('Reguler Class Availability'!$J:$J,$Q460)&amp;""="",""," + asst "&amp;PROPER(INDEX('Reguler Class Availability'!$J:$J,$Q460)&amp;"")))</f>
        <v/>
      </c>
      <c r="I460" s="77" t="s">
        <v>494</v>
      </c>
      <c r="J460" s="77" t="s">
        <v>188</v>
      </c>
      <c r="K460" s="78"/>
      <c r="L460" s="78"/>
      <c r="M460" s="78"/>
      <c r="N460" s="79"/>
      <c r="O460" s="78"/>
      <c r="Q460" s="30" t="n">
        <f aca="false">IFERROR(MATCH($B$4&amp;"|- Lane "&amp;D460&amp;" - "&amp;B460&amp;"|"&amp;C460,'Reguler Class Availability'!$L:$L,0),"")</f>
        <v>2151</v>
      </c>
    </row>
    <row r="461" customFormat="false" ht="40.5" hidden="false" customHeight="true" outlineLevel="0" collapsed="false">
      <c r="A461" s="76" t="n">
        <v>335</v>
      </c>
      <c r="B461" s="77" t="s">
        <v>80</v>
      </c>
      <c r="C461" s="76" t="s">
        <v>133</v>
      </c>
      <c r="D461" s="76" t="n">
        <v>4</v>
      </c>
      <c r="E461" s="77" t="str">
        <f aca="false">IF($Q461="","Tidak ada di data",IF(AND(IFERROR(--(INDEX('Reguler Class Availability'!$F:$F,$Q461)&amp;""),0)=0,IFERROR(--(INDEX('Reguler Class Availability'!$G:$G,$Q461)&amp;""),0)=0),"Tutup",IF(IFERROR(--(INDEX('Reguler Class Availability'!$G:$G,$Q461)&amp;""),0)&gt;IFERROR(--(INDEX('Reguler Class Availability'!$F:$F,$Q461)&amp;""),0),"Lebih",IF(IFERROR(--(INDEX('Reguler Class Availability'!$G:$G,$Q461)&amp;""),0)=IFERROR(--(INDEX('Reguler Class Availability'!$F:$F,$Q461)&amp;""),0),"Penuh",IF(IFERROR(--(INDEX('Reguler Class Availability'!$G:$G,$Q461)&amp;""),0)=0,IF(INDEX('Reguler Class Availability'!$B:$B,$Q461)&amp;""="","Kosong","Belum terisi"),IF(IFERROR(--(INDEX('Reguler Class Availability'!$G:$G,$Q461)&amp;""),0)/IFERROR(--(INDEX('Reguler Class Availability'!$F:$F,$Q461)&amp;""),0)&gt;=0.6,"Tinggi","Sebagian"))))))</f>
        <v>Belum terisi</v>
      </c>
      <c r="F461" s="77" t="str">
        <f aca="false">IF($Q461="","",PROPER(INDEX('Reguler Class Availability'!$B:$B,$Q461)&amp;""))</f>
        <v>Kids</v>
      </c>
      <c r="G461" s="76" t="n">
        <f aca="false">IF($Q461="","",IFERROR(--(INDEX('Reguler Class Availability'!$F:$F,$Q461)&amp;""),0))</f>
        <v>4</v>
      </c>
      <c r="H461" s="77" t="str">
        <f aca="false">IF($Q461="","",PROPER(INDEX('Reguler Class Availability'!$I:$I,$Q461)&amp;"")&amp;IF(INDEX('Reguler Class Availability'!$J:$J,$Q461)&amp;""="",""," + asst "&amp;PROPER(INDEX('Reguler Class Availability'!$J:$J,$Q461)&amp;"")))</f>
        <v/>
      </c>
      <c r="I461" s="77" t="s">
        <v>494</v>
      </c>
      <c r="J461" s="77" t="s">
        <v>188</v>
      </c>
      <c r="K461" s="78"/>
      <c r="L461" s="78"/>
      <c r="M461" s="78"/>
      <c r="N461" s="79"/>
      <c r="O461" s="78"/>
      <c r="Q461" s="30" t="n">
        <f aca="false">IFERROR(MATCH($B$4&amp;"|- Lane "&amp;D461&amp;" - "&amp;B461&amp;"|"&amp;C461,'Reguler Class Availability'!$L:$L,0),"")</f>
        <v>2235</v>
      </c>
    </row>
    <row r="462" customFormat="false" ht="40.5" hidden="false" customHeight="true" outlineLevel="0" collapsed="false">
      <c r="A462" s="76" t="n">
        <v>336</v>
      </c>
      <c r="B462" s="77" t="s">
        <v>80</v>
      </c>
      <c r="C462" s="76" t="s">
        <v>139</v>
      </c>
      <c r="D462" s="76" t="n">
        <v>1</v>
      </c>
      <c r="E462" s="77" t="str">
        <f aca="false">IF($Q462="","Tidak ada di data",IF(AND(IFERROR(--(INDEX('Reguler Class Availability'!$F:$F,$Q462)&amp;""),0)=0,IFERROR(--(INDEX('Reguler Class Availability'!$G:$G,$Q462)&amp;""),0)=0),"Tutup",IF(IFERROR(--(INDEX('Reguler Class Availability'!$G:$G,$Q462)&amp;""),0)&gt;IFERROR(--(INDEX('Reguler Class Availability'!$F:$F,$Q462)&amp;""),0),"Lebih",IF(IFERROR(--(INDEX('Reguler Class Availability'!$G:$G,$Q462)&amp;""),0)=IFERROR(--(INDEX('Reguler Class Availability'!$F:$F,$Q462)&amp;""),0),"Penuh",IF(IFERROR(--(INDEX('Reguler Class Availability'!$G:$G,$Q462)&amp;""),0)=0,IF(INDEX('Reguler Class Availability'!$B:$B,$Q462)&amp;""="","Kosong","Belum terisi"),IF(IFERROR(--(INDEX('Reguler Class Availability'!$G:$G,$Q462)&amp;""),0)/IFERROR(--(INDEX('Reguler Class Availability'!$F:$F,$Q462)&amp;""),0)&gt;=0.6,"Tinggi","Sebagian"))))))</f>
        <v>Belum terisi</v>
      </c>
      <c r="F462" s="77" t="str">
        <f aca="false">IF($Q462="","",PROPER(INDEX('Reguler Class Availability'!$B:$B,$Q462)&amp;""))</f>
        <v>Baby</v>
      </c>
      <c r="G462" s="76" t="n">
        <f aca="false">IF($Q462="","",IFERROR(--(INDEX('Reguler Class Availability'!$F:$F,$Q462)&amp;""),0))</f>
        <v>5</v>
      </c>
      <c r="H462" s="77" t="str">
        <f aca="false">IF($Q462="","",PROPER(INDEX('Reguler Class Availability'!$I:$I,$Q462)&amp;"")&amp;IF(INDEX('Reguler Class Availability'!$J:$J,$Q462)&amp;""="",""," + asst "&amp;PROPER(INDEX('Reguler Class Availability'!$J:$J,$Q462)&amp;"")))</f>
        <v/>
      </c>
      <c r="I462" s="77" t="s">
        <v>494</v>
      </c>
      <c r="J462" s="77" t="s">
        <v>188</v>
      </c>
      <c r="K462" s="78"/>
      <c r="L462" s="78"/>
      <c r="M462" s="78"/>
      <c r="N462" s="79"/>
      <c r="O462" s="78"/>
      <c r="Q462" s="30" t="n">
        <f aca="false">IFERROR(MATCH($B$4&amp;"|- Lane "&amp;D462&amp;" - "&amp;B462&amp;"|"&amp;C462,'Reguler Class Availability'!$L:$L,0),"")</f>
        <v>1970</v>
      </c>
    </row>
    <row r="463" customFormat="false" ht="40.5" hidden="false" customHeight="true" outlineLevel="0" collapsed="false">
      <c r="A463" s="76" t="n">
        <v>337</v>
      </c>
      <c r="B463" s="77" t="s">
        <v>80</v>
      </c>
      <c r="C463" s="76" t="s">
        <v>139</v>
      </c>
      <c r="D463" s="76" t="n">
        <v>2</v>
      </c>
      <c r="E463" s="77" t="str">
        <f aca="false">IF($Q463="","Tidak ada di data",IF(AND(IFERROR(--(INDEX('Reguler Class Availability'!$F:$F,$Q463)&amp;""),0)=0,IFERROR(--(INDEX('Reguler Class Availability'!$G:$G,$Q463)&amp;""),0)=0),"Tutup",IF(IFERROR(--(INDEX('Reguler Class Availability'!$G:$G,$Q463)&amp;""),0)&gt;IFERROR(--(INDEX('Reguler Class Availability'!$F:$F,$Q463)&amp;""),0),"Lebih",IF(IFERROR(--(INDEX('Reguler Class Availability'!$G:$G,$Q463)&amp;""),0)=IFERROR(--(INDEX('Reguler Class Availability'!$F:$F,$Q463)&amp;""),0),"Penuh",IF(IFERROR(--(INDEX('Reguler Class Availability'!$G:$G,$Q463)&amp;""),0)=0,IF(INDEX('Reguler Class Availability'!$B:$B,$Q463)&amp;""="","Kosong","Belum terisi"),IF(IFERROR(--(INDEX('Reguler Class Availability'!$G:$G,$Q463)&amp;""),0)/IFERROR(--(INDEX('Reguler Class Availability'!$F:$F,$Q463)&amp;""),0)&gt;=0.6,"Tinggi","Sebagian"))))))</f>
        <v>Belum terisi</v>
      </c>
      <c r="F463" s="77" t="str">
        <f aca="false">IF($Q463="","",PROPER(INDEX('Reguler Class Availability'!$B:$B,$Q463)&amp;""))</f>
        <v>Tiny</v>
      </c>
      <c r="G463" s="76" t="n">
        <f aca="false">IF($Q463="","",IFERROR(--(INDEX('Reguler Class Availability'!$F:$F,$Q463)&amp;""),0))</f>
        <v>5</v>
      </c>
      <c r="H463" s="77" t="str">
        <f aca="false">IF($Q463="","",PROPER(INDEX('Reguler Class Availability'!$I:$I,$Q463)&amp;"")&amp;IF(INDEX('Reguler Class Availability'!$J:$J,$Q463)&amp;""="",""," + asst "&amp;PROPER(INDEX('Reguler Class Availability'!$J:$J,$Q463)&amp;"")))</f>
        <v/>
      </c>
      <c r="I463" s="77" t="s">
        <v>494</v>
      </c>
      <c r="J463" s="77" t="s">
        <v>188</v>
      </c>
      <c r="K463" s="78"/>
      <c r="L463" s="78"/>
      <c r="M463" s="78"/>
      <c r="N463" s="79"/>
      <c r="O463" s="78"/>
      <c r="Q463" s="30" t="n">
        <f aca="false">IFERROR(MATCH($B$4&amp;"|- Lane "&amp;D463&amp;" - "&amp;B463&amp;"|"&amp;C463,'Reguler Class Availability'!$L:$L,0),"")</f>
        <v>2068</v>
      </c>
    </row>
    <row r="464" customFormat="false" ht="40.5" hidden="false" customHeight="true" outlineLevel="0" collapsed="false">
      <c r="A464" s="76" t="n">
        <v>338</v>
      </c>
      <c r="B464" s="77" t="s">
        <v>80</v>
      </c>
      <c r="C464" s="76" t="s">
        <v>139</v>
      </c>
      <c r="D464" s="76" t="n">
        <v>5</v>
      </c>
      <c r="E464" s="77" t="str">
        <f aca="false">IF($Q464="","Tidak ada di data",IF(AND(IFERROR(--(INDEX('Reguler Class Availability'!$F:$F,$Q464)&amp;""),0)=0,IFERROR(--(INDEX('Reguler Class Availability'!$G:$G,$Q464)&amp;""),0)=0),"Tutup",IF(IFERROR(--(INDEX('Reguler Class Availability'!$G:$G,$Q464)&amp;""),0)&gt;IFERROR(--(INDEX('Reguler Class Availability'!$F:$F,$Q464)&amp;""),0),"Lebih",IF(IFERROR(--(INDEX('Reguler Class Availability'!$G:$G,$Q464)&amp;""),0)=IFERROR(--(INDEX('Reguler Class Availability'!$F:$F,$Q464)&amp;""),0),"Penuh",IF(IFERROR(--(INDEX('Reguler Class Availability'!$G:$G,$Q464)&amp;""),0)=0,IF(INDEX('Reguler Class Availability'!$B:$B,$Q464)&amp;""="","Kosong","Belum terisi"),IF(IFERROR(--(INDEX('Reguler Class Availability'!$G:$G,$Q464)&amp;""),0)/IFERROR(--(INDEX('Reguler Class Availability'!$F:$F,$Q464)&amp;""),0)&gt;=0.6,"Tinggi","Sebagian"))))))</f>
        <v>Kosong</v>
      </c>
      <c r="F464" s="77" t="str">
        <f aca="false">IF($Q464="","",PROPER(INDEX('Reguler Class Availability'!$B:$B,$Q464)&amp;""))</f>
        <v/>
      </c>
      <c r="G464" s="76" t="n">
        <f aca="false">IF($Q464="","",IFERROR(--(INDEX('Reguler Class Availability'!$F:$F,$Q464)&amp;""),0))</f>
        <v>4</v>
      </c>
      <c r="H464" s="77" t="str">
        <f aca="false">IF($Q464="","",PROPER(INDEX('Reguler Class Availability'!$I:$I,$Q464)&amp;"")&amp;IF(INDEX('Reguler Class Availability'!$J:$J,$Q464)&amp;""="",""," + asst "&amp;PROPER(INDEX('Reguler Class Availability'!$J:$J,$Q464)&amp;"")))</f>
        <v/>
      </c>
      <c r="I464" s="77" t="s">
        <v>494</v>
      </c>
      <c r="J464" s="77" t="s">
        <v>188</v>
      </c>
      <c r="K464" s="78"/>
      <c r="L464" s="78"/>
      <c r="M464" s="78"/>
      <c r="N464" s="79"/>
      <c r="O464" s="78"/>
      <c r="Q464" s="30" t="n">
        <f aca="false">IFERROR(MATCH($B$4&amp;"|- Lane "&amp;D464&amp;" - "&amp;B464&amp;"|"&amp;C464,'Reguler Class Availability'!$L:$L,0),"")</f>
        <v>2320</v>
      </c>
    </row>
    <row r="465" customFormat="false" ht="40.5" hidden="false" customHeight="true" outlineLevel="0" collapsed="false">
      <c r="A465" s="76" t="n">
        <v>339</v>
      </c>
      <c r="B465" s="77" t="s">
        <v>80</v>
      </c>
      <c r="C465" s="76" t="s">
        <v>141</v>
      </c>
      <c r="D465" s="76" t="n">
        <v>3</v>
      </c>
      <c r="E465" s="77" t="str">
        <f aca="false">IF($Q465="","Tidak ada di data",IF(AND(IFERROR(--(INDEX('Reguler Class Availability'!$F:$F,$Q465)&amp;""),0)=0,IFERROR(--(INDEX('Reguler Class Availability'!$G:$G,$Q465)&amp;""),0)=0),"Tutup",IF(IFERROR(--(INDEX('Reguler Class Availability'!$G:$G,$Q465)&amp;""),0)&gt;IFERROR(--(INDEX('Reguler Class Availability'!$F:$F,$Q465)&amp;""),0),"Lebih",IF(IFERROR(--(INDEX('Reguler Class Availability'!$G:$G,$Q465)&amp;""),0)=IFERROR(--(INDEX('Reguler Class Availability'!$F:$F,$Q465)&amp;""),0),"Penuh",IF(IFERROR(--(INDEX('Reguler Class Availability'!$G:$G,$Q465)&amp;""),0)=0,IF(INDEX('Reguler Class Availability'!$B:$B,$Q465)&amp;""="","Kosong","Belum terisi"),IF(IFERROR(--(INDEX('Reguler Class Availability'!$G:$G,$Q465)&amp;""),0)/IFERROR(--(INDEX('Reguler Class Availability'!$F:$F,$Q465)&amp;""),0)&gt;=0.6,"Tinggi","Sebagian"))))))</f>
        <v>Belum terisi</v>
      </c>
      <c r="F465" s="77" t="str">
        <f aca="false">IF($Q465="","",PROPER(INDEX('Reguler Class Availability'!$B:$B,$Q465)&amp;""))</f>
        <v>Little</v>
      </c>
      <c r="G465" s="76" t="n">
        <f aca="false">IF($Q465="","",IFERROR(--(INDEX('Reguler Class Availability'!$F:$F,$Q465)&amp;""),0))</f>
        <v>4</v>
      </c>
      <c r="H465" s="77" t="str">
        <f aca="false">IF($Q465="","",PROPER(INDEX('Reguler Class Availability'!$I:$I,$Q465)&amp;"")&amp;IF(INDEX('Reguler Class Availability'!$J:$J,$Q465)&amp;""="",""," + asst "&amp;PROPER(INDEX('Reguler Class Availability'!$J:$J,$Q465)&amp;"")))</f>
        <v/>
      </c>
      <c r="I465" s="77" t="s">
        <v>494</v>
      </c>
      <c r="J465" s="77" t="s">
        <v>188</v>
      </c>
      <c r="K465" s="78"/>
      <c r="L465" s="78"/>
      <c r="M465" s="78"/>
      <c r="N465" s="79"/>
      <c r="O465" s="78"/>
      <c r="Q465" s="30" t="n">
        <f aca="false">IFERROR(MATCH($B$4&amp;"|- Lane "&amp;D465&amp;" - "&amp;B465&amp;"|"&amp;C465,'Reguler Class Availability'!$L:$L,0),"")</f>
        <v>2152</v>
      </c>
    </row>
    <row r="466" customFormat="false" ht="40.5" hidden="false" customHeight="true" outlineLevel="0" collapsed="false">
      <c r="A466" s="76" t="n">
        <v>340</v>
      </c>
      <c r="B466" s="77" t="s">
        <v>80</v>
      </c>
      <c r="C466" s="76" t="s">
        <v>141</v>
      </c>
      <c r="D466" s="76" t="n">
        <v>4</v>
      </c>
      <c r="E466" s="77" t="str">
        <f aca="false">IF($Q466="","Tidak ada di data",IF(AND(IFERROR(--(INDEX('Reguler Class Availability'!$F:$F,$Q466)&amp;""),0)=0,IFERROR(--(INDEX('Reguler Class Availability'!$G:$G,$Q466)&amp;""),0)=0),"Tutup",IF(IFERROR(--(INDEX('Reguler Class Availability'!$G:$G,$Q466)&amp;""),0)&gt;IFERROR(--(INDEX('Reguler Class Availability'!$F:$F,$Q466)&amp;""),0),"Lebih",IF(IFERROR(--(INDEX('Reguler Class Availability'!$G:$G,$Q466)&amp;""),0)=IFERROR(--(INDEX('Reguler Class Availability'!$F:$F,$Q466)&amp;""),0),"Penuh",IF(IFERROR(--(INDEX('Reguler Class Availability'!$G:$G,$Q466)&amp;""),0)=0,IF(INDEX('Reguler Class Availability'!$B:$B,$Q466)&amp;""="","Kosong","Belum terisi"),IF(IFERROR(--(INDEX('Reguler Class Availability'!$G:$G,$Q466)&amp;""),0)/IFERROR(--(INDEX('Reguler Class Availability'!$F:$F,$Q466)&amp;""),0)&gt;=0.6,"Tinggi","Sebagian"))))))</f>
        <v>Belum terisi</v>
      </c>
      <c r="F466" s="77" t="str">
        <f aca="false">IF($Q466="","",PROPER(INDEX('Reguler Class Availability'!$B:$B,$Q466)&amp;""))</f>
        <v>Kids</v>
      </c>
      <c r="G466" s="76" t="n">
        <f aca="false">IF($Q466="","",IFERROR(--(INDEX('Reguler Class Availability'!$F:$F,$Q466)&amp;""),0))</f>
        <v>4</v>
      </c>
      <c r="H466" s="77" t="str">
        <f aca="false">IF($Q466="","",PROPER(INDEX('Reguler Class Availability'!$I:$I,$Q466)&amp;"")&amp;IF(INDEX('Reguler Class Availability'!$J:$J,$Q466)&amp;""="",""," + asst "&amp;PROPER(INDEX('Reguler Class Availability'!$J:$J,$Q466)&amp;"")))</f>
        <v/>
      </c>
      <c r="I466" s="77" t="s">
        <v>494</v>
      </c>
      <c r="J466" s="77" t="s">
        <v>188</v>
      </c>
      <c r="K466" s="78"/>
      <c r="L466" s="78"/>
      <c r="M466" s="78"/>
      <c r="N466" s="79"/>
      <c r="O466" s="78"/>
      <c r="Q466" s="30" t="n">
        <f aca="false">IFERROR(MATCH($B$4&amp;"|- Lane "&amp;D466&amp;" - "&amp;B466&amp;"|"&amp;C466,'Reguler Class Availability'!$L:$L,0),"")</f>
        <v>2236</v>
      </c>
    </row>
    <row r="467" customFormat="false" ht="27.75" hidden="false" customHeight="true" outlineLevel="0" collapsed="false">
      <c r="A467" s="76" t="n">
        <v>341</v>
      </c>
      <c r="B467" s="77" t="s">
        <v>80</v>
      </c>
      <c r="C467" s="76" t="s">
        <v>143</v>
      </c>
      <c r="D467" s="76" t="n">
        <v>1</v>
      </c>
      <c r="E467" s="77" t="str">
        <f aca="false">IF($Q467="","Tidak ada di data",IF(AND(IFERROR(--(INDEX('Reguler Class Availability'!$F:$F,$Q467)&amp;""),0)=0,IFERROR(--(INDEX('Reguler Class Availability'!$G:$G,$Q467)&amp;""),0)=0),"Tutup",IF(IFERROR(--(INDEX('Reguler Class Availability'!$G:$G,$Q467)&amp;""),0)&gt;IFERROR(--(INDEX('Reguler Class Availability'!$F:$F,$Q467)&amp;""),0),"Lebih",IF(IFERROR(--(INDEX('Reguler Class Availability'!$G:$G,$Q467)&amp;""),0)=IFERROR(--(INDEX('Reguler Class Availability'!$F:$F,$Q467)&amp;""),0),"Penuh",IF(IFERROR(--(INDEX('Reguler Class Availability'!$G:$G,$Q467)&amp;""),0)=0,IF(INDEX('Reguler Class Availability'!$B:$B,$Q467)&amp;""="","Kosong","Belum terisi"),IF(IFERROR(--(INDEX('Reguler Class Availability'!$G:$G,$Q467)&amp;""),0)/IFERROR(--(INDEX('Reguler Class Availability'!$F:$F,$Q467)&amp;""),0)&gt;=0.6,"Tinggi","Sebagian"))))))</f>
        <v>Belum terisi</v>
      </c>
      <c r="F467" s="77" t="str">
        <f aca="false">IF($Q467="","",PROPER(INDEX('Reguler Class Availability'!$B:$B,$Q467)&amp;""))</f>
        <v>Baby</v>
      </c>
      <c r="G467" s="76" t="n">
        <f aca="false">IF($Q467="","",IFERROR(--(INDEX('Reguler Class Availability'!$F:$F,$Q467)&amp;""),0))</f>
        <v>5</v>
      </c>
      <c r="H467" s="77" t="str">
        <f aca="false">IF($Q467="","",PROPER(INDEX('Reguler Class Availability'!$I:$I,$Q467)&amp;"")&amp;IF(INDEX('Reguler Class Availability'!$J:$J,$Q467)&amp;""="",""," + asst "&amp;PROPER(INDEX('Reguler Class Availability'!$J:$J,$Q467)&amp;"")))</f>
        <v/>
      </c>
      <c r="I467" s="77" t="s">
        <v>495</v>
      </c>
      <c r="J467" s="77" t="s">
        <v>188</v>
      </c>
      <c r="K467" s="78"/>
      <c r="L467" s="78"/>
      <c r="M467" s="78"/>
      <c r="N467" s="79"/>
      <c r="O467" s="78"/>
      <c r="Q467" s="30" t="n">
        <f aca="false">IFERROR(MATCH($B$4&amp;"|- Lane "&amp;D467&amp;" - "&amp;B467&amp;"|"&amp;C467,'Reguler Class Availability'!$L:$L,0),"")</f>
        <v>1971</v>
      </c>
    </row>
    <row r="468" customFormat="false" ht="27.75" hidden="false" customHeight="true" outlineLevel="0" collapsed="false">
      <c r="A468" s="76" t="n">
        <v>342</v>
      </c>
      <c r="B468" s="77" t="s">
        <v>80</v>
      </c>
      <c r="C468" s="76" t="s">
        <v>143</v>
      </c>
      <c r="D468" s="76" t="n">
        <v>2</v>
      </c>
      <c r="E468" s="77" t="str">
        <f aca="false">IF($Q468="","Tidak ada di data",IF(AND(IFERROR(--(INDEX('Reguler Class Availability'!$F:$F,$Q468)&amp;""),0)=0,IFERROR(--(INDEX('Reguler Class Availability'!$G:$G,$Q468)&amp;""),0)=0),"Tutup",IF(IFERROR(--(INDEX('Reguler Class Availability'!$G:$G,$Q468)&amp;""),0)&gt;IFERROR(--(INDEX('Reguler Class Availability'!$F:$F,$Q468)&amp;""),0),"Lebih",IF(IFERROR(--(INDEX('Reguler Class Availability'!$G:$G,$Q468)&amp;""),0)=IFERROR(--(INDEX('Reguler Class Availability'!$F:$F,$Q468)&amp;""),0),"Penuh",IF(IFERROR(--(INDEX('Reguler Class Availability'!$G:$G,$Q468)&amp;""),0)=0,IF(INDEX('Reguler Class Availability'!$B:$B,$Q468)&amp;""="","Kosong","Belum terisi"),IF(IFERROR(--(INDEX('Reguler Class Availability'!$G:$G,$Q468)&amp;""),0)/IFERROR(--(INDEX('Reguler Class Availability'!$F:$F,$Q468)&amp;""),0)&gt;=0.6,"Tinggi","Sebagian"))))))</f>
        <v>Belum terisi</v>
      </c>
      <c r="F468" s="77" t="str">
        <f aca="false">IF($Q468="","",PROPER(INDEX('Reguler Class Availability'!$B:$B,$Q468)&amp;""))</f>
        <v>Tiny</v>
      </c>
      <c r="G468" s="76" t="n">
        <f aca="false">IF($Q468="","",IFERROR(--(INDEX('Reguler Class Availability'!$F:$F,$Q468)&amp;""),0))</f>
        <v>5</v>
      </c>
      <c r="H468" s="77" t="str">
        <f aca="false">IF($Q468="","",PROPER(INDEX('Reguler Class Availability'!$I:$I,$Q468)&amp;"")&amp;IF(INDEX('Reguler Class Availability'!$J:$J,$Q468)&amp;""="",""," + asst "&amp;PROPER(INDEX('Reguler Class Availability'!$J:$J,$Q468)&amp;"")))</f>
        <v/>
      </c>
      <c r="I468" s="77" t="s">
        <v>495</v>
      </c>
      <c r="J468" s="77" t="s">
        <v>188</v>
      </c>
      <c r="K468" s="78"/>
      <c r="L468" s="78"/>
      <c r="M468" s="78"/>
      <c r="N468" s="79"/>
      <c r="O468" s="78"/>
      <c r="Q468" s="30" t="n">
        <f aca="false">IFERROR(MATCH($B$4&amp;"|- Lane "&amp;D468&amp;" - "&amp;B468&amp;"|"&amp;C468,'Reguler Class Availability'!$L:$L,0),"")</f>
        <v>2069</v>
      </c>
    </row>
    <row r="469" customFormat="false" ht="27.75" hidden="false" customHeight="true" outlineLevel="0" collapsed="false">
      <c r="A469" s="76" t="n">
        <v>343</v>
      </c>
      <c r="B469" s="77" t="s">
        <v>80</v>
      </c>
      <c r="C469" s="76" t="s">
        <v>143</v>
      </c>
      <c r="D469" s="76" t="n">
        <v>5</v>
      </c>
      <c r="E469" s="77" t="str">
        <f aca="false">IF($Q469="","Tidak ada di data",IF(AND(IFERROR(--(INDEX('Reguler Class Availability'!$F:$F,$Q469)&amp;""),0)=0,IFERROR(--(INDEX('Reguler Class Availability'!$G:$G,$Q469)&amp;""),0)=0),"Tutup",IF(IFERROR(--(INDEX('Reguler Class Availability'!$G:$G,$Q469)&amp;""),0)&gt;IFERROR(--(INDEX('Reguler Class Availability'!$F:$F,$Q469)&amp;""),0),"Lebih",IF(IFERROR(--(INDEX('Reguler Class Availability'!$G:$G,$Q469)&amp;""),0)=IFERROR(--(INDEX('Reguler Class Availability'!$F:$F,$Q469)&amp;""),0),"Penuh",IF(IFERROR(--(INDEX('Reguler Class Availability'!$G:$G,$Q469)&amp;""),0)=0,IF(INDEX('Reguler Class Availability'!$B:$B,$Q469)&amp;""="","Kosong","Belum terisi"),IF(IFERROR(--(INDEX('Reguler Class Availability'!$G:$G,$Q469)&amp;""),0)/IFERROR(--(INDEX('Reguler Class Availability'!$F:$F,$Q469)&amp;""),0)&gt;=0.6,"Tinggi","Sebagian"))))))</f>
        <v>Kosong</v>
      </c>
      <c r="F469" s="77" t="str">
        <f aca="false">IF($Q469="","",PROPER(INDEX('Reguler Class Availability'!$B:$B,$Q469)&amp;""))</f>
        <v/>
      </c>
      <c r="G469" s="76" t="n">
        <f aca="false">IF($Q469="","",IFERROR(--(INDEX('Reguler Class Availability'!$F:$F,$Q469)&amp;""),0))</f>
        <v>4</v>
      </c>
      <c r="H469" s="77" t="str">
        <f aca="false">IF($Q469="","",PROPER(INDEX('Reguler Class Availability'!$I:$I,$Q469)&amp;"")&amp;IF(INDEX('Reguler Class Availability'!$J:$J,$Q469)&amp;""="",""," + asst "&amp;PROPER(INDEX('Reguler Class Availability'!$J:$J,$Q469)&amp;"")))</f>
        <v/>
      </c>
      <c r="I469" s="77" t="s">
        <v>495</v>
      </c>
      <c r="J469" s="77" t="s">
        <v>188</v>
      </c>
      <c r="K469" s="78"/>
      <c r="L469" s="78"/>
      <c r="M469" s="78"/>
      <c r="N469" s="79"/>
      <c r="O469" s="78"/>
      <c r="Q469" s="30" t="n">
        <f aca="false">IFERROR(MATCH($B$4&amp;"|- Lane "&amp;D469&amp;" - "&amp;B469&amp;"|"&amp;C469,'Reguler Class Availability'!$L:$L,0),"")</f>
        <v>2321</v>
      </c>
    </row>
    <row r="470" customFormat="false" ht="27.75" hidden="false" customHeight="true" outlineLevel="0" collapsed="false">
      <c r="A470" s="76" t="n">
        <v>344</v>
      </c>
      <c r="B470" s="77" t="s">
        <v>80</v>
      </c>
      <c r="C470" s="76" t="s">
        <v>144</v>
      </c>
      <c r="D470" s="76" t="n">
        <v>3</v>
      </c>
      <c r="E470" s="77" t="str">
        <f aca="false">IF($Q470="","Tidak ada di data",IF(AND(IFERROR(--(INDEX('Reguler Class Availability'!$F:$F,$Q470)&amp;""),0)=0,IFERROR(--(INDEX('Reguler Class Availability'!$G:$G,$Q470)&amp;""),0)=0),"Tutup",IF(IFERROR(--(INDEX('Reguler Class Availability'!$G:$G,$Q470)&amp;""),0)&gt;IFERROR(--(INDEX('Reguler Class Availability'!$F:$F,$Q470)&amp;""),0),"Lebih",IF(IFERROR(--(INDEX('Reguler Class Availability'!$G:$G,$Q470)&amp;""),0)=IFERROR(--(INDEX('Reguler Class Availability'!$F:$F,$Q470)&amp;""),0),"Penuh",IF(IFERROR(--(INDEX('Reguler Class Availability'!$G:$G,$Q470)&amp;""),0)=0,IF(INDEX('Reguler Class Availability'!$B:$B,$Q470)&amp;""="","Kosong","Belum terisi"),IF(IFERROR(--(INDEX('Reguler Class Availability'!$G:$G,$Q470)&amp;""),0)/IFERROR(--(INDEX('Reguler Class Availability'!$F:$F,$Q470)&amp;""),0)&gt;=0.6,"Tinggi","Sebagian"))))))</f>
        <v>Belum terisi</v>
      </c>
      <c r="F470" s="77" t="str">
        <f aca="false">IF($Q470="","",PROPER(INDEX('Reguler Class Availability'!$B:$B,$Q470)&amp;""))</f>
        <v>Little</v>
      </c>
      <c r="G470" s="76" t="n">
        <f aca="false">IF($Q470="","",IFERROR(--(INDEX('Reguler Class Availability'!$F:$F,$Q470)&amp;""),0))</f>
        <v>4</v>
      </c>
      <c r="H470" s="77" t="str">
        <f aca="false">IF($Q470="","",PROPER(INDEX('Reguler Class Availability'!$I:$I,$Q470)&amp;"")&amp;IF(INDEX('Reguler Class Availability'!$J:$J,$Q470)&amp;""="",""," + asst "&amp;PROPER(INDEX('Reguler Class Availability'!$J:$J,$Q470)&amp;"")))</f>
        <v/>
      </c>
      <c r="I470" s="77" t="s">
        <v>495</v>
      </c>
      <c r="J470" s="77" t="s">
        <v>188</v>
      </c>
      <c r="K470" s="78"/>
      <c r="L470" s="78"/>
      <c r="M470" s="78"/>
      <c r="N470" s="79"/>
      <c r="O470" s="78"/>
      <c r="Q470" s="30" t="n">
        <f aca="false">IFERROR(MATCH($B$4&amp;"|- Lane "&amp;D470&amp;" - "&amp;B470&amp;"|"&amp;C470,'Reguler Class Availability'!$L:$L,0),"")</f>
        <v>2153</v>
      </c>
    </row>
    <row r="471" customFormat="false" ht="27.75" hidden="false" customHeight="true" outlineLevel="0" collapsed="false">
      <c r="A471" s="76" t="n">
        <v>345</v>
      </c>
      <c r="B471" s="77" t="s">
        <v>80</v>
      </c>
      <c r="C471" s="76" t="s">
        <v>146</v>
      </c>
      <c r="D471" s="76" t="n">
        <v>1</v>
      </c>
      <c r="E471" s="77" t="str">
        <f aca="false">IF($Q471="","Tidak ada di data",IF(AND(IFERROR(--(INDEX('Reguler Class Availability'!$F:$F,$Q471)&amp;""),0)=0,IFERROR(--(INDEX('Reguler Class Availability'!$G:$G,$Q471)&amp;""),0)=0),"Tutup",IF(IFERROR(--(INDEX('Reguler Class Availability'!$G:$G,$Q471)&amp;""),0)&gt;IFERROR(--(INDEX('Reguler Class Availability'!$F:$F,$Q471)&amp;""),0),"Lebih",IF(IFERROR(--(INDEX('Reguler Class Availability'!$G:$G,$Q471)&amp;""),0)=IFERROR(--(INDEX('Reguler Class Availability'!$F:$F,$Q471)&amp;""),0),"Penuh",IF(IFERROR(--(INDEX('Reguler Class Availability'!$G:$G,$Q471)&amp;""),0)=0,IF(INDEX('Reguler Class Availability'!$B:$B,$Q471)&amp;""="","Kosong","Belum terisi"),IF(IFERROR(--(INDEX('Reguler Class Availability'!$G:$G,$Q471)&amp;""),0)/IFERROR(--(INDEX('Reguler Class Availability'!$F:$F,$Q471)&amp;""),0)&gt;=0.6,"Tinggi","Sebagian"))))))</f>
        <v>Belum terisi</v>
      </c>
      <c r="F471" s="77" t="str">
        <f aca="false">IF($Q471="","",PROPER(INDEX('Reguler Class Availability'!$B:$B,$Q471)&amp;""))</f>
        <v>Baby</v>
      </c>
      <c r="G471" s="76" t="n">
        <f aca="false">IF($Q471="","",IFERROR(--(INDEX('Reguler Class Availability'!$F:$F,$Q471)&amp;""),0))</f>
        <v>5</v>
      </c>
      <c r="H471" s="77" t="str">
        <f aca="false">IF($Q471="","",PROPER(INDEX('Reguler Class Availability'!$I:$I,$Q471)&amp;"")&amp;IF(INDEX('Reguler Class Availability'!$J:$J,$Q471)&amp;""="",""," + asst "&amp;PROPER(INDEX('Reguler Class Availability'!$J:$J,$Q471)&amp;"")))</f>
        <v/>
      </c>
      <c r="I471" s="77" t="s">
        <v>497</v>
      </c>
      <c r="J471" s="77" t="s">
        <v>188</v>
      </c>
      <c r="K471" s="78"/>
      <c r="L471" s="78"/>
      <c r="M471" s="78"/>
      <c r="N471" s="79"/>
      <c r="O471" s="78"/>
      <c r="Q471" s="30" t="n">
        <f aca="false">IFERROR(MATCH($B$4&amp;"|- Lane "&amp;D471&amp;" - "&amp;B471&amp;"|"&amp;C471,'Reguler Class Availability'!$L:$L,0),"")</f>
        <v>1972</v>
      </c>
    </row>
    <row r="472" customFormat="false" ht="27.75" hidden="false" customHeight="true" outlineLevel="0" collapsed="false">
      <c r="A472" s="76" t="n">
        <v>346</v>
      </c>
      <c r="B472" s="77" t="s">
        <v>80</v>
      </c>
      <c r="C472" s="76" t="s">
        <v>146</v>
      </c>
      <c r="D472" s="76" t="n">
        <v>2</v>
      </c>
      <c r="E472" s="77" t="str">
        <f aca="false">IF($Q472="","Tidak ada di data",IF(AND(IFERROR(--(INDEX('Reguler Class Availability'!$F:$F,$Q472)&amp;""),0)=0,IFERROR(--(INDEX('Reguler Class Availability'!$G:$G,$Q472)&amp;""),0)=0),"Tutup",IF(IFERROR(--(INDEX('Reguler Class Availability'!$G:$G,$Q472)&amp;""),0)&gt;IFERROR(--(INDEX('Reguler Class Availability'!$F:$F,$Q472)&amp;""),0),"Lebih",IF(IFERROR(--(INDEX('Reguler Class Availability'!$G:$G,$Q472)&amp;""),0)=IFERROR(--(INDEX('Reguler Class Availability'!$F:$F,$Q472)&amp;""),0),"Penuh",IF(IFERROR(--(INDEX('Reguler Class Availability'!$G:$G,$Q472)&amp;""),0)=0,IF(INDEX('Reguler Class Availability'!$B:$B,$Q472)&amp;""="","Kosong","Belum terisi"),IF(IFERROR(--(INDEX('Reguler Class Availability'!$G:$G,$Q472)&amp;""),0)/IFERROR(--(INDEX('Reguler Class Availability'!$F:$F,$Q472)&amp;""),0)&gt;=0.6,"Tinggi","Sebagian"))))))</f>
        <v>Belum terisi</v>
      </c>
      <c r="F472" s="77" t="str">
        <f aca="false">IF($Q472="","",PROPER(INDEX('Reguler Class Availability'!$B:$B,$Q472)&amp;""))</f>
        <v>Tiny</v>
      </c>
      <c r="G472" s="76" t="n">
        <f aca="false">IF($Q472="","",IFERROR(--(INDEX('Reguler Class Availability'!$F:$F,$Q472)&amp;""),0))</f>
        <v>5</v>
      </c>
      <c r="H472" s="77" t="str">
        <f aca="false">IF($Q472="","",PROPER(INDEX('Reguler Class Availability'!$I:$I,$Q472)&amp;"")&amp;IF(INDEX('Reguler Class Availability'!$J:$J,$Q472)&amp;""="",""," + asst "&amp;PROPER(INDEX('Reguler Class Availability'!$J:$J,$Q472)&amp;"")))</f>
        <v/>
      </c>
      <c r="I472" s="77" t="s">
        <v>497</v>
      </c>
      <c r="J472" s="77" t="s">
        <v>188</v>
      </c>
      <c r="K472" s="78"/>
      <c r="L472" s="78"/>
      <c r="M472" s="78"/>
      <c r="N472" s="79"/>
      <c r="O472" s="78"/>
      <c r="Q472" s="30" t="n">
        <f aca="false">IFERROR(MATCH($B$4&amp;"|- Lane "&amp;D472&amp;" - "&amp;B472&amp;"|"&amp;C472,'Reguler Class Availability'!$L:$L,0),"")</f>
        <v>2070</v>
      </c>
    </row>
    <row r="473" customFormat="false" ht="27.75" hidden="false" customHeight="true" outlineLevel="0" collapsed="false">
      <c r="A473" s="76" t="n">
        <v>347</v>
      </c>
      <c r="B473" s="77" t="s">
        <v>80</v>
      </c>
      <c r="C473" s="76" t="s">
        <v>146</v>
      </c>
      <c r="D473" s="76" t="n">
        <v>5</v>
      </c>
      <c r="E473" s="77" t="str">
        <f aca="false">IF($Q473="","Tidak ada di data",IF(AND(IFERROR(--(INDEX('Reguler Class Availability'!$F:$F,$Q473)&amp;""),0)=0,IFERROR(--(INDEX('Reguler Class Availability'!$G:$G,$Q473)&amp;""),0)=0),"Tutup",IF(IFERROR(--(INDEX('Reguler Class Availability'!$G:$G,$Q473)&amp;""),0)&gt;IFERROR(--(INDEX('Reguler Class Availability'!$F:$F,$Q473)&amp;""),0),"Lebih",IF(IFERROR(--(INDEX('Reguler Class Availability'!$G:$G,$Q473)&amp;""),0)=IFERROR(--(INDEX('Reguler Class Availability'!$F:$F,$Q473)&amp;""),0),"Penuh",IF(IFERROR(--(INDEX('Reguler Class Availability'!$G:$G,$Q473)&amp;""),0)=0,IF(INDEX('Reguler Class Availability'!$B:$B,$Q473)&amp;""="","Kosong","Belum terisi"),IF(IFERROR(--(INDEX('Reguler Class Availability'!$G:$G,$Q473)&amp;""),0)/IFERROR(--(INDEX('Reguler Class Availability'!$F:$F,$Q473)&amp;""),0)&gt;=0.6,"Tinggi","Sebagian"))))))</f>
        <v>Kosong</v>
      </c>
      <c r="F473" s="77" t="str">
        <f aca="false">IF($Q473="","",PROPER(INDEX('Reguler Class Availability'!$B:$B,$Q473)&amp;""))</f>
        <v/>
      </c>
      <c r="G473" s="76" t="n">
        <f aca="false">IF($Q473="","",IFERROR(--(INDEX('Reguler Class Availability'!$F:$F,$Q473)&amp;""),0))</f>
        <v>4</v>
      </c>
      <c r="H473" s="77" t="str">
        <f aca="false">IF($Q473="","",PROPER(INDEX('Reguler Class Availability'!$I:$I,$Q473)&amp;"")&amp;IF(INDEX('Reguler Class Availability'!$J:$J,$Q473)&amp;""="",""," + asst "&amp;PROPER(INDEX('Reguler Class Availability'!$J:$J,$Q473)&amp;"")))</f>
        <v/>
      </c>
      <c r="I473" s="77" t="s">
        <v>497</v>
      </c>
      <c r="J473" s="77" t="s">
        <v>188</v>
      </c>
      <c r="K473" s="78"/>
      <c r="L473" s="78"/>
      <c r="M473" s="78"/>
      <c r="N473" s="79"/>
      <c r="O473" s="78"/>
      <c r="Q473" s="30" t="n">
        <f aca="false">IFERROR(MATCH($B$4&amp;"|- Lane "&amp;D473&amp;" - "&amp;B473&amp;"|"&amp;C473,'Reguler Class Availability'!$L:$L,0),"")</f>
        <v>2322</v>
      </c>
    </row>
    <row r="474" customFormat="false" ht="40.5" hidden="false" customHeight="true" outlineLevel="0" collapsed="false">
      <c r="A474" s="76" t="n">
        <v>348</v>
      </c>
      <c r="B474" s="77" t="s">
        <v>80</v>
      </c>
      <c r="C474" s="76" t="s">
        <v>147</v>
      </c>
      <c r="D474" s="76" t="n">
        <v>4</v>
      </c>
      <c r="E474" s="77" t="str">
        <f aca="false">IF($Q474="","Tidak ada di data",IF(AND(IFERROR(--(INDEX('Reguler Class Availability'!$F:$F,$Q474)&amp;""),0)=0,IFERROR(--(INDEX('Reguler Class Availability'!$G:$G,$Q474)&amp;""),0)=0),"Tutup",IF(IFERROR(--(INDEX('Reguler Class Availability'!$G:$G,$Q474)&amp;""),0)&gt;IFERROR(--(INDEX('Reguler Class Availability'!$F:$F,$Q474)&amp;""),0),"Lebih",IF(IFERROR(--(INDEX('Reguler Class Availability'!$G:$G,$Q474)&amp;""),0)=IFERROR(--(INDEX('Reguler Class Availability'!$F:$F,$Q474)&amp;""),0),"Penuh",IF(IFERROR(--(INDEX('Reguler Class Availability'!$G:$G,$Q474)&amp;""),0)=0,IF(INDEX('Reguler Class Availability'!$B:$B,$Q474)&amp;""="","Kosong","Belum terisi"),IF(IFERROR(--(INDEX('Reguler Class Availability'!$G:$G,$Q474)&amp;""),0)/IFERROR(--(INDEX('Reguler Class Availability'!$F:$F,$Q474)&amp;""),0)&gt;=0.6,"Tinggi","Sebagian"))))))</f>
        <v>Belum terisi</v>
      </c>
      <c r="F474" s="77" t="str">
        <f aca="false">IF($Q474="","",PROPER(INDEX('Reguler Class Availability'!$B:$B,$Q474)&amp;""))</f>
        <v>Kids</v>
      </c>
      <c r="G474" s="76" t="n">
        <f aca="false">IF($Q474="","",IFERROR(--(INDEX('Reguler Class Availability'!$F:$F,$Q474)&amp;""),0))</f>
        <v>4</v>
      </c>
      <c r="H474" s="77" t="str">
        <f aca="false">IF($Q474="","",PROPER(INDEX('Reguler Class Availability'!$I:$I,$Q474)&amp;"")&amp;IF(INDEX('Reguler Class Availability'!$J:$J,$Q474)&amp;""="",""," + asst "&amp;PROPER(INDEX('Reguler Class Availability'!$J:$J,$Q474)&amp;"")))</f>
        <v/>
      </c>
      <c r="I474" s="77" t="s">
        <v>498</v>
      </c>
      <c r="J474" s="77" t="s">
        <v>188</v>
      </c>
      <c r="K474" s="78"/>
      <c r="L474" s="78"/>
      <c r="M474" s="78"/>
      <c r="N474" s="79"/>
      <c r="O474" s="78"/>
      <c r="Q474" s="30" t="n">
        <f aca="false">IFERROR(MATCH($B$4&amp;"|- Lane "&amp;D474&amp;" - "&amp;B474&amp;"|"&amp;C474,'Reguler Class Availability'!$L:$L,0),"")</f>
        <v>2238</v>
      </c>
    </row>
    <row r="475" customFormat="false" ht="15.75" hidden="false" customHeight="true" outlineLevel="0" collapsed="false">
      <c r="A475" s="76" t="n">
        <v>349</v>
      </c>
      <c r="B475" s="77" t="s">
        <v>80</v>
      </c>
      <c r="C475" s="76" t="s">
        <v>149</v>
      </c>
      <c r="D475" s="76" t="n">
        <v>1</v>
      </c>
      <c r="E475" s="77" t="str">
        <f aca="false">IF($Q475="","Tidak ada di data",IF(AND(IFERROR(--(INDEX('Reguler Class Availability'!$F:$F,$Q475)&amp;""),0)=0,IFERROR(--(INDEX('Reguler Class Availability'!$G:$G,$Q475)&amp;""),0)=0),"Tutup",IF(IFERROR(--(INDEX('Reguler Class Availability'!$G:$G,$Q475)&amp;""),0)&gt;IFERROR(--(INDEX('Reguler Class Availability'!$F:$F,$Q475)&amp;""),0),"Lebih",IF(IFERROR(--(INDEX('Reguler Class Availability'!$G:$G,$Q475)&amp;""),0)=IFERROR(--(INDEX('Reguler Class Availability'!$F:$F,$Q475)&amp;""),0),"Penuh",IF(IFERROR(--(INDEX('Reguler Class Availability'!$G:$G,$Q475)&amp;""),0)=0,IF(INDEX('Reguler Class Availability'!$B:$B,$Q475)&amp;""="","Kosong","Belum terisi"),IF(IFERROR(--(INDEX('Reguler Class Availability'!$G:$G,$Q475)&amp;""),0)/IFERROR(--(INDEX('Reguler Class Availability'!$F:$F,$Q475)&amp;""),0)&gt;=0.6,"Tinggi","Sebagian"))))))</f>
        <v>Belum terisi</v>
      </c>
      <c r="F475" s="77" t="str">
        <f aca="false">IF($Q475="","",PROPER(INDEX('Reguler Class Availability'!$B:$B,$Q475)&amp;""))</f>
        <v>Baby</v>
      </c>
      <c r="G475" s="76" t="n">
        <f aca="false">IF($Q475="","",IFERROR(--(INDEX('Reguler Class Availability'!$F:$F,$Q475)&amp;""),0))</f>
        <v>5</v>
      </c>
      <c r="H475" s="77" t="str">
        <f aca="false">IF($Q475="","",PROPER(INDEX('Reguler Class Availability'!$I:$I,$Q475)&amp;"")&amp;IF(INDEX('Reguler Class Availability'!$J:$J,$Q475)&amp;""="",""," + asst "&amp;PROPER(INDEX('Reguler Class Availability'!$J:$J,$Q475)&amp;"")))</f>
        <v/>
      </c>
      <c r="I475" s="77" t="s">
        <v>475</v>
      </c>
      <c r="J475" s="77" t="s">
        <v>188</v>
      </c>
      <c r="K475" s="78"/>
      <c r="L475" s="78"/>
      <c r="M475" s="78"/>
      <c r="N475" s="79"/>
      <c r="O475" s="78"/>
      <c r="Q475" s="30" t="n">
        <f aca="false">IFERROR(MATCH($B$4&amp;"|- Lane "&amp;D475&amp;" - "&amp;B475&amp;"|"&amp;C475,'Reguler Class Availability'!$L:$L,0),"")</f>
        <v>1973</v>
      </c>
    </row>
    <row r="476" customFormat="false" ht="15.75" hidden="false" customHeight="true" outlineLevel="0" collapsed="false">
      <c r="A476" s="76" t="n">
        <v>350</v>
      </c>
      <c r="B476" s="77" t="s">
        <v>80</v>
      </c>
      <c r="C476" s="76" t="s">
        <v>149</v>
      </c>
      <c r="D476" s="76" t="n">
        <v>2</v>
      </c>
      <c r="E476" s="77" t="str">
        <f aca="false">IF($Q476="","Tidak ada di data",IF(AND(IFERROR(--(INDEX('Reguler Class Availability'!$F:$F,$Q476)&amp;""),0)=0,IFERROR(--(INDEX('Reguler Class Availability'!$G:$G,$Q476)&amp;""),0)=0),"Tutup",IF(IFERROR(--(INDEX('Reguler Class Availability'!$G:$G,$Q476)&amp;""),0)&gt;IFERROR(--(INDEX('Reguler Class Availability'!$F:$F,$Q476)&amp;""),0),"Lebih",IF(IFERROR(--(INDEX('Reguler Class Availability'!$G:$G,$Q476)&amp;""),0)=IFERROR(--(INDEX('Reguler Class Availability'!$F:$F,$Q476)&amp;""),0),"Penuh",IF(IFERROR(--(INDEX('Reguler Class Availability'!$G:$G,$Q476)&amp;""),0)=0,IF(INDEX('Reguler Class Availability'!$B:$B,$Q476)&amp;""="","Kosong","Belum terisi"),IF(IFERROR(--(INDEX('Reguler Class Availability'!$G:$G,$Q476)&amp;""),0)/IFERROR(--(INDEX('Reguler Class Availability'!$F:$F,$Q476)&amp;""),0)&gt;=0.6,"Tinggi","Sebagian"))))))</f>
        <v>Belum terisi</v>
      </c>
      <c r="F476" s="77" t="str">
        <f aca="false">IF($Q476="","",PROPER(INDEX('Reguler Class Availability'!$B:$B,$Q476)&amp;""))</f>
        <v>Tiny</v>
      </c>
      <c r="G476" s="76" t="n">
        <f aca="false">IF($Q476="","",IFERROR(--(INDEX('Reguler Class Availability'!$F:$F,$Q476)&amp;""),0))</f>
        <v>5</v>
      </c>
      <c r="H476" s="77" t="str">
        <f aca="false">IF($Q476="","",PROPER(INDEX('Reguler Class Availability'!$I:$I,$Q476)&amp;"")&amp;IF(INDEX('Reguler Class Availability'!$J:$J,$Q476)&amp;""="",""," + asst "&amp;PROPER(INDEX('Reguler Class Availability'!$J:$J,$Q476)&amp;"")))</f>
        <v/>
      </c>
      <c r="I476" s="77" t="s">
        <v>475</v>
      </c>
      <c r="J476" s="77" t="s">
        <v>188</v>
      </c>
      <c r="K476" s="78"/>
      <c r="L476" s="78"/>
      <c r="M476" s="78"/>
      <c r="N476" s="79"/>
      <c r="O476" s="78"/>
      <c r="Q476" s="30" t="n">
        <f aca="false">IFERROR(MATCH($B$4&amp;"|- Lane "&amp;D476&amp;" - "&amp;B476&amp;"|"&amp;C476,'Reguler Class Availability'!$L:$L,0),"")</f>
        <v>2071</v>
      </c>
    </row>
    <row r="477" customFormat="false" ht="15.75" hidden="false" customHeight="true" outlineLevel="0" collapsed="false">
      <c r="A477" s="76" t="n">
        <v>351</v>
      </c>
      <c r="B477" s="77" t="s">
        <v>80</v>
      </c>
      <c r="C477" s="76" t="s">
        <v>149</v>
      </c>
      <c r="D477" s="76" t="n">
        <v>5</v>
      </c>
      <c r="E477" s="77" t="str">
        <f aca="false">IF($Q477="","Tidak ada di data",IF(AND(IFERROR(--(INDEX('Reguler Class Availability'!$F:$F,$Q477)&amp;""),0)=0,IFERROR(--(INDEX('Reguler Class Availability'!$G:$G,$Q477)&amp;""),0)=0),"Tutup",IF(IFERROR(--(INDEX('Reguler Class Availability'!$G:$G,$Q477)&amp;""),0)&gt;IFERROR(--(INDEX('Reguler Class Availability'!$F:$F,$Q477)&amp;""),0),"Lebih",IF(IFERROR(--(INDEX('Reguler Class Availability'!$G:$G,$Q477)&amp;""),0)=IFERROR(--(INDEX('Reguler Class Availability'!$F:$F,$Q477)&amp;""),0),"Penuh",IF(IFERROR(--(INDEX('Reguler Class Availability'!$G:$G,$Q477)&amp;""),0)=0,IF(INDEX('Reguler Class Availability'!$B:$B,$Q477)&amp;""="","Kosong","Belum terisi"),IF(IFERROR(--(INDEX('Reguler Class Availability'!$G:$G,$Q477)&amp;""),0)/IFERROR(--(INDEX('Reguler Class Availability'!$F:$F,$Q477)&amp;""),0)&gt;=0.6,"Tinggi","Sebagian"))))))</f>
        <v>Kosong</v>
      </c>
      <c r="F477" s="77" t="str">
        <f aca="false">IF($Q477="","",PROPER(INDEX('Reguler Class Availability'!$B:$B,$Q477)&amp;""))</f>
        <v/>
      </c>
      <c r="G477" s="76" t="n">
        <f aca="false">IF($Q477="","",IFERROR(--(INDEX('Reguler Class Availability'!$F:$F,$Q477)&amp;""),0))</f>
        <v>4</v>
      </c>
      <c r="H477" s="77" t="str">
        <f aca="false">IF($Q477="","",PROPER(INDEX('Reguler Class Availability'!$I:$I,$Q477)&amp;"")&amp;IF(INDEX('Reguler Class Availability'!$J:$J,$Q477)&amp;""="",""," + asst "&amp;PROPER(INDEX('Reguler Class Availability'!$J:$J,$Q477)&amp;"")))</f>
        <v/>
      </c>
      <c r="I477" s="77" t="s">
        <v>475</v>
      </c>
      <c r="J477" s="77" t="s">
        <v>188</v>
      </c>
      <c r="K477" s="78"/>
      <c r="L477" s="78"/>
      <c r="M477" s="78"/>
      <c r="N477" s="79"/>
      <c r="O477" s="78"/>
      <c r="Q477" s="30" t="n">
        <f aca="false">IFERROR(MATCH($B$4&amp;"|- Lane "&amp;D477&amp;" - "&amp;B477&amp;"|"&amp;C477,'Reguler Class Availability'!$L:$L,0),"")</f>
        <v>2323</v>
      </c>
    </row>
    <row r="478" customFormat="false" ht="15.75" hidden="false" customHeight="true" outlineLevel="0" collapsed="false">
      <c r="A478" s="76" t="n">
        <v>352</v>
      </c>
      <c r="B478" s="77" t="s">
        <v>80</v>
      </c>
      <c r="C478" s="76" t="s">
        <v>152</v>
      </c>
      <c r="D478" s="76" t="n">
        <v>1</v>
      </c>
      <c r="E478" s="77" t="str">
        <f aca="false">IF($Q478="","Tidak ada di data",IF(AND(IFERROR(--(INDEX('Reguler Class Availability'!$F:$F,$Q478)&amp;""),0)=0,IFERROR(--(INDEX('Reguler Class Availability'!$G:$G,$Q478)&amp;""),0)=0),"Tutup",IF(IFERROR(--(INDEX('Reguler Class Availability'!$G:$G,$Q478)&amp;""),0)&gt;IFERROR(--(INDEX('Reguler Class Availability'!$F:$F,$Q478)&amp;""),0),"Lebih",IF(IFERROR(--(INDEX('Reguler Class Availability'!$G:$G,$Q478)&amp;""),0)=IFERROR(--(INDEX('Reguler Class Availability'!$F:$F,$Q478)&amp;""),0),"Penuh",IF(IFERROR(--(INDEX('Reguler Class Availability'!$G:$G,$Q478)&amp;""),0)=0,IF(INDEX('Reguler Class Availability'!$B:$B,$Q478)&amp;""="","Kosong","Belum terisi"),IF(IFERROR(--(INDEX('Reguler Class Availability'!$G:$G,$Q478)&amp;""),0)/IFERROR(--(INDEX('Reguler Class Availability'!$F:$F,$Q478)&amp;""),0)&gt;=0.6,"Tinggi","Sebagian"))))))</f>
        <v>Belum terisi</v>
      </c>
      <c r="F478" s="77" t="str">
        <f aca="false">IF($Q478="","",PROPER(INDEX('Reguler Class Availability'!$B:$B,$Q478)&amp;""))</f>
        <v>Baby</v>
      </c>
      <c r="G478" s="76" t="n">
        <f aca="false">IF($Q478="","",IFERROR(--(INDEX('Reguler Class Availability'!$F:$F,$Q478)&amp;""),0))</f>
        <v>5</v>
      </c>
      <c r="H478" s="77" t="str">
        <f aca="false">IF($Q478="","",PROPER(INDEX('Reguler Class Availability'!$I:$I,$Q478)&amp;"")&amp;IF(INDEX('Reguler Class Availability'!$J:$J,$Q478)&amp;""="",""," + asst "&amp;PROPER(INDEX('Reguler Class Availability'!$J:$J,$Q478)&amp;"")))</f>
        <v/>
      </c>
      <c r="I478" s="77" t="s">
        <v>461</v>
      </c>
      <c r="J478" s="77" t="s">
        <v>188</v>
      </c>
      <c r="K478" s="78"/>
      <c r="L478" s="78"/>
      <c r="M478" s="78"/>
      <c r="N478" s="79"/>
      <c r="O478" s="78"/>
      <c r="Q478" s="30" t="n">
        <f aca="false">IFERROR(MATCH($B$4&amp;"|- Lane "&amp;D478&amp;" - "&amp;B478&amp;"|"&amp;C478,'Reguler Class Availability'!$L:$L,0),"")</f>
        <v>1974</v>
      </c>
    </row>
    <row r="479" customFormat="false" ht="15.75" hidden="false" customHeight="true" outlineLevel="0" collapsed="false">
      <c r="A479" s="76" t="n">
        <v>353</v>
      </c>
      <c r="B479" s="77" t="s">
        <v>80</v>
      </c>
      <c r="C479" s="76" t="s">
        <v>152</v>
      </c>
      <c r="D479" s="76" t="n">
        <v>5</v>
      </c>
      <c r="E479" s="77" t="str">
        <f aca="false">IF($Q479="","Tidak ada di data",IF(AND(IFERROR(--(INDEX('Reguler Class Availability'!$F:$F,$Q479)&amp;""),0)=0,IFERROR(--(INDEX('Reguler Class Availability'!$G:$G,$Q479)&amp;""),0)=0),"Tutup",IF(IFERROR(--(INDEX('Reguler Class Availability'!$G:$G,$Q479)&amp;""),0)&gt;IFERROR(--(INDEX('Reguler Class Availability'!$F:$F,$Q479)&amp;""),0),"Lebih",IF(IFERROR(--(INDEX('Reguler Class Availability'!$G:$G,$Q479)&amp;""),0)=IFERROR(--(INDEX('Reguler Class Availability'!$F:$F,$Q479)&amp;""),0),"Penuh",IF(IFERROR(--(INDEX('Reguler Class Availability'!$G:$G,$Q479)&amp;""),0)=0,IF(INDEX('Reguler Class Availability'!$B:$B,$Q479)&amp;""="","Kosong","Belum terisi"),IF(IFERROR(--(INDEX('Reguler Class Availability'!$G:$G,$Q479)&amp;""),0)/IFERROR(--(INDEX('Reguler Class Availability'!$F:$F,$Q479)&amp;""),0)&gt;=0.6,"Tinggi","Sebagian"))))))</f>
        <v>Kosong</v>
      </c>
      <c r="F479" s="77" t="str">
        <f aca="false">IF($Q479="","",PROPER(INDEX('Reguler Class Availability'!$B:$B,$Q479)&amp;""))</f>
        <v/>
      </c>
      <c r="G479" s="76" t="n">
        <f aca="false">IF($Q479="","",IFERROR(--(INDEX('Reguler Class Availability'!$F:$F,$Q479)&amp;""),0))</f>
        <v>4</v>
      </c>
      <c r="H479" s="77" t="str">
        <f aca="false">IF($Q479="","",PROPER(INDEX('Reguler Class Availability'!$I:$I,$Q479)&amp;"")&amp;IF(INDEX('Reguler Class Availability'!$J:$J,$Q479)&amp;""="",""," + asst "&amp;PROPER(INDEX('Reguler Class Availability'!$J:$J,$Q479)&amp;"")))</f>
        <v/>
      </c>
      <c r="I479" s="77" t="s">
        <v>461</v>
      </c>
      <c r="J479" s="77" t="s">
        <v>188</v>
      </c>
      <c r="K479" s="78"/>
      <c r="L479" s="78"/>
      <c r="M479" s="78"/>
      <c r="N479" s="79"/>
      <c r="O479" s="78"/>
      <c r="Q479" s="30" t="n">
        <f aca="false">IFERROR(MATCH($B$4&amp;"|- Lane "&amp;D479&amp;" - "&amp;B479&amp;"|"&amp;C479,'Reguler Class Availability'!$L:$L,0),"")</f>
        <v>2324</v>
      </c>
    </row>
    <row r="480" customFormat="false" ht="40.5" hidden="false" customHeight="true" outlineLevel="0" collapsed="false">
      <c r="A480" s="76" t="n">
        <v>354</v>
      </c>
      <c r="B480" s="77" t="s">
        <v>80</v>
      </c>
      <c r="C480" s="76" t="s">
        <v>153</v>
      </c>
      <c r="D480" s="76" t="n">
        <v>3</v>
      </c>
      <c r="E480" s="77" t="str">
        <f aca="false">IF($Q480="","Tidak ada di data",IF(AND(IFERROR(--(INDEX('Reguler Class Availability'!$F:$F,$Q480)&amp;""),0)=0,IFERROR(--(INDEX('Reguler Class Availability'!$G:$G,$Q480)&amp;""),0)=0),"Tutup",IF(IFERROR(--(INDEX('Reguler Class Availability'!$G:$G,$Q480)&amp;""),0)&gt;IFERROR(--(INDEX('Reguler Class Availability'!$F:$F,$Q480)&amp;""),0),"Lebih",IF(IFERROR(--(INDEX('Reguler Class Availability'!$G:$G,$Q480)&amp;""),0)=IFERROR(--(INDEX('Reguler Class Availability'!$F:$F,$Q480)&amp;""),0),"Penuh",IF(IFERROR(--(INDEX('Reguler Class Availability'!$G:$G,$Q480)&amp;""),0)=0,IF(INDEX('Reguler Class Availability'!$B:$B,$Q480)&amp;""="","Kosong","Belum terisi"),IF(IFERROR(--(INDEX('Reguler Class Availability'!$G:$G,$Q480)&amp;""),0)/IFERROR(--(INDEX('Reguler Class Availability'!$F:$F,$Q480)&amp;""),0)&gt;=0.6,"Tinggi","Sebagian"))))))</f>
        <v>Belum terisi</v>
      </c>
      <c r="F480" s="77" t="str">
        <f aca="false">IF($Q480="","",PROPER(INDEX('Reguler Class Availability'!$B:$B,$Q480)&amp;""))</f>
        <v>Little</v>
      </c>
      <c r="G480" s="76" t="n">
        <f aca="false">IF($Q480="","",IFERROR(--(INDEX('Reguler Class Availability'!$F:$F,$Q480)&amp;""),0))</f>
        <v>4</v>
      </c>
      <c r="H480" s="77" t="str">
        <f aca="false">IF($Q480="","",PROPER(INDEX('Reguler Class Availability'!$I:$I,$Q480)&amp;"")&amp;IF(INDEX('Reguler Class Availability'!$J:$J,$Q480)&amp;""="",""," + asst "&amp;PROPER(INDEX('Reguler Class Availability'!$J:$J,$Q480)&amp;"")))</f>
        <v/>
      </c>
      <c r="I480" s="77" t="s">
        <v>499</v>
      </c>
      <c r="J480" s="77" t="s">
        <v>188</v>
      </c>
      <c r="K480" s="78"/>
      <c r="L480" s="78"/>
      <c r="M480" s="78"/>
      <c r="N480" s="79"/>
      <c r="O480" s="78"/>
      <c r="Q480" s="30" t="n">
        <f aca="false">IFERROR(MATCH($B$4&amp;"|- Lane "&amp;D480&amp;" - "&amp;B480&amp;"|"&amp;C480,'Reguler Class Availability'!$L:$L,0),"")</f>
        <v>2156</v>
      </c>
    </row>
    <row r="481" customFormat="false" ht="40.5" hidden="false" customHeight="true" outlineLevel="0" collapsed="false">
      <c r="A481" s="76" t="n">
        <v>355</v>
      </c>
      <c r="B481" s="77" t="s">
        <v>80</v>
      </c>
      <c r="C481" s="76" t="s">
        <v>153</v>
      </c>
      <c r="D481" s="76" t="n">
        <v>4</v>
      </c>
      <c r="E481" s="77" t="str">
        <f aca="false">IF($Q481="","Tidak ada di data",IF(AND(IFERROR(--(INDEX('Reguler Class Availability'!$F:$F,$Q481)&amp;""),0)=0,IFERROR(--(INDEX('Reguler Class Availability'!$G:$G,$Q481)&amp;""),0)=0),"Tutup",IF(IFERROR(--(INDEX('Reguler Class Availability'!$G:$G,$Q481)&amp;""),0)&gt;IFERROR(--(INDEX('Reguler Class Availability'!$F:$F,$Q481)&amp;""),0),"Lebih",IF(IFERROR(--(INDEX('Reguler Class Availability'!$G:$G,$Q481)&amp;""),0)=IFERROR(--(INDEX('Reguler Class Availability'!$F:$F,$Q481)&amp;""),0),"Penuh",IF(IFERROR(--(INDEX('Reguler Class Availability'!$G:$G,$Q481)&amp;""),0)=0,IF(INDEX('Reguler Class Availability'!$B:$B,$Q481)&amp;""="","Kosong","Belum terisi"),IF(IFERROR(--(INDEX('Reguler Class Availability'!$G:$G,$Q481)&amp;""),0)/IFERROR(--(INDEX('Reguler Class Availability'!$F:$F,$Q481)&amp;""),0)&gt;=0.6,"Tinggi","Sebagian"))))))</f>
        <v>Belum terisi</v>
      </c>
      <c r="F481" s="77" t="str">
        <f aca="false">IF($Q481="","",PROPER(INDEX('Reguler Class Availability'!$B:$B,$Q481)&amp;""))</f>
        <v>Kids</v>
      </c>
      <c r="G481" s="76" t="n">
        <f aca="false">IF($Q481="","",IFERROR(--(INDEX('Reguler Class Availability'!$F:$F,$Q481)&amp;""),0))</f>
        <v>4</v>
      </c>
      <c r="H481" s="77" t="str">
        <f aca="false">IF($Q481="","",PROPER(INDEX('Reguler Class Availability'!$I:$I,$Q481)&amp;"")&amp;IF(INDEX('Reguler Class Availability'!$J:$J,$Q481)&amp;""="",""," + asst "&amp;PROPER(INDEX('Reguler Class Availability'!$J:$J,$Q481)&amp;"")))</f>
        <v/>
      </c>
      <c r="I481" s="77" t="s">
        <v>499</v>
      </c>
      <c r="J481" s="77" t="s">
        <v>188</v>
      </c>
      <c r="K481" s="78"/>
      <c r="L481" s="78"/>
      <c r="M481" s="78"/>
      <c r="N481" s="79"/>
      <c r="O481" s="78"/>
      <c r="Q481" s="30" t="n">
        <f aca="false">IFERROR(MATCH($B$4&amp;"|- Lane "&amp;D481&amp;" - "&amp;B481&amp;"|"&amp;C481,'Reguler Class Availability'!$L:$L,0),"")</f>
        <v>2240</v>
      </c>
    </row>
    <row r="482" customFormat="false" ht="40.5" hidden="false" customHeight="true" outlineLevel="0" collapsed="false">
      <c r="A482" s="76" t="n">
        <v>356</v>
      </c>
      <c r="B482" s="77" t="s">
        <v>80</v>
      </c>
      <c r="C482" s="76" t="s">
        <v>155</v>
      </c>
      <c r="D482" s="76" t="n">
        <v>1</v>
      </c>
      <c r="E482" s="77" t="str">
        <f aca="false">IF($Q482="","Tidak ada di data",IF(AND(IFERROR(--(INDEX('Reguler Class Availability'!$F:$F,$Q482)&amp;""),0)=0,IFERROR(--(INDEX('Reguler Class Availability'!$G:$G,$Q482)&amp;""),0)=0),"Tutup",IF(IFERROR(--(INDEX('Reguler Class Availability'!$G:$G,$Q482)&amp;""),0)&gt;IFERROR(--(INDEX('Reguler Class Availability'!$F:$F,$Q482)&amp;""),0),"Lebih",IF(IFERROR(--(INDEX('Reguler Class Availability'!$G:$G,$Q482)&amp;""),0)=IFERROR(--(INDEX('Reguler Class Availability'!$F:$F,$Q482)&amp;""),0),"Penuh",IF(IFERROR(--(INDEX('Reguler Class Availability'!$G:$G,$Q482)&amp;""),0)=0,IF(INDEX('Reguler Class Availability'!$B:$B,$Q482)&amp;""="","Kosong","Belum terisi"),IF(IFERROR(--(INDEX('Reguler Class Availability'!$G:$G,$Q482)&amp;""),0)/IFERROR(--(INDEX('Reguler Class Availability'!$F:$F,$Q482)&amp;""),0)&gt;=0.6,"Tinggi","Sebagian"))))))</f>
        <v>Belum terisi</v>
      </c>
      <c r="F482" s="77" t="str">
        <f aca="false">IF($Q482="","",PROPER(INDEX('Reguler Class Availability'!$B:$B,$Q482)&amp;""))</f>
        <v>Baby</v>
      </c>
      <c r="G482" s="76" t="n">
        <f aca="false">IF($Q482="","",IFERROR(--(INDEX('Reguler Class Availability'!$F:$F,$Q482)&amp;""),0))</f>
        <v>5</v>
      </c>
      <c r="H482" s="77" t="str">
        <f aca="false">IF($Q482="","",PROPER(INDEX('Reguler Class Availability'!$I:$I,$Q482)&amp;"")&amp;IF(INDEX('Reguler Class Availability'!$J:$J,$Q482)&amp;""="",""," + asst "&amp;PROPER(INDEX('Reguler Class Availability'!$J:$J,$Q482)&amp;"")))</f>
        <v/>
      </c>
      <c r="I482" s="77" t="s">
        <v>494</v>
      </c>
      <c r="J482" s="77" t="s">
        <v>188</v>
      </c>
      <c r="K482" s="78"/>
      <c r="L482" s="78"/>
      <c r="M482" s="78"/>
      <c r="N482" s="79"/>
      <c r="O482" s="78"/>
      <c r="Q482" s="30" t="n">
        <f aca="false">IFERROR(MATCH($B$4&amp;"|- Lane "&amp;D482&amp;" - "&amp;B482&amp;"|"&amp;C482,'Reguler Class Availability'!$L:$L,0),"")</f>
        <v>1975</v>
      </c>
    </row>
    <row r="483" customFormat="false" ht="40.5" hidden="false" customHeight="true" outlineLevel="0" collapsed="false">
      <c r="A483" s="76" t="n">
        <v>357</v>
      </c>
      <c r="B483" s="77" t="s">
        <v>80</v>
      </c>
      <c r="C483" s="76" t="s">
        <v>155</v>
      </c>
      <c r="D483" s="76" t="n">
        <v>2</v>
      </c>
      <c r="E483" s="77" t="str">
        <f aca="false">IF($Q483="","Tidak ada di data",IF(AND(IFERROR(--(INDEX('Reguler Class Availability'!$F:$F,$Q483)&amp;""),0)=0,IFERROR(--(INDEX('Reguler Class Availability'!$G:$G,$Q483)&amp;""),0)=0),"Tutup",IF(IFERROR(--(INDEX('Reguler Class Availability'!$G:$G,$Q483)&amp;""),0)&gt;IFERROR(--(INDEX('Reguler Class Availability'!$F:$F,$Q483)&amp;""),0),"Lebih",IF(IFERROR(--(INDEX('Reguler Class Availability'!$G:$G,$Q483)&amp;""),0)=IFERROR(--(INDEX('Reguler Class Availability'!$F:$F,$Q483)&amp;""),0),"Penuh",IF(IFERROR(--(INDEX('Reguler Class Availability'!$G:$G,$Q483)&amp;""),0)=0,IF(INDEX('Reguler Class Availability'!$B:$B,$Q483)&amp;""="","Kosong","Belum terisi"),IF(IFERROR(--(INDEX('Reguler Class Availability'!$G:$G,$Q483)&amp;""),0)/IFERROR(--(INDEX('Reguler Class Availability'!$F:$F,$Q483)&amp;""),0)&gt;=0.6,"Tinggi","Sebagian"))))))</f>
        <v>Belum terisi</v>
      </c>
      <c r="F483" s="77" t="str">
        <f aca="false">IF($Q483="","",PROPER(INDEX('Reguler Class Availability'!$B:$B,$Q483)&amp;""))</f>
        <v>Tiny</v>
      </c>
      <c r="G483" s="76" t="n">
        <f aca="false">IF($Q483="","",IFERROR(--(INDEX('Reguler Class Availability'!$F:$F,$Q483)&amp;""),0))</f>
        <v>5</v>
      </c>
      <c r="H483" s="77" t="str">
        <f aca="false">IF($Q483="","",PROPER(INDEX('Reguler Class Availability'!$I:$I,$Q483)&amp;"")&amp;IF(INDEX('Reguler Class Availability'!$J:$J,$Q483)&amp;""="",""," + asst "&amp;PROPER(INDEX('Reguler Class Availability'!$J:$J,$Q483)&amp;"")))</f>
        <v/>
      </c>
      <c r="I483" s="77" t="s">
        <v>494</v>
      </c>
      <c r="J483" s="77" t="s">
        <v>188</v>
      </c>
      <c r="K483" s="78"/>
      <c r="L483" s="78"/>
      <c r="M483" s="78"/>
      <c r="N483" s="79"/>
      <c r="O483" s="78"/>
      <c r="Q483" s="30" t="n">
        <f aca="false">IFERROR(MATCH($B$4&amp;"|- Lane "&amp;D483&amp;" - "&amp;B483&amp;"|"&amp;C483,'Reguler Class Availability'!$L:$L,0),"")</f>
        <v>2073</v>
      </c>
    </row>
    <row r="484" customFormat="false" ht="40.5" hidden="false" customHeight="true" outlineLevel="0" collapsed="false">
      <c r="A484" s="76" t="n">
        <v>358</v>
      </c>
      <c r="B484" s="77" t="s">
        <v>80</v>
      </c>
      <c r="C484" s="76" t="s">
        <v>155</v>
      </c>
      <c r="D484" s="76" t="n">
        <v>5</v>
      </c>
      <c r="E484" s="77" t="str">
        <f aca="false">IF($Q484="","Tidak ada di data",IF(AND(IFERROR(--(INDEX('Reguler Class Availability'!$F:$F,$Q484)&amp;""),0)=0,IFERROR(--(INDEX('Reguler Class Availability'!$G:$G,$Q484)&amp;""),0)=0),"Tutup",IF(IFERROR(--(INDEX('Reguler Class Availability'!$G:$G,$Q484)&amp;""),0)&gt;IFERROR(--(INDEX('Reguler Class Availability'!$F:$F,$Q484)&amp;""),0),"Lebih",IF(IFERROR(--(INDEX('Reguler Class Availability'!$G:$G,$Q484)&amp;""),0)=IFERROR(--(INDEX('Reguler Class Availability'!$F:$F,$Q484)&amp;""),0),"Penuh",IF(IFERROR(--(INDEX('Reguler Class Availability'!$G:$G,$Q484)&amp;""),0)=0,IF(INDEX('Reguler Class Availability'!$B:$B,$Q484)&amp;""="","Kosong","Belum terisi"),IF(IFERROR(--(INDEX('Reguler Class Availability'!$G:$G,$Q484)&amp;""),0)/IFERROR(--(INDEX('Reguler Class Availability'!$F:$F,$Q484)&amp;""),0)&gt;=0.6,"Tinggi","Sebagian"))))))</f>
        <v>Kosong</v>
      </c>
      <c r="F484" s="77" t="str">
        <f aca="false">IF($Q484="","",PROPER(INDEX('Reguler Class Availability'!$B:$B,$Q484)&amp;""))</f>
        <v/>
      </c>
      <c r="G484" s="76" t="n">
        <f aca="false">IF($Q484="","",IFERROR(--(INDEX('Reguler Class Availability'!$F:$F,$Q484)&amp;""),0))</f>
        <v>4</v>
      </c>
      <c r="H484" s="77" t="str">
        <f aca="false">IF($Q484="","",PROPER(INDEX('Reguler Class Availability'!$I:$I,$Q484)&amp;"")&amp;IF(INDEX('Reguler Class Availability'!$J:$J,$Q484)&amp;""="",""," + asst "&amp;PROPER(INDEX('Reguler Class Availability'!$J:$J,$Q484)&amp;"")))</f>
        <v/>
      </c>
      <c r="I484" s="77" t="s">
        <v>494</v>
      </c>
      <c r="J484" s="77" t="s">
        <v>188</v>
      </c>
      <c r="K484" s="78"/>
      <c r="L484" s="78"/>
      <c r="M484" s="78"/>
      <c r="N484" s="79"/>
      <c r="O484" s="78"/>
      <c r="Q484" s="30" t="n">
        <f aca="false">IFERROR(MATCH($B$4&amp;"|- Lane "&amp;D484&amp;" - "&amp;B484&amp;"|"&amp;C484,'Reguler Class Availability'!$L:$L,0),"")</f>
        <v>2325</v>
      </c>
    </row>
    <row r="485" customFormat="false" ht="40.5" hidden="false" customHeight="true" outlineLevel="0" collapsed="false">
      <c r="A485" s="76" t="n">
        <v>359</v>
      </c>
      <c r="B485" s="77" t="s">
        <v>80</v>
      </c>
      <c r="C485" s="76" t="s">
        <v>156</v>
      </c>
      <c r="D485" s="76" t="n">
        <v>3</v>
      </c>
      <c r="E485" s="77" t="str">
        <f aca="false">IF($Q485="","Tidak ada di data",IF(AND(IFERROR(--(INDEX('Reguler Class Availability'!$F:$F,$Q485)&amp;""),0)=0,IFERROR(--(INDEX('Reguler Class Availability'!$G:$G,$Q485)&amp;""),0)=0),"Tutup",IF(IFERROR(--(INDEX('Reguler Class Availability'!$G:$G,$Q485)&amp;""),0)&gt;IFERROR(--(INDEX('Reguler Class Availability'!$F:$F,$Q485)&amp;""),0),"Lebih",IF(IFERROR(--(INDEX('Reguler Class Availability'!$G:$G,$Q485)&amp;""),0)=IFERROR(--(INDEX('Reguler Class Availability'!$F:$F,$Q485)&amp;""),0),"Penuh",IF(IFERROR(--(INDEX('Reguler Class Availability'!$G:$G,$Q485)&amp;""),0)=0,IF(INDEX('Reguler Class Availability'!$B:$B,$Q485)&amp;""="","Kosong","Belum terisi"),IF(IFERROR(--(INDEX('Reguler Class Availability'!$G:$G,$Q485)&amp;""),0)/IFERROR(--(INDEX('Reguler Class Availability'!$F:$F,$Q485)&amp;""),0)&gt;=0.6,"Tinggi","Sebagian"))))))</f>
        <v>Belum terisi</v>
      </c>
      <c r="F485" s="77" t="str">
        <f aca="false">IF($Q485="","",PROPER(INDEX('Reguler Class Availability'!$B:$B,$Q485)&amp;""))</f>
        <v>Little</v>
      </c>
      <c r="G485" s="76" t="n">
        <f aca="false">IF($Q485="","",IFERROR(--(INDEX('Reguler Class Availability'!$F:$F,$Q485)&amp;""),0))</f>
        <v>4</v>
      </c>
      <c r="H485" s="77" t="str">
        <f aca="false">IF($Q485="","",PROPER(INDEX('Reguler Class Availability'!$I:$I,$Q485)&amp;"")&amp;IF(INDEX('Reguler Class Availability'!$J:$J,$Q485)&amp;""="",""," + asst "&amp;PROPER(INDEX('Reguler Class Availability'!$J:$J,$Q485)&amp;"")))</f>
        <v/>
      </c>
      <c r="I485" s="77" t="s">
        <v>494</v>
      </c>
      <c r="J485" s="77" t="s">
        <v>188</v>
      </c>
      <c r="K485" s="78"/>
      <c r="L485" s="78"/>
      <c r="M485" s="78"/>
      <c r="N485" s="79"/>
      <c r="O485" s="78"/>
      <c r="Q485" s="30" t="n">
        <f aca="false">IFERROR(MATCH($B$4&amp;"|- Lane "&amp;D485&amp;" - "&amp;B485&amp;"|"&amp;C485,'Reguler Class Availability'!$L:$L,0),"")</f>
        <v>2157</v>
      </c>
    </row>
    <row r="486" customFormat="false" ht="40.5" hidden="false" customHeight="true" outlineLevel="0" collapsed="false">
      <c r="A486" s="76" t="n">
        <v>360</v>
      </c>
      <c r="B486" s="77" t="s">
        <v>80</v>
      </c>
      <c r="C486" s="76" t="s">
        <v>156</v>
      </c>
      <c r="D486" s="76" t="n">
        <v>4</v>
      </c>
      <c r="E486" s="77" t="str">
        <f aca="false">IF($Q486="","Tidak ada di data",IF(AND(IFERROR(--(INDEX('Reguler Class Availability'!$F:$F,$Q486)&amp;""),0)=0,IFERROR(--(INDEX('Reguler Class Availability'!$G:$G,$Q486)&amp;""),0)=0),"Tutup",IF(IFERROR(--(INDEX('Reguler Class Availability'!$G:$G,$Q486)&amp;""),0)&gt;IFERROR(--(INDEX('Reguler Class Availability'!$F:$F,$Q486)&amp;""),0),"Lebih",IF(IFERROR(--(INDEX('Reguler Class Availability'!$G:$G,$Q486)&amp;""),0)=IFERROR(--(INDEX('Reguler Class Availability'!$F:$F,$Q486)&amp;""),0),"Penuh",IF(IFERROR(--(INDEX('Reguler Class Availability'!$G:$G,$Q486)&amp;""),0)=0,IF(INDEX('Reguler Class Availability'!$B:$B,$Q486)&amp;""="","Kosong","Belum terisi"),IF(IFERROR(--(INDEX('Reguler Class Availability'!$G:$G,$Q486)&amp;""),0)/IFERROR(--(INDEX('Reguler Class Availability'!$F:$F,$Q486)&amp;""),0)&gt;=0.6,"Tinggi","Sebagian"))))))</f>
        <v>Belum terisi</v>
      </c>
      <c r="F486" s="77" t="str">
        <f aca="false">IF($Q486="","",PROPER(INDEX('Reguler Class Availability'!$B:$B,$Q486)&amp;""))</f>
        <v>Kids</v>
      </c>
      <c r="G486" s="76" t="n">
        <f aca="false">IF($Q486="","",IFERROR(--(INDEX('Reguler Class Availability'!$F:$F,$Q486)&amp;""),0))</f>
        <v>4</v>
      </c>
      <c r="H486" s="77" t="str">
        <f aca="false">IF($Q486="","",PROPER(INDEX('Reguler Class Availability'!$I:$I,$Q486)&amp;"")&amp;IF(INDEX('Reguler Class Availability'!$J:$J,$Q486)&amp;""="",""," + asst "&amp;PROPER(INDEX('Reguler Class Availability'!$J:$J,$Q486)&amp;"")))</f>
        <v/>
      </c>
      <c r="I486" s="77" t="s">
        <v>494</v>
      </c>
      <c r="J486" s="77" t="s">
        <v>188</v>
      </c>
      <c r="K486" s="78"/>
      <c r="L486" s="78"/>
      <c r="M486" s="78"/>
      <c r="N486" s="79"/>
      <c r="O486" s="78"/>
      <c r="Q486" s="30" t="n">
        <f aca="false">IFERROR(MATCH($B$4&amp;"|- Lane "&amp;D486&amp;" - "&amp;B486&amp;"|"&amp;C486,'Reguler Class Availability'!$L:$L,0),"")</f>
        <v>2241</v>
      </c>
    </row>
    <row r="487" customFormat="false" ht="40.5" hidden="false" customHeight="true" outlineLevel="0" collapsed="false">
      <c r="A487" s="76" t="n">
        <v>361</v>
      </c>
      <c r="B487" s="77" t="s">
        <v>80</v>
      </c>
      <c r="C487" s="76" t="s">
        <v>160</v>
      </c>
      <c r="D487" s="76" t="n">
        <v>1</v>
      </c>
      <c r="E487" s="77" t="str">
        <f aca="false">IF($Q487="","Tidak ada di data",IF(AND(IFERROR(--(INDEX('Reguler Class Availability'!$F:$F,$Q487)&amp;""),0)=0,IFERROR(--(INDEX('Reguler Class Availability'!$G:$G,$Q487)&amp;""),0)=0),"Tutup",IF(IFERROR(--(INDEX('Reguler Class Availability'!$G:$G,$Q487)&amp;""),0)&gt;IFERROR(--(INDEX('Reguler Class Availability'!$F:$F,$Q487)&amp;""),0),"Lebih",IF(IFERROR(--(INDEX('Reguler Class Availability'!$G:$G,$Q487)&amp;""),0)=IFERROR(--(INDEX('Reguler Class Availability'!$F:$F,$Q487)&amp;""),0),"Penuh",IF(IFERROR(--(INDEX('Reguler Class Availability'!$G:$G,$Q487)&amp;""),0)=0,IF(INDEX('Reguler Class Availability'!$B:$B,$Q487)&amp;""="","Kosong","Belum terisi"),IF(IFERROR(--(INDEX('Reguler Class Availability'!$G:$G,$Q487)&amp;""),0)/IFERROR(--(INDEX('Reguler Class Availability'!$F:$F,$Q487)&amp;""),0)&gt;=0.6,"Tinggi","Sebagian"))))))</f>
        <v>Belum terisi</v>
      </c>
      <c r="F487" s="77" t="str">
        <f aca="false">IF($Q487="","",PROPER(INDEX('Reguler Class Availability'!$B:$B,$Q487)&amp;""))</f>
        <v>Star</v>
      </c>
      <c r="G487" s="76" t="n">
        <f aca="false">IF($Q487="","",IFERROR(--(INDEX('Reguler Class Availability'!$F:$F,$Q487)&amp;""),0))</f>
        <v>8</v>
      </c>
      <c r="H487" s="77" t="str">
        <f aca="false">IF($Q487="","",PROPER(INDEX('Reguler Class Availability'!$I:$I,$Q487)&amp;"")&amp;IF(INDEX('Reguler Class Availability'!$J:$J,$Q487)&amp;""="",""," + asst "&amp;PROPER(INDEX('Reguler Class Availability'!$J:$J,$Q487)&amp;"")))</f>
        <v/>
      </c>
      <c r="I487" s="77" t="s">
        <v>494</v>
      </c>
      <c r="J487" s="77" t="s">
        <v>186</v>
      </c>
      <c r="K487" s="78"/>
      <c r="L487" s="78"/>
      <c r="M487" s="78"/>
      <c r="N487" s="79"/>
      <c r="O487" s="78"/>
      <c r="Q487" s="30" t="n">
        <f aca="false">IFERROR(MATCH($B$4&amp;"|- Lane "&amp;D487&amp;" - "&amp;B487&amp;"|"&amp;C487,'Reguler Class Availability'!$L:$L,0),"")</f>
        <v>1989</v>
      </c>
    </row>
    <row r="490" customFormat="false" ht="16.15" hidden="false" customHeight="false" outlineLevel="0" collapsed="false">
      <c r="A490" s="81" t="s">
        <v>244</v>
      </c>
      <c r="B490" s="62"/>
      <c r="C490" s="62"/>
      <c r="D490" s="62"/>
      <c r="E490" s="62"/>
      <c r="F490" s="62"/>
      <c r="G490" s="62"/>
      <c r="H490" s="62"/>
      <c r="I490" s="62"/>
      <c r="J490" s="62"/>
      <c r="K490" s="62"/>
      <c r="L490" s="62"/>
      <c r="M490" s="62"/>
      <c r="N490" s="62"/>
    </row>
    <row r="491" customFormat="false" ht="15" hidden="false" customHeight="false" outlineLevel="0" collapsed="false">
      <c r="A491" s="73" t="s">
        <v>245</v>
      </c>
    </row>
    <row r="492" customFormat="false" ht="22.35" hidden="false" customHeight="false" outlineLevel="0" collapsed="false">
      <c r="A492" s="74" t="s">
        <v>178</v>
      </c>
      <c r="B492" s="74" t="s">
        <v>246</v>
      </c>
      <c r="C492" s="74" t="s">
        <v>247</v>
      </c>
      <c r="D492" s="74" t="s">
        <v>114</v>
      </c>
      <c r="E492" s="74" t="s">
        <v>115</v>
      </c>
      <c r="F492" s="74" t="s">
        <v>116</v>
      </c>
      <c r="G492" s="74" t="s">
        <v>117</v>
      </c>
      <c r="H492" s="74" t="s">
        <v>118</v>
      </c>
      <c r="I492" s="74" t="s">
        <v>119</v>
      </c>
      <c r="J492" s="74" t="s">
        <v>80</v>
      </c>
      <c r="K492" s="74" t="s">
        <v>248</v>
      </c>
      <c r="L492" s="74" t="s">
        <v>249</v>
      </c>
      <c r="M492" s="74" t="s">
        <v>250</v>
      </c>
    </row>
    <row r="493" customFormat="false" ht="15" hidden="false" customHeight="false" outlineLevel="0" collapsed="false">
      <c r="A493" s="82" t="n">
        <v>1</v>
      </c>
      <c r="B493" s="83" t="s">
        <v>500</v>
      </c>
      <c r="C493" s="84" t="s">
        <v>188</v>
      </c>
      <c r="D493" s="85" t="n">
        <f aca="false">COUNTIFS('Reguler Class Availability'!$A:$A,$B$4,'Reguler Class Availability'!$I:$I,$B493,'Reguler Class Availability'!$C:$C,"* - "&amp;D$492)+COUNTIFS('Reguler Class Availability'!$A:$A,$B$4,'Reguler Class Availability'!$J:$J,$B493,'Reguler Class Availability'!$C:$C,"* - "&amp;D$492)</f>
        <v>0</v>
      </c>
      <c r="E493" s="85" t="n">
        <f aca="false">COUNTIFS('Reguler Class Availability'!$A:$A,$B$4,'Reguler Class Availability'!$I:$I,$B493,'Reguler Class Availability'!$C:$C,"* - "&amp;E$492)+COUNTIFS('Reguler Class Availability'!$A:$A,$B$4,'Reguler Class Availability'!$J:$J,$B493,'Reguler Class Availability'!$C:$C,"* - "&amp;E$492)</f>
        <v>0</v>
      </c>
      <c r="F493" s="85" t="n">
        <f aca="false">COUNTIFS('Reguler Class Availability'!$A:$A,$B$4,'Reguler Class Availability'!$I:$I,$B493,'Reguler Class Availability'!$C:$C,"* - "&amp;F$492)+COUNTIFS('Reguler Class Availability'!$A:$A,$B$4,'Reguler Class Availability'!$J:$J,$B493,'Reguler Class Availability'!$C:$C,"* - "&amp;F$492)</f>
        <v>4</v>
      </c>
      <c r="G493" s="85" t="n">
        <f aca="false">COUNTIFS('Reguler Class Availability'!$A:$A,$B$4,'Reguler Class Availability'!$I:$I,$B493,'Reguler Class Availability'!$C:$C,"* - "&amp;G$492)+COUNTIFS('Reguler Class Availability'!$A:$A,$B$4,'Reguler Class Availability'!$J:$J,$B493,'Reguler Class Availability'!$C:$C,"* - "&amp;G$492)</f>
        <v>3</v>
      </c>
      <c r="H493" s="85" t="n">
        <f aca="false">COUNTIFS('Reguler Class Availability'!$A:$A,$B$4,'Reguler Class Availability'!$I:$I,$B493,'Reguler Class Availability'!$C:$C,"* - "&amp;H$492)+COUNTIFS('Reguler Class Availability'!$A:$A,$B$4,'Reguler Class Availability'!$J:$J,$B493,'Reguler Class Availability'!$C:$C,"* - "&amp;H$492)</f>
        <v>3</v>
      </c>
      <c r="I493" s="85" t="n">
        <f aca="false">COUNTIFS('Reguler Class Availability'!$A:$A,$B$4,'Reguler Class Availability'!$I:$I,$B493,'Reguler Class Availability'!$C:$C,"* - "&amp;I$492)+COUNTIFS('Reguler Class Availability'!$A:$A,$B$4,'Reguler Class Availability'!$J:$J,$B493,'Reguler Class Availability'!$C:$C,"* - "&amp;I$492)</f>
        <v>5</v>
      </c>
      <c r="J493" s="85" t="n">
        <f aca="false">COUNTIFS('Reguler Class Availability'!$A:$A,$B$4,'Reguler Class Availability'!$I:$I,$B493,'Reguler Class Availability'!$C:$C,"* - "&amp;J$492)+COUNTIFS('Reguler Class Availability'!$A:$A,$B$4,'Reguler Class Availability'!$J:$J,$B493,'Reguler Class Availability'!$C:$C,"* - "&amp;J$492)</f>
        <v>3</v>
      </c>
      <c r="K493" s="82" t="n">
        <f aca="false">COUNTIFS('Reguler Class Availability'!$A:$A,$B$4,'Reguler Class Availability'!$I:$I,$B493)</f>
        <v>18</v>
      </c>
      <c r="L493" s="82" t="n">
        <f aca="false">COUNTIFS('Reguler Class Availability'!$A:$A,$B$4,'Reguler Class Availability'!$J:$J,$B493)</f>
        <v>0</v>
      </c>
      <c r="M493" s="82" t="s">
        <v>501</v>
      </c>
    </row>
    <row r="494" customFormat="false" ht="15" hidden="false" customHeight="false" outlineLevel="0" collapsed="false">
      <c r="A494" s="82" t="n">
        <v>2</v>
      </c>
      <c r="B494" s="83" t="s">
        <v>502</v>
      </c>
      <c r="C494" s="84" t="s">
        <v>188</v>
      </c>
      <c r="D494" s="85" t="n">
        <f aca="false">COUNTIFS('Reguler Class Availability'!$A:$A,$B$4,'Reguler Class Availability'!$I:$I,$B494,'Reguler Class Availability'!$C:$C,"* - "&amp;D$492)+COUNTIFS('Reguler Class Availability'!$A:$A,$B$4,'Reguler Class Availability'!$J:$J,$B494,'Reguler Class Availability'!$C:$C,"* - "&amp;D$492)</f>
        <v>2</v>
      </c>
      <c r="E494" s="85" t="n">
        <f aca="false">COUNTIFS('Reguler Class Availability'!$A:$A,$B$4,'Reguler Class Availability'!$I:$I,$B494,'Reguler Class Availability'!$C:$C,"* - "&amp;E$492)+COUNTIFS('Reguler Class Availability'!$A:$A,$B$4,'Reguler Class Availability'!$J:$J,$B494,'Reguler Class Availability'!$C:$C,"* - "&amp;E$492)</f>
        <v>0</v>
      </c>
      <c r="F494" s="85" t="n">
        <f aca="false">COUNTIFS('Reguler Class Availability'!$A:$A,$B$4,'Reguler Class Availability'!$I:$I,$B494,'Reguler Class Availability'!$C:$C,"* - "&amp;F$492)+COUNTIFS('Reguler Class Availability'!$A:$A,$B$4,'Reguler Class Availability'!$J:$J,$B494,'Reguler Class Availability'!$C:$C,"* - "&amp;F$492)</f>
        <v>0</v>
      </c>
      <c r="G494" s="85" t="n">
        <f aca="false">COUNTIFS('Reguler Class Availability'!$A:$A,$B$4,'Reguler Class Availability'!$I:$I,$B494,'Reguler Class Availability'!$C:$C,"* - "&amp;G$492)+COUNTIFS('Reguler Class Availability'!$A:$A,$B$4,'Reguler Class Availability'!$J:$J,$B494,'Reguler Class Availability'!$C:$C,"* - "&amp;G$492)</f>
        <v>4</v>
      </c>
      <c r="H494" s="85" t="n">
        <f aca="false">COUNTIFS('Reguler Class Availability'!$A:$A,$B$4,'Reguler Class Availability'!$I:$I,$B494,'Reguler Class Availability'!$C:$C,"* - "&amp;H$492)+COUNTIFS('Reguler Class Availability'!$A:$A,$B$4,'Reguler Class Availability'!$J:$J,$B494,'Reguler Class Availability'!$C:$C,"* - "&amp;H$492)</f>
        <v>4</v>
      </c>
      <c r="I494" s="85" t="n">
        <f aca="false">COUNTIFS('Reguler Class Availability'!$A:$A,$B$4,'Reguler Class Availability'!$I:$I,$B494,'Reguler Class Availability'!$C:$C,"* - "&amp;I$492)+COUNTIFS('Reguler Class Availability'!$A:$A,$B$4,'Reguler Class Availability'!$J:$J,$B494,'Reguler Class Availability'!$C:$C,"* - "&amp;I$492)</f>
        <v>3</v>
      </c>
      <c r="J494" s="85" t="n">
        <f aca="false">COUNTIFS('Reguler Class Availability'!$A:$A,$B$4,'Reguler Class Availability'!$I:$I,$B494,'Reguler Class Availability'!$C:$C,"* - "&amp;J$492)+COUNTIFS('Reguler Class Availability'!$A:$A,$B$4,'Reguler Class Availability'!$J:$J,$B494,'Reguler Class Availability'!$C:$C,"* - "&amp;J$492)</f>
        <v>3</v>
      </c>
      <c r="K494" s="82" t="n">
        <f aca="false">COUNTIFS('Reguler Class Availability'!$A:$A,$B$4,'Reguler Class Availability'!$I:$I,$B494)</f>
        <v>16</v>
      </c>
      <c r="L494" s="82" t="n">
        <f aca="false">COUNTIFS('Reguler Class Availability'!$A:$A,$B$4,'Reguler Class Availability'!$J:$J,$B494)</f>
        <v>0</v>
      </c>
      <c r="M494" s="82" t="s">
        <v>501</v>
      </c>
    </row>
    <row r="495" customFormat="false" ht="15" hidden="false" customHeight="false" outlineLevel="0" collapsed="false">
      <c r="A495" s="82" t="n">
        <v>3</v>
      </c>
      <c r="B495" s="83" t="s">
        <v>503</v>
      </c>
      <c r="C495" s="84" t="s">
        <v>260</v>
      </c>
      <c r="D495" s="85" t="n">
        <f aca="false">COUNTIFS('Reguler Class Availability'!$A:$A,$B$4,'Reguler Class Availability'!$I:$I,$B495,'Reguler Class Availability'!$C:$C,"* - "&amp;D$492)+COUNTIFS('Reguler Class Availability'!$A:$A,$B$4,'Reguler Class Availability'!$J:$J,$B495,'Reguler Class Availability'!$C:$C,"* - "&amp;D$492)</f>
        <v>2</v>
      </c>
      <c r="E495" s="85" t="n">
        <f aca="false">COUNTIFS('Reguler Class Availability'!$A:$A,$B$4,'Reguler Class Availability'!$I:$I,$B495,'Reguler Class Availability'!$C:$C,"* - "&amp;E$492)+COUNTIFS('Reguler Class Availability'!$A:$A,$B$4,'Reguler Class Availability'!$J:$J,$B495,'Reguler Class Availability'!$C:$C,"* - "&amp;E$492)</f>
        <v>2</v>
      </c>
      <c r="F495" s="85" t="n">
        <f aca="false">COUNTIFS('Reguler Class Availability'!$A:$A,$B$4,'Reguler Class Availability'!$I:$I,$B495,'Reguler Class Availability'!$C:$C,"* - "&amp;F$492)+COUNTIFS('Reguler Class Availability'!$A:$A,$B$4,'Reguler Class Availability'!$J:$J,$B495,'Reguler Class Availability'!$C:$C,"* - "&amp;F$492)</f>
        <v>4</v>
      </c>
      <c r="G495" s="85" t="n">
        <f aca="false">COUNTIFS('Reguler Class Availability'!$A:$A,$B$4,'Reguler Class Availability'!$I:$I,$B495,'Reguler Class Availability'!$C:$C,"* - "&amp;G$492)+COUNTIFS('Reguler Class Availability'!$A:$A,$B$4,'Reguler Class Availability'!$J:$J,$B495,'Reguler Class Availability'!$C:$C,"* - "&amp;G$492)</f>
        <v>0</v>
      </c>
      <c r="H495" s="85" t="n">
        <f aca="false">COUNTIFS('Reguler Class Availability'!$A:$A,$B$4,'Reguler Class Availability'!$I:$I,$B495,'Reguler Class Availability'!$C:$C,"* - "&amp;H$492)+COUNTIFS('Reguler Class Availability'!$A:$A,$B$4,'Reguler Class Availability'!$J:$J,$B495,'Reguler Class Availability'!$C:$C,"* - "&amp;H$492)</f>
        <v>0</v>
      </c>
      <c r="I495" s="85" t="n">
        <f aca="false">COUNTIFS('Reguler Class Availability'!$A:$A,$B$4,'Reguler Class Availability'!$I:$I,$B495,'Reguler Class Availability'!$C:$C,"* - "&amp;I$492)+COUNTIFS('Reguler Class Availability'!$A:$A,$B$4,'Reguler Class Availability'!$J:$J,$B495,'Reguler Class Availability'!$C:$C,"* - "&amp;I$492)</f>
        <v>3</v>
      </c>
      <c r="J495" s="85" t="n">
        <f aca="false">COUNTIFS('Reguler Class Availability'!$A:$A,$B$4,'Reguler Class Availability'!$I:$I,$B495,'Reguler Class Availability'!$C:$C,"* - "&amp;J$492)+COUNTIFS('Reguler Class Availability'!$A:$A,$B$4,'Reguler Class Availability'!$J:$J,$B495,'Reguler Class Availability'!$C:$C,"* - "&amp;J$492)</f>
        <v>3</v>
      </c>
      <c r="K495" s="82" t="n">
        <f aca="false">COUNTIFS('Reguler Class Availability'!$A:$A,$B$4,'Reguler Class Availability'!$I:$I,$B495)</f>
        <v>14</v>
      </c>
      <c r="L495" s="82" t="n">
        <f aca="false">COUNTIFS('Reguler Class Availability'!$A:$A,$B$4,'Reguler Class Availability'!$J:$J,$B495)</f>
        <v>0</v>
      </c>
      <c r="M495" s="82" t="s">
        <v>504</v>
      </c>
    </row>
    <row r="496" customFormat="false" ht="15" hidden="false" customHeight="false" outlineLevel="0" collapsed="false">
      <c r="A496" s="82" t="n">
        <v>4</v>
      </c>
      <c r="B496" s="83" t="s">
        <v>505</v>
      </c>
      <c r="C496" s="84" t="s">
        <v>188</v>
      </c>
      <c r="D496" s="85" t="n">
        <f aca="false">COUNTIFS('Reguler Class Availability'!$A:$A,$B$4,'Reguler Class Availability'!$I:$I,$B496,'Reguler Class Availability'!$C:$C,"* - "&amp;D$492)+COUNTIFS('Reguler Class Availability'!$A:$A,$B$4,'Reguler Class Availability'!$J:$J,$B496,'Reguler Class Availability'!$C:$C,"* - "&amp;D$492)</f>
        <v>1</v>
      </c>
      <c r="E496" s="85" t="n">
        <f aca="false">COUNTIFS('Reguler Class Availability'!$A:$A,$B$4,'Reguler Class Availability'!$I:$I,$B496,'Reguler Class Availability'!$C:$C,"* - "&amp;E$492)+COUNTIFS('Reguler Class Availability'!$A:$A,$B$4,'Reguler Class Availability'!$J:$J,$B496,'Reguler Class Availability'!$C:$C,"* - "&amp;E$492)</f>
        <v>2</v>
      </c>
      <c r="F496" s="85" t="n">
        <f aca="false">COUNTIFS('Reguler Class Availability'!$A:$A,$B$4,'Reguler Class Availability'!$I:$I,$B496,'Reguler Class Availability'!$C:$C,"* - "&amp;F$492)+COUNTIFS('Reguler Class Availability'!$A:$A,$B$4,'Reguler Class Availability'!$J:$J,$B496,'Reguler Class Availability'!$C:$C,"* - "&amp;F$492)</f>
        <v>1</v>
      </c>
      <c r="G496" s="85" t="n">
        <f aca="false">COUNTIFS('Reguler Class Availability'!$A:$A,$B$4,'Reguler Class Availability'!$I:$I,$B496,'Reguler Class Availability'!$C:$C,"* - "&amp;G$492)+COUNTIFS('Reguler Class Availability'!$A:$A,$B$4,'Reguler Class Availability'!$J:$J,$B496,'Reguler Class Availability'!$C:$C,"* - "&amp;G$492)</f>
        <v>0</v>
      </c>
      <c r="H496" s="85" t="n">
        <f aca="false">COUNTIFS('Reguler Class Availability'!$A:$A,$B$4,'Reguler Class Availability'!$I:$I,$B496,'Reguler Class Availability'!$C:$C,"* - "&amp;H$492)+COUNTIFS('Reguler Class Availability'!$A:$A,$B$4,'Reguler Class Availability'!$J:$J,$B496,'Reguler Class Availability'!$C:$C,"* - "&amp;H$492)</f>
        <v>0</v>
      </c>
      <c r="I496" s="85" t="n">
        <f aca="false">COUNTIFS('Reguler Class Availability'!$A:$A,$B$4,'Reguler Class Availability'!$I:$I,$B496,'Reguler Class Availability'!$C:$C,"* - "&amp;I$492)+COUNTIFS('Reguler Class Availability'!$A:$A,$B$4,'Reguler Class Availability'!$J:$J,$B496,'Reguler Class Availability'!$C:$C,"* - "&amp;I$492)</f>
        <v>2</v>
      </c>
      <c r="J496" s="85" t="n">
        <f aca="false">COUNTIFS('Reguler Class Availability'!$A:$A,$B$4,'Reguler Class Availability'!$I:$I,$B496,'Reguler Class Availability'!$C:$C,"* - "&amp;J$492)+COUNTIFS('Reguler Class Availability'!$A:$A,$B$4,'Reguler Class Availability'!$J:$J,$B496,'Reguler Class Availability'!$C:$C,"* - "&amp;J$492)</f>
        <v>2</v>
      </c>
      <c r="K496" s="82" t="n">
        <f aca="false">COUNTIFS('Reguler Class Availability'!$A:$A,$B$4,'Reguler Class Availability'!$I:$I,$B496)</f>
        <v>8</v>
      </c>
      <c r="L496" s="82" t="n">
        <f aca="false">COUNTIFS('Reguler Class Availability'!$A:$A,$B$4,'Reguler Class Availability'!$J:$J,$B496)</f>
        <v>0</v>
      </c>
      <c r="M496" s="82" t="s">
        <v>506</v>
      </c>
    </row>
    <row r="497" customFormat="false" ht="15" hidden="false" customHeight="false" outlineLevel="0" collapsed="false">
      <c r="A497" s="82" t="n">
        <v>5</v>
      </c>
      <c r="B497" s="83" t="s">
        <v>507</v>
      </c>
      <c r="C497" s="84" t="s">
        <v>260</v>
      </c>
      <c r="D497" s="85" t="n">
        <f aca="false">COUNTIFS('Reguler Class Availability'!$A:$A,$B$4,'Reguler Class Availability'!$I:$I,$B497,'Reguler Class Availability'!$C:$C,"* - "&amp;D$492)+COUNTIFS('Reguler Class Availability'!$A:$A,$B$4,'Reguler Class Availability'!$J:$J,$B497,'Reguler Class Availability'!$C:$C,"* - "&amp;D$492)</f>
        <v>0</v>
      </c>
      <c r="E497" s="85" t="n">
        <f aca="false">COUNTIFS('Reguler Class Availability'!$A:$A,$B$4,'Reguler Class Availability'!$I:$I,$B497,'Reguler Class Availability'!$C:$C,"* - "&amp;E$492)+COUNTIFS('Reguler Class Availability'!$A:$A,$B$4,'Reguler Class Availability'!$J:$J,$B497,'Reguler Class Availability'!$C:$C,"* - "&amp;E$492)</f>
        <v>0</v>
      </c>
      <c r="F497" s="85" t="n">
        <f aca="false">COUNTIFS('Reguler Class Availability'!$A:$A,$B$4,'Reguler Class Availability'!$I:$I,$B497,'Reguler Class Availability'!$C:$C,"* - "&amp;F$492)+COUNTIFS('Reguler Class Availability'!$A:$A,$B$4,'Reguler Class Availability'!$J:$J,$B497,'Reguler Class Availability'!$C:$C,"* - "&amp;F$492)</f>
        <v>1</v>
      </c>
      <c r="G497" s="85" t="n">
        <f aca="false">COUNTIFS('Reguler Class Availability'!$A:$A,$B$4,'Reguler Class Availability'!$I:$I,$B497,'Reguler Class Availability'!$C:$C,"* - "&amp;G$492)+COUNTIFS('Reguler Class Availability'!$A:$A,$B$4,'Reguler Class Availability'!$J:$J,$B497,'Reguler Class Availability'!$C:$C,"* - "&amp;G$492)</f>
        <v>2</v>
      </c>
      <c r="H497" s="85" t="n">
        <f aca="false">COUNTIFS('Reguler Class Availability'!$A:$A,$B$4,'Reguler Class Availability'!$I:$I,$B497,'Reguler Class Availability'!$C:$C,"* - "&amp;H$492)+COUNTIFS('Reguler Class Availability'!$A:$A,$B$4,'Reguler Class Availability'!$J:$J,$B497,'Reguler Class Availability'!$C:$C,"* - "&amp;H$492)</f>
        <v>2</v>
      </c>
      <c r="I497" s="85" t="n">
        <f aca="false">COUNTIFS('Reguler Class Availability'!$A:$A,$B$4,'Reguler Class Availability'!$I:$I,$B497,'Reguler Class Availability'!$C:$C,"* - "&amp;I$492)+COUNTIFS('Reguler Class Availability'!$A:$A,$B$4,'Reguler Class Availability'!$J:$J,$B497,'Reguler Class Availability'!$C:$C,"* - "&amp;I$492)</f>
        <v>2</v>
      </c>
      <c r="J497" s="85" t="n">
        <f aca="false">COUNTIFS('Reguler Class Availability'!$A:$A,$B$4,'Reguler Class Availability'!$I:$I,$B497,'Reguler Class Availability'!$C:$C,"* - "&amp;J$492)+COUNTIFS('Reguler Class Availability'!$A:$A,$B$4,'Reguler Class Availability'!$J:$J,$B497,'Reguler Class Availability'!$C:$C,"* - "&amp;J$492)</f>
        <v>0</v>
      </c>
      <c r="K497" s="82" t="n">
        <f aca="false">COUNTIFS('Reguler Class Availability'!$A:$A,$B$4,'Reguler Class Availability'!$I:$I,$B497)</f>
        <v>7</v>
      </c>
      <c r="L497" s="82" t="n">
        <f aca="false">COUNTIFS('Reguler Class Availability'!$A:$A,$B$4,'Reguler Class Availability'!$J:$J,$B497)</f>
        <v>0</v>
      </c>
      <c r="M497" s="82" t="s">
        <v>508</v>
      </c>
    </row>
    <row r="498" customFormat="false" ht="15" hidden="false" customHeight="false" outlineLevel="0" collapsed="false">
      <c r="A498" s="82" t="n">
        <v>6</v>
      </c>
      <c r="B498" s="83" t="s">
        <v>509</v>
      </c>
      <c r="C498" s="84" t="s">
        <v>188</v>
      </c>
      <c r="D498" s="85" t="n">
        <f aca="false">COUNTIFS('Reguler Class Availability'!$A:$A,$B$4,'Reguler Class Availability'!$I:$I,$B498,'Reguler Class Availability'!$C:$C,"* - "&amp;D$492)+COUNTIFS('Reguler Class Availability'!$A:$A,$B$4,'Reguler Class Availability'!$J:$J,$B498,'Reguler Class Availability'!$C:$C,"* - "&amp;D$492)</f>
        <v>2</v>
      </c>
      <c r="E498" s="85" t="n">
        <f aca="false">COUNTIFS('Reguler Class Availability'!$A:$A,$B$4,'Reguler Class Availability'!$I:$I,$B498,'Reguler Class Availability'!$C:$C,"* - "&amp;E$492)+COUNTIFS('Reguler Class Availability'!$A:$A,$B$4,'Reguler Class Availability'!$J:$J,$B498,'Reguler Class Availability'!$C:$C,"* - "&amp;E$492)</f>
        <v>1</v>
      </c>
      <c r="F498" s="85" t="n">
        <f aca="false">COUNTIFS('Reguler Class Availability'!$A:$A,$B$4,'Reguler Class Availability'!$I:$I,$B498,'Reguler Class Availability'!$C:$C,"* - "&amp;F$492)+COUNTIFS('Reguler Class Availability'!$A:$A,$B$4,'Reguler Class Availability'!$J:$J,$B498,'Reguler Class Availability'!$C:$C,"* - "&amp;F$492)</f>
        <v>0</v>
      </c>
      <c r="G498" s="85" t="n">
        <f aca="false">COUNTIFS('Reguler Class Availability'!$A:$A,$B$4,'Reguler Class Availability'!$I:$I,$B498,'Reguler Class Availability'!$C:$C,"* - "&amp;G$492)+COUNTIFS('Reguler Class Availability'!$A:$A,$B$4,'Reguler Class Availability'!$J:$J,$B498,'Reguler Class Availability'!$C:$C,"* - "&amp;G$492)</f>
        <v>0</v>
      </c>
      <c r="H498" s="85" t="n">
        <f aca="false">COUNTIFS('Reguler Class Availability'!$A:$A,$B$4,'Reguler Class Availability'!$I:$I,$B498,'Reguler Class Availability'!$C:$C,"* - "&amp;H$492)+COUNTIFS('Reguler Class Availability'!$A:$A,$B$4,'Reguler Class Availability'!$J:$J,$B498,'Reguler Class Availability'!$C:$C,"* - "&amp;H$492)</f>
        <v>1</v>
      </c>
      <c r="I498" s="85" t="n">
        <f aca="false">COUNTIFS('Reguler Class Availability'!$A:$A,$B$4,'Reguler Class Availability'!$I:$I,$B498,'Reguler Class Availability'!$C:$C,"* - "&amp;I$492)+COUNTIFS('Reguler Class Availability'!$A:$A,$B$4,'Reguler Class Availability'!$J:$J,$B498,'Reguler Class Availability'!$C:$C,"* - "&amp;I$492)</f>
        <v>1</v>
      </c>
      <c r="J498" s="85" t="n">
        <f aca="false">COUNTIFS('Reguler Class Availability'!$A:$A,$B$4,'Reguler Class Availability'!$I:$I,$B498,'Reguler Class Availability'!$C:$C,"* - "&amp;J$492)+COUNTIFS('Reguler Class Availability'!$A:$A,$B$4,'Reguler Class Availability'!$J:$J,$B498,'Reguler Class Availability'!$C:$C,"* - "&amp;J$492)</f>
        <v>0</v>
      </c>
      <c r="K498" s="82" t="n">
        <f aca="false">COUNTIFS('Reguler Class Availability'!$A:$A,$B$4,'Reguler Class Availability'!$I:$I,$B498)</f>
        <v>5</v>
      </c>
      <c r="L498" s="82" t="n">
        <f aca="false">COUNTIFS('Reguler Class Availability'!$A:$A,$B$4,'Reguler Class Availability'!$J:$J,$B498)</f>
        <v>0</v>
      </c>
      <c r="M498" s="82" t="s">
        <v>501</v>
      </c>
    </row>
    <row r="499" customFormat="false" ht="15" hidden="false" customHeight="false" outlineLevel="0" collapsed="false">
      <c r="A499" s="82" t="n">
        <v>7</v>
      </c>
      <c r="B499" s="83" t="s">
        <v>510</v>
      </c>
      <c r="C499" s="84" t="s">
        <v>260</v>
      </c>
      <c r="D499" s="85" t="n">
        <f aca="false">COUNTIFS('Reguler Class Availability'!$A:$A,$B$4,'Reguler Class Availability'!$I:$I,$B499,'Reguler Class Availability'!$C:$C,"* - "&amp;D$492)+COUNTIFS('Reguler Class Availability'!$A:$A,$B$4,'Reguler Class Availability'!$J:$J,$B499,'Reguler Class Availability'!$C:$C,"* - "&amp;D$492)</f>
        <v>1</v>
      </c>
      <c r="E499" s="85" t="n">
        <f aca="false">COUNTIFS('Reguler Class Availability'!$A:$A,$B$4,'Reguler Class Availability'!$I:$I,$B499,'Reguler Class Availability'!$C:$C,"* - "&amp;E$492)+COUNTIFS('Reguler Class Availability'!$A:$A,$B$4,'Reguler Class Availability'!$J:$J,$B499,'Reguler Class Availability'!$C:$C,"* - "&amp;E$492)</f>
        <v>0</v>
      </c>
      <c r="F499" s="85" t="n">
        <f aca="false">COUNTIFS('Reguler Class Availability'!$A:$A,$B$4,'Reguler Class Availability'!$I:$I,$B499,'Reguler Class Availability'!$C:$C,"* - "&amp;F$492)+COUNTIFS('Reguler Class Availability'!$A:$A,$B$4,'Reguler Class Availability'!$J:$J,$B499,'Reguler Class Availability'!$C:$C,"* - "&amp;F$492)</f>
        <v>0</v>
      </c>
      <c r="G499" s="85" t="n">
        <f aca="false">COUNTIFS('Reguler Class Availability'!$A:$A,$B$4,'Reguler Class Availability'!$I:$I,$B499,'Reguler Class Availability'!$C:$C,"* - "&amp;G$492)+COUNTIFS('Reguler Class Availability'!$A:$A,$B$4,'Reguler Class Availability'!$J:$J,$B499,'Reguler Class Availability'!$C:$C,"* - "&amp;G$492)</f>
        <v>1</v>
      </c>
      <c r="H499" s="85" t="n">
        <f aca="false">COUNTIFS('Reguler Class Availability'!$A:$A,$B$4,'Reguler Class Availability'!$I:$I,$B499,'Reguler Class Availability'!$C:$C,"* - "&amp;H$492)+COUNTIFS('Reguler Class Availability'!$A:$A,$B$4,'Reguler Class Availability'!$J:$J,$B499,'Reguler Class Availability'!$C:$C,"* - "&amp;H$492)</f>
        <v>1</v>
      </c>
      <c r="I499" s="85" t="n">
        <f aca="false">COUNTIFS('Reguler Class Availability'!$A:$A,$B$4,'Reguler Class Availability'!$I:$I,$B499,'Reguler Class Availability'!$C:$C,"* - "&amp;I$492)+COUNTIFS('Reguler Class Availability'!$A:$A,$B$4,'Reguler Class Availability'!$J:$J,$B499,'Reguler Class Availability'!$C:$C,"* - "&amp;I$492)</f>
        <v>1</v>
      </c>
      <c r="J499" s="85" t="n">
        <f aca="false">COUNTIFS('Reguler Class Availability'!$A:$A,$B$4,'Reguler Class Availability'!$I:$I,$B499,'Reguler Class Availability'!$C:$C,"* - "&amp;J$492)+COUNTIFS('Reguler Class Availability'!$A:$A,$B$4,'Reguler Class Availability'!$J:$J,$B499,'Reguler Class Availability'!$C:$C,"* - "&amp;J$492)</f>
        <v>0</v>
      </c>
      <c r="K499" s="82" t="n">
        <f aca="false">COUNTIFS('Reguler Class Availability'!$A:$A,$B$4,'Reguler Class Availability'!$I:$I,$B499)</f>
        <v>4</v>
      </c>
      <c r="L499" s="82" t="n">
        <f aca="false">COUNTIFS('Reguler Class Availability'!$A:$A,$B$4,'Reguler Class Availability'!$J:$J,$B499)</f>
        <v>0</v>
      </c>
      <c r="M499" s="82" t="s">
        <v>511</v>
      </c>
    </row>
  </sheetData>
  <autoFilter ref="A126:O487"/>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487">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487">
    <cfRule type="expression" priority="52" aboveAverage="0" equalAverage="0" bottom="0" percent="0" rank="0" text="" dxfId="16">
      <formula>$K127="Jual minggu ini"</formula>
    </cfRule>
  </conditionalFormatting>
  <conditionalFormatting sqref="D493:J499">
    <cfRule type="colorScale" priority="5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27:N487" type="whole">
      <formula1>0</formula1>
      <formula2>20</formula2>
    </dataValidation>
    <dataValidation allowBlank="true" errorStyle="stop" operator="between" showDropDown="false" showErrorMessage="false" showInputMessage="false" sqref="K127:K487" type="list">
      <formula1>"Jual minggu ini,Buka kelas baru,Ganti age group,Tahan,Tutup slot"</formula1>
      <formula2>0</formula2>
    </dataValidation>
    <dataValidation allowBlank="true" errorStyle="stop" operator="between" showDropDown="false" showErrorMessage="false" showInputMessage="false" sqref="L127:L487" type="list">
      <formula1>"Baby,Tiny,Little,Kids,Star"</formula1>
      <formula2>0</formula2>
    </dataValidation>
    <dataValidation allowBlank="true" errorStyle="stop" operator="between" showDropDown="false" showErrorMessage="false" showInputMessage="false" sqref="M127:M487" type="list">
      <formula1>$B$493:$B$499</formula1>
      <formula2>0</formula2>
    </dataValidation>
  </dataValidations>
  <hyperlinks>
    <hyperlink ref="B11" r:id="rId1" location="'BTU'!A12" display="→ Slot Map"/>
    <hyperlink ref="C11" r:id="rId2" location="'BTU'!A124" display="→ Daftar Diskusi"/>
    <hyperlink ref="D11" r:id="rId3" location="'BTU'!A490"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F479"/>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pane xSplit="1" ySplit="0" topLeftCell="B1" activePane="topRight" state="frozen"/>
      <selection pane="topLeft" activeCell="A1" activeCellId="0" sqref="A1"/>
      <selection pane="top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8" min="2" style="0" width="21"/>
    <col collapsed="false" customWidth="true" hidden="false" outlineLevel="0" max="9" min="9" style="0" width="40"/>
    <col collapsed="false" customWidth="true" hidden="false" outlineLevel="0" max="10" min="10" style="0" width="18"/>
    <col collapsed="false" customWidth="true" hidden="false" outlineLevel="0" max="11" min="11" style="0" width="16"/>
    <col collapsed="false" customWidth="true" hidden="false" outlineLevel="0" max="13" min="12" style="0" width="14"/>
    <col collapsed="false" customWidth="true" hidden="false" outlineLevel="0" max="14" min="14" style="0" width="11"/>
    <col collapsed="false" customWidth="true" hidden="false" outlineLevel="0" max="15" min="15" style="0" width="34"/>
    <col collapsed="false" customWidth="true" hidden="true" outlineLevel="0" max="17" min="17" style="0" width="13"/>
    <col collapsed="false" customWidth="true" hidden="true" outlineLevel="0" max="58" min="40" style="0" width="13"/>
  </cols>
  <sheetData>
    <row r="1" customFormat="false" ht="19.7" hidden="false" customHeight="false" outlineLevel="0" collapsed="false">
      <c r="A1" s="1" t="s">
        <v>512</v>
      </c>
      <c r="BD1" s="29" t="s">
        <v>76</v>
      </c>
    </row>
    <row r="2" customFormat="false" ht="15" hidden="false" customHeight="false" outlineLevel="0" collapsed="false">
      <c r="A2" s="28" t="s">
        <v>77</v>
      </c>
      <c r="BD2" s="30" t="s">
        <v>78</v>
      </c>
      <c r="BE2" s="30" t="n">
        <f aca="false">IF(COUNTIFS('Reguler Class Availability'!$L:$L,$B$4&amp;"|- Lane 1 - *|"&amp;BD2)&gt;0,1,0)</f>
        <v>0</v>
      </c>
      <c r="BF2" s="30" t="n">
        <f aca="false">BE2</f>
        <v>0</v>
      </c>
    </row>
    <row r="3" customFormat="false" ht="15" hidden="false" customHeight="false" outlineLevel="0" collapsed="false">
      <c r="BD3" s="0" t="s">
        <v>79</v>
      </c>
      <c r="BE3" s="0" t="n">
        <f aca="false">IF(COUNTIFS('Reguler Class Availability'!$L:$L,$B$4&amp;"|- Lane 1 - *|"&amp;BD3)&gt;0,1,0)</f>
        <v>0</v>
      </c>
      <c r="BF3" s="0" t="n">
        <f aca="false">BE3+BF2</f>
        <v>0</v>
      </c>
    </row>
    <row r="4" customFormat="false" ht="15" hidden="false" customHeight="false" outlineLevel="0" collapsed="false">
      <c r="A4" s="13" t="s">
        <v>54</v>
      </c>
      <c r="B4" s="31" t="s">
        <v>71</v>
      </c>
      <c r="C4" s="32" t="s">
        <v>80</v>
      </c>
      <c r="D4" s="33" t="s">
        <v>81</v>
      </c>
      <c r="E4" s="32" t="s">
        <v>82</v>
      </c>
      <c r="F4" s="33"/>
      <c r="G4" s="32" t="s">
        <v>83</v>
      </c>
      <c r="H4" s="33"/>
      <c r="BD4" s="30" t="s">
        <v>84</v>
      </c>
      <c r="BE4" s="30" t="n">
        <f aca="false">IF(COUNTIFS('Reguler Class Availability'!$L:$L,$B$4&amp;"|- Lane 1 - *|"&amp;BD4)&gt;0,1,0)</f>
        <v>0</v>
      </c>
      <c r="BF4" s="30" t="n">
        <f aca="false">BE4+BF3</f>
        <v>0</v>
      </c>
    </row>
    <row r="5" customFormat="false" ht="15" hidden="false" customHeight="false" outlineLevel="0" collapsed="false">
      <c r="BD5" s="0" t="s">
        <v>85</v>
      </c>
      <c r="BE5" s="0" t="n">
        <f aca="false">IF(COUNTIFS('Reguler Class Availability'!$L:$L,$B$4&amp;"|- Lane 1 - *|"&amp;BD5)&gt;0,1,0)</f>
        <v>0</v>
      </c>
      <c r="BF5" s="0" t="n">
        <f aca="false">BE5+BF4</f>
        <v>0</v>
      </c>
    </row>
    <row r="6" customFormat="false" ht="15" hidden="false" customHeight="false" outlineLevel="0" collapsed="false">
      <c r="A6" s="34" t="s">
        <v>86</v>
      </c>
      <c r="B6" s="35" t="s">
        <v>87</v>
      </c>
      <c r="C6" s="35" t="s">
        <v>88</v>
      </c>
      <c r="D6" s="36" t="s">
        <v>14</v>
      </c>
      <c r="E6" s="37" t="s">
        <v>16</v>
      </c>
      <c r="F6" s="38" t="s">
        <v>20</v>
      </c>
      <c r="G6" s="39" t="s">
        <v>22</v>
      </c>
      <c r="H6" s="40" t="s">
        <v>24</v>
      </c>
      <c r="BD6" s="30" t="s">
        <v>89</v>
      </c>
      <c r="BE6" s="30" t="n">
        <f aca="false">IF(COUNTIFS('Reguler Class Availability'!$L:$L,$B$4&amp;"|- Lane 1 - *|"&amp;BD6)&gt;0,1,0)</f>
        <v>0</v>
      </c>
      <c r="BF6" s="30" t="n">
        <f aca="false">BE6+BF5</f>
        <v>0</v>
      </c>
    </row>
    <row r="7" customFormat="false" ht="18.55" hidden="false" customHeight="false" outlineLevel="0" collapsed="false">
      <c r="B7" s="41" t="n">
        <f aca="false">IFERROR(SUMIFS('Reguler Class Availability'!$G:$G,'Reguler Class Availability'!$A:$A,$B$4,'Reguler Class Availability'!$F:$F,"&gt;0")/SUMIFS('Reguler Class Availability'!$F:$F,'Reguler Class Availability'!$A:$A,$B$4,'Reguler Class Availability'!$F:$F,"&gt;0"),"–")</f>
        <v>0.0872448979591837</v>
      </c>
      <c r="C7" s="42" t="str">
        <f aca="false">SUMIFS('Reguler Class Availability'!$G:$G,'Reguler Class Availability'!$A:$A,$B$4,'Reguler Class Availability'!$F:$F,"&gt;0")&amp;" / "&amp;SUMIFS('Reguler Class Availability'!$F:$F,'Reguler Class Availability'!$A:$A,$B$4,'Reguler Class Availability'!$F:$F,"&gt;0")</f>
        <v>171 / 1960</v>
      </c>
      <c r="D7" s="43" t="n">
        <f aca="false">COUNTIF($AV$1:$BB$1000,"Belum terisi")</f>
        <v>257</v>
      </c>
      <c r="E7" s="44" t="n">
        <f aca="false">COUNTIF($AV$1:$BB$1000,"Kosong")</f>
        <v>84</v>
      </c>
      <c r="F7" s="45" t="n">
        <f aca="false">COUNTIF($AV$1:$BB$1000,"Penuh")</f>
        <v>10</v>
      </c>
      <c r="G7" s="46" t="n">
        <f aca="false">COUNTIF($AV$1:$BB$1000,"Lebih")</f>
        <v>0</v>
      </c>
      <c r="H7" s="47" t="n">
        <f aca="false">COUNTIF($AV$1:$BB$1000,"Tutup")</f>
        <v>1</v>
      </c>
      <c r="BD7" s="30" t="s">
        <v>90</v>
      </c>
      <c r="BE7" s="30" t="n">
        <f aca="false">IF(COUNTIFS('Reguler Class Availability'!$L:$L,$B$4&amp;"|- Lane 1 - *|"&amp;BD7)&gt;0,1,0)</f>
        <v>0</v>
      </c>
      <c r="BF7" s="30" t="n">
        <f aca="false">BE7+BF6</f>
        <v>0</v>
      </c>
    </row>
    <row r="8" customFormat="false" ht="15" hidden="false" customHeight="false" outlineLevel="0" collapsed="false">
      <c r="BD8" s="0" t="s">
        <v>91</v>
      </c>
      <c r="BE8" s="0" t="n">
        <f aca="false">IF(COUNTIFS('Reguler Class Availability'!$L:$L,$B$4&amp;"|- Lane 1 - *|"&amp;BD8)&gt;0,1,0)</f>
        <v>1</v>
      </c>
      <c r="BF8" s="0" t="n">
        <f aca="false">BE8+BF7</f>
        <v>1</v>
      </c>
    </row>
    <row r="9" customFormat="false" ht="25.5" hidden="false" customHeight="true" outlineLevel="0" collapsed="false">
      <c r="A9" s="34" t="s">
        <v>92</v>
      </c>
      <c r="B9" s="48" t="s">
        <v>93</v>
      </c>
      <c r="C9" s="49" t="s">
        <v>94</v>
      </c>
      <c r="D9" s="50" t="s">
        <v>95</v>
      </c>
      <c r="E9" s="51" t="s">
        <v>96</v>
      </c>
      <c r="F9" s="52" t="s">
        <v>20</v>
      </c>
      <c r="G9" s="53" t="s">
        <v>22</v>
      </c>
      <c r="H9" s="54" t="s">
        <v>97</v>
      </c>
      <c r="BD9" s="30" t="s">
        <v>98</v>
      </c>
      <c r="BE9" s="30" t="n">
        <f aca="false">IF(COUNTIFS('Reguler Class Availability'!$L:$L,$B$4&amp;"|- Lane 1 - *|"&amp;BD9)&gt;0,1,0)</f>
        <v>0</v>
      </c>
      <c r="BF9" s="30" t="n">
        <f aca="false">BE9+BF8</f>
        <v>1</v>
      </c>
    </row>
    <row r="10" customFormat="false" ht="15" hidden="false" customHeight="false" outlineLevel="0" collapsed="false">
      <c r="A10" s="34" t="s">
        <v>99</v>
      </c>
      <c r="B10" s="55" t="s">
        <v>100</v>
      </c>
      <c r="C10" s="56" t="s">
        <v>101</v>
      </c>
      <c r="D10" s="57" t="s">
        <v>102</v>
      </c>
      <c r="E10" s="58" t="s">
        <v>103</v>
      </c>
      <c r="F10" s="59" t="s">
        <v>104</v>
      </c>
      <c r="BD10" s="30" t="s">
        <v>105</v>
      </c>
      <c r="BE10" s="30" t="n">
        <f aca="false">IF(COUNTIFS('Reguler Class Availability'!$L:$L,$B$4&amp;"|- Lane 1 - *|"&amp;BD10)&gt;0,1,0)</f>
        <v>1</v>
      </c>
      <c r="BF10" s="30" t="n">
        <f aca="false">BE10+BF9</f>
        <v>2</v>
      </c>
    </row>
    <row r="11" customFormat="false" ht="15" hidden="false" customHeight="false" outlineLevel="0" collapsed="false">
      <c r="A11" s="34" t="s">
        <v>106</v>
      </c>
      <c r="B11" s="60" t="s">
        <v>107</v>
      </c>
      <c r="C11" s="60" t="s">
        <v>108</v>
      </c>
      <c r="D11" s="60" t="s">
        <v>109</v>
      </c>
      <c r="BD11" s="30" t="s">
        <v>110</v>
      </c>
      <c r="BE11" s="30" t="n">
        <f aca="false">IF(COUNTIFS('Reguler Class Availability'!$L:$L,$B$4&amp;"|- Lane 1 - *|"&amp;BD11)&gt;0,1,0)</f>
        <v>0</v>
      </c>
      <c r="BF11" s="30" t="n">
        <f aca="false">BE11+BF10</f>
        <v>2</v>
      </c>
    </row>
    <row r="12" customFormat="false" ht="15" hidden="false" customHeight="false" outlineLevel="0" collapsed="false">
      <c r="A12" s="61" t="s">
        <v>111</v>
      </c>
      <c r="B12" s="62"/>
      <c r="C12" s="63" t="str">
        <f aca="false">"Utilisasi lane: "&amp;IFERROR(TEXT(SUMIFS('Reguler Class Availability'!$G:$G,'Reguler Class Availability'!$A:$A,$B$4,'Reguler Class Availability'!$C:$C,"- Lane 1 - *",'Reguler Class Availability'!$F:$F,"&gt;0")/SUMIFS('Reguler Class Availability'!$F:$F,'Reguler Class Availability'!$A:$A,$B$4,'Reguler Class Availability'!$C:$C,"- Lane 1 - *",'Reguler Class Availability'!$F:$F,"&gt;0"),"0%"),"–")&amp;"   ·   Belum terisi: "&amp;COUNTIF($AV$14:$BB$29,"Belum terisi")&amp;"   ·   Slot kosong: "&amp;COUNTIF($AV$14:$BB$29,"Kosong")</f>
        <v>Utilisasi lane: 4%   ·   Belum terisi: 83   ·   Slot kosong: 0</v>
      </c>
      <c r="D12" s="62"/>
      <c r="E12" s="62"/>
      <c r="F12" s="62"/>
      <c r="G12" s="62"/>
      <c r="H12" s="62"/>
      <c r="BD12" s="30" t="s">
        <v>112</v>
      </c>
      <c r="BE12" s="30" t="n">
        <f aca="false">IF(COUNTIFS('Reguler Class Availability'!$L:$L,$B$4&amp;"|- Lane 1 - *|"&amp;BD12)&gt;0,1,0)</f>
        <v>0</v>
      </c>
      <c r="BF12" s="30" t="n">
        <f aca="false">BE12+BF11</f>
        <v>2</v>
      </c>
    </row>
    <row r="13" customFormat="false" ht="15" hidden="false" customHeight="false" outlineLevel="0" collapsed="false">
      <c r="A13" s="64" t="s">
        <v>113</v>
      </c>
      <c r="B13" s="65" t="s">
        <v>114</v>
      </c>
      <c r="C13" s="65" t="s">
        <v>115</v>
      </c>
      <c r="D13" s="65" t="s">
        <v>116</v>
      </c>
      <c r="E13" s="65" t="s">
        <v>117</v>
      </c>
      <c r="F13" s="65" t="s">
        <v>118</v>
      </c>
      <c r="G13" s="65" t="s">
        <v>119</v>
      </c>
      <c r="H13" s="65" t="s">
        <v>80</v>
      </c>
      <c r="BD13" s="30" t="s">
        <v>120</v>
      </c>
      <c r="BE13" s="30" t="n">
        <f aca="false">IF(COUNTIFS('Reguler Class Availability'!$L:$L,$B$4&amp;"|- Lane 1 - *|"&amp;BD13)&gt;0,1,0)</f>
        <v>1</v>
      </c>
      <c r="BF13" s="30" t="n">
        <f aca="false">BE13+BF12</f>
        <v>3</v>
      </c>
    </row>
    <row r="14" customFormat="false" ht="39.75" hidden="false" customHeight="true" outlineLevel="0" collapsed="false">
      <c r="A14" s="66" t="str">
        <f aca="false">IFERROR(INDEX($BD$2:$BD$61,MATCH(1,$BF$2:$BF$61,0)),"")</f>
        <v>07:30</v>
      </c>
      <c r="B14" s="67" t="str">
        <f aca="false">IF(AN14="","",IF(AV14="Tidak dibuka","–",IF(INDEX('Reguler Class Availability'!$B:$B,AN14)&amp;""="","Kosong",PROPER(INDEX('Reguler Class Availability'!$B:$B,AN14)&amp;""))&amp;"  "&amp;IFERROR(--(INDEX('Reguler Class Availability'!$G:$G,AN14)&amp;""),0)&amp;"/"&amp;IFERROR(--(INDEX('Reguler Class Availability'!$F:$F,AN14)&amp;""),0)&amp;IF(IFERROR(--(INDEX('Reguler Class Availability'!$F:$F,AN14)&amp;""),0)&gt;0,"  ("&amp;TEXT(IFERROR(--(INDEX('Reguler Class Availability'!$G:$G,AN14)&amp;""),0)/IFERROR(--(INDEX('Reguler Class Availability'!$F:$F,AN14)&amp;""),0),"0%")&amp;")","")&amp;CHAR(10)&amp;IF(INDEX('Reguler Class Availability'!$I:$I,AN14)&amp;""="","coach: –",PROPER(INDEX('Reguler Class Availability'!$I:$I,AN14)&amp;""))&amp;IF(INDEX('Reguler Class Availability'!$J:$J,AN14)&amp;""="","",CHAR(10)&amp;"asst: "&amp;PROPER(INDEX('Reguler Class Availability'!$J:$J,AN14)&amp;""))))</f>
        <v>Star  0/8  (0%)
coach: –</v>
      </c>
      <c r="C14" s="67" t="str">
        <f aca="false">IF(AO14="","",IF(AW14="Tidak dibuka","–",IF(INDEX('Reguler Class Availability'!$B:$B,AO14)&amp;""="","Kosong",PROPER(INDEX('Reguler Class Availability'!$B:$B,AO14)&amp;""))&amp;"  "&amp;IFERROR(--(INDEX('Reguler Class Availability'!$G:$G,AO14)&amp;""),0)&amp;"/"&amp;IFERROR(--(INDEX('Reguler Class Availability'!$F:$F,AO14)&amp;""),0)&amp;IF(IFERROR(--(INDEX('Reguler Class Availability'!$F:$F,AO14)&amp;""),0)&gt;0,"  ("&amp;TEXT(IFERROR(--(INDEX('Reguler Class Availability'!$G:$G,AO14)&amp;""),0)/IFERROR(--(INDEX('Reguler Class Availability'!$F:$F,AO14)&amp;""),0),"0%")&amp;")","")&amp;CHAR(10)&amp;IF(INDEX('Reguler Class Availability'!$I:$I,AO14)&amp;""="","coach: –",PROPER(INDEX('Reguler Class Availability'!$I:$I,AO14)&amp;""))&amp;IF(INDEX('Reguler Class Availability'!$J:$J,AO14)&amp;""="","",CHAR(10)&amp;"asst: "&amp;PROPER(INDEX('Reguler Class Availability'!$J:$J,AO14)&amp;""))))</f>
        <v>Star  0/8  (0%)
coach: –</v>
      </c>
      <c r="D14" s="67" t="str">
        <f aca="false">IF(AP14="","",IF(AX14="Tidak dibuka","–",IF(INDEX('Reguler Class Availability'!$B:$B,AP14)&amp;""="","Kosong",PROPER(INDEX('Reguler Class Availability'!$B:$B,AP14)&amp;""))&amp;"  "&amp;IFERROR(--(INDEX('Reguler Class Availability'!$G:$G,AP14)&amp;""),0)&amp;"/"&amp;IFERROR(--(INDEX('Reguler Class Availability'!$F:$F,AP14)&amp;""),0)&amp;IF(IFERROR(--(INDEX('Reguler Class Availability'!$F:$F,AP14)&amp;""),0)&gt;0,"  ("&amp;TEXT(IFERROR(--(INDEX('Reguler Class Availability'!$G:$G,AP14)&amp;""),0)/IFERROR(--(INDEX('Reguler Class Availability'!$F:$F,AP14)&amp;""),0),"0%")&amp;")","")&amp;CHAR(10)&amp;IF(INDEX('Reguler Class Availability'!$I:$I,AP14)&amp;""="","coach: –",PROPER(INDEX('Reguler Class Availability'!$I:$I,AP14)&amp;""))&amp;IF(INDEX('Reguler Class Availability'!$J:$J,AP14)&amp;""="","",CHAR(10)&amp;"asst: "&amp;PROPER(INDEX('Reguler Class Availability'!$J:$J,AP14)&amp;""))))</f>
        <v>Star  0/8  (0%)
coach: –</v>
      </c>
      <c r="E14" s="67" t="str">
        <f aca="false">IF(AQ14="","",IF(AY14="Tidak dibuka","–",IF(INDEX('Reguler Class Availability'!$B:$B,AQ14)&amp;""="","Kosong",PROPER(INDEX('Reguler Class Availability'!$B:$B,AQ14)&amp;""))&amp;"  "&amp;IFERROR(--(INDEX('Reguler Class Availability'!$G:$G,AQ14)&amp;""),0)&amp;"/"&amp;IFERROR(--(INDEX('Reguler Class Availability'!$F:$F,AQ14)&amp;""),0)&amp;IF(IFERROR(--(INDEX('Reguler Class Availability'!$F:$F,AQ14)&amp;""),0)&gt;0,"  ("&amp;TEXT(IFERROR(--(INDEX('Reguler Class Availability'!$G:$G,AQ14)&amp;""),0)/IFERROR(--(INDEX('Reguler Class Availability'!$F:$F,AQ14)&amp;""),0),"0%")&amp;")","")&amp;CHAR(10)&amp;IF(INDEX('Reguler Class Availability'!$I:$I,AQ14)&amp;""="","coach: –",PROPER(INDEX('Reguler Class Availability'!$I:$I,AQ14)&amp;""))&amp;IF(INDEX('Reguler Class Availability'!$J:$J,AQ14)&amp;""="","",CHAR(10)&amp;"asst: "&amp;PROPER(INDEX('Reguler Class Availability'!$J:$J,AQ14)&amp;""))))</f>
        <v>Star  0/8  (0%)
coach: –</v>
      </c>
      <c r="F14" s="67" t="str">
        <f aca="false">IF(AR14="","",IF(AZ14="Tidak dibuka","–",IF(INDEX('Reguler Class Availability'!$B:$B,AR14)&amp;""="","Kosong",PROPER(INDEX('Reguler Class Availability'!$B:$B,AR14)&amp;""))&amp;"  "&amp;IFERROR(--(INDEX('Reguler Class Availability'!$G:$G,AR14)&amp;""),0)&amp;"/"&amp;IFERROR(--(INDEX('Reguler Class Availability'!$F:$F,AR14)&amp;""),0)&amp;IF(IFERROR(--(INDEX('Reguler Class Availability'!$F:$F,AR14)&amp;""),0)&gt;0,"  ("&amp;TEXT(IFERROR(--(INDEX('Reguler Class Availability'!$G:$G,AR14)&amp;""),0)/IFERROR(--(INDEX('Reguler Class Availability'!$F:$F,AR14)&amp;""),0),"0%")&amp;")","")&amp;CHAR(10)&amp;IF(INDEX('Reguler Class Availability'!$I:$I,AR14)&amp;""="","coach: –",PROPER(INDEX('Reguler Class Availability'!$I:$I,AR14)&amp;""))&amp;IF(INDEX('Reguler Class Availability'!$J:$J,AR14)&amp;""="","",CHAR(10)&amp;"asst: "&amp;PROPER(INDEX('Reguler Class Availability'!$J:$J,AR14)&amp;""))))</f>
        <v>Star  0/8  (0%)
coach: –</v>
      </c>
      <c r="G14" s="67" t="str">
        <f aca="false">IF(AS14="","",IF(BA14="Tidak dibuka","–",IF(INDEX('Reguler Class Availability'!$B:$B,AS14)&amp;""="","Kosong",PROPER(INDEX('Reguler Class Availability'!$B:$B,AS14)&amp;""))&amp;"  "&amp;IFERROR(--(INDEX('Reguler Class Availability'!$G:$G,AS14)&amp;""),0)&amp;"/"&amp;IFERROR(--(INDEX('Reguler Class Availability'!$F:$F,AS14)&amp;""),0)&amp;IF(IFERROR(--(INDEX('Reguler Class Availability'!$F:$F,AS14)&amp;""),0)&gt;0,"  ("&amp;TEXT(IFERROR(--(INDEX('Reguler Class Availability'!$G:$G,AS14)&amp;""),0)/IFERROR(--(INDEX('Reguler Class Availability'!$F:$F,AS14)&amp;""),0),"0%")&amp;")","")&amp;CHAR(10)&amp;IF(INDEX('Reguler Class Availability'!$I:$I,AS14)&amp;""="","coach: –",PROPER(INDEX('Reguler Class Availability'!$I:$I,AS14)&amp;""))&amp;IF(INDEX('Reguler Class Availability'!$J:$J,AS14)&amp;""="","",CHAR(10)&amp;"asst: "&amp;PROPER(INDEX('Reguler Class Availability'!$J:$J,AS14)&amp;""))))</f>
        <v>Star  1/8  (13%)
Rizky</v>
      </c>
      <c r="H14" s="67" t="str">
        <f aca="false">IF(AT14="","",IF(BB14="Tidak dibuka","–",IF(INDEX('Reguler Class Availability'!$B:$B,AT14)&amp;""="","Kosong",PROPER(INDEX('Reguler Class Availability'!$B:$B,AT14)&amp;""))&amp;"  "&amp;IFERROR(--(INDEX('Reguler Class Availability'!$G:$G,AT14)&amp;""),0)&amp;"/"&amp;IFERROR(--(INDEX('Reguler Class Availability'!$F:$F,AT14)&amp;""),0)&amp;IF(IFERROR(--(INDEX('Reguler Class Availability'!$F:$F,AT14)&amp;""),0)&gt;0,"  ("&amp;TEXT(IFERROR(--(INDEX('Reguler Class Availability'!$G:$G,AT14)&amp;""),0)/IFERROR(--(INDEX('Reguler Class Availability'!$F:$F,AT14)&amp;""),0),"0%")&amp;")","")&amp;CHAR(10)&amp;IF(INDEX('Reguler Class Availability'!$I:$I,AT14)&amp;""="","coach: –",PROPER(INDEX('Reguler Class Availability'!$I:$I,AT14)&amp;""))&amp;IF(INDEX('Reguler Class Availability'!$J:$J,AT14)&amp;""="","",CHAR(10)&amp;"asst: "&amp;PROPER(INDEX('Reguler Class Availability'!$J:$J,AT14)&amp;""))))</f>
        <v>Star  0/8  (0%)
coach: –</v>
      </c>
      <c r="AN14" s="30" t="n">
        <f aca="false">IF($A14="","",IFERROR(MATCH($B$4&amp;"|- Lane 1 - "&amp;B$13&amp;"|"&amp;$A14,'Reguler Class Availability'!$L:$L,0),""))</f>
        <v>2494</v>
      </c>
      <c r="AO14" s="30" t="n">
        <f aca="false">IF($A14="","",IFERROR(MATCH($B$4&amp;"|- Lane 1 - "&amp;C$13&amp;"|"&amp;$A14,'Reguler Class Availability'!$L:$L,0),""))</f>
        <v>2495</v>
      </c>
      <c r="AP14" s="30" t="n">
        <f aca="false">IF($A14="","",IFERROR(MATCH($B$4&amp;"|- Lane 1 - "&amp;D$13&amp;"|"&amp;$A14,'Reguler Class Availability'!$L:$L,0),""))</f>
        <v>2496</v>
      </c>
      <c r="AQ14" s="30" t="n">
        <f aca="false">IF($A14="","",IFERROR(MATCH($B$4&amp;"|- Lane 1 - "&amp;E$13&amp;"|"&amp;$A14,'Reguler Class Availability'!$L:$L,0),""))</f>
        <v>2497</v>
      </c>
      <c r="AR14" s="30" t="n">
        <f aca="false">IF($A14="","",IFERROR(MATCH($B$4&amp;"|- Lane 1 - "&amp;F$13&amp;"|"&amp;$A14,'Reguler Class Availability'!$L:$L,0),""))</f>
        <v>2498</v>
      </c>
      <c r="AS14" s="30" t="n">
        <f aca="false">IF($A14="","",IFERROR(MATCH($B$4&amp;"|- Lane 1 - "&amp;G$13&amp;"|"&amp;$A14,'Reguler Class Availability'!$L:$L,0),""))</f>
        <v>2499</v>
      </c>
      <c r="AT14" s="30" t="n">
        <f aca="false">IF($A14="","",IFERROR(MATCH($B$4&amp;"|- Lane 1 - "&amp;H$13&amp;"|"&amp;$A14,'Reguler Class Availability'!$L:$L,0),""))</f>
        <v>2500</v>
      </c>
      <c r="AV14" s="0" t="str">
        <f aca="false">IF(AN14="","",IF(AND(IFERROR(--(INDEX('Reguler Class Availability'!$F:$F,AN14)&amp;""),0)=0,IFERROR(--(INDEX('Reguler Class Availability'!$G:$G,AN14)&amp;""),0)=0),IF(OR(INDEX('Reguler Class Availability'!$B:$B,AN14)&amp;""&lt;&gt;"",INDEX('Reguler Class Availability'!$I:$I,AN14)&amp;""&lt;&gt;""),"Tutup","Tidak dibuka"),IF(IFERROR(--(INDEX('Reguler Class Availability'!$G:$G,AN14)&amp;""),0)&gt;IFERROR(--(INDEX('Reguler Class Availability'!$F:$F,AN14)&amp;""),0),"Lebih",IF(IFERROR(--(INDEX('Reguler Class Availability'!$G:$G,AN14)&amp;""),0)=IFERROR(--(INDEX('Reguler Class Availability'!$F:$F,AN14)&amp;""),0),"Penuh",IF(IFERROR(--(INDEX('Reguler Class Availability'!$G:$G,AN14)&amp;""),0)=0,IF(INDEX('Reguler Class Availability'!$B:$B,AN14)&amp;""="","Kosong","Belum terisi"),IF(IFERROR(--(INDEX('Reguler Class Availability'!$G:$G,AN14)&amp;""),0)/IFERROR(--(INDEX('Reguler Class Availability'!$F:$F,AN14)&amp;""),0)&gt;=0.6,"Tinggi","Sebagian"))))))</f>
        <v>Belum terisi</v>
      </c>
      <c r="AW14" s="0" t="str">
        <f aca="false">IF(AO14="","",IF(AND(IFERROR(--(INDEX('Reguler Class Availability'!$F:$F,AO14)&amp;""),0)=0,IFERROR(--(INDEX('Reguler Class Availability'!$G:$G,AO14)&amp;""),0)=0),IF(OR(INDEX('Reguler Class Availability'!$B:$B,AO14)&amp;""&lt;&gt;"",INDEX('Reguler Class Availability'!$I:$I,AO14)&amp;""&lt;&gt;""),"Tutup","Tidak dibuka"),IF(IFERROR(--(INDEX('Reguler Class Availability'!$G:$G,AO14)&amp;""),0)&gt;IFERROR(--(INDEX('Reguler Class Availability'!$F:$F,AO14)&amp;""),0),"Lebih",IF(IFERROR(--(INDEX('Reguler Class Availability'!$G:$G,AO14)&amp;""),0)=IFERROR(--(INDEX('Reguler Class Availability'!$F:$F,AO14)&amp;""),0),"Penuh",IF(IFERROR(--(INDEX('Reguler Class Availability'!$G:$G,AO14)&amp;""),0)=0,IF(INDEX('Reguler Class Availability'!$B:$B,AO14)&amp;""="","Kosong","Belum terisi"),IF(IFERROR(--(INDEX('Reguler Class Availability'!$G:$G,AO14)&amp;""),0)/IFERROR(--(INDEX('Reguler Class Availability'!$F:$F,AO14)&amp;""),0)&gt;=0.6,"Tinggi","Sebagian"))))))</f>
        <v>Belum terisi</v>
      </c>
      <c r="AX14" s="0" t="str">
        <f aca="false">IF(AP14="","",IF(AND(IFERROR(--(INDEX('Reguler Class Availability'!$F:$F,AP14)&amp;""),0)=0,IFERROR(--(INDEX('Reguler Class Availability'!$G:$G,AP14)&amp;""),0)=0),IF(OR(INDEX('Reguler Class Availability'!$B:$B,AP14)&amp;""&lt;&gt;"",INDEX('Reguler Class Availability'!$I:$I,AP14)&amp;""&lt;&gt;""),"Tutup","Tidak dibuka"),IF(IFERROR(--(INDEX('Reguler Class Availability'!$G:$G,AP14)&amp;""),0)&gt;IFERROR(--(INDEX('Reguler Class Availability'!$F:$F,AP14)&amp;""),0),"Lebih",IF(IFERROR(--(INDEX('Reguler Class Availability'!$G:$G,AP14)&amp;""),0)=IFERROR(--(INDEX('Reguler Class Availability'!$F:$F,AP14)&amp;""),0),"Penuh",IF(IFERROR(--(INDEX('Reguler Class Availability'!$G:$G,AP14)&amp;""),0)=0,IF(INDEX('Reguler Class Availability'!$B:$B,AP14)&amp;""="","Kosong","Belum terisi"),IF(IFERROR(--(INDEX('Reguler Class Availability'!$G:$G,AP14)&amp;""),0)/IFERROR(--(INDEX('Reguler Class Availability'!$F:$F,AP14)&amp;""),0)&gt;=0.6,"Tinggi","Sebagian"))))))</f>
        <v>Belum terisi</v>
      </c>
      <c r="AY14" s="0" t="str">
        <f aca="false">IF(AQ14="","",IF(AND(IFERROR(--(INDEX('Reguler Class Availability'!$F:$F,AQ14)&amp;""),0)=0,IFERROR(--(INDEX('Reguler Class Availability'!$G:$G,AQ14)&amp;""),0)=0),IF(OR(INDEX('Reguler Class Availability'!$B:$B,AQ14)&amp;""&lt;&gt;"",INDEX('Reguler Class Availability'!$I:$I,AQ14)&amp;""&lt;&gt;""),"Tutup","Tidak dibuka"),IF(IFERROR(--(INDEX('Reguler Class Availability'!$G:$G,AQ14)&amp;""),0)&gt;IFERROR(--(INDEX('Reguler Class Availability'!$F:$F,AQ14)&amp;""),0),"Lebih",IF(IFERROR(--(INDEX('Reguler Class Availability'!$G:$G,AQ14)&amp;""),0)=IFERROR(--(INDEX('Reguler Class Availability'!$F:$F,AQ14)&amp;""),0),"Penuh",IF(IFERROR(--(INDEX('Reguler Class Availability'!$G:$G,AQ14)&amp;""),0)=0,IF(INDEX('Reguler Class Availability'!$B:$B,AQ14)&amp;""="","Kosong","Belum terisi"),IF(IFERROR(--(INDEX('Reguler Class Availability'!$G:$G,AQ14)&amp;""),0)/IFERROR(--(INDEX('Reguler Class Availability'!$F:$F,AQ14)&amp;""),0)&gt;=0.6,"Tinggi","Sebagian"))))))</f>
        <v>Belum terisi</v>
      </c>
      <c r="AZ14" s="0" t="str">
        <f aca="false">IF(AR14="","",IF(AND(IFERROR(--(INDEX('Reguler Class Availability'!$F:$F,AR14)&amp;""),0)=0,IFERROR(--(INDEX('Reguler Class Availability'!$G:$G,AR14)&amp;""),0)=0),IF(OR(INDEX('Reguler Class Availability'!$B:$B,AR14)&amp;""&lt;&gt;"",INDEX('Reguler Class Availability'!$I:$I,AR14)&amp;""&lt;&gt;""),"Tutup","Tidak dibuka"),IF(IFERROR(--(INDEX('Reguler Class Availability'!$G:$G,AR14)&amp;""),0)&gt;IFERROR(--(INDEX('Reguler Class Availability'!$F:$F,AR14)&amp;""),0),"Lebih",IF(IFERROR(--(INDEX('Reguler Class Availability'!$G:$G,AR14)&amp;""),0)=IFERROR(--(INDEX('Reguler Class Availability'!$F:$F,AR14)&amp;""),0),"Penuh",IF(IFERROR(--(INDEX('Reguler Class Availability'!$G:$G,AR14)&amp;""),0)=0,IF(INDEX('Reguler Class Availability'!$B:$B,AR14)&amp;""="","Kosong","Belum terisi"),IF(IFERROR(--(INDEX('Reguler Class Availability'!$G:$G,AR14)&amp;""),0)/IFERROR(--(INDEX('Reguler Class Availability'!$F:$F,AR14)&amp;""),0)&gt;=0.6,"Tinggi","Sebagian"))))))</f>
        <v>Belum terisi</v>
      </c>
      <c r="BA14" s="0" t="str">
        <f aca="false">IF(AS14="","",IF(AND(IFERROR(--(INDEX('Reguler Class Availability'!$F:$F,AS14)&amp;""),0)=0,IFERROR(--(INDEX('Reguler Class Availability'!$G:$G,AS14)&amp;""),0)=0),IF(OR(INDEX('Reguler Class Availability'!$B:$B,AS14)&amp;""&lt;&gt;"",INDEX('Reguler Class Availability'!$I:$I,AS14)&amp;""&lt;&gt;""),"Tutup","Tidak dibuka"),IF(IFERROR(--(INDEX('Reguler Class Availability'!$G:$G,AS14)&amp;""),0)&gt;IFERROR(--(INDEX('Reguler Class Availability'!$F:$F,AS14)&amp;""),0),"Lebih",IF(IFERROR(--(INDEX('Reguler Class Availability'!$G:$G,AS14)&amp;""),0)=IFERROR(--(INDEX('Reguler Class Availability'!$F:$F,AS14)&amp;""),0),"Penuh",IF(IFERROR(--(INDEX('Reguler Class Availability'!$G:$G,AS14)&amp;""),0)=0,IF(INDEX('Reguler Class Availability'!$B:$B,AS14)&amp;""="","Kosong","Belum terisi"),IF(IFERROR(--(INDEX('Reguler Class Availability'!$G:$G,AS14)&amp;""),0)/IFERROR(--(INDEX('Reguler Class Availability'!$F:$F,AS14)&amp;""),0)&gt;=0.6,"Tinggi","Sebagian"))))))</f>
        <v>Sebagian</v>
      </c>
      <c r="BB14" s="0" t="str">
        <f aca="false">IF(AT14="","",IF(AND(IFERROR(--(INDEX('Reguler Class Availability'!$F:$F,AT14)&amp;""),0)=0,IFERROR(--(INDEX('Reguler Class Availability'!$G:$G,AT14)&amp;""),0)=0),IF(OR(INDEX('Reguler Class Availability'!$B:$B,AT14)&amp;""&lt;&gt;"",INDEX('Reguler Class Availability'!$I:$I,AT14)&amp;""&lt;&gt;""),"Tutup","Tidak dibuka"),IF(IFERROR(--(INDEX('Reguler Class Availability'!$G:$G,AT14)&amp;""),0)&gt;IFERROR(--(INDEX('Reguler Class Availability'!$F:$F,AT14)&amp;""),0),"Lebih",IF(IFERROR(--(INDEX('Reguler Class Availability'!$G:$G,AT14)&amp;""),0)=IFERROR(--(INDEX('Reguler Class Availability'!$F:$F,AT14)&amp;""),0),"Penuh",IF(IFERROR(--(INDEX('Reguler Class Availability'!$G:$G,AT14)&amp;""),0)=0,IF(INDEX('Reguler Class Availability'!$B:$B,AT14)&amp;""="","Kosong","Belum terisi"),IF(IFERROR(--(INDEX('Reguler Class Availability'!$G:$G,AT14)&amp;""),0)/IFERROR(--(INDEX('Reguler Class Availability'!$F:$F,AT14)&amp;""),0)&gt;=0.6,"Tinggi","Sebagian"))))))</f>
        <v>Belum terisi</v>
      </c>
      <c r="BD14" s="30" t="s">
        <v>121</v>
      </c>
      <c r="BE14" s="30" t="n">
        <f aca="false">IF(COUNTIFS('Reguler Class Availability'!$L:$L,$B$4&amp;"|- Lane 1 - *|"&amp;BD14)&gt;0,1,0)</f>
        <v>0</v>
      </c>
      <c r="BF14" s="30" t="n">
        <f aca="false">BE14+BF13</f>
        <v>3</v>
      </c>
    </row>
    <row r="15" customFormat="false" ht="39.75" hidden="false" customHeight="true" outlineLevel="0" collapsed="false">
      <c r="A15" s="66" t="str">
        <f aca="false">IFERROR(INDEX($BD$2:$BD$61,MATCH(2,$BF$2:$BF$61,0)),"")</f>
        <v>08:00</v>
      </c>
      <c r="B15" s="67" t="str">
        <f aca="false">IF(AN15="","",IF(AV15="Tidak dibuka","–",IF(INDEX('Reguler Class Availability'!$B:$B,AN15)&amp;""="","Kosong",PROPER(INDEX('Reguler Class Availability'!$B:$B,AN15)&amp;""))&amp;"  "&amp;IFERROR(--(INDEX('Reguler Class Availability'!$G:$G,AN15)&amp;""),0)&amp;"/"&amp;IFERROR(--(INDEX('Reguler Class Availability'!$F:$F,AN15)&amp;""),0)&amp;IF(IFERROR(--(INDEX('Reguler Class Availability'!$F:$F,AN15)&amp;""),0)&gt;0,"  ("&amp;TEXT(IFERROR(--(INDEX('Reguler Class Availability'!$G:$G,AN15)&amp;""),0)/IFERROR(--(INDEX('Reguler Class Availability'!$F:$F,AN15)&amp;""),0),"0%")&amp;")","")&amp;CHAR(10)&amp;IF(INDEX('Reguler Class Availability'!$I:$I,AN15)&amp;""="","coach: –",PROPER(INDEX('Reguler Class Availability'!$I:$I,AN15)&amp;""))&amp;IF(INDEX('Reguler Class Availability'!$J:$J,AN15)&amp;""="","",CHAR(10)&amp;"asst: "&amp;PROPER(INDEX('Reguler Class Availability'!$J:$J,AN15)&amp;""))))</f>
        <v>Baby  0/5  (0%)
coach: –</v>
      </c>
      <c r="C15" s="67" t="str">
        <f aca="false">IF(AO15="","",IF(AW15="Tidak dibuka","–",IF(INDEX('Reguler Class Availability'!$B:$B,AO15)&amp;""="","Kosong",PROPER(INDEX('Reguler Class Availability'!$B:$B,AO15)&amp;""))&amp;"  "&amp;IFERROR(--(INDEX('Reguler Class Availability'!$G:$G,AO15)&amp;""),0)&amp;"/"&amp;IFERROR(--(INDEX('Reguler Class Availability'!$F:$F,AO15)&amp;""),0)&amp;IF(IFERROR(--(INDEX('Reguler Class Availability'!$F:$F,AO15)&amp;""),0)&gt;0,"  ("&amp;TEXT(IFERROR(--(INDEX('Reguler Class Availability'!$G:$G,AO15)&amp;""),0)/IFERROR(--(INDEX('Reguler Class Availability'!$F:$F,AO15)&amp;""),0),"0%")&amp;")","")&amp;CHAR(10)&amp;IF(INDEX('Reguler Class Availability'!$I:$I,AO15)&amp;""="","coach: –",PROPER(INDEX('Reguler Class Availability'!$I:$I,AO15)&amp;""))&amp;IF(INDEX('Reguler Class Availability'!$J:$J,AO15)&amp;""="","",CHAR(10)&amp;"asst: "&amp;PROPER(INDEX('Reguler Class Availability'!$J:$J,AO15)&amp;""))))</f>
        <v>Baby  0/5  (0%)
coach: –</v>
      </c>
      <c r="D15" s="67" t="str">
        <f aca="false">IF(AP15="","",IF(AX15="Tidak dibuka","–",IF(INDEX('Reguler Class Availability'!$B:$B,AP15)&amp;""="","Kosong",PROPER(INDEX('Reguler Class Availability'!$B:$B,AP15)&amp;""))&amp;"  "&amp;IFERROR(--(INDEX('Reguler Class Availability'!$G:$G,AP15)&amp;""),0)&amp;"/"&amp;IFERROR(--(INDEX('Reguler Class Availability'!$F:$F,AP15)&amp;""),0)&amp;IF(IFERROR(--(INDEX('Reguler Class Availability'!$F:$F,AP15)&amp;""),0)&gt;0,"  ("&amp;TEXT(IFERROR(--(INDEX('Reguler Class Availability'!$G:$G,AP15)&amp;""),0)/IFERROR(--(INDEX('Reguler Class Availability'!$F:$F,AP15)&amp;""),0),"0%")&amp;")","")&amp;CHAR(10)&amp;IF(INDEX('Reguler Class Availability'!$I:$I,AP15)&amp;""="","coach: –",PROPER(INDEX('Reguler Class Availability'!$I:$I,AP15)&amp;""))&amp;IF(INDEX('Reguler Class Availability'!$J:$J,AP15)&amp;""="","",CHAR(10)&amp;"asst: "&amp;PROPER(INDEX('Reguler Class Availability'!$J:$J,AP15)&amp;""))))</f>
        <v>Baby  0/5  (0%)
coach: –</v>
      </c>
      <c r="E15" s="67" t="str">
        <f aca="false">IF(AQ15="","",IF(AY15="Tidak dibuka","–",IF(INDEX('Reguler Class Availability'!$B:$B,AQ15)&amp;""="","Kosong",PROPER(INDEX('Reguler Class Availability'!$B:$B,AQ15)&amp;""))&amp;"  "&amp;IFERROR(--(INDEX('Reguler Class Availability'!$G:$G,AQ15)&amp;""),0)&amp;"/"&amp;IFERROR(--(INDEX('Reguler Class Availability'!$F:$F,AQ15)&amp;""),0)&amp;IF(IFERROR(--(INDEX('Reguler Class Availability'!$F:$F,AQ15)&amp;""),0)&gt;0,"  ("&amp;TEXT(IFERROR(--(INDEX('Reguler Class Availability'!$G:$G,AQ15)&amp;""),0)/IFERROR(--(INDEX('Reguler Class Availability'!$F:$F,AQ15)&amp;""),0),"0%")&amp;")","")&amp;CHAR(10)&amp;IF(INDEX('Reguler Class Availability'!$I:$I,AQ15)&amp;""="","coach: –",PROPER(INDEX('Reguler Class Availability'!$I:$I,AQ15)&amp;""))&amp;IF(INDEX('Reguler Class Availability'!$J:$J,AQ15)&amp;""="","",CHAR(10)&amp;"asst: "&amp;PROPER(INDEX('Reguler Class Availability'!$J:$J,AQ15)&amp;""))))</f>
        <v>Baby  0/5  (0%)
coach: –</v>
      </c>
      <c r="F15" s="67" t="str">
        <f aca="false">IF(AR15="","",IF(AZ15="Tidak dibuka","–",IF(INDEX('Reguler Class Availability'!$B:$B,AR15)&amp;""="","Kosong",PROPER(INDEX('Reguler Class Availability'!$B:$B,AR15)&amp;""))&amp;"  "&amp;IFERROR(--(INDEX('Reguler Class Availability'!$G:$G,AR15)&amp;""),0)&amp;"/"&amp;IFERROR(--(INDEX('Reguler Class Availability'!$F:$F,AR15)&amp;""),0)&amp;IF(IFERROR(--(INDEX('Reguler Class Availability'!$F:$F,AR15)&amp;""),0)&gt;0,"  ("&amp;TEXT(IFERROR(--(INDEX('Reguler Class Availability'!$G:$G,AR15)&amp;""),0)/IFERROR(--(INDEX('Reguler Class Availability'!$F:$F,AR15)&amp;""),0),"0%")&amp;")","")&amp;CHAR(10)&amp;IF(INDEX('Reguler Class Availability'!$I:$I,AR15)&amp;""="","coach: –",PROPER(INDEX('Reguler Class Availability'!$I:$I,AR15)&amp;""))&amp;IF(INDEX('Reguler Class Availability'!$J:$J,AR15)&amp;""="","",CHAR(10)&amp;"asst: "&amp;PROPER(INDEX('Reguler Class Availability'!$J:$J,AR15)&amp;""))))</f>
        <v>Baby  0/5  (0%)
coach: –</v>
      </c>
      <c r="G15" s="67" t="str">
        <f aca="false">IF(AS15="","",IF(BA15="Tidak dibuka","–",IF(INDEX('Reguler Class Availability'!$B:$B,AS15)&amp;""="","Kosong",PROPER(INDEX('Reguler Class Availability'!$B:$B,AS15)&amp;""))&amp;"  "&amp;IFERROR(--(INDEX('Reguler Class Availability'!$G:$G,AS15)&amp;""),0)&amp;"/"&amp;IFERROR(--(INDEX('Reguler Class Availability'!$F:$F,AS15)&amp;""),0)&amp;IF(IFERROR(--(INDEX('Reguler Class Availability'!$F:$F,AS15)&amp;""),0)&gt;0,"  ("&amp;TEXT(IFERROR(--(INDEX('Reguler Class Availability'!$G:$G,AS15)&amp;""),0)/IFERROR(--(INDEX('Reguler Class Availability'!$F:$F,AS15)&amp;""),0),"0%")&amp;")","")&amp;CHAR(10)&amp;IF(INDEX('Reguler Class Availability'!$I:$I,AS15)&amp;""="","coach: –",PROPER(INDEX('Reguler Class Availability'!$I:$I,AS15)&amp;""))&amp;IF(INDEX('Reguler Class Availability'!$J:$J,AS15)&amp;""="","",CHAR(10)&amp;"asst: "&amp;PROPER(INDEX('Reguler Class Availability'!$J:$J,AS15)&amp;""))))</f>
        <v>Baby  0/5  (0%)
coach: –</v>
      </c>
      <c r="H15" s="67" t="str">
        <f aca="false">IF(AT15="","",IF(BB15="Tidak dibuka","–",IF(INDEX('Reguler Class Availability'!$B:$B,AT15)&amp;""="","Kosong",PROPER(INDEX('Reguler Class Availability'!$B:$B,AT15)&amp;""))&amp;"  "&amp;IFERROR(--(INDEX('Reguler Class Availability'!$G:$G,AT15)&amp;""),0)&amp;"/"&amp;IFERROR(--(INDEX('Reguler Class Availability'!$F:$F,AT15)&amp;""),0)&amp;IF(IFERROR(--(INDEX('Reguler Class Availability'!$F:$F,AT15)&amp;""),0)&gt;0,"  ("&amp;TEXT(IFERROR(--(INDEX('Reguler Class Availability'!$G:$G,AT15)&amp;""),0)/IFERROR(--(INDEX('Reguler Class Availability'!$F:$F,AT15)&amp;""),0),"0%")&amp;")","")&amp;CHAR(10)&amp;IF(INDEX('Reguler Class Availability'!$I:$I,AT15)&amp;""="","coach: –",PROPER(INDEX('Reguler Class Availability'!$I:$I,AT15)&amp;""))&amp;IF(INDEX('Reguler Class Availability'!$J:$J,AT15)&amp;""="","",CHAR(10)&amp;"asst: "&amp;PROPER(INDEX('Reguler Class Availability'!$J:$J,AT15)&amp;""))))</f>
        <v>Baby  0/5  (0%)
coach: –</v>
      </c>
      <c r="AN15" s="30" t="n">
        <f aca="false">IF($A15="","",IFERROR(MATCH($B$4&amp;"|- Lane 1 - "&amp;B$13&amp;"|"&amp;$A15,'Reguler Class Availability'!$L:$L,0),""))</f>
        <v>2410</v>
      </c>
      <c r="AO15" s="30" t="n">
        <f aca="false">IF($A15="","",IFERROR(MATCH($B$4&amp;"|- Lane 1 - "&amp;C$13&amp;"|"&amp;$A15,'Reguler Class Availability'!$L:$L,0),""))</f>
        <v>2422</v>
      </c>
      <c r="AP15" s="30" t="n">
        <f aca="false">IF($A15="","",IFERROR(MATCH($B$4&amp;"|- Lane 1 - "&amp;D$13&amp;"|"&amp;$A15,'Reguler Class Availability'!$L:$L,0),""))</f>
        <v>2434</v>
      </c>
      <c r="AQ15" s="30" t="n">
        <f aca="false">IF($A15="","",IFERROR(MATCH($B$4&amp;"|- Lane 1 - "&amp;E$13&amp;"|"&amp;$A15,'Reguler Class Availability'!$L:$L,0),""))</f>
        <v>2446</v>
      </c>
      <c r="AR15" s="30" t="n">
        <f aca="false">IF($A15="","",IFERROR(MATCH($B$4&amp;"|- Lane 1 - "&amp;F$13&amp;"|"&amp;$A15,'Reguler Class Availability'!$L:$L,0),""))</f>
        <v>2458</v>
      </c>
      <c r="AS15" s="30" t="n">
        <f aca="false">IF($A15="","",IFERROR(MATCH($B$4&amp;"|- Lane 1 - "&amp;G$13&amp;"|"&amp;$A15,'Reguler Class Availability'!$L:$L,0),""))</f>
        <v>2470</v>
      </c>
      <c r="AT15" s="30" t="n">
        <f aca="false">IF($A15="","",IFERROR(MATCH($B$4&amp;"|- Lane 1 - "&amp;H$13&amp;"|"&amp;$A15,'Reguler Class Availability'!$L:$L,0),""))</f>
        <v>2482</v>
      </c>
      <c r="AV15" s="0" t="str">
        <f aca="false">IF(AN15="","",IF(AND(IFERROR(--(INDEX('Reguler Class Availability'!$F:$F,AN15)&amp;""),0)=0,IFERROR(--(INDEX('Reguler Class Availability'!$G:$G,AN15)&amp;""),0)=0),IF(OR(INDEX('Reguler Class Availability'!$B:$B,AN15)&amp;""&lt;&gt;"",INDEX('Reguler Class Availability'!$I:$I,AN15)&amp;""&lt;&gt;""),"Tutup","Tidak dibuka"),IF(IFERROR(--(INDEX('Reguler Class Availability'!$G:$G,AN15)&amp;""),0)&gt;IFERROR(--(INDEX('Reguler Class Availability'!$F:$F,AN15)&amp;""),0),"Lebih",IF(IFERROR(--(INDEX('Reguler Class Availability'!$G:$G,AN15)&amp;""),0)=IFERROR(--(INDEX('Reguler Class Availability'!$F:$F,AN15)&amp;""),0),"Penuh",IF(IFERROR(--(INDEX('Reguler Class Availability'!$G:$G,AN15)&amp;""),0)=0,IF(INDEX('Reguler Class Availability'!$B:$B,AN15)&amp;""="","Kosong","Belum terisi"),IF(IFERROR(--(INDEX('Reguler Class Availability'!$G:$G,AN15)&amp;""),0)/IFERROR(--(INDEX('Reguler Class Availability'!$F:$F,AN15)&amp;""),0)&gt;=0.6,"Tinggi","Sebagian"))))))</f>
        <v>Belum terisi</v>
      </c>
      <c r="AW15" s="0" t="str">
        <f aca="false">IF(AO15="","",IF(AND(IFERROR(--(INDEX('Reguler Class Availability'!$F:$F,AO15)&amp;""),0)=0,IFERROR(--(INDEX('Reguler Class Availability'!$G:$G,AO15)&amp;""),0)=0),IF(OR(INDEX('Reguler Class Availability'!$B:$B,AO15)&amp;""&lt;&gt;"",INDEX('Reguler Class Availability'!$I:$I,AO15)&amp;""&lt;&gt;""),"Tutup","Tidak dibuka"),IF(IFERROR(--(INDEX('Reguler Class Availability'!$G:$G,AO15)&amp;""),0)&gt;IFERROR(--(INDEX('Reguler Class Availability'!$F:$F,AO15)&amp;""),0),"Lebih",IF(IFERROR(--(INDEX('Reguler Class Availability'!$G:$G,AO15)&amp;""),0)=IFERROR(--(INDEX('Reguler Class Availability'!$F:$F,AO15)&amp;""),0),"Penuh",IF(IFERROR(--(INDEX('Reguler Class Availability'!$G:$G,AO15)&amp;""),0)=0,IF(INDEX('Reguler Class Availability'!$B:$B,AO15)&amp;""="","Kosong","Belum terisi"),IF(IFERROR(--(INDEX('Reguler Class Availability'!$G:$G,AO15)&amp;""),0)/IFERROR(--(INDEX('Reguler Class Availability'!$F:$F,AO15)&amp;""),0)&gt;=0.6,"Tinggi","Sebagian"))))))</f>
        <v>Belum terisi</v>
      </c>
      <c r="AX15" s="0" t="str">
        <f aca="false">IF(AP15="","",IF(AND(IFERROR(--(INDEX('Reguler Class Availability'!$F:$F,AP15)&amp;""),0)=0,IFERROR(--(INDEX('Reguler Class Availability'!$G:$G,AP15)&amp;""),0)=0),IF(OR(INDEX('Reguler Class Availability'!$B:$B,AP15)&amp;""&lt;&gt;"",INDEX('Reguler Class Availability'!$I:$I,AP15)&amp;""&lt;&gt;""),"Tutup","Tidak dibuka"),IF(IFERROR(--(INDEX('Reguler Class Availability'!$G:$G,AP15)&amp;""),0)&gt;IFERROR(--(INDEX('Reguler Class Availability'!$F:$F,AP15)&amp;""),0),"Lebih",IF(IFERROR(--(INDEX('Reguler Class Availability'!$G:$G,AP15)&amp;""),0)=IFERROR(--(INDEX('Reguler Class Availability'!$F:$F,AP15)&amp;""),0),"Penuh",IF(IFERROR(--(INDEX('Reguler Class Availability'!$G:$G,AP15)&amp;""),0)=0,IF(INDEX('Reguler Class Availability'!$B:$B,AP15)&amp;""="","Kosong","Belum terisi"),IF(IFERROR(--(INDEX('Reguler Class Availability'!$G:$G,AP15)&amp;""),0)/IFERROR(--(INDEX('Reguler Class Availability'!$F:$F,AP15)&amp;""),0)&gt;=0.6,"Tinggi","Sebagian"))))))</f>
        <v>Belum terisi</v>
      </c>
      <c r="AY15" s="0" t="str">
        <f aca="false">IF(AQ15="","",IF(AND(IFERROR(--(INDEX('Reguler Class Availability'!$F:$F,AQ15)&amp;""),0)=0,IFERROR(--(INDEX('Reguler Class Availability'!$G:$G,AQ15)&amp;""),0)=0),IF(OR(INDEX('Reguler Class Availability'!$B:$B,AQ15)&amp;""&lt;&gt;"",INDEX('Reguler Class Availability'!$I:$I,AQ15)&amp;""&lt;&gt;""),"Tutup","Tidak dibuka"),IF(IFERROR(--(INDEX('Reguler Class Availability'!$G:$G,AQ15)&amp;""),0)&gt;IFERROR(--(INDEX('Reguler Class Availability'!$F:$F,AQ15)&amp;""),0),"Lebih",IF(IFERROR(--(INDEX('Reguler Class Availability'!$G:$G,AQ15)&amp;""),0)=IFERROR(--(INDEX('Reguler Class Availability'!$F:$F,AQ15)&amp;""),0),"Penuh",IF(IFERROR(--(INDEX('Reguler Class Availability'!$G:$G,AQ15)&amp;""),0)=0,IF(INDEX('Reguler Class Availability'!$B:$B,AQ15)&amp;""="","Kosong","Belum terisi"),IF(IFERROR(--(INDEX('Reguler Class Availability'!$G:$G,AQ15)&amp;""),0)/IFERROR(--(INDEX('Reguler Class Availability'!$F:$F,AQ15)&amp;""),0)&gt;=0.6,"Tinggi","Sebagian"))))))</f>
        <v>Belum terisi</v>
      </c>
      <c r="AZ15" s="0" t="str">
        <f aca="false">IF(AR15="","",IF(AND(IFERROR(--(INDEX('Reguler Class Availability'!$F:$F,AR15)&amp;""),0)=0,IFERROR(--(INDEX('Reguler Class Availability'!$G:$G,AR15)&amp;""),0)=0),IF(OR(INDEX('Reguler Class Availability'!$B:$B,AR15)&amp;""&lt;&gt;"",INDEX('Reguler Class Availability'!$I:$I,AR15)&amp;""&lt;&gt;""),"Tutup","Tidak dibuka"),IF(IFERROR(--(INDEX('Reguler Class Availability'!$G:$G,AR15)&amp;""),0)&gt;IFERROR(--(INDEX('Reguler Class Availability'!$F:$F,AR15)&amp;""),0),"Lebih",IF(IFERROR(--(INDEX('Reguler Class Availability'!$G:$G,AR15)&amp;""),0)=IFERROR(--(INDEX('Reguler Class Availability'!$F:$F,AR15)&amp;""),0),"Penuh",IF(IFERROR(--(INDEX('Reguler Class Availability'!$G:$G,AR15)&amp;""),0)=0,IF(INDEX('Reguler Class Availability'!$B:$B,AR15)&amp;""="","Kosong","Belum terisi"),IF(IFERROR(--(INDEX('Reguler Class Availability'!$G:$G,AR15)&amp;""),0)/IFERROR(--(INDEX('Reguler Class Availability'!$F:$F,AR15)&amp;""),0)&gt;=0.6,"Tinggi","Sebagian"))))))</f>
        <v>Belum terisi</v>
      </c>
      <c r="BA15" s="0" t="str">
        <f aca="false">IF(AS15="","",IF(AND(IFERROR(--(INDEX('Reguler Class Availability'!$F:$F,AS15)&amp;""),0)=0,IFERROR(--(INDEX('Reguler Class Availability'!$G:$G,AS15)&amp;""),0)=0),IF(OR(INDEX('Reguler Class Availability'!$B:$B,AS15)&amp;""&lt;&gt;"",INDEX('Reguler Class Availability'!$I:$I,AS15)&amp;""&lt;&gt;""),"Tutup","Tidak dibuka"),IF(IFERROR(--(INDEX('Reguler Class Availability'!$G:$G,AS15)&amp;""),0)&gt;IFERROR(--(INDEX('Reguler Class Availability'!$F:$F,AS15)&amp;""),0),"Lebih",IF(IFERROR(--(INDEX('Reguler Class Availability'!$G:$G,AS15)&amp;""),0)=IFERROR(--(INDEX('Reguler Class Availability'!$F:$F,AS15)&amp;""),0),"Penuh",IF(IFERROR(--(INDEX('Reguler Class Availability'!$G:$G,AS15)&amp;""),0)=0,IF(INDEX('Reguler Class Availability'!$B:$B,AS15)&amp;""="","Kosong","Belum terisi"),IF(IFERROR(--(INDEX('Reguler Class Availability'!$G:$G,AS15)&amp;""),0)/IFERROR(--(INDEX('Reguler Class Availability'!$F:$F,AS15)&amp;""),0)&gt;=0.6,"Tinggi","Sebagian"))))))</f>
        <v>Belum terisi</v>
      </c>
      <c r="BB15" s="0" t="str">
        <f aca="false">IF(AT15="","",IF(AND(IFERROR(--(INDEX('Reguler Class Availability'!$F:$F,AT15)&amp;""),0)=0,IFERROR(--(INDEX('Reguler Class Availability'!$G:$G,AT15)&amp;""),0)=0),IF(OR(INDEX('Reguler Class Availability'!$B:$B,AT15)&amp;""&lt;&gt;"",INDEX('Reguler Class Availability'!$I:$I,AT15)&amp;""&lt;&gt;""),"Tutup","Tidak dibuka"),IF(IFERROR(--(INDEX('Reguler Class Availability'!$G:$G,AT15)&amp;""),0)&gt;IFERROR(--(INDEX('Reguler Class Availability'!$F:$F,AT15)&amp;""),0),"Lebih",IF(IFERROR(--(INDEX('Reguler Class Availability'!$G:$G,AT15)&amp;""),0)=IFERROR(--(INDEX('Reguler Class Availability'!$F:$F,AT15)&amp;""),0),"Penuh",IF(IFERROR(--(INDEX('Reguler Class Availability'!$G:$G,AT15)&amp;""),0)=0,IF(INDEX('Reguler Class Availability'!$B:$B,AT15)&amp;""="","Kosong","Belum terisi"),IF(IFERROR(--(INDEX('Reguler Class Availability'!$G:$G,AT15)&amp;""),0)/IFERROR(--(INDEX('Reguler Class Availability'!$F:$F,AT15)&amp;""),0)&gt;=0.6,"Tinggi","Sebagian"))))))</f>
        <v>Belum terisi</v>
      </c>
      <c r="BD15" s="30" t="s">
        <v>122</v>
      </c>
      <c r="BE15" s="30" t="n">
        <f aca="false">IF(COUNTIFS('Reguler Class Availability'!$L:$L,$B$4&amp;"|- Lane 1 - *|"&amp;BD15)&gt;0,1,0)</f>
        <v>0</v>
      </c>
      <c r="BF15" s="30" t="n">
        <f aca="false">BE15+BF14</f>
        <v>3</v>
      </c>
    </row>
    <row r="16" customFormat="false" ht="39.75" hidden="false" customHeight="true" outlineLevel="0" collapsed="false">
      <c r="A16" s="66" t="str">
        <f aca="false">IFERROR(INDEX($BD$2:$BD$61,MATCH(3,$BF$2:$BF$61,0)),"")</f>
        <v>08:45</v>
      </c>
      <c r="B16" s="67" t="str">
        <f aca="false">IF(AN16="","",IF(AV16="Tidak dibuka","–",IF(INDEX('Reguler Class Availability'!$B:$B,AN16)&amp;""="","Kosong",PROPER(INDEX('Reguler Class Availability'!$B:$B,AN16)&amp;""))&amp;"  "&amp;IFERROR(--(INDEX('Reguler Class Availability'!$G:$G,AN16)&amp;""),0)&amp;"/"&amp;IFERROR(--(INDEX('Reguler Class Availability'!$F:$F,AN16)&amp;""),0)&amp;IF(IFERROR(--(INDEX('Reguler Class Availability'!$F:$F,AN16)&amp;""),0)&gt;0,"  ("&amp;TEXT(IFERROR(--(INDEX('Reguler Class Availability'!$G:$G,AN16)&amp;""),0)/IFERROR(--(INDEX('Reguler Class Availability'!$F:$F,AN16)&amp;""),0),"0%")&amp;")","")&amp;CHAR(10)&amp;IF(INDEX('Reguler Class Availability'!$I:$I,AN16)&amp;""="","coach: –",PROPER(INDEX('Reguler Class Availability'!$I:$I,AN16)&amp;""))&amp;IF(INDEX('Reguler Class Availability'!$J:$J,AN16)&amp;""="","",CHAR(10)&amp;"asst: "&amp;PROPER(INDEX('Reguler Class Availability'!$J:$J,AN16)&amp;""))))</f>
        <v>Baby  0/5  (0%)
coach: –</v>
      </c>
      <c r="C16" s="67" t="str">
        <f aca="false">IF(AO16="","",IF(AW16="Tidak dibuka","–",IF(INDEX('Reguler Class Availability'!$B:$B,AO16)&amp;""="","Kosong",PROPER(INDEX('Reguler Class Availability'!$B:$B,AO16)&amp;""))&amp;"  "&amp;IFERROR(--(INDEX('Reguler Class Availability'!$G:$G,AO16)&amp;""),0)&amp;"/"&amp;IFERROR(--(INDEX('Reguler Class Availability'!$F:$F,AO16)&amp;""),0)&amp;IF(IFERROR(--(INDEX('Reguler Class Availability'!$F:$F,AO16)&amp;""),0)&gt;0,"  ("&amp;TEXT(IFERROR(--(INDEX('Reguler Class Availability'!$G:$G,AO16)&amp;""),0)/IFERROR(--(INDEX('Reguler Class Availability'!$F:$F,AO16)&amp;""),0),"0%")&amp;")","")&amp;CHAR(10)&amp;IF(INDEX('Reguler Class Availability'!$I:$I,AO16)&amp;""="","coach: –",PROPER(INDEX('Reguler Class Availability'!$I:$I,AO16)&amp;""))&amp;IF(INDEX('Reguler Class Availability'!$J:$J,AO16)&amp;""="","",CHAR(10)&amp;"asst: "&amp;PROPER(INDEX('Reguler Class Availability'!$J:$J,AO16)&amp;""))))</f>
        <v>Baby  0/5  (0%)
coach: –</v>
      </c>
      <c r="D16" s="67" t="str">
        <f aca="false">IF(AP16="","",IF(AX16="Tidak dibuka","–",IF(INDEX('Reguler Class Availability'!$B:$B,AP16)&amp;""="","Kosong",PROPER(INDEX('Reguler Class Availability'!$B:$B,AP16)&amp;""))&amp;"  "&amp;IFERROR(--(INDEX('Reguler Class Availability'!$G:$G,AP16)&amp;""),0)&amp;"/"&amp;IFERROR(--(INDEX('Reguler Class Availability'!$F:$F,AP16)&amp;""),0)&amp;IF(IFERROR(--(INDEX('Reguler Class Availability'!$F:$F,AP16)&amp;""),0)&gt;0,"  ("&amp;TEXT(IFERROR(--(INDEX('Reguler Class Availability'!$G:$G,AP16)&amp;""),0)/IFERROR(--(INDEX('Reguler Class Availability'!$F:$F,AP16)&amp;""),0),"0%")&amp;")","")&amp;CHAR(10)&amp;IF(INDEX('Reguler Class Availability'!$I:$I,AP16)&amp;""="","coach: –",PROPER(INDEX('Reguler Class Availability'!$I:$I,AP16)&amp;""))&amp;IF(INDEX('Reguler Class Availability'!$J:$J,AP16)&amp;""="","",CHAR(10)&amp;"asst: "&amp;PROPER(INDEX('Reguler Class Availability'!$J:$J,AP16)&amp;""))))</f>
        <v>Baby  0/5  (0%)
coach: –</v>
      </c>
      <c r="E16" s="67" t="str">
        <f aca="false">IF(AQ16="","",IF(AY16="Tidak dibuka","–",IF(INDEX('Reguler Class Availability'!$B:$B,AQ16)&amp;""="","Kosong",PROPER(INDEX('Reguler Class Availability'!$B:$B,AQ16)&amp;""))&amp;"  "&amp;IFERROR(--(INDEX('Reguler Class Availability'!$G:$G,AQ16)&amp;""),0)&amp;"/"&amp;IFERROR(--(INDEX('Reguler Class Availability'!$F:$F,AQ16)&amp;""),0)&amp;IF(IFERROR(--(INDEX('Reguler Class Availability'!$F:$F,AQ16)&amp;""),0)&gt;0,"  ("&amp;TEXT(IFERROR(--(INDEX('Reguler Class Availability'!$G:$G,AQ16)&amp;""),0)/IFERROR(--(INDEX('Reguler Class Availability'!$F:$F,AQ16)&amp;""),0),"0%")&amp;")","")&amp;CHAR(10)&amp;IF(INDEX('Reguler Class Availability'!$I:$I,AQ16)&amp;""="","coach: –",PROPER(INDEX('Reguler Class Availability'!$I:$I,AQ16)&amp;""))&amp;IF(INDEX('Reguler Class Availability'!$J:$J,AQ16)&amp;""="","",CHAR(10)&amp;"asst: "&amp;PROPER(INDEX('Reguler Class Availability'!$J:$J,AQ16)&amp;""))))</f>
        <v>Baby  0/5  (0%)
coach: –</v>
      </c>
      <c r="F16" s="67" t="str">
        <f aca="false">IF(AR16="","",IF(AZ16="Tidak dibuka","–",IF(INDEX('Reguler Class Availability'!$B:$B,AR16)&amp;""="","Kosong",PROPER(INDEX('Reguler Class Availability'!$B:$B,AR16)&amp;""))&amp;"  "&amp;IFERROR(--(INDEX('Reguler Class Availability'!$G:$G,AR16)&amp;""),0)&amp;"/"&amp;IFERROR(--(INDEX('Reguler Class Availability'!$F:$F,AR16)&amp;""),0)&amp;IF(IFERROR(--(INDEX('Reguler Class Availability'!$F:$F,AR16)&amp;""),0)&gt;0,"  ("&amp;TEXT(IFERROR(--(INDEX('Reguler Class Availability'!$G:$G,AR16)&amp;""),0)/IFERROR(--(INDEX('Reguler Class Availability'!$F:$F,AR16)&amp;""),0),"0%")&amp;")","")&amp;CHAR(10)&amp;IF(INDEX('Reguler Class Availability'!$I:$I,AR16)&amp;""="","coach: –",PROPER(INDEX('Reguler Class Availability'!$I:$I,AR16)&amp;""))&amp;IF(INDEX('Reguler Class Availability'!$J:$J,AR16)&amp;""="","",CHAR(10)&amp;"asst: "&amp;PROPER(INDEX('Reguler Class Availability'!$J:$J,AR16)&amp;""))))</f>
        <v>Baby  1/5  (20%)
Rizky</v>
      </c>
      <c r="G16" s="67" t="str">
        <f aca="false">IF(AS16="","",IF(BA16="Tidak dibuka","–",IF(INDEX('Reguler Class Availability'!$B:$B,AS16)&amp;""="","Kosong",PROPER(INDEX('Reguler Class Availability'!$B:$B,AS16)&amp;""))&amp;"  "&amp;IFERROR(--(INDEX('Reguler Class Availability'!$G:$G,AS16)&amp;""),0)&amp;"/"&amp;IFERROR(--(INDEX('Reguler Class Availability'!$F:$F,AS16)&amp;""),0)&amp;IF(IFERROR(--(INDEX('Reguler Class Availability'!$F:$F,AS16)&amp;""),0)&gt;0,"  ("&amp;TEXT(IFERROR(--(INDEX('Reguler Class Availability'!$G:$G,AS16)&amp;""),0)/IFERROR(--(INDEX('Reguler Class Availability'!$F:$F,AS16)&amp;""),0),"0%")&amp;")","")&amp;CHAR(10)&amp;IF(INDEX('Reguler Class Availability'!$I:$I,AS16)&amp;""="","coach: –",PROPER(INDEX('Reguler Class Availability'!$I:$I,AS16)&amp;""))&amp;IF(INDEX('Reguler Class Availability'!$J:$J,AS16)&amp;""="","",CHAR(10)&amp;"asst: "&amp;PROPER(INDEX('Reguler Class Availability'!$J:$J,AS16)&amp;""))))</f>
        <v>Baby  1/5  (20%)
Shabrina</v>
      </c>
      <c r="H16" s="67" t="str">
        <f aca="false">IF(AT16="","",IF(BB16="Tidak dibuka","–",IF(INDEX('Reguler Class Availability'!$B:$B,AT16)&amp;""="","Kosong",PROPER(INDEX('Reguler Class Availability'!$B:$B,AT16)&amp;""))&amp;"  "&amp;IFERROR(--(INDEX('Reguler Class Availability'!$G:$G,AT16)&amp;""),0)&amp;"/"&amp;IFERROR(--(INDEX('Reguler Class Availability'!$F:$F,AT16)&amp;""),0)&amp;IF(IFERROR(--(INDEX('Reguler Class Availability'!$F:$F,AT16)&amp;""),0)&gt;0,"  ("&amp;TEXT(IFERROR(--(INDEX('Reguler Class Availability'!$G:$G,AT16)&amp;""),0)/IFERROR(--(INDEX('Reguler Class Availability'!$F:$F,AT16)&amp;""),0),"0%")&amp;")","")&amp;CHAR(10)&amp;IF(INDEX('Reguler Class Availability'!$I:$I,AT16)&amp;""="","coach: –",PROPER(INDEX('Reguler Class Availability'!$I:$I,AT16)&amp;""))&amp;IF(INDEX('Reguler Class Availability'!$J:$J,AT16)&amp;""="","",CHAR(10)&amp;"asst: "&amp;PROPER(INDEX('Reguler Class Availability'!$J:$J,AT16)&amp;""))))</f>
        <v>Baby  0/5  (0%)
coach: –</v>
      </c>
      <c r="AN16" s="30" t="n">
        <f aca="false">IF($A16="","",IFERROR(MATCH($B$4&amp;"|- Lane 1 - "&amp;B$13&amp;"|"&amp;$A16,'Reguler Class Availability'!$L:$L,0),""))</f>
        <v>2411</v>
      </c>
      <c r="AO16" s="30" t="n">
        <f aca="false">IF($A16="","",IFERROR(MATCH($B$4&amp;"|- Lane 1 - "&amp;C$13&amp;"|"&amp;$A16,'Reguler Class Availability'!$L:$L,0),""))</f>
        <v>2423</v>
      </c>
      <c r="AP16" s="30" t="n">
        <f aca="false">IF($A16="","",IFERROR(MATCH($B$4&amp;"|- Lane 1 - "&amp;D$13&amp;"|"&amp;$A16,'Reguler Class Availability'!$L:$L,0),""))</f>
        <v>2435</v>
      </c>
      <c r="AQ16" s="30" t="n">
        <f aca="false">IF($A16="","",IFERROR(MATCH($B$4&amp;"|- Lane 1 - "&amp;E$13&amp;"|"&amp;$A16,'Reguler Class Availability'!$L:$L,0),""))</f>
        <v>2447</v>
      </c>
      <c r="AR16" s="30" t="n">
        <f aca="false">IF($A16="","",IFERROR(MATCH($B$4&amp;"|- Lane 1 - "&amp;F$13&amp;"|"&amp;$A16,'Reguler Class Availability'!$L:$L,0),""))</f>
        <v>2459</v>
      </c>
      <c r="AS16" s="30" t="n">
        <f aca="false">IF($A16="","",IFERROR(MATCH($B$4&amp;"|- Lane 1 - "&amp;G$13&amp;"|"&amp;$A16,'Reguler Class Availability'!$L:$L,0),""))</f>
        <v>2471</v>
      </c>
      <c r="AT16" s="30" t="n">
        <f aca="false">IF($A16="","",IFERROR(MATCH($B$4&amp;"|- Lane 1 - "&amp;H$13&amp;"|"&amp;$A16,'Reguler Class Availability'!$L:$L,0),""))</f>
        <v>2483</v>
      </c>
      <c r="AV16" s="0" t="str">
        <f aca="false">IF(AN16="","",IF(AND(IFERROR(--(INDEX('Reguler Class Availability'!$F:$F,AN16)&amp;""),0)=0,IFERROR(--(INDEX('Reguler Class Availability'!$G:$G,AN16)&amp;""),0)=0),IF(OR(INDEX('Reguler Class Availability'!$B:$B,AN16)&amp;""&lt;&gt;"",INDEX('Reguler Class Availability'!$I:$I,AN16)&amp;""&lt;&gt;""),"Tutup","Tidak dibuka"),IF(IFERROR(--(INDEX('Reguler Class Availability'!$G:$G,AN16)&amp;""),0)&gt;IFERROR(--(INDEX('Reguler Class Availability'!$F:$F,AN16)&amp;""),0),"Lebih",IF(IFERROR(--(INDEX('Reguler Class Availability'!$G:$G,AN16)&amp;""),0)=IFERROR(--(INDEX('Reguler Class Availability'!$F:$F,AN16)&amp;""),0),"Penuh",IF(IFERROR(--(INDEX('Reguler Class Availability'!$G:$G,AN16)&amp;""),0)=0,IF(INDEX('Reguler Class Availability'!$B:$B,AN16)&amp;""="","Kosong","Belum terisi"),IF(IFERROR(--(INDEX('Reguler Class Availability'!$G:$G,AN16)&amp;""),0)/IFERROR(--(INDEX('Reguler Class Availability'!$F:$F,AN16)&amp;""),0)&gt;=0.6,"Tinggi","Sebagian"))))))</f>
        <v>Belum terisi</v>
      </c>
      <c r="AW16" s="0" t="str">
        <f aca="false">IF(AO16="","",IF(AND(IFERROR(--(INDEX('Reguler Class Availability'!$F:$F,AO16)&amp;""),0)=0,IFERROR(--(INDEX('Reguler Class Availability'!$G:$G,AO16)&amp;""),0)=0),IF(OR(INDEX('Reguler Class Availability'!$B:$B,AO16)&amp;""&lt;&gt;"",INDEX('Reguler Class Availability'!$I:$I,AO16)&amp;""&lt;&gt;""),"Tutup","Tidak dibuka"),IF(IFERROR(--(INDEX('Reguler Class Availability'!$G:$G,AO16)&amp;""),0)&gt;IFERROR(--(INDEX('Reguler Class Availability'!$F:$F,AO16)&amp;""),0),"Lebih",IF(IFERROR(--(INDEX('Reguler Class Availability'!$G:$G,AO16)&amp;""),0)=IFERROR(--(INDEX('Reguler Class Availability'!$F:$F,AO16)&amp;""),0),"Penuh",IF(IFERROR(--(INDEX('Reguler Class Availability'!$G:$G,AO16)&amp;""),0)=0,IF(INDEX('Reguler Class Availability'!$B:$B,AO16)&amp;""="","Kosong","Belum terisi"),IF(IFERROR(--(INDEX('Reguler Class Availability'!$G:$G,AO16)&amp;""),0)/IFERROR(--(INDEX('Reguler Class Availability'!$F:$F,AO16)&amp;""),0)&gt;=0.6,"Tinggi","Sebagian"))))))</f>
        <v>Belum terisi</v>
      </c>
      <c r="AX16" s="0" t="str">
        <f aca="false">IF(AP16="","",IF(AND(IFERROR(--(INDEX('Reguler Class Availability'!$F:$F,AP16)&amp;""),0)=0,IFERROR(--(INDEX('Reguler Class Availability'!$G:$G,AP16)&amp;""),0)=0),IF(OR(INDEX('Reguler Class Availability'!$B:$B,AP16)&amp;""&lt;&gt;"",INDEX('Reguler Class Availability'!$I:$I,AP16)&amp;""&lt;&gt;""),"Tutup","Tidak dibuka"),IF(IFERROR(--(INDEX('Reguler Class Availability'!$G:$G,AP16)&amp;""),0)&gt;IFERROR(--(INDEX('Reguler Class Availability'!$F:$F,AP16)&amp;""),0),"Lebih",IF(IFERROR(--(INDEX('Reguler Class Availability'!$G:$G,AP16)&amp;""),0)=IFERROR(--(INDEX('Reguler Class Availability'!$F:$F,AP16)&amp;""),0),"Penuh",IF(IFERROR(--(INDEX('Reguler Class Availability'!$G:$G,AP16)&amp;""),0)=0,IF(INDEX('Reguler Class Availability'!$B:$B,AP16)&amp;""="","Kosong","Belum terisi"),IF(IFERROR(--(INDEX('Reguler Class Availability'!$G:$G,AP16)&amp;""),0)/IFERROR(--(INDEX('Reguler Class Availability'!$F:$F,AP16)&amp;""),0)&gt;=0.6,"Tinggi","Sebagian"))))))</f>
        <v>Belum terisi</v>
      </c>
      <c r="AY16" s="0" t="str">
        <f aca="false">IF(AQ16="","",IF(AND(IFERROR(--(INDEX('Reguler Class Availability'!$F:$F,AQ16)&amp;""),0)=0,IFERROR(--(INDEX('Reguler Class Availability'!$G:$G,AQ16)&amp;""),0)=0),IF(OR(INDEX('Reguler Class Availability'!$B:$B,AQ16)&amp;""&lt;&gt;"",INDEX('Reguler Class Availability'!$I:$I,AQ16)&amp;""&lt;&gt;""),"Tutup","Tidak dibuka"),IF(IFERROR(--(INDEX('Reguler Class Availability'!$G:$G,AQ16)&amp;""),0)&gt;IFERROR(--(INDEX('Reguler Class Availability'!$F:$F,AQ16)&amp;""),0),"Lebih",IF(IFERROR(--(INDEX('Reguler Class Availability'!$G:$G,AQ16)&amp;""),0)=IFERROR(--(INDEX('Reguler Class Availability'!$F:$F,AQ16)&amp;""),0),"Penuh",IF(IFERROR(--(INDEX('Reguler Class Availability'!$G:$G,AQ16)&amp;""),0)=0,IF(INDEX('Reguler Class Availability'!$B:$B,AQ16)&amp;""="","Kosong","Belum terisi"),IF(IFERROR(--(INDEX('Reguler Class Availability'!$G:$G,AQ16)&amp;""),0)/IFERROR(--(INDEX('Reguler Class Availability'!$F:$F,AQ16)&amp;""),0)&gt;=0.6,"Tinggi","Sebagian"))))))</f>
        <v>Belum terisi</v>
      </c>
      <c r="AZ16" s="0" t="str">
        <f aca="false">IF(AR16="","",IF(AND(IFERROR(--(INDEX('Reguler Class Availability'!$F:$F,AR16)&amp;""),0)=0,IFERROR(--(INDEX('Reguler Class Availability'!$G:$G,AR16)&amp;""),0)=0),IF(OR(INDEX('Reguler Class Availability'!$B:$B,AR16)&amp;""&lt;&gt;"",INDEX('Reguler Class Availability'!$I:$I,AR16)&amp;""&lt;&gt;""),"Tutup","Tidak dibuka"),IF(IFERROR(--(INDEX('Reguler Class Availability'!$G:$G,AR16)&amp;""),0)&gt;IFERROR(--(INDEX('Reguler Class Availability'!$F:$F,AR16)&amp;""),0),"Lebih",IF(IFERROR(--(INDEX('Reguler Class Availability'!$G:$G,AR16)&amp;""),0)=IFERROR(--(INDEX('Reguler Class Availability'!$F:$F,AR16)&amp;""),0),"Penuh",IF(IFERROR(--(INDEX('Reguler Class Availability'!$G:$G,AR16)&amp;""),0)=0,IF(INDEX('Reguler Class Availability'!$B:$B,AR16)&amp;""="","Kosong","Belum terisi"),IF(IFERROR(--(INDEX('Reguler Class Availability'!$G:$G,AR16)&amp;""),0)/IFERROR(--(INDEX('Reguler Class Availability'!$F:$F,AR16)&amp;""),0)&gt;=0.6,"Tinggi","Sebagian"))))))</f>
        <v>Sebagian</v>
      </c>
      <c r="BA16" s="0" t="str">
        <f aca="false">IF(AS16="","",IF(AND(IFERROR(--(INDEX('Reguler Class Availability'!$F:$F,AS16)&amp;""),0)=0,IFERROR(--(INDEX('Reguler Class Availability'!$G:$G,AS16)&amp;""),0)=0),IF(OR(INDEX('Reguler Class Availability'!$B:$B,AS16)&amp;""&lt;&gt;"",INDEX('Reguler Class Availability'!$I:$I,AS16)&amp;""&lt;&gt;""),"Tutup","Tidak dibuka"),IF(IFERROR(--(INDEX('Reguler Class Availability'!$G:$G,AS16)&amp;""),0)&gt;IFERROR(--(INDEX('Reguler Class Availability'!$F:$F,AS16)&amp;""),0),"Lebih",IF(IFERROR(--(INDEX('Reguler Class Availability'!$G:$G,AS16)&amp;""),0)=IFERROR(--(INDEX('Reguler Class Availability'!$F:$F,AS16)&amp;""),0),"Penuh",IF(IFERROR(--(INDEX('Reguler Class Availability'!$G:$G,AS16)&amp;""),0)=0,IF(INDEX('Reguler Class Availability'!$B:$B,AS16)&amp;""="","Kosong","Belum terisi"),IF(IFERROR(--(INDEX('Reguler Class Availability'!$G:$G,AS16)&amp;""),0)/IFERROR(--(INDEX('Reguler Class Availability'!$F:$F,AS16)&amp;""),0)&gt;=0.6,"Tinggi","Sebagian"))))))</f>
        <v>Sebagian</v>
      </c>
      <c r="BB16" s="0" t="str">
        <f aca="false">IF(AT16="","",IF(AND(IFERROR(--(INDEX('Reguler Class Availability'!$F:$F,AT16)&amp;""),0)=0,IFERROR(--(INDEX('Reguler Class Availability'!$G:$G,AT16)&amp;""),0)=0),IF(OR(INDEX('Reguler Class Availability'!$B:$B,AT16)&amp;""&lt;&gt;"",INDEX('Reguler Class Availability'!$I:$I,AT16)&amp;""&lt;&gt;""),"Tutup","Tidak dibuka"),IF(IFERROR(--(INDEX('Reguler Class Availability'!$G:$G,AT16)&amp;""),0)&gt;IFERROR(--(INDEX('Reguler Class Availability'!$F:$F,AT16)&amp;""),0),"Lebih",IF(IFERROR(--(INDEX('Reguler Class Availability'!$G:$G,AT16)&amp;""),0)=IFERROR(--(INDEX('Reguler Class Availability'!$F:$F,AT16)&amp;""),0),"Penuh",IF(IFERROR(--(INDEX('Reguler Class Availability'!$G:$G,AT16)&amp;""),0)=0,IF(INDEX('Reguler Class Availability'!$B:$B,AT16)&amp;""="","Kosong","Belum terisi"),IF(IFERROR(--(INDEX('Reguler Class Availability'!$G:$G,AT16)&amp;""),0)/IFERROR(--(INDEX('Reguler Class Availability'!$F:$F,AT16)&amp;""),0)&gt;=0.6,"Tinggi","Sebagian"))))))</f>
        <v>Belum terisi</v>
      </c>
      <c r="BD16" s="30" t="s">
        <v>123</v>
      </c>
      <c r="BE16" s="30" t="n">
        <f aca="false">IF(COUNTIFS('Reguler Class Availability'!$L:$L,$B$4&amp;"|- Lane 1 - *|"&amp;BD16)&gt;0,1,0)</f>
        <v>1</v>
      </c>
      <c r="BF16" s="30" t="n">
        <f aca="false">BE16+BF15</f>
        <v>4</v>
      </c>
    </row>
    <row r="17" customFormat="false" ht="39.75" hidden="false" customHeight="true" outlineLevel="0" collapsed="false">
      <c r="A17" s="66" t="str">
        <f aca="false">IFERROR(INDEX($BD$2:$BD$61,MATCH(4,$BF$2:$BF$61,0)),"")</f>
        <v>09:30</v>
      </c>
      <c r="B17" s="67" t="str">
        <f aca="false">IF(AN17="","",IF(AV17="Tidak dibuka","–",IF(INDEX('Reguler Class Availability'!$B:$B,AN17)&amp;""="","Kosong",PROPER(INDEX('Reguler Class Availability'!$B:$B,AN17)&amp;""))&amp;"  "&amp;IFERROR(--(INDEX('Reguler Class Availability'!$G:$G,AN17)&amp;""),0)&amp;"/"&amp;IFERROR(--(INDEX('Reguler Class Availability'!$F:$F,AN17)&amp;""),0)&amp;IF(IFERROR(--(INDEX('Reguler Class Availability'!$F:$F,AN17)&amp;""),0)&gt;0,"  ("&amp;TEXT(IFERROR(--(INDEX('Reguler Class Availability'!$G:$G,AN17)&amp;""),0)/IFERROR(--(INDEX('Reguler Class Availability'!$F:$F,AN17)&amp;""),0),"0%")&amp;")","")&amp;CHAR(10)&amp;IF(INDEX('Reguler Class Availability'!$I:$I,AN17)&amp;""="","coach: –",PROPER(INDEX('Reguler Class Availability'!$I:$I,AN17)&amp;""))&amp;IF(INDEX('Reguler Class Availability'!$J:$J,AN17)&amp;""="","",CHAR(10)&amp;"asst: "&amp;PROPER(INDEX('Reguler Class Availability'!$J:$J,AN17)&amp;""))))</f>
        <v>Baby  0/5  (0%)
coach: –</v>
      </c>
      <c r="C17" s="67" t="str">
        <f aca="false">IF(AO17="","",IF(AW17="Tidak dibuka","–",IF(INDEX('Reguler Class Availability'!$B:$B,AO17)&amp;""="","Kosong",PROPER(INDEX('Reguler Class Availability'!$B:$B,AO17)&amp;""))&amp;"  "&amp;IFERROR(--(INDEX('Reguler Class Availability'!$G:$G,AO17)&amp;""),0)&amp;"/"&amp;IFERROR(--(INDEX('Reguler Class Availability'!$F:$F,AO17)&amp;""),0)&amp;IF(IFERROR(--(INDEX('Reguler Class Availability'!$F:$F,AO17)&amp;""),0)&gt;0,"  ("&amp;TEXT(IFERROR(--(INDEX('Reguler Class Availability'!$G:$G,AO17)&amp;""),0)/IFERROR(--(INDEX('Reguler Class Availability'!$F:$F,AO17)&amp;""),0),"0%")&amp;")","")&amp;CHAR(10)&amp;IF(INDEX('Reguler Class Availability'!$I:$I,AO17)&amp;""="","coach: –",PROPER(INDEX('Reguler Class Availability'!$I:$I,AO17)&amp;""))&amp;IF(INDEX('Reguler Class Availability'!$J:$J,AO17)&amp;""="","",CHAR(10)&amp;"asst: "&amp;PROPER(INDEX('Reguler Class Availability'!$J:$J,AO17)&amp;""))))</f>
        <v>Baby  0/5  (0%)
coach: –</v>
      </c>
      <c r="D17" s="67" t="str">
        <f aca="false">IF(AP17="","",IF(AX17="Tidak dibuka","–",IF(INDEX('Reguler Class Availability'!$B:$B,AP17)&amp;""="","Kosong",PROPER(INDEX('Reguler Class Availability'!$B:$B,AP17)&amp;""))&amp;"  "&amp;IFERROR(--(INDEX('Reguler Class Availability'!$G:$G,AP17)&amp;""),0)&amp;"/"&amp;IFERROR(--(INDEX('Reguler Class Availability'!$F:$F,AP17)&amp;""),0)&amp;IF(IFERROR(--(INDEX('Reguler Class Availability'!$F:$F,AP17)&amp;""),0)&gt;0,"  ("&amp;TEXT(IFERROR(--(INDEX('Reguler Class Availability'!$G:$G,AP17)&amp;""),0)/IFERROR(--(INDEX('Reguler Class Availability'!$F:$F,AP17)&amp;""),0),"0%")&amp;")","")&amp;CHAR(10)&amp;IF(INDEX('Reguler Class Availability'!$I:$I,AP17)&amp;""="","coach: –",PROPER(INDEX('Reguler Class Availability'!$I:$I,AP17)&amp;""))&amp;IF(INDEX('Reguler Class Availability'!$J:$J,AP17)&amp;""="","",CHAR(10)&amp;"asst: "&amp;PROPER(INDEX('Reguler Class Availability'!$J:$J,AP17)&amp;""))))</f>
        <v>Baby  0/5  (0%)
coach: –</v>
      </c>
      <c r="E17" s="67" t="str">
        <f aca="false">IF(AQ17="","",IF(AY17="Tidak dibuka","–",IF(INDEX('Reguler Class Availability'!$B:$B,AQ17)&amp;""="","Kosong",PROPER(INDEX('Reguler Class Availability'!$B:$B,AQ17)&amp;""))&amp;"  "&amp;IFERROR(--(INDEX('Reguler Class Availability'!$G:$G,AQ17)&amp;""),0)&amp;"/"&amp;IFERROR(--(INDEX('Reguler Class Availability'!$F:$F,AQ17)&amp;""),0)&amp;IF(IFERROR(--(INDEX('Reguler Class Availability'!$F:$F,AQ17)&amp;""),0)&gt;0,"  ("&amp;TEXT(IFERROR(--(INDEX('Reguler Class Availability'!$G:$G,AQ17)&amp;""),0)/IFERROR(--(INDEX('Reguler Class Availability'!$F:$F,AQ17)&amp;""),0),"0%")&amp;")","")&amp;CHAR(10)&amp;IF(INDEX('Reguler Class Availability'!$I:$I,AQ17)&amp;""="","coach: –",PROPER(INDEX('Reguler Class Availability'!$I:$I,AQ17)&amp;""))&amp;IF(INDEX('Reguler Class Availability'!$J:$J,AQ17)&amp;""="","",CHAR(10)&amp;"asst: "&amp;PROPER(INDEX('Reguler Class Availability'!$J:$J,AQ17)&amp;""))))</f>
        <v>Baby  0/5  (0%)
coach: –</v>
      </c>
      <c r="F17" s="67" t="str">
        <f aca="false">IF(AR17="","",IF(AZ17="Tidak dibuka","–",IF(INDEX('Reguler Class Availability'!$B:$B,AR17)&amp;""="","Kosong",PROPER(INDEX('Reguler Class Availability'!$B:$B,AR17)&amp;""))&amp;"  "&amp;IFERROR(--(INDEX('Reguler Class Availability'!$G:$G,AR17)&amp;""),0)&amp;"/"&amp;IFERROR(--(INDEX('Reguler Class Availability'!$F:$F,AR17)&amp;""),0)&amp;IF(IFERROR(--(INDEX('Reguler Class Availability'!$F:$F,AR17)&amp;""),0)&gt;0,"  ("&amp;TEXT(IFERROR(--(INDEX('Reguler Class Availability'!$G:$G,AR17)&amp;""),0)/IFERROR(--(INDEX('Reguler Class Availability'!$F:$F,AR17)&amp;""),0),"0%")&amp;")","")&amp;CHAR(10)&amp;IF(INDEX('Reguler Class Availability'!$I:$I,AR17)&amp;""="","coach: –",PROPER(INDEX('Reguler Class Availability'!$I:$I,AR17)&amp;""))&amp;IF(INDEX('Reguler Class Availability'!$J:$J,AR17)&amp;""="","",CHAR(10)&amp;"asst: "&amp;PROPER(INDEX('Reguler Class Availability'!$J:$J,AR17)&amp;""))))</f>
        <v>Baby  0/5  (0%)
coach: –</v>
      </c>
      <c r="G17" s="67" t="str">
        <f aca="false">IF(AS17="","",IF(BA17="Tidak dibuka","–",IF(INDEX('Reguler Class Availability'!$B:$B,AS17)&amp;""="","Kosong",PROPER(INDEX('Reguler Class Availability'!$B:$B,AS17)&amp;""))&amp;"  "&amp;IFERROR(--(INDEX('Reguler Class Availability'!$G:$G,AS17)&amp;""),0)&amp;"/"&amp;IFERROR(--(INDEX('Reguler Class Availability'!$F:$F,AS17)&amp;""),0)&amp;IF(IFERROR(--(INDEX('Reguler Class Availability'!$F:$F,AS17)&amp;""),0)&gt;0,"  ("&amp;TEXT(IFERROR(--(INDEX('Reguler Class Availability'!$G:$G,AS17)&amp;""),0)/IFERROR(--(INDEX('Reguler Class Availability'!$F:$F,AS17)&amp;""),0),"0%")&amp;")","")&amp;CHAR(10)&amp;IF(INDEX('Reguler Class Availability'!$I:$I,AS17)&amp;""="","coach: –",PROPER(INDEX('Reguler Class Availability'!$I:$I,AS17)&amp;""))&amp;IF(INDEX('Reguler Class Availability'!$J:$J,AS17)&amp;""="","",CHAR(10)&amp;"asst: "&amp;PROPER(INDEX('Reguler Class Availability'!$J:$J,AS17)&amp;""))))</f>
        <v>Baby  1/5  (20%)
Rizky</v>
      </c>
      <c r="H17" s="67" t="str">
        <f aca="false">IF(AT17="","",IF(BB17="Tidak dibuka","–",IF(INDEX('Reguler Class Availability'!$B:$B,AT17)&amp;""="","Kosong",PROPER(INDEX('Reguler Class Availability'!$B:$B,AT17)&amp;""))&amp;"  "&amp;IFERROR(--(INDEX('Reguler Class Availability'!$G:$G,AT17)&amp;""),0)&amp;"/"&amp;IFERROR(--(INDEX('Reguler Class Availability'!$F:$F,AT17)&amp;""),0)&amp;IF(IFERROR(--(INDEX('Reguler Class Availability'!$F:$F,AT17)&amp;""),0)&gt;0,"  ("&amp;TEXT(IFERROR(--(INDEX('Reguler Class Availability'!$G:$G,AT17)&amp;""),0)/IFERROR(--(INDEX('Reguler Class Availability'!$F:$F,AT17)&amp;""),0),"0%")&amp;")","")&amp;CHAR(10)&amp;IF(INDEX('Reguler Class Availability'!$I:$I,AT17)&amp;""="","coach: –",PROPER(INDEX('Reguler Class Availability'!$I:$I,AT17)&amp;""))&amp;IF(INDEX('Reguler Class Availability'!$J:$J,AT17)&amp;""="","",CHAR(10)&amp;"asst: "&amp;PROPER(INDEX('Reguler Class Availability'!$J:$J,AT17)&amp;""))))</f>
        <v>Baby  4/5  (80%)
Rizky</v>
      </c>
      <c r="AN17" s="30" t="n">
        <f aca="false">IF($A17="","",IFERROR(MATCH($B$4&amp;"|- Lane 1 - "&amp;B$13&amp;"|"&amp;$A17,'Reguler Class Availability'!$L:$L,0),""))</f>
        <v>2412</v>
      </c>
      <c r="AO17" s="30" t="n">
        <f aca="false">IF($A17="","",IFERROR(MATCH($B$4&amp;"|- Lane 1 - "&amp;C$13&amp;"|"&amp;$A17,'Reguler Class Availability'!$L:$L,0),""))</f>
        <v>2424</v>
      </c>
      <c r="AP17" s="30" t="n">
        <f aca="false">IF($A17="","",IFERROR(MATCH($B$4&amp;"|- Lane 1 - "&amp;D$13&amp;"|"&amp;$A17,'Reguler Class Availability'!$L:$L,0),""))</f>
        <v>2436</v>
      </c>
      <c r="AQ17" s="30" t="n">
        <f aca="false">IF($A17="","",IFERROR(MATCH($B$4&amp;"|- Lane 1 - "&amp;E$13&amp;"|"&amp;$A17,'Reguler Class Availability'!$L:$L,0),""))</f>
        <v>2448</v>
      </c>
      <c r="AR17" s="30" t="n">
        <f aca="false">IF($A17="","",IFERROR(MATCH($B$4&amp;"|- Lane 1 - "&amp;F$13&amp;"|"&amp;$A17,'Reguler Class Availability'!$L:$L,0),""))</f>
        <v>2460</v>
      </c>
      <c r="AS17" s="30" t="n">
        <f aca="false">IF($A17="","",IFERROR(MATCH($B$4&amp;"|- Lane 1 - "&amp;G$13&amp;"|"&amp;$A17,'Reguler Class Availability'!$L:$L,0),""))</f>
        <v>2472</v>
      </c>
      <c r="AT17" s="30" t="n">
        <f aca="false">IF($A17="","",IFERROR(MATCH($B$4&amp;"|- Lane 1 - "&amp;H$13&amp;"|"&amp;$A17,'Reguler Class Availability'!$L:$L,0),""))</f>
        <v>2484</v>
      </c>
      <c r="AV17" s="0" t="str">
        <f aca="false">IF(AN17="","",IF(AND(IFERROR(--(INDEX('Reguler Class Availability'!$F:$F,AN17)&amp;""),0)=0,IFERROR(--(INDEX('Reguler Class Availability'!$G:$G,AN17)&amp;""),0)=0),IF(OR(INDEX('Reguler Class Availability'!$B:$B,AN17)&amp;""&lt;&gt;"",INDEX('Reguler Class Availability'!$I:$I,AN17)&amp;""&lt;&gt;""),"Tutup","Tidak dibuka"),IF(IFERROR(--(INDEX('Reguler Class Availability'!$G:$G,AN17)&amp;""),0)&gt;IFERROR(--(INDEX('Reguler Class Availability'!$F:$F,AN17)&amp;""),0),"Lebih",IF(IFERROR(--(INDEX('Reguler Class Availability'!$G:$G,AN17)&amp;""),0)=IFERROR(--(INDEX('Reguler Class Availability'!$F:$F,AN17)&amp;""),0),"Penuh",IF(IFERROR(--(INDEX('Reguler Class Availability'!$G:$G,AN17)&amp;""),0)=0,IF(INDEX('Reguler Class Availability'!$B:$B,AN17)&amp;""="","Kosong","Belum terisi"),IF(IFERROR(--(INDEX('Reguler Class Availability'!$G:$G,AN17)&amp;""),0)/IFERROR(--(INDEX('Reguler Class Availability'!$F:$F,AN17)&amp;""),0)&gt;=0.6,"Tinggi","Sebagian"))))))</f>
        <v>Belum terisi</v>
      </c>
      <c r="AW17" s="0" t="str">
        <f aca="false">IF(AO17="","",IF(AND(IFERROR(--(INDEX('Reguler Class Availability'!$F:$F,AO17)&amp;""),0)=0,IFERROR(--(INDEX('Reguler Class Availability'!$G:$G,AO17)&amp;""),0)=0),IF(OR(INDEX('Reguler Class Availability'!$B:$B,AO17)&amp;""&lt;&gt;"",INDEX('Reguler Class Availability'!$I:$I,AO17)&amp;""&lt;&gt;""),"Tutup","Tidak dibuka"),IF(IFERROR(--(INDEX('Reguler Class Availability'!$G:$G,AO17)&amp;""),0)&gt;IFERROR(--(INDEX('Reguler Class Availability'!$F:$F,AO17)&amp;""),0),"Lebih",IF(IFERROR(--(INDEX('Reguler Class Availability'!$G:$G,AO17)&amp;""),0)=IFERROR(--(INDEX('Reguler Class Availability'!$F:$F,AO17)&amp;""),0),"Penuh",IF(IFERROR(--(INDEX('Reguler Class Availability'!$G:$G,AO17)&amp;""),0)=0,IF(INDEX('Reguler Class Availability'!$B:$B,AO17)&amp;""="","Kosong","Belum terisi"),IF(IFERROR(--(INDEX('Reguler Class Availability'!$G:$G,AO17)&amp;""),0)/IFERROR(--(INDEX('Reguler Class Availability'!$F:$F,AO17)&amp;""),0)&gt;=0.6,"Tinggi","Sebagian"))))))</f>
        <v>Belum terisi</v>
      </c>
      <c r="AX17" s="0" t="str">
        <f aca="false">IF(AP17="","",IF(AND(IFERROR(--(INDEX('Reguler Class Availability'!$F:$F,AP17)&amp;""),0)=0,IFERROR(--(INDEX('Reguler Class Availability'!$G:$G,AP17)&amp;""),0)=0),IF(OR(INDEX('Reguler Class Availability'!$B:$B,AP17)&amp;""&lt;&gt;"",INDEX('Reguler Class Availability'!$I:$I,AP17)&amp;""&lt;&gt;""),"Tutup","Tidak dibuka"),IF(IFERROR(--(INDEX('Reguler Class Availability'!$G:$G,AP17)&amp;""),0)&gt;IFERROR(--(INDEX('Reguler Class Availability'!$F:$F,AP17)&amp;""),0),"Lebih",IF(IFERROR(--(INDEX('Reguler Class Availability'!$G:$G,AP17)&amp;""),0)=IFERROR(--(INDEX('Reguler Class Availability'!$F:$F,AP17)&amp;""),0),"Penuh",IF(IFERROR(--(INDEX('Reguler Class Availability'!$G:$G,AP17)&amp;""),0)=0,IF(INDEX('Reguler Class Availability'!$B:$B,AP17)&amp;""="","Kosong","Belum terisi"),IF(IFERROR(--(INDEX('Reguler Class Availability'!$G:$G,AP17)&amp;""),0)/IFERROR(--(INDEX('Reguler Class Availability'!$F:$F,AP17)&amp;""),0)&gt;=0.6,"Tinggi","Sebagian"))))))</f>
        <v>Belum terisi</v>
      </c>
      <c r="AY17" s="0" t="str">
        <f aca="false">IF(AQ17="","",IF(AND(IFERROR(--(INDEX('Reguler Class Availability'!$F:$F,AQ17)&amp;""),0)=0,IFERROR(--(INDEX('Reguler Class Availability'!$G:$G,AQ17)&amp;""),0)=0),IF(OR(INDEX('Reguler Class Availability'!$B:$B,AQ17)&amp;""&lt;&gt;"",INDEX('Reguler Class Availability'!$I:$I,AQ17)&amp;""&lt;&gt;""),"Tutup","Tidak dibuka"),IF(IFERROR(--(INDEX('Reguler Class Availability'!$G:$G,AQ17)&amp;""),0)&gt;IFERROR(--(INDEX('Reguler Class Availability'!$F:$F,AQ17)&amp;""),0),"Lebih",IF(IFERROR(--(INDEX('Reguler Class Availability'!$G:$G,AQ17)&amp;""),0)=IFERROR(--(INDEX('Reguler Class Availability'!$F:$F,AQ17)&amp;""),0),"Penuh",IF(IFERROR(--(INDEX('Reguler Class Availability'!$G:$G,AQ17)&amp;""),0)=0,IF(INDEX('Reguler Class Availability'!$B:$B,AQ17)&amp;""="","Kosong","Belum terisi"),IF(IFERROR(--(INDEX('Reguler Class Availability'!$G:$G,AQ17)&amp;""),0)/IFERROR(--(INDEX('Reguler Class Availability'!$F:$F,AQ17)&amp;""),0)&gt;=0.6,"Tinggi","Sebagian"))))))</f>
        <v>Belum terisi</v>
      </c>
      <c r="AZ17" s="0" t="str">
        <f aca="false">IF(AR17="","",IF(AND(IFERROR(--(INDEX('Reguler Class Availability'!$F:$F,AR17)&amp;""),0)=0,IFERROR(--(INDEX('Reguler Class Availability'!$G:$G,AR17)&amp;""),0)=0),IF(OR(INDEX('Reguler Class Availability'!$B:$B,AR17)&amp;""&lt;&gt;"",INDEX('Reguler Class Availability'!$I:$I,AR17)&amp;""&lt;&gt;""),"Tutup","Tidak dibuka"),IF(IFERROR(--(INDEX('Reguler Class Availability'!$G:$G,AR17)&amp;""),0)&gt;IFERROR(--(INDEX('Reguler Class Availability'!$F:$F,AR17)&amp;""),0),"Lebih",IF(IFERROR(--(INDEX('Reguler Class Availability'!$G:$G,AR17)&amp;""),0)=IFERROR(--(INDEX('Reguler Class Availability'!$F:$F,AR17)&amp;""),0),"Penuh",IF(IFERROR(--(INDEX('Reguler Class Availability'!$G:$G,AR17)&amp;""),0)=0,IF(INDEX('Reguler Class Availability'!$B:$B,AR17)&amp;""="","Kosong","Belum terisi"),IF(IFERROR(--(INDEX('Reguler Class Availability'!$G:$G,AR17)&amp;""),0)/IFERROR(--(INDEX('Reguler Class Availability'!$F:$F,AR17)&amp;""),0)&gt;=0.6,"Tinggi","Sebagian"))))))</f>
        <v>Belum terisi</v>
      </c>
      <c r="BA17" s="0" t="str">
        <f aca="false">IF(AS17="","",IF(AND(IFERROR(--(INDEX('Reguler Class Availability'!$F:$F,AS17)&amp;""),0)=0,IFERROR(--(INDEX('Reguler Class Availability'!$G:$G,AS17)&amp;""),0)=0),IF(OR(INDEX('Reguler Class Availability'!$B:$B,AS17)&amp;""&lt;&gt;"",INDEX('Reguler Class Availability'!$I:$I,AS17)&amp;""&lt;&gt;""),"Tutup","Tidak dibuka"),IF(IFERROR(--(INDEX('Reguler Class Availability'!$G:$G,AS17)&amp;""),0)&gt;IFERROR(--(INDEX('Reguler Class Availability'!$F:$F,AS17)&amp;""),0),"Lebih",IF(IFERROR(--(INDEX('Reguler Class Availability'!$G:$G,AS17)&amp;""),0)=IFERROR(--(INDEX('Reguler Class Availability'!$F:$F,AS17)&amp;""),0),"Penuh",IF(IFERROR(--(INDEX('Reguler Class Availability'!$G:$G,AS17)&amp;""),0)=0,IF(INDEX('Reguler Class Availability'!$B:$B,AS17)&amp;""="","Kosong","Belum terisi"),IF(IFERROR(--(INDEX('Reguler Class Availability'!$G:$G,AS17)&amp;""),0)/IFERROR(--(INDEX('Reguler Class Availability'!$F:$F,AS17)&amp;""),0)&gt;=0.6,"Tinggi","Sebagian"))))))</f>
        <v>Sebagian</v>
      </c>
      <c r="BB17" s="0" t="str">
        <f aca="false">IF(AT17="","",IF(AND(IFERROR(--(INDEX('Reguler Class Availability'!$F:$F,AT17)&amp;""),0)=0,IFERROR(--(INDEX('Reguler Class Availability'!$G:$G,AT17)&amp;""),0)=0),IF(OR(INDEX('Reguler Class Availability'!$B:$B,AT17)&amp;""&lt;&gt;"",INDEX('Reguler Class Availability'!$I:$I,AT17)&amp;""&lt;&gt;""),"Tutup","Tidak dibuka"),IF(IFERROR(--(INDEX('Reguler Class Availability'!$G:$G,AT17)&amp;""),0)&gt;IFERROR(--(INDEX('Reguler Class Availability'!$F:$F,AT17)&amp;""),0),"Lebih",IF(IFERROR(--(INDEX('Reguler Class Availability'!$G:$G,AT17)&amp;""),0)=IFERROR(--(INDEX('Reguler Class Availability'!$F:$F,AT17)&amp;""),0),"Penuh",IF(IFERROR(--(INDEX('Reguler Class Availability'!$G:$G,AT17)&amp;""),0)=0,IF(INDEX('Reguler Class Availability'!$B:$B,AT17)&amp;""="","Kosong","Belum terisi"),IF(IFERROR(--(INDEX('Reguler Class Availability'!$G:$G,AT17)&amp;""),0)/IFERROR(--(INDEX('Reguler Class Availability'!$F:$F,AT17)&amp;""),0)&gt;=0.6,"Tinggi","Sebagian"))))))</f>
        <v>Tinggi</v>
      </c>
      <c r="BD17" s="30" t="s">
        <v>124</v>
      </c>
      <c r="BE17" s="30" t="n">
        <f aca="false">IF(COUNTIFS('Reguler Class Availability'!$L:$L,$B$4&amp;"|- Lane 1 - *|"&amp;BD17)&gt;0,1,0)</f>
        <v>0</v>
      </c>
      <c r="BF17" s="30" t="n">
        <f aca="false">BE17+BF16</f>
        <v>4</v>
      </c>
    </row>
    <row r="18" customFormat="false" ht="39.75" hidden="false" customHeight="true" outlineLevel="0" collapsed="false">
      <c r="A18" s="66" t="str">
        <f aca="false">IFERROR(INDEX($BD$2:$BD$61,MATCH(5,$BF$2:$BF$61,0)),"")</f>
        <v>10:15</v>
      </c>
      <c r="B18" s="67" t="str">
        <f aca="false">IF(AN18="","",IF(AV18="Tidak dibuka","–",IF(INDEX('Reguler Class Availability'!$B:$B,AN18)&amp;""="","Kosong",PROPER(INDEX('Reguler Class Availability'!$B:$B,AN18)&amp;""))&amp;"  "&amp;IFERROR(--(INDEX('Reguler Class Availability'!$G:$G,AN18)&amp;""),0)&amp;"/"&amp;IFERROR(--(INDEX('Reguler Class Availability'!$F:$F,AN18)&amp;""),0)&amp;IF(IFERROR(--(INDEX('Reguler Class Availability'!$F:$F,AN18)&amp;""),0)&gt;0,"  ("&amp;TEXT(IFERROR(--(INDEX('Reguler Class Availability'!$G:$G,AN18)&amp;""),0)/IFERROR(--(INDEX('Reguler Class Availability'!$F:$F,AN18)&amp;""),0),"0%")&amp;")","")&amp;CHAR(10)&amp;IF(INDEX('Reguler Class Availability'!$I:$I,AN18)&amp;""="","coach: –",PROPER(INDEX('Reguler Class Availability'!$I:$I,AN18)&amp;""))&amp;IF(INDEX('Reguler Class Availability'!$J:$J,AN18)&amp;""="","",CHAR(10)&amp;"asst: "&amp;PROPER(INDEX('Reguler Class Availability'!$J:$J,AN18)&amp;""))))</f>
        <v>Baby  0/5  (0%)
coach: –</v>
      </c>
      <c r="C18" s="67" t="str">
        <f aca="false">IF(AO18="","",IF(AW18="Tidak dibuka","–",IF(INDEX('Reguler Class Availability'!$B:$B,AO18)&amp;""="","Kosong",PROPER(INDEX('Reguler Class Availability'!$B:$B,AO18)&amp;""))&amp;"  "&amp;IFERROR(--(INDEX('Reguler Class Availability'!$G:$G,AO18)&amp;""),0)&amp;"/"&amp;IFERROR(--(INDEX('Reguler Class Availability'!$F:$F,AO18)&amp;""),0)&amp;IF(IFERROR(--(INDEX('Reguler Class Availability'!$F:$F,AO18)&amp;""),0)&gt;0,"  ("&amp;TEXT(IFERROR(--(INDEX('Reguler Class Availability'!$G:$G,AO18)&amp;""),0)/IFERROR(--(INDEX('Reguler Class Availability'!$F:$F,AO18)&amp;""),0),"0%")&amp;")","")&amp;CHAR(10)&amp;IF(INDEX('Reguler Class Availability'!$I:$I,AO18)&amp;""="","coach: –",PROPER(INDEX('Reguler Class Availability'!$I:$I,AO18)&amp;""))&amp;IF(INDEX('Reguler Class Availability'!$J:$J,AO18)&amp;""="","",CHAR(10)&amp;"asst: "&amp;PROPER(INDEX('Reguler Class Availability'!$J:$J,AO18)&amp;""))))</f>
        <v>Baby  0/5  (0%)
coach: –</v>
      </c>
      <c r="D18" s="67" t="str">
        <f aca="false">IF(AP18="","",IF(AX18="Tidak dibuka","–",IF(INDEX('Reguler Class Availability'!$B:$B,AP18)&amp;""="","Kosong",PROPER(INDEX('Reguler Class Availability'!$B:$B,AP18)&amp;""))&amp;"  "&amp;IFERROR(--(INDEX('Reguler Class Availability'!$G:$G,AP18)&amp;""),0)&amp;"/"&amp;IFERROR(--(INDEX('Reguler Class Availability'!$F:$F,AP18)&amp;""),0)&amp;IF(IFERROR(--(INDEX('Reguler Class Availability'!$F:$F,AP18)&amp;""),0)&gt;0,"  ("&amp;TEXT(IFERROR(--(INDEX('Reguler Class Availability'!$G:$G,AP18)&amp;""),0)/IFERROR(--(INDEX('Reguler Class Availability'!$F:$F,AP18)&amp;""),0),"0%")&amp;")","")&amp;CHAR(10)&amp;IF(INDEX('Reguler Class Availability'!$I:$I,AP18)&amp;""="","coach: –",PROPER(INDEX('Reguler Class Availability'!$I:$I,AP18)&amp;""))&amp;IF(INDEX('Reguler Class Availability'!$J:$J,AP18)&amp;""="","",CHAR(10)&amp;"asst: "&amp;PROPER(INDEX('Reguler Class Availability'!$J:$J,AP18)&amp;""))))</f>
        <v>Baby  0/5  (0%)
coach: –</v>
      </c>
      <c r="E18" s="67" t="str">
        <f aca="false">IF(AQ18="","",IF(AY18="Tidak dibuka","–",IF(INDEX('Reguler Class Availability'!$B:$B,AQ18)&amp;""="","Kosong",PROPER(INDEX('Reguler Class Availability'!$B:$B,AQ18)&amp;""))&amp;"  "&amp;IFERROR(--(INDEX('Reguler Class Availability'!$G:$G,AQ18)&amp;""),0)&amp;"/"&amp;IFERROR(--(INDEX('Reguler Class Availability'!$F:$F,AQ18)&amp;""),0)&amp;IF(IFERROR(--(INDEX('Reguler Class Availability'!$F:$F,AQ18)&amp;""),0)&gt;0,"  ("&amp;TEXT(IFERROR(--(INDEX('Reguler Class Availability'!$G:$G,AQ18)&amp;""),0)/IFERROR(--(INDEX('Reguler Class Availability'!$F:$F,AQ18)&amp;""),0),"0%")&amp;")","")&amp;CHAR(10)&amp;IF(INDEX('Reguler Class Availability'!$I:$I,AQ18)&amp;""="","coach: –",PROPER(INDEX('Reguler Class Availability'!$I:$I,AQ18)&amp;""))&amp;IF(INDEX('Reguler Class Availability'!$J:$J,AQ18)&amp;""="","",CHAR(10)&amp;"asst: "&amp;PROPER(INDEX('Reguler Class Availability'!$J:$J,AQ18)&amp;""))))</f>
        <v>Baby  0/5  (0%)
coach: –</v>
      </c>
      <c r="F18" s="67" t="str">
        <f aca="false">IF(AR18="","",IF(AZ18="Tidak dibuka","–",IF(INDEX('Reguler Class Availability'!$B:$B,AR18)&amp;""="","Kosong",PROPER(INDEX('Reguler Class Availability'!$B:$B,AR18)&amp;""))&amp;"  "&amp;IFERROR(--(INDEX('Reguler Class Availability'!$G:$G,AR18)&amp;""),0)&amp;"/"&amp;IFERROR(--(INDEX('Reguler Class Availability'!$F:$F,AR18)&amp;""),0)&amp;IF(IFERROR(--(INDEX('Reguler Class Availability'!$F:$F,AR18)&amp;""),0)&gt;0,"  ("&amp;TEXT(IFERROR(--(INDEX('Reguler Class Availability'!$G:$G,AR18)&amp;""),0)/IFERROR(--(INDEX('Reguler Class Availability'!$F:$F,AR18)&amp;""),0),"0%")&amp;")","")&amp;CHAR(10)&amp;IF(INDEX('Reguler Class Availability'!$I:$I,AR18)&amp;""="","coach: –",PROPER(INDEX('Reguler Class Availability'!$I:$I,AR18)&amp;""))&amp;IF(INDEX('Reguler Class Availability'!$J:$J,AR18)&amp;""="","",CHAR(10)&amp;"asst: "&amp;PROPER(INDEX('Reguler Class Availability'!$J:$J,AR18)&amp;""))))</f>
        <v>Baby  0/5  (0%)
coach: –</v>
      </c>
      <c r="G18" s="67" t="str">
        <f aca="false">IF(AS18="","",IF(BA18="Tidak dibuka","–",IF(INDEX('Reguler Class Availability'!$B:$B,AS18)&amp;""="","Kosong",PROPER(INDEX('Reguler Class Availability'!$B:$B,AS18)&amp;""))&amp;"  "&amp;IFERROR(--(INDEX('Reguler Class Availability'!$G:$G,AS18)&amp;""),0)&amp;"/"&amp;IFERROR(--(INDEX('Reguler Class Availability'!$F:$F,AS18)&amp;""),0)&amp;IF(IFERROR(--(INDEX('Reguler Class Availability'!$F:$F,AS18)&amp;""),0)&gt;0,"  ("&amp;TEXT(IFERROR(--(INDEX('Reguler Class Availability'!$G:$G,AS18)&amp;""),0)/IFERROR(--(INDEX('Reguler Class Availability'!$F:$F,AS18)&amp;""),0),"0%")&amp;")","")&amp;CHAR(10)&amp;IF(INDEX('Reguler Class Availability'!$I:$I,AS18)&amp;""="","coach: –",PROPER(INDEX('Reguler Class Availability'!$I:$I,AS18)&amp;""))&amp;IF(INDEX('Reguler Class Availability'!$J:$J,AS18)&amp;""="","",CHAR(10)&amp;"asst: "&amp;PROPER(INDEX('Reguler Class Availability'!$J:$J,AS18)&amp;""))))</f>
        <v>Baby  3/5  (60%)
Rizky</v>
      </c>
      <c r="H18" s="67" t="str">
        <f aca="false">IF(AT18="","",IF(BB18="Tidak dibuka","–",IF(INDEX('Reguler Class Availability'!$B:$B,AT18)&amp;""="","Kosong",PROPER(INDEX('Reguler Class Availability'!$B:$B,AT18)&amp;""))&amp;"  "&amp;IFERROR(--(INDEX('Reguler Class Availability'!$G:$G,AT18)&amp;""),0)&amp;"/"&amp;IFERROR(--(INDEX('Reguler Class Availability'!$F:$F,AT18)&amp;""),0)&amp;IF(IFERROR(--(INDEX('Reguler Class Availability'!$F:$F,AT18)&amp;""),0)&gt;0,"  ("&amp;TEXT(IFERROR(--(INDEX('Reguler Class Availability'!$G:$G,AT18)&amp;""),0)/IFERROR(--(INDEX('Reguler Class Availability'!$F:$F,AT18)&amp;""),0),"0%")&amp;")","")&amp;CHAR(10)&amp;IF(INDEX('Reguler Class Availability'!$I:$I,AT18)&amp;""="","coach: –",PROPER(INDEX('Reguler Class Availability'!$I:$I,AT18)&amp;""))&amp;IF(INDEX('Reguler Class Availability'!$J:$J,AT18)&amp;""="","",CHAR(10)&amp;"asst: "&amp;PROPER(INDEX('Reguler Class Availability'!$J:$J,AT18)&amp;""))))</f>
        <v>Baby  0/5  (0%)
coach: –</v>
      </c>
      <c r="AN18" s="30" t="n">
        <f aca="false">IF($A18="","",IFERROR(MATCH($B$4&amp;"|- Lane 1 - "&amp;B$13&amp;"|"&amp;$A18,'Reguler Class Availability'!$L:$L,0),""))</f>
        <v>2413</v>
      </c>
      <c r="AO18" s="30" t="n">
        <f aca="false">IF($A18="","",IFERROR(MATCH($B$4&amp;"|- Lane 1 - "&amp;C$13&amp;"|"&amp;$A18,'Reguler Class Availability'!$L:$L,0),""))</f>
        <v>2425</v>
      </c>
      <c r="AP18" s="30" t="n">
        <f aca="false">IF($A18="","",IFERROR(MATCH($B$4&amp;"|- Lane 1 - "&amp;D$13&amp;"|"&amp;$A18,'Reguler Class Availability'!$L:$L,0),""))</f>
        <v>2437</v>
      </c>
      <c r="AQ18" s="30" t="n">
        <f aca="false">IF($A18="","",IFERROR(MATCH($B$4&amp;"|- Lane 1 - "&amp;E$13&amp;"|"&amp;$A18,'Reguler Class Availability'!$L:$L,0),""))</f>
        <v>2449</v>
      </c>
      <c r="AR18" s="30" t="n">
        <f aca="false">IF($A18="","",IFERROR(MATCH($B$4&amp;"|- Lane 1 - "&amp;F$13&amp;"|"&amp;$A18,'Reguler Class Availability'!$L:$L,0),""))</f>
        <v>2461</v>
      </c>
      <c r="AS18" s="30" t="n">
        <f aca="false">IF($A18="","",IFERROR(MATCH($B$4&amp;"|- Lane 1 - "&amp;G$13&amp;"|"&amp;$A18,'Reguler Class Availability'!$L:$L,0),""))</f>
        <v>2473</v>
      </c>
      <c r="AT18" s="30" t="n">
        <f aca="false">IF($A18="","",IFERROR(MATCH($B$4&amp;"|- Lane 1 - "&amp;H$13&amp;"|"&amp;$A18,'Reguler Class Availability'!$L:$L,0),""))</f>
        <v>2485</v>
      </c>
      <c r="AV18" s="0" t="str">
        <f aca="false">IF(AN18="","",IF(AND(IFERROR(--(INDEX('Reguler Class Availability'!$F:$F,AN18)&amp;""),0)=0,IFERROR(--(INDEX('Reguler Class Availability'!$G:$G,AN18)&amp;""),0)=0),IF(OR(INDEX('Reguler Class Availability'!$B:$B,AN18)&amp;""&lt;&gt;"",INDEX('Reguler Class Availability'!$I:$I,AN18)&amp;""&lt;&gt;""),"Tutup","Tidak dibuka"),IF(IFERROR(--(INDEX('Reguler Class Availability'!$G:$G,AN18)&amp;""),0)&gt;IFERROR(--(INDEX('Reguler Class Availability'!$F:$F,AN18)&amp;""),0),"Lebih",IF(IFERROR(--(INDEX('Reguler Class Availability'!$G:$G,AN18)&amp;""),0)=IFERROR(--(INDEX('Reguler Class Availability'!$F:$F,AN18)&amp;""),0),"Penuh",IF(IFERROR(--(INDEX('Reguler Class Availability'!$G:$G,AN18)&amp;""),0)=0,IF(INDEX('Reguler Class Availability'!$B:$B,AN18)&amp;""="","Kosong","Belum terisi"),IF(IFERROR(--(INDEX('Reguler Class Availability'!$G:$G,AN18)&amp;""),0)/IFERROR(--(INDEX('Reguler Class Availability'!$F:$F,AN18)&amp;""),0)&gt;=0.6,"Tinggi","Sebagian"))))))</f>
        <v>Belum terisi</v>
      </c>
      <c r="AW18" s="0" t="str">
        <f aca="false">IF(AO18="","",IF(AND(IFERROR(--(INDEX('Reguler Class Availability'!$F:$F,AO18)&amp;""),0)=0,IFERROR(--(INDEX('Reguler Class Availability'!$G:$G,AO18)&amp;""),0)=0),IF(OR(INDEX('Reguler Class Availability'!$B:$B,AO18)&amp;""&lt;&gt;"",INDEX('Reguler Class Availability'!$I:$I,AO18)&amp;""&lt;&gt;""),"Tutup","Tidak dibuka"),IF(IFERROR(--(INDEX('Reguler Class Availability'!$G:$G,AO18)&amp;""),0)&gt;IFERROR(--(INDEX('Reguler Class Availability'!$F:$F,AO18)&amp;""),0),"Lebih",IF(IFERROR(--(INDEX('Reguler Class Availability'!$G:$G,AO18)&amp;""),0)=IFERROR(--(INDEX('Reguler Class Availability'!$F:$F,AO18)&amp;""),0),"Penuh",IF(IFERROR(--(INDEX('Reguler Class Availability'!$G:$G,AO18)&amp;""),0)=0,IF(INDEX('Reguler Class Availability'!$B:$B,AO18)&amp;""="","Kosong","Belum terisi"),IF(IFERROR(--(INDEX('Reguler Class Availability'!$G:$G,AO18)&amp;""),0)/IFERROR(--(INDEX('Reguler Class Availability'!$F:$F,AO18)&amp;""),0)&gt;=0.6,"Tinggi","Sebagian"))))))</f>
        <v>Belum terisi</v>
      </c>
      <c r="AX18" s="0" t="str">
        <f aca="false">IF(AP18="","",IF(AND(IFERROR(--(INDEX('Reguler Class Availability'!$F:$F,AP18)&amp;""),0)=0,IFERROR(--(INDEX('Reguler Class Availability'!$G:$G,AP18)&amp;""),0)=0),IF(OR(INDEX('Reguler Class Availability'!$B:$B,AP18)&amp;""&lt;&gt;"",INDEX('Reguler Class Availability'!$I:$I,AP18)&amp;""&lt;&gt;""),"Tutup","Tidak dibuka"),IF(IFERROR(--(INDEX('Reguler Class Availability'!$G:$G,AP18)&amp;""),0)&gt;IFERROR(--(INDEX('Reguler Class Availability'!$F:$F,AP18)&amp;""),0),"Lebih",IF(IFERROR(--(INDEX('Reguler Class Availability'!$G:$G,AP18)&amp;""),0)=IFERROR(--(INDEX('Reguler Class Availability'!$F:$F,AP18)&amp;""),0),"Penuh",IF(IFERROR(--(INDEX('Reguler Class Availability'!$G:$G,AP18)&amp;""),0)=0,IF(INDEX('Reguler Class Availability'!$B:$B,AP18)&amp;""="","Kosong","Belum terisi"),IF(IFERROR(--(INDEX('Reguler Class Availability'!$G:$G,AP18)&amp;""),0)/IFERROR(--(INDEX('Reguler Class Availability'!$F:$F,AP18)&amp;""),0)&gt;=0.6,"Tinggi","Sebagian"))))))</f>
        <v>Belum terisi</v>
      </c>
      <c r="AY18" s="0" t="str">
        <f aca="false">IF(AQ18="","",IF(AND(IFERROR(--(INDEX('Reguler Class Availability'!$F:$F,AQ18)&amp;""),0)=0,IFERROR(--(INDEX('Reguler Class Availability'!$G:$G,AQ18)&amp;""),0)=0),IF(OR(INDEX('Reguler Class Availability'!$B:$B,AQ18)&amp;""&lt;&gt;"",INDEX('Reguler Class Availability'!$I:$I,AQ18)&amp;""&lt;&gt;""),"Tutup","Tidak dibuka"),IF(IFERROR(--(INDEX('Reguler Class Availability'!$G:$G,AQ18)&amp;""),0)&gt;IFERROR(--(INDEX('Reguler Class Availability'!$F:$F,AQ18)&amp;""),0),"Lebih",IF(IFERROR(--(INDEX('Reguler Class Availability'!$G:$G,AQ18)&amp;""),0)=IFERROR(--(INDEX('Reguler Class Availability'!$F:$F,AQ18)&amp;""),0),"Penuh",IF(IFERROR(--(INDEX('Reguler Class Availability'!$G:$G,AQ18)&amp;""),0)=0,IF(INDEX('Reguler Class Availability'!$B:$B,AQ18)&amp;""="","Kosong","Belum terisi"),IF(IFERROR(--(INDEX('Reguler Class Availability'!$G:$G,AQ18)&amp;""),0)/IFERROR(--(INDEX('Reguler Class Availability'!$F:$F,AQ18)&amp;""),0)&gt;=0.6,"Tinggi","Sebagian"))))))</f>
        <v>Belum terisi</v>
      </c>
      <c r="AZ18" s="0" t="str">
        <f aca="false">IF(AR18="","",IF(AND(IFERROR(--(INDEX('Reguler Class Availability'!$F:$F,AR18)&amp;""),0)=0,IFERROR(--(INDEX('Reguler Class Availability'!$G:$G,AR18)&amp;""),0)=0),IF(OR(INDEX('Reguler Class Availability'!$B:$B,AR18)&amp;""&lt;&gt;"",INDEX('Reguler Class Availability'!$I:$I,AR18)&amp;""&lt;&gt;""),"Tutup","Tidak dibuka"),IF(IFERROR(--(INDEX('Reguler Class Availability'!$G:$G,AR18)&amp;""),0)&gt;IFERROR(--(INDEX('Reguler Class Availability'!$F:$F,AR18)&amp;""),0),"Lebih",IF(IFERROR(--(INDEX('Reguler Class Availability'!$G:$G,AR18)&amp;""),0)=IFERROR(--(INDEX('Reguler Class Availability'!$F:$F,AR18)&amp;""),0),"Penuh",IF(IFERROR(--(INDEX('Reguler Class Availability'!$G:$G,AR18)&amp;""),0)=0,IF(INDEX('Reguler Class Availability'!$B:$B,AR18)&amp;""="","Kosong","Belum terisi"),IF(IFERROR(--(INDEX('Reguler Class Availability'!$G:$G,AR18)&amp;""),0)/IFERROR(--(INDEX('Reguler Class Availability'!$F:$F,AR18)&amp;""),0)&gt;=0.6,"Tinggi","Sebagian"))))))</f>
        <v>Belum terisi</v>
      </c>
      <c r="BA18" s="0" t="str">
        <f aca="false">IF(AS18="","",IF(AND(IFERROR(--(INDEX('Reguler Class Availability'!$F:$F,AS18)&amp;""),0)=0,IFERROR(--(INDEX('Reguler Class Availability'!$G:$G,AS18)&amp;""),0)=0),IF(OR(INDEX('Reguler Class Availability'!$B:$B,AS18)&amp;""&lt;&gt;"",INDEX('Reguler Class Availability'!$I:$I,AS18)&amp;""&lt;&gt;""),"Tutup","Tidak dibuka"),IF(IFERROR(--(INDEX('Reguler Class Availability'!$G:$G,AS18)&amp;""),0)&gt;IFERROR(--(INDEX('Reguler Class Availability'!$F:$F,AS18)&amp;""),0),"Lebih",IF(IFERROR(--(INDEX('Reguler Class Availability'!$G:$G,AS18)&amp;""),0)=IFERROR(--(INDEX('Reguler Class Availability'!$F:$F,AS18)&amp;""),0),"Penuh",IF(IFERROR(--(INDEX('Reguler Class Availability'!$G:$G,AS18)&amp;""),0)=0,IF(INDEX('Reguler Class Availability'!$B:$B,AS18)&amp;""="","Kosong","Belum terisi"),IF(IFERROR(--(INDEX('Reguler Class Availability'!$G:$G,AS18)&amp;""),0)/IFERROR(--(INDEX('Reguler Class Availability'!$F:$F,AS18)&amp;""),0)&gt;=0.6,"Tinggi","Sebagian"))))))</f>
        <v>Tinggi</v>
      </c>
      <c r="BB18" s="0" t="str">
        <f aca="false">IF(AT18="","",IF(AND(IFERROR(--(INDEX('Reguler Class Availability'!$F:$F,AT18)&amp;""),0)=0,IFERROR(--(INDEX('Reguler Class Availability'!$G:$G,AT18)&amp;""),0)=0),IF(OR(INDEX('Reguler Class Availability'!$B:$B,AT18)&amp;""&lt;&gt;"",INDEX('Reguler Class Availability'!$I:$I,AT18)&amp;""&lt;&gt;""),"Tutup","Tidak dibuka"),IF(IFERROR(--(INDEX('Reguler Class Availability'!$G:$G,AT18)&amp;""),0)&gt;IFERROR(--(INDEX('Reguler Class Availability'!$F:$F,AT18)&amp;""),0),"Lebih",IF(IFERROR(--(INDEX('Reguler Class Availability'!$G:$G,AT18)&amp;""),0)=IFERROR(--(INDEX('Reguler Class Availability'!$F:$F,AT18)&amp;""),0),"Penuh",IF(IFERROR(--(INDEX('Reguler Class Availability'!$G:$G,AT18)&amp;""),0)=0,IF(INDEX('Reguler Class Availability'!$B:$B,AT18)&amp;""="","Kosong","Belum terisi"),IF(IFERROR(--(INDEX('Reguler Class Availability'!$G:$G,AT18)&amp;""),0)/IFERROR(--(INDEX('Reguler Class Availability'!$F:$F,AT18)&amp;""),0)&gt;=0.6,"Tinggi","Sebagian"))))))</f>
        <v>Belum terisi</v>
      </c>
      <c r="BD18" s="30" t="s">
        <v>125</v>
      </c>
      <c r="BE18" s="30" t="n">
        <f aca="false">IF(COUNTIFS('Reguler Class Availability'!$L:$L,$B$4&amp;"|- Lane 1 - *|"&amp;BD18)&gt;0,1,0)</f>
        <v>0</v>
      </c>
      <c r="BF18" s="30" t="n">
        <f aca="false">BE18+BF17</f>
        <v>4</v>
      </c>
    </row>
    <row r="19" customFormat="false" ht="39.75" hidden="false" customHeight="true" outlineLevel="0" collapsed="false">
      <c r="A19" s="66" t="str">
        <f aca="false">IFERROR(INDEX($BD$2:$BD$61,MATCH(6,$BF$2:$BF$61,0)),"")</f>
        <v>11:00</v>
      </c>
      <c r="B19" s="67" t="str">
        <f aca="false">IF(AN19="","",IF(AV19="Tidak dibuka","–",IF(INDEX('Reguler Class Availability'!$B:$B,AN19)&amp;""="","Kosong",PROPER(INDEX('Reguler Class Availability'!$B:$B,AN19)&amp;""))&amp;"  "&amp;IFERROR(--(INDEX('Reguler Class Availability'!$G:$G,AN19)&amp;""),0)&amp;"/"&amp;IFERROR(--(INDEX('Reguler Class Availability'!$F:$F,AN19)&amp;""),0)&amp;IF(IFERROR(--(INDEX('Reguler Class Availability'!$F:$F,AN19)&amp;""),0)&gt;0,"  ("&amp;TEXT(IFERROR(--(INDEX('Reguler Class Availability'!$G:$G,AN19)&amp;""),0)/IFERROR(--(INDEX('Reguler Class Availability'!$F:$F,AN19)&amp;""),0),"0%")&amp;")","")&amp;CHAR(10)&amp;IF(INDEX('Reguler Class Availability'!$I:$I,AN19)&amp;""="","coach: –",PROPER(INDEX('Reguler Class Availability'!$I:$I,AN19)&amp;""))&amp;IF(INDEX('Reguler Class Availability'!$J:$J,AN19)&amp;""="","",CHAR(10)&amp;"asst: "&amp;PROPER(INDEX('Reguler Class Availability'!$J:$J,AN19)&amp;""))))</f>
        <v>Baby  0/5  (0%)
coach: –</v>
      </c>
      <c r="C19" s="67" t="str">
        <f aca="false">IF(AO19="","",IF(AW19="Tidak dibuka","–",IF(INDEX('Reguler Class Availability'!$B:$B,AO19)&amp;""="","Kosong",PROPER(INDEX('Reguler Class Availability'!$B:$B,AO19)&amp;""))&amp;"  "&amp;IFERROR(--(INDEX('Reguler Class Availability'!$G:$G,AO19)&amp;""),0)&amp;"/"&amp;IFERROR(--(INDEX('Reguler Class Availability'!$F:$F,AO19)&amp;""),0)&amp;IF(IFERROR(--(INDEX('Reguler Class Availability'!$F:$F,AO19)&amp;""),0)&gt;0,"  ("&amp;TEXT(IFERROR(--(INDEX('Reguler Class Availability'!$G:$G,AO19)&amp;""),0)/IFERROR(--(INDEX('Reguler Class Availability'!$F:$F,AO19)&amp;""),0),"0%")&amp;")","")&amp;CHAR(10)&amp;IF(INDEX('Reguler Class Availability'!$I:$I,AO19)&amp;""="","coach: –",PROPER(INDEX('Reguler Class Availability'!$I:$I,AO19)&amp;""))&amp;IF(INDEX('Reguler Class Availability'!$J:$J,AO19)&amp;""="","",CHAR(10)&amp;"asst: "&amp;PROPER(INDEX('Reguler Class Availability'!$J:$J,AO19)&amp;""))))</f>
        <v>Baby  1/5  (20%)
Shabrina</v>
      </c>
      <c r="D19" s="67" t="str">
        <f aca="false">IF(AP19="","",IF(AX19="Tidak dibuka","–",IF(INDEX('Reguler Class Availability'!$B:$B,AP19)&amp;""="","Kosong",PROPER(INDEX('Reguler Class Availability'!$B:$B,AP19)&amp;""))&amp;"  "&amp;IFERROR(--(INDEX('Reguler Class Availability'!$G:$G,AP19)&amp;""),0)&amp;"/"&amp;IFERROR(--(INDEX('Reguler Class Availability'!$F:$F,AP19)&amp;""),0)&amp;IF(IFERROR(--(INDEX('Reguler Class Availability'!$F:$F,AP19)&amp;""),0)&gt;0,"  ("&amp;TEXT(IFERROR(--(INDEX('Reguler Class Availability'!$G:$G,AP19)&amp;""),0)/IFERROR(--(INDEX('Reguler Class Availability'!$F:$F,AP19)&amp;""),0),"0%")&amp;")","")&amp;CHAR(10)&amp;IF(INDEX('Reguler Class Availability'!$I:$I,AP19)&amp;""="","coach: –",PROPER(INDEX('Reguler Class Availability'!$I:$I,AP19)&amp;""))&amp;IF(INDEX('Reguler Class Availability'!$J:$J,AP19)&amp;""="","",CHAR(10)&amp;"asst: "&amp;PROPER(INDEX('Reguler Class Availability'!$J:$J,AP19)&amp;""))))</f>
        <v>Baby  1/5  (20%)
Rizky</v>
      </c>
      <c r="E19" s="67" t="str">
        <f aca="false">IF(AQ19="","",IF(AY19="Tidak dibuka","–",IF(INDEX('Reguler Class Availability'!$B:$B,AQ19)&amp;""="","Kosong",PROPER(INDEX('Reguler Class Availability'!$B:$B,AQ19)&amp;""))&amp;"  "&amp;IFERROR(--(INDEX('Reguler Class Availability'!$G:$G,AQ19)&amp;""),0)&amp;"/"&amp;IFERROR(--(INDEX('Reguler Class Availability'!$F:$F,AQ19)&amp;""),0)&amp;IF(IFERROR(--(INDEX('Reguler Class Availability'!$F:$F,AQ19)&amp;""),0)&gt;0,"  ("&amp;TEXT(IFERROR(--(INDEX('Reguler Class Availability'!$G:$G,AQ19)&amp;""),0)/IFERROR(--(INDEX('Reguler Class Availability'!$F:$F,AQ19)&amp;""),0),"0%")&amp;")","")&amp;CHAR(10)&amp;IF(INDEX('Reguler Class Availability'!$I:$I,AQ19)&amp;""="","coach: –",PROPER(INDEX('Reguler Class Availability'!$I:$I,AQ19)&amp;""))&amp;IF(INDEX('Reguler Class Availability'!$J:$J,AQ19)&amp;""="","",CHAR(10)&amp;"asst: "&amp;PROPER(INDEX('Reguler Class Availability'!$J:$J,AQ19)&amp;""))))</f>
        <v>Baby  0/5  (0%)
coach: –</v>
      </c>
      <c r="F19" s="67" t="str">
        <f aca="false">IF(AR19="","",IF(AZ19="Tidak dibuka","–",IF(INDEX('Reguler Class Availability'!$B:$B,AR19)&amp;""="","Kosong",PROPER(INDEX('Reguler Class Availability'!$B:$B,AR19)&amp;""))&amp;"  "&amp;IFERROR(--(INDEX('Reguler Class Availability'!$G:$G,AR19)&amp;""),0)&amp;"/"&amp;IFERROR(--(INDEX('Reguler Class Availability'!$F:$F,AR19)&amp;""),0)&amp;IF(IFERROR(--(INDEX('Reguler Class Availability'!$F:$F,AR19)&amp;""),0)&gt;0,"  ("&amp;TEXT(IFERROR(--(INDEX('Reguler Class Availability'!$G:$G,AR19)&amp;""),0)/IFERROR(--(INDEX('Reguler Class Availability'!$F:$F,AR19)&amp;""),0),"0%")&amp;")","")&amp;CHAR(10)&amp;IF(INDEX('Reguler Class Availability'!$I:$I,AR19)&amp;""="","coach: –",PROPER(INDEX('Reguler Class Availability'!$I:$I,AR19)&amp;""))&amp;IF(INDEX('Reguler Class Availability'!$J:$J,AR19)&amp;""="","",CHAR(10)&amp;"asst: "&amp;PROPER(INDEX('Reguler Class Availability'!$J:$J,AR19)&amp;""))))</f>
        <v>Baby  0/5  (0%)
coach: –</v>
      </c>
      <c r="G19" s="67" t="str">
        <f aca="false">IF(AS19="","",IF(BA19="Tidak dibuka","–",IF(INDEX('Reguler Class Availability'!$B:$B,AS19)&amp;""="","Kosong",PROPER(INDEX('Reguler Class Availability'!$B:$B,AS19)&amp;""))&amp;"  "&amp;IFERROR(--(INDEX('Reguler Class Availability'!$G:$G,AS19)&amp;""),0)&amp;"/"&amp;IFERROR(--(INDEX('Reguler Class Availability'!$F:$F,AS19)&amp;""),0)&amp;IF(IFERROR(--(INDEX('Reguler Class Availability'!$F:$F,AS19)&amp;""),0)&gt;0,"  ("&amp;TEXT(IFERROR(--(INDEX('Reguler Class Availability'!$G:$G,AS19)&amp;""),0)/IFERROR(--(INDEX('Reguler Class Availability'!$F:$F,AS19)&amp;""),0),"0%")&amp;")","")&amp;CHAR(10)&amp;IF(INDEX('Reguler Class Availability'!$I:$I,AS19)&amp;""="","coach: –",PROPER(INDEX('Reguler Class Availability'!$I:$I,AS19)&amp;""))&amp;IF(INDEX('Reguler Class Availability'!$J:$J,AS19)&amp;""="","",CHAR(10)&amp;"asst: "&amp;PROPER(INDEX('Reguler Class Availability'!$J:$J,AS19)&amp;""))))</f>
        <v>Baby  0/5  (0%)
coach: –</v>
      </c>
      <c r="H19" s="67" t="str">
        <f aca="false">IF(AT19="","",IF(BB19="Tidak dibuka","–",IF(INDEX('Reguler Class Availability'!$B:$B,AT19)&amp;""="","Kosong",PROPER(INDEX('Reguler Class Availability'!$B:$B,AT19)&amp;""))&amp;"  "&amp;IFERROR(--(INDEX('Reguler Class Availability'!$G:$G,AT19)&amp;""),0)&amp;"/"&amp;IFERROR(--(INDEX('Reguler Class Availability'!$F:$F,AT19)&amp;""),0)&amp;IF(IFERROR(--(INDEX('Reguler Class Availability'!$F:$F,AT19)&amp;""),0)&gt;0,"  ("&amp;TEXT(IFERROR(--(INDEX('Reguler Class Availability'!$G:$G,AT19)&amp;""),0)/IFERROR(--(INDEX('Reguler Class Availability'!$F:$F,AT19)&amp;""),0),"0%")&amp;")","")&amp;CHAR(10)&amp;IF(INDEX('Reguler Class Availability'!$I:$I,AT19)&amp;""="","coach: –",PROPER(INDEX('Reguler Class Availability'!$I:$I,AT19)&amp;""))&amp;IF(INDEX('Reguler Class Availability'!$J:$J,AT19)&amp;""="","",CHAR(10)&amp;"asst: "&amp;PROPER(INDEX('Reguler Class Availability'!$J:$J,AT19)&amp;""))))</f>
        <v>Baby  0/5  (0%)
coach: –</v>
      </c>
      <c r="AN19" s="30" t="n">
        <f aca="false">IF($A19="","",IFERROR(MATCH($B$4&amp;"|- Lane 1 - "&amp;B$13&amp;"|"&amp;$A19,'Reguler Class Availability'!$L:$L,0),""))</f>
        <v>2414</v>
      </c>
      <c r="AO19" s="30" t="n">
        <f aca="false">IF($A19="","",IFERROR(MATCH($B$4&amp;"|- Lane 1 - "&amp;C$13&amp;"|"&amp;$A19,'Reguler Class Availability'!$L:$L,0),""))</f>
        <v>2426</v>
      </c>
      <c r="AP19" s="30" t="n">
        <f aca="false">IF($A19="","",IFERROR(MATCH($B$4&amp;"|- Lane 1 - "&amp;D$13&amp;"|"&amp;$A19,'Reguler Class Availability'!$L:$L,0),""))</f>
        <v>2438</v>
      </c>
      <c r="AQ19" s="30" t="n">
        <f aca="false">IF($A19="","",IFERROR(MATCH($B$4&amp;"|- Lane 1 - "&amp;E$13&amp;"|"&amp;$A19,'Reguler Class Availability'!$L:$L,0),""))</f>
        <v>2450</v>
      </c>
      <c r="AR19" s="30" t="n">
        <f aca="false">IF($A19="","",IFERROR(MATCH($B$4&amp;"|- Lane 1 - "&amp;F$13&amp;"|"&amp;$A19,'Reguler Class Availability'!$L:$L,0),""))</f>
        <v>2462</v>
      </c>
      <c r="AS19" s="30" t="n">
        <f aca="false">IF($A19="","",IFERROR(MATCH($B$4&amp;"|- Lane 1 - "&amp;G$13&amp;"|"&amp;$A19,'Reguler Class Availability'!$L:$L,0),""))</f>
        <v>2474</v>
      </c>
      <c r="AT19" s="30" t="n">
        <f aca="false">IF($A19="","",IFERROR(MATCH($B$4&amp;"|- Lane 1 - "&amp;H$13&amp;"|"&amp;$A19,'Reguler Class Availability'!$L:$L,0),""))</f>
        <v>2486</v>
      </c>
      <c r="AV19" s="0" t="str">
        <f aca="false">IF(AN19="","",IF(AND(IFERROR(--(INDEX('Reguler Class Availability'!$F:$F,AN19)&amp;""),0)=0,IFERROR(--(INDEX('Reguler Class Availability'!$G:$G,AN19)&amp;""),0)=0),IF(OR(INDEX('Reguler Class Availability'!$B:$B,AN19)&amp;""&lt;&gt;"",INDEX('Reguler Class Availability'!$I:$I,AN19)&amp;""&lt;&gt;""),"Tutup","Tidak dibuka"),IF(IFERROR(--(INDEX('Reguler Class Availability'!$G:$G,AN19)&amp;""),0)&gt;IFERROR(--(INDEX('Reguler Class Availability'!$F:$F,AN19)&amp;""),0),"Lebih",IF(IFERROR(--(INDEX('Reguler Class Availability'!$G:$G,AN19)&amp;""),0)=IFERROR(--(INDEX('Reguler Class Availability'!$F:$F,AN19)&amp;""),0),"Penuh",IF(IFERROR(--(INDEX('Reguler Class Availability'!$G:$G,AN19)&amp;""),0)=0,IF(INDEX('Reguler Class Availability'!$B:$B,AN19)&amp;""="","Kosong","Belum terisi"),IF(IFERROR(--(INDEX('Reguler Class Availability'!$G:$G,AN19)&amp;""),0)/IFERROR(--(INDEX('Reguler Class Availability'!$F:$F,AN19)&amp;""),0)&gt;=0.6,"Tinggi","Sebagian"))))))</f>
        <v>Belum terisi</v>
      </c>
      <c r="AW19" s="0" t="str">
        <f aca="false">IF(AO19="","",IF(AND(IFERROR(--(INDEX('Reguler Class Availability'!$F:$F,AO19)&amp;""),0)=0,IFERROR(--(INDEX('Reguler Class Availability'!$G:$G,AO19)&amp;""),0)=0),IF(OR(INDEX('Reguler Class Availability'!$B:$B,AO19)&amp;""&lt;&gt;"",INDEX('Reguler Class Availability'!$I:$I,AO19)&amp;""&lt;&gt;""),"Tutup","Tidak dibuka"),IF(IFERROR(--(INDEX('Reguler Class Availability'!$G:$G,AO19)&amp;""),0)&gt;IFERROR(--(INDEX('Reguler Class Availability'!$F:$F,AO19)&amp;""),0),"Lebih",IF(IFERROR(--(INDEX('Reguler Class Availability'!$G:$G,AO19)&amp;""),0)=IFERROR(--(INDEX('Reguler Class Availability'!$F:$F,AO19)&amp;""),0),"Penuh",IF(IFERROR(--(INDEX('Reguler Class Availability'!$G:$G,AO19)&amp;""),0)=0,IF(INDEX('Reguler Class Availability'!$B:$B,AO19)&amp;""="","Kosong","Belum terisi"),IF(IFERROR(--(INDEX('Reguler Class Availability'!$G:$G,AO19)&amp;""),0)/IFERROR(--(INDEX('Reguler Class Availability'!$F:$F,AO19)&amp;""),0)&gt;=0.6,"Tinggi","Sebagian"))))))</f>
        <v>Sebagian</v>
      </c>
      <c r="AX19" s="0" t="str">
        <f aca="false">IF(AP19="","",IF(AND(IFERROR(--(INDEX('Reguler Class Availability'!$F:$F,AP19)&amp;""),0)=0,IFERROR(--(INDEX('Reguler Class Availability'!$G:$G,AP19)&amp;""),0)=0),IF(OR(INDEX('Reguler Class Availability'!$B:$B,AP19)&amp;""&lt;&gt;"",INDEX('Reguler Class Availability'!$I:$I,AP19)&amp;""&lt;&gt;""),"Tutup","Tidak dibuka"),IF(IFERROR(--(INDEX('Reguler Class Availability'!$G:$G,AP19)&amp;""),0)&gt;IFERROR(--(INDEX('Reguler Class Availability'!$F:$F,AP19)&amp;""),0),"Lebih",IF(IFERROR(--(INDEX('Reguler Class Availability'!$G:$G,AP19)&amp;""),0)=IFERROR(--(INDEX('Reguler Class Availability'!$F:$F,AP19)&amp;""),0),"Penuh",IF(IFERROR(--(INDEX('Reguler Class Availability'!$G:$G,AP19)&amp;""),0)=0,IF(INDEX('Reguler Class Availability'!$B:$B,AP19)&amp;""="","Kosong","Belum terisi"),IF(IFERROR(--(INDEX('Reguler Class Availability'!$G:$G,AP19)&amp;""),0)/IFERROR(--(INDEX('Reguler Class Availability'!$F:$F,AP19)&amp;""),0)&gt;=0.6,"Tinggi","Sebagian"))))))</f>
        <v>Sebagian</v>
      </c>
      <c r="AY19" s="0" t="str">
        <f aca="false">IF(AQ19="","",IF(AND(IFERROR(--(INDEX('Reguler Class Availability'!$F:$F,AQ19)&amp;""),0)=0,IFERROR(--(INDEX('Reguler Class Availability'!$G:$G,AQ19)&amp;""),0)=0),IF(OR(INDEX('Reguler Class Availability'!$B:$B,AQ19)&amp;""&lt;&gt;"",INDEX('Reguler Class Availability'!$I:$I,AQ19)&amp;""&lt;&gt;""),"Tutup","Tidak dibuka"),IF(IFERROR(--(INDEX('Reguler Class Availability'!$G:$G,AQ19)&amp;""),0)&gt;IFERROR(--(INDEX('Reguler Class Availability'!$F:$F,AQ19)&amp;""),0),"Lebih",IF(IFERROR(--(INDEX('Reguler Class Availability'!$G:$G,AQ19)&amp;""),0)=IFERROR(--(INDEX('Reguler Class Availability'!$F:$F,AQ19)&amp;""),0),"Penuh",IF(IFERROR(--(INDEX('Reguler Class Availability'!$G:$G,AQ19)&amp;""),0)=0,IF(INDEX('Reguler Class Availability'!$B:$B,AQ19)&amp;""="","Kosong","Belum terisi"),IF(IFERROR(--(INDEX('Reguler Class Availability'!$G:$G,AQ19)&amp;""),0)/IFERROR(--(INDEX('Reguler Class Availability'!$F:$F,AQ19)&amp;""),0)&gt;=0.6,"Tinggi","Sebagian"))))))</f>
        <v>Belum terisi</v>
      </c>
      <c r="AZ19" s="0" t="str">
        <f aca="false">IF(AR19="","",IF(AND(IFERROR(--(INDEX('Reguler Class Availability'!$F:$F,AR19)&amp;""),0)=0,IFERROR(--(INDEX('Reguler Class Availability'!$G:$G,AR19)&amp;""),0)=0),IF(OR(INDEX('Reguler Class Availability'!$B:$B,AR19)&amp;""&lt;&gt;"",INDEX('Reguler Class Availability'!$I:$I,AR19)&amp;""&lt;&gt;""),"Tutup","Tidak dibuka"),IF(IFERROR(--(INDEX('Reguler Class Availability'!$G:$G,AR19)&amp;""),0)&gt;IFERROR(--(INDEX('Reguler Class Availability'!$F:$F,AR19)&amp;""),0),"Lebih",IF(IFERROR(--(INDEX('Reguler Class Availability'!$G:$G,AR19)&amp;""),0)=IFERROR(--(INDEX('Reguler Class Availability'!$F:$F,AR19)&amp;""),0),"Penuh",IF(IFERROR(--(INDEX('Reguler Class Availability'!$G:$G,AR19)&amp;""),0)=0,IF(INDEX('Reguler Class Availability'!$B:$B,AR19)&amp;""="","Kosong","Belum terisi"),IF(IFERROR(--(INDEX('Reguler Class Availability'!$G:$G,AR19)&amp;""),0)/IFERROR(--(INDEX('Reguler Class Availability'!$F:$F,AR19)&amp;""),0)&gt;=0.6,"Tinggi","Sebagian"))))))</f>
        <v>Belum terisi</v>
      </c>
      <c r="BA19" s="0" t="str">
        <f aca="false">IF(AS19="","",IF(AND(IFERROR(--(INDEX('Reguler Class Availability'!$F:$F,AS19)&amp;""),0)=0,IFERROR(--(INDEX('Reguler Class Availability'!$G:$G,AS19)&amp;""),0)=0),IF(OR(INDEX('Reguler Class Availability'!$B:$B,AS19)&amp;""&lt;&gt;"",INDEX('Reguler Class Availability'!$I:$I,AS19)&amp;""&lt;&gt;""),"Tutup","Tidak dibuka"),IF(IFERROR(--(INDEX('Reguler Class Availability'!$G:$G,AS19)&amp;""),0)&gt;IFERROR(--(INDEX('Reguler Class Availability'!$F:$F,AS19)&amp;""),0),"Lebih",IF(IFERROR(--(INDEX('Reguler Class Availability'!$G:$G,AS19)&amp;""),0)=IFERROR(--(INDEX('Reguler Class Availability'!$F:$F,AS19)&amp;""),0),"Penuh",IF(IFERROR(--(INDEX('Reguler Class Availability'!$G:$G,AS19)&amp;""),0)=0,IF(INDEX('Reguler Class Availability'!$B:$B,AS19)&amp;""="","Kosong","Belum terisi"),IF(IFERROR(--(INDEX('Reguler Class Availability'!$G:$G,AS19)&amp;""),0)/IFERROR(--(INDEX('Reguler Class Availability'!$F:$F,AS19)&amp;""),0)&gt;=0.6,"Tinggi","Sebagian"))))))</f>
        <v>Belum terisi</v>
      </c>
      <c r="BB19" s="0" t="str">
        <f aca="false">IF(AT19="","",IF(AND(IFERROR(--(INDEX('Reguler Class Availability'!$F:$F,AT19)&amp;""),0)=0,IFERROR(--(INDEX('Reguler Class Availability'!$G:$G,AT19)&amp;""),0)=0),IF(OR(INDEX('Reguler Class Availability'!$B:$B,AT19)&amp;""&lt;&gt;"",INDEX('Reguler Class Availability'!$I:$I,AT19)&amp;""&lt;&gt;""),"Tutup","Tidak dibuka"),IF(IFERROR(--(INDEX('Reguler Class Availability'!$G:$G,AT19)&amp;""),0)&gt;IFERROR(--(INDEX('Reguler Class Availability'!$F:$F,AT19)&amp;""),0),"Lebih",IF(IFERROR(--(INDEX('Reguler Class Availability'!$G:$G,AT19)&amp;""),0)=IFERROR(--(INDEX('Reguler Class Availability'!$F:$F,AT19)&amp;""),0),"Penuh",IF(IFERROR(--(INDEX('Reguler Class Availability'!$G:$G,AT19)&amp;""),0)=0,IF(INDEX('Reguler Class Availability'!$B:$B,AT19)&amp;""="","Kosong","Belum terisi"),IF(IFERROR(--(INDEX('Reguler Class Availability'!$G:$G,AT19)&amp;""),0)/IFERROR(--(INDEX('Reguler Class Availability'!$F:$F,AT19)&amp;""),0)&gt;=0.6,"Tinggi","Sebagian"))))))</f>
        <v>Belum terisi</v>
      </c>
      <c r="BD19" s="30" t="s">
        <v>126</v>
      </c>
      <c r="BE19" s="30" t="n">
        <f aca="false">IF(COUNTIFS('Reguler Class Availability'!$L:$L,$B$4&amp;"|- Lane 1 - *|"&amp;BD19)&gt;0,1,0)</f>
        <v>1</v>
      </c>
      <c r="BF19" s="30" t="n">
        <f aca="false">BE19+BF18</f>
        <v>5</v>
      </c>
    </row>
    <row r="20" customFormat="false" ht="39.75" hidden="false" customHeight="true" outlineLevel="0" collapsed="false">
      <c r="A20" s="66" t="str">
        <f aca="false">IFERROR(INDEX($BD$2:$BD$61,MATCH(7,$BF$2:$BF$61,0)),"")</f>
        <v>11:45</v>
      </c>
      <c r="B20" s="67" t="str">
        <f aca="false">IF(AN20="","",IF(AV20="Tidak dibuka","–",IF(INDEX('Reguler Class Availability'!$B:$B,AN20)&amp;""="","Kosong",PROPER(INDEX('Reguler Class Availability'!$B:$B,AN20)&amp;""))&amp;"  "&amp;IFERROR(--(INDEX('Reguler Class Availability'!$G:$G,AN20)&amp;""),0)&amp;"/"&amp;IFERROR(--(INDEX('Reguler Class Availability'!$F:$F,AN20)&amp;""),0)&amp;IF(IFERROR(--(INDEX('Reguler Class Availability'!$F:$F,AN20)&amp;""),0)&gt;0,"  ("&amp;TEXT(IFERROR(--(INDEX('Reguler Class Availability'!$G:$G,AN20)&amp;""),0)/IFERROR(--(INDEX('Reguler Class Availability'!$F:$F,AN20)&amp;""),0),"0%")&amp;")","")&amp;CHAR(10)&amp;IF(INDEX('Reguler Class Availability'!$I:$I,AN20)&amp;""="","coach: –",PROPER(INDEX('Reguler Class Availability'!$I:$I,AN20)&amp;""))&amp;IF(INDEX('Reguler Class Availability'!$J:$J,AN20)&amp;""="","",CHAR(10)&amp;"asst: "&amp;PROPER(INDEX('Reguler Class Availability'!$J:$J,AN20)&amp;""))))</f>
        <v>Baby  0/5  (0%)
coach: –</v>
      </c>
      <c r="C20" s="67" t="str">
        <f aca="false">IF(AO20="","",IF(AW20="Tidak dibuka","–",IF(INDEX('Reguler Class Availability'!$B:$B,AO20)&amp;""="","Kosong",PROPER(INDEX('Reguler Class Availability'!$B:$B,AO20)&amp;""))&amp;"  "&amp;IFERROR(--(INDEX('Reguler Class Availability'!$G:$G,AO20)&amp;""),0)&amp;"/"&amp;IFERROR(--(INDEX('Reguler Class Availability'!$F:$F,AO20)&amp;""),0)&amp;IF(IFERROR(--(INDEX('Reguler Class Availability'!$F:$F,AO20)&amp;""),0)&gt;0,"  ("&amp;TEXT(IFERROR(--(INDEX('Reguler Class Availability'!$G:$G,AO20)&amp;""),0)/IFERROR(--(INDEX('Reguler Class Availability'!$F:$F,AO20)&amp;""),0),"0%")&amp;")","")&amp;CHAR(10)&amp;IF(INDEX('Reguler Class Availability'!$I:$I,AO20)&amp;""="","coach: –",PROPER(INDEX('Reguler Class Availability'!$I:$I,AO20)&amp;""))&amp;IF(INDEX('Reguler Class Availability'!$J:$J,AO20)&amp;""="","",CHAR(10)&amp;"asst: "&amp;PROPER(INDEX('Reguler Class Availability'!$J:$J,AO20)&amp;""))))</f>
        <v>Baby  0/5  (0%)
coach: –</v>
      </c>
      <c r="D20" s="67" t="str">
        <f aca="false">IF(AP20="","",IF(AX20="Tidak dibuka","–",IF(INDEX('Reguler Class Availability'!$B:$B,AP20)&amp;""="","Kosong",PROPER(INDEX('Reguler Class Availability'!$B:$B,AP20)&amp;""))&amp;"  "&amp;IFERROR(--(INDEX('Reguler Class Availability'!$G:$G,AP20)&amp;""),0)&amp;"/"&amp;IFERROR(--(INDEX('Reguler Class Availability'!$F:$F,AP20)&amp;""),0)&amp;IF(IFERROR(--(INDEX('Reguler Class Availability'!$F:$F,AP20)&amp;""),0)&gt;0,"  ("&amp;TEXT(IFERROR(--(INDEX('Reguler Class Availability'!$G:$G,AP20)&amp;""),0)/IFERROR(--(INDEX('Reguler Class Availability'!$F:$F,AP20)&amp;""),0),"0%")&amp;")","")&amp;CHAR(10)&amp;IF(INDEX('Reguler Class Availability'!$I:$I,AP20)&amp;""="","coach: –",PROPER(INDEX('Reguler Class Availability'!$I:$I,AP20)&amp;""))&amp;IF(INDEX('Reguler Class Availability'!$J:$J,AP20)&amp;""="","",CHAR(10)&amp;"asst: "&amp;PROPER(INDEX('Reguler Class Availability'!$J:$J,AP20)&amp;""))))</f>
        <v>Baby  0/5  (0%)
coach: –</v>
      </c>
      <c r="E20" s="67" t="str">
        <f aca="false">IF(AQ20="","",IF(AY20="Tidak dibuka","–",IF(INDEX('Reguler Class Availability'!$B:$B,AQ20)&amp;""="","Kosong",PROPER(INDEX('Reguler Class Availability'!$B:$B,AQ20)&amp;""))&amp;"  "&amp;IFERROR(--(INDEX('Reguler Class Availability'!$G:$G,AQ20)&amp;""),0)&amp;"/"&amp;IFERROR(--(INDEX('Reguler Class Availability'!$F:$F,AQ20)&amp;""),0)&amp;IF(IFERROR(--(INDEX('Reguler Class Availability'!$F:$F,AQ20)&amp;""),0)&gt;0,"  ("&amp;TEXT(IFERROR(--(INDEX('Reguler Class Availability'!$G:$G,AQ20)&amp;""),0)/IFERROR(--(INDEX('Reguler Class Availability'!$F:$F,AQ20)&amp;""),0),"0%")&amp;")","")&amp;CHAR(10)&amp;IF(INDEX('Reguler Class Availability'!$I:$I,AQ20)&amp;""="","coach: –",PROPER(INDEX('Reguler Class Availability'!$I:$I,AQ20)&amp;""))&amp;IF(INDEX('Reguler Class Availability'!$J:$J,AQ20)&amp;""="","",CHAR(10)&amp;"asst: "&amp;PROPER(INDEX('Reguler Class Availability'!$J:$J,AQ20)&amp;""))))</f>
        <v>Baby  0/5  (0%)
coach: –</v>
      </c>
      <c r="F20" s="67" t="str">
        <f aca="false">IF(AR20="","",IF(AZ20="Tidak dibuka","–",IF(INDEX('Reguler Class Availability'!$B:$B,AR20)&amp;""="","Kosong",PROPER(INDEX('Reguler Class Availability'!$B:$B,AR20)&amp;""))&amp;"  "&amp;IFERROR(--(INDEX('Reguler Class Availability'!$G:$G,AR20)&amp;""),0)&amp;"/"&amp;IFERROR(--(INDEX('Reguler Class Availability'!$F:$F,AR20)&amp;""),0)&amp;IF(IFERROR(--(INDEX('Reguler Class Availability'!$F:$F,AR20)&amp;""),0)&gt;0,"  ("&amp;TEXT(IFERROR(--(INDEX('Reguler Class Availability'!$G:$G,AR20)&amp;""),0)/IFERROR(--(INDEX('Reguler Class Availability'!$F:$F,AR20)&amp;""),0),"0%")&amp;")","")&amp;CHAR(10)&amp;IF(INDEX('Reguler Class Availability'!$I:$I,AR20)&amp;""="","coach: –",PROPER(INDEX('Reguler Class Availability'!$I:$I,AR20)&amp;""))&amp;IF(INDEX('Reguler Class Availability'!$J:$J,AR20)&amp;""="","",CHAR(10)&amp;"asst: "&amp;PROPER(INDEX('Reguler Class Availability'!$J:$J,AR20)&amp;""))))</f>
        <v>Baby  0/5  (0%)
coach: –</v>
      </c>
      <c r="G20" s="67" t="str">
        <f aca="false">IF(AS20="","",IF(BA20="Tidak dibuka","–",IF(INDEX('Reguler Class Availability'!$B:$B,AS20)&amp;""="","Kosong",PROPER(INDEX('Reguler Class Availability'!$B:$B,AS20)&amp;""))&amp;"  "&amp;IFERROR(--(INDEX('Reguler Class Availability'!$G:$G,AS20)&amp;""),0)&amp;"/"&amp;IFERROR(--(INDEX('Reguler Class Availability'!$F:$F,AS20)&amp;""),0)&amp;IF(IFERROR(--(INDEX('Reguler Class Availability'!$F:$F,AS20)&amp;""),0)&gt;0,"  ("&amp;TEXT(IFERROR(--(INDEX('Reguler Class Availability'!$G:$G,AS20)&amp;""),0)/IFERROR(--(INDEX('Reguler Class Availability'!$F:$F,AS20)&amp;""),0),"0%")&amp;")","")&amp;CHAR(10)&amp;IF(INDEX('Reguler Class Availability'!$I:$I,AS20)&amp;""="","coach: –",PROPER(INDEX('Reguler Class Availability'!$I:$I,AS20)&amp;""))&amp;IF(INDEX('Reguler Class Availability'!$J:$J,AS20)&amp;""="","",CHAR(10)&amp;"asst: "&amp;PROPER(INDEX('Reguler Class Availability'!$J:$J,AS20)&amp;""))))</f>
        <v>Baby  0/5  (0%)
coach: –</v>
      </c>
      <c r="H20" s="67" t="str">
        <f aca="false">IF(AT20="","",IF(BB20="Tidak dibuka","–",IF(INDEX('Reguler Class Availability'!$B:$B,AT20)&amp;""="","Kosong",PROPER(INDEX('Reguler Class Availability'!$B:$B,AT20)&amp;""))&amp;"  "&amp;IFERROR(--(INDEX('Reguler Class Availability'!$G:$G,AT20)&amp;""),0)&amp;"/"&amp;IFERROR(--(INDEX('Reguler Class Availability'!$F:$F,AT20)&amp;""),0)&amp;IF(IFERROR(--(INDEX('Reguler Class Availability'!$F:$F,AT20)&amp;""),0)&gt;0,"  ("&amp;TEXT(IFERROR(--(INDEX('Reguler Class Availability'!$G:$G,AT20)&amp;""),0)/IFERROR(--(INDEX('Reguler Class Availability'!$F:$F,AT20)&amp;""),0),"0%")&amp;")","")&amp;CHAR(10)&amp;IF(INDEX('Reguler Class Availability'!$I:$I,AT20)&amp;""="","coach: –",PROPER(INDEX('Reguler Class Availability'!$I:$I,AT20)&amp;""))&amp;IF(INDEX('Reguler Class Availability'!$J:$J,AT20)&amp;""="","",CHAR(10)&amp;"asst: "&amp;PROPER(INDEX('Reguler Class Availability'!$J:$J,AT20)&amp;""))))</f>
        <v>Baby  1/5  (20%)
Rizky</v>
      </c>
      <c r="AN20" s="30" t="n">
        <f aca="false">IF($A20="","",IFERROR(MATCH($B$4&amp;"|- Lane 1 - "&amp;B$13&amp;"|"&amp;$A20,'Reguler Class Availability'!$L:$L,0),""))</f>
        <v>2415</v>
      </c>
      <c r="AO20" s="30" t="n">
        <f aca="false">IF($A20="","",IFERROR(MATCH($B$4&amp;"|- Lane 1 - "&amp;C$13&amp;"|"&amp;$A20,'Reguler Class Availability'!$L:$L,0),""))</f>
        <v>2427</v>
      </c>
      <c r="AP20" s="30" t="n">
        <f aca="false">IF($A20="","",IFERROR(MATCH($B$4&amp;"|- Lane 1 - "&amp;D$13&amp;"|"&amp;$A20,'Reguler Class Availability'!$L:$L,0),""))</f>
        <v>2439</v>
      </c>
      <c r="AQ20" s="30" t="n">
        <f aca="false">IF($A20="","",IFERROR(MATCH($B$4&amp;"|- Lane 1 - "&amp;E$13&amp;"|"&amp;$A20,'Reguler Class Availability'!$L:$L,0),""))</f>
        <v>2451</v>
      </c>
      <c r="AR20" s="30" t="n">
        <f aca="false">IF($A20="","",IFERROR(MATCH($B$4&amp;"|- Lane 1 - "&amp;F$13&amp;"|"&amp;$A20,'Reguler Class Availability'!$L:$L,0),""))</f>
        <v>2463</v>
      </c>
      <c r="AS20" s="30" t="n">
        <f aca="false">IF($A20="","",IFERROR(MATCH($B$4&amp;"|- Lane 1 - "&amp;G$13&amp;"|"&amp;$A20,'Reguler Class Availability'!$L:$L,0),""))</f>
        <v>2475</v>
      </c>
      <c r="AT20" s="30" t="n">
        <f aca="false">IF($A20="","",IFERROR(MATCH($B$4&amp;"|- Lane 1 - "&amp;H$13&amp;"|"&amp;$A20,'Reguler Class Availability'!$L:$L,0),""))</f>
        <v>2487</v>
      </c>
      <c r="AV20" s="0" t="str">
        <f aca="false">IF(AN20="","",IF(AND(IFERROR(--(INDEX('Reguler Class Availability'!$F:$F,AN20)&amp;""),0)=0,IFERROR(--(INDEX('Reguler Class Availability'!$G:$G,AN20)&amp;""),0)=0),IF(OR(INDEX('Reguler Class Availability'!$B:$B,AN20)&amp;""&lt;&gt;"",INDEX('Reguler Class Availability'!$I:$I,AN20)&amp;""&lt;&gt;""),"Tutup","Tidak dibuka"),IF(IFERROR(--(INDEX('Reguler Class Availability'!$G:$G,AN20)&amp;""),0)&gt;IFERROR(--(INDEX('Reguler Class Availability'!$F:$F,AN20)&amp;""),0),"Lebih",IF(IFERROR(--(INDEX('Reguler Class Availability'!$G:$G,AN20)&amp;""),0)=IFERROR(--(INDEX('Reguler Class Availability'!$F:$F,AN20)&amp;""),0),"Penuh",IF(IFERROR(--(INDEX('Reguler Class Availability'!$G:$G,AN20)&amp;""),0)=0,IF(INDEX('Reguler Class Availability'!$B:$B,AN20)&amp;""="","Kosong","Belum terisi"),IF(IFERROR(--(INDEX('Reguler Class Availability'!$G:$G,AN20)&amp;""),0)/IFERROR(--(INDEX('Reguler Class Availability'!$F:$F,AN20)&amp;""),0)&gt;=0.6,"Tinggi","Sebagian"))))))</f>
        <v>Belum terisi</v>
      </c>
      <c r="AW20" s="0" t="str">
        <f aca="false">IF(AO20="","",IF(AND(IFERROR(--(INDEX('Reguler Class Availability'!$F:$F,AO20)&amp;""),0)=0,IFERROR(--(INDEX('Reguler Class Availability'!$G:$G,AO20)&amp;""),0)=0),IF(OR(INDEX('Reguler Class Availability'!$B:$B,AO20)&amp;""&lt;&gt;"",INDEX('Reguler Class Availability'!$I:$I,AO20)&amp;""&lt;&gt;""),"Tutup","Tidak dibuka"),IF(IFERROR(--(INDEX('Reguler Class Availability'!$G:$G,AO20)&amp;""),0)&gt;IFERROR(--(INDEX('Reguler Class Availability'!$F:$F,AO20)&amp;""),0),"Lebih",IF(IFERROR(--(INDEX('Reguler Class Availability'!$G:$G,AO20)&amp;""),0)=IFERROR(--(INDEX('Reguler Class Availability'!$F:$F,AO20)&amp;""),0),"Penuh",IF(IFERROR(--(INDEX('Reguler Class Availability'!$G:$G,AO20)&amp;""),0)=0,IF(INDEX('Reguler Class Availability'!$B:$B,AO20)&amp;""="","Kosong","Belum terisi"),IF(IFERROR(--(INDEX('Reguler Class Availability'!$G:$G,AO20)&amp;""),0)/IFERROR(--(INDEX('Reguler Class Availability'!$F:$F,AO20)&amp;""),0)&gt;=0.6,"Tinggi","Sebagian"))))))</f>
        <v>Belum terisi</v>
      </c>
      <c r="AX20" s="0" t="str">
        <f aca="false">IF(AP20="","",IF(AND(IFERROR(--(INDEX('Reguler Class Availability'!$F:$F,AP20)&amp;""),0)=0,IFERROR(--(INDEX('Reguler Class Availability'!$G:$G,AP20)&amp;""),0)=0),IF(OR(INDEX('Reguler Class Availability'!$B:$B,AP20)&amp;""&lt;&gt;"",INDEX('Reguler Class Availability'!$I:$I,AP20)&amp;""&lt;&gt;""),"Tutup","Tidak dibuka"),IF(IFERROR(--(INDEX('Reguler Class Availability'!$G:$G,AP20)&amp;""),0)&gt;IFERROR(--(INDEX('Reguler Class Availability'!$F:$F,AP20)&amp;""),0),"Lebih",IF(IFERROR(--(INDEX('Reguler Class Availability'!$G:$G,AP20)&amp;""),0)=IFERROR(--(INDEX('Reguler Class Availability'!$F:$F,AP20)&amp;""),0),"Penuh",IF(IFERROR(--(INDEX('Reguler Class Availability'!$G:$G,AP20)&amp;""),0)=0,IF(INDEX('Reguler Class Availability'!$B:$B,AP20)&amp;""="","Kosong","Belum terisi"),IF(IFERROR(--(INDEX('Reguler Class Availability'!$G:$G,AP20)&amp;""),0)/IFERROR(--(INDEX('Reguler Class Availability'!$F:$F,AP20)&amp;""),0)&gt;=0.6,"Tinggi","Sebagian"))))))</f>
        <v>Belum terisi</v>
      </c>
      <c r="AY20" s="0" t="str">
        <f aca="false">IF(AQ20="","",IF(AND(IFERROR(--(INDEX('Reguler Class Availability'!$F:$F,AQ20)&amp;""),0)=0,IFERROR(--(INDEX('Reguler Class Availability'!$G:$G,AQ20)&amp;""),0)=0),IF(OR(INDEX('Reguler Class Availability'!$B:$B,AQ20)&amp;""&lt;&gt;"",INDEX('Reguler Class Availability'!$I:$I,AQ20)&amp;""&lt;&gt;""),"Tutup","Tidak dibuka"),IF(IFERROR(--(INDEX('Reguler Class Availability'!$G:$G,AQ20)&amp;""),0)&gt;IFERROR(--(INDEX('Reguler Class Availability'!$F:$F,AQ20)&amp;""),0),"Lebih",IF(IFERROR(--(INDEX('Reguler Class Availability'!$G:$G,AQ20)&amp;""),0)=IFERROR(--(INDEX('Reguler Class Availability'!$F:$F,AQ20)&amp;""),0),"Penuh",IF(IFERROR(--(INDEX('Reguler Class Availability'!$G:$G,AQ20)&amp;""),0)=0,IF(INDEX('Reguler Class Availability'!$B:$B,AQ20)&amp;""="","Kosong","Belum terisi"),IF(IFERROR(--(INDEX('Reguler Class Availability'!$G:$G,AQ20)&amp;""),0)/IFERROR(--(INDEX('Reguler Class Availability'!$F:$F,AQ20)&amp;""),0)&gt;=0.6,"Tinggi","Sebagian"))))))</f>
        <v>Belum terisi</v>
      </c>
      <c r="AZ20" s="0" t="str">
        <f aca="false">IF(AR20="","",IF(AND(IFERROR(--(INDEX('Reguler Class Availability'!$F:$F,AR20)&amp;""),0)=0,IFERROR(--(INDEX('Reguler Class Availability'!$G:$G,AR20)&amp;""),0)=0),IF(OR(INDEX('Reguler Class Availability'!$B:$B,AR20)&amp;""&lt;&gt;"",INDEX('Reguler Class Availability'!$I:$I,AR20)&amp;""&lt;&gt;""),"Tutup","Tidak dibuka"),IF(IFERROR(--(INDEX('Reguler Class Availability'!$G:$G,AR20)&amp;""),0)&gt;IFERROR(--(INDEX('Reguler Class Availability'!$F:$F,AR20)&amp;""),0),"Lebih",IF(IFERROR(--(INDEX('Reguler Class Availability'!$G:$G,AR20)&amp;""),0)=IFERROR(--(INDEX('Reguler Class Availability'!$F:$F,AR20)&amp;""),0),"Penuh",IF(IFERROR(--(INDEX('Reguler Class Availability'!$G:$G,AR20)&amp;""),0)=0,IF(INDEX('Reguler Class Availability'!$B:$B,AR20)&amp;""="","Kosong","Belum terisi"),IF(IFERROR(--(INDEX('Reguler Class Availability'!$G:$G,AR20)&amp;""),0)/IFERROR(--(INDEX('Reguler Class Availability'!$F:$F,AR20)&amp;""),0)&gt;=0.6,"Tinggi","Sebagian"))))))</f>
        <v>Belum terisi</v>
      </c>
      <c r="BA20" s="0" t="str">
        <f aca="false">IF(AS20="","",IF(AND(IFERROR(--(INDEX('Reguler Class Availability'!$F:$F,AS20)&amp;""),0)=0,IFERROR(--(INDEX('Reguler Class Availability'!$G:$G,AS20)&amp;""),0)=0),IF(OR(INDEX('Reguler Class Availability'!$B:$B,AS20)&amp;""&lt;&gt;"",INDEX('Reguler Class Availability'!$I:$I,AS20)&amp;""&lt;&gt;""),"Tutup","Tidak dibuka"),IF(IFERROR(--(INDEX('Reguler Class Availability'!$G:$G,AS20)&amp;""),0)&gt;IFERROR(--(INDEX('Reguler Class Availability'!$F:$F,AS20)&amp;""),0),"Lebih",IF(IFERROR(--(INDEX('Reguler Class Availability'!$G:$G,AS20)&amp;""),0)=IFERROR(--(INDEX('Reguler Class Availability'!$F:$F,AS20)&amp;""),0),"Penuh",IF(IFERROR(--(INDEX('Reguler Class Availability'!$G:$G,AS20)&amp;""),0)=0,IF(INDEX('Reguler Class Availability'!$B:$B,AS20)&amp;""="","Kosong","Belum terisi"),IF(IFERROR(--(INDEX('Reguler Class Availability'!$G:$G,AS20)&amp;""),0)/IFERROR(--(INDEX('Reguler Class Availability'!$F:$F,AS20)&amp;""),0)&gt;=0.6,"Tinggi","Sebagian"))))))</f>
        <v>Belum terisi</v>
      </c>
      <c r="BB20" s="0" t="str">
        <f aca="false">IF(AT20="","",IF(AND(IFERROR(--(INDEX('Reguler Class Availability'!$F:$F,AT20)&amp;""),0)=0,IFERROR(--(INDEX('Reguler Class Availability'!$G:$G,AT20)&amp;""),0)=0),IF(OR(INDEX('Reguler Class Availability'!$B:$B,AT20)&amp;""&lt;&gt;"",INDEX('Reguler Class Availability'!$I:$I,AT20)&amp;""&lt;&gt;""),"Tutup","Tidak dibuka"),IF(IFERROR(--(INDEX('Reguler Class Availability'!$G:$G,AT20)&amp;""),0)&gt;IFERROR(--(INDEX('Reguler Class Availability'!$F:$F,AT20)&amp;""),0),"Lebih",IF(IFERROR(--(INDEX('Reguler Class Availability'!$G:$G,AT20)&amp;""),0)=IFERROR(--(INDEX('Reguler Class Availability'!$F:$F,AT20)&amp;""),0),"Penuh",IF(IFERROR(--(INDEX('Reguler Class Availability'!$G:$G,AT20)&amp;""),0)=0,IF(INDEX('Reguler Class Availability'!$B:$B,AT20)&amp;""="","Kosong","Belum terisi"),IF(IFERROR(--(INDEX('Reguler Class Availability'!$G:$G,AT20)&amp;""),0)/IFERROR(--(INDEX('Reguler Class Availability'!$F:$F,AT20)&amp;""),0)&gt;=0.6,"Tinggi","Sebagian"))))))</f>
        <v>Sebagian</v>
      </c>
      <c r="BD20" s="30" t="s">
        <v>127</v>
      </c>
      <c r="BE20" s="30" t="n">
        <f aca="false">IF(COUNTIFS('Reguler Class Availability'!$L:$L,$B$4&amp;"|- Lane 1 - *|"&amp;BD20)&gt;0,1,0)</f>
        <v>0</v>
      </c>
      <c r="BF20" s="30" t="n">
        <f aca="false">BE20+BF19</f>
        <v>5</v>
      </c>
    </row>
    <row r="21" customFormat="false" ht="39.75" hidden="false" customHeight="true" outlineLevel="0" collapsed="false">
      <c r="A21" s="66" t="str">
        <f aca="false">IFERROR(INDEX($BD$2:$BD$61,MATCH(8,$BF$2:$BF$61,0)),"")</f>
        <v>13:15</v>
      </c>
      <c r="B21" s="67" t="str">
        <f aca="false">IF(AN21="","",IF(AV21="Tidak dibuka","–",IF(INDEX('Reguler Class Availability'!$B:$B,AN21)&amp;""="","Kosong",PROPER(INDEX('Reguler Class Availability'!$B:$B,AN21)&amp;""))&amp;"  "&amp;IFERROR(--(INDEX('Reguler Class Availability'!$G:$G,AN21)&amp;""),0)&amp;"/"&amp;IFERROR(--(INDEX('Reguler Class Availability'!$F:$F,AN21)&amp;""),0)&amp;IF(IFERROR(--(INDEX('Reguler Class Availability'!$F:$F,AN21)&amp;""),0)&gt;0,"  ("&amp;TEXT(IFERROR(--(INDEX('Reguler Class Availability'!$G:$G,AN21)&amp;""),0)/IFERROR(--(INDEX('Reguler Class Availability'!$F:$F,AN21)&amp;""),0),"0%")&amp;")","")&amp;CHAR(10)&amp;IF(INDEX('Reguler Class Availability'!$I:$I,AN21)&amp;""="","coach: –",PROPER(INDEX('Reguler Class Availability'!$I:$I,AN21)&amp;""))&amp;IF(INDEX('Reguler Class Availability'!$J:$J,AN21)&amp;""="","",CHAR(10)&amp;"asst: "&amp;PROPER(INDEX('Reguler Class Availability'!$J:$J,AN21)&amp;""))))</f>
        <v>Baby  0/5  (0%)
coach: –</v>
      </c>
      <c r="C21" s="67" t="str">
        <f aca="false">IF(AO21="","",IF(AW21="Tidak dibuka","–",IF(INDEX('Reguler Class Availability'!$B:$B,AO21)&amp;""="","Kosong",PROPER(INDEX('Reguler Class Availability'!$B:$B,AO21)&amp;""))&amp;"  "&amp;IFERROR(--(INDEX('Reguler Class Availability'!$G:$G,AO21)&amp;""),0)&amp;"/"&amp;IFERROR(--(INDEX('Reguler Class Availability'!$F:$F,AO21)&amp;""),0)&amp;IF(IFERROR(--(INDEX('Reguler Class Availability'!$F:$F,AO21)&amp;""),0)&gt;0,"  ("&amp;TEXT(IFERROR(--(INDEX('Reguler Class Availability'!$G:$G,AO21)&amp;""),0)/IFERROR(--(INDEX('Reguler Class Availability'!$F:$F,AO21)&amp;""),0),"0%")&amp;")","")&amp;CHAR(10)&amp;IF(INDEX('Reguler Class Availability'!$I:$I,AO21)&amp;""="","coach: –",PROPER(INDEX('Reguler Class Availability'!$I:$I,AO21)&amp;""))&amp;IF(INDEX('Reguler Class Availability'!$J:$J,AO21)&amp;""="","",CHAR(10)&amp;"asst: "&amp;PROPER(INDEX('Reguler Class Availability'!$J:$J,AO21)&amp;""))))</f>
        <v>Baby  0/5  (0%)
coach: –</v>
      </c>
      <c r="D21" s="67" t="str">
        <f aca="false">IF(AP21="","",IF(AX21="Tidak dibuka","–",IF(INDEX('Reguler Class Availability'!$B:$B,AP21)&amp;""="","Kosong",PROPER(INDEX('Reguler Class Availability'!$B:$B,AP21)&amp;""))&amp;"  "&amp;IFERROR(--(INDEX('Reguler Class Availability'!$G:$G,AP21)&amp;""),0)&amp;"/"&amp;IFERROR(--(INDEX('Reguler Class Availability'!$F:$F,AP21)&amp;""),0)&amp;IF(IFERROR(--(INDEX('Reguler Class Availability'!$F:$F,AP21)&amp;""),0)&gt;0,"  ("&amp;TEXT(IFERROR(--(INDEX('Reguler Class Availability'!$G:$G,AP21)&amp;""),0)/IFERROR(--(INDEX('Reguler Class Availability'!$F:$F,AP21)&amp;""),0),"0%")&amp;")","")&amp;CHAR(10)&amp;IF(INDEX('Reguler Class Availability'!$I:$I,AP21)&amp;""="","coach: –",PROPER(INDEX('Reguler Class Availability'!$I:$I,AP21)&amp;""))&amp;IF(INDEX('Reguler Class Availability'!$J:$J,AP21)&amp;""="","",CHAR(10)&amp;"asst: "&amp;PROPER(INDEX('Reguler Class Availability'!$J:$J,AP21)&amp;""))))</f>
        <v>Baby  0/5  (0%)
coach: –</v>
      </c>
      <c r="E21" s="67" t="str">
        <f aca="false">IF(AQ21="","",IF(AY21="Tidak dibuka","–",IF(INDEX('Reguler Class Availability'!$B:$B,AQ21)&amp;""="","Kosong",PROPER(INDEX('Reguler Class Availability'!$B:$B,AQ21)&amp;""))&amp;"  "&amp;IFERROR(--(INDEX('Reguler Class Availability'!$G:$G,AQ21)&amp;""),0)&amp;"/"&amp;IFERROR(--(INDEX('Reguler Class Availability'!$F:$F,AQ21)&amp;""),0)&amp;IF(IFERROR(--(INDEX('Reguler Class Availability'!$F:$F,AQ21)&amp;""),0)&gt;0,"  ("&amp;TEXT(IFERROR(--(INDEX('Reguler Class Availability'!$G:$G,AQ21)&amp;""),0)/IFERROR(--(INDEX('Reguler Class Availability'!$F:$F,AQ21)&amp;""),0),"0%")&amp;")","")&amp;CHAR(10)&amp;IF(INDEX('Reguler Class Availability'!$I:$I,AQ21)&amp;""="","coach: –",PROPER(INDEX('Reguler Class Availability'!$I:$I,AQ21)&amp;""))&amp;IF(INDEX('Reguler Class Availability'!$J:$J,AQ21)&amp;""="","",CHAR(10)&amp;"asst: "&amp;PROPER(INDEX('Reguler Class Availability'!$J:$J,AQ21)&amp;""))))</f>
        <v>Baby  1/5  (20%)
Rizky</v>
      </c>
      <c r="F21" s="67" t="str">
        <f aca="false">IF(AR21="","",IF(AZ21="Tidak dibuka","–",IF(INDEX('Reguler Class Availability'!$B:$B,AR21)&amp;""="","Kosong",PROPER(INDEX('Reguler Class Availability'!$B:$B,AR21)&amp;""))&amp;"  "&amp;IFERROR(--(INDEX('Reguler Class Availability'!$G:$G,AR21)&amp;""),0)&amp;"/"&amp;IFERROR(--(INDEX('Reguler Class Availability'!$F:$F,AR21)&amp;""),0)&amp;IF(IFERROR(--(INDEX('Reguler Class Availability'!$F:$F,AR21)&amp;""),0)&gt;0,"  ("&amp;TEXT(IFERROR(--(INDEX('Reguler Class Availability'!$G:$G,AR21)&amp;""),0)/IFERROR(--(INDEX('Reguler Class Availability'!$F:$F,AR21)&amp;""),0),"0%")&amp;")","")&amp;CHAR(10)&amp;IF(INDEX('Reguler Class Availability'!$I:$I,AR21)&amp;""="","coach: –",PROPER(INDEX('Reguler Class Availability'!$I:$I,AR21)&amp;""))&amp;IF(INDEX('Reguler Class Availability'!$J:$J,AR21)&amp;""="","",CHAR(10)&amp;"asst: "&amp;PROPER(INDEX('Reguler Class Availability'!$J:$J,AR21)&amp;""))))</f>
        <v>Baby  0/5  (0%)
coach: –</v>
      </c>
      <c r="G21" s="67" t="str">
        <f aca="false">IF(AS21="","",IF(BA21="Tidak dibuka","–",IF(INDEX('Reguler Class Availability'!$B:$B,AS21)&amp;""="","Kosong",PROPER(INDEX('Reguler Class Availability'!$B:$B,AS21)&amp;""))&amp;"  "&amp;IFERROR(--(INDEX('Reguler Class Availability'!$G:$G,AS21)&amp;""),0)&amp;"/"&amp;IFERROR(--(INDEX('Reguler Class Availability'!$F:$F,AS21)&amp;""),0)&amp;IF(IFERROR(--(INDEX('Reguler Class Availability'!$F:$F,AS21)&amp;""),0)&gt;0,"  ("&amp;TEXT(IFERROR(--(INDEX('Reguler Class Availability'!$G:$G,AS21)&amp;""),0)/IFERROR(--(INDEX('Reguler Class Availability'!$F:$F,AS21)&amp;""),0),"0%")&amp;")","")&amp;CHAR(10)&amp;IF(INDEX('Reguler Class Availability'!$I:$I,AS21)&amp;""="","coach: –",PROPER(INDEX('Reguler Class Availability'!$I:$I,AS21)&amp;""))&amp;IF(INDEX('Reguler Class Availability'!$J:$J,AS21)&amp;""="","",CHAR(10)&amp;"asst: "&amp;PROPER(INDEX('Reguler Class Availability'!$J:$J,AS21)&amp;""))))</f>
        <v>Baby  1/5  (20%)
Rizky</v>
      </c>
      <c r="H21" s="67" t="str">
        <f aca="false">IF(AT21="","",IF(BB21="Tidak dibuka","–",IF(INDEX('Reguler Class Availability'!$B:$B,AT21)&amp;""="","Kosong",PROPER(INDEX('Reguler Class Availability'!$B:$B,AT21)&amp;""))&amp;"  "&amp;IFERROR(--(INDEX('Reguler Class Availability'!$G:$G,AT21)&amp;""),0)&amp;"/"&amp;IFERROR(--(INDEX('Reguler Class Availability'!$F:$F,AT21)&amp;""),0)&amp;IF(IFERROR(--(INDEX('Reguler Class Availability'!$F:$F,AT21)&amp;""),0)&gt;0,"  ("&amp;TEXT(IFERROR(--(INDEX('Reguler Class Availability'!$G:$G,AT21)&amp;""),0)/IFERROR(--(INDEX('Reguler Class Availability'!$F:$F,AT21)&amp;""),0),"0%")&amp;")","")&amp;CHAR(10)&amp;IF(INDEX('Reguler Class Availability'!$I:$I,AT21)&amp;""="","coach: –",PROPER(INDEX('Reguler Class Availability'!$I:$I,AT21)&amp;""))&amp;IF(INDEX('Reguler Class Availability'!$J:$J,AT21)&amp;""="","",CHAR(10)&amp;"asst: "&amp;PROPER(INDEX('Reguler Class Availability'!$J:$J,AT21)&amp;""))))</f>
        <v>Baby  0/5  (0%)
coach: –</v>
      </c>
      <c r="AN21" s="30" t="n">
        <f aca="false">IF($A21="","",IFERROR(MATCH($B$4&amp;"|- Lane 1 - "&amp;B$13&amp;"|"&amp;$A21,'Reguler Class Availability'!$L:$L,0),""))</f>
        <v>2416</v>
      </c>
      <c r="AO21" s="30" t="n">
        <f aca="false">IF($A21="","",IFERROR(MATCH($B$4&amp;"|- Lane 1 - "&amp;C$13&amp;"|"&amp;$A21,'Reguler Class Availability'!$L:$L,0),""))</f>
        <v>2428</v>
      </c>
      <c r="AP21" s="30" t="n">
        <f aca="false">IF($A21="","",IFERROR(MATCH($B$4&amp;"|- Lane 1 - "&amp;D$13&amp;"|"&amp;$A21,'Reguler Class Availability'!$L:$L,0),""))</f>
        <v>2440</v>
      </c>
      <c r="AQ21" s="30" t="n">
        <f aca="false">IF($A21="","",IFERROR(MATCH($B$4&amp;"|- Lane 1 - "&amp;E$13&amp;"|"&amp;$A21,'Reguler Class Availability'!$L:$L,0),""))</f>
        <v>2452</v>
      </c>
      <c r="AR21" s="30" t="n">
        <f aca="false">IF($A21="","",IFERROR(MATCH($B$4&amp;"|- Lane 1 - "&amp;F$13&amp;"|"&amp;$A21,'Reguler Class Availability'!$L:$L,0),""))</f>
        <v>2464</v>
      </c>
      <c r="AS21" s="30" t="n">
        <f aca="false">IF($A21="","",IFERROR(MATCH($B$4&amp;"|- Lane 1 - "&amp;G$13&amp;"|"&amp;$A21,'Reguler Class Availability'!$L:$L,0),""))</f>
        <v>2476</v>
      </c>
      <c r="AT21" s="30" t="n">
        <f aca="false">IF($A21="","",IFERROR(MATCH($B$4&amp;"|- Lane 1 - "&amp;H$13&amp;"|"&amp;$A21,'Reguler Class Availability'!$L:$L,0),""))</f>
        <v>2488</v>
      </c>
      <c r="AV21" s="0" t="str">
        <f aca="false">IF(AN21="","",IF(AND(IFERROR(--(INDEX('Reguler Class Availability'!$F:$F,AN21)&amp;""),0)=0,IFERROR(--(INDEX('Reguler Class Availability'!$G:$G,AN21)&amp;""),0)=0),IF(OR(INDEX('Reguler Class Availability'!$B:$B,AN21)&amp;""&lt;&gt;"",INDEX('Reguler Class Availability'!$I:$I,AN21)&amp;""&lt;&gt;""),"Tutup","Tidak dibuka"),IF(IFERROR(--(INDEX('Reguler Class Availability'!$G:$G,AN21)&amp;""),0)&gt;IFERROR(--(INDEX('Reguler Class Availability'!$F:$F,AN21)&amp;""),0),"Lebih",IF(IFERROR(--(INDEX('Reguler Class Availability'!$G:$G,AN21)&amp;""),0)=IFERROR(--(INDEX('Reguler Class Availability'!$F:$F,AN21)&amp;""),0),"Penuh",IF(IFERROR(--(INDEX('Reguler Class Availability'!$G:$G,AN21)&amp;""),0)=0,IF(INDEX('Reguler Class Availability'!$B:$B,AN21)&amp;""="","Kosong","Belum terisi"),IF(IFERROR(--(INDEX('Reguler Class Availability'!$G:$G,AN21)&amp;""),0)/IFERROR(--(INDEX('Reguler Class Availability'!$F:$F,AN21)&amp;""),0)&gt;=0.6,"Tinggi","Sebagian"))))))</f>
        <v>Belum terisi</v>
      </c>
      <c r="AW21" s="0" t="str">
        <f aca="false">IF(AO21="","",IF(AND(IFERROR(--(INDEX('Reguler Class Availability'!$F:$F,AO21)&amp;""),0)=0,IFERROR(--(INDEX('Reguler Class Availability'!$G:$G,AO21)&amp;""),0)=0),IF(OR(INDEX('Reguler Class Availability'!$B:$B,AO21)&amp;""&lt;&gt;"",INDEX('Reguler Class Availability'!$I:$I,AO21)&amp;""&lt;&gt;""),"Tutup","Tidak dibuka"),IF(IFERROR(--(INDEX('Reguler Class Availability'!$G:$G,AO21)&amp;""),0)&gt;IFERROR(--(INDEX('Reguler Class Availability'!$F:$F,AO21)&amp;""),0),"Lebih",IF(IFERROR(--(INDEX('Reguler Class Availability'!$G:$G,AO21)&amp;""),0)=IFERROR(--(INDEX('Reguler Class Availability'!$F:$F,AO21)&amp;""),0),"Penuh",IF(IFERROR(--(INDEX('Reguler Class Availability'!$G:$G,AO21)&amp;""),0)=0,IF(INDEX('Reguler Class Availability'!$B:$B,AO21)&amp;""="","Kosong","Belum terisi"),IF(IFERROR(--(INDEX('Reguler Class Availability'!$G:$G,AO21)&amp;""),0)/IFERROR(--(INDEX('Reguler Class Availability'!$F:$F,AO21)&amp;""),0)&gt;=0.6,"Tinggi","Sebagian"))))))</f>
        <v>Belum terisi</v>
      </c>
      <c r="AX21" s="0" t="str">
        <f aca="false">IF(AP21="","",IF(AND(IFERROR(--(INDEX('Reguler Class Availability'!$F:$F,AP21)&amp;""),0)=0,IFERROR(--(INDEX('Reguler Class Availability'!$G:$G,AP21)&amp;""),0)=0),IF(OR(INDEX('Reguler Class Availability'!$B:$B,AP21)&amp;""&lt;&gt;"",INDEX('Reguler Class Availability'!$I:$I,AP21)&amp;""&lt;&gt;""),"Tutup","Tidak dibuka"),IF(IFERROR(--(INDEX('Reguler Class Availability'!$G:$G,AP21)&amp;""),0)&gt;IFERROR(--(INDEX('Reguler Class Availability'!$F:$F,AP21)&amp;""),0),"Lebih",IF(IFERROR(--(INDEX('Reguler Class Availability'!$G:$G,AP21)&amp;""),0)=IFERROR(--(INDEX('Reguler Class Availability'!$F:$F,AP21)&amp;""),0),"Penuh",IF(IFERROR(--(INDEX('Reguler Class Availability'!$G:$G,AP21)&amp;""),0)=0,IF(INDEX('Reguler Class Availability'!$B:$B,AP21)&amp;""="","Kosong","Belum terisi"),IF(IFERROR(--(INDEX('Reguler Class Availability'!$G:$G,AP21)&amp;""),0)/IFERROR(--(INDEX('Reguler Class Availability'!$F:$F,AP21)&amp;""),0)&gt;=0.6,"Tinggi","Sebagian"))))))</f>
        <v>Belum terisi</v>
      </c>
      <c r="AY21" s="0" t="str">
        <f aca="false">IF(AQ21="","",IF(AND(IFERROR(--(INDEX('Reguler Class Availability'!$F:$F,AQ21)&amp;""),0)=0,IFERROR(--(INDEX('Reguler Class Availability'!$G:$G,AQ21)&amp;""),0)=0),IF(OR(INDEX('Reguler Class Availability'!$B:$B,AQ21)&amp;""&lt;&gt;"",INDEX('Reguler Class Availability'!$I:$I,AQ21)&amp;""&lt;&gt;""),"Tutup","Tidak dibuka"),IF(IFERROR(--(INDEX('Reguler Class Availability'!$G:$G,AQ21)&amp;""),0)&gt;IFERROR(--(INDEX('Reguler Class Availability'!$F:$F,AQ21)&amp;""),0),"Lebih",IF(IFERROR(--(INDEX('Reguler Class Availability'!$G:$G,AQ21)&amp;""),0)=IFERROR(--(INDEX('Reguler Class Availability'!$F:$F,AQ21)&amp;""),0),"Penuh",IF(IFERROR(--(INDEX('Reguler Class Availability'!$G:$G,AQ21)&amp;""),0)=0,IF(INDEX('Reguler Class Availability'!$B:$B,AQ21)&amp;""="","Kosong","Belum terisi"),IF(IFERROR(--(INDEX('Reguler Class Availability'!$G:$G,AQ21)&amp;""),0)/IFERROR(--(INDEX('Reguler Class Availability'!$F:$F,AQ21)&amp;""),0)&gt;=0.6,"Tinggi","Sebagian"))))))</f>
        <v>Sebagian</v>
      </c>
      <c r="AZ21" s="0" t="str">
        <f aca="false">IF(AR21="","",IF(AND(IFERROR(--(INDEX('Reguler Class Availability'!$F:$F,AR21)&amp;""),0)=0,IFERROR(--(INDEX('Reguler Class Availability'!$G:$G,AR21)&amp;""),0)=0),IF(OR(INDEX('Reguler Class Availability'!$B:$B,AR21)&amp;""&lt;&gt;"",INDEX('Reguler Class Availability'!$I:$I,AR21)&amp;""&lt;&gt;""),"Tutup","Tidak dibuka"),IF(IFERROR(--(INDEX('Reguler Class Availability'!$G:$G,AR21)&amp;""),0)&gt;IFERROR(--(INDEX('Reguler Class Availability'!$F:$F,AR21)&amp;""),0),"Lebih",IF(IFERROR(--(INDEX('Reguler Class Availability'!$G:$G,AR21)&amp;""),0)=IFERROR(--(INDEX('Reguler Class Availability'!$F:$F,AR21)&amp;""),0),"Penuh",IF(IFERROR(--(INDEX('Reguler Class Availability'!$G:$G,AR21)&amp;""),0)=0,IF(INDEX('Reguler Class Availability'!$B:$B,AR21)&amp;""="","Kosong","Belum terisi"),IF(IFERROR(--(INDEX('Reguler Class Availability'!$G:$G,AR21)&amp;""),0)/IFERROR(--(INDEX('Reguler Class Availability'!$F:$F,AR21)&amp;""),0)&gt;=0.6,"Tinggi","Sebagian"))))))</f>
        <v>Belum terisi</v>
      </c>
      <c r="BA21" s="0" t="str">
        <f aca="false">IF(AS21="","",IF(AND(IFERROR(--(INDEX('Reguler Class Availability'!$F:$F,AS21)&amp;""),0)=0,IFERROR(--(INDEX('Reguler Class Availability'!$G:$G,AS21)&amp;""),0)=0),IF(OR(INDEX('Reguler Class Availability'!$B:$B,AS21)&amp;""&lt;&gt;"",INDEX('Reguler Class Availability'!$I:$I,AS21)&amp;""&lt;&gt;""),"Tutup","Tidak dibuka"),IF(IFERROR(--(INDEX('Reguler Class Availability'!$G:$G,AS21)&amp;""),0)&gt;IFERROR(--(INDEX('Reguler Class Availability'!$F:$F,AS21)&amp;""),0),"Lebih",IF(IFERROR(--(INDEX('Reguler Class Availability'!$G:$G,AS21)&amp;""),0)=IFERROR(--(INDEX('Reguler Class Availability'!$F:$F,AS21)&amp;""),0),"Penuh",IF(IFERROR(--(INDEX('Reguler Class Availability'!$G:$G,AS21)&amp;""),0)=0,IF(INDEX('Reguler Class Availability'!$B:$B,AS21)&amp;""="","Kosong","Belum terisi"),IF(IFERROR(--(INDEX('Reguler Class Availability'!$G:$G,AS21)&amp;""),0)/IFERROR(--(INDEX('Reguler Class Availability'!$F:$F,AS21)&amp;""),0)&gt;=0.6,"Tinggi","Sebagian"))))))</f>
        <v>Sebagian</v>
      </c>
      <c r="BB21" s="0" t="str">
        <f aca="false">IF(AT21="","",IF(AND(IFERROR(--(INDEX('Reguler Class Availability'!$F:$F,AT21)&amp;""),0)=0,IFERROR(--(INDEX('Reguler Class Availability'!$G:$G,AT21)&amp;""),0)=0),IF(OR(INDEX('Reguler Class Availability'!$B:$B,AT21)&amp;""&lt;&gt;"",INDEX('Reguler Class Availability'!$I:$I,AT21)&amp;""&lt;&gt;""),"Tutup","Tidak dibuka"),IF(IFERROR(--(INDEX('Reguler Class Availability'!$G:$G,AT21)&amp;""),0)&gt;IFERROR(--(INDEX('Reguler Class Availability'!$F:$F,AT21)&amp;""),0),"Lebih",IF(IFERROR(--(INDEX('Reguler Class Availability'!$G:$G,AT21)&amp;""),0)=IFERROR(--(INDEX('Reguler Class Availability'!$F:$F,AT21)&amp;""),0),"Penuh",IF(IFERROR(--(INDEX('Reguler Class Availability'!$G:$G,AT21)&amp;""),0)=0,IF(INDEX('Reguler Class Availability'!$B:$B,AT21)&amp;""="","Kosong","Belum terisi"),IF(IFERROR(--(INDEX('Reguler Class Availability'!$G:$G,AT21)&amp;""),0)/IFERROR(--(INDEX('Reguler Class Availability'!$F:$F,AT21)&amp;""),0)&gt;=0.6,"Tinggi","Sebagian"))))))</f>
        <v>Belum terisi</v>
      </c>
      <c r="BD21" s="30" t="s">
        <v>128</v>
      </c>
      <c r="BE21" s="30" t="n">
        <f aca="false">IF(COUNTIFS('Reguler Class Availability'!$L:$L,$B$4&amp;"|- Lane 1 - *|"&amp;BD21)&gt;0,1,0)</f>
        <v>0</v>
      </c>
      <c r="BF21" s="30" t="n">
        <f aca="false">BE21+BF20</f>
        <v>5</v>
      </c>
    </row>
    <row r="22" customFormat="false" ht="39.75" hidden="false" customHeight="true" outlineLevel="0" collapsed="false">
      <c r="A22" s="66" t="str">
        <f aca="false">IFERROR(INDEX($BD$2:$BD$61,MATCH(9,$BF$2:$BF$61,0)),"")</f>
        <v>14:00</v>
      </c>
      <c r="B22" s="67" t="str">
        <f aca="false">IF(AN22="","",IF(AV22="Tidak dibuka","–",IF(INDEX('Reguler Class Availability'!$B:$B,AN22)&amp;""="","Kosong",PROPER(INDEX('Reguler Class Availability'!$B:$B,AN22)&amp;""))&amp;"  "&amp;IFERROR(--(INDEX('Reguler Class Availability'!$G:$G,AN22)&amp;""),0)&amp;"/"&amp;IFERROR(--(INDEX('Reguler Class Availability'!$F:$F,AN22)&amp;""),0)&amp;IF(IFERROR(--(INDEX('Reguler Class Availability'!$F:$F,AN22)&amp;""),0)&gt;0,"  ("&amp;TEXT(IFERROR(--(INDEX('Reguler Class Availability'!$G:$G,AN22)&amp;""),0)/IFERROR(--(INDEX('Reguler Class Availability'!$F:$F,AN22)&amp;""),0),"0%")&amp;")","")&amp;CHAR(10)&amp;IF(INDEX('Reguler Class Availability'!$I:$I,AN22)&amp;""="","coach: –",PROPER(INDEX('Reguler Class Availability'!$I:$I,AN22)&amp;""))&amp;IF(INDEX('Reguler Class Availability'!$J:$J,AN22)&amp;""="","",CHAR(10)&amp;"asst: "&amp;PROPER(INDEX('Reguler Class Availability'!$J:$J,AN22)&amp;""))))</f>
        <v>Baby  0/5  (0%)
coach: –</v>
      </c>
      <c r="C22" s="67" t="str">
        <f aca="false">IF(AO22="","",IF(AW22="Tidak dibuka","–",IF(INDEX('Reguler Class Availability'!$B:$B,AO22)&amp;""="","Kosong",PROPER(INDEX('Reguler Class Availability'!$B:$B,AO22)&amp;""))&amp;"  "&amp;IFERROR(--(INDEX('Reguler Class Availability'!$G:$G,AO22)&amp;""),0)&amp;"/"&amp;IFERROR(--(INDEX('Reguler Class Availability'!$F:$F,AO22)&amp;""),0)&amp;IF(IFERROR(--(INDEX('Reguler Class Availability'!$F:$F,AO22)&amp;""),0)&gt;0,"  ("&amp;TEXT(IFERROR(--(INDEX('Reguler Class Availability'!$G:$G,AO22)&amp;""),0)/IFERROR(--(INDEX('Reguler Class Availability'!$F:$F,AO22)&amp;""),0),"0%")&amp;")","")&amp;CHAR(10)&amp;IF(INDEX('Reguler Class Availability'!$I:$I,AO22)&amp;""="","coach: –",PROPER(INDEX('Reguler Class Availability'!$I:$I,AO22)&amp;""))&amp;IF(INDEX('Reguler Class Availability'!$J:$J,AO22)&amp;""="","",CHAR(10)&amp;"asst: "&amp;PROPER(INDEX('Reguler Class Availability'!$J:$J,AO22)&amp;""))))</f>
        <v>Baby  0/5  (0%)
coach: –</v>
      </c>
      <c r="D22" s="67" t="str">
        <f aca="false">IF(AP22="","",IF(AX22="Tidak dibuka","–",IF(INDEX('Reguler Class Availability'!$B:$B,AP22)&amp;""="","Kosong",PROPER(INDEX('Reguler Class Availability'!$B:$B,AP22)&amp;""))&amp;"  "&amp;IFERROR(--(INDEX('Reguler Class Availability'!$G:$G,AP22)&amp;""),0)&amp;"/"&amp;IFERROR(--(INDEX('Reguler Class Availability'!$F:$F,AP22)&amp;""),0)&amp;IF(IFERROR(--(INDEX('Reguler Class Availability'!$F:$F,AP22)&amp;""),0)&gt;0,"  ("&amp;TEXT(IFERROR(--(INDEX('Reguler Class Availability'!$G:$G,AP22)&amp;""),0)/IFERROR(--(INDEX('Reguler Class Availability'!$F:$F,AP22)&amp;""),0),"0%")&amp;")","")&amp;CHAR(10)&amp;IF(INDEX('Reguler Class Availability'!$I:$I,AP22)&amp;""="","coach: –",PROPER(INDEX('Reguler Class Availability'!$I:$I,AP22)&amp;""))&amp;IF(INDEX('Reguler Class Availability'!$J:$J,AP22)&amp;""="","",CHAR(10)&amp;"asst: "&amp;PROPER(INDEX('Reguler Class Availability'!$J:$J,AP22)&amp;""))))</f>
        <v>Baby  0/5  (0%)
coach: –</v>
      </c>
      <c r="E22" s="67" t="str">
        <f aca="false">IF(AQ22="","",IF(AY22="Tidak dibuka","–",IF(INDEX('Reguler Class Availability'!$B:$B,AQ22)&amp;""="","Kosong",PROPER(INDEX('Reguler Class Availability'!$B:$B,AQ22)&amp;""))&amp;"  "&amp;IFERROR(--(INDEX('Reguler Class Availability'!$G:$G,AQ22)&amp;""),0)&amp;"/"&amp;IFERROR(--(INDEX('Reguler Class Availability'!$F:$F,AQ22)&amp;""),0)&amp;IF(IFERROR(--(INDEX('Reguler Class Availability'!$F:$F,AQ22)&amp;""),0)&gt;0,"  ("&amp;TEXT(IFERROR(--(INDEX('Reguler Class Availability'!$G:$G,AQ22)&amp;""),0)/IFERROR(--(INDEX('Reguler Class Availability'!$F:$F,AQ22)&amp;""),0),"0%")&amp;")","")&amp;CHAR(10)&amp;IF(INDEX('Reguler Class Availability'!$I:$I,AQ22)&amp;""="","coach: –",PROPER(INDEX('Reguler Class Availability'!$I:$I,AQ22)&amp;""))&amp;IF(INDEX('Reguler Class Availability'!$J:$J,AQ22)&amp;""="","",CHAR(10)&amp;"asst: "&amp;PROPER(INDEX('Reguler Class Availability'!$J:$J,AQ22)&amp;""))))</f>
        <v>Baby  0/5  (0%)
coach: –</v>
      </c>
      <c r="F22" s="67" t="str">
        <f aca="false">IF(AR22="","",IF(AZ22="Tidak dibuka","–",IF(INDEX('Reguler Class Availability'!$B:$B,AR22)&amp;""="","Kosong",PROPER(INDEX('Reguler Class Availability'!$B:$B,AR22)&amp;""))&amp;"  "&amp;IFERROR(--(INDEX('Reguler Class Availability'!$G:$G,AR22)&amp;""),0)&amp;"/"&amp;IFERROR(--(INDEX('Reguler Class Availability'!$F:$F,AR22)&amp;""),0)&amp;IF(IFERROR(--(INDEX('Reguler Class Availability'!$F:$F,AR22)&amp;""),0)&gt;0,"  ("&amp;TEXT(IFERROR(--(INDEX('Reguler Class Availability'!$G:$G,AR22)&amp;""),0)/IFERROR(--(INDEX('Reguler Class Availability'!$F:$F,AR22)&amp;""),0),"0%")&amp;")","")&amp;CHAR(10)&amp;IF(INDEX('Reguler Class Availability'!$I:$I,AR22)&amp;""="","coach: –",PROPER(INDEX('Reguler Class Availability'!$I:$I,AR22)&amp;""))&amp;IF(INDEX('Reguler Class Availability'!$J:$J,AR22)&amp;""="","",CHAR(10)&amp;"asst: "&amp;PROPER(INDEX('Reguler Class Availability'!$J:$J,AR22)&amp;""))))</f>
        <v>Baby  0/5  (0%)
coach: –</v>
      </c>
      <c r="G22" s="67" t="str">
        <f aca="false">IF(AS22="","",IF(BA22="Tidak dibuka","–",IF(INDEX('Reguler Class Availability'!$B:$B,AS22)&amp;""="","Kosong",PROPER(INDEX('Reguler Class Availability'!$B:$B,AS22)&amp;""))&amp;"  "&amp;IFERROR(--(INDEX('Reguler Class Availability'!$G:$G,AS22)&amp;""),0)&amp;"/"&amp;IFERROR(--(INDEX('Reguler Class Availability'!$F:$F,AS22)&amp;""),0)&amp;IF(IFERROR(--(INDEX('Reguler Class Availability'!$F:$F,AS22)&amp;""),0)&gt;0,"  ("&amp;TEXT(IFERROR(--(INDEX('Reguler Class Availability'!$G:$G,AS22)&amp;""),0)/IFERROR(--(INDEX('Reguler Class Availability'!$F:$F,AS22)&amp;""),0),"0%")&amp;")","")&amp;CHAR(10)&amp;IF(INDEX('Reguler Class Availability'!$I:$I,AS22)&amp;""="","coach: –",PROPER(INDEX('Reguler Class Availability'!$I:$I,AS22)&amp;""))&amp;IF(INDEX('Reguler Class Availability'!$J:$J,AS22)&amp;""="","",CHAR(10)&amp;"asst: "&amp;PROPER(INDEX('Reguler Class Availability'!$J:$J,AS22)&amp;""))))</f>
        <v>Baby  0/5  (0%)
coach: –</v>
      </c>
      <c r="H22" s="67" t="str">
        <f aca="false">IF(AT22="","",IF(BB22="Tidak dibuka","–",IF(INDEX('Reguler Class Availability'!$B:$B,AT22)&amp;""="","Kosong",PROPER(INDEX('Reguler Class Availability'!$B:$B,AT22)&amp;""))&amp;"  "&amp;IFERROR(--(INDEX('Reguler Class Availability'!$G:$G,AT22)&amp;""),0)&amp;"/"&amp;IFERROR(--(INDEX('Reguler Class Availability'!$F:$F,AT22)&amp;""),0)&amp;IF(IFERROR(--(INDEX('Reguler Class Availability'!$F:$F,AT22)&amp;""),0)&gt;0,"  ("&amp;TEXT(IFERROR(--(INDEX('Reguler Class Availability'!$G:$G,AT22)&amp;""),0)/IFERROR(--(INDEX('Reguler Class Availability'!$F:$F,AT22)&amp;""),0),"0%")&amp;")","")&amp;CHAR(10)&amp;IF(INDEX('Reguler Class Availability'!$I:$I,AT22)&amp;""="","coach: –",PROPER(INDEX('Reguler Class Availability'!$I:$I,AT22)&amp;""))&amp;IF(INDEX('Reguler Class Availability'!$J:$J,AT22)&amp;""="","",CHAR(10)&amp;"asst: "&amp;PROPER(INDEX('Reguler Class Availability'!$J:$J,AT22)&amp;""))))</f>
        <v>Baby  1/5  (20%)
Rizky</v>
      </c>
      <c r="AN22" s="30" t="n">
        <f aca="false">IF($A22="","",IFERROR(MATCH($B$4&amp;"|- Lane 1 - "&amp;B$13&amp;"|"&amp;$A22,'Reguler Class Availability'!$L:$L,0),""))</f>
        <v>2417</v>
      </c>
      <c r="AO22" s="30" t="n">
        <f aca="false">IF($A22="","",IFERROR(MATCH($B$4&amp;"|- Lane 1 - "&amp;C$13&amp;"|"&amp;$A22,'Reguler Class Availability'!$L:$L,0),""))</f>
        <v>2429</v>
      </c>
      <c r="AP22" s="30" t="n">
        <f aca="false">IF($A22="","",IFERROR(MATCH($B$4&amp;"|- Lane 1 - "&amp;D$13&amp;"|"&amp;$A22,'Reguler Class Availability'!$L:$L,0),""))</f>
        <v>2441</v>
      </c>
      <c r="AQ22" s="30" t="n">
        <f aca="false">IF($A22="","",IFERROR(MATCH($B$4&amp;"|- Lane 1 - "&amp;E$13&amp;"|"&amp;$A22,'Reguler Class Availability'!$L:$L,0),""))</f>
        <v>2453</v>
      </c>
      <c r="AR22" s="30" t="n">
        <f aca="false">IF($A22="","",IFERROR(MATCH($B$4&amp;"|- Lane 1 - "&amp;F$13&amp;"|"&amp;$A22,'Reguler Class Availability'!$L:$L,0),""))</f>
        <v>2465</v>
      </c>
      <c r="AS22" s="30" t="n">
        <f aca="false">IF($A22="","",IFERROR(MATCH($B$4&amp;"|- Lane 1 - "&amp;G$13&amp;"|"&amp;$A22,'Reguler Class Availability'!$L:$L,0),""))</f>
        <v>2477</v>
      </c>
      <c r="AT22" s="30" t="n">
        <f aca="false">IF($A22="","",IFERROR(MATCH($B$4&amp;"|- Lane 1 - "&amp;H$13&amp;"|"&amp;$A22,'Reguler Class Availability'!$L:$L,0),""))</f>
        <v>2489</v>
      </c>
      <c r="AV22" s="0" t="str">
        <f aca="false">IF(AN22="","",IF(AND(IFERROR(--(INDEX('Reguler Class Availability'!$F:$F,AN22)&amp;""),0)=0,IFERROR(--(INDEX('Reguler Class Availability'!$G:$G,AN22)&amp;""),0)=0),IF(OR(INDEX('Reguler Class Availability'!$B:$B,AN22)&amp;""&lt;&gt;"",INDEX('Reguler Class Availability'!$I:$I,AN22)&amp;""&lt;&gt;""),"Tutup","Tidak dibuka"),IF(IFERROR(--(INDEX('Reguler Class Availability'!$G:$G,AN22)&amp;""),0)&gt;IFERROR(--(INDEX('Reguler Class Availability'!$F:$F,AN22)&amp;""),0),"Lebih",IF(IFERROR(--(INDEX('Reguler Class Availability'!$G:$G,AN22)&amp;""),0)=IFERROR(--(INDEX('Reguler Class Availability'!$F:$F,AN22)&amp;""),0),"Penuh",IF(IFERROR(--(INDEX('Reguler Class Availability'!$G:$G,AN22)&amp;""),0)=0,IF(INDEX('Reguler Class Availability'!$B:$B,AN22)&amp;""="","Kosong","Belum terisi"),IF(IFERROR(--(INDEX('Reguler Class Availability'!$G:$G,AN22)&amp;""),0)/IFERROR(--(INDEX('Reguler Class Availability'!$F:$F,AN22)&amp;""),0)&gt;=0.6,"Tinggi","Sebagian"))))))</f>
        <v>Belum terisi</v>
      </c>
      <c r="AW22" s="0" t="str">
        <f aca="false">IF(AO22="","",IF(AND(IFERROR(--(INDEX('Reguler Class Availability'!$F:$F,AO22)&amp;""),0)=0,IFERROR(--(INDEX('Reguler Class Availability'!$G:$G,AO22)&amp;""),0)=0),IF(OR(INDEX('Reguler Class Availability'!$B:$B,AO22)&amp;""&lt;&gt;"",INDEX('Reguler Class Availability'!$I:$I,AO22)&amp;""&lt;&gt;""),"Tutup","Tidak dibuka"),IF(IFERROR(--(INDEX('Reguler Class Availability'!$G:$G,AO22)&amp;""),0)&gt;IFERROR(--(INDEX('Reguler Class Availability'!$F:$F,AO22)&amp;""),0),"Lebih",IF(IFERROR(--(INDEX('Reguler Class Availability'!$G:$G,AO22)&amp;""),0)=IFERROR(--(INDEX('Reguler Class Availability'!$F:$F,AO22)&amp;""),0),"Penuh",IF(IFERROR(--(INDEX('Reguler Class Availability'!$G:$G,AO22)&amp;""),0)=0,IF(INDEX('Reguler Class Availability'!$B:$B,AO22)&amp;""="","Kosong","Belum terisi"),IF(IFERROR(--(INDEX('Reguler Class Availability'!$G:$G,AO22)&amp;""),0)/IFERROR(--(INDEX('Reguler Class Availability'!$F:$F,AO22)&amp;""),0)&gt;=0.6,"Tinggi","Sebagian"))))))</f>
        <v>Belum terisi</v>
      </c>
      <c r="AX22" s="0" t="str">
        <f aca="false">IF(AP22="","",IF(AND(IFERROR(--(INDEX('Reguler Class Availability'!$F:$F,AP22)&amp;""),0)=0,IFERROR(--(INDEX('Reguler Class Availability'!$G:$G,AP22)&amp;""),0)=0),IF(OR(INDEX('Reguler Class Availability'!$B:$B,AP22)&amp;""&lt;&gt;"",INDEX('Reguler Class Availability'!$I:$I,AP22)&amp;""&lt;&gt;""),"Tutup","Tidak dibuka"),IF(IFERROR(--(INDEX('Reguler Class Availability'!$G:$G,AP22)&amp;""),0)&gt;IFERROR(--(INDEX('Reguler Class Availability'!$F:$F,AP22)&amp;""),0),"Lebih",IF(IFERROR(--(INDEX('Reguler Class Availability'!$G:$G,AP22)&amp;""),0)=IFERROR(--(INDEX('Reguler Class Availability'!$F:$F,AP22)&amp;""),0),"Penuh",IF(IFERROR(--(INDEX('Reguler Class Availability'!$G:$G,AP22)&amp;""),0)=0,IF(INDEX('Reguler Class Availability'!$B:$B,AP22)&amp;""="","Kosong","Belum terisi"),IF(IFERROR(--(INDEX('Reguler Class Availability'!$G:$G,AP22)&amp;""),0)/IFERROR(--(INDEX('Reguler Class Availability'!$F:$F,AP22)&amp;""),0)&gt;=0.6,"Tinggi","Sebagian"))))))</f>
        <v>Belum terisi</v>
      </c>
      <c r="AY22" s="0" t="str">
        <f aca="false">IF(AQ22="","",IF(AND(IFERROR(--(INDEX('Reguler Class Availability'!$F:$F,AQ22)&amp;""),0)=0,IFERROR(--(INDEX('Reguler Class Availability'!$G:$G,AQ22)&amp;""),0)=0),IF(OR(INDEX('Reguler Class Availability'!$B:$B,AQ22)&amp;""&lt;&gt;"",INDEX('Reguler Class Availability'!$I:$I,AQ22)&amp;""&lt;&gt;""),"Tutup","Tidak dibuka"),IF(IFERROR(--(INDEX('Reguler Class Availability'!$G:$G,AQ22)&amp;""),0)&gt;IFERROR(--(INDEX('Reguler Class Availability'!$F:$F,AQ22)&amp;""),0),"Lebih",IF(IFERROR(--(INDEX('Reguler Class Availability'!$G:$G,AQ22)&amp;""),0)=IFERROR(--(INDEX('Reguler Class Availability'!$F:$F,AQ22)&amp;""),0),"Penuh",IF(IFERROR(--(INDEX('Reguler Class Availability'!$G:$G,AQ22)&amp;""),0)=0,IF(INDEX('Reguler Class Availability'!$B:$B,AQ22)&amp;""="","Kosong","Belum terisi"),IF(IFERROR(--(INDEX('Reguler Class Availability'!$G:$G,AQ22)&amp;""),0)/IFERROR(--(INDEX('Reguler Class Availability'!$F:$F,AQ22)&amp;""),0)&gt;=0.6,"Tinggi","Sebagian"))))))</f>
        <v>Belum terisi</v>
      </c>
      <c r="AZ22" s="0" t="str">
        <f aca="false">IF(AR22="","",IF(AND(IFERROR(--(INDEX('Reguler Class Availability'!$F:$F,AR22)&amp;""),0)=0,IFERROR(--(INDEX('Reguler Class Availability'!$G:$G,AR22)&amp;""),0)=0),IF(OR(INDEX('Reguler Class Availability'!$B:$B,AR22)&amp;""&lt;&gt;"",INDEX('Reguler Class Availability'!$I:$I,AR22)&amp;""&lt;&gt;""),"Tutup","Tidak dibuka"),IF(IFERROR(--(INDEX('Reguler Class Availability'!$G:$G,AR22)&amp;""),0)&gt;IFERROR(--(INDEX('Reguler Class Availability'!$F:$F,AR22)&amp;""),0),"Lebih",IF(IFERROR(--(INDEX('Reguler Class Availability'!$G:$G,AR22)&amp;""),0)=IFERROR(--(INDEX('Reguler Class Availability'!$F:$F,AR22)&amp;""),0),"Penuh",IF(IFERROR(--(INDEX('Reguler Class Availability'!$G:$G,AR22)&amp;""),0)=0,IF(INDEX('Reguler Class Availability'!$B:$B,AR22)&amp;""="","Kosong","Belum terisi"),IF(IFERROR(--(INDEX('Reguler Class Availability'!$G:$G,AR22)&amp;""),0)/IFERROR(--(INDEX('Reguler Class Availability'!$F:$F,AR22)&amp;""),0)&gt;=0.6,"Tinggi","Sebagian"))))))</f>
        <v>Belum terisi</v>
      </c>
      <c r="BA22" s="0" t="str">
        <f aca="false">IF(AS22="","",IF(AND(IFERROR(--(INDEX('Reguler Class Availability'!$F:$F,AS22)&amp;""),0)=0,IFERROR(--(INDEX('Reguler Class Availability'!$G:$G,AS22)&amp;""),0)=0),IF(OR(INDEX('Reguler Class Availability'!$B:$B,AS22)&amp;""&lt;&gt;"",INDEX('Reguler Class Availability'!$I:$I,AS22)&amp;""&lt;&gt;""),"Tutup","Tidak dibuka"),IF(IFERROR(--(INDEX('Reguler Class Availability'!$G:$G,AS22)&amp;""),0)&gt;IFERROR(--(INDEX('Reguler Class Availability'!$F:$F,AS22)&amp;""),0),"Lebih",IF(IFERROR(--(INDEX('Reguler Class Availability'!$G:$G,AS22)&amp;""),0)=IFERROR(--(INDEX('Reguler Class Availability'!$F:$F,AS22)&amp;""),0),"Penuh",IF(IFERROR(--(INDEX('Reguler Class Availability'!$G:$G,AS22)&amp;""),0)=0,IF(INDEX('Reguler Class Availability'!$B:$B,AS22)&amp;""="","Kosong","Belum terisi"),IF(IFERROR(--(INDEX('Reguler Class Availability'!$G:$G,AS22)&amp;""),0)/IFERROR(--(INDEX('Reguler Class Availability'!$F:$F,AS22)&amp;""),0)&gt;=0.6,"Tinggi","Sebagian"))))))</f>
        <v>Belum terisi</v>
      </c>
      <c r="BB22" s="0" t="str">
        <f aca="false">IF(AT22="","",IF(AND(IFERROR(--(INDEX('Reguler Class Availability'!$F:$F,AT22)&amp;""),0)=0,IFERROR(--(INDEX('Reguler Class Availability'!$G:$G,AT22)&amp;""),0)=0),IF(OR(INDEX('Reguler Class Availability'!$B:$B,AT22)&amp;""&lt;&gt;"",INDEX('Reguler Class Availability'!$I:$I,AT22)&amp;""&lt;&gt;""),"Tutup","Tidak dibuka"),IF(IFERROR(--(INDEX('Reguler Class Availability'!$G:$G,AT22)&amp;""),0)&gt;IFERROR(--(INDEX('Reguler Class Availability'!$F:$F,AT22)&amp;""),0),"Lebih",IF(IFERROR(--(INDEX('Reguler Class Availability'!$G:$G,AT22)&amp;""),0)=IFERROR(--(INDEX('Reguler Class Availability'!$F:$F,AT22)&amp;""),0),"Penuh",IF(IFERROR(--(INDEX('Reguler Class Availability'!$G:$G,AT22)&amp;""),0)=0,IF(INDEX('Reguler Class Availability'!$B:$B,AT22)&amp;""="","Kosong","Belum terisi"),IF(IFERROR(--(INDEX('Reguler Class Availability'!$G:$G,AT22)&amp;""),0)/IFERROR(--(INDEX('Reguler Class Availability'!$F:$F,AT22)&amp;""),0)&gt;=0.6,"Tinggi","Sebagian"))))))</f>
        <v>Sebagian</v>
      </c>
      <c r="BD22" s="30" t="s">
        <v>129</v>
      </c>
      <c r="BE22" s="30" t="n">
        <f aca="false">IF(COUNTIFS('Reguler Class Availability'!$L:$L,$B$4&amp;"|- Lane 1 - *|"&amp;BD22)&gt;0,1,0)</f>
        <v>1</v>
      </c>
      <c r="BF22" s="30" t="n">
        <f aca="false">BE22+BF21</f>
        <v>6</v>
      </c>
    </row>
    <row r="23" customFormat="false" ht="39.75" hidden="false" customHeight="true" outlineLevel="0" collapsed="false">
      <c r="A23" s="66" t="str">
        <f aca="false">IFERROR(INDEX($BD$2:$BD$61,MATCH(10,$BF$2:$BF$61,0)),"")</f>
        <v>14:45</v>
      </c>
      <c r="B23" s="67" t="str">
        <f aca="false">IF(AN23="","",IF(AV23="Tidak dibuka","–",IF(INDEX('Reguler Class Availability'!$B:$B,AN23)&amp;""="","Kosong",PROPER(INDEX('Reguler Class Availability'!$B:$B,AN23)&amp;""))&amp;"  "&amp;IFERROR(--(INDEX('Reguler Class Availability'!$G:$G,AN23)&amp;""),0)&amp;"/"&amp;IFERROR(--(INDEX('Reguler Class Availability'!$F:$F,AN23)&amp;""),0)&amp;IF(IFERROR(--(INDEX('Reguler Class Availability'!$F:$F,AN23)&amp;""),0)&gt;0,"  ("&amp;TEXT(IFERROR(--(INDEX('Reguler Class Availability'!$G:$G,AN23)&amp;""),0)/IFERROR(--(INDEX('Reguler Class Availability'!$F:$F,AN23)&amp;""),0),"0%")&amp;")","")&amp;CHAR(10)&amp;IF(INDEX('Reguler Class Availability'!$I:$I,AN23)&amp;""="","coach: –",PROPER(INDEX('Reguler Class Availability'!$I:$I,AN23)&amp;""))&amp;IF(INDEX('Reguler Class Availability'!$J:$J,AN23)&amp;""="","",CHAR(10)&amp;"asst: "&amp;PROPER(INDEX('Reguler Class Availability'!$J:$J,AN23)&amp;""))))</f>
        <v>Baby  0/5  (0%)
coach: –</v>
      </c>
      <c r="C23" s="67" t="str">
        <f aca="false">IF(AO23="","",IF(AW23="Tidak dibuka","–",IF(INDEX('Reguler Class Availability'!$B:$B,AO23)&amp;""="","Kosong",PROPER(INDEX('Reguler Class Availability'!$B:$B,AO23)&amp;""))&amp;"  "&amp;IFERROR(--(INDEX('Reguler Class Availability'!$G:$G,AO23)&amp;""),0)&amp;"/"&amp;IFERROR(--(INDEX('Reguler Class Availability'!$F:$F,AO23)&amp;""),0)&amp;IF(IFERROR(--(INDEX('Reguler Class Availability'!$F:$F,AO23)&amp;""),0)&gt;0,"  ("&amp;TEXT(IFERROR(--(INDEX('Reguler Class Availability'!$G:$G,AO23)&amp;""),0)/IFERROR(--(INDEX('Reguler Class Availability'!$F:$F,AO23)&amp;""),0),"0%")&amp;")","")&amp;CHAR(10)&amp;IF(INDEX('Reguler Class Availability'!$I:$I,AO23)&amp;""="","coach: –",PROPER(INDEX('Reguler Class Availability'!$I:$I,AO23)&amp;""))&amp;IF(INDEX('Reguler Class Availability'!$J:$J,AO23)&amp;""="","",CHAR(10)&amp;"asst: "&amp;PROPER(INDEX('Reguler Class Availability'!$J:$J,AO23)&amp;""))))</f>
        <v>Baby  0/5  (0%)
coach: –</v>
      </c>
      <c r="D23" s="67" t="str">
        <f aca="false">IF(AP23="","",IF(AX23="Tidak dibuka","–",IF(INDEX('Reguler Class Availability'!$B:$B,AP23)&amp;""="","Kosong",PROPER(INDEX('Reguler Class Availability'!$B:$B,AP23)&amp;""))&amp;"  "&amp;IFERROR(--(INDEX('Reguler Class Availability'!$G:$G,AP23)&amp;""),0)&amp;"/"&amp;IFERROR(--(INDEX('Reguler Class Availability'!$F:$F,AP23)&amp;""),0)&amp;IF(IFERROR(--(INDEX('Reguler Class Availability'!$F:$F,AP23)&amp;""),0)&gt;0,"  ("&amp;TEXT(IFERROR(--(INDEX('Reguler Class Availability'!$G:$G,AP23)&amp;""),0)/IFERROR(--(INDEX('Reguler Class Availability'!$F:$F,AP23)&amp;""),0),"0%")&amp;")","")&amp;CHAR(10)&amp;IF(INDEX('Reguler Class Availability'!$I:$I,AP23)&amp;""="","coach: –",PROPER(INDEX('Reguler Class Availability'!$I:$I,AP23)&amp;""))&amp;IF(INDEX('Reguler Class Availability'!$J:$J,AP23)&amp;""="","",CHAR(10)&amp;"asst: "&amp;PROPER(INDEX('Reguler Class Availability'!$J:$J,AP23)&amp;""))))</f>
        <v>Baby  1/5  (20%)
Shabrina</v>
      </c>
      <c r="E23" s="67" t="str">
        <f aca="false">IF(AQ23="","",IF(AY23="Tidak dibuka","–",IF(INDEX('Reguler Class Availability'!$B:$B,AQ23)&amp;""="","Kosong",PROPER(INDEX('Reguler Class Availability'!$B:$B,AQ23)&amp;""))&amp;"  "&amp;IFERROR(--(INDEX('Reguler Class Availability'!$G:$G,AQ23)&amp;""),0)&amp;"/"&amp;IFERROR(--(INDEX('Reguler Class Availability'!$F:$F,AQ23)&amp;""),0)&amp;IF(IFERROR(--(INDEX('Reguler Class Availability'!$F:$F,AQ23)&amp;""),0)&gt;0,"  ("&amp;TEXT(IFERROR(--(INDEX('Reguler Class Availability'!$G:$G,AQ23)&amp;""),0)/IFERROR(--(INDEX('Reguler Class Availability'!$F:$F,AQ23)&amp;""),0),"0%")&amp;")","")&amp;CHAR(10)&amp;IF(INDEX('Reguler Class Availability'!$I:$I,AQ23)&amp;""="","coach: –",PROPER(INDEX('Reguler Class Availability'!$I:$I,AQ23)&amp;""))&amp;IF(INDEX('Reguler Class Availability'!$J:$J,AQ23)&amp;""="","",CHAR(10)&amp;"asst: "&amp;PROPER(INDEX('Reguler Class Availability'!$J:$J,AQ23)&amp;""))))</f>
        <v>Baby  0/5  (0%)
coach: –</v>
      </c>
      <c r="F23" s="67" t="str">
        <f aca="false">IF(AR23="","",IF(AZ23="Tidak dibuka","–",IF(INDEX('Reguler Class Availability'!$B:$B,AR23)&amp;""="","Kosong",PROPER(INDEX('Reguler Class Availability'!$B:$B,AR23)&amp;""))&amp;"  "&amp;IFERROR(--(INDEX('Reguler Class Availability'!$G:$G,AR23)&amp;""),0)&amp;"/"&amp;IFERROR(--(INDEX('Reguler Class Availability'!$F:$F,AR23)&amp;""),0)&amp;IF(IFERROR(--(INDEX('Reguler Class Availability'!$F:$F,AR23)&amp;""),0)&gt;0,"  ("&amp;TEXT(IFERROR(--(INDEX('Reguler Class Availability'!$G:$G,AR23)&amp;""),0)/IFERROR(--(INDEX('Reguler Class Availability'!$F:$F,AR23)&amp;""),0),"0%")&amp;")","")&amp;CHAR(10)&amp;IF(INDEX('Reguler Class Availability'!$I:$I,AR23)&amp;""="","coach: –",PROPER(INDEX('Reguler Class Availability'!$I:$I,AR23)&amp;""))&amp;IF(INDEX('Reguler Class Availability'!$J:$J,AR23)&amp;""="","",CHAR(10)&amp;"asst: "&amp;PROPER(INDEX('Reguler Class Availability'!$J:$J,AR23)&amp;""))))</f>
        <v>Baby  0/5  (0%)
coach: –</v>
      </c>
      <c r="G23" s="67" t="str">
        <f aca="false">IF(AS23="","",IF(BA23="Tidak dibuka","–",IF(INDEX('Reguler Class Availability'!$B:$B,AS23)&amp;""="","Kosong",PROPER(INDEX('Reguler Class Availability'!$B:$B,AS23)&amp;""))&amp;"  "&amp;IFERROR(--(INDEX('Reguler Class Availability'!$G:$G,AS23)&amp;""),0)&amp;"/"&amp;IFERROR(--(INDEX('Reguler Class Availability'!$F:$F,AS23)&amp;""),0)&amp;IF(IFERROR(--(INDEX('Reguler Class Availability'!$F:$F,AS23)&amp;""),0)&gt;0,"  ("&amp;TEXT(IFERROR(--(INDEX('Reguler Class Availability'!$G:$G,AS23)&amp;""),0)/IFERROR(--(INDEX('Reguler Class Availability'!$F:$F,AS23)&amp;""),0),"0%")&amp;")","")&amp;CHAR(10)&amp;IF(INDEX('Reguler Class Availability'!$I:$I,AS23)&amp;""="","coach: –",PROPER(INDEX('Reguler Class Availability'!$I:$I,AS23)&amp;""))&amp;IF(INDEX('Reguler Class Availability'!$J:$J,AS23)&amp;""="","",CHAR(10)&amp;"asst: "&amp;PROPER(INDEX('Reguler Class Availability'!$J:$J,AS23)&amp;""))))</f>
        <v>Baby  0/5  (0%)
coach: –</v>
      </c>
      <c r="H23" s="67" t="str">
        <f aca="false">IF(AT23="","",IF(BB23="Tidak dibuka","–",IF(INDEX('Reguler Class Availability'!$B:$B,AT23)&amp;""="","Kosong",PROPER(INDEX('Reguler Class Availability'!$B:$B,AT23)&amp;""))&amp;"  "&amp;IFERROR(--(INDEX('Reguler Class Availability'!$G:$G,AT23)&amp;""),0)&amp;"/"&amp;IFERROR(--(INDEX('Reguler Class Availability'!$F:$F,AT23)&amp;""),0)&amp;IF(IFERROR(--(INDEX('Reguler Class Availability'!$F:$F,AT23)&amp;""),0)&gt;0,"  ("&amp;TEXT(IFERROR(--(INDEX('Reguler Class Availability'!$G:$G,AT23)&amp;""),0)/IFERROR(--(INDEX('Reguler Class Availability'!$F:$F,AT23)&amp;""),0),"0%")&amp;")","")&amp;CHAR(10)&amp;IF(INDEX('Reguler Class Availability'!$I:$I,AT23)&amp;""="","coach: –",PROPER(INDEX('Reguler Class Availability'!$I:$I,AT23)&amp;""))&amp;IF(INDEX('Reguler Class Availability'!$J:$J,AT23)&amp;""="","",CHAR(10)&amp;"asst: "&amp;PROPER(INDEX('Reguler Class Availability'!$J:$J,AT23)&amp;""))))</f>
        <v>Baby  0/5  (0%)
coach: –</v>
      </c>
      <c r="AN23" s="30" t="n">
        <f aca="false">IF($A23="","",IFERROR(MATCH($B$4&amp;"|- Lane 1 - "&amp;B$13&amp;"|"&amp;$A23,'Reguler Class Availability'!$L:$L,0),""))</f>
        <v>2418</v>
      </c>
      <c r="AO23" s="30" t="n">
        <f aca="false">IF($A23="","",IFERROR(MATCH($B$4&amp;"|- Lane 1 - "&amp;C$13&amp;"|"&amp;$A23,'Reguler Class Availability'!$L:$L,0),""))</f>
        <v>2430</v>
      </c>
      <c r="AP23" s="30" t="n">
        <f aca="false">IF($A23="","",IFERROR(MATCH($B$4&amp;"|- Lane 1 - "&amp;D$13&amp;"|"&amp;$A23,'Reguler Class Availability'!$L:$L,0),""))</f>
        <v>2442</v>
      </c>
      <c r="AQ23" s="30" t="n">
        <f aca="false">IF($A23="","",IFERROR(MATCH($B$4&amp;"|- Lane 1 - "&amp;E$13&amp;"|"&amp;$A23,'Reguler Class Availability'!$L:$L,0),""))</f>
        <v>2454</v>
      </c>
      <c r="AR23" s="30" t="n">
        <f aca="false">IF($A23="","",IFERROR(MATCH($B$4&amp;"|- Lane 1 - "&amp;F$13&amp;"|"&amp;$A23,'Reguler Class Availability'!$L:$L,0),""))</f>
        <v>2466</v>
      </c>
      <c r="AS23" s="30" t="n">
        <f aca="false">IF($A23="","",IFERROR(MATCH($B$4&amp;"|- Lane 1 - "&amp;G$13&amp;"|"&amp;$A23,'Reguler Class Availability'!$L:$L,0),""))</f>
        <v>2478</v>
      </c>
      <c r="AT23" s="30" t="n">
        <f aca="false">IF($A23="","",IFERROR(MATCH($B$4&amp;"|- Lane 1 - "&amp;H$13&amp;"|"&amp;$A23,'Reguler Class Availability'!$L:$L,0),""))</f>
        <v>2490</v>
      </c>
      <c r="AV23" s="0" t="str">
        <f aca="false">IF(AN23="","",IF(AND(IFERROR(--(INDEX('Reguler Class Availability'!$F:$F,AN23)&amp;""),0)=0,IFERROR(--(INDEX('Reguler Class Availability'!$G:$G,AN23)&amp;""),0)=0),IF(OR(INDEX('Reguler Class Availability'!$B:$B,AN23)&amp;""&lt;&gt;"",INDEX('Reguler Class Availability'!$I:$I,AN23)&amp;""&lt;&gt;""),"Tutup","Tidak dibuka"),IF(IFERROR(--(INDEX('Reguler Class Availability'!$G:$G,AN23)&amp;""),0)&gt;IFERROR(--(INDEX('Reguler Class Availability'!$F:$F,AN23)&amp;""),0),"Lebih",IF(IFERROR(--(INDEX('Reguler Class Availability'!$G:$G,AN23)&amp;""),0)=IFERROR(--(INDEX('Reguler Class Availability'!$F:$F,AN23)&amp;""),0),"Penuh",IF(IFERROR(--(INDEX('Reguler Class Availability'!$G:$G,AN23)&amp;""),0)=0,IF(INDEX('Reguler Class Availability'!$B:$B,AN23)&amp;""="","Kosong","Belum terisi"),IF(IFERROR(--(INDEX('Reguler Class Availability'!$G:$G,AN23)&amp;""),0)/IFERROR(--(INDEX('Reguler Class Availability'!$F:$F,AN23)&amp;""),0)&gt;=0.6,"Tinggi","Sebagian"))))))</f>
        <v>Belum terisi</v>
      </c>
      <c r="AW23" s="0" t="str">
        <f aca="false">IF(AO23="","",IF(AND(IFERROR(--(INDEX('Reguler Class Availability'!$F:$F,AO23)&amp;""),0)=0,IFERROR(--(INDEX('Reguler Class Availability'!$G:$G,AO23)&amp;""),0)=0),IF(OR(INDEX('Reguler Class Availability'!$B:$B,AO23)&amp;""&lt;&gt;"",INDEX('Reguler Class Availability'!$I:$I,AO23)&amp;""&lt;&gt;""),"Tutup","Tidak dibuka"),IF(IFERROR(--(INDEX('Reguler Class Availability'!$G:$G,AO23)&amp;""),0)&gt;IFERROR(--(INDEX('Reguler Class Availability'!$F:$F,AO23)&amp;""),0),"Lebih",IF(IFERROR(--(INDEX('Reguler Class Availability'!$G:$G,AO23)&amp;""),0)=IFERROR(--(INDEX('Reguler Class Availability'!$F:$F,AO23)&amp;""),0),"Penuh",IF(IFERROR(--(INDEX('Reguler Class Availability'!$G:$G,AO23)&amp;""),0)=0,IF(INDEX('Reguler Class Availability'!$B:$B,AO23)&amp;""="","Kosong","Belum terisi"),IF(IFERROR(--(INDEX('Reguler Class Availability'!$G:$G,AO23)&amp;""),0)/IFERROR(--(INDEX('Reguler Class Availability'!$F:$F,AO23)&amp;""),0)&gt;=0.6,"Tinggi","Sebagian"))))))</f>
        <v>Belum terisi</v>
      </c>
      <c r="AX23" s="0" t="str">
        <f aca="false">IF(AP23="","",IF(AND(IFERROR(--(INDEX('Reguler Class Availability'!$F:$F,AP23)&amp;""),0)=0,IFERROR(--(INDEX('Reguler Class Availability'!$G:$G,AP23)&amp;""),0)=0),IF(OR(INDEX('Reguler Class Availability'!$B:$B,AP23)&amp;""&lt;&gt;"",INDEX('Reguler Class Availability'!$I:$I,AP23)&amp;""&lt;&gt;""),"Tutup","Tidak dibuka"),IF(IFERROR(--(INDEX('Reguler Class Availability'!$G:$G,AP23)&amp;""),0)&gt;IFERROR(--(INDEX('Reguler Class Availability'!$F:$F,AP23)&amp;""),0),"Lebih",IF(IFERROR(--(INDEX('Reguler Class Availability'!$G:$G,AP23)&amp;""),0)=IFERROR(--(INDEX('Reguler Class Availability'!$F:$F,AP23)&amp;""),0),"Penuh",IF(IFERROR(--(INDEX('Reguler Class Availability'!$G:$G,AP23)&amp;""),0)=0,IF(INDEX('Reguler Class Availability'!$B:$B,AP23)&amp;""="","Kosong","Belum terisi"),IF(IFERROR(--(INDEX('Reguler Class Availability'!$G:$G,AP23)&amp;""),0)/IFERROR(--(INDEX('Reguler Class Availability'!$F:$F,AP23)&amp;""),0)&gt;=0.6,"Tinggi","Sebagian"))))))</f>
        <v>Sebagian</v>
      </c>
      <c r="AY23" s="0" t="str">
        <f aca="false">IF(AQ23="","",IF(AND(IFERROR(--(INDEX('Reguler Class Availability'!$F:$F,AQ23)&amp;""),0)=0,IFERROR(--(INDEX('Reguler Class Availability'!$G:$G,AQ23)&amp;""),0)=0),IF(OR(INDEX('Reguler Class Availability'!$B:$B,AQ23)&amp;""&lt;&gt;"",INDEX('Reguler Class Availability'!$I:$I,AQ23)&amp;""&lt;&gt;""),"Tutup","Tidak dibuka"),IF(IFERROR(--(INDEX('Reguler Class Availability'!$G:$G,AQ23)&amp;""),0)&gt;IFERROR(--(INDEX('Reguler Class Availability'!$F:$F,AQ23)&amp;""),0),"Lebih",IF(IFERROR(--(INDEX('Reguler Class Availability'!$G:$G,AQ23)&amp;""),0)=IFERROR(--(INDEX('Reguler Class Availability'!$F:$F,AQ23)&amp;""),0),"Penuh",IF(IFERROR(--(INDEX('Reguler Class Availability'!$G:$G,AQ23)&amp;""),0)=0,IF(INDEX('Reguler Class Availability'!$B:$B,AQ23)&amp;""="","Kosong","Belum terisi"),IF(IFERROR(--(INDEX('Reguler Class Availability'!$G:$G,AQ23)&amp;""),0)/IFERROR(--(INDEX('Reguler Class Availability'!$F:$F,AQ23)&amp;""),0)&gt;=0.6,"Tinggi","Sebagian"))))))</f>
        <v>Belum terisi</v>
      </c>
      <c r="AZ23" s="0" t="str">
        <f aca="false">IF(AR23="","",IF(AND(IFERROR(--(INDEX('Reguler Class Availability'!$F:$F,AR23)&amp;""),0)=0,IFERROR(--(INDEX('Reguler Class Availability'!$G:$G,AR23)&amp;""),0)=0),IF(OR(INDEX('Reguler Class Availability'!$B:$B,AR23)&amp;""&lt;&gt;"",INDEX('Reguler Class Availability'!$I:$I,AR23)&amp;""&lt;&gt;""),"Tutup","Tidak dibuka"),IF(IFERROR(--(INDEX('Reguler Class Availability'!$G:$G,AR23)&amp;""),0)&gt;IFERROR(--(INDEX('Reguler Class Availability'!$F:$F,AR23)&amp;""),0),"Lebih",IF(IFERROR(--(INDEX('Reguler Class Availability'!$G:$G,AR23)&amp;""),0)=IFERROR(--(INDEX('Reguler Class Availability'!$F:$F,AR23)&amp;""),0),"Penuh",IF(IFERROR(--(INDEX('Reguler Class Availability'!$G:$G,AR23)&amp;""),0)=0,IF(INDEX('Reguler Class Availability'!$B:$B,AR23)&amp;""="","Kosong","Belum terisi"),IF(IFERROR(--(INDEX('Reguler Class Availability'!$G:$G,AR23)&amp;""),0)/IFERROR(--(INDEX('Reguler Class Availability'!$F:$F,AR23)&amp;""),0)&gt;=0.6,"Tinggi","Sebagian"))))))</f>
        <v>Belum terisi</v>
      </c>
      <c r="BA23" s="0" t="str">
        <f aca="false">IF(AS23="","",IF(AND(IFERROR(--(INDEX('Reguler Class Availability'!$F:$F,AS23)&amp;""),0)=0,IFERROR(--(INDEX('Reguler Class Availability'!$G:$G,AS23)&amp;""),0)=0),IF(OR(INDEX('Reguler Class Availability'!$B:$B,AS23)&amp;""&lt;&gt;"",INDEX('Reguler Class Availability'!$I:$I,AS23)&amp;""&lt;&gt;""),"Tutup","Tidak dibuka"),IF(IFERROR(--(INDEX('Reguler Class Availability'!$G:$G,AS23)&amp;""),0)&gt;IFERROR(--(INDEX('Reguler Class Availability'!$F:$F,AS23)&amp;""),0),"Lebih",IF(IFERROR(--(INDEX('Reguler Class Availability'!$G:$G,AS23)&amp;""),0)=IFERROR(--(INDEX('Reguler Class Availability'!$F:$F,AS23)&amp;""),0),"Penuh",IF(IFERROR(--(INDEX('Reguler Class Availability'!$G:$G,AS23)&amp;""),0)=0,IF(INDEX('Reguler Class Availability'!$B:$B,AS23)&amp;""="","Kosong","Belum terisi"),IF(IFERROR(--(INDEX('Reguler Class Availability'!$G:$G,AS23)&amp;""),0)/IFERROR(--(INDEX('Reguler Class Availability'!$F:$F,AS23)&amp;""),0)&gt;=0.6,"Tinggi","Sebagian"))))))</f>
        <v>Belum terisi</v>
      </c>
      <c r="BB23" s="0" t="str">
        <f aca="false">IF(AT23="","",IF(AND(IFERROR(--(INDEX('Reguler Class Availability'!$F:$F,AT23)&amp;""),0)=0,IFERROR(--(INDEX('Reguler Class Availability'!$G:$G,AT23)&amp;""),0)=0),IF(OR(INDEX('Reguler Class Availability'!$B:$B,AT23)&amp;""&lt;&gt;"",INDEX('Reguler Class Availability'!$I:$I,AT23)&amp;""&lt;&gt;""),"Tutup","Tidak dibuka"),IF(IFERROR(--(INDEX('Reguler Class Availability'!$G:$G,AT23)&amp;""),0)&gt;IFERROR(--(INDEX('Reguler Class Availability'!$F:$F,AT23)&amp;""),0),"Lebih",IF(IFERROR(--(INDEX('Reguler Class Availability'!$G:$G,AT23)&amp;""),0)=IFERROR(--(INDEX('Reguler Class Availability'!$F:$F,AT23)&amp;""),0),"Penuh",IF(IFERROR(--(INDEX('Reguler Class Availability'!$G:$G,AT23)&amp;""),0)=0,IF(INDEX('Reguler Class Availability'!$B:$B,AT23)&amp;""="","Kosong","Belum terisi"),IF(IFERROR(--(INDEX('Reguler Class Availability'!$G:$G,AT23)&amp;""),0)/IFERROR(--(INDEX('Reguler Class Availability'!$F:$F,AT23)&amp;""),0)&gt;=0.6,"Tinggi","Sebagian"))))))</f>
        <v>Belum terisi</v>
      </c>
      <c r="BD23" s="30" t="s">
        <v>130</v>
      </c>
      <c r="BE23" s="30" t="n">
        <f aca="false">IF(COUNTIFS('Reguler Class Availability'!$L:$L,$B$4&amp;"|- Lane 1 - *|"&amp;BD23)&gt;0,1,0)</f>
        <v>0</v>
      </c>
      <c r="BF23" s="30" t="n">
        <f aca="false">BE23+BF22</f>
        <v>6</v>
      </c>
    </row>
    <row r="24" customFormat="false" ht="39.75" hidden="false" customHeight="true" outlineLevel="0" collapsed="false">
      <c r="A24" s="66" t="str">
        <f aca="false">IFERROR(INDEX($BD$2:$BD$61,MATCH(11,$BF$2:$BF$61,0)),"")</f>
        <v>15:30</v>
      </c>
      <c r="B24" s="67" t="str">
        <f aca="false">IF(AN24="","",IF(AV24="Tidak dibuka","–",IF(INDEX('Reguler Class Availability'!$B:$B,AN24)&amp;""="","Kosong",PROPER(INDEX('Reguler Class Availability'!$B:$B,AN24)&amp;""))&amp;"  "&amp;IFERROR(--(INDEX('Reguler Class Availability'!$G:$G,AN24)&amp;""),0)&amp;"/"&amp;IFERROR(--(INDEX('Reguler Class Availability'!$F:$F,AN24)&amp;""),0)&amp;IF(IFERROR(--(INDEX('Reguler Class Availability'!$F:$F,AN24)&amp;""),0)&gt;0,"  ("&amp;TEXT(IFERROR(--(INDEX('Reguler Class Availability'!$G:$G,AN24)&amp;""),0)/IFERROR(--(INDEX('Reguler Class Availability'!$F:$F,AN24)&amp;""),0),"0%")&amp;")","")&amp;CHAR(10)&amp;IF(INDEX('Reguler Class Availability'!$I:$I,AN24)&amp;""="","coach: –",PROPER(INDEX('Reguler Class Availability'!$I:$I,AN24)&amp;""))&amp;IF(INDEX('Reguler Class Availability'!$J:$J,AN24)&amp;""="","",CHAR(10)&amp;"asst: "&amp;PROPER(INDEX('Reguler Class Availability'!$J:$J,AN24)&amp;""))))</f>
        <v>Baby  0/5  (0%)
coach: –</v>
      </c>
      <c r="C24" s="67" t="str">
        <f aca="false">IF(AO24="","",IF(AW24="Tidak dibuka","–",IF(INDEX('Reguler Class Availability'!$B:$B,AO24)&amp;""="","Kosong",PROPER(INDEX('Reguler Class Availability'!$B:$B,AO24)&amp;""))&amp;"  "&amp;IFERROR(--(INDEX('Reguler Class Availability'!$G:$G,AO24)&amp;""),0)&amp;"/"&amp;IFERROR(--(INDEX('Reguler Class Availability'!$F:$F,AO24)&amp;""),0)&amp;IF(IFERROR(--(INDEX('Reguler Class Availability'!$F:$F,AO24)&amp;""),0)&gt;0,"  ("&amp;TEXT(IFERROR(--(INDEX('Reguler Class Availability'!$G:$G,AO24)&amp;""),0)/IFERROR(--(INDEX('Reguler Class Availability'!$F:$F,AO24)&amp;""),0),"0%")&amp;")","")&amp;CHAR(10)&amp;IF(INDEX('Reguler Class Availability'!$I:$I,AO24)&amp;""="","coach: –",PROPER(INDEX('Reguler Class Availability'!$I:$I,AO24)&amp;""))&amp;IF(INDEX('Reguler Class Availability'!$J:$J,AO24)&amp;""="","",CHAR(10)&amp;"asst: "&amp;PROPER(INDEX('Reguler Class Availability'!$J:$J,AO24)&amp;""))))</f>
        <v>Baby  0/5  (0%)
coach: –</v>
      </c>
      <c r="D24" s="67" t="str">
        <f aca="false">IF(AP24="","",IF(AX24="Tidak dibuka","–",IF(INDEX('Reguler Class Availability'!$B:$B,AP24)&amp;""="","Kosong",PROPER(INDEX('Reguler Class Availability'!$B:$B,AP24)&amp;""))&amp;"  "&amp;IFERROR(--(INDEX('Reguler Class Availability'!$G:$G,AP24)&amp;""),0)&amp;"/"&amp;IFERROR(--(INDEX('Reguler Class Availability'!$F:$F,AP24)&amp;""),0)&amp;IF(IFERROR(--(INDEX('Reguler Class Availability'!$F:$F,AP24)&amp;""),0)&gt;0,"  ("&amp;TEXT(IFERROR(--(INDEX('Reguler Class Availability'!$G:$G,AP24)&amp;""),0)/IFERROR(--(INDEX('Reguler Class Availability'!$F:$F,AP24)&amp;""),0),"0%")&amp;")","")&amp;CHAR(10)&amp;IF(INDEX('Reguler Class Availability'!$I:$I,AP24)&amp;""="","coach: –",PROPER(INDEX('Reguler Class Availability'!$I:$I,AP24)&amp;""))&amp;IF(INDEX('Reguler Class Availability'!$J:$J,AP24)&amp;""="","",CHAR(10)&amp;"asst: "&amp;PROPER(INDEX('Reguler Class Availability'!$J:$J,AP24)&amp;""))))</f>
        <v>Baby  0/5  (0%)
coach: –</v>
      </c>
      <c r="E24" s="67" t="str">
        <f aca="false">IF(AQ24="","",IF(AY24="Tidak dibuka","–",IF(INDEX('Reguler Class Availability'!$B:$B,AQ24)&amp;""="","Kosong",PROPER(INDEX('Reguler Class Availability'!$B:$B,AQ24)&amp;""))&amp;"  "&amp;IFERROR(--(INDEX('Reguler Class Availability'!$G:$G,AQ24)&amp;""),0)&amp;"/"&amp;IFERROR(--(INDEX('Reguler Class Availability'!$F:$F,AQ24)&amp;""),0)&amp;IF(IFERROR(--(INDEX('Reguler Class Availability'!$F:$F,AQ24)&amp;""),0)&gt;0,"  ("&amp;TEXT(IFERROR(--(INDEX('Reguler Class Availability'!$G:$G,AQ24)&amp;""),0)/IFERROR(--(INDEX('Reguler Class Availability'!$F:$F,AQ24)&amp;""),0),"0%")&amp;")","")&amp;CHAR(10)&amp;IF(INDEX('Reguler Class Availability'!$I:$I,AQ24)&amp;""="","coach: –",PROPER(INDEX('Reguler Class Availability'!$I:$I,AQ24)&amp;""))&amp;IF(INDEX('Reguler Class Availability'!$J:$J,AQ24)&amp;""="","",CHAR(10)&amp;"asst: "&amp;PROPER(INDEX('Reguler Class Availability'!$J:$J,AQ24)&amp;""))))</f>
        <v>Baby  0/5  (0%)
coach: –</v>
      </c>
      <c r="F24" s="67" t="str">
        <f aca="false">IF(AR24="","",IF(AZ24="Tidak dibuka","–",IF(INDEX('Reguler Class Availability'!$B:$B,AR24)&amp;""="","Kosong",PROPER(INDEX('Reguler Class Availability'!$B:$B,AR24)&amp;""))&amp;"  "&amp;IFERROR(--(INDEX('Reguler Class Availability'!$G:$G,AR24)&amp;""),0)&amp;"/"&amp;IFERROR(--(INDEX('Reguler Class Availability'!$F:$F,AR24)&amp;""),0)&amp;IF(IFERROR(--(INDEX('Reguler Class Availability'!$F:$F,AR24)&amp;""),0)&gt;0,"  ("&amp;TEXT(IFERROR(--(INDEX('Reguler Class Availability'!$G:$G,AR24)&amp;""),0)/IFERROR(--(INDEX('Reguler Class Availability'!$F:$F,AR24)&amp;""),0),"0%")&amp;")","")&amp;CHAR(10)&amp;IF(INDEX('Reguler Class Availability'!$I:$I,AR24)&amp;""="","coach: –",PROPER(INDEX('Reguler Class Availability'!$I:$I,AR24)&amp;""))&amp;IF(INDEX('Reguler Class Availability'!$J:$J,AR24)&amp;""="","",CHAR(10)&amp;"asst: "&amp;PROPER(INDEX('Reguler Class Availability'!$J:$J,AR24)&amp;""))))</f>
        <v>Baby  0/5  (0%)
coach: –</v>
      </c>
      <c r="G24" s="67" t="str">
        <f aca="false">IF(AS24="","",IF(BA24="Tidak dibuka","–",IF(INDEX('Reguler Class Availability'!$B:$B,AS24)&amp;""="","Kosong",PROPER(INDEX('Reguler Class Availability'!$B:$B,AS24)&amp;""))&amp;"  "&amp;IFERROR(--(INDEX('Reguler Class Availability'!$G:$G,AS24)&amp;""),0)&amp;"/"&amp;IFERROR(--(INDEX('Reguler Class Availability'!$F:$F,AS24)&amp;""),0)&amp;IF(IFERROR(--(INDEX('Reguler Class Availability'!$F:$F,AS24)&amp;""),0)&gt;0,"  ("&amp;TEXT(IFERROR(--(INDEX('Reguler Class Availability'!$G:$G,AS24)&amp;""),0)/IFERROR(--(INDEX('Reguler Class Availability'!$F:$F,AS24)&amp;""),0),"0%")&amp;")","")&amp;CHAR(10)&amp;IF(INDEX('Reguler Class Availability'!$I:$I,AS24)&amp;""="","coach: –",PROPER(INDEX('Reguler Class Availability'!$I:$I,AS24)&amp;""))&amp;IF(INDEX('Reguler Class Availability'!$J:$J,AS24)&amp;""="","",CHAR(10)&amp;"asst: "&amp;PROPER(INDEX('Reguler Class Availability'!$J:$J,AS24)&amp;""))))</f>
        <v>Baby  0/5  (0%)
Shabrina</v>
      </c>
      <c r="H24" s="67" t="str">
        <f aca="false">IF(AT24="","",IF(BB24="Tidak dibuka","–",IF(INDEX('Reguler Class Availability'!$B:$B,AT24)&amp;""="","Kosong",PROPER(INDEX('Reguler Class Availability'!$B:$B,AT24)&amp;""))&amp;"  "&amp;IFERROR(--(INDEX('Reguler Class Availability'!$G:$G,AT24)&amp;""),0)&amp;"/"&amp;IFERROR(--(INDEX('Reguler Class Availability'!$F:$F,AT24)&amp;""),0)&amp;IF(IFERROR(--(INDEX('Reguler Class Availability'!$F:$F,AT24)&amp;""),0)&gt;0,"  ("&amp;TEXT(IFERROR(--(INDEX('Reguler Class Availability'!$G:$G,AT24)&amp;""),0)/IFERROR(--(INDEX('Reguler Class Availability'!$F:$F,AT24)&amp;""),0),"0%")&amp;")","")&amp;CHAR(10)&amp;IF(INDEX('Reguler Class Availability'!$I:$I,AT24)&amp;""="","coach: –",PROPER(INDEX('Reguler Class Availability'!$I:$I,AT24)&amp;""))&amp;IF(INDEX('Reguler Class Availability'!$J:$J,AT24)&amp;""="","",CHAR(10)&amp;"asst: "&amp;PROPER(INDEX('Reguler Class Availability'!$J:$J,AT24)&amp;""))))</f>
        <v>Baby  0/5  (0%)
coach: –</v>
      </c>
      <c r="AN24" s="30" t="n">
        <f aca="false">IF($A24="","",IFERROR(MATCH($B$4&amp;"|- Lane 1 - "&amp;B$13&amp;"|"&amp;$A24,'Reguler Class Availability'!$L:$L,0),""))</f>
        <v>2419</v>
      </c>
      <c r="AO24" s="30" t="n">
        <f aca="false">IF($A24="","",IFERROR(MATCH($B$4&amp;"|- Lane 1 - "&amp;C$13&amp;"|"&amp;$A24,'Reguler Class Availability'!$L:$L,0),""))</f>
        <v>2431</v>
      </c>
      <c r="AP24" s="30" t="n">
        <f aca="false">IF($A24="","",IFERROR(MATCH($B$4&amp;"|- Lane 1 - "&amp;D$13&amp;"|"&amp;$A24,'Reguler Class Availability'!$L:$L,0),""))</f>
        <v>2443</v>
      </c>
      <c r="AQ24" s="30" t="n">
        <f aca="false">IF($A24="","",IFERROR(MATCH($B$4&amp;"|- Lane 1 - "&amp;E$13&amp;"|"&amp;$A24,'Reguler Class Availability'!$L:$L,0),""))</f>
        <v>2455</v>
      </c>
      <c r="AR24" s="30" t="n">
        <f aca="false">IF($A24="","",IFERROR(MATCH($B$4&amp;"|- Lane 1 - "&amp;F$13&amp;"|"&amp;$A24,'Reguler Class Availability'!$L:$L,0),""))</f>
        <v>2467</v>
      </c>
      <c r="AS24" s="30" t="n">
        <f aca="false">IF($A24="","",IFERROR(MATCH($B$4&amp;"|- Lane 1 - "&amp;G$13&amp;"|"&amp;$A24,'Reguler Class Availability'!$L:$L,0),""))</f>
        <v>2479</v>
      </c>
      <c r="AT24" s="30" t="n">
        <f aca="false">IF($A24="","",IFERROR(MATCH($B$4&amp;"|- Lane 1 - "&amp;H$13&amp;"|"&amp;$A24,'Reguler Class Availability'!$L:$L,0),""))</f>
        <v>2491</v>
      </c>
      <c r="AV24" s="0" t="str">
        <f aca="false">IF(AN24="","",IF(AND(IFERROR(--(INDEX('Reguler Class Availability'!$F:$F,AN24)&amp;""),0)=0,IFERROR(--(INDEX('Reguler Class Availability'!$G:$G,AN24)&amp;""),0)=0),IF(OR(INDEX('Reguler Class Availability'!$B:$B,AN24)&amp;""&lt;&gt;"",INDEX('Reguler Class Availability'!$I:$I,AN24)&amp;""&lt;&gt;""),"Tutup","Tidak dibuka"),IF(IFERROR(--(INDEX('Reguler Class Availability'!$G:$G,AN24)&amp;""),0)&gt;IFERROR(--(INDEX('Reguler Class Availability'!$F:$F,AN24)&amp;""),0),"Lebih",IF(IFERROR(--(INDEX('Reguler Class Availability'!$G:$G,AN24)&amp;""),0)=IFERROR(--(INDEX('Reguler Class Availability'!$F:$F,AN24)&amp;""),0),"Penuh",IF(IFERROR(--(INDEX('Reguler Class Availability'!$G:$G,AN24)&amp;""),0)=0,IF(INDEX('Reguler Class Availability'!$B:$B,AN24)&amp;""="","Kosong","Belum terisi"),IF(IFERROR(--(INDEX('Reguler Class Availability'!$G:$G,AN24)&amp;""),0)/IFERROR(--(INDEX('Reguler Class Availability'!$F:$F,AN24)&amp;""),0)&gt;=0.6,"Tinggi","Sebagian"))))))</f>
        <v>Belum terisi</v>
      </c>
      <c r="AW24" s="0" t="str">
        <f aca="false">IF(AO24="","",IF(AND(IFERROR(--(INDEX('Reguler Class Availability'!$F:$F,AO24)&amp;""),0)=0,IFERROR(--(INDEX('Reguler Class Availability'!$G:$G,AO24)&amp;""),0)=0),IF(OR(INDEX('Reguler Class Availability'!$B:$B,AO24)&amp;""&lt;&gt;"",INDEX('Reguler Class Availability'!$I:$I,AO24)&amp;""&lt;&gt;""),"Tutup","Tidak dibuka"),IF(IFERROR(--(INDEX('Reguler Class Availability'!$G:$G,AO24)&amp;""),0)&gt;IFERROR(--(INDEX('Reguler Class Availability'!$F:$F,AO24)&amp;""),0),"Lebih",IF(IFERROR(--(INDEX('Reguler Class Availability'!$G:$G,AO24)&amp;""),0)=IFERROR(--(INDEX('Reguler Class Availability'!$F:$F,AO24)&amp;""),0),"Penuh",IF(IFERROR(--(INDEX('Reguler Class Availability'!$G:$G,AO24)&amp;""),0)=0,IF(INDEX('Reguler Class Availability'!$B:$B,AO24)&amp;""="","Kosong","Belum terisi"),IF(IFERROR(--(INDEX('Reguler Class Availability'!$G:$G,AO24)&amp;""),0)/IFERROR(--(INDEX('Reguler Class Availability'!$F:$F,AO24)&amp;""),0)&gt;=0.6,"Tinggi","Sebagian"))))))</f>
        <v>Belum terisi</v>
      </c>
      <c r="AX24" s="0" t="str">
        <f aca="false">IF(AP24="","",IF(AND(IFERROR(--(INDEX('Reguler Class Availability'!$F:$F,AP24)&amp;""),0)=0,IFERROR(--(INDEX('Reguler Class Availability'!$G:$G,AP24)&amp;""),0)=0),IF(OR(INDEX('Reguler Class Availability'!$B:$B,AP24)&amp;""&lt;&gt;"",INDEX('Reguler Class Availability'!$I:$I,AP24)&amp;""&lt;&gt;""),"Tutup","Tidak dibuka"),IF(IFERROR(--(INDEX('Reguler Class Availability'!$G:$G,AP24)&amp;""),0)&gt;IFERROR(--(INDEX('Reguler Class Availability'!$F:$F,AP24)&amp;""),0),"Lebih",IF(IFERROR(--(INDEX('Reguler Class Availability'!$G:$G,AP24)&amp;""),0)=IFERROR(--(INDEX('Reguler Class Availability'!$F:$F,AP24)&amp;""),0),"Penuh",IF(IFERROR(--(INDEX('Reguler Class Availability'!$G:$G,AP24)&amp;""),0)=0,IF(INDEX('Reguler Class Availability'!$B:$B,AP24)&amp;""="","Kosong","Belum terisi"),IF(IFERROR(--(INDEX('Reguler Class Availability'!$G:$G,AP24)&amp;""),0)/IFERROR(--(INDEX('Reguler Class Availability'!$F:$F,AP24)&amp;""),0)&gt;=0.6,"Tinggi","Sebagian"))))))</f>
        <v>Belum terisi</v>
      </c>
      <c r="AY24" s="0" t="str">
        <f aca="false">IF(AQ24="","",IF(AND(IFERROR(--(INDEX('Reguler Class Availability'!$F:$F,AQ24)&amp;""),0)=0,IFERROR(--(INDEX('Reguler Class Availability'!$G:$G,AQ24)&amp;""),0)=0),IF(OR(INDEX('Reguler Class Availability'!$B:$B,AQ24)&amp;""&lt;&gt;"",INDEX('Reguler Class Availability'!$I:$I,AQ24)&amp;""&lt;&gt;""),"Tutup","Tidak dibuka"),IF(IFERROR(--(INDEX('Reguler Class Availability'!$G:$G,AQ24)&amp;""),0)&gt;IFERROR(--(INDEX('Reguler Class Availability'!$F:$F,AQ24)&amp;""),0),"Lebih",IF(IFERROR(--(INDEX('Reguler Class Availability'!$G:$G,AQ24)&amp;""),0)=IFERROR(--(INDEX('Reguler Class Availability'!$F:$F,AQ24)&amp;""),0),"Penuh",IF(IFERROR(--(INDEX('Reguler Class Availability'!$G:$G,AQ24)&amp;""),0)=0,IF(INDEX('Reguler Class Availability'!$B:$B,AQ24)&amp;""="","Kosong","Belum terisi"),IF(IFERROR(--(INDEX('Reguler Class Availability'!$G:$G,AQ24)&amp;""),0)/IFERROR(--(INDEX('Reguler Class Availability'!$F:$F,AQ24)&amp;""),0)&gt;=0.6,"Tinggi","Sebagian"))))))</f>
        <v>Belum terisi</v>
      </c>
      <c r="AZ24" s="0" t="str">
        <f aca="false">IF(AR24="","",IF(AND(IFERROR(--(INDEX('Reguler Class Availability'!$F:$F,AR24)&amp;""),0)=0,IFERROR(--(INDEX('Reguler Class Availability'!$G:$G,AR24)&amp;""),0)=0),IF(OR(INDEX('Reguler Class Availability'!$B:$B,AR24)&amp;""&lt;&gt;"",INDEX('Reguler Class Availability'!$I:$I,AR24)&amp;""&lt;&gt;""),"Tutup","Tidak dibuka"),IF(IFERROR(--(INDEX('Reguler Class Availability'!$G:$G,AR24)&amp;""),0)&gt;IFERROR(--(INDEX('Reguler Class Availability'!$F:$F,AR24)&amp;""),0),"Lebih",IF(IFERROR(--(INDEX('Reguler Class Availability'!$G:$G,AR24)&amp;""),0)=IFERROR(--(INDEX('Reguler Class Availability'!$F:$F,AR24)&amp;""),0),"Penuh",IF(IFERROR(--(INDEX('Reguler Class Availability'!$G:$G,AR24)&amp;""),0)=0,IF(INDEX('Reguler Class Availability'!$B:$B,AR24)&amp;""="","Kosong","Belum terisi"),IF(IFERROR(--(INDEX('Reguler Class Availability'!$G:$G,AR24)&amp;""),0)/IFERROR(--(INDEX('Reguler Class Availability'!$F:$F,AR24)&amp;""),0)&gt;=0.6,"Tinggi","Sebagian"))))))</f>
        <v>Belum terisi</v>
      </c>
      <c r="BA24" s="0" t="str">
        <f aca="false">IF(AS24="","",IF(AND(IFERROR(--(INDEX('Reguler Class Availability'!$F:$F,AS24)&amp;""),0)=0,IFERROR(--(INDEX('Reguler Class Availability'!$G:$G,AS24)&amp;""),0)=0),IF(OR(INDEX('Reguler Class Availability'!$B:$B,AS24)&amp;""&lt;&gt;"",INDEX('Reguler Class Availability'!$I:$I,AS24)&amp;""&lt;&gt;""),"Tutup","Tidak dibuka"),IF(IFERROR(--(INDEX('Reguler Class Availability'!$G:$G,AS24)&amp;""),0)&gt;IFERROR(--(INDEX('Reguler Class Availability'!$F:$F,AS24)&amp;""),0),"Lebih",IF(IFERROR(--(INDEX('Reguler Class Availability'!$G:$G,AS24)&amp;""),0)=IFERROR(--(INDEX('Reguler Class Availability'!$F:$F,AS24)&amp;""),0),"Penuh",IF(IFERROR(--(INDEX('Reguler Class Availability'!$G:$G,AS24)&amp;""),0)=0,IF(INDEX('Reguler Class Availability'!$B:$B,AS24)&amp;""="","Kosong","Belum terisi"),IF(IFERROR(--(INDEX('Reguler Class Availability'!$G:$G,AS24)&amp;""),0)/IFERROR(--(INDEX('Reguler Class Availability'!$F:$F,AS24)&amp;""),0)&gt;=0.6,"Tinggi","Sebagian"))))))</f>
        <v>Belum terisi</v>
      </c>
      <c r="BB24" s="0" t="str">
        <f aca="false">IF(AT24="","",IF(AND(IFERROR(--(INDEX('Reguler Class Availability'!$F:$F,AT24)&amp;""),0)=0,IFERROR(--(INDEX('Reguler Class Availability'!$G:$G,AT24)&amp;""),0)=0),IF(OR(INDEX('Reguler Class Availability'!$B:$B,AT24)&amp;""&lt;&gt;"",INDEX('Reguler Class Availability'!$I:$I,AT24)&amp;""&lt;&gt;""),"Tutup","Tidak dibuka"),IF(IFERROR(--(INDEX('Reguler Class Availability'!$G:$G,AT24)&amp;""),0)&gt;IFERROR(--(INDEX('Reguler Class Availability'!$F:$F,AT24)&amp;""),0),"Lebih",IF(IFERROR(--(INDEX('Reguler Class Availability'!$G:$G,AT24)&amp;""),0)=IFERROR(--(INDEX('Reguler Class Availability'!$F:$F,AT24)&amp;""),0),"Penuh",IF(IFERROR(--(INDEX('Reguler Class Availability'!$G:$G,AT24)&amp;""),0)=0,IF(INDEX('Reguler Class Availability'!$B:$B,AT24)&amp;""="","Kosong","Belum terisi"),IF(IFERROR(--(INDEX('Reguler Class Availability'!$G:$G,AT24)&amp;""),0)/IFERROR(--(INDEX('Reguler Class Availability'!$F:$F,AT24)&amp;""),0)&gt;=0.6,"Tinggi","Sebagian"))))))</f>
        <v>Belum terisi</v>
      </c>
      <c r="BD24" s="30" t="s">
        <v>131</v>
      </c>
      <c r="BE24" s="30" t="n">
        <f aca="false">IF(COUNTIFS('Reguler Class Availability'!$L:$L,$B$4&amp;"|- Lane 1 - *|"&amp;BD24)&gt;0,1,0)</f>
        <v>0</v>
      </c>
      <c r="BF24" s="30" t="n">
        <f aca="false">BE24+BF23</f>
        <v>6</v>
      </c>
    </row>
    <row r="25" customFormat="false" ht="39.75" hidden="false" customHeight="true" outlineLevel="0" collapsed="false">
      <c r="A25" s="66" t="str">
        <f aca="false">IFERROR(INDEX($BD$2:$BD$61,MATCH(12,$BF$2:$BF$61,0)),"")</f>
        <v>16:15</v>
      </c>
      <c r="B25" s="67" t="str">
        <f aca="false">IF(AN25="","",IF(AV25="Tidak dibuka","–",IF(INDEX('Reguler Class Availability'!$B:$B,AN25)&amp;""="","Kosong",PROPER(INDEX('Reguler Class Availability'!$B:$B,AN25)&amp;""))&amp;"  "&amp;IFERROR(--(INDEX('Reguler Class Availability'!$G:$G,AN25)&amp;""),0)&amp;"/"&amp;IFERROR(--(INDEX('Reguler Class Availability'!$F:$F,AN25)&amp;""),0)&amp;IF(IFERROR(--(INDEX('Reguler Class Availability'!$F:$F,AN25)&amp;""),0)&gt;0,"  ("&amp;TEXT(IFERROR(--(INDEX('Reguler Class Availability'!$G:$G,AN25)&amp;""),0)/IFERROR(--(INDEX('Reguler Class Availability'!$F:$F,AN25)&amp;""),0),"0%")&amp;")","")&amp;CHAR(10)&amp;IF(INDEX('Reguler Class Availability'!$I:$I,AN25)&amp;""="","coach: –",PROPER(INDEX('Reguler Class Availability'!$I:$I,AN25)&amp;""))&amp;IF(INDEX('Reguler Class Availability'!$J:$J,AN25)&amp;""="","",CHAR(10)&amp;"asst: "&amp;PROPER(INDEX('Reguler Class Availability'!$J:$J,AN25)&amp;""))))</f>
        <v>Baby  0/5  (0%)
coach: –</v>
      </c>
      <c r="C25" s="67" t="str">
        <f aca="false">IF(AO25="","",IF(AW25="Tidak dibuka","–",IF(INDEX('Reguler Class Availability'!$B:$B,AO25)&amp;""="","Kosong",PROPER(INDEX('Reguler Class Availability'!$B:$B,AO25)&amp;""))&amp;"  "&amp;IFERROR(--(INDEX('Reguler Class Availability'!$G:$G,AO25)&amp;""),0)&amp;"/"&amp;IFERROR(--(INDEX('Reguler Class Availability'!$F:$F,AO25)&amp;""),0)&amp;IF(IFERROR(--(INDEX('Reguler Class Availability'!$F:$F,AO25)&amp;""),0)&gt;0,"  ("&amp;TEXT(IFERROR(--(INDEX('Reguler Class Availability'!$G:$G,AO25)&amp;""),0)/IFERROR(--(INDEX('Reguler Class Availability'!$F:$F,AO25)&amp;""),0),"0%")&amp;")","")&amp;CHAR(10)&amp;IF(INDEX('Reguler Class Availability'!$I:$I,AO25)&amp;""="","coach: –",PROPER(INDEX('Reguler Class Availability'!$I:$I,AO25)&amp;""))&amp;IF(INDEX('Reguler Class Availability'!$J:$J,AO25)&amp;""="","",CHAR(10)&amp;"asst: "&amp;PROPER(INDEX('Reguler Class Availability'!$J:$J,AO25)&amp;""))))</f>
        <v>Baby  0/5  (0%)
coach: –</v>
      </c>
      <c r="D25" s="67" t="str">
        <f aca="false">IF(AP25="","",IF(AX25="Tidak dibuka","–",IF(INDEX('Reguler Class Availability'!$B:$B,AP25)&amp;""="","Kosong",PROPER(INDEX('Reguler Class Availability'!$B:$B,AP25)&amp;""))&amp;"  "&amp;IFERROR(--(INDEX('Reguler Class Availability'!$G:$G,AP25)&amp;""),0)&amp;"/"&amp;IFERROR(--(INDEX('Reguler Class Availability'!$F:$F,AP25)&amp;""),0)&amp;IF(IFERROR(--(INDEX('Reguler Class Availability'!$F:$F,AP25)&amp;""),0)&gt;0,"  ("&amp;TEXT(IFERROR(--(INDEX('Reguler Class Availability'!$G:$G,AP25)&amp;""),0)/IFERROR(--(INDEX('Reguler Class Availability'!$F:$F,AP25)&amp;""),0),"0%")&amp;")","")&amp;CHAR(10)&amp;IF(INDEX('Reguler Class Availability'!$I:$I,AP25)&amp;""="","coach: –",PROPER(INDEX('Reguler Class Availability'!$I:$I,AP25)&amp;""))&amp;IF(INDEX('Reguler Class Availability'!$J:$J,AP25)&amp;""="","",CHAR(10)&amp;"asst: "&amp;PROPER(INDEX('Reguler Class Availability'!$J:$J,AP25)&amp;""))))</f>
        <v>Baby  0/5  (0%)
coach: –</v>
      </c>
      <c r="E25" s="67" t="str">
        <f aca="false">IF(AQ25="","",IF(AY25="Tidak dibuka","–",IF(INDEX('Reguler Class Availability'!$B:$B,AQ25)&amp;""="","Kosong",PROPER(INDEX('Reguler Class Availability'!$B:$B,AQ25)&amp;""))&amp;"  "&amp;IFERROR(--(INDEX('Reguler Class Availability'!$G:$G,AQ25)&amp;""),0)&amp;"/"&amp;IFERROR(--(INDEX('Reguler Class Availability'!$F:$F,AQ25)&amp;""),0)&amp;IF(IFERROR(--(INDEX('Reguler Class Availability'!$F:$F,AQ25)&amp;""),0)&gt;0,"  ("&amp;TEXT(IFERROR(--(INDEX('Reguler Class Availability'!$G:$G,AQ25)&amp;""),0)/IFERROR(--(INDEX('Reguler Class Availability'!$F:$F,AQ25)&amp;""),0),"0%")&amp;")","")&amp;CHAR(10)&amp;IF(INDEX('Reguler Class Availability'!$I:$I,AQ25)&amp;""="","coach: –",PROPER(INDEX('Reguler Class Availability'!$I:$I,AQ25)&amp;""))&amp;IF(INDEX('Reguler Class Availability'!$J:$J,AQ25)&amp;""="","",CHAR(10)&amp;"asst: "&amp;PROPER(INDEX('Reguler Class Availability'!$J:$J,AQ25)&amp;""))))</f>
        <v>Baby  0/5  (0%)
coach: –</v>
      </c>
      <c r="F25" s="67" t="str">
        <f aca="false">IF(AR25="","",IF(AZ25="Tidak dibuka","–",IF(INDEX('Reguler Class Availability'!$B:$B,AR25)&amp;""="","Kosong",PROPER(INDEX('Reguler Class Availability'!$B:$B,AR25)&amp;""))&amp;"  "&amp;IFERROR(--(INDEX('Reguler Class Availability'!$G:$G,AR25)&amp;""),0)&amp;"/"&amp;IFERROR(--(INDEX('Reguler Class Availability'!$F:$F,AR25)&amp;""),0)&amp;IF(IFERROR(--(INDEX('Reguler Class Availability'!$F:$F,AR25)&amp;""),0)&gt;0,"  ("&amp;TEXT(IFERROR(--(INDEX('Reguler Class Availability'!$G:$G,AR25)&amp;""),0)/IFERROR(--(INDEX('Reguler Class Availability'!$F:$F,AR25)&amp;""),0),"0%")&amp;")","")&amp;CHAR(10)&amp;IF(INDEX('Reguler Class Availability'!$I:$I,AR25)&amp;""="","coach: –",PROPER(INDEX('Reguler Class Availability'!$I:$I,AR25)&amp;""))&amp;IF(INDEX('Reguler Class Availability'!$J:$J,AR25)&amp;""="","",CHAR(10)&amp;"asst: "&amp;PROPER(INDEX('Reguler Class Availability'!$J:$J,AR25)&amp;""))))</f>
        <v>Baby  2/5  (40%)
Rizky</v>
      </c>
      <c r="G25" s="67" t="str">
        <f aca="false">IF(AS25="","",IF(BA25="Tidak dibuka","–",IF(INDEX('Reguler Class Availability'!$B:$B,AS25)&amp;""="","Kosong",PROPER(INDEX('Reguler Class Availability'!$B:$B,AS25)&amp;""))&amp;"  "&amp;IFERROR(--(INDEX('Reguler Class Availability'!$G:$G,AS25)&amp;""),0)&amp;"/"&amp;IFERROR(--(INDEX('Reguler Class Availability'!$F:$F,AS25)&amp;""),0)&amp;IF(IFERROR(--(INDEX('Reguler Class Availability'!$F:$F,AS25)&amp;""),0)&gt;0,"  ("&amp;TEXT(IFERROR(--(INDEX('Reguler Class Availability'!$G:$G,AS25)&amp;""),0)/IFERROR(--(INDEX('Reguler Class Availability'!$F:$F,AS25)&amp;""),0),"0%")&amp;")","")&amp;CHAR(10)&amp;IF(INDEX('Reguler Class Availability'!$I:$I,AS25)&amp;""="","coach: –",PROPER(INDEX('Reguler Class Availability'!$I:$I,AS25)&amp;""))&amp;IF(INDEX('Reguler Class Availability'!$J:$J,AS25)&amp;""="","",CHAR(10)&amp;"asst: "&amp;PROPER(INDEX('Reguler Class Availability'!$J:$J,AS25)&amp;""))))</f>
        <v>Baby  2/5  (40%)
Shabrina</v>
      </c>
      <c r="H25" s="67" t="str">
        <f aca="false">IF(AT25="","",IF(BB25="Tidak dibuka","–",IF(INDEX('Reguler Class Availability'!$B:$B,AT25)&amp;""="","Kosong",PROPER(INDEX('Reguler Class Availability'!$B:$B,AT25)&amp;""))&amp;"  "&amp;IFERROR(--(INDEX('Reguler Class Availability'!$G:$G,AT25)&amp;""),0)&amp;"/"&amp;IFERROR(--(INDEX('Reguler Class Availability'!$F:$F,AT25)&amp;""),0)&amp;IF(IFERROR(--(INDEX('Reguler Class Availability'!$F:$F,AT25)&amp;""),0)&gt;0,"  ("&amp;TEXT(IFERROR(--(INDEX('Reguler Class Availability'!$G:$G,AT25)&amp;""),0)/IFERROR(--(INDEX('Reguler Class Availability'!$F:$F,AT25)&amp;""),0),"0%")&amp;")","")&amp;CHAR(10)&amp;IF(INDEX('Reguler Class Availability'!$I:$I,AT25)&amp;""="","coach: –",PROPER(INDEX('Reguler Class Availability'!$I:$I,AT25)&amp;""))&amp;IF(INDEX('Reguler Class Availability'!$J:$J,AT25)&amp;""="","",CHAR(10)&amp;"asst: "&amp;PROPER(INDEX('Reguler Class Availability'!$J:$J,AT25)&amp;""))))</f>
        <v>Baby  0/5  (0%)
coach: –</v>
      </c>
      <c r="AN25" s="30" t="n">
        <f aca="false">IF($A25="","",IFERROR(MATCH($B$4&amp;"|- Lane 1 - "&amp;B$13&amp;"|"&amp;$A25,'Reguler Class Availability'!$L:$L,0),""))</f>
        <v>2420</v>
      </c>
      <c r="AO25" s="30" t="n">
        <f aca="false">IF($A25="","",IFERROR(MATCH($B$4&amp;"|- Lane 1 - "&amp;C$13&amp;"|"&amp;$A25,'Reguler Class Availability'!$L:$L,0),""))</f>
        <v>2432</v>
      </c>
      <c r="AP25" s="30" t="n">
        <f aca="false">IF($A25="","",IFERROR(MATCH($B$4&amp;"|- Lane 1 - "&amp;D$13&amp;"|"&amp;$A25,'Reguler Class Availability'!$L:$L,0),""))</f>
        <v>2444</v>
      </c>
      <c r="AQ25" s="30" t="n">
        <f aca="false">IF($A25="","",IFERROR(MATCH($B$4&amp;"|- Lane 1 - "&amp;E$13&amp;"|"&amp;$A25,'Reguler Class Availability'!$L:$L,0),""))</f>
        <v>2456</v>
      </c>
      <c r="AR25" s="30" t="n">
        <f aca="false">IF($A25="","",IFERROR(MATCH($B$4&amp;"|- Lane 1 - "&amp;F$13&amp;"|"&amp;$A25,'Reguler Class Availability'!$L:$L,0),""))</f>
        <v>2468</v>
      </c>
      <c r="AS25" s="30" t="n">
        <f aca="false">IF($A25="","",IFERROR(MATCH($B$4&amp;"|- Lane 1 - "&amp;G$13&amp;"|"&amp;$A25,'Reguler Class Availability'!$L:$L,0),""))</f>
        <v>2480</v>
      </c>
      <c r="AT25" s="30" t="n">
        <f aca="false">IF($A25="","",IFERROR(MATCH($B$4&amp;"|- Lane 1 - "&amp;H$13&amp;"|"&amp;$A25,'Reguler Class Availability'!$L:$L,0),""))</f>
        <v>2492</v>
      </c>
      <c r="AV25" s="0" t="str">
        <f aca="false">IF(AN25="","",IF(AND(IFERROR(--(INDEX('Reguler Class Availability'!$F:$F,AN25)&amp;""),0)=0,IFERROR(--(INDEX('Reguler Class Availability'!$G:$G,AN25)&amp;""),0)=0),IF(OR(INDEX('Reguler Class Availability'!$B:$B,AN25)&amp;""&lt;&gt;"",INDEX('Reguler Class Availability'!$I:$I,AN25)&amp;""&lt;&gt;""),"Tutup","Tidak dibuka"),IF(IFERROR(--(INDEX('Reguler Class Availability'!$G:$G,AN25)&amp;""),0)&gt;IFERROR(--(INDEX('Reguler Class Availability'!$F:$F,AN25)&amp;""),0),"Lebih",IF(IFERROR(--(INDEX('Reguler Class Availability'!$G:$G,AN25)&amp;""),0)=IFERROR(--(INDEX('Reguler Class Availability'!$F:$F,AN25)&amp;""),0),"Penuh",IF(IFERROR(--(INDEX('Reguler Class Availability'!$G:$G,AN25)&amp;""),0)=0,IF(INDEX('Reguler Class Availability'!$B:$B,AN25)&amp;""="","Kosong","Belum terisi"),IF(IFERROR(--(INDEX('Reguler Class Availability'!$G:$G,AN25)&amp;""),0)/IFERROR(--(INDEX('Reguler Class Availability'!$F:$F,AN25)&amp;""),0)&gt;=0.6,"Tinggi","Sebagian"))))))</f>
        <v>Belum terisi</v>
      </c>
      <c r="AW25" s="0" t="str">
        <f aca="false">IF(AO25="","",IF(AND(IFERROR(--(INDEX('Reguler Class Availability'!$F:$F,AO25)&amp;""),0)=0,IFERROR(--(INDEX('Reguler Class Availability'!$G:$G,AO25)&amp;""),0)=0),IF(OR(INDEX('Reguler Class Availability'!$B:$B,AO25)&amp;""&lt;&gt;"",INDEX('Reguler Class Availability'!$I:$I,AO25)&amp;""&lt;&gt;""),"Tutup","Tidak dibuka"),IF(IFERROR(--(INDEX('Reguler Class Availability'!$G:$G,AO25)&amp;""),0)&gt;IFERROR(--(INDEX('Reguler Class Availability'!$F:$F,AO25)&amp;""),0),"Lebih",IF(IFERROR(--(INDEX('Reguler Class Availability'!$G:$G,AO25)&amp;""),0)=IFERROR(--(INDEX('Reguler Class Availability'!$F:$F,AO25)&amp;""),0),"Penuh",IF(IFERROR(--(INDEX('Reguler Class Availability'!$G:$G,AO25)&amp;""),0)=0,IF(INDEX('Reguler Class Availability'!$B:$B,AO25)&amp;""="","Kosong","Belum terisi"),IF(IFERROR(--(INDEX('Reguler Class Availability'!$G:$G,AO25)&amp;""),0)/IFERROR(--(INDEX('Reguler Class Availability'!$F:$F,AO25)&amp;""),0)&gt;=0.6,"Tinggi","Sebagian"))))))</f>
        <v>Belum terisi</v>
      </c>
      <c r="AX25" s="0" t="str">
        <f aca="false">IF(AP25="","",IF(AND(IFERROR(--(INDEX('Reguler Class Availability'!$F:$F,AP25)&amp;""),0)=0,IFERROR(--(INDEX('Reguler Class Availability'!$G:$G,AP25)&amp;""),0)=0),IF(OR(INDEX('Reguler Class Availability'!$B:$B,AP25)&amp;""&lt;&gt;"",INDEX('Reguler Class Availability'!$I:$I,AP25)&amp;""&lt;&gt;""),"Tutup","Tidak dibuka"),IF(IFERROR(--(INDEX('Reguler Class Availability'!$G:$G,AP25)&amp;""),0)&gt;IFERROR(--(INDEX('Reguler Class Availability'!$F:$F,AP25)&amp;""),0),"Lebih",IF(IFERROR(--(INDEX('Reguler Class Availability'!$G:$G,AP25)&amp;""),0)=IFERROR(--(INDEX('Reguler Class Availability'!$F:$F,AP25)&amp;""),0),"Penuh",IF(IFERROR(--(INDEX('Reguler Class Availability'!$G:$G,AP25)&amp;""),0)=0,IF(INDEX('Reguler Class Availability'!$B:$B,AP25)&amp;""="","Kosong","Belum terisi"),IF(IFERROR(--(INDEX('Reguler Class Availability'!$G:$G,AP25)&amp;""),0)/IFERROR(--(INDEX('Reguler Class Availability'!$F:$F,AP25)&amp;""),0)&gt;=0.6,"Tinggi","Sebagian"))))))</f>
        <v>Belum terisi</v>
      </c>
      <c r="AY25" s="0" t="str">
        <f aca="false">IF(AQ25="","",IF(AND(IFERROR(--(INDEX('Reguler Class Availability'!$F:$F,AQ25)&amp;""),0)=0,IFERROR(--(INDEX('Reguler Class Availability'!$G:$G,AQ25)&amp;""),0)=0),IF(OR(INDEX('Reguler Class Availability'!$B:$B,AQ25)&amp;""&lt;&gt;"",INDEX('Reguler Class Availability'!$I:$I,AQ25)&amp;""&lt;&gt;""),"Tutup","Tidak dibuka"),IF(IFERROR(--(INDEX('Reguler Class Availability'!$G:$G,AQ25)&amp;""),0)&gt;IFERROR(--(INDEX('Reguler Class Availability'!$F:$F,AQ25)&amp;""),0),"Lebih",IF(IFERROR(--(INDEX('Reguler Class Availability'!$G:$G,AQ25)&amp;""),0)=IFERROR(--(INDEX('Reguler Class Availability'!$F:$F,AQ25)&amp;""),0),"Penuh",IF(IFERROR(--(INDEX('Reguler Class Availability'!$G:$G,AQ25)&amp;""),0)=0,IF(INDEX('Reguler Class Availability'!$B:$B,AQ25)&amp;""="","Kosong","Belum terisi"),IF(IFERROR(--(INDEX('Reguler Class Availability'!$G:$G,AQ25)&amp;""),0)/IFERROR(--(INDEX('Reguler Class Availability'!$F:$F,AQ25)&amp;""),0)&gt;=0.6,"Tinggi","Sebagian"))))))</f>
        <v>Belum terisi</v>
      </c>
      <c r="AZ25" s="0" t="str">
        <f aca="false">IF(AR25="","",IF(AND(IFERROR(--(INDEX('Reguler Class Availability'!$F:$F,AR25)&amp;""),0)=0,IFERROR(--(INDEX('Reguler Class Availability'!$G:$G,AR25)&amp;""),0)=0),IF(OR(INDEX('Reguler Class Availability'!$B:$B,AR25)&amp;""&lt;&gt;"",INDEX('Reguler Class Availability'!$I:$I,AR25)&amp;""&lt;&gt;""),"Tutup","Tidak dibuka"),IF(IFERROR(--(INDEX('Reguler Class Availability'!$G:$G,AR25)&amp;""),0)&gt;IFERROR(--(INDEX('Reguler Class Availability'!$F:$F,AR25)&amp;""),0),"Lebih",IF(IFERROR(--(INDEX('Reguler Class Availability'!$G:$G,AR25)&amp;""),0)=IFERROR(--(INDEX('Reguler Class Availability'!$F:$F,AR25)&amp;""),0),"Penuh",IF(IFERROR(--(INDEX('Reguler Class Availability'!$G:$G,AR25)&amp;""),0)=0,IF(INDEX('Reguler Class Availability'!$B:$B,AR25)&amp;""="","Kosong","Belum terisi"),IF(IFERROR(--(INDEX('Reguler Class Availability'!$G:$G,AR25)&amp;""),0)/IFERROR(--(INDEX('Reguler Class Availability'!$F:$F,AR25)&amp;""),0)&gt;=0.6,"Tinggi","Sebagian"))))))</f>
        <v>Sebagian</v>
      </c>
      <c r="BA25" s="0" t="str">
        <f aca="false">IF(AS25="","",IF(AND(IFERROR(--(INDEX('Reguler Class Availability'!$F:$F,AS25)&amp;""),0)=0,IFERROR(--(INDEX('Reguler Class Availability'!$G:$G,AS25)&amp;""),0)=0),IF(OR(INDEX('Reguler Class Availability'!$B:$B,AS25)&amp;""&lt;&gt;"",INDEX('Reguler Class Availability'!$I:$I,AS25)&amp;""&lt;&gt;""),"Tutup","Tidak dibuka"),IF(IFERROR(--(INDEX('Reguler Class Availability'!$G:$G,AS25)&amp;""),0)&gt;IFERROR(--(INDEX('Reguler Class Availability'!$F:$F,AS25)&amp;""),0),"Lebih",IF(IFERROR(--(INDEX('Reguler Class Availability'!$G:$G,AS25)&amp;""),0)=IFERROR(--(INDEX('Reguler Class Availability'!$F:$F,AS25)&amp;""),0),"Penuh",IF(IFERROR(--(INDEX('Reguler Class Availability'!$G:$G,AS25)&amp;""),0)=0,IF(INDEX('Reguler Class Availability'!$B:$B,AS25)&amp;""="","Kosong","Belum terisi"),IF(IFERROR(--(INDEX('Reguler Class Availability'!$G:$G,AS25)&amp;""),0)/IFERROR(--(INDEX('Reguler Class Availability'!$F:$F,AS25)&amp;""),0)&gt;=0.6,"Tinggi","Sebagian"))))))</f>
        <v>Sebagian</v>
      </c>
      <c r="BB25" s="0" t="str">
        <f aca="false">IF(AT25="","",IF(AND(IFERROR(--(INDEX('Reguler Class Availability'!$F:$F,AT25)&amp;""),0)=0,IFERROR(--(INDEX('Reguler Class Availability'!$G:$G,AT25)&amp;""),0)=0),IF(OR(INDEX('Reguler Class Availability'!$B:$B,AT25)&amp;""&lt;&gt;"",INDEX('Reguler Class Availability'!$I:$I,AT25)&amp;""&lt;&gt;""),"Tutup","Tidak dibuka"),IF(IFERROR(--(INDEX('Reguler Class Availability'!$G:$G,AT25)&amp;""),0)&gt;IFERROR(--(INDEX('Reguler Class Availability'!$F:$F,AT25)&amp;""),0),"Lebih",IF(IFERROR(--(INDEX('Reguler Class Availability'!$G:$G,AT25)&amp;""),0)=IFERROR(--(INDEX('Reguler Class Availability'!$F:$F,AT25)&amp;""),0),"Penuh",IF(IFERROR(--(INDEX('Reguler Class Availability'!$G:$G,AT25)&amp;""),0)=0,IF(INDEX('Reguler Class Availability'!$B:$B,AT25)&amp;""="","Kosong","Belum terisi"),IF(IFERROR(--(INDEX('Reguler Class Availability'!$G:$G,AT25)&amp;""),0)/IFERROR(--(INDEX('Reguler Class Availability'!$F:$F,AT25)&amp;""),0)&gt;=0.6,"Tinggi","Sebagian"))))))</f>
        <v>Belum terisi</v>
      </c>
      <c r="BD25" s="30" t="s">
        <v>132</v>
      </c>
      <c r="BE25" s="30" t="n">
        <f aca="false">IF(COUNTIFS('Reguler Class Availability'!$L:$L,$B$4&amp;"|- Lane 1 - *|"&amp;BD25)&gt;0,1,0)</f>
        <v>1</v>
      </c>
      <c r="BF25" s="30" t="n">
        <f aca="false">BE25+BF24</f>
        <v>7</v>
      </c>
    </row>
    <row r="26" customFormat="false" ht="39.75" hidden="false" customHeight="true" outlineLevel="0" collapsed="false">
      <c r="A26" s="66" t="str">
        <f aca="false">IFERROR(INDEX($BD$2:$BD$61,MATCH(13,$BF$2:$BF$61,0)),"")</f>
        <v>17:00</v>
      </c>
      <c r="B26" s="67" t="str">
        <f aca="false">IF(AN26="","",IF(AV26="Tidak dibuka","–",IF(INDEX('Reguler Class Availability'!$B:$B,AN26)&amp;""="","Kosong",PROPER(INDEX('Reguler Class Availability'!$B:$B,AN26)&amp;""))&amp;"  "&amp;IFERROR(--(INDEX('Reguler Class Availability'!$G:$G,AN26)&amp;""),0)&amp;"/"&amp;IFERROR(--(INDEX('Reguler Class Availability'!$F:$F,AN26)&amp;""),0)&amp;IF(IFERROR(--(INDEX('Reguler Class Availability'!$F:$F,AN26)&amp;""),0)&gt;0,"  ("&amp;TEXT(IFERROR(--(INDEX('Reguler Class Availability'!$G:$G,AN26)&amp;""),0)/IFERROR(--(INDEX('Reguler Class Availability'!$F:$F,AN26)&amp;""),0),"0%")&amp;")","")&amp;CHAR(10)&amp;IF(INDEX('Reguler Class Availability'!$I:$I,AN26)&amp;""="","coach: –",PROPER(INDEX('Reguler Class Availability'!$I:$I,AN26)&amp;""))&amp;IF(INDEX('Reguler Class Availability'!$J:$J,AN26)&amp;""="","",CHAR(10)&amp;"asst: "&amp;PROPER(INDEX('Reguler Class Availability'!$J:$J,AN26)&amp;""))))</f>
        <v>Baby  0/5  (0%)
coach: –</v>
      </c>
      <c r="C26" s="67" t="str">
        <f aca="false">IF(AO26="","",IF(AW26="Tidak dibuka","–",IF(INDEX('Reguler Class Availability'!$B:$B,AO26)&amp;""="","Kosong",PROPER(INDEX('Reguler Class Availability'!$B:$B,AO26)&amp;""))&amp;"  "&amp;IFERROR(--(INDEX('Reguler Class Availability'!$G:$G,AO26)&amp;""),0)&amp;"/"&amp;IFERROR(--(INDEX('Reguler Class Availability'!$F:$F,AO26)&amp;""),0)&amp;IF(IFERROR(--(INDEX('Reguler Class Availability'!$F:$F,AO26)&amp;""),0)&gt;0,"  ("&amp;TEXT(IFERROR(--(INDEX('Reguler Class Availability'!$G:$G,AO26)&amp;""),0)/IFERROR(--(INDEX('Reguler Class Availability'!$F:$F,AO26)&amp;""),0),"0%")&amp;")","")&amp;CHAR(10)&amp;IF(INDEX('Reguler Class Availability'!$I:$I,AO26)&amp;""="","coach: –",PROPER(INDEX('Reguler Class Availability'!$I:$I,AO26)&amp;""))&amp;IF(INDEX('Reguler Class Availability'!$J:$J,AO26)&amp;""="","",CHAR(10)&amp;"asst: "&amp;PROPER(INDEX('Reguler Class Availability'!$J:$J,AO26)&amp;""))))</f>
        <v>Baby  0/5  (0%)
coach: –</v>
      </c>
      <c r="D26" s="67" t="str">
        <f aca="false">IF(AP26="","",IF(AX26="Tidak dibuka","–",IF(INDEX('Reguler Class Availability'!$B:$B,AP26)&amp;""="","Kosong",PROPER(INDEX('Reguler Class Availability'!$B:$B,AP26)&amp;""))&amp;"  "&amp;IFERROR(--(INDEX('Reguler Class Availability'!$G:$G,AP26)&amp;""),0)&amp;"/"&amp;IFERROR(--(INDEX('Reguler Class Availability'!$F:$F,AP26)&amp;""),0)&amp;IF(IFERROR(--(INDEX('Reguler Class Availability'!$F:$F,AP26)&amp;""),0)&gt;0,"  ("&amp;TEXT(IFERROR(--(INDEX('Reguler Class Availability'!$G:$G,AP26)&amp;""),0)/IFERROR(--(INDEX('Reguler Class Availability'!$F:$F,AP26)&amp;""),0),"0%")&amp;")","")&amp;CHAR(10)&amp;IF(INDEX('Reguler Class Availability'!$I:$I,AP26)&amp;""="","coach: –",PROPER(INDEX('Reguler Class Availability'!$I:$I,AP26)&amp;""))&amp;IF(INDEX('Reguler Class Availability'!$J:$J,AP26)&amp;""="","",CHAR(10)&amp;"asst: "&amp;PROPER(INDEX('Reguler Class Availability'!$J:$J,AP26)&amp;""))))</f>
        <v>Baby  0/5  (0%)
coach: –</v>
      </c>
      <c r="E26" s="67" t="str">
        <f aca="false">IF(AQ26="","",IF(AY26="Tidak dibuka","–",IF(INDEX('Reguler Class Availability'!$B:$B,AQ26)&amp;""="","Kosong",PROPER(INDEX('Reguler Class Availability'!$B:$B,AQ26)&amp;""))&amp;"  "&amp;IFERROR(--(INDEX('Reguler Class Availability'!$G:$G,AQ26)&amp;""),0)&amp;"/"&amp;IFERROR(--(INDEX('Reguler Class Availability'!$F:$F,AQ26)&amp;""),0)&amp;IF(IFERROR(--(INDEX('Reguler Class Availability'!$F:$F,AQ26)&amp;""),0)&gt;0,"  ("&amp;TEXT(IFERROR(--(INDEX('Reguler Class Availability'!$G:$G,AQ26)&amp;""),0)/IFERROR(--(INDEX('Reguler Class Availability'!$F:$F,AQ26)&amp;""),0),"0%")&amp;")","")&amp;CHAR(10)&amp;IF(INDEX('Reguler Class Availability'!$I:$I,AQ26)&amp;""="","coach: –",PROPER(INDEX('Reguler Class Availability'!$I:$I,AQ26)&amp;""))&amp;IF(INDEX('Reguler Class Availability'!$J:$J,AQ26)&amp;""="","",CHAR(10)&amp;"asst: "&amp;PROPER(INDEX('Reguler Class Availability'!$J:$J,AQ26)&amp;""))))</f>
        <v>Baby  0/5  (0%)
coach: –</v>
      </c>
      <c r="F26" s="67" t="str">
        <f aca="false">IF(AR26="","",IF(AZ26="Tidak dibuka","–",IF(INDEX('Reguler Class Availability'!$B:$B,AR26)&amp;""="","Kosong",PROPER(INDEX('Reguler Class Availability'!$B:$B,AR26)&amp;""))&amp;"  "&amp;IFERROR(--(INDEX('Reguler Class Availability'!$G:$G,AR26)&amp;""),0)&amp;"/"&amp;IFERROR(--(INDEX('Reguler Class Availability'!$F:$F,AR26)&amp;""),0)&amp;IF(IFERROR(--(INDEX('Reguler Class Availability'!$F:$F,AR26)&amp;""),0)&gt;0,"  ("&amp;TEXT(IFERROR(--(INDEX('Reguler Class Availability'!$G:$G,AR26)&amp;""),0)/IFERROR(--(INDEX('Reguler Class Availability'!$F:$F,AR26)&amp;""),0),"0%")&amp;")","")&amp;CHAR(10)&amp;IF(INDEX('Reguler Class Availability'!$I:$I,AR26)&amp;""="","coach: –",PROPER(INDEX('Reguler Class Availability'!$I:$I,AR26)&amp;""))&amp;IF(INDEX('Reguler Class Availability'!$J:$J,AR26)&amp;""="","",CHAR(10)&amp;"asst: "&amp;PROPER(INDEX('Reguler Class Availability'!$J:$J,AR26)&amp;""))))</f>
        <v>Baby  0/5  (0%)
coach: –</v>
      </c>
      <c r="G26" s="67" t="str">
        <f aca="false">IF(AS26="","",IF(BA26="Tidak dibuka","–",IF(INDEX('Reguler Class Availability'!$B:$B,AS26)&amp;""="","Kosong",PROPER(INDEX('Reguler Class Availability'!$B:$B,AS26)&amp;""))&amp;"  "&amp;IFERROR(--(INDEX('Reguler Class Availability'!$G:$G,AS26)&amp;""),0)&amp;"/"&amp;IFERROR(--(INDEX('Reguler Class Availability'!$F:$F,AS26)&amp;""),0)&amp;IF(IFERROR(--(INDEX('Reguler Class Availability'!$F:$F,AS26)&amp;""),0)&gt;0,"  ("&amp;TEXT(IFERROR(--(INDEX('Reguler Class Availability'!$G:$G,AS26)&amp;""),0)/IFERROR(--(INDEX('Reguler Class Availability'!$F:$F,AS26)&amp;""),0),"0%")&amp;")","")&amp;CHAR(10)&amp;IF(INDEX('Reguler Class Availability'!$I:$I,AS26)&amp;""="","coach: –",PROPER(INDEX('Reguler Class Availability'!$I:$I,AS26)&amp;""))&amp;IF(INDEX('Reguler Class Availability'!$J:$J,AS26)&amp;""="","",CHAR(10)&amp;"asst: "&amp;PROPER(INDEX('Reguler Class Availability'!$J:$J,AS26)&amp;""))))</f>
        <v>Baby  0/5  (0%)
coach: –</v>
      </c>
      <c r="H26" s="67" t="str">
        <f aca="false">IF(AT26="","",IF(BB26="Tidak dibuka","–",IF(INDEX('Reguler Class Availability'!$B:$B,AT26)&amp;""="","Kosong",PROPER(INDEX('Reguler Class Availability'!$B:$B,AT26)&amp;""))&amp;"  "&amp;IFERROR(--(INDEX('Reguler Class Availability'!$G:$G,AT26)&amp;""),0)&amp;"/"&amp;IFERROR(--(INDEX('Reguler Class Availability'!$F:$F,AT26)&amp;""),0)&amp;IF(IFERROR(--(INDEX('Reguler Class Availability'!$F:$F,AT26)&amp;""),0)&gt;0,"  ("&amp;TEXT(IFERROR(--(INDEX('Reguler Class Availability'!$G:$G,AT26)&amp;""),0)/IFERROR(--(INDEX('Reguler Class Availability'!$F:$F,AT26)&amp;""),0),"0%")&amp;")","")&amp;CHAR(10)&amp;IF(INDEX('Reguler Class Availability'!$I:$I,AT26)&amp;""="","coach: –",PROPER(INDEX('Reguler Class Availability'!$I:$I,AT26)&amp;""))&amp;IF(INDEX('Reguler Class Availability'!$J:$J,AT26)&amp;""="","",CHAR(10)&amp;"asst: "&amp;PROPER(INDEX('Reguler Class Availability'!$J:$J,AT26)&amp;""))))</f>
        <v>Baby  0/5  (0%)
coach: –</v>
      </c>
      <c r="AN26" s="30" t="n">
        <f aca="false">IF($A26="","",IFERROR(MATCH($B$4&amp;"|- Lane 1 - "&amp;B$13&amp;"|"&amp;$A26,'Reguler Class Availability'!$L:$L,0),""))</f>
        <v>2421</v>
      </c>
      <c r="AO26" s="30" t="n">
        <f aca="false">IF($A26="","",IFERROR(MATCH($B$4&amp;"|- Lane 1 - "&amp;C$13&amp;"|"&amp;$A26,'Reguler Class Availability'!$L:$L,0),""))</f>
        <v>2433</v>
      </c>
      <c r="AP26" s="30" t="n">
        <f aca="false">IF($A26="","",IFERROR(MATCH($B$4&amp;"|- Lane 1 - "&amp;D$13&amp;"|"&amp;$A26,'Reguler Class Availability'!$L:$L,0),""))</f>
        <v>2445</v>
      </c>
      <c r="AQ26" s="30" t="n">
        <f aca="false">IF($A26="","",IFERROR(MATCH($B$4&amp;"|- Lane 1 - "&amp;E$13&amp;"|"&amp;$A26,'Reguler Class Availability'!$L:$L,0),""))</f>
        <v>2457</v>
      </c>
      <c r="AR26" s="30" t="n">
        <f aca="false">IF($A26="","",IFERROR(MATCH($B$4&amp;"|- Lane 1 - "&amp;F$13&amp;"|"&amp;$A26,'Reguler Class Availability'!$L:$L,0),""))</f>
        <v>2469</v>
      </c>
      <c r="AS26" s="30" t="n">
        <f aca="false">IF($A26="","",IFERROR(MATCH($B$4&amp;"|- Lane 1 - "&amp;G$13&amp;"|"&amp;$A26,'Reguler Class Availability'!$L:$L,0),""))</f>
        <v>2481</v>
      </c>
      <c r="AT26" s="30" t="n">
        <f aca="false">IF($A26="","",IFERROR(MATCH($B$4&amp;"|- Lane 1 - "&amp;H$13&amp;"|"&amp;$A26,'Reguler Class Availability'!$L:$L,0),""))</f>
        <v>2493</v>
      </c>
      <c r="AV26" s="0" t="str">
        <f aca="false">IF(AN26="","",IF(AND(IFERROR(--(INDEX('Reguler Class Availability'!$F:$F,AN26)&amp;""),0)=0,IFERROR(--(INDEX('Reguler Class Availability'!$G:$G,AN26)&amp;""),0)=0),IF(OR(INDEX('Reguler Class Availability'!$B:$B,AN26)&amp;""&lt;&gt;"",INDEX('Reguler Class Availability'!$I:$I,AN26)&amp;""&lt;&gt;""),"Tutup","Tidak dibuka"),IF(IFERROR(--(INDEX('Reguler Class Availability'!$G:$G,AN26)&amp;""),0)&gt;IFERROR(--(INDEX('Reguler Class Availability'!$F:$F,AN26)&amp;""),0),"Lebih",IF(IFERROR(--(INDEX('Reguler Class Availability'!$G:$G,AN26)&amp;""),0)=IFERROR(--(INDEX('Reguler Class Availability'!$F:$F,AN26)&amp;""),0),"Penuh",IF(IFERROR(--(INDEX('Reguler Class Availability'!$G:$G,AN26)&amp;""),0)=0,IF(INDEX('Reguler Class Availability'!$B:$B,AN26)&amp;""="","Kosong","Belum terisi"),IF(IFERROR(--(INDEX('Reguler Class Availability'!$G:$G,AN26)&amp;""),0)/IFERROR(--(INDEX('Reguler Class Availability'!$F:$F,AN26)&amp;""),0)&gt;=0.6,"Tinggi","Sebagian"))))))</f>
        <v>Belum terisi</v>
      </c>
      <c r="AW26" s="0" t="str">
        <f aca="false">IF(AO26="","",IF(AND(IFERROR(--(INDEX('Reguler Class Availability'!$F:$F,AO26)&amp;""),0)=0,IFERROR(--(INDEX('Reguler Class Availability'!$G:$G,AO26)&amp;""),0)=0),IF(OR(INDEX('Reguler Class Availability'!$B:$B,AO26)&amp;""&lt;&gt;"",INDEX('Reguler Class Availability'!$I:$I,AO26)&amp;""&lt;&gt;""),"Tutup","Tidak dibuka"),IF(IFERROR(--(INDEX('Reguler Class Availability'!$G:$G,AO26)&amp;""),0)&gt;IFERROR(--(INDEX('Reguler Class Availability'!$F:$F,AO26)&amp;""),0),"Lebih",IF(IFERROR(--(INDEX('Reguler Class Availability'!$G:$G,AO26)&amp;""),0)=IFERROR(--(INDEX('Reguler Class Availability'!$F:$F,AO26)&amp;""),0),"Penuh",IF(IFERROR(--(INDEX('Reguler Class Availability'!$G:$G,AO26)&amp;""),0)=0,IF(INDEX('Reguler Class Availability'!$B:$B,AO26)&amp;""="","Kosong","Belum terisi"),IF(IFERROR(--(INDEX('Reguler Class Availability'!$G:$G,AO26)&amp;""),0)/IFERROR(--(INDEX('Reguler Class Availability'!$F:$F,AO26)&amp;""),0)&gt;=0.6,"Tinggi","Sebagian"))))))</f>
        <v>Belum terisi</v>
      </c>
      <c r="AX26" s="0" t="str">
        <f aca="false">IF(AP26="","",IF(AND(IFERROR(--(INDEX('Reguler Class Availability'!$F:$F,AP26)&amp;""),0)=0,IFERROR(--(INDEX('Reguler Class Availability'!$G:$G,AP26)&amp;""),0)=0),IF(OR(INDEX('Reguler Class Availability'!$B:$B,AP26)&amp;""&lt;&gt;"",INDEX('Reguler Class Availability'!$I:$I,AP26)&amp;""&lt;&gt;""),"Tutup","Tidak dibuka"),IF(IFERROR(--(INDEX('Reguler Class Availability'!$G:$G,AP26)&amp;""),0)&gt;IFERROR(--(INDEX('Reguler Class Availability'!$F:$F,AP26)&amp;""),0),"Lebih",IF(IFERROR(--(INDEX('Reguler Class Availability'!$G:$G,AP26)&amp;""),0)=IFERROR(--(INDEX('Reguler Class Availability'!$F:$F,AP26)&amp;""),0),"Penuh",IF(IFERROR(--(INDEX('Reguler Class Availability'!$G:$G,AP26)&amp;""),0)=0,IF(INDEX('Reguler Class Availability'!$B:$B,AP26)&amp;""="","Kosong","Belum terisi"),IF(IFERROR(--(INDEX('Reguler Class Availability'!$G:$G,AP26)&amp;""),0)/IFERROR(--(INDEX('Reguler Class Availability'!$F:$F,AP26)&amp;""),0)&gt;=0.6,"Tinggi","Sebagian"))))))</f>
        <v>Belum terisi</v>
      </c>
      <c r="AY26" s="0" t="str">
        <f aca="false">IF(AQ26="","",IF(AND(IFERROR(--(INDEX('Reguler Class Availability'!$F:$F,AQ26)&amp;""),0)=0,IFERROR(--(INDEX('Reguler Class Availability'!$G:$G,AQ26)&amp;""),0)=0),IF(OR(INDEX('Reguler Class Availability'!$B:$B,AQ26)&amp;""&lt;&gt;"",INDEX('Reguler Class Availability'!$I:$I,AQ26)&amp;""&lt;&gt;""),"Tutup","Tidak dibuka"),IF(IFERROR(--(INDEX('Reguler Class Availability'!$G:$G,AQ26)&amp;""),0)&gt;IFERROR(--(INDEX('Reguler Class Availability'!$F:$F,AQ26)&amp;""),0),"Lebih",IF(IFERROR(--(INDEX('Reguler Class Availability'!$G:$G,AQ26)&amp;""),0)=IFERROR(--(INDEX('Reguler Class Availability'!$F:$F,AQ26)&amp;""),0),"Penuh",IF(IFERROR(--(INDEX('Reguler Class Availability'!$G:$G,AQ26)&amp;""),0)=0,IF(INDEX('Reguler Class Availability'!$B:$B,AQ26)&amp;""="","Kosong","Belum terisi"),IF(IFERROR(--(INDEX('Reguler Class Availability'!$G:$G,AQ26)&amp;""),0)/IFERROR(--(INDEX('Reguler Class Availability'!$F:$F,AQ26)&amp;""),0)&gt;=0.6,"Tinggi","Sebagian"))))))</f>
        <v>Belum terisi</v>
      </c>
      <c r="AZ26" s="0" t="str">
        <f aca="false">IF(AR26="","",IF(AND(IFERROR(--(INDEX('Reguler Class Availability'!$F:$F,AR26)&amp;""),0)=0,IFERROR(--(INDEX('Reguler Class Availability'!$G:$G,AR26)&amp;""),0)=0),IF(OR(INDEX('Reguler Class Availability'!$B:$B,AR26)&amp;""&lt;&gt;"",INDEX('Reguler Class Availability'!$I:$I,AR26)&amp;""&lt;&gt;""),"Tutup","Tidak dibuka"),IF(IFERROR(--(INDEX('Reguler Class Availability'!$G:$G,AR26)&amp;""),0)&gt;IFERROR(--(INDEX('Reguler Class Availability'!$F:$F,AR26)&amp;""),0),"Lebih",IF(IFERROR(--(INDEX('Reguler Class Availability'!$G:$G,AR26)&amp;""),0)=IFERROR(--(INDEX('Reguler Class Availability'!$F:$F,AR26)&amp;""),0),"Penuh",IF(IFERROR(--(INDEX('Reguler Class Availability'!$G:$G,AR26)&amp;""),0)=0,IF(INDEX('Reguler Class Availability'!$B:$B,AR26)&amp;""="","Kosong","Belum terisi"),IF(IFERROR(--(INDEX('Reguler Class Availability'!$G:$G,AR26)&amp;""),0)/IFERROR(--(INDEX('Reguler Class Availability'!$F:$F,AR26)&amp;""),0)&gt;=0.6,"Tinggi","Sebagian"))))))</f>
        <v>Belum terisi</v>
      </c>
      <c r="BA26" s="0" t="str">
        <f aca="false">IF(AS26="","",IF(AND(IFERROR(--(INDEX('Reguler Class Availability'!$F:$F,AS26)&amp;""),0)=0,IFERROR(--(INDEX('Reguler Class Availability'!$G:$G,AS26)&amp;""),0)=0),IF(OR(INDEX('Reguler Class Availability'!$B:$B,AS26)&amp;""&lt;&gt;"",INDEX('Reguler Class Availability'!$I:$I,AS26)&amp;""&lt;&gt;""),"Tutup","Tidak dibuka"),IF(IFERROR(--(INDEX('Reguler Class Availability'!$G:$G,AS26)&amp;""),0)&gt;IFERROR(--(INDEX('Reguler Class Availability'!$F:$F,AS26)&amp;""),0),"Lebih",IF(IFERROR(--(INDEX('Reguler Class Availability'!$G:$G,AS26)&amp;""),0)=IFERROR(--(INDEX('Reguler Class Availability'!$F:$F,AS26)&amp;""),0),"Penuh",IF(IFERROR(--(INDEX('Reguler Class Availability'!$G:$G,AS26)&amp;""),0)=0,IF(INDEX('Reguler Class Availability'!$B:$B,AS26)&amp;""="","Kosong","Belum terisi"),IF(IFERROR(--(INDEX('Reguler Class Availability'!$G:$G,AS26)&amp;""),0)/IFERROR(--(INDEX('Reguler Class Availability'!$F:$F,AS26)&amp;""),0)&gt;=0.6,"Tinggi","Sebagian"))))))</f>
        <v>Belum terisi</v>
      </c>
      <c r="BB26" s="0" t="str">
        <f aca="false">IF(AT26="","",IF(AND(IFERROR(--(INDEX('Reguler Class Availability'!$F:$F,AT26)&amp;""),0)=0,IFERROR(--(INDEX('Reguler Class Availability'!$G:$G,AT26)&amp;""),0)=0),IF(OR(INDEX('Reguler Class Availability'!$B:$B,AT26)&amp;""&lt;&gt;"",INDEX('Reguler Class Availability'!$I:$I,AT26)&amp;""&lt;&gt;""),"Tutup","Tidak dibuka"),IF(IFERROR(--(INDEX('Reguler Class Availability'!$G:$G,AT26)&amp;""),0)&gt;IFERROR(--(INDEX('Reguler Class Availability'!$F:$F,AT26)&amp;""),0),"Lebih",IF(IFERROR(--(INDEX('Reguler Class Availability'!$G:$G,AT26)&amp;""),0)=IFERROR(--(INDEX('Reguler Class Availability'!$F:$F,AT26)&amp;""),0),"Penuh",IF(IFERROR(--(INDEX('Reguler Class Availability'!$G:$G,AT26)&amp;""),0)=0,IF(INDEX('Reguler Class Availability'!$B:$B,AT26)&amp;""="","Kosong","Belum terisi"),IF(IFERROR(--(INDEX('Reguler Class Availability'!$G:$G,AT26)&amp;""),0)/IFERROR(--(INDEX('Reguler Class Availability'!$F:$F,AT26)&amp;""),0)&gt;=0.6,"Tinggi","Sebagian"))))))</f>
        <v>Belum terisi</v>
      </c>
      <c r="BD26" s="30" t="s">
        <v>133</v>
      </c>
      <c r="BE26" s="30" t="n">
        <f aca="false">IF(COUNTIFS('Reguler Class Availability'!$L:$L,$B$4&amp;"|- Lane 1 - *|"&amp;BD26)&gt;0,1,0)</f>
        <v>0</v>
      </c>
      <c r="BF26" s="30" t="n">
        <f aca="false">BE26+BF25</f>
        <v>7</v>
      </c>
    </row>
    <row r="27" customFormat="false" ht="39.75" hidden="false" customHeight="true" outlineLevel="0" collapsed="false">
      <c r="A27" s="66" t="str">
        <f aca="false">IFERROR(INDEX($BD$2:$BD$61,MATCH(14,$BF$2:$BF$61,0)),"")</f>
        <v>18:00</v>
      </c>
      <c r="B27" s="67" t="str">
        <f aca="false">IF(AN27="","",IF(AV27="Tidak dibuka","–",IF(INDEX('Reguler Class Availability'!$B:$B,AN27)&amp;""="","Kosong",PROPER(INDEX('Reguler Class Availability'!$B:$B,AN27)&amp;""))&amp;"  "&amp;IFERROR(--(INDEX('Reguler Class Availability'!$G:$G,AN27)&amp;""),0)&amp;"/"&amp;IFERROR(--(INDEX('Reguler Class Availability'!$F:$F,AN27)&amp;""),0)&amp;IF(IFERROR(--(INDEX('Reguler Class Availability'!$F:$F,AN27)&amp;""),0)&gt;0,"  ("&amp;TEXT(IFERROR(--(INDEX('Reguler Class Availability'!$G:$G,AN27)&amp;""),0)/IFERROR(--(INDEX('Reguler Class Availability'!$F:$F,AN27)&amp;""),0),"0%")&amp;")","")&amp;CHAR(10)&amp;IF(INDEX('Reguler Class Availability'!$I:$I,AN27)&amp;""="","coach: –",PROPER(INDEX('Reguler Class Availability'!$I:$I,AN27)&amp;""))&amp;IF(INDEX('Reguler Class Availability'!$J:$J,AN27)&amp;""="","",CHAR(10)&amp;"asst: "&amp;PROPER(INDEX('Reguler Class Availability'!$J:$J,AN27)&amp;""))))</f>
        <v>Star  0/8  (0%)
coach: –</v>
      </c>
      <c r="C27" s="67" t="str">
        <f aca="false">IF(AO27="","",IF(AW27="Tidak dibuka","–",IF(INDEX('Reguler Class Availability'!$B:$B,AO27)&amp;""="","Kosong",PROPER(INDEX('Reguler Class Availability'!$B:$B,AO27)&amp;""))&amp;"  "&amp;IFERROR(--(INDEX('Reguler Class Availability'!$G:$G,AO27)&amp;""),0)&amp;"/"&amp;IFERROR(--(INDEX('Reguler Class Availability'!$F:$F,AO27)&amp;""),0)&amp;IF(IFERROR(--(INDEX('Reguler Class Availability'!$F:$F,AO27)&amp;""),0)&gt;0,"  ("&amp;TEXT(IFERROR(--(INDEX('Reguler Class Availability'!$G:$G,AO27)&amp;""),0)/IFERROR(--(INDEX('Reguler Class Availability'!$F:$F,AO27)&amp;""),0),"0%")&amp;")","")&amp;CHAR(10)&amp;IF(INDEX('Reguler Class Availability'!$I:$I,AO27)&amp;""="","coach: –",PROPER(INDEX('Reguler Class Availability'!$I:$I,AO27)&amp;""))&amp;IF(INDEX('Reguler Class Availability'!$J:$J,AO27)&amp;""="","",CHAR(10)&amp;"asst: "&amp;PROPER(INDEX('Reguler Class Availability'!$J:$J,AO27)&amp;""))))</f>
        <v>Star  0/8  (0%)
coach: –</v>
      </c>
      <c r="D27" s="67" t="str">
        <f aca="false">IF(AP27="","",IF(AX27="Tidak dibuka","–",IF(INDEX('Reguler Class Availability'!$B:$B,AP27)&amp;""="","Kosong",PROPER(INDEX('Reguler Class Availability'!$B:$B,AP27)&amp;""))&amp;"  "&amp;IFERROR(--(INDEX('Reguler Class Availability'!$G:$G,AP27)&amp;""),0)&amp;"/"&amp;IFERROR(--(INDEX('Reguler Class Availability'!$F:$F,AP27)&amp;""),0)&amp;IF(IFERROR(--(INDEX('Reguler Class Availability'!$F:$F,AP27)&amp;""),0)&gt;0,"  ("&amp;TEXT(IFERROR(--(INDEX('Reguler Class Availability'!$G:$G,AP27)&amp;""),0)/IFERROR(--(INDEX('Reguler Class Availability'!$F:$F,AP27)&amp;""),0),"0%")&amp;")","")&amp;CHAR(10)&amp;IF(INDEX('Reguler Class Availability'!$I:$I,AP27)&amp;""="","coach: –",PROPER(INDEX('Reguler Class Availability'!$I:$I,AP27)&amp;""))&amp;IF(INDEX('Reguler Class Availability'!$J:$J,AP27)&amp;""="","",CHAR(10)&amp;"asst: "&amp;PROPER(INDEX('Reguler Class Availability'!$J:$J,AP27)&amp;""))))</f>
        <v>Star  0/8  (0%)
coach: –</v>
      </c>
      <c r="E27" s="67" t="str">
        <f aca="false">IF(AQ27="","",IF(AY27="Tidak dibuka","–",IF(INDEX('Reguler Class Availability'!$B:$B,AQ27)&amp;""="","Kosong",PROPER(INDEX('Reguler Class Availability'!$B:$B,AQ27)&amp;""))&amp;"  "&amp;IFERROR(--(INDEX('Reguler Class Availability'!$G:$G,AQ27)&amp;""),0)&amp;"/"&amp;IFERROR(--(INDEX('Reguler Class Availability'!$F:$F,AQ27)&amp;""),0)&amp;IF(IFERROR(--(INDEX('Reguler Class Availability'!$F:$F,AQ27)&amp;""),0)&gt;0,"  ("&amp;TEXT(IFERROR(--(INDEX('Reguler Class Availability'!$G:$G,AQ27)&amp;""),0)/IFERROR(--(INDEX('Reguler Class Availability'!$F:$F,AQ27)&amp;""),0),"0%")&amp;")","")&amp;CHAR(10)&amp;IF(INDEX('Reguler Class Availability'!$I:$I,AQ27)&amp;""="","coach: –",PROPER(INDEX('Reguler Class Availability'!$I:$I,AQ27)&amp;""))&amp;IF(INDEX('Reguler Class Availability'!$J:$J,AQ27)&amp;""="","",CHAR(10)&amp;"asst: "&amp;PROPER(INDEX('Reguler Class Availability'!$J:$J,AQ27)&amp;""))))</f>
        <v>Star  0/8  (0%)
coach: –</v>
      </c>
      <c r="F27" s="67" t="str">
        <f aca="false">IF(AR27="","",IF(AZ27="Tidak dibuka","–",IF(INDEX('Reguler Class Availability'!$B:$B,AR27)&amp;""="","Kosong",PROPER(INDEX('Reguler Class Availability'!$B:$B,AR27)&amp;""))&amp;"  "&amp;IFERROR(--(INDEX('Reguler Class Availability'!$G:$G,AR27)&amp;""),0)&amp;"/"&amp;IFERROR(--(INDEX('Reguler Class Availability'!$F:$F,AR27)&amp;""),0)&amp;IF(IFERROR(--(INDEX('Reguler Class Availability'!$F:$F,AR27)&amp;""),0)&gt;0,"  ("&amp;TEXT(IFERROR(--(INDEX('Reguler Class Availability'!$G:$G,AR27)&amp;""),0)/IFERROR(--(INDEX('Reguler Class Availability'!$F:$F,AR27)&amp;""),0),"0%")&amp;")","")&amp;CHAR(10)&amp;IF(INDEX('Reguler Class Availability'!$I:$I,AR27)&amp;""="","coach: –",PROPER(INDEX('Reguler Class Availability'!$I:$I,AR27)&amp;""))&amp;IF(INDEX('Reguler Class Availability'!$J:$J,AR27)&amp;""="","",CHAR(10)&amp;"asst: "&amp;PROPER(INDEX('Reguler Class Availability'!$J:$J,AR27)&amp;""))))</f>
        <v>Star  0/8  (0%)
coach: –</v>
      </c>
      <c r="G27" s="67" t="str">
        <f aca="false">IF(AS27="","",IF(BA27="Tidak dibuka","–",IF(INDEX('Reguler Class Availability'!$B:$B,AS27)&amp;""="","Kosong",PROPER(INDEX('Reguler Class Availability'!$B:$B,AS27)&amp;""))&amp;"  "&amp;IFERROR(--(INDEX('Reguler Class Availability'!$G:$G,AS27)&amp;""),0)&amp;"/"&amp;IFERROR(--(INDEX('Reguler Class Availability'!$F:$F,AS27)&amp;""),0)&amp;IF(IFERROR(--(INDEX('Reguler Class Availability'!$F:$F,AS27)&amp;""),0)&gt;0,"  ("&amp;TEXT(IFERROR(--(INDEX('Reguler Class Availability'!$G:$G,AS27)&amp;""),0)/IFERROR(--(INDEX('Reguler Class Availability'!$F:$F,AS27)&amp;""),0),"0%")&amp;")","")&amp;CHAR(10)&amp;IF(INDEX('Reguler Class Availability'!$I:$I,AS27)&amp;""="","coach: –",PROPER(INDEX('Reguler Class Availability'!$I:$I,AS27)&amp;""))&amp;IF(INDEX('Reguler Class Availability'!$J:$J,AS27)&amp;""="","",CHAR(10)&amp;"asst: "&amp;PROPER(INDEX('Reguler Class Availability'!$J:$J,AS27)&amp;""))))</f>
        <v>Star  0/8  (0%)
coach: –</v>
      </c>
      <c r="H27" s="67" t="str">
        <f aca="false">IF(AT27="","",IF(BB27="Tidak dibuka","–",IF(INDEX('Reguler Class Availability'!$B:$B,AT27)&amp;""="","Kosong",PROPER(INDEX('Reguler Class Availability'!$B:$B,AT27)&amp;""))&amp;"  "&amp;IFERROR(--(INDEX('Reguler Class Availability'!$G:$G,AT27)&amp;""),0)&amp;"/"&amp;IFERROR(--(INDEX('Reguler Class Availability'!$F:$F,AT27)&amp;""),0)&amp;IF(IFERROR(--(INDEX('Reguler Class Availability'!$F:$F,AT27)&amp;""),0)&gt;0,"  ("&amp;TEXT(IFERROR(--(INDEX('Reguler Class Availability'!$G:$G,AT27)&amp;""),0)/IFERROR(--(INDEX('Reguler Class Availability'!$F:$F,AT27)&amp;""),0),"0%")&amp;")","")&amp;CHAR(10)&amp;IF(INDEX('Reguler Class Availability'!$I:$I,AT27)&amp;""="","coach: –",PROPER(INDEX('Reguler Class Availability'!$I:$I,AT27)&amp;""))&amp;IF(INDEX('Reguler Class Availability'!$J:$J,AT27)&amp;""="","",CHAR(10)&amp;"asst: "&amp;PROPER(INDEX('Reguler Class Availability'!$J:$J,AT27)&amp;""))))</f>
        <v>Star  0/8  (0%)
coach: –</v>
      </c>
      <c r="AN27" s="30" t="n">
        <f aca="false">IF($A27="","",IFERROR(MATCH($B$4&amp;"|- Lane 1 - "&amp;B$13&amp;"|"&amp;$A27,'Reguler Class Availability'!$L:$L,0),""))</f>
        <v>2501</v>
      </c>
      <c r="AO27" s="30" t="n">
        <f aca="false">IF($A27="","",IFERROR(MATCH($B$4&amp;"|- Lane 1 - "&amp;C$13&amp;"|"&amp;$A27,'Reguler Class Availability'!$L:$L,0),""))</f>
        <v>2502</v>
      </c>
      <c r="AP27" s="30" t="n">
        <f aca="false">IF($A27="","",IFERROR(MATCH($B$4&amp;"|- Lane 1 - "&amp;D$13&amp;"|"&amp;$A27,'Reguler Class Availability'!$L:$L,0),""))</f>
        <v>2503</v>
      </c>
      <c r="AQ27" s="30" t="n">
        <f aca="false">IF($A27="","",IFERROR(MATCH($B$4&amp;"|- Lane 1 - "&amp;E$13&amp;"|"&amp;$A27,'Reguler Class Availability'!$L:$L,0),""))</f>
        <v>2504</v>
      </c>
      <c r="AR27" s="30" t="n">
        <f aca="false">IF($A27="","",IFERROR(MATCH($B$4&amp;"|- Lane 1 - "&amp;F$13&amp;"|"&amp;$A27,'Reguler Class Availability'!$L:$L,0),""))</f>
        <v>2505</v>
      </c>
      <c r="AS27" s="30" t="n">
        <f aca="false">IF($A27="","",IFERROR(MATCH($B$4&amp;"|- Lane 1 - "&amp;G$13&amp;"|"&amp;$A27,'Reguler Class Availability'!$L:$L,0),""))</f>
        <v>2506</v>
      </c>
      <c r="AT27" s="30" t="n">
        <f aca="false">IF($A27="","",IFERROR(MATCH($B$4&amp;"|- Lane 1 - "&amp;H$13&amp;"|"&amp;$A27,'Reguler Class Availability'!$L:$L,0),""))</f>
        <v>2507</v>
      </c>
      <c r="AV27" s="0" t="str">
        <f aca="false">IF(AN27="","",IF(AND(IFERROR(--(INDEX('Reguler Class Availability'!$F:$F,AN27)&amp;""),0)=0,IFERROR(--(INDEX('Reguler Class Availability'!$G:$G,AN27)&amp;""),0)=0),IF(OR(INDEX('Reguler Class Availability'!$B:$B,AN27)&amp;""&lt;&gt;"",INDEX('Reguler Class Availability'!$I:$I,AN27)&amp;""&lt;&gt;""),"Tutup","Tidak dibuka"),IF(IFERROR(--(INDEX('Reguler Class Availability'!$G:$G,AN27)&amp;""),0)&gt;IFERROR(--(INDEX('Reguler Class Availability'!$F:$F,AN27)&amp;""),0),"Lebih",IF(IFERROR(--(INDEX('Reguler Class Availability'!$G:$G,AN27)&amp;""),0)=IFERROR(--(INDEX('Reguler Class Availability'!$F:$F,AN27)&amp;""),0),"Penuh",IF(IFERROR(--(INDEX('Reguler Class Availability'!$G:$G,AN27)&amp;""),0)=0,IF(INDEX('Reguler Class Availability'!$B:$B,AN27)&amp;""="","Kosong","Belum terisi"),IF(IFERROR(--(INDEX('Reguler Class Availability'!$G:$G,AN27)&amp;""),0)/IFERROR(--(INDEX('Reguler Class Availability'!$F:$F,AN27)&amp;""),0)&gt;=0.6,"Tinggi","Sebagian"))))))</f>
        <v>Belum terisi</v>
      </c>
      <c r="AW27" s="0" t="str">
        <f aca="false">IF(AO27="","",IF(AND(IFERROR(--(INDEX('Reguler Class Availability'!$F:$F,AO27)&amp;""),0)=0,IFERROR(--(INDEX('Reguler Class Availability'!$G:$G,AO27)&amp;""),0)=0),IF(OR(INDEX('Reguler Class Availability'!$B:$B,AO27)&amp;""&lt;&gt;"",INDEX('Reguler Class Availability'!$I:$I,AO27)&amp;""&lt;&gt;""),"Tutup","Tidak dibuka"),IF(IFERROR(--(INDEX('Reguler Class Availability'!$G:$G,AO27)&amp;""),0)&gt;IFERROR(--(INDEX('Reguler Class Availability'!$F:$F,AO27)&amp;""),0),"Lebih",IF(IFERROR(--(INDEX('Reguler Class Availability'!$G:$G,AO27)&amp;""),0)=IFERROR(--(INDEX('Reguler Class Availability'!$F:$F,AO27)&amp;""),0),"Penuh",IF(IFERROR(--(INDEX('Reguler Class Availability'!$G:$G,AO27)&amp;""),0)=0,IF(INDEX('Reguler Class Availability'!$B:$B,AO27)&amp;""="","Kosong","Belum terisi"),IF(IFERROR(--(INDEX('Reguler Class Availability'!$G:$G,AO27)&amp;""),0)/IFERROR(--(INDEX('Reguler Class Availability'!$F:$F,AO27)&amp;""),0)&gt;=0.6,"Tinggi","Sebagian"))))))</f>
        <v>Belum terisi</v>
      </c>
      <c r="AX27" s="0" t="str">
        <f aca="false">IF(AP27="","",IF(AND(IFERROR(--(INDEX('Reguler Class Availability'!$F:$F,AP27)&amp;""),0)=0,IFERROR(--(INDEX('Reguler Class Availability'!$G:$G,AP27)&amp;""),0)=0),IF(OR(INDEX('Reguler Class Availability'!$B:$B,AP27)&amp;""&lt;&gt;"",INDEX('Reguler Class Availability'!$I:$I,AP27)&amp;""&lt;&gt;""),"Tutup","Tidak dibuka"),IF(IFERROR(--(INDEX('Reguler Class Availability'!$G:$G,AP27)&amp;""),0)&gt;IFERROR(--(INDEX('Reguler Class Availability'!$F:$F,AP27)&amp;""),0),"Lebih",IF(IFERROR(--(INDEX('Reguler Class Availability'!$G:$G,AP27)&amp;""),0)=IFERROR(--(INDEX('Reguler Class Availability'!$F:$F,AP27)&amp;""),0),"Penuh",IF(IFERROR(--(INDEX('Reguler Class Availability'!$G:$G,AP27)&amp;""),0)=0,IF(INDEX('Reguler Class Availability'!$B:$B,AP27)&amp;""="","Kosong","Belum terisi"),IF(IFERROR(--(INDEX('Reguler Class Availability'!$G:$G,AP27)&amp;""),0)/IFERROR(--(INDEX('Reguler Class Availability'!$F:$F,AP27)&amp;""),0)&gt;=0.6,"Tinggi","Sebagian"))))))</f>
        <v>Belum terisi</v>
      </c>
      <c r="AY27" s="0" t="str">
        <f aca="false">IF(AQ27="","",IF(AND(IFERROR(--(INDEX('Reguler Class Availability'!$F:$F,AQ27)&amp;""),0)=0,IFERROR(--(INDEX('Reguler Class Availability'!$G:$G,AQ27)&amp;""),0)=0),IF(OR(INDEX('Reguler Class Availability'!$B:$B,AQ27)&amp;""&lt;&gt;"",INDEX('Reguler Class Availability'!$I:$I,AQ27)&amp;""&lt;&gt;""),"Tutup","Tidak dibuka"),IF(IFERROR(--(INDEX('Reguler Class Availability'!$G:$G,AQ27)&amp;""),0)&gt;IFERROR(--(INDEX('Reguler Class Availability'!$F:$F,AQ27)&amp;""),0),"Lebih",IF(IFERROR(--(INDEX('Reguler Class Availability'!$G:$G,AQ27)&amp;""),0)=IFERROR(--(INDEX('Reguler Class Availability'!$F:$F,AQ27)&amp;""),0),"Penuh",IF(IFERROR(--(INDEX('Reguler Class Availability'!$G:$G,AQ27)&amp;""),0)=0,IF(INDEX('Reguler Class Availability'!$B:$B,AQ27)&amp;""="","Kosong","Belum terisi"),IF(IFERROR(--(INDEX('Reguler Class Availability'!$G:$G,AQ27)&amp;""),0)/IFERROR(--(INDEX('Reguler Class Availability'!$F:$F,AQ27)&amp;""),0)&gt;=0.6,"Tinggi","Sebagian"))))))</f>
        <v>Belum terisi</v>
      </c>
      <c r="AZ27" s="0" t="str">
        <f aca="false">IF(AR27="","",IF(AND(IFERROR(--(INDEX('Reguler Class Availability'!$F:$F,AR27)&amp;""),0)=0,IFERROR(--(INDEX('Reguler Class Availability'!$G:$G,AR27)&amp;""),0)=0),IF(OR(INDEX('Reguler Class Availability'!$B:$B,AR27)&amp;""&lt;&gt;"",INDEX('Reguler Class Availability'!$I:$I,AR27)&amp;""&lt;&gt;""),"Tutup","Tidak dibuka"),IF(IFERROR(--(INDEX('Reguler Class Availability'!$G:$G,AR27)&amp;""),0)&gt;IFERROR(--(INDEX('Reguler Class Availability'!$F:$F,AR27)&amp;""),0),"Lebih",IF(IFERROR(--(INDEX('Reguler Class Availability'!$G:$G,AR27)&amp;""),0)=IFERROR(--(INDEX('Reguler Class Availability'!$F:$F,AR27)&amp;""),0),"Penuh",IF(IFERROR(--(INDEX('Reguler Class Availability'!$G:$G,AR27)&amp;""),0)=0,IF(INDEX('Reguler Class Availability'!$B:$B,AR27)&amp;""="","Kosong","Belum terisi"),IF(IFERROR(--(INDEX('Reguler Class Availability'!$G:$G,AR27)&amp;""),0)/IFERROR(--(INDEX('Reguler Class Availability'!$F:$F,AR27)&amp;""),0)&gt;=0.6,"Tinggi","Sebagian"))))))</f>
        <v>Belum terisi</v>
      </c>
      <c r="BA27" s="0" t="str">
        <f aca="false">IF(AS27="","",IF(AND(IFERROR(--(INDEX('Reguler Class Availability'!$F:$F,AS27)&amp;""),0)=0,IFERROR(--(INDEX('Reguler Class Availability'!$G:$G,AS27)&amp;""),0)=0),IF(OR(INDEX('Reguler Class Availability'!$B:$B,AS27)&amp;""&lt;&gt;"",INDEX('Reguler Class Availability'!$I:$I,AS27)&amp;""&lt;&gt;""),"Tutup","Tidak dibuka"),IF(IFERROR(--(INDEX('Reguler Class Availability'!$G:$G,AS27)&amp;""),0)&gt;IFERROR(--(INDEX('Reguler Class Availability'!$F:$F,AS27)&amp;""),0),"Lebih",IF(IFERROR(--(INDEX('Reguler Class Availability'!$G:$G,AS27)&amp;""),0)=IFERROR(--(INDEX('Reguler Class Availability'!$F:$F,AS27)&amp;""),0),"Penuh",IF(IFERROR(--(INDEX('Reguler Class Availability'!$G:$G,AS27)&amp;""),0)=0,IF(INDEX('Reguler Class Availability'!$B:$B,AS27)&amp;""="","Kosong","Belum terisi"),IF(IFERROR(--(INDEX('Reguler Class Availability'!$G:$G,AS27)&amp;""),0)/IFERROR(--(INDEX('Reguler Class Availability'!$F:$F,AS27)&amp;""),0)&gt;=0.6,"Tinggi","Sebagian"))))))</f>
        <v>Belum terisi</v>
      </c>
      <c r="BB27" s="0" t="str">
        <f aca="false">IF(AT27="","",IF(AND(IFERROR(--(INDEX('Reguler Class Availability'!$F:$F,AT27)&amp;""),0)=0,IFERROR(--(INDEX('Reguler Class Availability'!$G:$G,AT27)&amp;""),0)=0),IF(OR(INDEX('Reguler Class Availability'!$B:$B,AT27)&amp;""&lt;&gt;"",INDEX('Reguler Class Availability'!$I:$I,AT27)&amp;""&lt;&gt;""),"Tutup","Tidak dibuka"),IF(IFERROR(--(INDEX('Reguler Class Availability'!$G:$G,AT27)&amp;""),0)&gt;IFERROR(--(INDEX('Reguler Class Availability'!$F:$F,AT27)&amp;""),0),"Lebih",IF(IFERROR(--(INDEX('Reguler Class Availability'!$G:$G,AT27)&amp;""),0)=IFERROR(--(INDEX('Reguler Class Availability'!$F:$F,AT27)&amp;""),0),"Penuh",IF(IFERROR(--(INDEX('Reguler Class Availability'!$G:$G,AT27)&amp;""),0)=0,IF(INDEX('Reguler Class Availability'!$B:$B,AT27)&amp;""="","Kosong","Belum terisi"),IF(IFERROR(--(INDEX('Reguler Class Availability'!$G:$G,AT27)&amp;""),0)/IFERROR(--(INDEX('Reguler Class Availability'!$F:$F,AT27)&amp;""),0)&gt;=0.6,"Tinggi","Sebagian"))))))</f>
        <v>Belum terisi</v>
      </c>
      <c r="BD27" s="30" t="s">
        <v>134</v>
      </c>
      <c r="BE27" s="30" t="n">
        <f aca="false">IF(COUNTIFS('Reguler Class Availability'!$L:$L,$B$4&amp;"|- Lane 1 - *|"&amp;BD27)&gt;0,1,0)</f>
        <v>0</v>
      </c>
      <c r="BF27" s="30" t="n">
        <f aca="false">BE27+BF26</f>
        <v>7</v>
      </c>
    </row>
    <row r="28" customFormat="false" ht="39.75" hidden="false" customHeight="true" outlineLevel="0" collapsed="false">
      <c r="A28" s="66" t="str">
        <f aca="false">IFERROR(INDEX($BD$2:$BD$61,MATCH(15,$BF$2:$BF$61,0)),"")</f>
        <v/>
      </c>
      <c r="B28" s="67" t="str">
        <f aca="false">IF(AN28="","",IF(AV28="Tidak dibuka","–",IF(INDEX('Reguler Class Availability'!$B:$B,AN28)&amp;""="","Kosong",PROPER(INDEX('Reguler Class Availability'!$B:$B,AN28)&amp;""))&amp;"  "&amp;IFERROR(--(INDEX('Reguler Class Availability'!$G:$G,AN28)&amp;""),0)&amp;"/"&amp;IFERROR(--(INDEX('Reguler Class Availability'!$F:$F,AN28)&amp;""),0)&amp;IF(IFERROR(--(INDEX('Reguler Class Availability'!$F:$F,AN28)&amp;""),0)&gt;0,"  ("&amp;TEXT(IFERROR(--(INDEX('Reguler Class Availability'!$G:$G,AN28)&amp;""),0)/IFERROR(--(INDEX('Reguler Class Availability'!$F:$F,AN28)&amp;""),0),"0%")&amp;")","")&amp;CHAR(10)&amp;IF(INDEX('Reguler Class Availability'!$I:$I,AN28)&amp;""="","coach: –",PROPER(INDEX('Reguler Class Availability'!$I:$I,AN28)&amp;""))&amp;IF(INDEX('Reguler Class Availability'!$J:$J,AN28)&amp;""="","",CHAR(10)&amp;"asst: "&amp;PROPER(INDEX('Reguler Class Availability'!$J:$J,AN28)&amp;""))))</f>
        <v/>
      </c>
      <c r="C28" s="67" t="str">
        <f aca="false">IF(AO28="","",IF(AW28="Tidak dibuka","–",IF(INDEX('Reguler Class Availability'!$B:$B,AO28)&amp;""="","Kosong",PROPER(INDEX('Reguler Class Availability'!$B:$B,AO28)&amp;""))&amp;"  "&amp;IFERROR(--(INDEX('Reguler Class Availability'!$G:$G,AO28)&amp;""),0)&amp;"/"&amp;IFERROR(--(INDEX('Reguler Class Availability'!$F:$F,AO28)&amp;""),0)&amp;IF(IFERROR(--(INDEX('Reguler Class Availability'!$F:$F,AO28)&amp;""),0)&gt;0,"  ("&amp;TEXT(IFERROR(--(INDEX('Reguler Class Availability'!$G:$G,AO28)&amp;""),0)/IFERROR(--(INDEX('Reguler Class Availability'!$F:$F,AO28)&amp;""),0),"0%")&amp;")","")&amp;CHAR(10)&amp;IF(INDEX('Reguler Class Availability'!$I:$I,AO28)&amp;""="","coach: –",PROPER(INDEX('Reguler Class Availability'!$I:$I,AO28)&amp;""))&amp;IF(INDEX('Reguler Class Availability'!$J:$J,AO28)&amp;""="","",CHAR(10)&amp;"asst: "&amp;PROPER(INDEX('Reguler Class Availability'!$J:$J,AO28)&amp;""))))</f>
        <v/>
      </c>
      <c r="D28" s="67" t="str">
        <f aca="false">IF(AP28="","",IF(AX28="Tidak dibuka","–",IF(INDEX('Reguler Class Availability'!$B:$B,AP28)&amp;""="","Kosong",PROPER(INDEX('Reguler Class Availability'!$B:$B,AP28)&amp;""))&amp;"  "&amp;IFERROR(--(INDEX('Reguler Class Availability'!$G:$G,AP28)&amp;""),0)&amp;"/"&amp;IFERROR(--(INDEX('Reguler Class Availability'!$F:$F,AP28)&amp;""),0)&amp;IF(IFERROR(--(INDEX('Reguler Class Availability'!$F:$F,AP28)&amp;""),0)&gt;0,"  ("&amp;TEXT(IFERROR(--(INDEX('Reguler Class Availability'!$G:$G,AP28)&amp;""),0)/IFERROR(--(INDEX('Reguler Class Availability'!$F:$F,AP28)&amp;""),0),"0%")&amp;")","")&amp;CHAR(10)&amp;IF(INDEX('Reguler Class Availability'!$I:$I,AP28)&amp;""="","coach: –",PROPER(INDEX('Reguler Class Availability'!$I:$I,AP28)&amp;""))&amp;IF(INDEX('Reguler Class Availability'!$J:$J,AP28)&amp;""="","",CHAR(10)&amp;"asst: "&amp;PROPER(INDEX('Reguler Class Availability'!$J:$J,AP28)&amp;""))))</f>
        <v/>
      </c>
      <c r="E28" s="67" t="str">
        <f aca="false">IF(AQ28="","",IF(AY28="Tidak dibuka","–",IF(INDEX('Reguler Class Availability'!$B:$B,AQ28)&amp;""="","Kosong",PROPER(INDEX('Reguler Class Availability'!$B:$B,AQ28)&amp;""))&amp;"  "&amp;IFERROR(--(INDEX('Reguler Class Availability'!$G:$G,AQ28)&amp;""),0)&amp;"/"&amp;IFERROR(--(INDEX('Reguler Class Availability'!$F:$F,AQ28)&amp;""),0)&amp;IF(IFERROR(--(INDEX('Reguler Class Availability'!$F:$F,AQ28)&amp;""),0)&gt;0,"  ("&amp;TEXT(IFERROR(--(INDEX('Reguler Class Availability'!$G:$G,AQ28)&amp;""),0)/IFERROR(--(INDEX('Reguler Class Availability'!$F:$F,AQ28)&amp;""),0),"0%")&amp;")","")&amp;CHAR(10)&amp;IF(INDEX('Reguler Class Availability'!$I:$I,AQ28)&amp;""="","coach: –",PROPER(INDEX('Reguler Class Availability'!$I:$I,AQ28)&amp;""))&amp;IF(INDEX('Reguler Class Availability'!$J:$J,AQ28)&amp;""="","",CHAR(10)&amp;"asst: "&amp;PROPER(INDEX('Reguler Class Availability'!$J:$J,AQ28)&amp;""))))</f>
        <v/>
      </c>
      <c r="F28" s="67" t="str">
        <f aca="false">IF(AR28="","",IF(AZ28="Tidak dibuka","–",IF(INDEX('Reguler Class Availability'!$B:$B,AR28)&amp;""="","Kosong",PROPER(INDEX('Reguler Class Availability'!$B:$B,AR28)&amp;""))&amp;"  "&amp;IFERROR(--(INDEX('Reguler Class Availability'!$G:$G,AR28)&amp;""),0)&amp;"/"&amp;IFERROR(--(INDEX('Reguler Class Availability'!$F:$F,AR28)&amp;""),0)&amp;IF(IFERROR(--(INDEX('Reguler Class Availability'!$F:$F,AR28)&amp;""),0)&gt;0,"  ("&amp;TEXT(IFERROR(--(INDEX('Reguler Class Availability'!$G:$G,AR28)&amp;""),0)/IFERROR(--(INDEX('Reguler Class Availability'!$F:$F,AR28)&amp;""),0),"0%")&amp;")","")&amp;CHAR(10)&amp;IF(INDEX('Reguler Class Availability'!$I:$I,AR28)&amp;""="","coach: –",PROPER(INDEX('Reguler Class Availability'!$I:$I,AR28)&amp;""))&amp;IF(INDEX('Reguler Class Availability'!$J:$J,AR28)&amp;""="","",CHAR(10)&amp;"asst: "&amp;PROPER(INDEX('Reguler Class Availability'!$J:$J,AR28)&amp;""))))</f>
        <v/>
      </c>
      <c r="G28" s="67" t="str">
        <f aca="false">IF(AS28="","",IF(BA28="Tidak dibuka","–",IF(INDEX('Reguler Class Availability'!$B:$B,AS28)&amp;""="","Kosong",PROPER(INDEX('Reguler Class Availability'!$B:$B,AS28)&amp;""))&amp;"  "&amp;IFERROR(--(INDEX('Reguler Class Availability'!$G:$G,AS28)&amp;""),0)&amp;"/"&amp;IFERROR(--(INDEX('Reguler Class Availability'!$F:$F,AS28)&amp;""),0)&amp;IF(IFERROR(--(INDEX('Reguler Class Availability'!$F:$F,AS28)&amp;""),0)&gt;0,"  ("&amp;TEXT(IFERROR(--(INDEX('Reguler Class Availability'!$G:$G,AS28)&amp;""),0)/IFERROR(--(INDEX('Reguler Class Availability'!$F:$F,AS28)&amp;""),0),"0%")&amp;")","")&amp;CHAR(10)&amp;IF(INDEX('Reguler Class Availability'!$I:$I,AS28)&amp;""="","coach: –",PROPER(INDEX('Reguler Class Availability'!$I:$I,AS28)&amp;""))&amp;IF(INDEX('Reguler Class Availability'!$J:$J,AS28)&amp;""="","",CHAR(10)&amp;"asst: "&amp;PROPER(INDEX('Reguler Class Availability'!$J:$J,AS28)&amp;""))))</f>
        <v/>
      </c>
      <c r="H28" s="67" t="str">
        <f aca="false">IF(AT28="","",IF(BB28="Tidak dibuka","–",IF(INDEX('Reguler Class Availability'!$B:$B,AT28)&amp;""="","Kosong",PROPER(INDEX('Reguler Class Availability'!$B:$B,AT28)&amp;""))&amp;"  "&amp;IFERROR(--(INDEX('Reguler Class Availability'!$G:$G,AT28)&amp;""),0)&amp;"/"&amp;IFERROR(--(INDEX('Reguler Class Availability'!$F:$F,AT28)&amp;""),0)&amp;IF(IFERROR(--(INDEX('Reguler Class Availability'!$F:$F,AT28)&amp;""),0)&gt;0,"  ("&amp;TEXT(IFERROR(--(INDEX('Reguler Class Availability'!$G:$G,AT28)&amp;""),0)/IFERROR(--(INDEX('Reguler Class Availability'!$F:$F,AT28)&amp;""),0),"0%")&amp;")","")&amp;CHAR(10)&amp;IF(INDEX('Reguler Class Availability'!$I:$I,AT28)&amp;""="","coach: –",PROPER(INDEX('Reguler Class Availability'!$I:$I,AT28)&amp;""))&amp;IF(INDEX('Reguler Class Availability'!$J:$J,AT28)&amp;""="","",CHAR(10)&amp;"asst: "&amp;PROPER(INDEX('Reguler Class Availability'!$J:$J,AT28)&amp;""))))</f>
        <v/>
      </c>
      <c r="AN28" s="0" t="str">
        <f aca="false">IF($A28="","",IFERROR(MATCH($B$4&amp;"|- Lane 1 - "&amp;B$13&amp;"|"&amp;$A28,'Reguler Class Availability'!$L:$L,0),""))</f>
        <v/>
      </c>
      <c r="AO28" s="0" t="str">
        <f aca="false">IF($A28="","",IFERROR(MATCH($B$4&amp;"|- Lane 1 - "&amp;C$13&amp;"|"&amp;$A28,'Reguler Class Availability'!$L:$L,0),""))</f>
        <v/>
      </c>
      <c r="AP28" s="0" t="str">
        <f aca="false">IF($A28="","",IFERROR(MATCH($B$4&amp;"|- Lane 1 - "&amp;D$13&amp;"|"&amp;$A28,'Reguler Class Availability'!$L:$L,0),""))</f>
        <v/>
      </c>
      <c r="AQ28" s="0" t="str">
        <f aca="false">IF($A28="","",IFERROR(MATCH($B$4&amp;"|- Lane 1 - "&amp;E$13&amp;"|"&amp;$A28,'Reguler Class Availability'!$L:$L,0),""))</f>
        <v/>
      </c>
      <c r="AR28" s="0" t="str">
        <f aca="false">IF($A28="","",IFERROR(MATCH($B$4&amp;"|- Lane 1 - "&amp;F$13&amp;"|"&amp;$A28,'Reguler Class Availability'!$L:$L,0),""))</f>
        <v/>
      </c>
      <c r="AS28" s="0" t="str">
        <f aca="false">IF($A28="","",IFERROR(MATCH($B$4&amp;"|- Lane 1 - "&amp;G$13&amp;"|"&amp;$A28,'Reguler Class Availability'!$L:$L,0),""))</f>
        <v/>
      </c>
      <c r="AT28" s="0" t="str">
        <f aca="false">IF($A28="","",IFERROR(MATCH($B$4&amp;"|- Lane 1 - "&amp;H$13&amp;"|"&amp;$A28,'Reguler Class Availability'!$L:$L,0),""))</f>
        <v/>
      </c>
      <c r="AV28" s="0" t="str">
        <f aca="false">IF(AN28="","",IF(AND(IFERROR(--(INDEX('Reguler Class Availability'!$F:$F,AN28)&amp;""),0)=0,IFERROR(--(INDEX('Reguler Class Availability'!$G:$G,AN28)&amp;""),0)=0),IF(OR(INDEX('Reguler Class Availability'!$B:$B,AN28)&amp;""&lt;&gt;"",INDEX('Reguler Class Availability'!$I:$I,AN28)&amp;""&lt;&gt;""),"Tutup","Tidak dibuka"),IF(IFERROR(--(INDEX('Reguler Class Availability'!$G:$G,AN28)&amp;""),0)&gt;IFERROR(--(INDEX('Reguler Class Availability'!$F:$F,AN28)&amp;""),0),"Lebih",IF(IFERROR(--(INDEX('Reguler Class Availability'!$G:$G,AN28)&amp;""),0)=IFERROR(--(INDEX('Reguler Class Availability'!$F:$F,AN28)&amp;""),0),"Penuh",IF(IFERROR(--(INDEX('Reguler Class Availability'!$G:$G,AN28)&amp;""),0)=0,IF(INDEX('Reguler Class Availability'!$B:$B,AN28)&amp;""="","Kosong","Belum terisi"),IF(IFERROR(--(INDEX('Reguler Class Availability'!$G:$G,AN28)&amp;""),0)/IFERROR(--(INDEX('Reguler Class Availability'!$F:$F,AN28)&amp;""),0)&gt;=0.6,"Tinggi","Sebagian"))))))</f>
        <v/>
      </c>
      <c r="AW28" s="0" t="str">
        <f aca="false">IF(AO28="","",IF(AND(IFERROR(--(INDEX('Reguler Class Availability'!$F:$F,AO28)&amp;""),0)=0,IFERROR(--(INDEX('Reguler Class Availability'!$G:$G,AO28)&amp;""),0)=0),IF(OR(INDEX('Reguler Class Availability'!$B:$B,AO28)&amp;""&lt;&gt;"",INDEX('Reguler Class Availability'!$I:$I,AO28)&amp;""&lt;&gt;""),"Tutup","Tidak dibuka"),IF(IFERROR(--(INDEX('Reguler Class Availability'!$G:$G,AO28)&amp;""),0)&gt;IFERROR(--(INDEX('Reguler Class Availability'!$F:$F,AO28)&amp;""),0),"Lebih",IF(IFERROR(--(INDEX('Reguler Class Availability'!$G:$G,AO28)&amp;""),0)=IFERROR(--(INDEX('Reguler Class Availability'!$F:$F,AO28)&amp;""),0),"Penuh",IF(IFERROR(--(INDEX('Reguler Class Availability'!$G:$G,AO28)&amp;""),0)=0,IF(INDEX('Reguler Class Availability'!$B:$B,AO28)&amp;""="","Kosong","Belum terisi"),IF(IFERROR(--(INDEX('Reguler Class Availability'!$G:$G,AO28)&amp;""),0)/IFERROR(--(INDEX('Reguler Class Availability'!$F:$F,AO28)&amp;""),0)&gt;=0.6,"Tinggi","Sebagian"))))))</f>
        <v/>
      </c>
      <c r="AX28" s="0" t="str">
        <f aca="false">IF(AP28="","",IF(AND(IFERROR(--(INDEX('Reguler Class Availability'!$F:$F,AP28)&amp;""),0)=0,IFERROR(--(INDEX('Reguler Class Availability'!$G:$G,AP28)&amp;""),0)=0),IF(OR(INDEX('Reguler Class Availability'!$B:$B,AP28)&amp;""&lt;&gt;"",INDEX('Reguler Class Availability'!$I:$I,AP28)&amp;""&lt;&gt;""),"Tutup","Tidak dibuka"),IF(IFERROR(--(INDEX('Reguler Class Availability'!$G:$G,AP28)&amp;""),0)&gt;IFERROR(--(INDEX('Reguler Class Availability'!$F:$F,AP28)&amp;""),0),"Lebih",IF(IFERROR(--(INDEX('Reguler Class Availability'!$G:$G,AP28)&amp;""),0)=IFERROR(--(INDEX('Reguler Class Availability'!$F:$F,AP28)&amp;""),0),"Penuh",IF(IFERROR(--(INDEX('Reguler Class Availability'!$G:$G,AP28)&amp;""),0)=0,IF(INDEX('Reguler Class Availability'!$B:$B,AP28)&amp;""="","Kosong","Belum terisi"),IF(IFERROR(--(INDEX('Reguler Class Availability'!$G:$G,AP28)&amp;""),0)/IFERROR(--(INDEX('Reguler Class Availability'!$F:$F,AP28)&amp;""),0)&gt;=0.6,"Tinggi","Sebagian"))))))</f>
        <v/>
      </c>
      <c r="AY28" s="0" t="str">
        <f aca="false">IF(AQ28="","",IF(AND(IFERROR(--(INDEX('Reguler Class Availability'!$F:$F,AQ28)&amp;""),0)=0,IFERROR(--(INDEX('Reguler Class Availability'!$G:$G,AQ28)&amp;""),0)=0),IF(OR(INDEX('Reguler Class Availability'!$B:$B,AQ28)&amp;""&lt;&gt;"",INDEX('Reguler Class Availability'!$I:$I,AQ28)&amp;""&lt;&gt;""),"Tutup","Tidak dibuka"),IF(IFERROR(--(INDEX('Reguler Class Availability'!$G:$G,AQ28)&amp;""),0)&gt;IFERROR(--(INDEX('Reguler Class Availability'!$F:$F,AQ28)&amp;""),0),"Lebih",IF(IFERROR(--(INDEX('Reguler Class Availability'!$G:$G,AQ28)&amp;""),0)=IFERROR(--(INDEX('Reguler Class Availability'!$F:$F,AQ28)&amp;""),0),"Penuh",IF(IFERROR(--(INDEX('Reguler Class Availability'!$G:$G,AQ28)&amp;""),0)=0,IF(INDEX('Reguler Class Availability'!$B:$B,AQ28)&amp;""="","Kosong","Belum terisi"),IF(IFERROR(--(INDEX('Reguler Class Availability'!$G:$G,AQ28)&amp;""),0)/IFERROR(--(INDEX('Reguler Class Availability'!$F:$F,AQ28)&amp;""),0)&gt;=0.6,"Tinggi","Sebagian"))))))</f>
        <v/>
      </c>
      <c r="AZ28" s="0" t="str">
        <f aca="false">IF(AR28="","",IF(AND(IFERROR(--(INDEX('Reguler Class Availability'!$F:$F,AR28)&amp;""),0)=0,IFERROR(--(INDEX('Reguler Class Availability'!$G:$G,AR28)&amp;""),0)=0),IF(OR(INDEX('Reguler Class Availability'!$B:$B,AR28)&amp;""&lt;&gt;"",INDEX('Reguler Class Availability'!$I:$I,AR28)&amp;""&lt;&gt;""),"Tutup","Tidak dibuka"),IF(IFERROR(--(INDEX('Reguler Class Availability'!$G:$G,AR28)&amp;""),0)&gt;IFERROR(--(INDEX('Reguler Class Availability'!$F:$F,AR28)&amp;""),0),"Lebih",IF(IFERROR(--(INDEX('Reguler Class Availability'!$G:$G,AR28)&amp;""),0)=IFERROR(--(INDEX('Reguler Class Availability'!$F:$F,AR28)&amp;""),0),"Penuh",IF(IFERROR(--(INDEX('Reguler Class Availability'!$G:$G,AR28)&amp;""),0)=0,IF(INDEX('Reguler Class Availability'!$B:$B,AR28)&amp;""="","Kosong","Belum terisi"),IF(IFERROR(--(INDEX('Reguler Class Availability'!$G:$G,AR28)&amp;""),0)/IFERROR(--(INDEX('Reguler Class Availability'!$F:$F,AR28)&amp;""),0)&gt;=0.6,"Tinggi","Sebagian"))))))</f>
        <v/>
      </c>
      <c r="BA28" s="0" t="str">
        <f aca="false">IF(AS28="","",IF(AND(IFERROR(--(INDEX('Reguler Class Availability'!$F:$F,AS28)&amp;""),0)=0,IFERROR(--(INDEX('Reguler Class Availability'!$G:$G,AS28)&amp;""),0)=0),IF(OR(INDEX('Reguler Class Availability'!$B:$B,AS28)&amp;""&lt;&gt;"",INDEX('Reguler Class Availability'!$I:$I,AS28)&amp;""&lt;&gt;""),"Tutup","Tidak dibuka"),IF(IFERROR(--(INDEX('Reguler Class Availability'!$G:$G,AS28)&amp;""),0)&gt;IFERROR(--(INDEX('Reguler Class Availability'!$F:$F,AS28)&amp;""),0),"Lebih",IF(IFERROR(--(INDEX('Reguler Class Availability'!$G:$G,AS28)&amp;""),0)=IFERROR(--(INDEX('Reguler Class Availability'!$F:$F,AS28)&amp;""),0),"Penuh",IF(IFERROR(--(INDEX('Reguler Class Availability'!$G:$G,AS28)&amp;""),0)=0,IF(INDEX('Reguler Class Availability'!$B:$B,AS28)&amp;""="","Kosong","Belum terisi"),IF(IFERROR(--(INDEX('Reguler Class Availability'!$G:$G,AS28)&amp;""),0)/IFERROR(--(INDEX('Reguler Class Availability'!$F:$F,AS28)&amp;""),0)&gt;=0.6,"Tinggi","Sebagian"))))))</f>
        <v/>
      </c>
      <c r="BB28" s="0" t="str">
        <f aca="false">IF(AT28="","",IF(AND(IFERROR(--(INDEX('Reguler Class Availability'!$F:$F,AT28)&amp;""),0)=0,IFERROR(--(INDEX('Reguler Class Availability'!$G:$G,AT28)&amp;""),0)=0),IF(OR(INDEX('Reguler Class Availability'!$B:$B,AT28)&amp;""&lt;&gt;"",INDEX('Reguler Class Availability'!$I:$I,AT28)&amp;""&lt;&gt;""),"Tutup","Tidak dibuka"),IF(IFERROR(--(INDEX('Reguler Class Availability'!$G:$G,AT28)&amp;""),0)&gt;IFERROR(--(INDEX('Reguler Class Availability'!$F:$F,AT28)&amp;""),0),"Lebih",IF(IFERROR(--(INDEX('Reguler Class Availability'!$G:$G,AT28)&amp;""),0)=IFERROR(--(INDEX('Reguler Class Availability'!$F:$F,AT28)&amp;""),0),"Penuh",IF(IFERROR(--(INDEX('Reguler Class Availability'!$G:$G,AT28)&amp;""),0)=0,IF(INDEX('Reguler Class Availability'!$B:$B,AT28)&amp;""="","Kosong","Belum terisi"),IF(IFERROR(--(INDEX('Reguler Class Availability'!$G:$G,AT28)&amp;""),0)/IFERROR(--(INDEX('Reguler Class Availability'!$F:$F,AT28)&amp;""),0)&gt;=0.6,"Tinggi","Sebagian"))))))</f>
        <v/>
      </c>
      <c r="BD28" s="30" t="s">
        <v>135</v>
      </c>
      <c r="BE28" s="30" t="n">
        <f aca="false">IF(COUNTIFS('Reguler Class Availability'!$L:$L,$B$4&amp;"|- Lane 1 - *|"&amp;BD28)&gt;0,1,0)</f>
        <v>0</v>
      </c>
      <c r="BF28" s="30" t="n">
        <f aca="false">BE28+BF27</f>
        <v>7</v>
      </c>
    </row>
    <row r="29" customFormat="false" ht="39.75" hidden="false" customHeight="true" outlineLevel="0" collapsed="false">
      <c r="A29" s="66" t="str">
        <f aca="false">IFERROR(INDEX($BD$2:$BD$61,MATCH(16,$BF$2:$BF$61,0)),"")</f>
        <v/>
      </c>
      <c r="B29" s="67" t="str">
        <f aca="false">IF(AN29="","",IF(AV29="Tidak dibuka","–",IF(INDEX('Reguler Class Availability'!$B:$B,AN29)&amp;""="","Kosong",PROPER(INDEX('Reguler Class Availability'!$B:$B,AN29)&amp;""))&amp;"  "&amp;IFERROR(--(INDEX('Reguler Class Availability'!$G:$G,AN29)&amp;""),0)&amp;"/"&amp;IFERROR(--(INDEX('Reguler Class Availability'!$F:$F,AN29)&amp;""),0)&amp;IF(IFERROR(--(INDEX('Reguler Class Availability'!$F:$F,AN29)&amp;""),0)&gt;0,"  ("&amp;TEXT(IFERROR(--(INDEX('Reguler Class Availability'!$G:$G,AN29)&amp;""),0)/IFERROR(--(INDEX('Reguler Class Availability'!$F:$F,AN29)&amp;""),0),"0%")&amp;")","")&amp;CHAR(10)&amp;IF(INDEX('Reguler Class Availability'!$I:$I,AN29)&amp;""="","coach: –",PROPER(INDEX('Reguler Class Availability'!$I:$I,AN29)&amp;""))&amp;IF(INDEX('Reguler Class Availability'!$J:$J,AN29)&amp;""="","",CHAR(10)&amp;"asst: "&amp;PROPER(INDEX('Reguler Class Availability'!$J:$J,AN29)&amp;""))))</f>
        <v/>
      </c>
      <c r="C29" s="67" t="str">
        <f aca="false">IF(AO29="","",IF(AW29="Tidak dibuka","–",IF(INDEX('Reguler Class Availability'!$B:$B,AO29)&amp;""="","Kosong",PROPER(INDEX('Reguler Class Availability'!$B:$B,AO29)&amp;""))&amp;"  "&amp;IFERROR(--(INDEX('Reguler Class Availability'!$G:$G,AO29)&amp;""),0)&amp;"/"&amp;IFERROR(--(INDEX('Reguler Class Availability'!$F:$F,AO29)&amp;""),0)&amp;IF(IFERROR(--(INDEX('Reguler Class Availability'!$F:$F,AO29)&amp;""),0)&gt;0,"  ("&amp;TEXT(IFERROR(--(INDEX('Reguler Class Availability'!$G:$G,AO29)&amp;""),0)/IFERROR(--(INDEX('Reguler Class Availability'!$F:$F,AO29)&amp;""),0),"0%")&amp;")","")&amp;CHAR(10)&amp;IF(INDEX('Reguler Class Availability'!$I:$I,AO29)&amp;""="","coach: –",PROPER(INDEX('Reguler Class Availability'!$I:$I,AO29)&amp;""))&amp;IF(INDEX('Reguler Class Availability'!$J:$J,AO29)&amp;""="","",CHAR(10)&amp;"asst: "&amp;PROPER(INDEX('Reguler Class Availability'!$J:$J,AO29)&amp;""))))</f>
        <v/>
      </c>
      <c r="D29" s="67" t="str">
        <f aca="false">IF(AP29="","",IF(AX29="Tidak dibuka","–",IF(INDEX('Reguler Class Availability'!$B:$B,AP29)&amp;""="","Kosong",PROPER(INDEX('Reguler Class Availability'!$B:$B,AP29)&amp;""))&amp;"  "&amp;IFERROR(--(INDEX('Reguler Class Availability'!$G:$G,AP29)&amp;""),0)&amp;"/"&amp;IFERROR(--(INDEX('Reguler Class Availability'!$F:$F,AP29)&amp;""),0)&amp;IF(IFERROR(--(INDEX('Reguler Class Availability'!$F:$F,AP29)&amp;""),0)&gt;0,"  ("&amp;TEXT(IFERROR(--(INDEX('Reguler Class Availability'!$G:$G,AP29)&amp;""),0)/IFERROR(--(INDEX('Reguler Class Availability'!$F:$F,AP29)&amp;""),0),"0%")&amp;")","")&amp;CHAR(10)&amp;IF(INDEX('Reguler Class Availability'!$I:$I,AP29)&amp;""="","coach: –",PROPER(INDEX('Reguler Class Availability'!$I:$I,AP29)&amp;""))&amp;IF(INDEX('Reguler Class Availability'!$J:$J,AP29)&amp;""="","",CHAR(10)&amp;"asst: "&amp;PROPER(INDEX('Reguler Class Availability'!$J:$J,AP29)&amp;""))))</f>
        <v/>
      </c>
      <c r="E29" s="67" t="str">
        <f aca="false">IF(AQ29="","",IF(AY29="Tidak dibuka","–",IF(INDEX('Reguler Class Availability'!$B:$B,AQ29)&amp;""="","Kosong",PROPER(INDEX('Reguler Class Availability'!$B:$B,AQ29)&amp;""))&amp;"  "&amp;IFERROR(--(INDEX('Reguler Class Availability'!$G:$G,AQ29)&amp;""),0)&amp;"/"&amp;IFERROR(--(INDEX('Reguler Class Availability'!$F:$F,AQ29)&amp;""),0)&amp;IF(IFERROR(--(INDEX('Reguler Class Availability'!$F:$F,AQ29)&amp;""),0)&gt;0,"  ("&amp;TEXT(IFERROR(--(INDEX('Reguler Class Availability'!$G:$G,AQ29)&amp;""),0)/IFERROR(--(INDEX('Reguler Class Availability'!$F:$F,AQ29)&amp;""),0),"0%")&amp;")","")&amp;CHAR(10)&amp;IF(INDEX('Reguler Class Availability'!$I:$I,AQ29)&amp;""="","coach: –",PROPER(INDEX('Reguler Class Availability'!$I:$I,AQ29)&amp;""))&amp;IF(INDEX('Reguler Class Availability'!$J:$J,AQ29)&amp;""="","",CHAR(10)&amp;"asst: "&amp;PROPER(INDEX('Reguler Class Availability'!$J:$J,AQ29)&amp;""))))</f>
        <v/>
      </c>
      <c r="F29" s="67" t="str">
        <f aca="false">IF(AR29="","",IF(AZ29="Tidak dibuka","–",IF(INDEX('Reguler Class Availability'!$B:$B,AR29)&amp;""="","Kosong",PROPER(INDEX('Reguler Class Availability'!$B:$B,AR29)&amp;""))&amp;"  "&amp;IFERROR(--(INDEX('Reguler Class Availability'!$G:$G,AR29)&amp;""),0)&amp;"/"&amp;IFERROR(--(INDEX('Reguler Class Availability'!$F:$F,AR29)&amp;""),0)&amp;IF(IFERROR(--(INDEX('Reguler Class Availability'!$F:$F,AR29)&amp;""),0)&gt;0,"  ("&amp;TEXT(IFERROR(--(INDEX('Reguler Class Availability'!$G:$G,AR29)&amp;""),0)/IFERROR(--(INDEX('Reguler Class Availability'!$F:$F,AR29)&amp;""),0),"0%")&amp;")","")&amp;CHAR(10)&amp;IF(INDEX('Reguler Class Availability'!$I:$I,AR29)&amp;""="","coach: –",PROPER(INDEX('Reguler Class Availability'!$I:$I,AR29)&amp;""))&amp;IF(INDEX('Reguler Class Availability'!$J:$J,AR29)&amp;""="","",CHAR(10)&amp;"asst: "&amp;PROPER(INDEX('Reguler Class Availability'!$J:$J,AR29)&amp;""))))</f>
        <v/>
      </c>
      <c r="G29" s="67" t="str">
        <f aca="false">IF(AS29="","",IF(BA29="Tidak dibuka","–",IF(INDEX('Reguler Class Availability'!$B:$B,AS29)&amp;""="","Kosong",PROPER(INDEX('Reguler Class Availability'!$B:$B,AS29)&amp;""))&amp;"  "&amp;IFERROR(--(INDEX('Reguler Class Availability'!$G:$G,AS29)&amp;""),0)&amp;"/"&amp;IFERROR(--(INDEX('Reguler Class Availability'!$F:$F,AS29)&amp;""),0)&amp;IF(IFERROR(--(INDEX('Reguler Class Availability'!$F:$F,AS29)&amp;""),0)&gt;0,"  ("&amp;TEXT(IFERROR(--(INDEX('Reguler Class Availability'!$G:$G,AS29)&amp;""),0)/IFERROR(--(INDEX('Reguler Class Availability'!$F:$F,AS29)&amp;""),0),"0%")&amp;")","")&amp;CHAR(10)&amp;IF(INDEX('Reguler Class Availability'!$I:$I,AS29)&amp;""="","coach: –",PROPER(INDEX('Reguler Class Availability'!$I:$I,AS29)&amp;""))&amp;IF(INDEX('Reguler Class Availability'!$J:$J,AS29)&amp;""="","",CHAR(10)&amp;"asst: "&amp;PROPER(INDEX('Reguler Class Availability'!$J:$J,AS29)&amp;""))))</f>
        <v/>
      </c>
      <c r="H29" s="67" t="str">
        <f aca="false">IF(AT29="","",IF(BB29="Tidak dibuka","–",IF(INDEX('Reguler Class Availability'!$B:$B,AT29)&amp;""="","Kosong",PROPER(INDEX('Reguler Class Availability'!$B:$B,AT29)&amp;""))&amp;"  "&amp;IFERROR(--(INDEX('Reguler Class Availability'!$G:$G,AT29)&amp;""),0)&amp;"/"&amp;IFERROR(--(INDEX('Reguler Class Availability'!$F:$F,AT29)&amp;""),0)&amp;IF(IFERROR(--(INDEX('Reguler Class Availability'!$F:$F,AT29)&amp;""),0)&gt;0,"  ("&amp;TEXT(IFERROR(--(INDEX('Reguler Class Availability'!$G:$G,AT29)&amp;""),0)/IFERROR(--(INDEX('Reguler Class Availability'!$F:$F,AT29)&amp;""),0),"0%")&amp;")","")&amp;CHAR(10)&amp;IF(INDEX('Reguler Class Availability'!$I:$I,AT29)&amp;""="","coach: –",PROPER(INDEX('Reguler Class Availability'!$I:$I,AT29)&amp;""))&amp;IF(INDEX('Reguler Class Availability'!$J:$J,AT29)&amp;""="","",CHAR(10)&amp;"asst: "&amp;PROPER(INDEX('Reguler Class Availability'!$J:$J,AT29)&amp;""))))</f>
        <v/>
      </c>
      <c r="AN29" s="0" t="str">
        <f aca="false">IF($A29="","",IFERROR(MATCH($B$4&amp;"|- Lane 1 - "&amp;B$13&amp;"|"&amp;$A29,'Reguler Class Availability'!$L:$L,0),""))</f>
        <v/>
      </c>
      <c r="AO29" s="0" t="str">
        <f aca="false">IF($A29="","",IFERROR(MATCH($B$4&amp;"|- Lane 1 - "&amp;C$13&amp;"|"&amp;$A29,'Reguler Class Availability'!$L:$L,0),""))</f>
        <v/>
      </c>
      <c r="AP29" s="0" t="str">
        <f aca="false">IF($A29="","",IFERROR(MATCH($B$4&amp;"|- Lane 1 - "&amp;D$13&amp;"|"&amp;$A29,'Reguler Class Availability'!$L:$L,0),""))</f>
        <v/>
      </c>
      <c r="AQ29" s="0" t="str">
        <f aca="false">IF($A29="","",IFERROR(MATCH($B$4&amp;"|- Lane 1 - "&amp;E$13&amp;"|"&amp;$A29,'Reguler Class Availability'!$L:$L,0),""))</f>
        <v/>
      </c>
      <c r="AR29" s="0" t="str">
        <f aca="false">IF($A29="","",IFERROR(MATCH($B$4&amp;"|- Lane 1 - "&amp;F$13&amp;"|"&amp;$A29,'Reguler Class Availability'!$L:$L,0),""))</f>
        <v/>
      </c>
      <c r="AS29" s="0" t="str">
        <f aca="false">IF($A29="","",IFERROR(MATCH($B$4&amp;"|- Lane 1 - "&amp;G$13&amp;"|"&amp;$A29,'Reguler Class Availability'!$L:$L,0),""))</f>
        <v/>
      </c>
      <c r="AT29" s="0" t="str">
        <f aca="false">IF($A29="","",IFERROR(MATCH($B$4&amp;"|- Lane 1 - "&amp;H$13&amp;"|"&amp;$A29,'Reguler Class Availability'!$L:$L,0),""))</f>
        <v/>
      </c>
      <c r="AV29" s="0" t="str">
        <f aca="false">IF(AN29="","",IF(AND(IFERROR(--(INDEX('Reguler Class Availability'!$F:$F,AN29)&amp;""),0)=0,IFERROR(--(INDEX('Reguler Class Availability'!$G:$G,AN29)&amp;""),0)=0),IF(OR(INDEX('Reguler Class Availability'!$B:$B,AN29)&amp;""&lt;&gt;"",INDEX('Reguler Class Availability'!$I:$I,AN29)&amp;""&lt;&gt;""),"Tutup","Tidak dibuka"),IF(IFERROR(--(INDEX('Reguler Class Availability'!$G:$G,AN29)&amp;""),0)&gt;IFERROR(--(INDEX('Reguler Class Availability'!$F:$F,AN29)&amp;""),0),"Lebih",IF(IFERROR(--(INDEX('Reguler Class Availability'!$G:$G,AN29)&amp;""),0)=IFERROR(--(INDEX('Reguler Class Availability'!$F:$F,AN29)&amp;""),0),"Penuh",IF(IFERROR(--(INDEX('Reguler Class Availability'!$G:$G,AN29)&amp;""),0)=0,IF(INDEX('Reguler Class Availability'!$B:$B,AN29)&amp;""="","Kosong","Belum terisi"),IF(IFERROR(--(INDEX('Reguler Class Availability'!$G:$G,AN29)&amp;""),0)/IFERROR(--(INDEX('Reguler Class Availability'!$F:$F,AN29)&amp;""),0)&gt;=0.6,"Tinggi","Sebagian"))))))</f>
        <v/>
      </c>
      <c r="AW29" s="0" t="str">
        <f aca="false">IF(AO29="","",IF(AND(IFERROR(--(INDEX('Reguler Class Availability'!$F:$F,AO29)&amp;""),0)=0,IFERROR(--(INDEX('Reguler Class Availability'!$G:$G,AO29)&amp;""),0)=0),IF(OR(INDEX('Reguler Class Availability'!$B:$B,AO29)&amp;""&lt;&gt;"",INDEX('Reguler Class Availability'!$I:$I,AO29)&amp;""&lt;&gt;""),"Tutup","Tidak dibuka"),IF(IFERROR(--(INDEX('Reguler Class Availability'!$G:$G,AO29)&amp;""),0)&gt;IFERROR(--(INDEX('Reguler Class Availability'!$F:$F,AO29)&amp;""),0),"Lebih",IF(IFERROR(--(INDEX('Reguler Class Availability'!$G:$G,AO29)&amp;""),0)=IFERROR(--(INDEX('Reguler Class Availability'!$F:$F,AO29)&amp;""),0),"Penuh",IF(IFERROR(--(INDEX('Reguler Class Availability'!$G:$G,AO29)&amp;""),0)=0,IF(INDEX('Reguler Class Availability'!$B:$B,AO29)&amp;""="","Kosong","Belum terisi"),IF(IFERROR(--(INDEX('Reguler Class Availability'!$G:$G,AO29)&amp;""),0)/IFERROR(--(INDEX('Reguler Class Availability'!$F:$F,AO29)&amp;""),0)&gt;=0.6,"Tinggi","Sebagian"))))))</f>
        <v/>
      </c>
      <c r="AX29" s="0" t="str">
        <f aca="false">IF(AP29="","",IF(AND(IFERROR(--(INDEX('Reguler Class Availability'!$F:$F,AP29)&amp;""),0)=0,IFERROR(--(INDEX('Reguler Class Availability'!$G:$G,AP29)&amp;""),0)=0),IF(OR(INDEX('Reguler Class Availability'!$B:$B,AP29)&amp;""&lt;&gt;"",INDEX('Reguler Class Availability'!$I:$I,AP29)&amp;""&lt;&gt;""),"Tutup","Tidak dibuka"),IF(IFERROR(--(INDEX('Reguler Class Availability'!$G:$G,AP29)&amp;""),0)&gt;IFERROR(--(INDEX('Reguler Class Availability'!$F:$F,AP29)&amp;""),0),"Lebih",IF(IFERROR(--(INDEX('Reguler Class Availability'!$G:$G,AP29)&amp;""),0)=IFERROR(--(INDEX('Reguler Class Availability'!$F:$F,AP29)&amp;""),0),"Penuh",IF(IFERROR(--(INDEX('Reguler Class Availability'!$G:$G,AP29)&amp;""),0)=0,IF(INDEX('Reguler Class Availability'!$B:$B,AP29)&amp;""="","Kosong","Belum terisi"),IF(IFERROR(--(INDEX('Reguler Class Availability'!$G:$G,AP29)&amp;""),0)/IFERROR(--(INDEX('Reguler Class Availability'!$F:$F,AP29)&amp;""),0)&gt;=0.6,"Tinggi","Sebagian"))))))</f>
        <v/>
      </c>
      <c r="AY29" s="0" t="str">
        <f aca="false">IF(AQ29="","",IF(AND(IFERROR(--(INDEX('Reguler Class Availability'!$F:$F,AQ29)&amp;""),0)=0,IFERROR(--(INDEX('Reguler Class Availability'!$G:$G,AQ29)&amp;""),0)=0),IF(OR(INDEX('Reguler Class Availability'!$B:$B,AQ29)&amp;""&lt;&gt;"",INDEX('Reguler Class Availability'!$I:$I,AQ29)&amp;""&lt;&gt;""),"Tutup","Tidak dibuka"),IF(IFERROR(--(INDEX('Reguler Class Availability'!$G:$G,AQ29)&amp;""),0)&gt;IFERROR(--(INDEX('Reguler Class Availability'!$F:$F,AQ29)&amp;""),0),"Lebih",IF(IFERROR(--(INDEX('Reguler Class Availability'!$G:$G,AQ29)&amp;""),0)=IFERROR(--(INDEX('Reguler Class Availability'!$F:$F,AQ29)&amp;""),0),"Penuh",IF(IFERROR(--(INDEX('Reguler Class Availability'!$G:$G,AQ29)&amp;""),0)=0,IF(INDEX('Reguler Class Availability'!$B:$B,AQ29)&amp;""="","Kosong","Belum terisi"),IF(IFERROR(--(INDEX('Reguler Class Availability'!$G:$G,AQ29)&amp;""),0)/IFERROR(--(INDEX('Reguler Class Availability'!$F:$F,AQ29)&amp;""),0)&gt;=0.6,"Tinggi","Sebagian"))))))</f>
        <v/>
      </c>
      <c r="AZ29" s="0" t="str">
        <f aca="false">IF(AR29="","",IF(AND(IFERROR(--(INDEX('Reguler Class Availability'!$F:$F,AR29)&amp;""),0)=0,IFERROR(--(INDEX('Reguler Class Availability'!$G:$G,AR29)&amp;""),0)=0),IF(OR(INDEX('Reguler Class Availability'!$B:$B,AR29)&amp;""&lt;&gt;"",INDEX('Reguler Class Availability'!$I:$I,AR29)&amp;""&lt;&gt;""),"Tutup","Tidak dibuka"),IF(IFERROR(--(INDEX('Reguler Class Availability'!$G:$G,AR29)&amp;""),0)&gt;IFERROR(--(INDEX('Reguler Class Availability'!$F:$F,AR29)&amp;""),0),"Lebih",IF(IFERROR(--(INDEX('Reguler Class Availability'!$G:$G,AR29)&amp;""),0)=IFERROR(--(INDEX('Reguler Class Availability'!$F:$F,AR29)&amp;""),0),"Penuh",IF(IFERROR(--(INDEX('Reguler Class Availability'!$G:$G,AR29)&amp;""),0)=0,IF(INDEX('Reguler Class Availability'!$B:$B,AR29)&amp;""="","Kosong","Belum terisi"),IF(IFERROR(--(INDEX('Reguler Class Availability'!$G:$G,AR29)&amp;""),0)/IFERROR(--(INDEX('Reguler Class Availability'!$F:$F,AR29)&amp;""),0)&gt;=0.6,"Tinggi","Sebagian"))))))</f>
        <v/>
      </c>
      <c r="BA29" s="0" t="str">
        <f aca="false">IF(AS29="","",IF(AND(IFERROR(--(INDEX('Reguler Class Availability'!$F:$F,AS29)&amp;""),0)=0,IFERROR(--(INDEX('Reguler Class Availability'!$G:$G,AS29)&amp;""),0)=0),IF(OR(INDEX('Reguler Class Availability'!$B:$B,AS29)&amp;""&lt;&gt;"",INDEX('Reguler Class Availability'!$I:$I,AS29)&amp;""&lt;&gt;""),"Tutup","Tidak dibuka"),IF(IFERROR(--(INDEX('Reguler Class Availability'!$G:$G,AS29)&amp;""),0)&gt;IFERROR(--(INDEX('Reguler Class Availability'!$F:$F,AS29)&amp;""),0),"Lebih",IF(IFERROR(--(INDEX('Reguler Class Availability'!$G:$G,AS29)&amp;""),0)=IFERROR(--(INDEX('Reguler Class Availability'!$F:$F,AS29)&amp;""),0),"Penuh",IF(IFERROR(--(INDEX('Reguler Class Availability'!$G:$G,AS29)&amp;""),0)=0,IF(INDEX('Reguler Class Availability'!$B:$B,AS29)&amp;""="","Kosong","Belum terisi"),IF(IFERROR(--(INDEX('Reguler Class Availability'!$G:$G,AS29)&amp;""),0)/IFERROR(--(INDEX('Reguler Class Availability'!$F:$F,AS29)&amp;""),0)&gt;=0.6,"Tinggi","Sebagian"))))))</f>
        <v/>
      </c>
      <c r="BB29" s="0" t="str">
        <f aca="false">IF(AT29="","",IF(AND(IFERROR(--(INDEX('Reguler Class Availability'!$F:$F,AT29)&amp;""),0)=0,IFERROR(--(INDEX('Reguler Class Availability'!$G:$G,AT29)&amp;""),0)=0),IF(OR(INDEX('Reguler Class Availability'!$B:$B,AT29)&amp;""&lt;&gt;"",INDEX('Reguler Class Availability'!$I:$I,AT29)&amp;""&lt;&gt;""),"Tutup","Tidak dibuka"),IF(IFERROR(--(INDEX('Reguler Class Availability'!$G:$G,AT29)&amp;""),0)&gt;IFERROR(--(INDEX('Reguler Class Availability'!$F:$F,AT29)&amp;""),0),"Lebih",IF(IFERROR(--(INDEX('Reguler Class Availability'!$G:$G,AT29)&amp;""),0)=IFERROR(--(INDEX('Reguler Class Availability'!$F:$F,AT29)&amp;""),0),"Penuh",IF(IFERROR(--(INDEX('Reguler Class Availability'!$G:$G,AT29)&amp;""),0)=0,IF(INDEX('Reguler Class Availability'!$B:$B,AT29)&amp;""="","Kosong","Belum terisi"),IF(IFERROR(--(INDEX('Reguler Class Availability'!$G:$G,AT29)&amp;""),0)/IFERROR(--(INDEX('Reguler Class Availability'!$F:$F,AT29)&amp;""),0)&gt;=0.6,"Tinggi","Sebagian"))))))</f>
        <v/>
      </c>
      <c r="BD29" s="30" t="s">
        <v>136</v>
      </c>
      <c r="BE29" s="30" t="n">
        <f aca="false">IF(COUNTIFS('Reguler Class Availability'!$L:$L,$B$4&amp;"|- Lane 1 - *|"&amp;BD29)&gt;0,1,0)</f>
        <v>0</v>
      </c>
      <c r="BF29" s="30" t="n">
        <f aca="false">BE29+BF28</f>
        <v>7</v>
      </c>
    </row>
    <row r="30" customFormat="false" ht="15" hidden="false" customHeight="false" outlineLevel="0" collapsed="false">
      <c r="A30" s="68" t="s">
        <v>137</v>
      </c>
      <c r="B30" s="69" t="str">
        <f aca="false">IFERROR(TEXT(SUMIFS('Reguler Class Availability'!$G:$G,'Reguler Class Availability'!$A:$A,$B$4,'Reguler Class Availability'!$C:$C,"- Lane 1 - "&amp;B$13,'Reguler Class Availability'!$F:$F,"&gt;0")/SUMIFS('Reguler Class Availability'!$F:$F,'Reguler Class Availability'!$A:$A,$B$4,'Reguler Class Availability'!$C:$C,"- Lane 1 - "&amp;B$13,'Reguler Class Availability'!$F:$F,"&gt;0"),"0%"),"–")</f>
        <v>0%</v>
      </c>
      <c r="C30" s="69" t="str">
        <f aca="false">IFERROR(TEXT(SUMIFS('Reguler Class Availability'!$G:$G,'Reguler Class Availability'!$A:$A,$B$4,'Reguler Class Availability'!$C:$C,"- Lane 1 - "&amp;C$13,'Reguler Class Availability'!$F:$F,"&gt;0")/SUMIFS('Reguler Class Availability'!$F:$F,'Reguler Class Availability'!$A:$A,$B$4,'Reguler Class Availability'!$C:$C,"- Lane 1 - "&amp;C$13,'Reguler Class Availability'!$F:$F,"&gt;0"),"0%"),"–")</f>
        <v>1%</v>
      </c>
      <c r="D30" s="69" t="str">
        <f aca="false">IFERROR(TEXT(SUMIFS('Reguler Class Availability'!$G:$G,'Reguler Class Availability'!$A:$A,$B$4,'Reguler Class Availability'!$C:$C,"- Lane 1 - "&amp;D$13,'Reguler Class Availability'!$F:$F,"&gt;0")/SUMIFS('Reguler Class Availability'!$F:$F,'Reguler Class Availability'!$A:$A,$B$4,'Reguler Class Availability'!$C:$C,"- Lane 1 - "&amp;D$13,'Reguler Class Availability'!$F:$F,"&gt;0"),"0%"),"–")</f>
        <v>3%</v>
      </c>
      <c r="E30" s="69" t="str">
        <f aca="false">IFERROR(TEXT(SUMIFS('Reguler Class Availability'!$G:$G,'Reguler Class Availability'!$A:$A,$B$4,'Reguler Class Availability'!$C:$C,"- Lane 1 - "&amp;E$13,'Reguler Class Availability'!$F:$F,"&gt;0")/SUMIFS('Reguler Class Availability'!$F:$F,'Reguler Class Availability'!$A:$A,$B$4,'Reguler Class Availability'!$C:$C,"- Lane 1 - "&amp;E$13,'Reguler Class Availability'!$F:$F,"&gt;0"),"0%"),"–")</f>
        <v>1%</v>
      </c>
      <c r="F30" s="69" t="str">
        <f aca="false">IFERROR(TEXT(SUMIFS('Reguler Class Availability'!$G:$G,'Reguler Class Availability'!$A:$A,$B$4,'Reguler Class Availability'!$C:$C,"- Lane 1 - "&amp;F$13,'Reguler Class Availability'!$F:$F,"&gt;0")/SUMIFS('Reguler Class Availability'!$F:$F,'Reguler Class Availability'!$A:$A,$B$4,'Reguler Class Availability'!$C:$C,"- Lane 1 - "&amp;F$13,'Reguler Class Availability'!$F:$F,"&gt;0"),"0%"),"–")</f>
        <v>4%</v>
      </c>
      <c r="G30" s="69" t="str">
        <f aca="false">IFERROR(TEXT(SUMIFS('Reguler Class Availability'!$G:$G,'Reguler Class Availability'!$A:$A,$B$4,'Reguler Class Availability'!$C:$C,"- Lane 1 - "&amp;G$13,'Reguler Class Availability'!$F:$F,"&gt;0")/SUMIFS('Reguler Class Availability'!$F:$F,'Reguler Class Availability'!$A:$A,$B$4,'Reguler Class Availability'!$C:$C,"- Lane 1 - "&amp;G$13,'Reguler Class Availability'!$F:$F,"&gt;0"),"0%"),"–")</f>
        <v>12%</v>
      </c>
      <c r="H30" s="69" t="str">
        <f aca="false">IFERROR(TEXT(SUMIFS('Reguler Class Availability'!$G:$G,'Reguler Class Availability'!$A:$A,$B$4,'Reguler Class Availability'!$C:$C,"- Lane 1 - "&amp;H$13,'Reguler Class Availability'!$F:$F,"&gt;0")/SUMIFS('Reguler Class Availability'!$F:$F,'Reguler Class Availability'!$A:$A,$B$4,'Reguler Class Availability'!$C:$C,"- Lane 1 - "&amp;H$13,'Reguler Class Availability'!$F:$F,"&gt;0"),"0%"),"–")</f>
        <v>8%</v>
      </c>
      <c r="BD30" s="30" t="s">
        <v>138</v>
      </c>
      <c r="BE30" s="30" t="n">
        <f aca="false">IF(COUNTIFS('Reguler Class Availability'!$L:$L,$B$4&amp;"|- Lane 1 - *|"&amp;BD30)&gt;0,1,0)</f>
        <v>0</v>
      </c>
      <c r="BF30" s="30" t="n">
        <f aca="false">BE30+BF29</f>
        <v>7</v>
      </c>
    </row>
    <row r="31" customFormat="false" ht="15" hidden="false" customHeight="false" outlineLevel="0" collapsed="false">
      <c r="BD31" s="0" t="s">
        <v>139</v>
      </c>
      <c r="BE31" s="0" t="n">
        <f aca="false">IF(COUNTIFS('Reguler Class Availability'!$L:$L,$B$4&amp;"|- Lane 1 - *|"&amp;BD31)&gt;0,1,0)</f>
        <v>1</v>
      </c>
      <c r="BF31" s="0" t="n">
        <f aca="false">BE31+BF30</f>
        <v>8</v>
      </c>
    </row>
    <row r="32" customFormat="false" ht="15" hidden="false" customHeight="false" outlineLevel="0" collapsed="false">
      <c r="A32" s="61" t="s">
        <v>140</v>
      </c>
      <c r="B32" s="62"/>
      <c r="C32" s="63" t="str">
        <f aca="false">"Utilisasi lane: "&amp;IFERROR(TEXT(SUMIFS('Reguler Class Availability'!$G:$G,'Reguler Class Availability'!$A:$A,$B$4,'Reguler Class Availability'!$C:$C,"- Lane 2 - *",'Reguler Class Availability'!$F:$F,"&gt;0")/SUMIFS('Reguler Class Availability'!$F:$F,'Reguler Class Availability'!$A:$A,$B$4,'Reguler Class Availability'!$C:$C,"- Lane 2 - *",'Reguler Class Availability'!$F:$F,"&gt;0"),"0%"),"–")&amp;"   ·   Belum terisi: "&amp;COUNTIF($AV$34:$BB$47,"Belum terisi")&amp;"   ·   Slot kosong: "&amp;COUNTIF($AV$34:$BB$47,"Kosong")</f>
        <v>Utilisasi lane: 7%   ·   Belum terisi: 66   ·   Slot kosong: 0</v>
      </c>
      <c r="D32" s="62"/>
      <c r="E32" s="62"/>
      <c r="F32" s="62"/>
      <c r="G32" s="62"/>
      <c r="H32" s="62"/>
      <c r="BD32" s="30" t="s">
        <v>141</v>
      </c>
      <c r="BE32" s="30" t="n">
        <f aca="false">IF(COUNTIFS('Reguler Class Availability'!$L:$L,$B$4&amp;"|- Lane 1 - *|"&amp;BD32)&gt;0,1,0)</f>
        <v>0</v>
      </c>
      <c r="BF32" s="30" t="n">
        <f aca="false">BE32+BF31</f>
        <v>8</v>
      </c>
    </row>
    <row r="33" customFormat="false" ht="15" hidden="false" customHeight="false" outlineLevel="0" collapsed="false">
      <c r="A33" s="64" t="s">
        <v>113</v>
      </c>
      <c r="B33" s="65" t="s">
        <v>114</v>
      </c>
      <c r="C33" s="65" t="s">
        <v>115</v>
      </c>
      <c r="D33" s="65" t="s">
        <v>116</v>
      </c>
      <c r="E33" s="65" t="s">
        <v>117</v>
      </c>
      <c r="F33" s="65" t="s">
        <v>118</v>
      </c>
      <c r="G33" s="65" t="s">
        <v>119</v>
      </c>
      <c r="H33" s="65" t="s">
        <v>80</v>
      </c>
      <c r="BD33" s="30" t="s">
        <v>142</v>
      </c>
      <c r="BE33" s="30" t="n">
        <f aca="false">IF(COUNTIFS('Reguler Class Availability'!$L:$L,$B$4&amp;"|- Lane 1 - *|"&amp;BD33)&gt;0,1,0)</f>
        <v>0</v>
      </c>
      <c r="BF33" s="30" t="n">
        <f aca="false">BE33+BF32</f>
        <v>8</v>
      </c>
    </row>
    <row r="34" customFormat="false" ht="39.75" hidden="false" customHeight="true" outlineLevel="0" collapsed="false">
      <c r="A34" s="66" t="str">
        <f aca="false">IFERROR(INDEX($BD$62:$BD$121,MATCH(1,$BF$62:$BF$121,0)),"")</f>
        <v>08:00</v>
      </c>
      <c r="B34" s="67" t="str">
        <f aca="false">IF(AN34="","",IF(AV34="Tidak dibuka","–",IF(INDEX('Reguler Class Availability'!$B:$B,AN34)&amp;""="","Kosong",PROPER(INDEX('Reguler Class Availability'!$B:$B,AN34)&amp;""))&amp;"  "&amp;IFERROR(--(INDEX('Reguler Class Availability'!$G:$G,AN34)&amp;""),0)&amp;"/"&amp;IFERROR(--(INDEX('Reguler Class Availability'!$F:$F,AN34)&amp;""),0)&amp;IF(IFERROR(--(INDEX('Reguler Class Availability'!$F:$F,AN34)&amp;""),0)&gt;0,"  ("&amp;TEXT(IFERROR(--(INDEX('Reguler Class Availability'!$G:$G,AN34)&amp;""),0)/IFERROR(--(INDEX('Reguler Class Availability'!$F:$F,AN34)&amp;""),0),"0%")&amp;")","")&amp;CHAR(10)&amp;IF(INDEX('Reguler Class Availability'!$I:$I,AN34)&amp;""="","coach: –",PROPER(INDEX('Reguler Class Availability'!$I:$I,AN34)&amp;""))&amp;IF(INDEX('Reguler Class Availability'!$J:$J,AN34)&amp;""="","",CHAR(10)&amp;"asst: "&amp;PROPER(INDEX('Reguler Class Availability'!$J:$J,AN34)&amp;""))))</f>
        <v>Tiny  0/5  (0%)
coach: –</v>
      </c>
      <c r="C34" s="67" t="str">
        <f aca="false">IF(AO34="","",IF(AW34="Tidak dibuka","–",IF(INDEX('Reguler Class Availability'!$B:$B,AO34)&amp;""="","Kosong",PROPER(INDEX('Reguler Class Availability'!$B:$B,AO34)&amp;""))&amp;"  "&amp;IFERROR(--(INDEX('Reguler Class Availability'!$G:$G,AO34)&amp;""),0)&amp;"/"&amp;IFERROR(--(INDEX('Reguler Class Availability'!$F:$F,AO34)&amp;""),0)&amp;IF(IFERROR(--(INDEX('Reguler Class Availability'!$F:$F,AO34)&amp;""),0)&gt;0,"  ("&amp;TEXT(IFERROR(--(INDEX('Reguler Class Availability'!$G:$G,AO34)&amp;""),0)/IFERROR(--(INDEX('Reguler Class Availability'!$F:$F,AO34)&amp;""),0),"0%")&amp;")","")&amp;CHAR(10)&amp;IF(INDEX('Reguler Class Availability'!$I:$I,AO34)&amp;""="","coach: –",PROPER(INDEX('Reguler Class Availability'!$I:$I,AO34)&amp;""))&amp;IF(INDEX('Reguler Class Availability'!$J:$J,AO34)&amp;""="","",CHAR(10)&amp;"asst: "&amp;PROPER(INDEX('Reguler Class Availability'!$J:$J,AO34)&amp;""))))</f>
        <v>Tiny  0/5  (0%)
coach: –</v>
      </c>
      <c r="D34" s="67" t="str">
        <f aca="false">IF(AP34="","",IF(AX34="Tidak dibuka","–",IF(INDEX('Reguler Class Availability'!$B:$B,AP34)&amp;""="","Kosong",PROPER(INDEX('Reguler Class Availability'!$B:$B,AP34)&amp;""))&amp;"  "&amp;IFERROR(--(INDEX('Reguler Class Availability'!$G:$G,AP34)&amp;""),0)&amp;"/"&amp;IFERROR(--(INDEX('Reguler Class Availability'!$F:$F,AP34)&amp;""),0)&amp;IF(IFERROR(--(INDEX('Reguler Class Availability'!$F:$F,AP34)&amp;""),0)&gt;0,"  ("&amp;TEXT(IFERROR(--(INDEX('Reguler Class Availability'!$G:$G,AP34)&amp;""),0)/IFERROR(--(INDEX('Reguler Class Availability'!$F:$F,AP34)&amp;""),0),"0%")&amp;")","")&amp;CHAR(10)&amp;IF(INDEX('Reguler Class Availability'!$I:$I,AP34)&amp;""="","coach: –",PROPER(INDEX('Reguler Class Availability'!$I:$I,AP34)&amp;""))&amp;IF(INDEX('Reguler Class Availability'!$J:$J,AP34)&amp;""="","",CHAR(10)&amp;"asst: "&amp;PROPER(INDEX('Reguler Class Availability'!$J:$J,AP34)&amp;""))))</f>
        <v>Tiny  0/5  (0%)
coach: –</v>
      </c>
      <c r="E34" s="67" t="str">
        <f aca="false">IF(AQ34="","",IF(AY34="Tidak dibuka","–",IF(INDEX('Reguler Class Availability'!$B:$B,AQ34)&amp;""="","Kosong",PROPER(INDEX('Reguler Class Availability'!$B:$B,AQ34)&amp;""))&amp;"  "&amp;IFERROR(--(INDEX('Reguler Class Availability'!$G:$G,AQ34)&amp;""),0)&amp;"/"&amp;IFERROR(--(INDEX('Reguler Class Availability'!$F:$F,AQ34)&amp;""),0)&amp;IF(IFERROR(--(INDEX('Reguler Class Availability'!$F:$F,AQ34)&amp;""),0)&gt;0,"  ("&amp;TEXT(IFERROR(--(INDEX('Reguler Class Availability'!$G:$G,AQ34)&amp;""),0)/IFERROR(--(INDEX('Reguler Class Availability'!$F:$F,AQ34)&amp;""),0),"0%")&amp;")","")&amp;CHAR(10)&amp;IF(INDEX('Reguler Class Availability'!$I:$I,AQ34)&amp;""="","coach: –",PROPER(INDEX('Reguler Class Availability'!$I:$I,AQ34)&amp;""))&amp;IF(INDEX('Reguler Class Availability'!$J:$J,AQ34)&amp;""="","",CHAR(10)&amp;"asst: "&amp;PROPER(INDEX('Reguler Class Availability'!$J:$J,AQ34)&amp;""))))</f>
        <v>Tiny  0/5  (0%)
coach: –</v>
      </c>
      <c r="F34" s="67" t="str">
        <f aca="false">IF(AR34="","",IF(AZ34="Tidak dibuka","–",IF(INDEX('Reguler Class Availability'!$B:$B,AR34)&amp;""="","Kosong",PROPER(INDEX('Reguler Class Availability'!$B:$B,AR34)&amp;""))&amp;"  "&amp;IFERROR(--(INDEX('Reguler Class Availability'!$G:$G,AR34)&amp;""),0)&amp;"/"&amp;IFERROR(--(INDEX('Reguler Class Availability'!$F:$F,AR34)&amp;""),0)&amp;IF(IFERROR(--(INDEX('Reguler Class Availability'!$F:$F,AR34)&amp;""),0)&gt;0,"  ("&amp;TEXT(IFERROR(--(INDEX('Reguler Class Availability'!$G:$G,AR34)&amp;""),0)/IFERROR(--(INDEX('Reguler Class Availability'!$F:$F,AR34)&amp;""),0),"0%")&amp;")","")&amp;CHAR(10)&amp;IF(INDEX('Reguler Class Availability'!$I:$I,AR34)&amp;""="","coach: –",PROPER(INDEX('Reguler Class Availability'!$I:$I,AR34)&amp;""))&amp;IF(INDEX('Reguler Class Availability'!$J:$J,AR34)&amp;""="","",CHAR(10)&amp;"asst: "&amp;PROPER(INDEX('Reguler Class Availability'!$J:$J,AR34)&amp;""))))</f>
        <v>Tiny  0/5  (0%)
coach: –</v>
      </c>
      <c r="G34" s="67" t="str">
        <f aca="false">IF(AS34="","",IF(BA34="Tidak dibuka","–",IF(INDEX('Reguler Class Availability'!$B:$B,AS34)&amp;""="","Kosong",PROPER(INDEX('Reguler Class Availability'!$B:$B,AS34)&amp;""))&amp;"  "&amp;IFERROR(--(INDEX('Reguler Class Availability'!$G:$G,AS34)&amp;""),0)&amp;"/"&amp;IFERROR(--(INDEX('Reguler Class Availability'!$F:$F,AS34)&amp;""),0)&amp;IF(IFERROR(--(INDEX('Reguler Class Availability'!$F:$F,AS34)&amp;""),0)&gt;0,"  ("&amp;TEXT(IFERROR(--(INDEX('Reguler Class Availability'!$G:$G,AS34)&amp;""),0)/IFERROR(--(INDEX('Reguler Class Availability'!$F:$F,AS34)&amp;""),0),"0%")&amp;")","")&amp;CHAR(10)&amp;IF(INDEX('Reguler Class Availability'!$I:$I,AS34)&amp;""="","coach: –",PROPER(INDEX('Reguler Class Availability'!$I:$I,AS34)&amp;""))&amp;IF(INDEX('Reguler Class Availability'!$J:$J,AS34)&amp;""="","",CHAR(10)&amp;"asst: "&amp;PROPER(INDEX('Reguler Class Availability'!$J:$J,AS34)&amp;""))))</f>
        <v>Tiny  0/5  (0%)
coach: –</v>
      </c>
      <c r="H34" s="67" t="str">
        <f aca="false">IF(AT34="","",IF(BB34="Tidak dibuka","–",IF(INDEX('Reguler Class Availability'!$B:$B,AT34)&amp;""="","Kosong",PROPER(INDEX('Reguler Class Availability'!$B:$B,AT34)&amp;""))&amp;"  "&amp;IFERROR(--(INDEX('Reguler Class Availability'!$G:$G,AT34)&amp;""),0)&amp;"/"&amp;IFERROR(--(INDEX('Reguler Class Availability'!$F:$F,AT34)&amp;""),0)&amp;IF(IFERROR(--(INDEX('Reguler Class Availability'!$F:$F,AT34)&amp;""),0)&gt;0,"  ("&amp;TEXT(IFERROR(--(INDEX('Reguler Class Availability'!$G:$G,AT34)&amp;""),0)/IFERROR(--(INDEX('Reguler Class Availability'!$F:$F,AT34)&amp;""),0),"0%")&amp;")","")&amp;CHAR(10)&amp;IF(INDEX('Reguler Class Availability'!$I:$I,AT34)&amp;""="","coach: –",PROPER(INDEX('Reguler Class Availability'!$I:$I,AT34)&amp;""))&amp;IF(INDEX('Reguler Class Availability'!$J:$J,AT34)&amp;""="","",CHAR(10)&amp;"asst: "&amp;PROPER(INDEX('Reguler Class Availability'!$J:$J,AT34)&amp;""))))</f>
        <v>Tiny  0/5  (0%)
coach: –</v>
      </c>
      <c r="AN34" s="30" t="n">
        <f aca="false">IF($A34="","",IFERROR(MATCH($B$4&amp;"|- Lane 2 - "&amp;B$33&amp;"|"&amp;$A34,'Reguler Class Availability'!$L:$L,0),""))</f>
        <v>2508</v>
      </c>
      <c r="AO34" s="30" t="n">
        <f aca="false">IF($A34="","",IFERROR(MATCH($B$4&amp;"|- Lane 2 - "&amp;C$33&amp;"|"&amp;$A34,'Reguler Class Availability'!$L:$L,0),""))</f>
        <v>2520</v>
      </c>
      <c r="AP34" s="30" t="n">
        <f aca="false">IF($A34="","",IFERROR(MATCH($B$4&amp;"|- Lane 2 - "&amp;D$33&amp;"|"&amp;$A34,'Reguler Class Availability'!$L:$L,0),""))</f>
        <v>2532</v>
      </c>
      <c r="AQ34" s="30" t="n">
        <f aca="false">IF($A34="","",IFERROR(MATCH($B$4&amp;"|- Lane 2 - "&amp;E$33&amp;"|"&amp;$A34,'Reguler Class Availability'!$L:$L,0),""))</f>
        <v>2544</v>
      </c>
      <c r="AR34" s="30" t="n">
        <f aca="false">IF($A34="","",IFERROR(MATCH($B$4&amp;"|- Lane 2 - "&amp;F$33&amp;"|"&amp;$A34,'Reguler Class Availability'!$L:$L,0),""))</f>
        <v>2556</v>
      </c>
      <c r="AS34" s="30" t="n">
        <f aca="false">IF($A34="","",IFERROR(MATCH($B$4&amp;"|- Lane 2 - "&amp;G$33&amp;"|"&amp;$A34,'Reguler Class Availability'!$L:$L,0),""))</f>
        <v>2568</v>
      </c>
      <c r="AT34" s="30" t="n">
        <f aca="false">IF($A34="","",IFERROR(MATCH($B$4&amp;"|- Lane 2 - "&amp;H$33&amp;"|"&amp;$A34,'Reguler Class Availability'!$L:$L,0),""))</f>
        <v>2580</v>
      </c>
      <c r="AV34" s="0" t="str">
        <f aca="false">IF(AN34="","",IF(AND(IFERROR(--(INDEX('Reguler Class Availability'!$F:$F,AN34)&amp;""),0)=0,IFERROR(--(INDEX('Reguler Class Availability'!$G:$G,AN34)&amp;""),0)=0),IF(OR(INDEX('Reguler Class Availability'!$B:$B,AN34)&amp;""&lt;&gt;"",INDEX('Reguler Class Availability'!$I:$I,AN34)&amp;""&lt;&gt;""),"Tutup","Tidak dibuka"),IF(IFERROR(--(INDEX('Reguler Class Availability'!$G:$G,AN34)&amp;""),0)&gt;IFERROR(--(INDEX('Reguler Class Availability'!$F:$F,AN34)&amp;""),0),"Lebih",IF(IFERROR(--(INDEX('Reguler Class Availability'!$G:$G,AN34)&amp;""),0)=IFERROR(--(INDEX('Reguler Class Availability'!$F:$F,AN34)&amp;""),0),"Penuh",IF(IFERROR(--(INDEX('Reguler Class Availability'!$G:$G,AN34)&amp;""),0)=0,IF(INDEX('Reguler Class Availability'!$B:$B,AN34)&amp;""="","Kosong","Belum terisi"),IF(IFERROR(--(INDEX('Reguler Class Availability'!$G:$G,AN34)&amp;""),0)/IFERROR(--(INDEX('Reguler Class Availability'!$F:$F,AN34)&amp;""),0)&gt;=0.6,"Tinggi","Sebagian"))))))</f>
        <v>Belum terisi</v>
      </c>
      <c r="AW34" s="0" t="str">
        <f aca="false">IF(AO34="","",IF(AND(IFERROR(--(INDEX('Reguler Class Availability'!$F:$F,AO34)&amp;""),0)=0,IFERROR(--(INDEX('Reguler Class Availability'!$G:$G,AO34)&amp;""),0)=0),IF(OR(INDEX('Reguler Class Availability'!$B:$B,AO34)&amp;""&lt;&gt;"",INDEX('Reguler Class Availability'!$I:$I,AO34)&amp;""&lt;&gt;""),"Tutup","Tidak dibuka"),IF(IFERROR(--(INDEX('Reguler Class Availability'!$G:$G,AO34)&amp;""),0)&gt;IFERROR(--(INDEX('Reguler Class Availability'!$F:$F,AO34)&amp;""),0),"Lebih",IF(IFERROR(--(INDEX('Reguler Class Availability'!$G:$G,AO34)&amp;""),0)=IFERROR(--(INDEX('Reguler Class Availability'!$F:$F,AO34)&amp;""),0),"Penuh",IF(IFERROR(--(INDEX('Reguler Class Availability'!$G:$G,AO34)&amp;""),0)=0,IF(INDEX('Reguler Class Availability'!$B:$B,AO34)&amp;""="","Kosong","Belum terisi"),IF(IFERROR(--(INDEX('Reguler Class Availability'!$G:$G,AO34)&amp;""),0)/IFERROR(--(INDEX('Reguler Class Availability'!$F:$F,AO34)&amp;""),0)&gt;=0.6,"Tinggi","Sebagian"))))))</f>
        <v>Belum terisi</v>
      </c>
      <c r="AX34" s="0" t="str">
        <f aca="false">IF(AP34="","",IF(AND(IFERROR(--(INDEX('Reguler Class Availability'!$F:$F,AP34)&amp;""),0)=0,IFERROR(--(INDEX('Reguler Class Availability'!$G:$G,AP34)&amp;""),0)=0),IF(OR(INDEX('Reguler Class Availability'!$B:$B,AP34)&amp;""&lt;&gt;"",INDEX('Reguler Class Availability'!$I:$I,AP34)&amp;""&lt;&gt;""),"Tutup","Tidak dibuka"),IF(IFERROR(--(INDEX('Reguler Class Availability'!$G:$G,AP34)&amp;""),0)&gt;IFERROR(--(INDEX('Reguler Class Availability'!$F:$F,AP34)&amp;""),0),"Lebih",IF(IFERROR(--(INDEX('Reguler Class Availability'!$G:$G,AP34)&amp;""),0)=IFERROR(--(INDEX('Reguler Class Availability'!$F:$F,AP34)&amp;""),0),"Penuh",IF(IFERROR(--(INDEX('Reguler Class Availability'!$G:$G,AP34)&amp;""),0)=0,IF(INDEX('Reguler Class Availability'!$B:$B,AP34)&amp;""="","Kosong","Belum terisi"),IF(IFERROR(--(INDEX('Reguler Class Availability'!$G:$G,AP34)&amp;""),0)/IFERROR(--(INDEX('Reguler Class Availability'!$F:$F,AP34)&amp;""),0)&gt;=0.6,"Tinggi","Sebagian"))))))</f>
        <v>Belum terisi</v>
      </c>
      <c r="AY34" s="0" t="str">
        <f aca="false">IF(AQ34="","",IF(AND(IFERROR(--(INDEX('Reguler Class Availability'!$F:$F,AQ34)&amp;""),0)=0,IFERROR(--(INDEX('Reguler Class Availability'!$G:$G,AQ34)&amp;""),0)=0),IF(OR(INDEX('Reguler Class Availability'!$B:$B,AQ34)&amp;""&lt;&gt;"",INDEX('Reguler Class Availability'!$I:$I,AQ34)&amp;""&lt;&gt;""),"Tutup","Tidak dibuka"),IF(IFERROR(--(INDEX('Reguler Class Availability'!$G:$G,AQ34)&amp;""),0)&gt;IFERROR(--(INDEX('Reguler Class Availability'!$F:$F,AQ34)&amp;""),0),"Lebih",IF(IFERROR(--(INDEX('Reguler Class Availability'!$G:$G,AQ34)&amp;""),0)=IFERROR(--(INDEX('Reguler Class Availability'!$F:$F,AQ34)&amp;""),0),"Penuh",IF(IFERROR(--(INDEX('Reguler Class Availability'!$G:$G,AQ34)&amp;""),0)=0,IF(INDEX('Reguler Class Availability'!$B:$B,AQ34)&amp;""="","Kosong","Belum terisi"),IF(IFERROR(--(INDEX('Reguler Class Availability'!$G:$G,AQ34)&amp;""),0)/IFERROR(--(INDEX('Reguler Class Availability'!$F:$F,AQ34)&amp;""),0)&gt;=0.6,"Tinggi","Sebagian"))))))</f>
        <v>Belum terisi</v>
      </c>
      <c r="AZ34" s="0" t="str">
        <f aca="false">IF(AR34="","",IF(AND(IFERROR(--(INDEX('Reguler Class Availability'!$F:$F,AR34)&amp;""),0)=0,IFERROR(--(INDEX('Reguler Class Availability'!$G:$G,AR34)&amp;""),0)=0),IF(OR(INDEX('Reguler Class Availability'!$B:$B,AR34)&amp;""&lt;&gt;"",INDEX('Reguler Class Availability'!$I:$I,AR34)&amp;""&lt;&gt;""),"Tutup","Tidak dibuka"),IF(IFERROR(--(INDEX('Reguler Class Availability'!$G:$G,AR34)&amp;""),0)&gt;IFERROR(--(INDEX('Reguler Class Availability'!$F:$F,AR34)&amp;""),0),"Lebih",IF(IFERROR(--(INDEX('Reguler Class Availability'!$G:$G,AR34)&amp;""),0)=IFERROR(--(INDEX('Reguler Class Availability'!$F:$F,AR34)&amp;""),0),"Penuh",IF(IFERROR(--(INDEX('Reguler Class Availability'!$G:$G,AR34)&amp;""),0)=0,IF(INDEX('Reguler Class Availability'!$B:$B,AR34)&amp;""="","Kosong","Belum terisi"),IF(IFERROR(--(INDEX('Reguler Class Availability'!$G:$G,AR34)&amp;""),0)/IFERROR(--(INDEX('Reguler Class Availability'!$F:$F,AR34)&amp;""),0)&gt;=0.6,"Tinggi","Sebagian"))))))</f>
        <v>Belum terisi</v>
      </c>
      <c r="BA34" s="0" t="str">
        <f aca="false">IF(AS34="","",IF(AND(IFERROR(--(INDEX('Reguler Class Availability'!$F:$F,AS34)&amp;""),0)=0,IFERROR(--(INDEX('Reguler Class Availability'!$G:$G,AS34)&amp;""),0)=0),IF(OR(INDEX('Reguler Class Availability'!$B:$B,AS34)&amp;""&lt;&gt;"",INDEX('Reguler Class Availability'!$I:$I,AS34)&amp;""&lt;&gt;""),"Tutup","Tidak dibuka"),IF(IFERROR(--(INDEX('Reguler Class Availability'!$G:$G,AS34)&amp;""),0)&gt;IFERROR(--(INDEX('Reguler Class Availability'!$F:$F,AS34)&amp;""),0),"Lebih",IF(IFERROR(--(INDEX('Reguler Class Availability'!$G:$G,AS34)&amp;""),0)=IFERROR(--(INDEX('Reguler Class Availability'!$F:$F,AS34)&amp;""),0),"Penuh",IF(IFERROR(--(INDEX('Reguler Class Availability'!$G:$G,AS34)&amp;""),0)=0,IF(INDEX('Reguler Class Availability'!$B:$B,AS34)&amp;""="","Kosong","Belum terisi"),IF(IFERROR(--(INDEX('Reguler Class Availability'!$G:$G,AS34)&amp;""),0)/IFERROR(--(INDEX('Reguler Class Availability'!$F:$F,AS34)&amp;""),0)&gt;=0.6,"Tinggi","Sebagian"))))))</f>
        <v>Belum terisi</v>
      </c>
      <c r="BB34" s="0" t="str">
        <f aca="false">IF(AT34="","",IF(AND(IFERROR(--(INDEX('Reguler Class Availability'!$F:$F,AT34)&amp;""),0)=0,IFERROR(--(INDEX('Reguler Class Availability'!$G:$G,AT34)&amp;""),0)=0),IF(OR(INDEX('Reguler Class Availability'!$B:$B,AT34)&amp;""&lt;&gt;"",INDEX('Reguler Class Availability'!$I:$I,AT34)&amp;""&lt;&gt;""),"Tutup","Tidak dibuka"),IF(IFERROR(--(INDEX('Reguler Class Availability'!$G:$G,AT34)&amp;""),0)&gt;IFERROR(--(INDEX('Reguler Class Availability'!$F:$F,AT34)&amp;""),0),"Lebih",IF(IFERROR(--(INDEX('Reguler Class Availability'!$G:$G,AT34)&amp;""),0)=IFERROR(--(INDEX('Reguler Class Availability'!$F:$F,AT34)&amp;""),0),"Penuh",IF(IFERROR(--(INDEX('Reguler Class Availability'!$G:$G,AT34)&amp;""),0)=0,IF(INDEX('Reguler Class Availability'!$B:$B,AT34)&amp;""="","Kosong","Belum terisi"),IF(IFERROR(--(INDEX('Reguler Class Availability'!$G:$G,AT34)&amp;""),0)/IFERROR(--(INDEX('Reguler Class Availability'!$F:$F,AT34)&amp;""),0)&gt;=0.6,"Tinggi","Sebagian"))))))</f>
        <v>Belum terisi</v>
      </c>
      <c r="BD34" s="30" t="s">
        <v>143</v>
      </c>
      <c r="BE34" s="30" t="n">
        <f aca="false">IF(COUNTIFS('Reguler Class Availability'!$L:$L,$B$4&amp;"|- Lane 1 - *|"&amp;BD34)&gt;0,1,0)</f>
        <v>1</v>
      </c>
      <c r="BF34" s="30" t="n">
        <f aca="false">BE34+BF33</f>
        <v>9</v>
      </c>
    </row>
    <row r="35" customFormat="false" ht="39.75" hidden="false" customHeight="true" outlineLevel="0" collapsed="false">
      <c r="A35" s="66" t="str">
        <f aca="false">IFERROR(INDEX($BD$62:$BD$121,MATCH(2,$BF$62:$BF$121,0)),"")</f>
        <v>08:45</v>
      </c>
      <c r="B35" s="67" t="str">
        <f aca="false">IF(AN35="","",IF(AV35="Tidak dibuka","–",IF(INDEX('Reguler Class Availability'!$B:$B,AN35)&amp;""="","Kosong",PROPER(INDEX('Reguler Class Availability'!$B:$B,AN35)&amp;""))&amp;"  "&amp;IFERROR(--(INDEX('Reguler Class Availability'!$G:$G,AN35)&amp;""),0)&amp;"/"&amp;IFERROR(--(INDEX('Reguler Class Availability'!$F:$F,AN35)&amp;""),0)&amp;IF(IFERROR(--(INDEX('Reguler Class Availability'!$F:$F,AN35)&amp;""),0)&gt;0,"  ("&amp;TEXT(IFERROR(--(INDEX('Reguler Class Availability'!$G:$G,AN35)&amp;""),0)/IFERROR(--(INDEX('Reguler Class Availability'!$F:$F,AN35)&amp;""),0),"0%")&amp;")","")&amp;CHAR(10)&amp;IF(INDEX('Reguler Class Availability'!$I:$I,AN35)&amp;""="","coach: –",PROPER(INDEX('Reguler Class Availability'!$I:$I,AN35)&amp;""))&amp;IF(INDEX('Reguler Class Availability'!$J:$J,AN35)&amp;""="","",CHAR(10)&amp;"asst: "&amp;PROPER(INDEX('Reguler Class Availability'!$J:$J,AN35)&amp;""))))</f>
        <v>Tiny  0/5  (0%)
coach: –</v>
      </c>
      <c r="C35" s="67" t="str">
        <f aca="false">IF(AO35="","",IF(AW35="Tidak dibuka","–",IF(INDEX('Reguler Class Availability'!$B:$B,AO35)&amp;""="","Kosong",PROPER(INDEX('Reguler Class Availability'!$B:$B,AO35)&amp;""))&amp;"  "&amp;IFERROR(--(INDEX('Reguler Class Availability'!$G:$G,AO35)&amp;""),0)&amp;"/"&amp;IFERROR(--(INDEX('Reguler Class Availability'!$F:$F,AO35)&amp;""),0)&amp;IF(IFERROR(--(INDEX('Reguler Class Availability'!$F:$F,AO35)&amp;""),0)&gt;0,"  ("&amp;TEXT(IFERROR(--(INDEX('Reguler Class Availability'!$G:$G,AO35)&amp;""),0)/IFERROR(--(INDEX('Reguler Class Availability'!$F:$F,AO35)&amp;""),0),"0%")&amp;")","")&amp;CHAR(10)&amp;IF(INDEX('Reguler Class Availability'!$I:$I,AO35)&amp;""="","coach: –",PROPER(INDEX('Reguler Class Availability'!$I:$I,AO35)&amp;""))&amp;IF(INDEX('Reguler Class Availability'!$J:$J,AO35)&amp;""="","",CHAR(10)&amp;"asst: "&amp;PROPER(INDEX('Reguler Class Availability'!$J:$J,AO35)&amp;""))))</f>
        <v>Tiny  0/5  (0%)
coach: –</v>
      </c>
      <c r="D35" s="67" t="str">
        <f aca="false">IF(AP35="","",IF(AX35="Tidak dibuka","–",IF(INDEX('Reguler Class Availability'!$B:$B,AP35)&amp;""="","Kosong",PROPER(INDEX('Reguler Class Availability'!$B:$B,AP35)&amp;""))&amp;"  "&amp;IFERROR(--(INDEX('Reguler Class Availability'!$G:$G,AP35)&amp;""),0)&amp;"/"&amp;IFERROR(--(INDEX('Reguler Class Availability'!$F:$F,AP35)&amp;""),0)&amp;IF(IFERROR(--(INDEX('Reguler Class Availability'!$F:$F,AP35)&amp;""),0)&gt;0,"  ("&amp;TEXT(IFERROR(--(INDEX('Reguler Class Availability'!$G:$G,AP35)&amp;""),0)/IFERROR(--(INDEX('Reguler Class Availability'!$F:$F,AP35)&amp;""),0),"0%")&amp;")","")&amp;CHAR(10)&amp;IF(INDEX('Reguler Class Availability'!$I:$I,AP35)&amp;""="","coach: –",PROPER(INDEX('Reguler Class Availability'!$I:$I,AP35)&amp;""))&amp;IF(INDEX('Reguler Class Availability'!$J:$J,AP35)&amp;""="","",CHAR(10)&amp;"asst: "&amp;PROPER(INDEX('Reguler Class Availability'!$J:$J,AP35)&amp;""))))</f>
        <v>Tiny  1/5  (20%)
Shabrina</v>
      </c>
      <c r="E35" s="67" t="str">
        <f aca="false">IF(AQ35="","",IF(AY35="Tidak dibuka","–",IF(INDEX('Reguler Class Availability'!$B:$B,AQ35)&amp;""="","Kosong",PROPER(INDEX('Reguler Class Availability'!$B:$B,AQ35)&amp;""))&amp;"  "&amp;IFERROR(--(INDEX('Reguler Class Availability'!$G:$G,AQ35)&amp;""),0)&amp;"/"&amp;IFERROR(--(INDEX('Reguler Class Availability'!$F:$F,AQ35)&amp;""),0)&amp;IF(IFERROR(--(INDEX('Reguler Class Availability'!$F:$F,AQ35)&amp;""),0)&gt;0,"  ("&amp;TEXT(IFERROR(--(INDEX('Reguler Class Availability'!$G:$G,AQ35)&amp;""),0)/IFERROR(--(INDEX('Reguler Class Availability'!$F:$F,AQ35)&amp;""),0),"0%")&amp;")","")&amp;CHAR(10)&amp;IF(INDEX('Reguler Class Availability'!$I:$I,AQ35)&amp;""="","coach: –",PROPER(INDEX('Reguler Class Availability'!$I:$I,AQ35)&amp;""))&amp;IF(INDEX('Reguler Class Availability'!$J:$J,AQ35)&amp;""="","",CHAR(10)&amp;"asst: "&amp;PROPER(INDEX('Reguler Class Availability'!$J:$J,AQ35)&amp;""))))</f>
        <v>Tiny  0/5  (0%)
coach: –</v>
      </c>
      <c r="F35" s="67" t="str">
        <f aca="false">IF(AR35="","",IF(AZ35="Tidak dibuka","–",IF(INDEX('Reguler Class Availability'!$B:$B,AR35)&amp;""="","Kosong",PROPER(INDEX('Reguler Class Availability'!$B:$B,AR35)&amp;""))&amp;"  "&amp;IFERROR(--(INDEX('Reguler Class Availability'!$G:$G,AR35)&amp;""),0)&amp;"/"&amp;IFERROR(--(INDEX('Reguler Class Availability'!$F:$F,AR35)&amp;""),0)&amp;IF(IFERROR(--(INDEX('Reguler Class Availability'!$F:$F,AR35)&amp;""),0)&gt;0,"  ("&amp;TEXT(IFERROR(--(INDEX('Reguler Class Availability'!$G:$G,AR35)&amp;""),0)/IFERROR(--(INDEX('Reguler Class Availability'!$F:$F,AR35)&amp;""),0),"0%")&amp;")","")&amp;CHAR(10)&amp;IF(INDEX('Reguler Class Availability'!$I:$I,AR35)&amp;""="","coach: –",PROPER(INDEX('Reguler Class Availability'!$I:$I,AR35)&amp;""))&amp;IF(INDEX('Reguler Class Availability'!$J:$J,AR35)&amp;""="","",CHAR(10)&amp;"asst: "&amp;PROPER(INDEX('Reguler Class Availability'!$J:$J,AR35)&amp;""))))</f>
        <v>Tiny  0/5  (0%)
coach: –</v>
      </c>
      <c r="G35" s="67" t="str">
        <f aca="false">IF(AS35="","",IF(BA35="Tidak dibuka","–",IF(INDEX('Reguler Class Availability'!$B:$B,AS35)&amp;""="","Kosong",PROPER(INDEX('Reguler Class Availability'!$B:$B,AS35)&amp;""))&amp;"  "&amp;IFERROR(--(INDEX('Reguler Class Availability'!$G:$G,AS35)&amp;""),0)&amp;"/"&amp;IFERROR(--(INDEX('Reguler Class Availability'!$F:$F,AS35)&amp;""),0)&amp;IF(IFERROR(--(INDEX('Reguler Class Availability'!$F:$F,AS35)&amp;""),0)&gt;0,"  ("&amp;TEXT(IFERROR(--(INDEX('Reguler Class Availability'!$G:$G,AS35)&amp;""),0)/IFERROR(--(INDEX('Reguler Class Availability'!$F:$F,AS35)&amp;""),0),"0%")&amp;")","")&amp;CHAR(10)&amp;IF(INDEX('Reguler Class Availability'!$I:$I,AS35)&amp;""="","coach: –",PROPER(INDEX('Reguler Class Availability'!$I:$I,AS35)&amp;""))&amp;IF(INDEX('Reguler Class Availability'!$J:$J,AS35)&amp;""="","",CHAR(10)&amp;"asst: "&amp;PROPER(INDEX('Reguler Class Availability'!$J:$J,AS35)&amp;""))))</f>
        <v>Tiny  3/5  (60%)
Rizky</v>
      </c>
      <c r="H35" s="67" t="str">
        <f aca="false">IF(AT35="","",IF(BB35="Tidak dibuka","–",IF(INDEX('Reguler Class Availability'!$B:$B,AT35)&amp;""="","Kosong",PROPER(INDEX('Reguler Class Availability'!$B:$B,AT35)&amp;""))&amp;"  "&amp;IFERROR(--(INDEX('Reguler Class Availability'!$G:$G,AT35)&amp;""),0)&amp;"/"&amp;IFERROR(--(INDEX('Reguler Class Availability'!$F:$F,AT35)&amp;""),0)&amp;IF(IFERROR(--(INDEX('Reguler Class Availability'!$F:$F,AT35)&amp;""),0)&gt;0,"  ("&amp;TEXT(IFERROR(--(INDEX('Reguler Class Availability'!$G:$G,AT35)&amp;""),0)/IFERROR(--(INDEX('Reguler Class Availability'!$F:$F,AT35)&amp;""),0),"0%")&amp;")","")&amp;CHAR(10)&amp;IF(INDEX('Reguler Class Availability'!$I:$I,AT35)&amp;""="","coach: –",PROPER(INDEX('Reguler Class Availability'!$I:$I,AT35)&amp;""))&amp;IF(INDEX('Reguler Class Availability'!$J:$J,AT35)&amp;""="","",CHAR(10)&amp;"asst: "&amp;PROPER(INDEX('Reguler Class Availability'!$J:$J,AT35)&amp;""))))</f>
        <v>Tiny  1/5  (20%)
Rizky</v>
      </c>
      <c r="AN35" s="30" t="n">
        <f aca="false">IF($A35="","",IFERROR(MATCH($B$4&amp;"|- Lane 2 - "&amp;B$33&amp;"|"&amp;$A35,'Reguler Class Availability'!$L:$L,0),""))</f>
        <v>2509</v>
      </c>
      <c r="AO35" s="30" t="n">
        <f aca="false">IF($A35="","",IFERROR(MATCH($B$4&amp;"|- Lane 2 - "&amp;C$33&amp;"|"&amp;$A35,'Reguler Class Availability'!$L:$L,0),""))</f>
        <v>2521</v>
      </c>
      <c r="AP35" s="30" t="n">
        <f aca="false">IF($A35="","",IFERROR(MATCH($B$4&amp;"|- Lane 2 - "&amp;D$33&amp;"|"&amp;$A35,'Reguler Class Availability'!$L:$L,0),""))</f>
        <v>2533</v>
      </c>
      <c r="AQ35" s="30" t="n">
        <f aca="false">IF($A35="","",IFERROR(MATCH($B$4&amp;"|- Lane 2 - "&amp;E$33&amp;"|"&amp;$A35,'Reguler Class Availability'!$L:$L,0),""))</f>
        <v>2545</v>
      </c>
      <c r="AR35" s="30" t="n">
        <f aca="false">IF($A35="","",IFERROR(MATCH($B$4&amp;"|- Lane 2 - "&amp;F$33&amp;"|"&amp;$A35,'Reguler Class Availability'!$L:$L,0),""))</f>
        <v>2557</v>
      </c>
      <c r="AS35" s="30" t="n">
        <f aca="false">IF($A35="","",IFERROR(MATCH($B$4&amp;"|- Lane 2 - "&amp;G$33&amp;"|"&amp;$A35,'Reguler Class Availability'!$L:$L,0),""))</f>
        <v>2569</v>
      </c>
      <c r="AT35" s="30" t="n">
        <f aca="false">IF($A35="","",IFERROR(MATCH($B$4&amp;"|- Lane 2 - "&amp;H$33&amp;"|"&amp;$A35,'Reguler Class Availability'!$L:$L,0),""))</f>
        <v>2581</v>
      </c>
      <c r="AV35" s="0" t="str">
        <f aca="false">IF(AN35="","",IF(AND(IFERROR(--(INDEX('Reguler Class Availability'!$F:$F,AN35)&amp;""),0)=0,IFERROR(--(INDEX('Reguler Class Availability'!$G:$G,AN35)&amp;""),0)=0),IF(OR(INDEX('Reguler Class Availability'!$B:$B,AN35)&amp;""&lt;&gt;"",INDEX('Reguler Class Availability'!$I:$I,AN35)&amp;""&lt;&gt;""),"Tutup","Tidak dibuka"),IF(IFERROR(--(INDEX('Reguler Class Availability'!$G:$G,AN35)&amp;""),0)&gt;IFERROR(--(INDEX('Reguler Class Availability'!$F:$F,AN35)&amp;""),0),"Lebih",IF(IFERROR(--(INDEX('Reguler Class Availability'!$G:$G,AN35)&amp;""),0)=IFERROR(--(INDEX('Reguler Class Availability'!$F:$F,AN35)&amp;""),0),"Penuh",IF(IFERROR(--(INDEX('Reguler Class Availability'!$G:$G,AN35)&amp;""),0)=0,IF(INDEX('Reguler Class Availability'!$B:$B,AN35)&amp;""="","Kosong","Belum terisi"),IF(IFERROR(--(INDEX('Reguler Class Availability'!$G:$G,AN35)&amp;""),0)/IFERROR(--(INDEX('Reguler Class Availability'!$F:$F,AN35)&amp;""),0)&gt;=0.6,"Tinggi","Sebagian"))))))</f>
        <v>Belum terisi</v>
      </c>
      <c r="AW35" s="0" t="str">
        <f aca="false">IF(AO35="","",IF(AND(IFERROR(--(INDEX('Reguler Class Availability'!$F:$F,AO35)&amp;""),0)=0,IFERROR(--(INDEX('Reguler Class Availability'!$G:$G,AO35)&amp;""),0)=0),IF(OR(INDEX('Reguler Class Availability'!$B:$B,AO35)&amp;""&lt;&gt;"",INDEX('Reguler Class Availability'!$I:$I,AO35)&amp;""&lt;&gt;""),"Tutup","Tidak dibuka"),IF(IFERROR(--(INDEX('Reguler Class Availability'!$G:$G,AO35)&amp;""),0)&gt;IFERROR(--(INDEX('Reguler Class Availability'!$F:$F,AO35)&amp;""),0),"Lebih",IF(IFERROR(--(INDEX('Reguler Class Availability'!$G:$G,AO35)&amp;""),0)=IFERROR(--(INDEX('Reguler Class Availability'!$F:$F,AO35)&amp;""),0),"Penuh",IF(IFERROR(--(INDEX('Reguler Class Availability'!$G:$G,AO35)&amp;""),0)=0,IF(INDEX('Reguler Class Availability'!$B:$B,AO35)&amp;""="","Kosong","Belum terisi"),IF(IFERROR(--(INDEX('Reguler Class Availability'!$G:$G,AO35)&amp;""),0)/IFERROR(--(INDEX('Reguler Class Availability'!$F:$F,AO35)&amp;""),0)&gt;=0.6,"Tinggi","Sebagian"))))))</f>
        <v>Belum terisi</v>
      </c>
      <c r="AX35" s="0" t="str">
        <f aca="false">IF(AP35="","",IF(AND(IFERROR(--(INDEX('Reguler Class Availability'!$F:$F,AP35)&amp;""),0)=0,IFERROR(--(INDEX('Reguler Class Availability'!$G:$G,AP35)&amp;""),0)=0),IF(OR(INDEX('Reguler Class Availability'!$B:$B,AP35)&amp;""&lt;&gt;"",INDEX('Reguler Class Availability'!$I:$I,AP35)&amp;""&lt;&gt;""),"Tutup","Tidak dibuka"),IF(IFERROR(--(INDEX('Reguler Class Availability'!$G:$G,AP35)&amp;""),0)&gt;IFERROR(--(INDEX('Reguler Class Availability'!$F:$F,AP35)&amp;""),0),"Lebih",IF(IFERROR(--(INDEX('Reguler Class Availability'!$G:$G,AP35)&amp;""),0)=IFERROR(--(INDEX('Reguler Class Availability'!$F:$F,AP35)&amp;""),0),"Penuh",IF(IFERROR(--(INDEX('Reguler Class Availability'!$G:$G,AP35)&amp;""),0)=0,IF(INDEX('Reguler Class Availability'!$B:$B,AP35)&amp;""="","Kosong","Belum terisi"),IF(IFERROR(--(INDEX('Reguler Class Availability'!$G:$G,AP35)&amp;""),0)/IFERROR(--(INDEX('Reguler Class Availability'!$F:$F,AP35)&amp;""),0)&gt;=0.6,"Tinggi","Sebagian"))))))</f>
        <v>Sebagian</v>
      </c>
      <c r="AY35" s="0" t="str">
        <f aca="false">IF(AQ35="","",IF(AND(IFERROR(--(INDEX('Reguler Class Availability'!$F:$F,AQ35)&amp;""),0)=0,IFERROR(--(INDEX('Reguler Class Availability'!$G:$G,AQ35)&amp;""),0)=0),IF(OR(INDEX('Reguler Class Availability'!$B:$B,AQ35)&amp;""&lt;&gt;"",INDEX('Reguler Class Availability'!$I:$I,AQ35)&amp;""&lt;&gt;""),"Tutup","Tidak dibuka"),IF(IFERROR(--(INDEX('Reguler Class Availability'!$G:$G,AQ35)&amp;""),0)&gt;IFERROR(--(INDEX('Reguler Class Availability'!$F:$F,AQ35)&amp;""),0),"Lebih",IF(IFERROR(--(INDEX('Reguler Class Availability'!$G:$G,AQ35)&amp;""),0)=IFERROR(--(INDEX('Reguler Class Availability'!$F:$F,AQ35)&amp;""),0),"Penuh",IF(IFERROR(--(INDEX('Reguler Class Availability'!$G:$G,AQ35)&amp;""),0)=0,IF(INDEX('Reguler Class Availability'!$B:$B,AQ35)&amp;""="","Kosong","Belum terisi"),IF(IFERROR(--(INDEX('Reguler Class Availability'!$G:$G,AQ35)&amp;""),0)/IFERROR(--(INDEX('Reguler Class Availability'!$F:$F,AQ35)&amp;""),0)&gt;=0.6,"Tinggi","Sebagian"))))))</f>
        <v>Belum terisi</v>
      </c>
      <c r="AZ35" s="0" t="str">
        <f aca="false">IF(AR35="","",IF(AND(IFERROR(--(INDEX('Reguler Class Availability'!$F:$F,AR35)&amp;""),0)=0,IFERROR(--(INDEX('Reguler Class Availability'!$G:$G,AR35)&amp;""),0)=0),IF(OR(INDEX('Reguler Class Availability'!$B:$B,AR35)&amp;""&lt;&gt;"",INDEX('Reguler Class Availability'!$I:$I,AR35)&amp;""&lt;&gt;""),"Tutup","Tidak dibuka"),IF(IFERROR(--(INDEX('Reguler Class Availability'!$G:$G,AR35)&amp;""),0)&gt;IFERROR(--(INDEX('Reguler Class Availability'!$F:$F,AR35)&amp;""),0),"Lebih",IF(IFERROR(--(INDEX('Reguler Class Availability'!$G:$G,AR35)&amp;""),0)=IFERROR(--(INDEX('Reguler Class Availability'!$F:$F,AR35)&amp;""),0),"Penuh",IF(IFERROR(--(INDEX('Reguler Class Availability'!$G:$G,AR35)&amp;""),0)=0,IF(INDEX('Reguler Class Availability'!$B:$B,AR35)&amp;""="","Kosong","Belum terisi"),IF(IFERROR(--(INDEX('Reguler Class Availability'!$G:$G,AR35)&amp;""),0)/IFERROR(--(INDEX('Reguler Class Availability'!$F:$F,AR35)&amp;""),0)&gt;=0.6,"Tinggi","Sebagian"))))))</f>
        <v>Belum terisi</v>
      </c>
      <c r="BA35" s="0" t="str">
        <f aca="false">IF(AS35="","",IF(AND(IFERROR(--(INDEX('Reguler Class Availability'!$F:$F,AS35)&amp;""),0)=0,IFERROR(--(INDEX('Reguler Class Availability'!$G:$G,AS35)&amp;""),0)=0),IF(OR(INDEX('Reguler Class Availability'!$B:$B,AS35)&amp;""&lt;&gt;"",INDEX('Reguler Class Availability'!$I:$I,AS35)&amp;""&lt;&gt;""),"Tutup","Tidak dibuka"),IF(IFERROR(--(INDEX('Reguler Class Availability'!$G:$G,AS35)&amp;""),0)&gt;IFERROR(--(INDEX('Reguler Class Availability'!$F:$F,AS35)&amp;""),0),"Lebih",IF(IFERROR(--(INDEX('Reguler Class Availability'!$G:$G,AS35)&amp;""),0)=IFERROR(--(INDEX('Reguler Class Availability'!$F:$F,AS35)&amp;""),0),"Penuh",IF(IFERROR(--(INDEX('Reguler Class Availability'!$G:$G,AS35)&amp;""),0)=0,IF(INDEX('Reguler Class Availability'!$B:$B,AS35)&amp;""="","Kosong","Belum terisi"),IF(IFERROR(--(INDEX('Reguler Class Availability'!$G:$G,AS35)&amp;""),0)/IFERROR(--(INDEX('Reguler Class Availability'!$F:$F,AS35)&amp;""),0)&gt;=0.6,"Tinggi","Sebagian"))))))</f>
        <v>Tinggi</v>
      </c>
      <c r="BB35" s="0" t="str">
        <f aca="false">IF(AT35="","",IF(AND(IFERROR(--(INDEX('Reguler Class Availability'!$F:$F,AT35)&amp;""),0)=0,IFERROR(--(INDEX('Reguler Class Availability'!$G:$G,AT35)&amp;""),0)=0),IF(OR(INDEX('Reguler Class Availability'!$B:$B,AT35)&amp;""&lt;&gt;"",INDEX('Reguler Class Availability'!$I:$I,AT35)&amp;""&lt;&gt;""),"Tutup","Tidak dibuka"),IF(IFERROR(--(INDEX('Reguler Class Availability'!$G:$G,AT35)&amp;""),0)&gt;IFERROR(--(INDEX('Reguler Class Availability'!$F:$F,AT35)&amp;""),0),"Lebih",IF(IFERROR(--(INDEX('Reguler Class Availability'!$G:$G,AT35)&amp;""),0)=IFERROR(--(INDEX('Reguler Class Availability'!$F:$F,AT35)&amp;""),0),"Penuh",IF(IFERROR(--(INDEX('Reguler Class Availability'!$G:$G,AT35)&amp;""),0)=0,IF(INDEX('Reguler Class Availability'!$B:$B,AT35)&amp;""="","Kosong","Belum terisi"),IF(IFERROR(--(INDEX('Reguler Class Availability'!$G:$G,AT35)&amp;""),0)/IFERROR(--(INDEX('Reguler Class Availability'!$F:$F,AT35)&amp;""),0)&gt;=0.6,"Tinggi","Sebagian"))))))</f>
        <v>Sebagian</v>
      </c>
      <c r="BD35" s="30" t="s">
        <v>144</v>
      </c>
      <c r="BE35" s="30" t="n">
        <f aca="false">IF(COUNTIFS('Reguler Class Availability'!$L:$L,$B$4&amp;"|- Lane 1 - *|"&amp;BD35)&gt;0,1,0)</f>
        <v>0</v>
      </c>
      <c r="BF35" s="30" t="n">
        <f aca="false">BE35+BF34</f>
        <v>9</v>
      </c>
    </row>
    <row r="36" customFormat="false" ht="39.75" hidden="false" customHeight="true" outlineLevel="0" collapsed="false">
      <c r="A36" s="66" t="str">
        <f aca="false">IFERROR(INDEX($BD$62:$BD$121,MATCH(3,$BF$62:$BF$121,0)),"")</f>
        <v>09:30</v>
      </c>
      <c r="B36" s="67" t="str">
        <f aca="false">IF(AN36="","",IF(AV36="Tidak dibuka","–",IF(INDEX('Reguler Class Availability'!$B:$B,AN36)&amp;""="","Kosong",PROPER(INDEX('Reguler Class Availability'!$B:$B,AN36)&amp;""))&amp;"  "&amp;IFERROR(--(INDEX('Reguler Class Availability'!$G:$G,AN36)&amp;""),0)&amp;"/"&amp;IFERROR(--(INDEX('Reguler Class Availability'!$F:$F,AN36)&amp;""),0)&amp;IF(IFERROR(--(INDEX('Reguler Class Availability'!$F:$F,AN36)&amp;""),0)&gt;0,"  ("&amp;TEXT(IFERROR(--(INDEX('Reguler Class Availability'!$G:$G,AN36)&amp;""),0)/IFERROR(--(INDEX('Reguler Class Availability'!$F:$F,AN36)&amp;""),0),"0%")&amp;")","")&amp;CHAR(10)&amp;IF(INDEX('Reguler Class Availability'!$I:$I,AN36)&amp;""="","coach: –",PROPER(INDEX('Reguler Class Availability'!$I:$I,AN36)&amp;""))&amp;IF(INDEX('Reguler Class Availability'!$J:$J,AN36)&amp;""="","",CHAR(10)&amp;"asst: "&amp;PROPER(INDEX('Reguler Class Availability'!$J:$J,AN36)&amp;""))))</f>
        <v>Tiny  0/5  (0%)
coach: –</v>
      </c>
      <c r="C36" s="67" t="str">
        <f aca="false">IF(AO36="","",IF(AW36="Tidak dibuka","–",IF(INDEX('Reguler Class Availability'!$B:$B,AO36)&amp;""="","Kosong",PROPER(INDEX('Reguler Class Availability'!$B:$B,AO36)&amp;""))&amp;"  "&amp;IFERROR(--(INDEX('Reguler Class Availability'!$G:$G,AO36)&amp;""),0)&amp;"/"&amp;IFERROR(--(INDEX('Reguler Class Availability'!$F:$F,AO36)&amp;""),0)&amp;IF(IFERROR(--(INDEX('Reguler Class Availability'!$F:$F,AO36)&amp;""),0)&gt;0,"  ("&amp;TEXT(IFERROR(--(INDEX('Reguler Class Availability'!$G:$G,AO36)&amp;""),0)/IFERROR(--(INDEX('Reguler Class Availability'!$F:$F,AO36)&amp;""),0),"0%")&amp;")","")&amp;CHAR(10)&amp;IF(INDEX('Reguler Class Availability'!$I:$I,AO36)&amp;""="","coach: –",PROPER(INDEX('Reguler Class Availability'!$I:$I,AO36)&amp;""))&amp;IF(INDEX('Reguler Class Availability'!$J:$J,AO36)&amp;""="","",CHAR(10)&amp;"asst: "&amp;PROPER(INDEX('Reguler Class Availability'!$J:$J,AO36)&amp;""))))</f>
        <v>Tiny  0/5  (0%)
coach: –</v>
      </c>
      <c r="D36" s="67" t="str">
        <f aca="false">IF(AP36="","",IF(AX36="Tidak dibuka","–",IF(INDEX('Reguler Class Availability'!$B:$B,AP36)&amp;""="","Kosong",PROPER(INDEX('Reguler Class Availability'!$B:$B,AP36)&amp;""))&amp;"  "&amp;IFERROR(--(INDEX('Reguler Class Availability'!$G:$G,AP36)&amp;""),0)&amp;"/"&amp;IFERROR(--(INDEX('Reguler Class Availability'!$F:$F,AP36)&amp;""),0)&amp;IF(IFERROR(--(INDEX('Reguler Class Availability'!$F:$F,AP36)&amp;""),0)&gt;0,"  ("&amp;TEXT(IFERROR(--(INDEX('Reguler Class Availability'!$G:$G,AP36)&amp;""),0)/IFERROR(--(INDEX('Reguler Class Availability'!$F:$F,AP36)&amp;""),0),"0%")&amp;")","")&amp;CHAR(10)&amp;IF(INDEX('Reguler Class Availability'!$I:$I,AP36)&amp;""="","coach: –",PROPER(INDEX('Reguler Class Availability'!$I:$I,AP36)&amp;""))&amp;IF(INDEX('Reguler Class Availability'!$J:$J,AP36)&amp;""="","",CHAR(10)&amp;"asst: "&amp;PROPER(INDEX('Reguler Class Availability'!$J:$J,AP36)&amp;""))))</f>
        <v>Tiny  2/5  (40%)
Rizky</v>
      </c>
      <c r="E36" s="67" t="str">
        <f aca="false">IF(AQ36="","",IF(AY36="Tidak dibuka","–",IF(INDEX('Reguler Class Availability'!$B:$B,AQ36)&amp;""="","Kosong",PROPER(INDEX('Reguler Class Availability'!$B:$B,AQ36)&amp;""))&amp;"  "&amp;IFERROR(--(INDEX('Reguler Class Availability'!$G:$G,AQ36)&amp;""),0)&amp;"/"&amp;IFERROR(--(INDEX('Reguler Class Availability'!$F:$F,AQ36)&amp;""),0)&amp;IF(IFERROR(--(INDEX('Reguler Class Availability'!$F:$F,AQ36)&amp;""),0)&gt;0,"  ("&amp;TEXT(IFERROR(--(INDEX('Reguler Class Availability'!$G:$G,AQ36)&amp;""),0)/IFERROR(--(INDEX('Reguler Class Availability'!$F:$F,AQ36)&amp;""),0),"0%")&amp;")","")&amp;CHAR(10)&amp;IF(INDEX('Reguler Class Availability'!$I:$I,AQ36)&amp;""="","coach: –",PROPER(INDEX('Reguler Class Availability'!$I:$I,AQ36)&amp;""))&amp;IF(INDEX('Reguler Class Availability'!$J:$J,AQ36)&amp;""="","",CHAR(10)&amp;"asst: "&amp;PROPER(INDEX('Reguler Class Availability'!$J:$J,AQ36)&amp;""))))</f>
        <v>Tiny  2/5  (40%)
Rizky</v>
      </c>
      <c r="F36" s="67" t="str">
        <f aca="false">IF(AR36="","",IF(AZ36="Tidak dibuka","–",IF(INDEX('Reguler Class Availability'!$B:$B,AR36)&amp;""="","Kosong",PROPER(INDEX('Reguler Class Availability'!$B:$B,AR36)&amp;""))&amp;"  "&amp;IFERROR(--(INDEX('Reguler Class Availability'!$G:$G,AR36)&amp;""),0)&amp;"/"&amp;IFERROR(--(INDEX('Reguler Class Availability'!$F:$F,AR36)&amp;""),0)&amp;IF(IFERROR(--(INDEX('Reguler Class Availability'!$F:$F,AR36)&amp;""),0)&gt;0,"  ("&amp;TEXT(IFERROR(--(INDEX('Reguler Class Availability'!$G:$G,AR36)&amp;""),0)/IFERROR(--(INDEX('Reguler Class Availability'!$F:$F,AR36)&amp;""),0),"0%")&amp;")","")&amp;CHAR(10)&amp;IF(INDEX('Reguler Class Availability'!$I:$I,AR36)&amp;""="","coach: –",PROPER(INDEX('Reguler Class Availability'!$I:$I,AR36)&amp;""))&amp;IF(INDEX('Reguler Class Availability'!$J:$J,AR36)&amp;""="","",CHAR(10)&amp;"asst: "&amp;PROPER(INDEX('Reguler Class Availability'!$J:$J,AR36)&amp;""))))</f>
        <v>Tiny  1/5  (20%)
Rizky</v>
      </c>
      <c r="G36" s="67" t="str">
        <f aca="false">IF(AS36="","",IF(BA36="Tidak dibuka","–",IF(INDEX('Reguler Class Availability'!$B:$B,AS36)&amp;""="","Kosong",PROPER(INDEX('Reguler Class Availability'!$B:$B,AS36)&amp;""))&amp;"  "&amp;IFERROR(--(INDEX('Reguler Class Availability'!$G:$G,AS36)&amp;""),0)&amp;"/"&amp;IFERROR(--(INDEX('Reguler Class Availability'!$F:$F,AS36)&amp;""),0)&amp;IF(IFERROR(--(INDEX('Reguler Class Availability'!$F:$F,AS36)&amp;""),0)&gt;0,"  ("&amp;TEXT(IFERROR(--(INDEX('Reguler Class Availability'!$G:$G,AS36)&amp;""),0)/IFERROR(--(INDEX('Reguler Class Availability'!$F:$F,AS36)&amp;""),0),"0%")&amp;")","")&amp;CHAR(10)&amp;IF(INDEX('Reguler Class Availability'!$I:$I,AS36)&amp;""="","coach: –",PROPER(INDEX('Reguler Class Availability'!$I:$I,AS36)&amp;""))&amp;IF(INDEX('Reguler Class Availability'!$J:$J,AS36)&amp;""="","",CHAR(10)&amp;"asst: "&amp;PROPER(INDEX('Reguler Class Availability'!$J:$J,AS36)&amp;""))))</f>
        <v>Tiny  1/5  (20%)
Shabrina</v>
      </c>
      <c r="H36" s="67" t="str">
        <f aca="false">IF(AT36="","",IF(BB36="Tidak dibuka","–",IF(INDEX('Reguler Class Availability'!$B:$B,AT36)&amp;""="","Kosong",PROPER(INDEX('Reguler Class Availability'!$B:$B,AT36)&amp;""))&amp;"  "&amp;IFERROR(--(INDEX('Reguler Class Availability'!$G:$G,AT36)&amp;""),0)&amp;"/"&amp;IFERROR(--(INDEX('Reguler Class Availability'!$F:$F,AT36)&amp;""),0)&amp;IF(IFERROR(--(INDEX('Reguler Class Availability'!$F:$F,AT36)&amp;""),0)&gt;0,"  ("&amp;TEXT(IFERROR(--(INDEX('Reguler Class Availability'!$G:$G,AT36)&amp;""),0)/IFERROR(--(INDEX('Reguler Class Availability'!$F:$F,AT36)&amp;""),0),"0%")&amp;")","")&amp;CHAR(10)&amp;IF(INDEX('Reguler Class Availability'!$I:$I,AT36)&amp;""="","coach: –",PROPER(INDEX('Reguler Class Availability'!$I:$I,AT36)&amp;""))&amp;IF(INDEX('Reguler Class Availability'!$J:$J,AT36)&amp;""="","",CHAR(10)&amp;"asst: "&amp;PROPER(INDEX('Reguler Class Availability'!$J:$J,AT36)&amp;""))))</f>
        <v>Tiny  0/5  (0%)
coach: –</v>
      </c>
      <c r="AN36" s="30" t="n">
        <f aca="false">IF($A36="","",IFERROR(MATCH($B$4&amp;"|- Lane 2 - "&amp;B$33&amp;"|"&amp;$A36,'Reguler Class Availability'!$L:$L,0),""))</f>
        <v>2510</v>
      </c>
      <c r="AO36" s="30" t="n">
        <f aca="false">IF($A36="","",IFERROR(MATCH($B$4&amp;"|- Lane 2 - "&amp;C$33&amp;"|"&amp;$A36,'Reguler Class Availability'!$L:$L,0),""))</f>
        <v>2522</v>
      </c>
      <c r="AP36" s="30" t="n">
        <f aca="false">IF($A36="","",IFERROR(MATCH($B$4&amp;"|- Lane 2 - "&amp;D$33&amp;"|"&amp;$A36,'Reguler Class Availability'!$L:$L,0),""))</f>
        <v>2534</v>
      </c>
      <c r="AQ36" s="30" t="n">
        <f aca="false">IF($A36="","",IFERROR(MATCH($B$4&amp;"|- Lane 2 - "&amp;E$33&amp;"|"&amp;$A36,'Reguler Class Availability'!$L:$L,0),""))</f>
        <v>2546</v>
      </c>
      <c r="AR36" s="30" t="n">
        <f aca="false">IF($A36="","",IFERROR(MATCH($B$4&amp;"|- Lane 2 - "&amp;F$33&amp;"|"&amp;$A36,'Reguler Class Availability'!$L:$L,0),""))</f>
        <v>2558</v>
      </c>
      <c r="AS36" s="30" t="n">
        <f aca="false">IF($A36="","",IFERROR(MATCH($B$4&amp;"|- Lane 2 - "&amp;G$33&amp;"|"&amp;$A36,'Reguler Class Availability'!$L:$L,0),""))</f>
        <v>2570</v>
      </c>
      <c r="AT36" s="30" t="n">
        <f aca="false">IF($A36="","",IFERROR(MATCH($B$4&amp;"|- Lane 2 - "&amp;H$33&amp;"|"&amp;$A36,'Reguler Class Availability'!$L:$L,0),""))</f>
        <v>2582</v>
      </c>
      <c r="AV36" s="0" t="str">
        <f aca="false">IF(AN36="","",IF(AND(IFERROR(--(INDEX('Reguler Class Availability'!$F:$F,AN36)&amp;""),0)=0,IFERROR(--(INDEX('Reguler Class Availability'!$G:$G,AN36)&amp;""),0)=0),IF(OR(INDEX('Reguler Class Availability'!$B:$B,AN36)&amp;""&lt;&gt;"",INDEX('Reguler Class Availability'!$I:$I,AN36)&amp;""&lt;&gt;""),"Tutup","Tidak dibuka"),IF(IFERROR(--(INDEX('Reguler Class Availability'!$G:$G,AN36)&amp;""),0)&gt;IFERROR(--(INDEX('Reguler Class Availability'!$F:$F,AN36)&amp;""),0),"Lebih",IF(IFERROR(--(INDEX('Reguler Class Availability'!$G:$G,AN36)&amp;""),0)=IFERROR(--(INDEX('Reguler Class Availability'!$F:$F,AN36)&amp;""),0),"Penuh",IF(IFERROR(--(INDEX('Reguler Class Availability'!$G:$G,AN36)&amp;""),0)=0,IF(INDEX('Reguler Class Availability'!$B:$B,AN36)&amp;""="","Kosong","Belum terisi"),IF(IFERROR(--(INDEX('Reguler Class Availability'!$G:$G,AN36)&amp;""),0)/IFERROR(--(INDEX('Reguler Class Availability'!$F:$F,AN36)&amp;""),0)&gt;=0.6,"Tinggi","Sebagian"))))))</f>
        <v>Belum terisi</v>
      </c>
      <c r="AW36" s="0" t="str">
        <f aca="false">IF(AO36="","",IF(AND(IFERROR(--(INDEX('Reguler Class Availability'!$F:$F,AO36)&amp;""),0)=0,IFERROR(--(INDEX('Reguler Class Availability'!$G:$G,AO36)&amp;""),0)=0),IF(OR(INDEX('Reguler Class Availability'!$B:$B,AO36)&amp;""&lt;&gt;"",INDEX('Reguler Class Availability'!$I:$I,AO36)&amp;""&lt;&gt;""),"Tutup","Tidak dibuka"),IF(IFERROR(--(INDEX('Reguler Class Availability'!$G:$G,AO36)&amp;""),0)&gt;IFERROR(--(INDEX('Reguler Class Availability'!$F:$F,AO36)&amp;""),0),"Lebih",IF(IFERROR(--(INDEX('Reguler Class Availability'!$G:$G,AO36)&amp;""),0)=IFERROR(--(INDEX('Reguler Class Availability'!$F:$F,AO36)&amp;""),0),"Penuh",IF(IFERROR(--(INDEX('Reguler Class Availability'!$G:$G,AO36)&amp;""),0)=0,IF(INDEX('Reguler Class Availability'!$B:$B,AO36)&amp;""="","Kosong","Belum terisi"),IF(IFERROR(--(INDEX('Reguler Class Availability'!$G:$G,AO36)&amp;""),0)/IFERROR(--(INDEX('Reguler Class Availability'!$F:$F,AO36)&amp;""),0)&gt;=0.6,"Tinggi","Sebagian"))))))</f>
        <v>Belum terisi</v>
      </c>
      <c r="AX36" s="0" t="str">
        <f aca="false">IF(AP36="","",IF(AND(IFERROR(--(INDEX('Reguler Class Availability'!$F:$F,AP36)&amp;""),0)=0,IFERROR(--(INDEX('Reguler Class Availability'!$G:$G,AP36)&amp;""),0)=0),IF(OR(INDEX('Reguler Class Availability'!$B:$B,AP36)&amp;""&lt;&gt;"",INDEX('Reguler Class Availability'!$I:$I,AP36)&amp;""&lt;&gt;""),"Tutup","Tidak dibuka"),IF(IFERROR(--(INDEX('Reguler Class Availability'!$G:$G,AP36)&amp;""),0)&gt;IFERROR(--(INDEX('Reguler Class Availability'!$F:$F,AP36)&amp;""),0),"Lebih",IF(IFERROR(--(INDEX('Reguler Class Availability'!$G:$G,AP36)&amp;""),0)=IFERROR(--(INDEX('Reguler Class Availability'!$F:$F,AP36)&amp;""),0),"Penuh",IF(IFERROR(--(INDEX('Reguler Class Availability'!$G:$G,AP36)&amp;""),0)=0,IF(INDEX('Reguler Class Availability'!$B:$B,AP36)&amp;""="","Kosong","Belum terisi"),IF(IFERROR(--(INDEX('Reguler Class Availability'!$G:$G,AP36)&amp;""),0)/IFERROR(--(INDEX('Reguler Class Availability'!$F:$F,AP36)&amp;""),0)&gt;=0.6,"Tinggi","Sebagian"))))))</f>
        <v>Sebagian</v>
      </c>
      <c r="AY36" s="0" t="str">
        <f aca="false">IF(AQ36="","",IF(AND(IFERROR(--(INDEX('Reguler Class Availability'!$F:$F,AQ36)&amp;""),0)=0,IFERROR(--(INDEX('Reguler Class Availability'!$G:$G,AQ36)&amp;""),0)=0),IF(OR(INDEX('Reguler Class Availability'!$B:$B,AQ36)&amp;""&lt;&gt;"",INDEX('Reguler Class Availability'!$I:$I,AQ36)&amp;""&lt;&gt;""),"Tutup","Tidak dibuka"),IF(IFERROR(--(INDEX('Reguler Class Availability'!$G:$G,AQ36)&amp;""),0)&gt;IFERROR(--(INDEX('Reguler Class Availability'!$F:$F,AQ36)&amp;""),0),"Lebih",IF(IFERROR(--(INDEX('Reguler Class Availability'!$G:$G,AQ36)&amp;""),0)=IFERROR(--(INDEX('Reguler Class Availability'!$F:$F,AQ36)&amp;""),0),"Penuh",IF(IFERROR(--(INDEX('Reguler Class Availability'!$G:$G,AQ36)&amp;""),0)=0,IF(INDEX('Reguler Class Availability'!$B:$B,AQ36)&amp;""="","Kosong","Belum terisi"),IF(IFERROR(--(INDEX('Reguler Class Availability'!$G:$G,AQ36)&amp;""),0)/IFERROR(--(INDEX('Reguler Class Availability'!$F:$F,AQ36)&amp;""),0)&gt;=0.6,"Tinggi","Sebagian"))))))</f>
        <v>Sebagian</v>
      </c>
      <c r="AZ36" s="0" t="str">
        <f aca="false">IF(AR36="","",IF(AND(IFERROR(--(INDEX('Reguler Class Availability'!$F:$F,AR36)&amp;""),0)=0,IFERROR(--(INDEX('Reguler Class Availability'!$G:$G,AR36)&amp;""),0)=0),IF(OR(INDEX('Reguler Class Availability'!$B:$B,AR36)&amp;""&lt;&gt;"",INDEX('Reguler Class Availability'!$I:$I,AR36)&amp;""&lt;&gt;""),"Tutup","Tidak dibuka"),IF(IFERROR(--(INDEX('Reguler Class Availability'!$G:$G,AR36)&amp;""),0)&gt;IFERROR(--(INDEX('Reguler Class Availability'!$F:$F,AR36)&amp;""),0),"Lebih",IF(IFERROR(--(INDEX('Reguler Class Availability'!$G:$G,AR36)&amp;""),0)=IFERROR(--(INDEX('Reguler Class Availability'!$F:$F,AR36)&amp;""),0),"Penuh",IF(IFERROR(--(INDEX('Reguler Class Availability'!$G:$G,AR36)&amp;""),0)=0,IF(INDEX('Reguler Class Availability'!$B:$B,AR36)&amp;""="","Kosong","Belum terisi"),IF(IFERROR(--(INDEX('Reguler Class Availability'!$G:$G,AR36)&amp;""),0)/IFERROR(--(INDEX('Reguler Class Availability'!$F:$F,AR36)&amp;""),0)&gt;=0.6,"Tinggi","Sebagian"))))))</f>
        <v>Sebagian</v>
      </c>
      <c r="BA36" s="0" t="str">
        <f aca="false">IF(AS36="","",IF(AND(IFERROR(--(INDEX('Reguler Class Availability'!$F:$F,AS36)&amp;""),0)=0,IFERROR(--(INDEX('Reguler Class Availability'!$G:$G,AS36)&amp;""),0)=0),IF(OR(INDEX('Reguler Class Availability'!$B:$B,AS36)&amp;""&lt;&gt;"",INDEX('Reguler Class Availability'!$I:$I,AS36)&amp;""&lt;&gt;""),"Tutup","Tidak dibuka"),IF(IFERROR(--(INDEX('Reguler Class Availability'!$G:$G,AS36)&amp;""),0)&gt;IFERROR(--(INDEX('Reguler Class Availability'!$F:$F,AS36)&amp;""),0),"Lebih",IF(IFERROR(--(INDEX('Reguler Class Availability'!$G:$G,AS36)&amp;""),0)=IFERROR(--(INDEX('Reguler Class Availability'!$F:$F,AS36)&amp;""),0),"Penuh",IF(IFERROR(--(INDEX('Reguler Class Availability'!$G:$G,AS36)&amp;""),0)=0,IF(INDEX('Reguler Class Availability'!$B:$B,AS36)&amp;""="","Kosong","Belum terisi"),IF(IFERROR(--(INDEX('Reguler Class Availability'!$G:$G,AS36)&amp;""),0)/IFERROR(--(INDEX('Reguler Class Availability'!$F:$F,AS36)&amp;""),0)&gt;=0.6,"Tinggi","Sebagian"))))))</f>
        <v>Sebagian</v>
      </c>
      <c r="BB36" s="0" t="str">
        <f aca="false">IF(AT36="","",IF(AND(IFERROR(--(INDEX('Reguler Class Availability'!$F:$F,AT36)&amp;""),0)=0,IFERROR(--(INDEX('Reguler Class Availability'!$G:$G,AT36)&amp;""),0)=0),IF(OR(INDEX('Reguler Class Availability'!$B:$B,AT36)&amp;""&lt;&gt;"",INDEX('Reguler Class Availability'!$I:$I,AT36)&amp;""&lt;&gt;""),"Tutup","Tidak dibuka"),IF(IFERROR(--(INDEX('Reguler Class Availability'!$G:$G,AT36)&amp;""),0)&gt;IFERROR(--(INDEX('Reguler Class Availability'!$F:$F,AT36)&amp;""),0),"Lebih",IF(IFERROR(--(INDEX('Reguler Class Availability'!$G:$G,AT36)&amp;""),0)=IFERROR(--(INDEX('Reguler Class Availability'!$F:$F,AT36)&amp;""),0),"Penuh",IF(IFERROR(--(INDEX('Reguler Class Availability'!$G:$G,AT36)&amp;""),0)=0,IF(INDEX('Reguler Class Availability'!$B:$B,AT36)&amp;""="","Kosong","Belum terisi"),IF(IFERROR(--(INDEX('Reguler Class Availability'!$G:$G,AT36)&amp;""),0)/IFERROR(--(INDEX('Reguler Class Availability'!$F:$F,AT36)&amp;""),0)&gt;=0.6,"Tinggi","Sebagian"))))))</f>
        <v>Belum terisi</v>
      </c>
      <c r="BD36" s="30" t="s">
        <v>145</v>
      </c>
      <c r="BE36" s="30" t="n">
        <f aca="false">IF(COUNTIFS('Reguler Class Availability'!$L:$L,$B$4&amp;"|- Lane 1 - *|"&amp;BD36)&gt;0,1,0)</f>
        <v>0</v>
      </c>
      <c r="BF36" s="30" t="n">
        <f aca="false">BE36+BF35</f>
        <v>9</v>
      </c>
    </row>
    <row r="37" customFormat="false" ht="39.75" hidden="false" customHeight="true" outlineLevel="0" collapsed="false">
      <c r="A37" s="66" t="str">
        <f aca="false">IFERROR(INDEX($BD$62:$BD$121,MATCH(4,$BF$62:$BF$121,0)),"")</f>
        <v>10:15</v>
      </c>
      <c r="B37" s="67" t="str">
        <f aca="false">IF(AN37="","",IF(AV37="Tidak dibuka","–",IF(INDEX('Reguler Class Availability'!$B:$B,AN37)&amp;""="","Kosong",PROPER(INDEX('Reguler Class Availability'!$B:$B,AN37)&amp;""))&amp;"  "&amp;IFERROR(--(INDEX('Reguler Class Availability'!$G:$G,AN37)&amp;""),0)&amp;"/"&amp;IFERROR(--(INDEX('Reguler Class Availability'!$F:$F,AN37)&amp;""),0)&amp;IF(IFERROR(--(INDEX('Reguler Class Availability'!$F:$F,AN37)&amp;""),0)&gt;0,"  ("&amp;TEXT(IFERROR(--(INDEX('Reguler Class Availability'!$G:$G,AN37)&amp;""),0)/IFERROR(--(INDEX('Reguler Class Availability'!$F:$F,AN37)&amp;""),0),"0%")&amp;")","")&amp;CHAR(10)&amp;IF(INDEX('Reguler Class Availability'!$I:$I,AN37)&amp;""="","coach: –",PROPER(INDEX('Reguler Class Availability'!$I:$I,AN37)&amp;""))&amp;IF(INDEX('Reguler Class Availability'!$J:$J,AN37)&amp;""="","",CHAR(10)&amp;"asst: "&amp;PROPER(INDEX('Reguler Class Availability'!$J:$J,AN37)&amp;""))))</f>
        <v>Tiny  1/5  (20%)
Shabrina</v>
      </c>
      <c r="C37" s="67" t="str">
        <f aca="false">IF(AO37="","",IF(AW37="Tidak dibuka","–",IF(INDEX('Reguler Class Availability'!$B:$B,AO37)&amp;""="","Kosong",PROPER(INDEX('Reguler Class Availability'!$B:$B,AO37)&amp;""))&amp;"  "&amp;IFERROR(--(INDEX('Reguler Class Availability'!$G:$G,AO37)&amp;""),0)&amp;"/"&amp;IFERROR(--(INDEX('Reguler Class Availability'!$F:$F,AO37)&amp;""),0)&amp;IF(IFERROR(--(INDEX('Reguler Class Availability'!$F:$F,AO37)&amp;""),0)&gt;0,"  ("&amp;TEXT(IFERROR(--(INDEX('Reguler Class Availability'!$G:$G,AO37)&amp;""),0)/IFERROR(--(INDEX('Reguler Class Availability'!$F:$F,AO37)&amp;""),0),"0%")&amp;")","")&amp;CHAR(10)&amp;IF(INDEX('Reguler Class Availability'!$I:$I,AO37)&amp;""="","coach: –",PROPER(INDEX('Reguler Class Availability'!$I:$I,AO37)&amp;""))&amp;IF(INDEX('Reguler Class Availability'!$J:$J,AO37)&amp;""="","",CHAR(10)&amp;"asst: "&amp;PROPER(INDEX('Reguler Class Availability'!$J:$J,AO37)&amp;""))))</f>
        <v>Tiny  0/5  (0%)
coach: –</v>
      </c>
      <c r="D37" s="67" t="str">
        <f aca="false">IF(AP37="","",IF(AX37="Tidak dibuka","–",IF(INDEX('Reguler Class Availability'!$B:$B,AP37)&amp;""="","Kosong",PROPER(INDEX('Reguler Class Availability'!$B:$B,AP37)&amp;""))&amp;"  "&amp;IFERROR(--(INDEX('Reguler Class Availability'!$G:$G,AP37)&amp;""),0)&amp;"/"&amp;IFERROR(--(INDEX('Reguler Class Availability'!$F:$F,AP37)&amp;""),0)&amp;IF(IFERROR(--(INDEX('Reguler Class Availability'!$F:$F,AP37)&amp;""),0)&gt;0,"  ("&amp;TEXT(IFERROR(--(INDEX('Reguler Class Availability'!$G:$G,AP37)&amp;""),0)/IFERROR(--(INDEX('Reguler Class Availability'!$F:$F,AP37)&amp;""),0),"0%")&amp;")","")&amp;CHAR(10)&amp;IF(INDEX('Reguler Class Availability'!$I:$I,AP37)&amp;""="","coach: –",PROPER(INDEX('Reguler Class Availability'!$I:$I,AP37)&amp;""))&amp;IF(INDEX('Reguler Class Availability'!$J:$J,AP37)&amp;""="","",CHAR(10)&amp;"asst: "&amp;PROPER(INDEX('Reguler Class Availability'!$J:$J,AP37)&amp;""))))</f>
        <v>Tiny  2/5  (40%)
Rizky</v>
      </c>
      <c r="E37" s="67" t="str">
        <f aca="false">IF(AQ37="","",IF(AY37="Tidak dibuka","–",IF(INDEX('Reguler Class Availability'!$B:$B,AQ37)&amp;""="","Kosong",PROPER(INDEX('Reguler Class Availability'!$B:$B,AQ37)&amp;""))&amp;"  "&amp;IFERROR(--(INDEX('Reguler Class Availability'!$G:$G,AQ37)&amp;""),0)&amp;"/"&amp;IFERROR(--(INDEX('Reguler Class Availability'!$F:$F,AQ37)&amp;""),0)&amp;IF(IFERROR(--(INDEX('Reguler Class Availability'!$F:$F,AQ37)&amp;""),0)&gt;0,"  ("&amp;TEXT(IFERROR(--(INDEX('Reguler Class Availability'!$G:$G,AQ37)&amp;""),0)/IFERROR(--(INDEX('Reguler Class Availability'!$F:$F,AQ37)&amp;""),0),"0%")&amp;")","")&amp;CHAR(10)&amp;IF(INDEX('Reguler Class Availability'!$I:$I,AQ37)&amp;""="","coach: –",PROPER(INDEX('Reguler Class Availability'!$I:$I,AQ37)&amp;""))&amp;IF(INDEX('Reguler Class Availability'!$J:$J,AQ37)&amp;""="","",CHAR(10)&amp;"asst: "&amp;PROPER(INDEX('Reguler Class Availability'!$J:$J,AQ37)&amp;""))))</f>
        <v>Tiny  1/5  (20%)
Rizky</v>
      </c>
      <c r="F37" s="67" t="str">
        <f aca="false">IF(AR37="","",IF(AZ37="Tidak dibuka","–",IF(INDEX('Reguler Class Availability'!$B:$B,AR37)&amp;""="","Kosong",PROPER(INDEX('Reguler Class Availability'!$B:$B,AR37)&amp;""))&amp;"  "&amp;IFERROR(--(INDEX('Reguler Class Availability'!$G:$G,AR37)&amp;""),0)&amp;"/"&amp;IFERROR(--(INDEX('Reguler Class Availability'!$F:$F,AR37)&amp;""),0)&amp;IF(IFERROR(--(INDEX('Reguler Class Availability'!$F:$F,AR37)&amp;""),0)&gt;0,"  ("&amp;TEXT(IFERROR(--(INDEX('Reguler Class Availability'!$G:$G,AR37)&amp;""),0)/IFERROR(--(INDEX('Reguler Class Availability'!$F:$F,AR37)&amp;""),0),"0%")&amp;")","")&amp;CHAR(10)&amp;IF(INDEX('Reguler Class Availability'!$I:$I,AR37)&amp;""="","coach: –",PROPER(INDEX('Reguler Class Availability'!$I:$I,AR37)&amp;""))&amp;IF(INDEX('Reguler Class Availability'!$J:$J,AR37)&amp;""="","",CHAR(10)&amp;"asst: "&amp;PROPER(INDEX('Reguler Class Availability'!$J:$J,AR37)&amp;""))))</f>
        <v>Tiny  0/5  (0%)
coach: –</v>
      </c>
      <c r="G37" s="67" t="str">
        <f aca="false">IF(AS37="","",IF(BA37="Tidak dibuka","–",IF(INDEX('Reguler Class Availability'!$B:$B,AS37)&amp;""="","Kosong",PROPER(INDEX('Reguler Class Availability'!$B:$B,AS37)&amp;""))&amp;"  "&amp;IFERROR(--(INDEX('Reguler Class Availability'!$G:$G,AS37)&amp;""),0)&amp;"/"&amp;IFERROR(--(INDEX('Reguler Class Availability'!$F:$F,AS37)&amp;""),0)&amp;IF(IFERROR(--(INDEX('Reguler Class Availability'!$F:$F,AS37)&amp;""),0)&gt;0,"  ("&amp;TEXT(IFERROR(--(INDEX('Reguler Class Availability'!$G:$G,AS37)&amp;""),0)/IFERROR(--(INDEX('Reguler Class Availability'!$F:$F,AS37)&amp;""),0),"0%")&amp;")","")&amp;CHAR(10)&amp;IF(INDEX('Reguler Class Availability'!$I:$I,AS37)&amp;""="","coach: –",PROPER(INDEX('Reguler Class Availability'!$I:$I,AS37)&amp;""))&amp;IF(INDEX('Reguler Class Availability'!$J:$J,AS37)&amp;""="","",CHAR(10)&amp;"asst: "&amp;PROPER(INDEX('Reguler Class Availability'!$J:$J,AS37)&amp;""))))</f>
        <v>Tiny  2/5  (40%)
Shabrina</v>
      </c>
      <c r="H37" s="67" t="str">
        <f aca="false">IF(AT37="","",IF(BB37="Tidak dibuka","–",IF(INDEX('Reguler Class Availability'!$B:$B,AT37)&amp;""="","Kosong",PROPER(INDEX('Reguler Class Availability'!$B:$B,AT37)&amp;""))&amp;"  "&amp;IFERROR(--(INDEX('Reguler Class Availability'!$G:$G,AT37)&amp;""),0)&amp;"/"&amp;IFERROR(--(INDEX('Reguler Class Availability'!$F:$F,AT37)&amp;""),0)&amp;IF(IFERROR(--(INDEX('Reguler Class Availability'!$F:$F,AT37)&amp;""),0)&gt;0,"  ("&amp;TEXT(IFERROR(--(INDEX('Reguler Class Availability'!$G:$G,AT37)&amp;""),0)/IFERROR(--(INDEX('Reguler Class Availability'!$F:$F,AT37)&amp;""),0),"0%")&amp;")","")&amp;CHAR(10)&amp;IF(INDEX('Reguler Class Availability'!$I:$I,AT37)&amp;""="","coach: –",PROPER(INDEX('Reguler Class Availability'!$I:$I,AT37)&amp;""))&amp;IF(INDEX('Reguler Class Availability'!$J:$J,AT37)&amp;""="","",CHAR(10)&amp;"asst: "&amp;PROPER(INDEX('Reguler Class Availability'!$J:$J,AT37)&amp;""))))</f>
        <v>Tiny  0/5  (0%)
coach: –</v>
      </c>
      <c r="AN37" s="30" t="n">
        <f aca="false">IF($A37="","",IFERROR(MATCH($B$4&amp;"|- Lane 2 - "&amp;B$33&amp;"|"&amp;$A37,'Reguler Class Availability'!$L:$L,0),""))</f>
        <v>2511</v>
      </c>
      <c r="AO37" s="30" t="n">
        <f aca="false">IF($A37="","",IFERROR(MATCH($B$4&amp;"|- Lane 2 - "&amp;C$33&amp;"|"&amp;$A37,'Reguler Class Availability'!$L:$L,0),""))</f>
        <v>2523</v>
      </c>
      <c r="AP37" s="30" t="n">
        <f aca="false">IF($A37="","",IFERROR(MATCH($B$4&amp;"|- Lane 2 - "&amp;D$33&amp;"|"&amp;$A37,'Reguler Class Availability'!$L:$L,0),""))</f>
        <v>2535</v>
      </c>
      <c r="AQ37" s="30" t="n">
        <f aca="false">IF($A37="","",IFERROR(MATCH($B$4&amp;"|- Lane 2 - "&amp;E$33&amp;"|"&amp;$A37,'Reguler Class Availability'!$L:$L,0),""))</f>
        <v>2547</v>
      </c>
      <c r="AR37" s="30" t="n">
        <f aca="false">IF($A37="","",IFERROR(MATCH($B$4&amp;"|- Lane 2 - "&amp;F$33&amp;"|"&amp;$A37,'Reguler Class Availability'!$L:$L,0),""))</f>
        <v>2559</v>
      </c>
      <c r="AS37" s="30" t="n">
        <f aca="false">IF($A37="","",IFERROR(MATCH($B$4&amp;"|- Lane 2 - "&amp;G$33&amp;"|"&amp;$A37,'Reguler Class Availability'!$L:$L,0),""))</f>
        <v>2571</v>
      </c>
      <c r="AT37" s="30" t="n">
        <f aca="false">IF($A37="","",IFERROR(MATCH($B$4&amp;"|- Lane 2 - "&amp;H$33&amp;"|"&amp;$A37,'Reguler Class Availability'!$L:$L,0),""))</f>
        <v>2583</v>
      </c>
      <c r="AV37" s="0" t="str">
        <f aca="false">IF(AN37="","",IF(AND(IFERROR(--(INDEX('Reguler Class Availability'!$F:$F,AN37)&amp;""),0)=0,IFERROR(--(INDEX('Reguler Class Availability'!$G:$G,AN37)&amp;""),0)=0),IF(OR(INDEX('Reguler Class Availability'!$B:$B,AN37)&amp;""&lt;&gt;"",INDEX('Reguler Class Availability'!$I:$I,AN37)&amp;""&lt;&gt;""),"Tutup","Tidak dibuka"),IF(IFERROR(--(INDEX('Reguler Class Availability'!$G:$G,AN37)&amp;""),0)&gt;IFERROR(--(INDEX('Reguler Class Availability'!$F:$F,AN37)&amp;""),0),"Lebih",IF(IFERROR(--(INDEX('Reguler Class Availability'!$G:$G,AN37)&amp;""),0)=IFERROR(--(INDEX('Reguler Class Availability'!$F:$F,AN37)&amp;""),0),"Penuh",IF(IFERROR(--(INDEX('Reguler Class Availability'!$G:$G,AN37)&amp;""),0)=0,IF(INDEX('Reguler Class Availability'!$B:$B,AN37)&amp;""="","Kosong","Belum terisi"),IF(IFERROR(--(INDEX('Reguler Class Availability'!$G:$G,AN37)&amp;""),0)/IFERROR(--(INDEX('Reguler Class Availability'!$F:$F,AN37)&amp;""),0)&gt;=0.6,"Tinggi","Sebagian"))))))</f>
        <v>Sebagian</v>
      </c>
      <c r="AW37" s="0" t="str">
        <f aca="false">IF(AO37="","",IF(AND(IFERROR(--(INDEX('Reguler Class Availability'!$F:$F,AO37)&amp;""),0)=0,IFERROR(--(INDEX('Reguler Class Availability'!$G:$G,AO37)&amp;""),0)=0),IF(OR(INDEX('Reguler Class Availability'!$B:$B,AO37)&amp;""&lt;&gt;"",INDEX('Reguler Class Availability'!$I:$I,AO37)&amp;""&lt;&gt;""),"Tutup","Tidak dibuka"),IF(IFERROR(--(INDEX('Reguler Class Availability'!$G:$G,AO37)&amp;""),0)&gt;IFERROR(--(INDEX('Reguler Class Availability'!$F:$F,AO37)&amp;""),0),"Lebih",IF(IFERROR(--(INDEX('Reguler Class Availability'!$G:$G,AO37)&amp;""),0)=IFERROR(--(INDEX('Reguler Class Availability'!$F:$F,AO37)&amp;""),0),"Penuh",IF(IFERROR(--(INDEX('Reguler Class Availability'!$G:$G,AO37)&amp;""),0)=0,IF(INDEX('Reguler Class Availability'!$B:$B,AO37)&amp;""="","Kosong","Belum terisi"),IF(IFERROR(--(INDEX('Reguler Class Availability'!$G:$G,AO37)&amp;""),0)/IFERROR(--(INDEX('Reguler Class Availability'!$F:$F,AO37)&amp;""),0)&gt;=0.6,"Tinggi","Sebagian"))))))</f>
        <v>Belum terisi</v>
      </c>
      <c r="AX37" s="0" t="str">
        <f aca="false">IF(AP37="","",IF(AND(IFERROR(--(INDEX('Reguler Class Availability'!$F:$F,AP37)&amp;""),0)=0,IFERROR(--(INDEX('Reguler Class Availability'!$G:$G,AP37)&amp;""),0)=0),IF(OR(INDEX('Reguler Class Availability'!$B:$B,AP37)&amp;""&lt;&gt;"",INDEX('Reguler Class Availability'!$I:$I,AP37)&amp;""&lt;&gt;""),"Tutup","Tidak dibuka"),IF(IFERROR(--(INDEX('Reguler Class Availability'!$G:$G,AP37)&amp;""),0)&gt;IFERROR(--(INDEX('Reguler Class Availability'!$F:$F,AP37)&amp;""),0),"Lebih",IF(IFERROR(--(INDEX('Reguler Class Availability'!$G:$G,AP37)&amp;""),0)=IFERROR(--(INDEX('Reguler Class Availability'!$F:$F,AP37)&amp;""),0),"Penuh",IF(IFERROR(--(INDEX('Reguler Class Availability'!$G:$G,AP37)&amp;""),0)=0,IF(INDEX('Reguler Class Availability'!$B:$B,AP37)&amp;""="","Kosong","Belum terisi"),IF(IFERROR(--(INDEX('Reguler Class Availability'!$G:$G,AP37)&amp;""),0)/IFERROR(--(INDEX('Reguler Class Availability'!$F:$F,AP37)&amp;""),0)&gt;=0.6,"Tinggi","Sebagian"))))))</f>
        <v>Sebagian</v>
      </c>
      <c r="AY37" s="0" t="str">
        <f aca="false">IF(AQ37="","",IF(AND(IFERROR(--(INDEX('Reguler Class Availability'!$F:$F,AQ37)&amp;""),0)=0,IFERROR(--(INDEX('Reguler Class Availability'!$G:$G,AQ37)&amp;""),0)=0),IF(OR(INDEX('Reguler Class Availability'!$B:$B,AQ37)&amp;""&lt;&gt;"",INDEX('Reguler Class Availability'!$I:$I,AQ37)&amp;""&lt;&gt;""),"Tutup","Tidak dibuka"),IF(IFERROR(--(INDEX('Reguler Class Availability'!$G:$G,AQ37)&amp;""),0)&gt;IFERROR(--(INDEX('Reguler Class Availability'!$F:$F,AQ37)&amp;""),0),"Lebih",IF(IFERROR(--(INDEX('Reguler Class Availability'!$G:$G,AQ37)&amp;""),0)=IFERROR(--(INDEX('Reguler Class Availability'!$F:$F,AQ37)&amp;""),0),"Penuh",IF(IFERROR(--(INDEX('Reguler Class Availability'!$G:$G,AQ37)&amp;""),0)=0,IF(INDEX('Reguler Class Availability'!$B:$B,AQ37)&amp;""="","Kosong","Belum terisi"),IF(IFERROR(--(INDEX('Reguler Class Availability'!$G:$G,AQ37)&amp;""),0)/IFERROR(--(INDEX('Reguler Class Availability'!$F:$F,AQ37)&amp;""),0)&gt;=0.6,"Tinggi","Sebagian"))))))</f>
        <v>Sebagian</v>
      </c>
      <c r="AZ37" s="0" t="str">
        <f aca="false">IF(AR37="","",IF(AND(IFERROR(--(INDEX('Reguler Class Availability'!$F:$F,AR37)&amp;""),0)=0,IFERROR(--(INDEX('Reguler Class Availability'!$G:$G,AR37)&amp;""),0)=0),IF(OR(INDEX('Reguler Class Availability'!$B:$B,AR37)&amp;""&lt;&gt;"",INDEX('Reguler Class Availability'!$I:$I,AR37)&amp;""&lt;&gt;""),"Tutup","Tidak dibuka"),IF(IFERROR(--(INDEX('Reguler Class Availability'!$G:$G,AR37)&amp;""),0)&gt;IFERROR(--(INDEX('Reguler Class Availability'!$F:$F,AR37)&amp;""),0),"Lebih",IF(IFERROR(--(INDEX('Reguler Class Availability'!$G:$G,AR37)&amp;""),0)=IFERROR(--(INDEX('Reguler Class Availability'!$F:$F,AR37)&amp;""),0),"Penuh",IF(IFERROR(--(INDEX('Reguler Class Availability'!$G:$G,AR37)&amp;""),0)=0,IF(INDEX('Reguler Class Availability'!$B:$B,AR37)&amp;""="","Kosong","Belum terisi"),IF(IFERROR(--(INDEX('Reguler Class Availability'!$G:$G,AR37)&amp;""),0)/IFERROR(--(INDEX('Reguler Class Availability'!$F:$F,AR37)&amp;""),0)&gt;=0.6,"Tinggi","Sebagian"))))))</f>
        <v>Belum terisi</v>
      </c>
      <c r="BA37" s="0" t="str">
        <f aca="false">IF(AS37="","",IF(AND(IFERROR(--(INDEX('Reguler Class Availability'!$F:$F,AS37)&amp;""),0)=0,IFERROR(--(INDEX('Reguler Class Availability'!$G:$G,AS37)&amp;""),0)=0),IF(OR(INDEX('Reguler Class Availability'!$B:$B,AS37)&amp;""&lt;&gt;"",INDEX('Reguler Class Availability'!$I:$I,AS37)&amp;""&lt;&gt;""),"Tutup","Tidak dibuka"),IF(IFERROR(--(INDEX('Reguler Class Availability'!$G:$G,AS37)&amp;""),0)&gt;IFERROR(--(INDEX('Reguler Class Availability'!$F:$F,AS37)&amp;""),0),"Lebih",IF(IFERROR(--(INDEX('Reguler Class Availability'!$G:$G,AS37)&amp;""),0)=IFERROR(--(INDEX('Reguler Class Availability'!$F:$F,AS37)&amp;""),0),"Penuh",IF(IFERROR(--(INDEX('Reguler Class Availability'!$G:$G,AS37)&amp;""),0)=0,IF(INDEX('Reguler Class Availability'!$B:$B,AS37)&amp;""="","Kosong","Belum terisi"),IF(IFERROR(--(INDEX('Reguler Class Availability'!$G:$G,AS37)&amp;""),0)/IFERROR(--(INDEX('Reguler Class Availability'!$F:$F,AS37)&amp;""),0)&gt;=0.6,"Tinggi","Sebagian"))))))</f>
        <v>Sebagian</v>
      </c>
      <c r="BB37" s="0" t="str">
        <f aca="false">IF(AT37="","",IF(AND(IFERROR(--(INDEX('Reguler Class Availability'!$F:$F,AT37)&amp;""),0)=0,IFERROR(--(INDEX('Reguler Class Availability'!$G:$G,AT37)&amp;""),0)=0),IF(OR(INDEX('Reguler Class Availability'!$B:$B,AT37)&amp;""&lt;&gt;"",INDEX('Reguler Class Availability'!$I:$I,AT37)&amp;""&lt;&gt;""),"Tutup","Tidak dibuka"),IF(IFERROR(--(INDEX('Reguler Class Availability'!$G:$G,AT37)&amp;""),0)&gt;IFERROR(--(INDEX('Reguler Class Availability'!$F:$F,AT37)&amp;""),0),"Lebih",IF(IFERROR(--(INDEX('Reguler Class Availability'!$G:$G,AT37)&amp;""),0)=IFERROR(--(INDEX('Reguler Class Availability'!$F:$F,AT37)&amp;""),0),"Penuh",IF(IFERROR(--(INDEX('Reguler Class Availability'!$G:$G,AT37)&amp;""),0)=0,IF(INDEX('Reguler Class Availability'!$B:$B,AT37)&amp;""="","Kosong","Belum terisi"),IF(IFERROR(--(INDEX('Reguler Class Availability'!$G:$G,AT37)&amp;""),0)/IFERROR(--(INDEX('Reguler Class Availability'!$F:$F,AT37)&amp;""),0)&gt;=0.6,"Tinggi","Sebagian"))))))</f>
        <v>Belum terisi</v>
      </c>
      <c r="BD37" s="30" t="s">
        <v>146</v>
      </c>
      <c r="BE37" s="30" t="n">
        <f aca="false">IF(COUNTIFS('Reguler Class Availability'!$L:$L,$B$4&amp;"|- Lane 1 - *|"&amp;BD37)&gt;0,1,0)</f>
        <v>1</v>
      </c>
      <c r="BF37" s="30" t="n">
        <f aca="false">BE37+BF36</f>
        <v>10</v>
      </c>
    </row>
    <row r="38" customFormat="false" ht="39.75" hidden="false" customHeight="true" outlineLevel="0" collapsed="false">
      <c r="A38" s="66" t="str">
        <f aca="false">IFERROR(INDEX($BD$62:$BD$121,MATCH(5,$BF$62:$BF$121,0)),"")</f>
        <v>11:00</v>
      </c>
      <c r="B38" s="67" t="str">
        <f aca="false">IF(AN38="","",IF(AV38="Tidak dibuka","–",IF(INDEX('Reguler Class Availability'!$B:$B,AN38)&amp;""="","Kosong",PROPER(INDEX('Reguler Class Availability'!$B:$B,AN38)&amp;""))&amp;"  "&amp;IFERROR(--(INDEX('Reguler Class Availability'!$G:$G,AN38)&amp;""),0)&amp;"/"&amp;IFERROR(--(INDEX('Reguler Class Availability'!$F:$F,AN38)&amp;""),0)&amp;IF(IFERROR(--(INDEX('Reguler Class Availability'!$F:$F,AN38)&amp;""),0)&gt;0,"  ("&amp;TEXT(IFERROR(--(INDEX('Reguler Class Availability'!$G:$G,AN38)&amp;""),0)/IFERROR(--(INDEX('Reguler Class Availability'!$F:$F,AN38)&amp;""),0),"0%")&amp;")","")&amp;CHAR(10)&amp;IF(INDEX('Reguler Class Availability'!$I:$I,AN38)&amp;""="","coach: –",PROPER(INDEX('Reguler Class Availability'!$I:$I,AN38)&amp;""))&amp;IF(INDEX('Reguler Class Availability'!$J:$J,AN38)&amp;""="","",CHAR(10)&amp;"asst: "&amp;PROPER(INDEX('Reguler Class Availability'!$J:$J,AN38)&amp;""))))</f>
        <v>Tiny  0/5  (0%)
coach: –</v>
      </c>
      <c r="C38" s="67" t="str">
        <f aca="false">IF(AO38="","",IF(AW38="Tidak dibuka","–",IF(INDEX('Reguler Class Availability'!$B:$B,AO38)&amp;""="","Kosong",PROPER(INDEX('Reguler Class Availability'!$B:$B,AO38)&amp;""))&amp;"  "&amp;IFERROR(--(INDEX('Reguler Class Availability'!$G:$G,AO38)&amp;""),0)&amp;"/"&amp;IFERROR(--(INDEX('Reguler Class Availability'!$F:$F,AO38)&amp;""),0)&amp;IF(IFERROR(--(INDEX('Reguler Class Availability'!$F:$F,AO38)&amp;""),0)&gt;0,"  ("&amp;TEXT(IFERROR(--(INDEX('Reguler Class Availability'!$G:$G,AO38)&amp;""),0)/IFERROR(--(INDEX('Reguler Class Availability'!$F:$F,AO38)&amp;""),0),"0%")&amp;")","")&amp;CHAR(10)&amp;IF(INDEX('Reguler Class Availability'!$I:$I,AO38)&amp;""="","coach: –",PROPER(INDEX('Reguler Class Availability'!$I:$I,AO38)&amp;""))&amp;IF(INDEX('Reguler Class Availability'!$J:$J,AO38)&amp;""="","",CHAR(10)&amp;"asst: "&amp;PROPER(INDEX('Reguler Class Availability'!$J:$J,AO38)&amp;""))))</f>
        <v>Tiny  0/5  (0%)
coach: –</v>
      </c>
      <c r="D38" s="67" t="str">
        <f aca="false">IF(AP38="","",IF(AX38="Tidak dibuka","–",IF(INDEX('Reguler Class Availability'!$B:$B,AP38)&amp;""="","Kosong",PROPER(INDEX('Reguler Class Availability'!$B:$B,AP38)&amp;""))&amp;"  "&amp;IFERROR(--(INDEX('Reguler Class Availability'!$G:$G,AP38)&amp;""),0)&amp;"/"&amp;IFERROR(--(INDEX('Reguler Class Availability'!$F:$F,AP38)&amp;""),0)&amp;IF(IFERROR(--(INDEX('Reguler Class Availability'!$F:$F,AP38)&amp;""),0)&gt;0,"  ("&amp;TEXT(IFERROR(--(INDEX('Reguler Class Availability'!$G:$G,AP38)&amp;""),0)/IFERROR(--(INDEX('Reguler Class Availability'!$F:$F,AP38)&amp;""),0),"0%")&amp;")","")&amp;CHAR(10)&amp;IF(INDEX('Reguler Class Availability'!$I:$I,AP38)&amp;""="","coach: –",PROPER(INDEX('Reguler Class Availability'!$I:$I,AP38)&amp;""))&amp;IF(INDEX('Reguler Class Availability'!$J:$J,AP38)&amp;""="","",CHAR(10)&amp;"asst: "&amp;PROPER(INDEX('Reguler Class Availability'!$J:$J,AP38)&amp;""))))</f>
        <v>Tiny  0/5  (0%)
coach: –</v>
      </c>
      <c r="E38" s="67" t="str">
        <f aca="false">IF(AQ38="","",IF(AY38="Tidak dibuka","–",IF(INDEX('Reguler Class Availability'!$B:$B,AQ38)&amp;""="","Kosong",PROPER(INDEX('Reguler Class Availability'!$B:$B,AQ38)&amp;""))&amp;"  "&amp;IFERROR(--(INDEX('Reguler Class Availability'!$G:$G,AQ38)&amp;""),0)&amp;"/"&amp;IFERROR(--(INDEX('Reguler Class Availability'!$F:$F,AQ38)&amp;""),0)&amp;IF(IFERROR(--(INDEX('Reguler Class Availability'!$F:$F,AQ38)&amp;""),0)&gt;0,"  ("&amp;TEXT(IFERROR(--(INDEX('Reguler Class Availability'!$G:$G,AQ38)&amp;""),0)/IFERROR(--(INDEX('Reguler Class Availability'!$F:$F,AQ38)&amp;""),0),"0%")&amp;")","")&amp;CHAR(10)&amp;IF(INDEX('Reguler Class Availability'!$I:$I,AQ38)&amp;""="","coach: –",PROPER(INDEX('Reguler Class Availability'!$I:$I,AQ38)&amp;""))&amp;IF(INDEX('Reguler Class Availability'!$J:$J,AQ38)&amp;""="","",CHAR(10)&amp;"asst: "&amp;PROPER(INDEX('Reguler Class Availability'!$J:$J,AQ38)&amp;""))))</f>
        <v>Tiny  1/5  (20%)
Rizky</v>
      </c>
      <c r="F38" s="67" t="str">
        <f aca="false">IF(AR38="","",IF(AZ38="Tidak dibuka","–",IF(INDEX('Reguler Class Availability'!$B:$B,AR38)&amp;""="","Kosong",PROPER(INDEX('Reguler Class Availability'!$B:$B,AR38)&amp;""))&amp;"  "&amp;IFERROR(--(INDEX('Reguler Class Availability'!$G:$G,AR38)&amp;""),0)&amp;"/"&amp;IFERROR(--(INDEX('Reguler Class Availability'!$F:$F,AR38)&amp;""),0)&amp;IF(IFERROR(--(INDEX('Reguler Class Availability'!$F:$F,AR38)&amp;""),0)&gt;0,"  ("&amp;TEXT(IFERROR(--(INDEX('Reguler Class Availability'!$G:$G,AR38)&amp;""),0)/IFERROR(--(INDEX('Reguler Class Availability'!$F:$F,AR38)&amp;""),0),"0%")&amp;")","")&amp;CHAR(10)&amp;IF(INDEX('Reguler Class Availability'!$I:$I,AR38)&amp;""="","coach: –",PROPER(INDEX('Reguler Class Availability'!$I:$I,AR38)&amp;""))&amp;IF(INDEX('Reguler Class Availability'!$J:$J,AR38)&amp;""="","",CHAR(10)&amp;"asst: "&amp;PROPER(INDEX('Reguler Class Availability'!$J:$J,AR38)&amp;""))))</f>
        <v>Tiny  0/5  (0%)
coach: –</v>
      </c>
      <c r="G38" s="67" t="str">
        <f aca="false">IF(AS38="","",IF(BA38="Tidak dibuka","–",IF(INDEX('Reguler Class Availability'!$B:$B,AS38)&amp;""="","Kosong",PROPER(INDEX('Reguler Class Availability'!$B:$B,AS38)&amp;""))&amp;"  "&amp;IFERROR(--(INDEX('Reguler Class Availability'!$G:$G,AS38)&amp;""),0)&amp;"/"&amp;IFERROR(--(INDEX('Reguler Class Availability'!$F:$F,AS38)&amp;""),0)&amp;IF(IFERROR(--(INDEX('Reguler Class Availability'!$F:$F,AS38)&amp;""),0)&gt;0,"  ("&amp;TEXT(IFERROR(--(INDEX('Reguler Class Availability'!$G:$G,AS38)&amp;""),0)/IFERROR(--(INDEX('Reguler Class Availability'!$F:$F,AS38)&amp;""),0),"0%")&amp;")","")&amp;CHAR(10)&amp;IF(INDEX('Reguler Class Availability'!$I:$I,AS38)&amp;""="","coach: –",PROPER(INDEX('Reguler Class Availability'!$I:$I,AS38)&amp;""))&amp;IF(INDEX('Reguler Class Availability'!$J:$J,AS38)&amp;""="","",CHAR(10)&amp;"asst: "&amp;PROPER(INDEX('Reguler Class Availability'!$J:$J,AS38)&amp;""))))</f>
        <v>Tiny  0/5  (0%)
coach: –</v>
      </c>
      <c r="H38" s="67" t="str">
        <f aca="false">IF(AT38="","",IF(BB38="Tidak dibuka","–",IF(INDEX('Reguler Class Availability'!$B:$B,AT38)&amp;""="","Kosong",PROPER(INDEX('Reguler Class Availability'!$B:$B,AT38)&amp;""))&amp;"  "&amp;IFERROR(--(INDEX('Reguler Class Availability'!$G:$G,AT38)&amp;""),0)&amp;"/"&amp;IFERROR(--(INDEX('Reguler Class Availability'!$F:$F,AT38)&amp;""),0)&amp;IF(IFERROR(--(INDEX('Reguler Class Availability'!$F:$F,AT38)&amp;""),0)&gt;0,"  ("&amp;TEXT(IFERROR(--(INDEX('Reguler Class Availability'!$G:$G,AT38)&amp;""),0)/IFERROR(--(INDEX('Reguler Class Availability'!$F:$F,AT38)&amp;""),0),"0%")&amp;")","")&amp;CHAR(10)&amp;IF(INDEX('Reguler Class Availability'!$I:$I,AT38)&amp;""="","coach: –",PROPER(INDEX('Reguler Class Availability'!$I:$I,AT38)&amp;""))&amp;IF(INDEX('Reguler Class Availability'!$J:$J,AT38)&amp;""="","",CHAR(10)&amp;"asst: "&amp;PROPER(INDEX('Reguler Class Availability'!$J:$J,AT38)&amp;""))))</f>
        <v>Tiny  3/5  (60%)
Rizky</v>
      </c>
      <c r="AN38" s="30" t="n">
        <f aca="false">IF($A38="","",IFERROR(MATCH($B$4&amp;"|- Lane 2 - "&amp;B$33&amp;"|"&amp;$A38,'Reguler Class Availability'!$L:$L,0),""))</f>
        <v>2512</v>
      </c>
      <c r="AO38" s="30" t="n">
        <f aca="false">IF($A38="","",IFERROR(MATCH($B$4&amp;"|- Lane 2 - "&amp;C$33&amp;"|"&amp;$A38,'Reguler Class Availability'!$L:$L,0),""))</f>
        <v>2524</v>
      </c>
      <c r="AP38" s="30" t="n">
        <f aca="false">IF($A38="","",IFERROR(MATCH($B$4&amp;"|- Lane 2 - "&amp;D$33&amp;"|"&amp;$A38,'Reguler Class Availability'!$L:$L,0),""))</f>
        <v>2536</v>
      </c>
      <c r="AQ38" s="30" t="n">
        <f aca="false">IF($A38="","",IFERROR(MATCH($B$4&amp;"|- Lane 2 - "&amp;E$33&amp;"|"&amp;$A38,'Reguler Class Availability'!$L:$L,0),""))</f>
        <v>2548</v>
      </c>
      <c r="AR38" s="30" t="n">
        <f aca="false">IF($A38="","",IFERROR(MATCH($B$4&amp;"|- Lane 2 - "&amp;F$33&amp;"|"&amp;$A38,'Reguler Class Availability'!$L:$L,0),""))</f>
        <v>2560</v>
      </c>
      <c r="AS38" s="30" t="n">
        <f aca="false">IF($A38="","",IFERROR(MATCH($B$4&amp;"|- Lane 2 - "&amp;G$33&amp;"|"&amp;$A38,'Reguler Class Availability'!$L:$L,0),""))</f>
        <v>2572</v>
      </c>
      <c r="AT38" s="30" t="n">
        <f aca="false">IF($A38="","",IFERROR(MATCH($B$4&amp;"|- Lane 2 - "&amp;H$33&amp;"|"&amp;$A38,'Reguler Class Availability'!$L:$L,0),""))</f>
        <v>2584</v>
      </c>
      <c r="AV38" s="0" t="str">
        <f aca="false">IF(AN38="","",IF(AND(IFERROR(--(INDEX('Reguler Class Availability'!$F:$F,AN38)&amp;""),0)=0,IFERROR(--(INDEX('Reguler Class Availability'!$G:$G,AN38)&amp;""),0)=0),IF(OR(INDEX('Reguler Class Availability'!$B:$B,AN38)&amp;""&lt;&gt;"",INDEX('Reguler Class Availability'!$I:$I,AN38)&amp;""&lt;&gt;""),"Tutup","Tidak dibuka"),IF(IFERROR(--(INDEX('Reguler Class Availability'!$G:$G,AN38)&amp;""),0)&gt;IFERROR(--(INDEX('Reguler Class Availability'!$F:$F,AN38)&amp;""),0),"Lebih",IF(IFERROR(--(INDEX('Reguler Class Availability'!$G:$G,AN38)&amp;""),0)=IFERROR(--(INDEX('Reguler Class Availability'!$F:$F,AN38)&amp;""),0),"Penuh",IF(IFERROR(--(INDEX('Reguler Class Availability'!$G:$G,AN38)&amp;""),0)=0,IF(INDEX('Reguler Class Availability'!$B:$B,AN38)&amp;""="","Kosong","Belum terisi"),IF(IFERROR(--(INDEX('Reguler Class Availability'!$G:$G,AN38)&amp;""),0)/IFERROR(--(INDEX('Reguler Class Availability'!$F:$F,AN38)&amp;""),0)&gt;=0.6,"Tinggi","Sebagian"))))))</f>
        <v>Belum terisi</v>
      </c>
      <c r="AW38" s="0" t="str">
        <f aca="false">IF(AO38="","",IF(AND(IFERROR(--(INDEX('Reguler Class Availability'!$F:$F,AO38)&amp;""),0)=0,IFERROR(--(INDEX('Reguler Class Availability'!$G:$G,AO38)&amp;""),0)=0),IF(OR(INDEX('Reguler Class Availability'!$B:$B,AO38)&amp;""&lt;&gt;"",INDEX('Reguler Class Availability'!$I:$I,AO38)&amp;""&lt;&gt;""),"Tutup","Tidak dibuka"),IF(IFERROR(--(INDEX('Reguler Class Availability'!$G:$G,AO38)&amp;""),0)&gt;IFERROR(--(INDEX('Reguler Class Availability'!$F:$F,AO38)&amp;""),0),"Lebih",IF(IFERROR(--(INDEX('Reguler Class Availability'!$G:$G,AO38)&amp;""),0)=IFERROR(--(INDEX('Reguler Class Availability'!$F:$F,AO38)&amp;""),0),"Penuh",IF(IFERROR(--(INDEX('Reguler Class Availability'!$G:$G,AO38)&amp;""),0)=0,IF(INDEX('Reguler Class Availability'!$B:$B,AO38)&amp;""="","Kosong","Belum terisi"),IF(IFERROR(--(INDEX('Reguler Class Availability'!$G:$G,AO38)&amp;""),0)/IFERROR(--(INDEX('Reguler Class Availability'!$F:$F,AO38)&amp;""),0)&gt;=0.6,"Tinggi","Sebagian"))))))</f>
        <v>Belum terisi</v>
      </c>
      <c r="AX38" s="0" t="str">
        <f aca="false">IF(AP38="","",IF(AND(IFERROR(--(INDEX('Reguler Class Availability'!$F:$F,AP38)&amp;""),0)=0,IFERROR(--(INDEX('Reguler Class Availability'!$G:$G,AP38)&amp;""),0)=0),IF(OR(INDEX('Reguler Class Availability'!$B:$B,AP38)&amp;""&lt;&gt;"",INDEX('Reguler Class Availability'!$I:$I,AP38)&amp;""&lt;&gt;""),"Tutup","Tidak dibuka"),IF(IFERROR(--(INDEX('Reguler Class Availability'!$G:$G,AP38)&amp;""),0)&gt;IFERROR(--(INDEX('Reguler Class Availability'!$F:$F,AP38)&amp;""),0),"Lebih",IF(IFERROR(--(INDEX('Reguler Class Availability'!$G:$G,AP38)&amp;""),0)=IFERROR(--(INDEX('Reguler Class Availability'!$F:$F,AP38)&amp;""),0),"Penuh",IF(IFERROR(--(INDEX('Reguler Class Availability'!$G:$G,AP38)&amp;""),0)=0,IF(INDEX('Reguler Class Availability'!$B:$B,AP38)&amp;""="","Kosong","Belum terisi"),IF(IFERROR(--(INDEX('Reguler Class Availability'!$G:$G,AP38)&amp;""),0)/IFERROR(--(INDEX('Reguler Class Availability'!$F:$F,AP38)&amp;""),0)&gt;=0.6,"Tinggi","Sebagian"))))))</f>
        <v>Belum terisi</v>
      </c>
      <c r="AY38" s="0" t="str">
        <f aca="false">IF(AQ38="","",IF(AND(IFERROR(--(INDEX('Reguler Class Availability'!$F:$F,AQ38)&amp;""),0)=0,IFERROR(--(INDEX('Reguler Class Availability'!$G:$G,AQ38)&amp;""),0)=0),IF(OR(INDEX('Reguler Class Availability'!$B:$B,AQ38)&amp;""&lt;&gt;"",INDEX('Reguler Class Availability'!$I:$I,AQ38)&amp;""&lt;&gt;""),"Tutup","Tidak dibuka"),IF(IFERROR(--(INDEX('Reguler Class Availability'!$G:$G,AQ38)&amp;""),0)&gt;IFERROR(--(INDEX('Reguler Class Availability'!$F:$F,AQ38)&amp;""),0),"Lebih",IF(IFERROR(--(INDEX('Reguler Class Availability'!$G:$G,AQ38)&amp;""),0)=IFERROR(--(INDEX('Reguler Class Availability'!$F:$F,AQ38)&amp;""),0),"Penuh",IF(IFERROR(--(INDEX('Reguler Class Availability'!$G:$G,AQ38)&amp;""),0)=0,IF(INDEX('Reguler Class Availability'!$B:$B,AQ38)&amp;""="","Kosong","Belum terisi"),IF(IFERROR(--(INDEX('Reguler Class Availability'!$G:$G,AQ38)&amp;""),0)/IFERROR(--(INDEX('Reguler Class Availability'!$F:$F,AQ38)&amp;""),0)&gt;=0.6,"Tinggi","Sebagian"))))))</f>
        <v>Sebagian</v>
      </c>
      <c r="AZ38" s="0" t="str">
        <f aca="false">IF(AR38="","",IF(AND(IFERROR(--(INDEX('Reguler Class Availability'!$F:$F,AR38)&amp;""),0)=0,IFERROR(--(INDEX('Reguler Class Availability'!$G:$G,AR38)&amp;""),0)=0),IF(OR(INDEX('Reguler Class Availability'!$B:$B,AR38)&amp;""&lt;&gt;"",INDEX('Reguler Class Availability'!$I:$I,AR38)&amp;""&lt;&gt;""),"Tutup","Tidak dibuka"),IF(IFERROR(--(INDEX('Reguler Class Availability'!$G:$G,AR38)&amp;""),0)&gt;IFERROR(--(INDEX('Reguler Class Availability'!$F:$F,AR38)&amp;""),0),"Lebih",IF(IFERROR(--(INDEX('Reguler Class Availability'!$G:$G,AR38)&amp;""),0)=IFERROR(--(INDEX('Reguler Class Availability'!$F:$F,AR38)&amp;""),0),"Penuh",IF(IFERROR(--(INDEX('Reguler Class Availability'!$G:$G,AR38)&amp;""),0)=0,IF(INDEX('Reguler Class Availability'!$B:$B,AR38)&amp;""="","Kosong","Belum terisi"),IF(IFERROR(--(INDEX('Reguler Class Availability'!$G:$G,AR38)&amp;""),0)/IFERROR(--(INDEX('Reguler Class Availability'!$F:$F,AR38)&amp;""),0)&gt;=0.6,"Tinggi","Sebagian"))))))</f>
        <v>Belum terisi</v>
      </c>
      <c r="BA38" s="0" t="str">
        <f aca="false">IF(AS38="","",IF(AND(IFERROR(--(INDEX('Reguler Class Availability'!$F:$F,AS38)&amp;""),0)=0,IFERROR(--(INDEX('Reguler Class Availability'!$G:$G,AS38)&amp;""),0)=0),IF(OR(INDEX('Reguler Class Availability'!$B:$B,AS38)&amp;""&lt;&gt;"",INDEX('Reguler Class Availability'!$I:$I,AS38)&amp;""&lt;&gt;""),"Tutup","Tidak dibuka"),IF(IFERROR(--(INDEX('Reguler Class Availability'!$G:$G,AS38)&amp;""),0)&gt;IFERROR(--(INDEX('Reguler Class Availability'!$F:$F,AS38)&amp;""),0),"Lebih",IF(IFERROR(--(INDEX('Reguler Class Availability'!$G:$G,AS38)&amp;""),0)=IFERROR(--(INDEX('Reguler Class Availability'!$F:$F,AS38)&amp;""),0),"Penuh",IF(IFERROR(--(INDEX('Reguler Class Availability'!$G:$G,AS38)&amp;""),0)=0,IF(INDEX('Reguler Class Availability'!$B:$B,AS38)&amp;""="","Kosong","Belum terisi"),IF(IFERROR(--(INDEX('Reguler Class Availability'!$G:$G,AS38)&amp;""),0)/IFERROR(--(INDEX('Reguler Class Availability'!$F:$F,AS38)&amp;""),0)&gt;=0.6,"Tinggi","Sebagian"))))))</f>
        <v>Belum terisi</v>
      </c>
      <c r="BB38" s="0" t="str">
        <f aca="false">IF(AT38="","",IF(AND(IFERROR(--(INDEX('Reguler Class Availability'!$F:$F,AT38)&amp;""),0)=0,IFERROR(--(INDEX('Reguler Class Availability'!$G:$G,AT38)&amp;""),0)=0),IF(OR(INDEX('Reguler Class Availability'!$B:$B,AT38)&amp;""&lt;&gt;"",INDEX('Reguler Class Availability'!$I:$I,AT38)&amp;""&lt;&gt;""),"Tutup","Tidak dibuka"),IF(IFERROR(--(INDEX('Reguler Class Availability'!$G:$G,AT38)&amp;""),0)&gt;IFERROR(--(INDEX('Reguler Class Availability'!$F:$F,AT38)&amp;""),0),"Lebih",IF(IFERROR(--(INDEX('Reguler Class Availability'!$G:$G,AT38)&amp;""),0)=IFERROR(--(INDEX('Reguler Class Availability'!$F:$F,AT38)&amp;""),0),"Penuh",IF(IFERROR(--(INDEX('Reguler Class Availability'!$G:$G,AT38)&amp;""),0)=0,IF(INDEX('Reguler Class Availability'!$B:$B,AT38)&amp;""="","Kosong","Belum terisi"),IF(IFERROR(--(INDEX('Reguler Class Availability'!$G:$G,AT38)&amp;""),0)/IFERROR(--(INDEX('Reguler Class Availability'!$F:$F,AT38)&amp;""),0)&gt;=0.6,"Tinggi","Sebagian"))))))</f>
        <v>Tinggi</v>
      </c>
      <c r="BD38" s="30" t="s">
        <v>147</v>
      </c>
      <c r="BE38" s="30" t="n">
        <f aca="false">IF(COUNTIFS('Reguler Class Availability'!$L:$L,$B$4&amp;"|- Lane 1 - *|"&amp;BD38)&gt;0,1,0)</f>
        <v>0</v>
      </c>
      <c r="BF38" s="30" t="n">
        <f aca="false">BE38+BF37</f>
        <v>10</v>
      </c>
    </row>
    <row r="39" customFormat="false" ht="39.75" hidden="false" customHeight="true" outlineLevel="0" collapsed="false">
      <c r="A39" s="66" t="str">
        <f aca="false">IFERROR(INDEX($BD$62:$BD$121,MATCH(6,$BF$62:$BF$121,0)),"")</f>
        <v>11:45</v>
      </c>
      <c r="B39" s="67" t="str">
        <f aca="false">IF(AN39="","",IF(AV39="Tidak dibuka","–",IF(INDEX('Reguler Class Availability'!$B:$B,AN39)&amp;""="","Kosong",PROPER(INDEX('Reguler Class Availability'!$B:$B,AN39)&amp;""))&amp;"  "&amp;IFERROR(--(INDEX('Reguler Class Availability'!$G:$G,AN39)&amp;""),0)&amp;"/"&amp;IFERROR(--(INDEX('Reguler Class Availability'!$F:$F,AN39)&amp;""),0)&amp;IF(IFERROR(--(INDEX('Reguler Class Availability'!$F:$F,AN39)&amp;""),0)&gt;0,"  ("&amp;TEXT(IFERROR(--(INDEX('Reguler Class Availability'!$G:$G,AN39)&amp;""),0)/IFERROR(--(INDEX('Reguler Class Availability'!$F:$F,AN39)&amp;""),0),"0%")&amp;")","")&amp;CHAR(10)&amp;IF(INDEX('Reguler Class Availability'!$I:$I,AN39)&amp;""="","coach: –",PROPER(INDEX('Reguler Class Availability'!$I:$I,AN39)&amp;""))&amp;IF(INDEX('Reguler Class Availability'!$J:$J,AN39)&amp;""="","",CHAR(10)&amp;"asst: "&amp;PROPER(INDEX('Reguler Class Availability'!$J:$J,AN39)&amp;""))))</f>
        <v>Tiny  0/5  (0%)
coach: –</v>
      </c>
      <c r="C39" s="67" t="str">
        <f aca="false">IF(AO39="","",IF(AW39="Tidak dibuka","–",IF(INDEX('Reguler Class Availability'!$B:$B,AO39)&amp;""="","Kosong",PROPER(INDEX('Reguler Class Availability'!$B:$B,AO39)&amp;""))&amp;"  "&amp;IFERROR(--(INDEX('Reguler Class Availability'!$G:$G,AO39)&amp;""),0)&amp;"/"&amp;IFERROR(--(INDEX('Reguler Class Availability'!$F:$F,AO39)&amp;""),0)&amp;IF(IFERROR(--(INDEX('Reguler Class Availability'!$F:$F,AO39)&amp;""),0)&gt;0,"  ("&amp;TEXT(IFERROR(--(INDEX('Reguler Class Availability'!$G:$G,AO39)&amp;""),0)/IFERROR(--(INDEX('Reguler Class Availability'!$F:$F,AO39)&amp;""),0),"0%")&amp;")","")&amp;CHAR(10)&amp;IF(INDEX('Reguler Class Availability'!$I:$I,AO39)&amp;""="","coach: –",PROPER(INDEX('Reguler Class Availability'!$I:$I,AO39)&amp;""))&amp;IF(INDEX('Reguler Class Availability'!$J:$J,AO39)&amp;""="","",CHAR(10)&amp;"asst: "&amp;PROPER(INDEX('Reguler Class Availability'!$J:$J,AO39)&amp;""))))</f>
        <v>Tiny  0/5  (0%)
coach: –</v>
      </c>
      <c r="D39" s="67" t="str">
        <f aca="false">IF(AP39="","",IF(AX39="Tidak dibuka","–",IF(INDEX('Reguler Class Availability'!$B:$B,AP39)&amp;""="","Kosong",PROPER(INDEX('Reguler Class Availability'!$B:$B,AP39)&amp;""))&amp;"  "&amp;IFERROR(--(INDEX('Reguler Class Availability'!$G:$G,AP39)&amp;""),0)&amp;"/"&amp;IFERROR(--(INDEX('Reguler Class Availability'!$F:$F,AP39)&amp;""),0)&amp;IF(IFERROR(--(INDEX('Reguler Class Availability'!$F:$F,AP39)&amp;""),0)&gt;0,"  ("&amp;TEXT(IFERROR(--(INDEX('Reguler Class Availability'!$G:$G,AP39)&amp;""),0)/IFERROR(--(INDEX('Reguler Class Availability'!$F:$F,AP39)&amp;""),0),"0%")&amp;")","")&amp;CHAR(10)&amp;IF(INDEX('Reguler Class Availability'!$I:$I,AP39)&amp;""="","coach: –",PROPER(INDEX('Reguler Class Availability'!$I:$I,AP39)&amp;""))&amp;IF(INDEX('Reguler Class Availability'!$J:$J,AP39)&amp;""="","",CHAR(10)&amp;"asst: "&amp;PROPER(INDEX('Reguler Class Availability'!$J:$J,AP39)&amp;""))))</f>
        <v>Tiny  0/5  (0%)
coach: –</v>
      </c>
      <c r="E39" s="67" t="str">
        <f aca="false">IF(AQ39="","",IF(AY39="Tidak dibuka","–",IF(INDEX('Reguler Class Availability'!$B:$B,AQ39)&amp;""="","Kosong",PROPER(INDEX('Reguler Class Availability'!$B:$B,AQ39)&amp;""))&amp;"  "&amp;IFERROR(--(INDEX('Reguler Class Availability'!$G:$G,AQ39)&amp;""),0)&amp;"/"&amp;IFERROR(--(INDEX('Reguler Class Availability'!$F:$F,AQ39)&amp;""),0)&amp;IF(IFERROR(--(INDEX('Reguler Class Availability'!$F:$F,AQ39)&amp;""),0)&gt;0,"  ("&amp;TEXT(IFERROR(--(INDEX('Reguler Class Availability'!$G:$G,AQ39)&amp;""),0)/IFERROR(--(INDEX('Reguler Class Availability'!$F:$F,AQ39)&amp;""),0),"0%")&amp;")","")&amp;CHAR(10)&amp;IF(INDEX('Reguler Class Availability'!$I:$I,AQ39)&amp;""="","coach: –",PROPER(INDEX('Reguler Class Availability'!$I:$I,AQ39)&amp;""))&amp;IF(INDEX('Reguler Class Availability'!$J:$J,AQ39)&amp;""="","",CHAR(10)&amp;"asst: "&amp;PROPER(INDEX('Reguler Class Availability'!$J:$J,AQ39)&amp;""))))</f>
        <v>Tiny  1/5  (20%)
Rizky</v>
      </c>
      <c r="F39" s="67" t="str">
        <f aca="false">IF(AR39="","",IF(AZ39="Tidak dibuka","–",IF(INDEX('Reguler Class Availability'!$B:$B,AR39)&amp;""="","Kosong",PROPER(INDEX('Reguler Class Availability'!$B:$B,AR39)&amp;""))&amp;"  "&amp;IFERROR(--(INDEX('Reguler Class Availability'!$G:$G,AR39)&amp;""),0)&amp;"/"&amp;IFERROR(--(INDEX('Reguler Class Availability'!$F:$F,AR39)&amp;""),0)&amp;IF(IFERROR(--(INDEX('Reguler Class Availability'!$F:$F,AR39)&amp;""),0)&gt;0,"  ("&amp;TEXT(IFERROR(--(INDEX('Reguler Class Availability'!$G:$G,AR39)&amp;""),0)/IFERROR(--(INDEX('Reguler Class Availability'!$F:$F,AR39)&amp;""),0),"0%")&amp;")","")&amp;CHAR(10)&amp;IF(INDEX('Reguler Class Availability'!$I:$I,AR39)&amp;""="","coach: –",PROPER(INDEX('Reguler Class Availability'!$I:$I,AR39)&amp;""))&amp;IF(INDEX('Reguler Class Availability'!$J:$J,AR39)&amp;""="","",CHAR(10)&amp;"asst: "&amp;PROPER(INDEX('Reguler Class Availability'!$J:$J,AR39)&amp;""))))</f>
        <v>Tiny  0/5  (0%)
coach: –</v>
      </c>
      <c r="G39" s="67" t="str">
        <f aca="false">IF(AS39="","",IF(BA39="Tidak dibuka","–",IF(INDEX('Reguler Class Availability'!$B:$B,AS39)&amp;""="","Kosong",PROPER(INDEX('Reguler Class Availability'!$B:$B,AS39)&amp;""))&amp;"  "&amp;IFERROR(--(INDEX('Reguler Class Availability'!$G:$G,AS39)&amp;""),0)&amp;"/"&amp;IFERROR(--(INDEX('Reguler Class Availability'!$F:$F,AS39)&amp;""),0)&amp;IF(IFERROR(--(INDEX('Reguler Class Availability'!$F:$F,AS39)&amp;""),0)&gt;0,"  ("&amp;TEXT(IFERROR(--(INDEX('Reguler Class Availability'!$G:$G,AS39)&amp;""),0)/IFERROR(--(INDEX('Reguler Class Availability'!$F:$F,AS39)&amp;""),0),"0%")&amp;")","")&amp;CHAR(10)&amp;IF(INDEX('Reguler Class Availability'!$I:$I,AS39)&amp;""="","coach: –",PROPER(INDEX('Reguler Class Availability'!$I:$I,AS39)&amp;""))&amp;IF(INDEX('Reguler Class Availability'!$J:$J,AS39)&amp;""="","",CHAR(10)&amp;"asst: "&amp;PROPER(INDEX('Reguler Class Availability'!$J:$J,AS39)&amp;""))))</f>
        <v>Tiny  2/5  (40%)
Rizky</v>
      </c>
      <c r="H39" s="67" t="str">
        <f aca="false">IF(AT39="","",IF(BB39="Tidak dibuka","–",IF(INDEX('Reguler Class Availability'!$B:$B,AT39)&amp;""="","Kosong",PROPER(INDEX('Reguler Class Availability'!$B:$B,AT39)&amp;""))&amp;"  "&amp;IFERROR(--(INDEX('Reguler Class Availability'!$G:$G,AT39)&amp;""),0)&amp;"/"&amp;IFERROR(--(INDEX('Reguler Class Availability'!$F:$F,AT39)&amp;""),0)&amp;IF(IFERROR(--(INDEX('Reguler Class Availability'!$F:$F,AT39)&amp;""),0)&gt;0,"  ("&amp;TEXT(IFERROR(--(INDEX('Reguler Class Availability'!$G:$G,AT39)&amp;""),0)/IFERROR(--(INDEX('Reguler Class Availability'!$F:$F,AT39)&amp;""),0),"0%")&amp;")","")&amp;CHAR(10)&amp;IF(INDEX('Reguler Class Availability'!$I:$I,AT39)&amp;""="","coach: –",PROPER(INDEX('Reguler Class Availability'!$I:$I,AT39)&amp;""))&amp;IF(INDEX('Reguler Class Availability'!$J:$J,AT39)&amp;""="","",CHAR(10)&amp;"asst: "&amp;PROPER(INDEX('Reguler Class Availability'!$J:$J,AT39)&amp;""))))</f>
        <v>Tiny  0/5  (0%)
coach: –</v>
      </c>
      <c r="AN39" s="30" t="n">
        <f aca="false">IF($A39="","",IFERROR(MATCH($B$4&amp;"|- Lane 2 - "&amp;B$33&amp;"|"&amp;$A39,'Reguler Class Availability'!$L:$L,0),""))</f>
        <v>2513</v>
      </c>
      <c r="AO39" s="30" t="n">
        <f aca="false">IF($A39="","",IFERROR(MATCH($B$4&amp;"|- Lane 2 - "&amp;C$33&amp;"|"&amp;$A39,'Reguler Class Availability'!$L:$L,0),""))</f>
        <v>2525</v>
      </c>
      <c r="AP39" s="30" t="n">
        <f aca="false">IF($A39="","",IFERROR(MATCH($B$4&amp;"|- Lane 2 - "&amp;D$33&amp;"|"&amp;$A39,'Reguler Class Availability'!$L:$L,0),""))</f>
        <v>2537</v>
      </c>
      <c r="AQ39" s="30" t="n">
        <f aca="false">IF($A39="","",IFERROR(MATCH($B$4&amp;"|- Lane 2 - "&amp;E$33&amp;"|"&amp;$A39,'Reguler Class Availability'!$L:$L,0),""))</f>
        <v>2549</v>
      </c>
      <c r="AR39" s="30" t="n">
        <f aca="false">IF($A39="","",IFERROR(MATCH($B$4&amp;"|- Lane 2 - "&amp;F$33&amp;"|"&amp;$A39,'Reguler Class Availability'!$L:$L,0),""))</f>
        <v>2561</v>
      </c>
      <c r="AS39" s="30" t="n">
        <f aca="false">IF($A39="","",IFERROR(MATCH($B$4&amp;"|- Lane 2 - "&amp;G$33&amp;"|"&amp;$A39,'Reguler Class Availability'!$L:$L,0),""))</f>
        <v>2573</v>
      </c>
      <c r="AT39" s="30" t="n">
        <f aca="false">IF($A39="","",IFERROR(MATCH($B$4&amp;"|- Lane 2 - "&amp;H$33&amp;"|"&amp;$A39,'Reguler Class Availability'!$L:$L,0),""))</f>
        <v>2585</v>
      </c>
      <c r="AV39" s="0" t="str">
        <f aca="false">IF(AN39="","",IF(AND(IFERROR(--(INDEX('Reguler Class Availability'!$F:$F,AN39)&amp;""),0)=0,IFERROR(--(INDEX('Reguler Class Availability'!$G:$G,AN39)&amp;""),0)=0),IF(OR(INDEX('Reguler Class Availability'!$B:$B,AN39)&amp;""&lt;&gt;"",INDEX('Reguler Class Availability'!$I:$I,AN39)&amp;""&lt;&gt;""),"Tutup","Tidak dibuka"),IF(IFERROR(--(INDEX('Reguler Class Availability'!$G:$G,AN39)&amp;""),0)&gt;IFERROR(--(INDEX('Reguler Class Availability'!$F:$F,AN39)&amp;""),0),"Lebih",IF(IFERROR(--(INDEX('Reguler Class Availability'!$G:$G,AN39)&amp;""),0)=IFERROR(--(INDEX('Reguler Class Availability'!$F:$F,AN39)&amp;""),0),"Penuh",IF(IFERROR(--(INDEX('Reguler Class Availability'!$G:$G,AN39)&amp;""),0)=0,IF(INDEX('Reguler Class Availability'!$B:$B,AN39)&amp;""="","Kosong","Belum terisi"),IF(IFERROR(--(INDEX('Reguler Class Availability'!$G:$G,AN39)&amp;""),0)/IFERROR(--(INDEX('Reguler Class Availability'!$F:$F,AN39)&amp;""),0)&gt;=0.6,"Tinggi","Sebagian"))))))</f>
        <v>Belum terisi</v>
      </c>
      <c r="AW39" s="0" t="str">
        <f aca="false">IF(AO39="","",IF(AND(IFERROR(--(INDEX('Reguler Class Availability'!$F:$F,AO39)&amp;""),0)=0,IFERROR(--(INDEX('Reguler Class Availability'!$G:$G,AO39)&amp;""),0)=0),IF(OR(INDEX('Reguler Class Availability'!$B:$B,AO39)&amp;""&lt;&gt;"",INDEX('Reguler Class Availability'!$I:$I,AO39)&amp;""&lt;&gt;""),"Tutup","Tidak dibuka"),IF(IFERROR(--(INDEX('Reguler Class Availability'!$G:$G,AO39)&amp;""),0)&gt;IFERROR(--(INDEX('Reguler Class Availability'!$F:$F,AO39)&amp;""),0),"Lebih",IF(IFERROR(--(INDEX('Reguler Class Availability'!$G:$G,AO39)&amp;""),0)=IFERROR(--(INDEX('Reguler Class Availability'!$F:$F,AO39)&amp;""),0),"Penuh",IF(IFERROR(--(INDEX('Reguler Class Availability'!$G:$G,AO39)&amp;""),0)=0,IF(INDEX('Reguler Class Availability'!$B:$B,AO39)&amp;""="","Kosong","Belum terisi"),IF(IFERROR(--(INDEX('Reguler Class Availability'!$G:$G,AO39)&amp;""),0)/IFERROR(--(INDEX('Reguler Class Availability'!$F:$F,AO39)&amp;""),0)&gt;=0.6,"Tinggi","Sebagian"))))))</f>
        <v>Belum terisi</v>
      </c>
      <c r="AX39" s="0" t="str">
        <f aca="false">IF(AP39="","",IF(AND(IFERROR(--(INDEX('Reguler Class Availability'!$F:$F,AP39)&amp;""),0)=0,IFERROR(--(INDEX('Reguler Class Availability'!$G:$G,AP39)&amp;""),0)=0),IF(OR(INDEX('Reguler Class Availability'!$B:$B,AP39)&amp;""&lt;&gt;"",INDEX('Reguler Class Availability'!$I:$I,AP39)&amp;""&lt;&gt;""),"Tutup","Tidak dibuka"),IF(IFERROR(--(INDEX('Reguler Class Availability'!$G:$G,AP39)&amp;""),0)&gt;IFERROR(--(INDEX('Reguler Class Availability'!$F:$F,AP39)&amp;""),0),"Lebih",IF(IFERROR(--(INDEX('Reguler Class Availability'!$G:$G,AP39)&amp;""),0)=IFERROR(--(INDEX('Reguler Class Availability'!$F:$F,AP39)&amp;""),0),"Penuh",IF(IFERROR(--(INDEX('Reguler Class Availability'!$G:$G,AP39)&amp;""),0)=0,IF(INDEX('Reguler Class Availability'!$B:$B,AP39)&amp;""="","Kosong","Belum terisi"),IF(IFERROR(--(INDEX('Reguler Class Availability'!$G:$G,AP39)&amp;""),0)/IFERROR(--(INDEX('Reguler Class Availability'!$F:$F,AP39)&amp;""),0)&gt;=0.6,"Tinggi","Sebagian"))))))</f>
        <v>Belum terisi</v>
      </c>
      <c r="AY39" s="0" t="str">
        <f aca="false">IF(AQ39="","",IF(AND(IFERROR(--(INDEX('Reguler Class Availability'!$F:$F,AQ39)&amp;""),0)=0,IFERROR(--(INDEX('Reguler Class Availability'!$G:$G,AQ39)&amp;""),0)=0),IF(OR(INDEX('Reguler Class Availability'!$B:$B,AQ39)&amp;""&lt;&gt;"",INDEX('Reguler Class Availability'!$I:$I,AQ39)&amp;""&lt;&gt;""),"Tutup","Tidak dibuka"),IF(IFERROR(--(INDEX('Reguler Class Availability'!$G:$G,AQ39)&amp;""),0)&gt;IFERROR(--(INDEX('Reguler Class Availability'!$F:$F,AQ39)&amp;""),0),"Lebih",IF(IFERROR(--(INDEX('Reguler Class Availability'!$G:$G,AQ39)&amp;""),0)=IFERROR(--(INDEX('Reguler Class Availability'!$F:$F,AQ39)&amp;""),0),"Penuh",IF(IFERROR(--(INDEX('Reguler Class Availability'!$G:$G,AQ39)&amp;""),0)=0,IF(INDEX('Reguler Class Availability'!$B:$B,AQ39)&amp;""="","Kosong","Belum terisi"),IF(IFERROR(--(INDEX('Reguler Class Availability'!$G:$G,AQ39)&amp;""),0)/IFERROR(--(INDEX('Reguler Class Availability'!$F:$F,AQ39)&amp;""),0)&gt;=0.6,"Tinggi","Sebagian"))))))</f>
        <v>Sebagian</v>
      </c>
      <c r="AZ39" s="0" t="str">
        <f aca="false">IF(AR39="","",IF(AND(IFERROR(--(INDEX('Reguler Class Availability'!$F:$F,AR39)&amp;""),0)=0,IFERROR(--(INDEX('Reguler Class Availability'!$G:$G,AR39)&amp;""),0)=0),IF(OR(INDEX('Reguler Class Availability'!$B:$B,AR39)&amp;""&lt;&gt;"",INDEX('Reguler Class Availability'!$I:$I,AR39)&amp;""&lt;&gt;""),"Tutup","Tidak dibuka"),IF(IFERROR(--(INDEX('Reguler Class Availability'!$G:$G,AR39)&amp;""),0)&gt;IFERROR(--(INDEX('Reguler Class Availability'!$F:$F,AR39)&amp;""),0),"Lebih",IF(IFERROR(--(INDEX('Reguler Class Availability'!$G:$G,AR39)&amp;""),0)=IFERROR(--(INDEX('Reguler Class Availability'!$F:$F,AR39)&amp;""),0),"Penuh",IF(IFERROR(--(INDEX('Reguler Class Availability'!$G:$G,AR39)&amp;""),0)=0,IF(INDEX('Reguler Class Availability'!$B:$B,AR39)&amp;""="","Kosong","Belum terisi"),IF(IFERROR(--(INDEX('Reguler Class Availability'!$G:$G,AR39)&amp;""),0)/IFERROR(--(INDEX('Reguler Class Availability'!$F:$F,AR39)&amp;""),0)&gt;=0.6,"Tinggi","Sebagian"))))))</f>
        <v>Belum terisi</v>
      </c>
      <c r="BA39" s="0" t="str">
        <f aca="false">IF(AS39="","",IF(AND(IFERROR(--(INDEX('Reguler Class Availability'!$F:$F,AS39)&amp;""),0)=0,IFERROR(--(INDEX('Reguler Class Availability'!$G:$G,AS39)&amp;""),0)=0),IF(OR(INDEX('Reguler Class Availability'!$B:$B,AS39)&amp;""&lt;&gt;"",INDEX('Reguler Class Availability'!$I:$I,AS39)&amp;""&lt;&gt;""),"Tutup","Tidak dibuka"),IF(IFERROR(--(INDEX('Reguler Class Availability'!$G:$G,AS39)&amp;""),0)&gt;IFERROR(--(INDEX('Reguler Class Availability'!$F:$F,AS39)&amp;""),0),"Lebih",IF(IFERROR(--(INDEX('Reguler Class Availability'!$G:$G,AS39)&amp;""),0)=IFERROR(--(INDEX('Reguler Class Availability'!$F:$F,AS39)&amp;""),0),"Penuh",IF(IFERROR(--(INDEX('Reguler Class Availability'!$G:$G,AS39)&amp;""),0)=0,IF(INDEX('Reguler Class Availability'!$B:$B,AS39)&amp;""="","Kosong","Belum terisi"),IF(IFERROR(--(INDEX('Reguler Class Availability'!$G:$G,AS39)&amp;""),0)/IFERROR(--(INDEX('Reguler Class Availability'!$F:$F,AS39)&amp;""),0)&gt;=0.6,"Tinggi","Sebagian"))))))</f>
        <v>Sebagian</v>
      </c>
      <c r="BB39" s="0" t="str">
        <f aca="false">IF(AT39="","",IF(AND(IFERROR(--(INDEX('Reguler Class Availability'!$F:$F,AT39)&amp;""),0)=0,IFERROR(--(INDEX('Reguler Class Availability'!$G:$G,AT39)&amp;""),0)=0),IF(OR(INDEX('Reguler Class Availability'!$B:$B,AT39)&amp;""&lt;&gt;"",INDEX('Reguler Class Availability'!$I:$I,AT39)&amp;""&lt;&gt;""),"Tutup","Tidak dibuka"),IF(IFERROR(--(INDEX('Reguler Class Availability'!$G:$G,AT39)&amp;""),0)&gt;IFERROR(--(INDEX('Reguler Class Availability'!$F:$F,AT39)&amp;""),0),"Lebih",IF(IFERROR(--(INDEX('Reguler Class Availability'!$G:$G,AT39)&amp;""),0)=IFERROR(--(INDEX('Reguler Class Availability'!$F:$F,AT39)&amp;""),0),"Penuh",IF(IFERROR(--(INDEX('Reguler Class Availability'!$G:$G,AT39)&amp;""),0)=0,IF(INDEX('Reguler Class Availability'!$B:$B,AT39)&amp;""="","Kosong","Belum terisi"),IF(IFERROR(--(INDEX('Reguler Class Availability'!$G:$G,AT39)&amp;""),0)/IFERROR(--(INDEX('Reguler Class Availability'!$F:$F,AT39)&amp;""),0)&gt;=0.6,"Tinggi","Sebagian"))))))</f>
        <v>Belum terisi</v>
      </c>
      <c r="BD39" s="30" t="s">
        <v>148</v>
      </c>
      <c r="BE39" s="30" t="n">
        <f aca="false">IF(COUNTIFS('Reguler Class Availability'!$L:$L,$B$4&amp;"|- Lane 1 - *|"&amp;BD39)&gt;0,1,0)</f>
        <v>0</v>
      </c>
      <c r="BF39" s="30" t="n">
        <f aca="false">BE39+BF38</f>
        <v>10</v>
      </c>
    </row>
    <row r="40" customFormat="false" ht="39.75" hidden="false" customHeight="true" outlineLevel="0" collapsed="false">
      <c r="A40" s="66" t="str">
        <f aca="false">IFERROR(INDEX($BD$62:$BD$121,MATCH(7,$BF$62:$BF$121,0)),"")</f>
        <v>13:15</v>
      </c>
      <c r="B40" s="67" t="str">
        <f aca="false">IF(AN40="","",IF(AV40="Tidak dibuka","–",IF(INDEX('Reguler Class Availability'!$B:$B,AN40)&amp;""="","Kosong",PROPER(INDEX('Reguler Class Availability'!$B:$B,AN40)&amp;""))&amp;"  "&amp;IFERROR(--(INDEX('Reguler Class Availability'!$G:$G,AN40)&amp;""),0)&amp;"/"&amp;IFERROR(--(INDEX('Reguler Class Availability'!$F:$F,AN40)&amp;""),0)&amp;IF(IFERROR(--(INDEX('Reguler Class Availability'!$F:$F,AN40)&amp;""),0)&gt;0,"  ("&amp;TEXT(IFERROR(--(INDEX('Reguler Class Availability'!$G:$G,AN40)&amp;""),0)/IFERROR(--(INDEX('Reguler Class Availability'!$F:$F,AN40)&amp;""),0),"0%")&amp;")","")&amp;CHAR(10)&amp;IF(INDEX('Reguler Class Availability'!$I:$I,AN40)&amp;""="","coach: –",PROPER(INDEX('Reguler Class Availability'!$I:$I,AN40)&amp;""))&amp;IF(INDEX('Reguler Class Availability'!$J:$J,AN40)&amp;""="","",CHAR(10)&amp;"asst: "&amp;PROPER(INDEX('Reguler Class Availability'!$J:$J,AN40)&amp;""))))</f>
        <v>Tiny  0/5  (0%)
coach: –</v>
      </c>
      <c r="C40" s="67" t="str">
        <f aca="false">IF(AO40="","",IF(AW40="Tidak dibuka","–",IF(INDEX('Reguler Class Availability'!$B:$B,AO40)&amp;""="","Kosong",PROPER(INDEX('Reguler Class Availability'!$B:$B,AO40)&amp;""))&amp;"  "&amp;IFERROR(--(INDEX('Reguler Class Availability'!$G:$G,AO40)&amp;""),0)&amp;"/"&amp;IFERROR(--(INDEX('Reguler Class Availability'!$F:$F,AO40)&amp;""),0)&amp;IF(IFERROR(--(INDEX('Reguler Class Availability'!$F:$F,AO40)&amp;""),0)&gt;0,"  ("&amp;TEXT(IFERROR(--(INDEX('Reguler Class Availability'!$G:$G,AO40)&amp;""),0)/IFERROR(--(INDEX('Reguler Class Availability'!$F:$F,AO40)&amp;""),0),"0%")&amp;")","")&amp;CHAR(10)&amp;IF(INDEX('Reguler Class Availability'!$I:$I,AO40)&amp;""="","coach: –",PROPER(INDEX('Reguler Class Availability'!$I:$I,AO40)&amp;""))&amp;IF(INDEX('Reguler Class Availability'!$J:$J,AO40)&amp;""="","",CHAR(10)&amp;"asst: "&amp;PROPER(INDEX('Reguler Class Availability'!$J:$J,AO40)&amp;""))))</f>
        <v>Tiny  0/5  (0%)
coach: –</v>
      </c>
      <c r="D40" s="67" t="str">
        <f aca="false">IF(AP40="","",IF(AX40="Tidak dibuka","–",IF(INDEX('Reguler Class Availability'!$B:$B,AP40)&amp;""="","Kosong",PROPER(INDEX('Reguler Class Availability'!$B:$B,AP40)&amp;""))&amp;"  "&amp;IFERROR(--(INDEX('Reguler Class Availability'!$G:$G,AP40)&amp;""),0)&amp;"/"&amp;IFERROR(--(INDEX('Reguler Class Availability'!$F:$F,AP40)&amp;""),0)&amp;IF(IFERROR(--(INDEX('Reguler Class Availability'!$F:$F,AP40)&amp;""),0)&gt;0,"  ("&amp;TEXT(IFERROR(--(INDEX('Reguler Class Availability'!$G:$G,AP40)&amp;""),0)/IFERROR(--(INDEX('Reguler Class Availability'!$F:$F,AP40)&amp;""),0),"0%")&amp;")","")&amp;CHAR(10)&amp;IF(INDEX('Reguler Class Availability'!$I:$I,AP40)&amp;""="","coach: –",PROPER(INDEX('Reguler Class Availability'!$I:$I,AP40)&amp;""))&amp;IF(INDEX('Reguler Class Availability'!$J:$J,AP40)&amp;""="","",CHAR(10)&amp;"asst: "&amp;PROPER(INDEX('Reguler Class Availability'!$J:$J,AP40)&amp;""))))</f>
        <v>Tiny  0/5  (0%)
coach: –</v>
      </c>
      <c r="E40" s="67" t="str">
        <f aca="false">IF(AQ40="","",IF(AY40="Tidak dibuka","–",IF(INDEX('Reguler Class Availability'!$B:$B,AQ40)&amp;""="","Kosong",PROPER(INDEX('Reguler Class Availability'!$B:$B,AQ40)&amp;""))&amp;"  "&amp;IFERROR(--(INDEX('Reguler Class Availability'!$G:$G,AQ40)&amp;""),0)&amp;"/"&amp;IFERROR(--(INDEX('Reguler Class Availability'!$F:$F,AQ40)&amp;""),0)&amp;IF(IFERROR(--(INDEX('Reguler Class Availability'!$F:$F,AQ40)&amp;""),0)&gt;0,"  ("&amp;TEXT(IFERROR(--(INDEX('Reguler Class Availability'!$G:$G,AQ40)&amp;""),0)/IFERROR(--(INDEX('Reguler Class Availability'!$F:$F,AQ40)&amp;""),0),"0%")&amp;")","")&amp;CHAR(10)&amp;IF(INDEX('Reguler Class Availability'!$I:$I,AQ40)&amp;""="","coach: –",PROPER(INDEX('Reguler Class Availability'!$I:$I,AQ40)&amp;""))&amp;IF(INDEX('Reguler Class Availability'!$J:$J,AQ40)&amp;""="","",CHAR(10)&amp;"asst: "&amp;PROPER(INDEX('Reguler Class Availability'!$J:$J,AQ40)&amp;""))))</f>
        <v>Tiny  0/5  (0%)
coach: –</v>
      </c>
      <c r="F40" s="67" t="str">
        <f aca="false">IF(AR40="","",IF(AZ40="Tidak dibuka","–",IF(INDEX('Reguler Class Availability'!$B:$B,AR40)&amp;""="","Kosong",PROPER(INDEX('Reguler Class Availability'!$B:$B,AR40)&amp;""))&amp;"  "&amp;IFERROR(--(INDEX('Reguler Class Availability'!$G:$G,AR40)&amp;""),0)&amp;"/"&amp;IFERROR(--(INDEX('Reguler Class Availability'!$F:$F,AR40)&amp;""),0)&amp;IF(IFERROR(--(INDEX('Reguler Class Availability'!$F:$F,AR40)&amp;""),0)&gt;0,"  ("&amp;TEXT(IFERROR(--(INDEX('Reguler Class Availability'!$G:$G,AR40)&amp;""),0)/IFERROR(--(INDEX('Reguler Class Availability'!$F:$F,AR40)&amp;""),0),"0%")&amp;")","")&amp;CHAR(10)&amp;IF(INDEX('Reguler Class Availability'!$I:$I,AR40)&amp;""="","coach: –",PROPER(INDEX('Reguler Class Availability'!$I:$I,AR40)&amp;""))&amp;IF(INDEX('Reguler Class Availability'!$J:$J,AR40)&amp;""="","",CHAR(10)&amp;"asst: "&amp;PROPER(INDEX('Reguler Class Availability'!$J:$J,AR40)&amp;""))))</f>
        <v>Tiny  0/5  (0%)
coach: –</v>
      </c>
      <c r="G40" s="67" t="str">
        <f aca="false">IF(AS40="","",IF(BA40="Tidak dibuka","–",IF(INDEX('Reguler Class Availability'!$B:$B,AS40)&amp;""="","Kosong",PROPER(INDEX('Reguler Class Availability'!$B:$B,AS40)&amp;""))&amp;"  "&amp;IFERROR(--(INDEX('Reguler Class Availability'!$G:$G,AS40)&amp;""),0)&amp;"/"&amp;IFERROR(--(INDEX('Reguler Class Availability'!$F:$F,AS40)&amp;""),0)&amp;IF(IFERROR(--(INDEX('Reguler Class Availability'!$F:$F,AS40)&amp;""),0)&gt;0,"  ("&amp;TEXT(IFERROR(--(INDEX('Reguler Class Availability'!$G:$G,AS40)&amp;""),0)/IFERROR(--(INDEX('Reguler Class Availability'!$F:$F,AS40)&amp;""),0),"0%")&amp;")","")&amp;CHAR(10)&amp;IF(INDEX('Reguler Class Availability'!$I:$I,AS40)&amp;""="","coach: –",PROPER(INDEX('Reguler Class Availability'!$I:$I,AS40)&amp;""))&amp;IF(INDEX('Reguler Class Availability'!$J:$J,AS40)&amp;""="","",CHAR(10)&amp;"asst: "&amp;PROPER(INDEX('Reguler Class Availability'!$J:$J,AS40)&amp;""))))</f>
        <v>Tiny  0/5  (0%)
coach: –</v>
      </c>
      <c r="H40" s="67" t="str">
        <f aca="false">IF(AT40="","",IF(BB40="Tidak dibuka","–",IF(INDEX('Reguler Class Availability'!$B:$B,AT40)&amp;""="","Kosong",PROPER(INDEX('Reguler Class Availability'!$B:$B,AT40)&amp;""))&amp;"  "&amp;IFERROR(--(INDEX('Reguler Class Availability'!$G:$G,AT40)&amp;""),0)&amp;"/"&amp;IFERROR(--(INDEX('Reguler Class Availability'!$F:$F,AT40)&amp;""),0)&amp;IF(IFERROR(--(INDEX('Reguler Class Availability'!$F:$F,AT40)&amp;""),0)&gt;0,"  ("&amp;TEXT(IFERROR(--(INDEX('Reguler Class Availability'!$G:$G,AT40)&amp;""),0)/IFERROR(--(INDEX('Reguler Class Availability'!$F:$F,AT40)&amp;""),0),"0%")&amp;")","")&amp;CHAR(10)&amp;IF(INDEX('Reguler Class Availability'!$I:$I,AT40)&amp;""="","coach: –",PROPER(INDEX('Reguler Class Availability'!$I:$I,AT40)&amp;""))&amp;IF(INDEX('Reguler Class Availability'!$J:$J,AT40)&amp;""="","",CHAR(10)&amp;"asst: "&amp;PROPER(INDEX('Reguler Class Availability'!$J:$J,AT40)&amp;""))))</f>
        <v>Tiny  0/5  (0%)
coach: –</v>
      </c>
      <c r="AN40" s="30" t="n">
        <f aca="false">IF($A40="","",IFERROR(MATCH($B$4&amp;"|- Lane 2 - "&amp;B$33&amp;"|"&amp;$A40,'Reguler Class Availability'!$L:$L,0),""))</f>
        <v>2514</v>
      </c>
      <c r="AO40" s="30" t="n">
        <f aca="false">IF($A40="","",IFERROR(MATCH($B$4&amp;"|- Lane 2 - "&amp;C$33&amp;"|"&amp;$A40,'Reguler Class Availability'!$L:$L,0),""))</f>
        <v>2526</v>
      </c>
      <c r="AP40" s="30" t="n">
        <f aca="false">IF($A40="","",IFERROR(MATCH($B$4&amp;"|- Lane 2 - "&amp;D$33&amp;"|"&amp;$A40,'Reguler Class Availability'!$L:$L,0),""))</f>
        <v>2538</v>
      </c>
      <c r="AQ40" s="30" t="n">
        <f aca="false">IF($A40="","",IFERROR(MATCH($B$4&amp;"|- Lane 2 - "&amp;E$33&amp;"|"&amp;$A40,'Reguler Class Availability'!$L:$L,0),""))</f>
        <v>2550</v>
      </c>
      <c r="AR40" s="30" t="n">
        <f aca="false">IF($A40="","",IFERROR(MATCH($B$4&amp;"|- Lane 2 - "&amp;F$33&amp;"|"&amp;$A40,'Reguler Class Availability'!$L:$L,0),""))</f>
        <v>2562</v>
      </c>
      <c r="AS40" s="30" t="n">
        <f aca="false">IF($A40="","",IFERROR(MATCH($B$4&amp;"|- Lane 2 - "&amp;G$33&amp;"|"&amp;$A40,'Reguler Class Availability'!$L:$L,0),""))</f>
        <v>2574</v>
      </c>
      <c r="AT40" s="30" t="n">
        <f aca="false">IF($A40="","",IFERROR(MATCH($B$4&amp;"|- Lane 2 - "&amp;H$33&amp;"|"&amp;$A40,'Reguler Class Availability'!$L:$L,0),""))</f>
        <v>2586</v>
      </c>
      <c r="AV40" s="0" t="str">
        <f aca="false">IF(AN40="","",IF(AND(IFERROR(--(INDEX('Reguler Class Availability'!$F:$F,AN40)&amp;""),0)=0,IFERROR(--(INDEX('Reguler Class Availability'!$G:$G,AN40)&amp;""),0)=0),IF(OR(INDEX('Reguler Class Availability'!$B:$B,AN40)&amp;""&lt;&gt;"",INDEX('Reguler Class Availability'!$I:$I,AN40)&amp;""&lt;&gt;""),"Tutup","Tidak dibuka"),IF(IFERROR(--(INDEX('Reguler Class Availability'!$G:$G,AN40)&amp;""),0)&gt;IFERROR(--(INDEX('Reguler Class Availability'!$F:$F,AN40)&amp;""),0),"Lebih",IF(IFERROR(--(INDEX('Reguler Class Availability'!$G:$G,AN40)&amp;""),0)=IFERROR(--(INDEX('Reguler Class Availability'!$F:$F,AN40)&amp;""),0),"Penuh",IF(IFERROR(--(INDEX('Reguler Class Availability'!$G:$G,AN40)&amp;""),0)=0,IF(INDEX('Reguler Class Availability'!$B:$B,AN40)&amp;""="","Kosong","Belum terisi"),IF(IFERROR(--(INDEX('Reguler Class Availability'!$G:$G,AN40)&amp;""),0)/IFERROR(--(INDEX('Reguler Class Availability'!$F:$F,AN40)&amp;""),0)&gt;=0.6,"Tinggi","Sebagian"))))))</f>
        <v>Belum terisi</v>
      </c>
      <c r="AW40" s="0" t="str">
        <f aca="false">IF(AO40="","",IF(AND(IFERROR(--(INDEX('Reguler Class Availability'!$F:$F,AO40)&amp;""),0)=0,IFERROR(--(INDEX('Reguler Class Availability'!$G:$G,AO40)&amp;""),0)=0),IF(OR(INDEX('Reguler Class Availability'!$B:$B,AO40)&amp;""&lt;&gt;"",INDEX('Reguler Class Availability'!$I:$I,AO40)&amp;""&lt;&gt;""),"Tutup","Tidak dibuka"),IF(IFERROR(--(INDEX('Reguler Class Availability'!$G:$G,AO40)&amp;""),0)&gt;IFERROR(--(INDEX('Reguler Class Availability'!$F:$F,AO40)&amp;""),0),"Lebih",IF(IFERROR(--(INDEX('Reguler Class Availability'!$G:$G,AO40)&amp;""),0)=IFERROR(--(INDEX('Reguler Class Availability'!$F:$F,AO40)&amp;""),0),"Penuh",IF(IFERROR(--(INDEX('Reguler Class Availability'!$G:$G,AO40)&amp;""),0)=0,IF(INDEX('Reguler Class Availability'!$B:$B,AO40)&amp;""="","Kosong","Belum terisi"),IF(IFERROR(--(INDEX('Reguler Class Availability'!$G:$G,AO40)&amp;""),0)/IFERROR(--(INDEX('Reguler Class Availability'!$F:$F,AO40)&amp;""),0)&gt;=0.6,"Tinggi","Sebagian"))))))</f>
        <v>Belum terisi</v>
      </c>
      <c r="AX40" s="0" t="str">
        <f aca="false">IF(AP40="","",IF(AND(IFERROR(--(INDEX('Reguler Class Availability'!$F:$F,AP40)&amp;""),0)=0,IFERROR(--(INDEX('Reguler Class Availability'!$G:$G,AP40)&amp;""),0)=0),IF(OR(INDEX('Reguler Class Availability'!$B:$B,AP40)&amp;""&lt;&gt;"",INDEX('Reguler Class Availability'!$I:$I,AP40)&amp;""&lt;&gt;""),"Tutup","Tidak dibuka"),IF(IFERROR(--(INDEX('Reguler Class Availability'!$G:$G,AP40)&amp;""),0)&gt;IFERROR(--(INDEX('Reguler Class Availability'!$F:$F,AP40)&amp;""),0),"Lebih",IF(IFERROR(--(INDEX('Reguler Class Availability'!$G:$G,AP40)&amp;""),0)=IFERROR(--(INDEX('Reguler Class Availability'!$F:$F,AP40)&amp;""),0),"Penuh",IF(IFERROR(--(INDEX('Reguler Class Availability'!$G:$G,AP40)&amp;""),0)=0,IF(INDEX('Reguler Class Availability'!$B:$B,AP40)&amp;""="","Kosong","Belum terisi"),IF(IFERROR(--(INDEX('Reguler Class Availability'!$G:$G,AP40)&amp;""),0)/IFERROR(--(INDEX('Reguler Class Availability'!$F:$F,AP40)&amp;""),0)&gt;=0.6,"Tinggi","Sebagian"))))))</f>
        <v>Belum terisi</v>
      </c>
      <c r="AY40" s="0" t="str">
        <f aca="false">IF(AQ40="","",IF(AND(IFERROR(--(INDEX('Reguler Class Availability'!$F:$F,AQ40)&amp;""),0)=0,IFERROR(--(INDEX('Reguler Class Availability'!$G:$G,AQ40)&amp;""),0)=0),IF(OR(INDEX('Reguler Class Availability'!$B:$B,AQ40)&amp;""&lt;&gt;"",INDEX('Reguler Class Availability'!$I:$I,AQ40)&amp;""&lt;&gt;""),"Tutup","Tidak dibuka"),IF(IFERROR(--(INDEX('Reguler Class Availability'!$G:$G,AQ40)&amp;""),0)&gt;IFERROR(--(INDEX('Reguler Class Availability'!$F:$F,AQ40)&amp;""),0),"Lebih",IF(IFERROR(--(INDEX('Reguler Class Availability'!$G:$G,AQ40)&amp;""),0)=IFERROR(--(INDEX('Reguler Class Availability'!$F:$F,AQ40)&amp;""),0),"Penuh",IF(IFERROR(--(INDEX('Reguler Class Availability'!$G:$G,AQ40)&amp;""),0)=0,IF(INDEX('Reguler Class Availability'!$B:$B,AQ40)&amp;""="","Kosong","Belum terisi"),IF(IFERROR(--(INDEX('Reguler Class Availability'!$G:$G,AQ40)&amp;""),0)/IFERROR(--(INDEX('Reguler Class Availability'!$F:$F,AQ40)&amp;""),0)&gt;=0.6,"Tinggi","Sebagian"))))))</f>
        <v>Belum terisi</v>
      </c>
      <c r="AZ40" s="0" t="str">
        <f aca="false">IF(AR40="","",IF(AND(IFERROR(--(INDEX('Reguler Class Availability'!$F:$F,AR40)&amp;""),0)=0,IFERROR(--(INDEX('Reguler Class Availability'!$G:$G,AR40)&amp;""),0)=0),IF(OR(INDEX('Reguler Class Availability'!$B:$B,AR40)&amp;""&lt;&gt;"",INDEX('Reguler Class Availability'!$I:$I,AR40)&amp;""&lt;&gt;""),"Tutup","Tidak dibuka"),IF(IFERROR(--(INDEX('Reguler Class Availability'!$G:$G,AR40)&amp;""),0)&gt;IFERROR(--(INDEX('Reguler Class Availability'!$F:$F,AR40)&amp;""),0),"Lebih",IF(IFERROR(--(INDEX('Reguler Class Availability'!$G:$G,AR40)&amp;""),0)=IFERROR(--(INDEX('Reguler Class Availability'!$F:$F,AR40)&amp;""),0),"Penuh",IF(IFERROR(--(INDEX('Reguler Class Availability'!$G:$G,AR40)&amp;""),0)=0,IF(INDEX('Reguler Class Availability'!$B:$B,AR40)&amp;""="","Kosong","Belum terisi"),IF(IFERROR(--(INDEX('Reguler Class Availability'!$G:$G,AR40)&amp;""),0)/IFERROR(--(INDEX('Reguler Class Availability'!$F:$F,AR40)&amp;""),0)&gt;=0.6,"Tinggi","Sebagian"))))))</f>
        <v>Belum terisi</v>
      </c>
      <c r="BA40" s="0" t="str">
        <f aca="false">IF(AS40="","",IF(AND(IFERROR(--(INDEX('Reguler Class Availability'!$F:$F,AS40)&amp;""),0)=0,IFERROR(--(INDEX('Reguler Class Availability'!$G:$G,AS40)&amp;""),0)=0),IF(OR(INDEX('Reguler Class Availability'!$B:$B,AS40)&amp;""&lt;&gt;"",INDEX('Reguler Class Availability'!$I:$I,AS40)&amp;""&lt;&gt;""),"Tutup","Tidak dibuka"),IF(IFERROR(--(INDEX('Reguler Class Availability'!$G:$G,AS40)&amp;""),0)&gt;IFERROR(--(INDEX('Reguler Class Availability'!$F:$F,AS40)&amp;""),0),"Lebih",IF(IFERROR(--(INDEX('Reguler Class Availability'!$G:$G,AS40)&amp;""),0)=IFERROR(--(INDEX('Reguler Class Availability'!$F:$F,AS40)&amp;""),0),"Penuh",IF(IFERROR(--(INDEX('Reguler Class Availability'!$G:$G,AS40)&amp;""),0)=0,IF(INDEX('Reguler Class Availability'!$B:$B,AS40)&amp;""="","Kosong","Belum terisi"),IF(IFERROR(--(INDEX('Reguler Class Availability'!$G:$G,AS40)&amp;""),0)/IFERROR(--(INDEX('Reguler Class Availability'!$F:$F,AS40)&amp;""),0)&gt;=0.6,"Tinggi","Sebagian"))))))</f>
        <v>Belum terisi</v>
      </c>
      <c r="BB40" s="0" t="str">
        <f aca="false">IF(AT40="","",IF(AND(IFERROR(--(INDEX('Reguler Class Availability'!$F:$F,AT40)&amp;""),0)=0,IFERROR(--(INDEX('Reguler Class Availability'!$G:$G,AT40)&amp;""),0)=0),IF(OR(INDEX('Reguler Class Availability'!$B:$B,AT40)&amp;""&lt;&gt;"",INDEX('Reguler Class Availability'!$I:$I,AT40)&amp;""&lt;&gt;""),"Tutup","Tidak dibuka"),IF(IFERROR(--(INDEX('Reguler Class Availability'!$G:$G,AT40)&amp;""),0)&gt;IFERROR(--(INDEX('Reguler Class Availability'!$F:$F,AT40)&amp;""),0),"Lebih",IF(IFERROR(--(INDEX('Reguler Class Availability'!$G:$G,AT40)&amp;""),0)=IFERROR(--(INDEX('Reguler Class Availability'!$F:$F,AT40)&amp;""),0),"Penuh",IF(IFERROR(--(INDEX('Reguler Class Availability'!$G:$G,AT40)&amp;""),0)=0,IF(INDEX('Reguler Class Availability'!$B:$B,AT40)&amp;""="","Kosong","Belum terisi"),IF(IFERROR(--(INDEX('Reguler Class Availability'!$G:$G,AT40)&amp;""),0)/IFERROR(--(INDEX('Reguler Class Availability'!$F:$F,AT40)&amp;""),0)&gt;=0.6,"Tinggi","Sebagian"))))))</f>
        <v>Belum terisi</v>
      </c>
      <c r="BD40" s="30" t="s">
        <v>149</v>
      </c>
      <c r="BE40" s="30" t="n">
        <f aca="false">IF(COUNTIFS('Reguler Class Availability'!$L:$L,$B$4&amp;"|- Lane 1 - *|"&amp;BD40)&gt;0,1,0)</f>
        <v>1</v>
      </c>
      <c r="BF40" s="30" t="n">
        <f aca="false">BE40+BF39</f>
        <v>11</v>
      </c>
    </row>
    <row r="41" customFormat="false" ht="39.75" hidden="false" customHeight="true" outlineLevel="0" collapsed="false">
      <c r="A41" s="66" t="str">
        <f aca="false">IFERROR(INDEX($BD$62:$BD$121,MATCH(8,$BF$62:$BF$121,0)),"")</f>
        <v>14:00</v>
      </c>
      <c r="B41" s="67" t="str">
        <f aca="false">IF(AN41="","",IF(AV41="Tidak dibuka","–",IF(INDEX('Reguler Class Availability'!$B:$B,AN41)&amp;""="","Kosong",PROPER(INDEX('Reguler Class Availability'!$B:$B,AN41)&amp;""))&amp;"  "&amp;IFERROR(--(INDEX('Reguler Class Availability'!$G:$G,AN41)&amp;""),0)&amp;"/"&amp;IFERROR(--(INDEX('Reguler Class Availability'!$F:$F,AN41)&amp;""),0)&amp;IF(IFERROR(--(INDEX('Reguler Class Availability'!$F:$F,AN41)&amp;""),0)&gt;0,"  ("&amp;TEXT(IFERROR(--(INDEX('Reguler Class Availability'!$G:$G,AN41)&amp;""),0)/IFERROR(--(INDEX('Reguler Class Availability'!$F:$F,AN41)&amp;""),0),"0%")&amp;")","")&amp;CHAR(10)&amp;IF(INDEX('Reguler Class Availability'!$I:$I,AN41)&amp;""="","coach: –",PROPER(INDEX('Reguler Class Availability'!$I:$I,AN41)&amp;""))&amp;IF(INDEX('Reguler Class Availability'!$J:$J,AN41)&amp;""="","",CHAR(10)&amp;"asst: "&amp;PROPER(INDEX('Reguler Class Availability'!$J:$J,AN41)&amp;""))))</f>
        <v>Tiny  0/5  (0%)
coach: –</v>
      </c>
      <c r="C41" s="67" t="str">
        <f aca="false">IF(AO41="","",IF(AW41="Tidak dibuka","–",IF(INDEX('Reguler Class Availability'!$B:$B,AO41)&amp;""="","Kosong",PROPER(INDEX('Reguler Class Availability'!$B:$B,AO41)&amp;""))&amp;"  "&amp;IFERROR(--(INDEX('Reguler Class Availability'!$G:$G,AO41)&amp;""),0)&amp;"/"&amp;IFERROR(--(INDEX('Reguler Class Availability'!$F:$F,AO41)&amp;""),0)&amp;IF(IFERROR(--(INDEX('Reguler Class Availability'!$F:$F,AO41)&amp;""),0)&gt;0,"  ("&amp;TEXT(IFERROR(--(INDEX('Reguler Class Availability'!$G:$G,AO41)&amp;""),0)/IFERROR(--(INDEX('Reguler Class Availability'!$F:$F,AO41)&amp;""),0),"0%")&amp;")","")&amp;CHAR(10)&amp;IF(INDEX('Reguler Class Availability'!$I:$I,AO41)&amp;""="","coach: –",PROPER(INDEX('Reguler Class Availability'!$I:$I,AO41)&amp;""))&amp;IF(INDEX('Reguler Class Availability'!$J:$J,AO41)&amp;""="","",CHAR(10)&amp;"asst: "&amp;PROPER(INDEX('Reguler Class Availability'!$J:$J,AO41)&amp;""))))</f>
        <v>Tiny  0/5  (0%)
coach: –</v>
      </c>
      <c r="D41" s="67" t="str">
        <f aca="false">IF(AP41="","",IF(AX41="Tidak dibuka","–",IF(INDEX('Reguler Class Availability'!$B:$B,AP41)&amp;""="","Kosong",PROPER(INDEX('Reguler Class Availability'!$B:$B,AP41)&amp;""))&amp;"  "&amp;IFERROR(--(INDEX('Reguler Class Availability'!$G:$G,AP41)&amp;""),0)&amp;"/"&amp;IFERROR(--(INDEX('Reguler Class Availability'!$F:$F,AP41)&amp;""),0)&amp;IF(IFERROR(--(INDEX('Reguler Class Availability'!$F:$F,AP41)&amp;""),0)&gt;0,"  ("&amp;TEXT(IFERROR(--(INDEX('Reguler Class Availability'!$G:$G,AP41)&amp;""),0)/IFERROR(--(INDEX('Reguler Class Availability'!$F:$F,AP41)&amp;""),0),"0%")&amp;")","")&amp;CHAR(10)&amp;IF(INDEX('Reguler Class Availability'!$I:$I,AP41)&amp;""="","coach: –",PROPER(INDEX('Reguler Class Availability'!$I:$I,AP41)&amp;""))&amp;IF(INDEX('Reguler Class Availability'!$J:$J,AP41)&amp;""="","",CHAR(10)&amp;"asst: "&amp;PROPER(INDEX('Reguler Class Availability'!$J:$J,AP41)&amp;""))))</f>
        <v>Tiny  0/5  (0%)
coach: –</v>
      </c>
      <c r="E41" s="67" t="str">
        <f aca="false">IF(AQ41="","",IF(AY41="Tidak dibuka","–",IF(INDEX('Reguler Class Availability'!$B:$B,AQ41)&amp;""="","Kosong",PROPER(INDEX('Reguler Class Availability'!$B:$B,AQ41)&amp;""))&amp;"  "&amp;IFERROR(--(INDEX('Reguler Class Availability'!$G:$G,AQ41)&amp;""),0)&amp;"/"&amp;IFERROR(--(INDEX('Reguler Class Availability'!$F:$F,AQ41)&amp;""),0)&amp;IF(IFERROR(--(INDEX('Reguler Class Availability'!$F:$F,AQ41)&amp;""),0)&gt;0,"  ("&amp;TEXT(IFERROR(--(INDEX('Reguler Class Availability'!$G:$G,AQ41)&amp;""),0)/IFERROR(--(INDEX('Reguler Class Availability'!$F:$F,AQ41)&amp;""),0),"0%")&amp;")","")&amp;CHAR(10)&amp;IF(INDEX('Reguler Class Availability'!$I:$I,AQ41)&amp;""="","coach: –",PROPER(INDEX('Reguler Class Availability'!$I:$I,AQ41)&amp;""))&amp;IF(INDEX('Reguler Class Availability'!$J:$J,AQ41)&amp;""="","",CHAR(10)&amp;"asst: "&amp;PROPER(INDEX('Reguler Class Availability'!$J:$J,AQ41)&amp;""))))</f>
        <v>Tiny  0/5  (0%)
coach: –</v>
      </c>
      <c r="F41" s="67" t="str">
        <f aca="false">IF(AR41="","",IF(AZ41="Tidak dibuka","–",IF(INDEX('Reguler Class Availability'!$B:$B,AR41)&amp;""="","Kosong",PROPER(INDEX('Reguler Class Availability'!$B:$B,AR41)&amp;""))&amp;"  "&amp;IFERROR(--(INDEX('Reguler Class Availability'!$G:$G,AR41)&amp;""),0)&amp;"/"&amp;IFERROR(--(INDEX('Reguler Class Availability'!$F:$F,AR41)&amp;""),0)&amp;IF(IFERROR(--(INDEX('Reguler Class Availability'!$F:$F,AR41)&amp;""),0)&gt;0,"  ("&amp;TEXT(IFERROR(--(INDEX('Reguler Class Availability'!$G:$G,AR41)&amp;""),0)/IFERROR(--(INDEX('Reguler Class Availability'!$F:$F,AR41)&amp;""),0),"0%")&amp;")","")&amp;CHAR(10)&amp;IF(INDEX('Reguler Class Availability'!$I:$I,AR41)&amp;""="","coach: –",PROPER(INDEX('Reguler Class Availability'!$I:$I,AR41)&amp;""))&amp;IF(INDEX('Reguler Class Availability'!$J:$J,AR41)&amp;""="","",CHAR(10)&amp;"asst: "&amp;PROPER(INDEX('Reguler Class Availability'!$J:$J,AR41)&amp;""))))</f>
        <v>Tiny  0/5  (0%)
coach: –</v>
      </c>
      <c r="G41" s="67" t="str">
        <f aca="false">IF(AS41="","",IF(BA41="Tidak dibuka","–",IF(INDEX('Reguler Class Availability'!$B:$B,AS41)&amp;""="","Kosong",PROPER(INDEX('Reguler Class Availability'!$B:$B,AS41)&amp;""))&amp;"  "&amp;IFERROR(--(INDEX('Reguler Class Availability'!$G:$G,AS41)&amp;""),0)&amp;"/"&amp;IFERROR(--(INDEX('Reguler Class Availability'!$F:$F,AS41)&amp;""),0)&amp;IF(IFERROR(--(INDEX('Reguler Class Availability'!$F:$F,AS41)&amp;""),0)&gt;0,"  ("&amp;TEXT(IFERROR(--(INDEX('Reguler Class Availability'!$G:$G,AS41)&amp;""),0)/IFERROR(--(INDEX('Reguler Class Availability'!$F:$F,AS41)&amp;""),0),"0%")&amp;")","")&amp;CHAR(10)&amp;IF(INDEX('Reguler Class Availability'!$I:$I,AS41)&amp;""="","coach: –",PROPER(INDEX('Reguler Class Availability'!$I:$I,AS41)&amp;""))&amp;IF(INDEX('Reguler Class Availability'!$J:$J,AS41)&amp;""="","",CHAR(10)&amp;"asst: "&amp;PROPER(INDEX('Reguler Class Availability'!$J:$J,AS41)&amp;""))))</f>
        <v>Tiny  0/5  (0%)
coach: –</v>
      </c>
      <c r="H41" s="67" t="str">
        <f aca="false">IF(AT41="","",IF(BB41="Tidak dibuka","–",IF(INDEX('Reguler Class Availability'!$B:$B,AT41)&amp;""="","Kosong",PROPER(INDEX('Reguler Class Availability'!$B:$B,AT41)&amp;""))&amp;"  "&amp;IFERROR(--(INDEX('Reguler Class Availability'!$G:$G,AT41)&amp;""),0)&amp;"/"&amp;IFERROR(--(INDEX('Reguler Class Availability'!$F:$F,AT41)&amp;""),0)&amp;IF(IFERROR(--(INDEX('Reguler Class Availability'!$F:$F,AT41)&amp;""),0)&gt;0,"  ("&amp;TEXT(IFERROR(--(INDEX('Reguler Class Availability'!$G:$G,AT41)&amp;""),0)/IFERROR(--(INDEX('Reguler Class Availability'!$F:$F,AT41)&amp;""),0),"0%")&amp;")","")&amp;CHAR(10)&amp;IF(INDEX('Reguler Class Availability'!$I:$I,AT41)&amp;""="","coach: –",PROPER(INDEX('Reguler Class Availability'!$I:$I,AT41)&amp;""))&amp;IF(INDEX('Reguler Class Availability'!$J:$J,AT41)&amp;""="","",CHAR(10)&amp;"asst: "&amp;PROPER(INDEX('Reguler Class Availability'!$J:$J,AT41)&amp;""))))</f>
        <v>Tiny  0/5  (0%)
coach: –</v>
      </c>
      <c r="AN41" s="30" t="n">
        <f aca="false">IF($A41="","",IFERROR(MATCH($B$4&amp;"|- Lane 2 - "&amp;B$33&amp;"|"&amp;$A41,'Reguler Class Availability'!$L:$L,0),""))</f>
        <v>2515</v>
      </c>
      <c r="AO41" s="30" t="n">
        <f aca="false">IF($A41="","",IFERROR(MATCH($B$4&amp;"|- Lane 2 - "&amp;C$33&amp;"|"&amp;$A41,'Reguler Class Availability'!$L:$L,0),""))</f>
        <v>2527</v>
      </c>
      <c r="AP41" s="30" t="n">
        <f aca="false">IF($A41="","",IFERROR(MATCH($B$4&amp;"|- Lane 2 - "&amp;D$33&amp;"|"&amp;$A41,'Reguler Class Availability'!$L:$L,0),""))</f>
        <v>2539</v>
      </c>
      <c r="AQ41" s="30" t="n">
        <f aca="false">IF($A41="","",IFERROR(MATCH($B$4&amp;"|- Lane 2 - "&amp;E$33&amp;"|"&amp;$A41,'Reguler Class Availability'!$L:$L,0),""))</f>
        <v>2551</v>
      </c>
      <c r="AR41" s="30" t="n">
        <f aca="false">IF($A41="","",IFERROR(MATCH($B$4&amp;"|- Lane 2 - "&amp;F$33&amp;"|"&amp;$A41,'Reguler Class Availability'!$L:$L,0),""))</f>
        <v>2563</v>
      </c>
      <c r="AS41" s="30" t="n">
        <f aca="false">IF($A41="","",IFERROR(MATCH($B$4&amp;"|- Lane 2 - "&amp;G$33&amp;"|"&amp;$A41,'Reguler Class Availability'!$L:$L,0),""))</f>
        <v>2575</v>
      </c>
      <c r="AT41" s="30" t="n">
        <f aca="false">IF($A41="","",IFERROR(MATCH($B$4&amp;"|- Lane 2 - "&amp;H$33&amp;"|"&amp;$A41,'Reguler Class Availability'!$L:$L,0),""))</f>
        <v>2587</v>
      </c>
      <c r="AV41" s="0" t="str">
        <f aca="false">IF(AN41="","",IF(AND(IFERROR(--(INDEX('Reguler Class Availability'!$F:$F,AN41)&amp;""),0)=0,IFERROR(--(INDEX('Reguler Class Availability'!$G:$G,AN41)&amp;""),0)=0),IF(OR(INDEX('Reguler Class Availability'!$B:$B,AN41)&amp;""&lt;&gt;"",INDEX('Reguler Class Availability'!$I:$I,AN41)&amp;""&lt;&gt;""),"Tutup","Tidak dibuka"),IF(IFERROR(--(INDEX('Reguler Class Availability'!$G:$G,AN41)&amp;""),0)&gt;IFERROR(--(INDEX('Reguler Class Availability'!$F:$F,AN41)&amp;""),0),"Lebih",IF(IFERROR(--(INDEX('Reguler Class Availability'!$G:$G,AN41)&amp;""),0)=IFERROR(--(INDEX('Reguler Class Availability'!$F:$F,AN41)&amp;""),0),"Penuh",IF(IFERROR(--(INDEX('Reguler Class Availability'!$G:$G,AN41)&amp;""),0)=0,IF(INDEX('Reguler Class Availability'!$B:$B,AN41)&amp;""="","Kosong","Belum terisi"),IF(IFERROR(--(INDEX('Reguler Class Availability'!$G:$G,AN41)&amp;""),0)/IFERROR(--(INDEX('Reguler Class Availability'!$F:$F,AN41)&amp;""),0)&gt;=0.6,"Tinggi","Sebagian"))))))</f>
        <v>Belum terisi</v>
      </c>
      <c r="AW41" s="0" t="str">
        <f aca="false">IF(AO41="","",IF(AND(IFERROR(--(INDEX('Reguler Class Availability'!$F:$F,AO41)&amp;""),0)=0,IFERROR(--(INDEX('Reguler Class Availability'!$G:$G,AO41)&amp;""),0)=0),IF(OR(INDEX('Reguler Class Availability'!$B:$B,AO41)&amp;""&lt;&gt;"",INDEX('Reguler Class Availability'!$I:$I,AO41)&amp;""&lt;&gt;""),"Tutup","Tidak dibuka"),IF(IFERROR(--(INDEX('Reguler Class Availability'!$G:$G,AO41)&amp;""),0)&gt;IFERROR(--(INDEX('Reguler Class Availability'!$F:$F,AO41)&amp;""),0),"Lebih",IF(IFERROR(--(INDEX('Reguler Class Availability'!$G:$G,AO41)&amp;""),0)=IFERROR(--(INDEX('Reguler Class Availability'!$F:$F,AO41)&amp;""),0),"Penuh",IF(IFERROR(--(INDEX('Reguler Class Availability'!$G:$G,AO41)&amp;""),0)=0,IF(INDEX('Reguler Class Availability'!$B:$B,AO41)&amp;""="","Kosong","Belum terisi"),IF(IFERROR(--(INDEX('Reguler Class Availability'!$G:$G,AO41)&amp;""),0)/IFERROR(--(INDEX('Reguler Class Availability'!$F:$F,AO41)&amp;""),0)&gt;=0.6,"Tinggi","Sebagian"))))))</f>
        <v>Belum terisi</v>
      </c>
      <c r="AX41" s="0" t="str">
        <f aca="false">IF(AP41="","",IF(AND(IFERROR(--(INDEX('Reguler Class Availability'!$F:$F,AP41)&amp;""),0)=0,IFERROR(--(INDEX('Reguler Class Availability'!$G:$G,AP41)&amp;""),0)=0),IF(OR(INDEX('Reguler Class Availability'!$B:$B,AP41)&amp;""&lt;&gt;"",INDEX('Reguler Class Availability'!$I:$I,AP41)&amp;""&lt;&gt;""),"Tutup","Tidak dibuka"),IF(IFERROR(--(INDEX('Reguler Class Availability'!$G:$G,AP41)&amp;""),0)&gt;IFERROR(--(INDEX('Reguler Class Availability'!$F:$F,AP41)&amp;""),0),"Lebih",IF(IFERROR(--(INDEX('Reguler Class Availability'!$G:$G,AP41)&amp;""),0)=IFERROR(--(INDEX('Reguler Class Availability'!$F:$F,AP41)&amp;""),0),"Penuh",IF(IFERROR(--(INDEX('Reguler Class Availability'!$G:$G,AP41)&amp;""),0)=0,IF(INDEX('Reguler Class Availability'!$B:$B,AP41)&amp;""="","Kosong","Belum terisi"),IF(IFERROR(--(INDEX('Reguler Class Availability'!$G:$G,AP41)&amp;""),0)/IFERROR(--(INDEX('Reguler Class Availability'!$F:$F,AP41)&amp;""),0)&gt;=0.6,"Tinggi","Sebagian"))))))</f>
        <v>Belum terisi</v>
      </c>
      <c r="AY41" s="0" t="str">
        <f aca="false">IF(AQ41="","",IF(AND(IFERROR(--(INDEX('Reguler Class Availability'!$F:$F,AQ41)&amp;""),0)=0,IFERROR(--(INDEX('Reguler Class Availability'!$G:$G,AQ41)&amp;""),0)=0),IF(OR(INDEX('Reguler Class Availability'!$B:$B,AQ41)&amp;""&lt;&gt;"",INDEX('Reguler Class Availability'!$I:$I,AQ41)&amp;""&lt;&gt;""),"Tutup","Tidak dibuka"),IF(IFERROR(--(INDEX('Reguler Class Availability'!$G:$G,AQ41)&amp;""),0)&gt;IFERROR(--(INDEX('Reguler Class Availability'!$F:$F,AQ41)&amp;""),0),"Lebih",IF(IFERROR(--(INDEX('Reguler Class Availability'!$G:$G,AQ41)&amp;""),0)=IFERROR(--(INDEX('Reguler Class Availability'!$F:$F,AQ41)&amp;""),0),"Penuh",IF(IFERROR(--(INDEX('Reguler Class Availability'!$G:$G,AQ41)&amp;""),0)=0,IF(INDEX('Reguler Class Availability'!$B:$B,AQ41)&amp;""="","Kosong","Belum terisi"),IF(IFERROR(--(INDEX('Reguler Class Availability'!$G:$G,AQ41)&amp;""),0)/IFERROR(--(INDEX('Reguler Class Availability'!$F:$F,AQ41)&amp;""),0)&gt;=0.6,"Tinggi","Sebagian"))))))</f>
        <v>Belum terisi</v>
      </c>
      <c r="AZ41" s="0" t="str">
        <f aca="false">IF(AR41="","",IF(AND(IFERROR(--(INDEX('Reguler Class Availability'!$F:$F,AR41)&amp;""),0)=0,IFERROR(--(INDEX('Reguler Class Availability'!$G:$G,AR41)&amp;""),0)=0),IF(OR(INDEX('Reguler Class Availability'!$B:$B,AR41)&amp;""&lt;&gt;"",INDEX('Reguler Class Availability'!$I:$I,AR41)&amp;""&lt;&gt;""),"Tutup","Tidak dibuka"),IF(IFERROR(--(INDEX('Reguler Class Availability'!$G:$G,AR41)&amp;""),0)&gt;IFERROR(--(INDEX('Reguler Class Availability'!$F:$F,AR41)&amp;""),0),"Lebih",IF(IFERROR(--(INDEX('Reguler Class Availability'!$G:$G,AR41)&amp;""),0)=IFERROR(--(INDEX('Reguler Class Availability'!$F:$F,AR41)&amp;""),0),"Penuh",IF(IFERROR(--(INDEX('Reguler Class Availability'!$G:$G,AR41)&amp;""),0)=0,IF(INDEX('Reguler Class Availability'!$B:$B,AR41)&amp;""="","Kosong","Belum terisi"),IF(IFERROR(--(INDEX('Reguler Class Availability'!$G:$G,AR41)&amp;""),0)/IFERROR(--(INDEX('Reguler Class Availability'!$F:$F,AR41)&amp;""),0)&gt;=0.6,"Tinggi","Sebagian"))))))</f>
        <v>Belum terisi</v>
      </c>
      <c r="BA41" s="0" t="str">
        <f aca="false">IF(AS41="","",IF(AND(IFERROR(--(INDEX('Reguler Class Availability'!$F:$F,AS41)&amp;""),0)=0,IFERROR(--(INDEX('Reguler Class Availability'!$G:$G,AS41)&amp;""),0)=0),IF(OR(INDEX('Reguler Class Availability'!$B:$B,AS41)&amp;""&lt;&gt;"",INDEX('Reguler Class Availability'!$I:$I,AS41)&amp;""&lt;&gt;""),"Tutup","Tidak dibuka"),IF(IFERROR(--(INDEX('Reguler Class Availability'!$G:$G,AS41)&amp;""),0)&gt;IFERROR(--(INDEX('Reguler Class Availability'!$F:$F,AS41)&amp;""),0),"Lebih",IF(IFERROR(--(INDEX('Reguler Class Availability'!$G:$G,AS41)&amp;""),0)=IFERROR(--(INDEX('Reguler Class Availability'!$F:$F,AS41)&amp;""),0),"Penuh",IF(IFERROR(--(INDEX('Reguler Class Availability'!$G:$G,AS41)&amp;""),0)=0,IF(INDEX('Reguler Class Availability'!$B:$B,AS41)&amp;""="","Kosong","Belum terisi"),IF(IFERROR(--(INDEX('Reguler Class Availability'!$G:$G,AS41)&amp;""),0)/IFERROR(--(INDEX('Reguler Class Availability'!$F:$F,AS41)&amp;""),0)&gt;=0.6,"Tinggi","Sebagian"))))))</f>
        <v>Belum terisi</v>
      </c>
      <c r="BB41" s="0" t="str">
        <f aca="false">IF(AT41="","",IF(AND(IFERROR(--(INDEX('Reguler Class Availability'!$F:$F,AT41)&amp;""),0)=0,IFERROR(--(INDEX('Reguler Class Availability'!$G:$G,AT41)&amp;""),0)=0),IF(OR(INDEX('Reguler Class Availability'!$B:$B,AT41)&amp;""&lt;&gt;"",INDEX('Reguler Class Availability'!$I:$I,AT41)&amp;""&lt;&gt;""),"Tutup","Tidak dibuka"),IF(IFERROR(--(INDEX('Reguler Class Availability'!$G:$G,AT41)&amp;""),0)&gt;IFERROR(--(INDEX('Reguler Class Availability'!$F:$F,AT41)&amp;""),0),"Lebih",IF(IFERROR(--(INDEX('Reguler Class Availability'!$G:$G,AT41)&amp;""),0)=IFERROR(--(INDEX('Reguler Class Availability'!$F:$F,AT41)&amp;""),0),"Penuh",IF(IFERROR(--(INDEX('Reguler Class Availability'!$G:$G,AT41)&amp;""),0)=0,IF(INDEX('Reguler Class Availability'!$B:$B,AT41)&amp;""="","Kosong","Belum terisi"),IF(IFERROR(--(INDEX('Reguler Class Availability'!$G:$G,AT41)&amp;""),0)/IFERROR(--(INDEX('Reguler Class Availability'!$F:$F,AT41)&amp;""),0)&gt;=0.6,"Tinggi","Sebagian"))))))</f>
        <v>Belum terisi</v>
      </c>
      <c r="BD41" s="30" t="s">
        <v>150</v>
      </c>
      <c r="BE41" s="30" t="n">
        <f aca="false">IF(COUNTIFS('Reguler Class Availability'!$L:$L,$B$4&amp;"|- Lane 1 - *|"&amp;BD41)&gt;0,1,0)</f>
        <v>0</v>
      </c>
      <c r="BF41" s="30" t="n">
        <f aca="false">BE41+BF40</f>
        <v>11</v>
      </c>
    </row>
    <row r="42" customFormat="false" ht="39.75" hidden="false" customHeight="true" outlineLevel="0" collapsed="false">
      <c r="A42" s="66" t="str">
        <f aca="false">IFERROR(INDEX($BD$62:$BD$121,MATCH(9,$BF$62:$BF$121,0)),"")</f>
        <v>14:45</v>
      </c>
      <c r="B42" s="67" t="str">
        <f aca="false">IF(AN42="","",IF(AV42="Tidak dibuka","–",IF(INDEX('Reguler Class Availability'!$B:$B,AN42)&amp;""="","Kosong",PROPER(INDEX('Reguler Class Availability'!$B:$B,AN42)&amp;""))&amp;"  "&amp;IFERROR(--(INDEX('Reguler Class Availability'!$G:$G,AN42)&amp;""),0)&amp;"/"&amp;IFERROR(--(INDEX('Reguler Class Availability'!$F:$F,AN42)&amp;""),0)&amp;IF(IFERROR(--(INDEX('Reguler Class Availability'!$F:$F,AN42)&amp;""),0)&gt;0,"  ("&amp;TEXT(IFERROR(--(INDEX('Reguler Class Availability'!$G:$G,AN42)&amp;""),0)/IFERROR(--(INDEX('Reguler Class Availability'!$F:$F,AN42)&amp;""),0),"0%")&amp;")","")&amp;CHAR(10)&amp;IF(INDEX('Reguler Class Availability'!$I:$I,AN42)&amp;""="","coach: –",PROPER(INDEX('Reguler Class Availability'!$I:$I,AN42)&amp;""))&amp;IF(INDEX('Reguler Class Availability'!$J:$J,AN42)&amp;""="","",CHAR(10)&amp;"asst: "&amp;PROPER(INDEX('Reguler Class Availability'!$J:$J,AN42)&amp;""))))</f>
        <v>Tiny  0/5  (0%)
coach: –</v>
      </c>
      <c r="C42" s="67" t="str">
        <f aca="false">IF(AO42="","",IF(AW42="Tidak dibuka","–",IF(INDEX('Reguler Class Availability'!$B:$B,AO42)&amp;""="","Kosong",PROPER(INDEX('Reguler Class Availability'!$B:$B,AO42)&amp;""))&amp;"  "&amp;IFERROR(--(INDEX('Reguler Class Availability'!$G:$G,AO42)&amp;""),0)&amp;"/"&amp;IFERROR(--(INDEX('Reguler Class Availability'!$F:$F,AO42)&amp;""),0)&amp;IF(IFERROR(--(INDEX('Reguler Class Availability'!$F:$F,AO42)&amp;""),0)&gt;0,"  ("&amp;TEXT(IFERROR(--(INDEX('Reguler Class Availability'!$G:$G,AO42)&amp;""),0)/IFERROR(--(INDEX('Reguler Class Availability'!$F:$F,AO42)&amp;""),0),"0%")&amp;")","")&amp;CHAR(10)&amp;IF(INDEX('Reguler Class Availability'!$I:$I,AO42)&amp;""="","coach: –",PROPER(INDEX('Reguler Class Availability'!$I:$I,AO42)&amp;""))&amp;IF(INDEX('Reguler Class Availability'!$J:$J,AO42)&amp;""="","",CHAR(10)&amp;"asst: "&amp;PROPER(INDEX('Reguler Class Availability'!$J:$J,AO42)&amp;""))))</f>
        <v>Tiny  0/5  (0%)
coach: –</v>
      </c>
      <c r="D42" s="67" t="str">
        <f aca="false">IF(AP42="","",IF(AX42="Tidak dibuka","–",IF(INDEX('Reguler Class Availability'!$B:$B,AP42)&amp;""="","Kosong",PROPER(INDEX('Reguler Class Availability'!$B:$B,AP42)&amp;""))&amp;"  "&amp;IFERROR(--(INDEX('Reguler Class Availability'!$G:$G,AP42)&amp;""),0)&amp;"/"&amp;IFERROR(--(INDEX('Reguler Class Availability'!$F:$F,AP42)&amp;""),0)&amp;IF(IFERROR(--(INDEX('Reguler Class Availability'!$F:$F,AP42)&amp;""),0)&gt;0,"  ("&amp;TEXT(IFERROR(--(INDEX('Reguler Class Availability'!$G:$G,AP42)&amp;""),0)/IFERROR(--(INDEX('Reguler Class Availability'!$F:$F,AP42)&amp;""),0),"0%")&amp;")","")&amp;CHAR(10)&amp;IF(INDEX('Reguler Class Availability'!$I:$I,AP42)&amp;""="","coach: –",PROPER(INDEX('Reguler Class Availability'!$I:$I,AP42)&amp;""))&amp;IF(INDEX('Reguler Class Availability'!$J:$J,AP42)&amp;""="","",CHAR(10)&amp;"asst: "&amp;PROPER(INDEX('Reguler Class Availability'!$J:$J,AP42)&amp;""))))</f>
        <v>Tiny  0/5  (0%)
coach: –</v>
      </c>
      <c r="E42" s="67" t="str">
        <f aca="false">IF(AQ42="","",IF(AY42="Tidak dibuka","–",IF(INDEX('Reguler Class Availability'!$B:$B,AQ42)&amp;""="","Kosong",PROPER(INDEX('Reguler Class Availability'!$B:$B,AQ42)&amp;""))&amp;"  "&amp;IFERROR(--(INDEX('Reguler Class Availability'!$G:$G,AQ42)&amp;""),0)&amp;"/"&amp;IFERROR(--(INDEX('Reguler Class Availability'!$F:$F,AQ42)&amp;""),0)&amp;IF(IFERROR(--(INDEX('Reguler Class Availability'!$F:$F,AQ42)&amp;""),0)&gt;0,"  ("&amp;TEXT(IFERROR(--(INDEX('Reguler Class Availability'!$G:$G,AQ42)&amp;""),0)/IFERROR(--(INDEX('Reguler Class Availability'!$F:$F,AQ42)&amp;""),0),"0%")&amp;")","")&amp;CHAR(10)&amp;IF(INDEX('Reguler Class Availability'!$I:$I,AQ42)&amp;""="","coach: –",PROPER(INDEX('Reguler Class Availability'!$I:$I,AQ42)&amp;""))&amp;IF(INDEX('Reguler Class Availability'!$J:$J,AQ42)&amp;""="","",CHAR(10)&amp;"asst: "&amp;PROPER(INDEX('Reguler Class Availability'!$J:$J,AQ42)&amp;""))))</f>
        <v>Tiny  0/5  (0%)
coach: –</v>
      </c>
      <c r="F42" s="67" t="str">
        <f aca="false">IF(AR42="","",IF(AZ42="Tidak dibuka","–",IF(INDEX('Reguler Class Availability'!$B:$B,AR42)&amp;""="","Kosong",PROPER(INDEX('Reguler Class Availability'!$B:$B,AR42)&amp;""))&amp;"  "&amp;IFERROR(--(INDEX('Reguler Class Availability'!$G:$G,AR42)&amp;""),0)&amp;"/"&amp;IFERROR(--(INDEX('Reguler Class Availability'!$F:$F,AR42)&amp;""),0)&amp;IF(IFERROR(--(INDEX('Reguler Class Availability'!$F:$F,AR42)&amp;""),0)&gt;0,"  ("&amp;TEXT(IFERROR(--(INDEX('Reguler Class Availability'!$G:$G,AR42)&amp;""),0)/IFERROR(--(INDEX('Reguler Class Availability'!$F:$F,AR42)&amp;""),0),"0%")&amp;")","")&amp;CHAR(10)&amp;IF(INDEX('Reguler Class Availability'!$I:$I,AR42)&amp;""="","coach: –",PROPER(INDEX('Reguler Class Availability'!$I:$I,AR42)&amp;""))&amp;IF(INDEX('Reguler Class Availability'!$J:$J,AR42)&amp;""="","",CHAR(10)&amp;"asst: "&amp;PROPER(INDEX('Reguler Class Availability'!$J:$J,AR42)&amp;""))))</f>
        <v>Tiny  0/5  (0%)
coach: –</v>
      </c>
      <c r="G42" s="67" t="str">
        <f aca="false">IF(AS42="","",IF(BA42="Tidak dibuka","–",IF(INDEX('Reguler Class Availability'!$B:$B,AS42)&amp;""="","Kosong",PROPER(INDEX('Reguler Class Availability'!$B:$B,AS42)&amp;""))&amp;"  "&amp;IFERROR(--(INDEX('Reguler Class Availability'!$G:$G,AS42)&amp;""),0)&amp;"/"&amp;IFERROR(--(INDEX('Reguler Class Availability'!$F:$F,AS42)&amp;""),0)&amp;IF(IFERROR(--(INDEX('Reguler Class Availability'!$F:$F,AS42)&amp;""),0)&gt;0,"  ("&amp;TEXT(IFERROR(--(INDEX('Reguler Class Availability'!$G:$G,AS42)&amp;""),0)/IFERROR(--(INDEX('Reguler Class Availability'!$F:$F,AS42)&amp;""),0),"0%")&amp;")","")&amp;CHAR(10)&amp;IF(INDEX('Reguler Class Availability'!$I:$I,AS42)&amp;""="","coach: –",PROPER(INDEX('Reguler Class Availability'!$I:$I,AS42)&amp;""))&amp;IF(INDEX('Reguler Class Availability'!$J:$J,AS42)&amp;""="","",CHAR(10)&amp;"asst: "&amp;PROPER(INDEX('Reguler Class Availability'!$J:$J,AS42)&amp;""))))</f>
        <v>Tiny  0/5  (0%)
coach: –</v>
      </c>
      <c r="H42" s="67" t="str">
        <f aca="false">IF(AT42="","",IF(BB42="Tidak dibuka","–",IF(INDEX('Reguler Class Availability'!$B:$B,AT42)&amp;""="","Kosong",PROPER(INDEX('Reguler Class Availability'!$B:$B,AT42)&amp;""))&amp;"  "&amp;IFERROR(--(INDEX('Reguler Class Availability'!$G:$G,AT42)&amp;""),0)&amp;"/"&amp;IFERROR(--(INDEX('Reguler Class Availability'!$F:$F,AT42)&amp;""),0)&amp;IF(IFERROR(--(INDEX('Reguler Class Availability'!$F:$F,AT42)&amp;""),0)&gt;0,"  ("&amp;TEXT(IFERROR(--(INDEX('Reguler Class Availability'!$G:$G,AT42)&amp;""),0)/IFERROR(--(INDEX('Reguler Class Availability'!$F:$F,AT42)&amp;""),0),"0%")&amp;")","")&amp;CHAR(10)&amp;IF(INDEX('Reguler Class Availability'!$I:$I,AT42)&amp;""="","coach: –",PROPER(INDEX('Reguler Class Availability'!$I:$I,AT42)&amp;""))&amp;IF(INDEX('Reguler Class Availability'!$J:$J,AT42)&amp;""="","",CHAR(10)&amp;"asst: "&amp;PROPER(INDEX('Reguler Class Availability'!$J:$J,AT42)&amp;""))))</f>
        <v>Tiny  0/5  (0%)
coach: –</v>
      </c>
      <c r="AN42" s="30" t="n">
        <f aca="false">IF($A42="","",IFERROR(MATCH($B$4&amp;"|- Lane 2 - "&amp;B$33&amp;"|"&amp;$A42,'Reguler Class Availability'!$L:$L,0),""))</f>
        <v>2516</v>
      </c>
      <c r="AO42" s="30" t="n">
        <f aca="false">IF($A42="","",IFERROR(MATCH($B$4&amp;"|- Lane 2 - "&amp;C$33&amp;"|"&amp;$A42,'Reguler Class Availability'!$L:$L,0),""))</f>
        <v>2528</v>
      </c>
      <c r="AP42" s="30" t="n">
        <f aca="false">IF($A42="","",IFERROR(MATCH($B$4&amp;"|- Lane 2 - "&amp;D$33&amp;"|"&amp;$A42,'Reguler Class Availability'!$L:$L,0),""))</f>
        <v>2540</v>
      </c>
      <c r="AQ42" s="30" t="n">
        <f aca="false">IF($A42="","",IFERROR(MATCH($B$4&amp;"|- Lane 2 - "&amp;E$33&amp;"|"&amp;$A42,'Reguler Class Availability'!$L:$L,0),""))</f>
        <v>2552</v>
      </c>
      <c r="AR42" s="30" t="n">
        <f aca="false">IF($A42="","",IFERROR(MATCH($B$4&amp;"|- Lane 2 - "&amp;F$33&amp;"|"&amp;$A42,'Reguler Class Availability'!$L:$L,0),""))</f>
        <v>2564</v>
      </c>
      <c r="AS42" s="30" t="n">
        <f aca="false">IF($A42="","",IFERROR(MATCH($B$4&amp;"|- Lane 2 - "&amp;G$33&amp;"|"&amp;$A42,'Reguler Class Availability'!$L:$L,0),""))</f>
        <v>2576</v>
      </c>
      <c r="AT42" s="30" t="n">
        <f aca="false">IF($A42="","",IFERROR(MATCH($B$4&amp;"|- Lane 2 - "&amp;H$33&amp;"|"&amp;$A42,'Reguler Class Availability'!$L:$L,0),""))</f>
        <v>2588</v>
      </c>
      <c r="AV42" s="0" t="str">
        <f aca="false">IF(AN42="","",IF(AND(IFERROR(--(INDEX('Reguler Class Availability'!$F:$F,AN42)&amp;""),0)=0,IFERROR(--(INDEX('Reguler Class Availability'!$G:$G,AN42)&amp;""),0)=0),IF(OR(INDEX('Reguler Class Availability'!$B:$B,AN42)&amp;""&lt;&gt;"",INDEX('Reguler Class Availability'!$I:$I,AN42)&amp;""&lt;&gt;""),"Tutup","Tidak dibuka"),IF(IFERROR(--(INDEX('Reguler Class Availability'!$G:$G,AN42)&amp;""),0)&gt;IFERROR(--(INDEX('Reguler Class Availability'!$F:$F,AN42)&amp;""),0),"Lebih",IF(IFERROR(--(INDEX('Reguler Class Availability'!$G:$G,AN42)&amp;""),0)=IFERROR(--(INDEX('Reguler Class Availability'!$F:$F,AN42)&amp;""),0),"Penuh",IF(IFERROR(--(INDEX('Reguler Class Availability'!$G:$G,AN42)&amp;""),0)=0,IF(INDEX('Reguler Class Availability'!$B:$B,AN42)&amp;""="","Kosong","Belum terisi"),IF(IFERROR(--(INDEX('Reguler Class Availability'!$G:$G,AN42)&amp;""),0)/IFERROR(--(INDEX('Reguler Class Availability'!$F:$F,AN42)&amp;""),0)&gt;=0.6,"Tinggi","Sebagian"))))))</f>
        <v>Belum terisi</v>
      </c>
      <c r="AW42" s="0" t="str">
        <f aca="false">IF(AO42="","",IF(AND(IFERROR(--(INDEX('Reguler Class Availability'!$F:$F,AO42)&amp;""),0)=0,IFERROR(--(INDEX('Reguler Class Availability'!$G:$G,AO42)&amp;""),0)=0),IF(OR(INDEX('Reguler Class Availability'!$B:$B,AO42)&amp;""&lt;&gt;"",INDEX('Reguler Class Availability'!$I:$I,AO42)&amp;""&lt;&gt;""),"Tutup","Tidak dibuka"),IF(IFERROR(--(INDEX('Reguler Class Availability'!$G:$G,AO42)&amp;""),0)&gt;IFERROR(--(INDEX('Reguler Class Availability'!$F:$F,AO42)&amp;""),0),"Lebih",IF(IFERROR(--(INDEX('Reguler Class Availability'!$G:$G,AO42)&amp;""),0)=IFERROR(--(INDEX('Reguler Class Availability'!$F:$F,AO42)&amp;""),0),"Penuh",IF(IFERROR(--(INDEX('Reguler Class Availability'!$G:$G,AO42)&amp;""),0)=0,IF(INDEX('Reguler Class Availability'!$B:$B,AO42)&amp;""="","Kosong","Belum terisi"),IF(IFERROR(--(INDEX('Reguler Class Availability'!$G:$G,AO42)&amp;""),0)/IFERROR(--(INDEX('Reguler Class Availability'!$F:$F,AO42)&amp;""),0)&gt;=0.6,"Tinggi","Sebagian"))))))</f>
        <v>Belum terisi</v>
      </c>
      <c r="AX42" s="0" t="str">
        <f aca="false">IF(AP42="","",IF(AND(IFERROR(--(INDEX('Reguler Class Availability'!$F:$F,AP42)&amp;""),0)=0,IFERROR(--(INDEX('Reguler Class Availability'!$G:$G,AP42)&amp;""),0)=0),IF(OR(INDEX('Reguler Class Availability'!$B:$B,AP42)&amp;""&lt;&gt;"",INDEX('Reguler Class Availability'!$I:$I,AP42)&amp;""&lt;&gt;""),"Tutup","Tidak dibuka"),IF(IFERROR(--(INDEX('Reguler Class Availability'!$G:$G,AP42)&amp;""),0)&gt;IFERROR(--(INDEX('Reguler Class Availability'!$F:$F,AP42)&amp;""),0),"Lebih",IF(IFERROR(--(INDEX('Reguler Class Availability'!$G:$G,AP42)&amp;""),0)=IFERROR(--(INDEX('Reguler Class Availability'!$F:$F,AP42)&amp;""),0),"Penuh",IF(IFERROR(--(INDEX('Reguler Class Availability'!$G:$G,AP42)&amp;""),0)=0,IF(INDEX('Reguler Class Availability'!$B:$B,AP42)&amp;""="","Kosong","Belum terisi"),IF(IFERROR(--(INDEX('Reguler Class Availability'!$G:$G,AP42)&amp;""),0)/IFERROR(--(INDEX('Reguler Class Availability'!$F:$F,AP42)&amp;""),0)&gt;=0.6,"Tinggi","Sebagian"))))))</f>
        <v>Belum terisi</v>
      </c>
      <c r="AY42" s="0" t="str">
        <f aca="false">IF(AQ42="","",IF(AND(IFERROR(--(INDEX('Reguler Class Availability'!$F:$F,AQ42)&amp;""),0)=0,IFERROR(--(INDEX('Reguler Class Availability'!$G:$G,AQ42)&amp;""),0)=0),IF(OR(INDEX('Reguler Class Availability'!$B:$B,AQ42)&amp;""&lt;&gt;"",INDEX('Reguler Class Availability'!$I:$I,AQ42)&amp;""&lt;&gt;""),"Tutup","Tidak dibuka"),IF(IFERROR(--(INDEX('Reguler Class Availability'!$G:$G,AQ42)&amp;""),0)&gt;IFERROR(--(INDEX('Reguler Class Availability'!$F:$F,AQ42)&amp;""),0),"Lebih",IF(IFERROR(--(INDEX('Reguler Class Availability'!$G:$G,AQ42)&amp;""),0)=IFERROR(--(INDEX('Reguler Class Availability'!$F:$F,AQ42)&amp;""),0),"Penuh",IF(IFERROR(--(INDEX('Reguler Class Availability'!$G:$G,AQ42)&amp;""),0)=0,IF(INDEX('Reguler Class Availability'!$B:$B,AQ42)&amp;""="","Kosong","Belum terisi"),IF(IFERROR(--(INDEX('Reguler Class Availability'!$G:$G,AQ42)&amp;""),0)/IFERROR(--(INDEX('Reguler Class Availability'!$F:$F,AQ42)&amp;""),0)&gt;=0.6,"Tinggi","Sebagian"))))))</f>
        <v>Belum terisi</v>
      </c>
      <c r="AZ42" s="0" t="str">
        <f aca="false">IF(AR42="","",IF(AND(IFERROR(--(INDEX('Reguler Class Availability'!$F:$F,AR42)&amp;""),0)=0,IFERROR(--(INDEX('Reguler Class Availability'!$G:$G,AR42)&amp;""),0)=0),IF(OR(INDEX('Reguler Class Availability'!$B:$B,AR42)&amp;""&lt;&gt;"",INDEX('Reguler Class Availability'!$I:$I,AR42)&amp;""&lt;&gt;""),"Tutup","Tidak dibuka"),IF(IFERROR(--(INDEX('Reguler Class Availability'!$G:$G,AR42)&amp;""),0)&gt;IFERROR(--(INDEX('Reguler Class Availability'!$F:$F,AR42)&amp;""),0),"Lebih",IF(IFERROR(--(INDEX('Reguler Class Availability'!$G:$G,AR42)&amp;""),0)=IFERROR(--(INDEX('Reguler Class Availability'!$F:$F,AR42)&amp;""),0),"Penuh",IF(IFERROR(--(INDEX('Reguler Class Availability'!$G:$G,AR42)&amp;""),0)=0,IF(INDEX('Reguler Class Availability'!$B:$B,AR42)&amp;""="","Kosong","Belum terisi"),IF(IFERROR(--(INDEX('Reguler Class Availability'!$G:$G,AR42)&amp;""),0)/IFERROR(--(INDEX('Reguler Class Availability'!$F:$F,AR42)&amp;""),0)&gt;=0.6,"Tinggi","Sebagian"))))))</f>
        <v>Belum terisi</v>
      </c>
      <c r="BA42" s="0" t="str">
        <f aca="false">IF(AS42="","",IF(AND(IFERROR(--(INDEX('Reguler Class Availability'!$F:$F,AS42)&amp;""),0)=0,IFERROR(--(INDEX('Reguler Class Availability'!$G:$G,AS42)&amp;""),0)=0),IF(OR(INDEX('Reguler Class Availability'!$B:$B,AS42)&amp;""&lt;&gt;"",INDEX('Reguler Class Availability'!$I:$I,AS42)&amp;""&lt;&gt;""),"Tutup","Tidak dibuka"),IF(IFERROR(--(INDEX('Reguler Class Availability'!$G:$G,AS42)&amp;""),0)&gt;IFERROR(--(INDEX('Reguler Class Availability'!$F:$F,AS42)&amp;""),0),"Lebih",IF(IFERROR(--(INDEX('Reguler Class Availability'!$G:$G,AS42)&amp;""),0)=IFERROR(--(INDEX('Reguler Class Availability'!$F:$F,AS42)&amp;""),0),"Penuh",IF(IFERROR(--(INDEX('Reguler Class Availability'!$G:$G,AS42)&amp;""),0)=0,IF(INDEX('Reguler Class Availability'!$B:$B,AS42)&amp;""="","Kosong","Belum terisi"),IF(IFERROR(--(INDEX('Reguler Class Availability'!$G:$G,AS42)&amp;""),0)/IFERROR(--(INDEX('Reguler Class Availability'!$F:$F,AS42)&amp;""),0)&gt;=0.6,"Tinggi","Sebagian"))))))</f>
        <v>Belum terisi</v>
      </c>
      <c r="BB42" s="0" t="str">
        <f aca="false">IF(AT42="","",IF(AND(IFERROR(--(INDEX('Reguler Class Availability'!$F:$F,AT42)&amp;""),0)=0,IFERROR(--(INDEX('Reguler Class Availability'!$G:$G,AT42)&amp;""),0)=0),IF(OR(INDEX('Reguler Class Availability'!$B:$B,AT42)&amp;""&lt;&gt;"",INDEX('Reguler Class Availability'!$I:$I,AT42)&amp;""&lt;&gt;""),"Tutup","Tidak dibuka"),IF(IFERROR(--(INDEX('Reguler Class Availability'!$G:$G,AT42)&amp;""),0)&gt;IFERROR(--(INDEX('Reguler Class Availability'!$F:$F,AT42)&amp;""),0),"Lebih",IF(IFERROR(--(INDEX('Reguler Class Availability'!$G:$G,AT42)&amp;""),0)=IFERROR(--(INDEX('Reguler Class Availability'!$F:$F,AT42)&amp;""),0),"Penuh",IF(IFERROR(--(INDEX('Reguler Class Availability'!$G:$G,AT42)&amp;""),0)=0,IF(INDEX('Reguler Class Availability'!$B:$B,AT42)&amp;""="","Kosong","Belum terisi"),IF(IFERROR(--(INDEX('Reguler Class Availability'!$G:$G,AT42)&amp;""),0)/IFERROR(--(INDEX('Reguler Class Availability'!$F:$F,AT42)&amp;""),0)&gt;=0.6,"Tinggi","Sebagian"))))))</f>
        <v>Belum terisi</v>
      </c>
      <c r="BD42" s="30" t="s">
        <v>151</v>
      </c>
      <c r="BE42" s="30" t="n">
        <f aca="false">IF(COUNTIFS('Reguler Class Availability'!$L:$L,$B$4&amp;"|- Lane 1 - *|"&amp;BD42)&gt;0,1,0)</f>
        <v>0</v>
      </c>
      <c r="BF42" s="30" t="n">
        <f aca="false">BE42+BF41</f>
        <v>11</v>
      </c>
    </row>
    <row r="43" customFormat="false" ht="39.75" hidden="false" customHeight="true" outlineLevel="0" collapsed="false">
      <c r="A43" s="66" t="str">
        <f aca="false">IFERROR(INDEX($BD$62:$BD$121,MATCH(10,$BF$62:$BF$121,0)),"")</f>
        <v>15:30</v>
      </c>
      <c r="B43" s="67" t="str">
        <f aca="false">IF(AN43="","",IF(AV43="Tidak dibuka","–",IF(INDEX('Reguler Class Availability'!$B:$B,AN43)&amp;""="","Kosong",PROPER(INDEX('Reguler Class Availability'!$B:$B,AN43)&amp;""))&amp;"  "&amp;IFERROR(--(INDEX('Reguler Class Availability'!$G:$G,AN43)&amp;""),0)&amp;"/"&amp;IFERROR(--(INDEX('Reguler Class Availability'!$F:$F,AN43)&amp;""),0)&amp;IF(IFERROR(--(INDEX('Reguler Class Availability'!$F:$F,AN43)&amp;""),0)&gt;0,"  ("&amp;TEXT(IFERROR(--(INDEX('Reguler Class Availability'!$G:$G,AN43)&amp;""),0)/IFERROR(--(INDEX('Reguler Class Availability'!$F:$F,AN43)&amp;""),0),"0%")&amp;")","")&amp;CHAR(10)&amp;IF(INDEX('Reguler Class Availability'!$I:$I,AN43)&amp;""="","coach: –",PROPER(INDEX('Reguler Class Availability'!$I:$I,AN43)&amp;""))&amp;IF(INDEX('Reguler Class Availability'!$J:$J,AN43)&amp;""="","",CHAR(10)&amp;"asst: "&amp;PROPER(INDEX('Reguler Class Availability'!$J:$J,AN43)&amp;""))))</f>
        <v>Tiny  0/5  (0%)
coach: –</v>
      </c>
      <c r="C43" s="67" t="str">
        <f aca="false">IF(AO43="","",IF(AW43="Tidak dibuka","–",IF(INDEX('Reguler Class Availability'!$B:$B,AO43)&amp;""="","Kosong",PROPER(INDEX('Reguler Class Availability'!$B:$B,AO43)&amp;""))&amp;"  "&amp;IFERROR(--(INDEX('Reguler Class Availability'!$G:$G,AO43)&amp;""),0)&amp;"/"&amp;IFERROR(--(INDEX('Reguler Class Availability'!$F:$F,AO43)&amp;""),0)&amp;IF(IFERROR(--(INDEX('Reguler Class Availability'!$F:$F,AO43)&amp;""),0)&gt;0,"  ("&amp;TEXT(IFERROR(--(INDEX('Reguler Class Availability'!$G:$G,AO43)&amp;""),0)/IFERROR(--(INDEX('Reguler Class Availability'!$F:$F,AO43)&amp;""),0),"0%")&amp;")","")&amp;CHAR(10)&amp;IF(INDEX('Reguler Class Availability'!$I:$I,AO43)&amp;""="","coach: –",PROPER(INDEX('Reguler Class Availability'!$I:$I,AO43)&amp;""))&amp;IF(INDEX('Reguler Class Availability'!$J:$J,AO43)&amp;""="","",CHAR(10)&amp;"asst: "&amp;PROPER(INDEX('Reguler Class Availability'!$J:$J,AO43)&amp;""))))</f>
        <v>Tiny  0/5  (0%)
coach: –</v>
      </c>
      <c r="D43" s="67" t="str">
        <f aca="false">IF(AP43="","",IF(AX43="Tidak dibuka","–",IF(INDEX('Reguler Class Availability'!$B:$B,AP43)&amp;""="","Kosong",PROPER(INDEX('Reguler Class Availability'!$B:$B,AP43)&amp;""))&amp;"  "&amp;IFERROR(--(INDEX('Reguler Class Availability'!$G:$G,AP43)&amp;""),0)&amp;"/"&amp;IFERROR(--(INDEX('Reguler Class Availability'!$F:$F,AP43)&amp;""),0)&amp;IF(IFERROR(--(INDEX('Reguler Class Availability'!$F:$F,AP43)&amp;""),0)&gt;0,"  ("&amp;TEXT(IFERROR(--(INDEX('Reguler Class Availability'!$G:$G,AP43)&amp;""),0)/IFERROR(--(INDEX('Reguler Class Availability'!$F:$F,AP43)&amp;""),0),"0%")&amp;")","")&amp;CHAR(10)&amp;IF(INDEX('Reguler Class Availability'!$I:$I,AP43)&amp;""="","coach: –",PROPER(INDEX('Reguler Class Availability'!$I:$I,AP43)&amp;""))&amp;IF(INDEX('Reguler Class Availability'!$J:$J,AP43)&amp;""="","",CHAR(10)&amp;"asst: "&amp;PROPER(INDEX('Reguler Class Availability'!$J:$J,AP43)&amp;""))))</f>
        <v>Tiny  4/5  (80%)
Rizky</v>
      </c>
      <c r="E43" s="67" t="str">
        <f aca="false">IF(AQ43="","",IF(AY43="Tidak dibuka","–",IF(INDEX('Reguler Class Availability'!$B:$B,AQ43)&amp;""="","Kosong",PROPER(INDEX('Reguler Class Availability'!$B:$B,AQ43)&amp;""))&amp;"  "&amp;IFERROR(--(INDEX('Reguler Class Availability'!$G:$G,AQ43)&amp;""),0)&amp;"/"&amp;IFERROR(--(INDEX('Reguler Class Availability'!$F:$F,AQ43)&amp;""),0)&amp;IF(IFERROR(--(INDEX('Reguler Class Availability'!$F:$F,AQ43)&amp;""),0)&gt;0,"  ("&amp;TEXT(IFERROR(--(INDEX('Reguler Class Availability'!$G:$G,AQ43)&amp;""),0)/IFERROR(--(INDEX('Reguler Class Availability'!$F:$F,AQ43)&amp;""),0),"0%")&amp;")","")&amp;CHAR(10)&amp;IF(INDEX('Reguler Class Availability'!$I:$I,AQ43)&amp;""="","coach: –",PROPER(INDEX('Reguler Class Availability'!$I:$I,AQ43)&amp;""))&amp;IF(INDEX('Reguler Class Availability'!$J:$J,AQ43)&amp;""="","",CHAR(10)&amp;"asst: "&amp;PROPER(INDEX('Reguler Class Availability'!$J:$J,AQ43)&amp;""))))</f>
        <v>Tiny  0/5  (0%)
coach: –</v>
      </c>
      <c r="F43" s="67" t="str">
        <f aca="false">IF(AR43="","",IF(AZ43="Tidak dibuka","–",IF(INDEX('Reguler Class Availability'!$B:$B,AR43)&amp;""="","Kosong",PROPER(INDEX('Reguler Class Availability'!$B:$B,AR43)&amp;""))&amp;"  "&amp;IFERROR(--(INDEX('Reguler Class Availability'!$G:$G,AR43)&amp;""),0)&amp;"/"&amp;IFERROR(--(INDEX('Reguler Class Availability'!$F:$F,AR43)&amp;""),0)&amp;IF(IFERROR(--(INDEX('Reguler Class Availability'!$F:$F,AR43)&amp;""),0)&gt;0,"  ("&amp;TEXT(IFERROR(--(INDEX('Reguler Class Availability'!$G:$G,AR43)&amp;""),0)/IFERROR(--(INDEX('Reguler Class Availability'!$F:$F,AR43)&amp;""),0),"0%")&amp;")","")&amp;CHAR(10)&amp;IF(INDEX('Reguler Class Availability'!$I:$I,AR43)&amp;""="","coach: –",PROPER(INDEX('Reguler Class Availability'!$I:$I,AR43)&amp;""))&amp;IF(INDEX('Reguler Class Availability'!$J:$J,AR43)&amp;""="","",CHAR(10)&amp;"asst: "&amp;PROPER(INDEX('Reguler Class Availability'!$J:$J,AR43)&amp;""))))</f>
        <v>Tiny  1/5  (20%)
Rizky</v>
      </c>
      <c r="G43" s="67" t="str">
        <f aca="false">IF(AS43="","",IF(BA43="Tidak dibuka","–",IF(INDEX('Reguler Class Availability'!$B:$B,AS43)&amp;""="","Kosong",PROPER(INDEX('Reguler Class Availability'!$B:$B,AS43)&amp;""))&amp;"  "&amp;IFERROR(--(INDEX('Reguler Class Availability'!$G:$G,AS43)&amp;""),0)&amp;"/"&amp;IFERROR(--(INDEX('Reguler Class Availability'!$F:$F,AS43)&amp;""),0)&amp;IF(IFERROR(--(INDEX('Reguler Class Availability'!$F:$F,AS43)&amp;""),0)&gt;0,"  ("&amp;TEXT(IFERROR(--(INDEX('Reguler Class Availability'!$G:$G,AS43)&amp;""),0)/IFERROR(--(INDEX('Reguler Class Availability'!$F:$F,AS43)&amp;""),0),"0%")&amp;")","")&amp;CHAR(10)&amp;IF(INDEX('Reguler Class Availability'!$I:$I,AS43)&amp;""="","coach: –",PROPER(INDEX('Reguler Class Availability'!$I:$I,AS43)&amp;""))&amp;IF(INDEX('Reguler Class Availability'!$J:$J,AS43)&amp;""="","",CHAR(10)&amp;"asst: "&amp;PROPER(INDEX('Reguler Class Availability'!$J:$J,AS43)&amp;""))))</f>
        <v>Tiny  1/5  (20%)
Shabrina</v>
      </c>
      <c r="H43" s="67" t="str">
        <f aca="false">IF(AT43="","",IF(BB43="Tidak dibuka","–",IF(INDEX('Reguler Class Availability'!$B:$B,AT43)&amp;""="","Kosong",PROPER(INDEX('Reguler Class Availability'!$B:$B,AT43)&amp;""))&amp;"  "&amp;IFERROR(--(INDEX('Reguler Class Availability'!$G:$G,AT43)&amp;""),0)&amp;"/"&amp;IFERROR(--(INDEX('Reguler Class Availability'!$F:$F,AT43)&amp;""),0)&amp;IF(IFERROR(--(INDEX('Reguler Class Availability'!$F:$F,AT43)&amp;""),0)&gt;0,"  ("&amp;TEXT(IFERROR(--(INDEX('Reguler Class Availability'!$G:$G,AT43)&amp;""),0)/IFERROR(--(INDEX('Reguler Class Availability'!$F:$F,AT43)&amp;""),0),"0%")&amp;")","")&amp;CHAR(10)&amp;IF(INDEX('Reguler Class Availability'!$I:$I,AT43)&amp;""="","coach: –",PROPER(INDEX('Reguler Class Availability'!$I:$I,AT43)&amp;""))&amp;IF(INDEX('Reguler Class Availability'!$J:$J,AT43)&amp;""="","",CHAR(10)&amp;"asst: "&amp;PROPER(INDEX('Reguler Class Availability'!$J:$J,AT43)&amp;""))))</f>
        <v>Tiny  0/5  (0%)
coach: –</v>
      </c>
      <c r="AN43" s="30" t="n">
        <f aca="false">IF($A43="","",IFERROR(MATCH($B$4&amp;"|- Lane 2 - "&amp;B$33&amp;"|"&amp;$A43,'Reguler Class Availability'!$L:$L,0),""))</f>
        <v>2517</v>
      </c>
      <c r="AO43" s="30" t="n">
        <f aca="false">IF($A43="","",IFERROR(MATCH($B$4&amp;"|- Lane 2 - "&amp;C$33&amp;"|"&amp;$A43,'Reguler Class Availability'!$L:$L,0),""))</f>
        <v>2529</v>
      </c>
      <c r="AP43" s="30" t="n">
        <f aca="false">IF($A43="","",IFERROR(MATCH($B$4&amp;"|- Lane 2 - "&amp;D$33&amp;"|"&amp;$A43,'Reguler Class Availability'!$L:$L,0),""))</f>
        <v>2541</v>
      </c>
      <c r="AQ43" s="30" t="n">
        <f aca="false">IF($A43="","",IFERROR(MATCH($B$4&amp;"|- Lane 2 - "&amp;E$33&amp;"|"&amp;$A43,'Reguler Class Availability'!$L:$L,0),""))</f>
        <v>2553</v>
      </c>
      <c r="AR43" s="30" t="n">
        <f aca="false">IF($A43="","",IFERROR(MATCH($B$4&amp;"|- Lane 2 - "&amp;F$33&amp;"|"&amp;$A43,'Reguler Class Availability'!$L:$L,0),""))</f>
        <v>2565</v>
      </c>
      <c r="AS43" s="30" t="n">
        <f aca="false">IF($A43="","",IFERROR(MATCH($B$4&amp;"|- Lane 2 - "&amp;G$33&amp;"|"&amp;$A43,'Reguler Class Availability'!$L:$L,0),""))</f>
        <v>2577</v>
      </c>
      <c r="AT43" s="30" t="n">
        <f aca="false">IF($A43="","",IFERROR(MATCH($B$4&amp;"|- Lane 2 - "&amp;H$33&amp;"|"&amp;$A43,'Reguler Class Availability'!$L:$L,0),""))</f>
        <v>2589</v>
      </c>
      <c r="AV43" s="0" t="str">
        <f aca="false">IF(AN43="","",IF(AND(IFERROR(--(INDEX('Reguler Class Availability'!$F:$F,AN43)&amp;""),0)=0,IFERROR(--(INDEX('Reguler Class Availability'!$G:$G,AN43)&amp;""),0)=0),IF(OR(INDEX('Reguler Class Availability'!$B:$B,AN43)&amp;""&lt;&gt;"",INDEX('Reguler Class Availability'!$I:$I,AN43)&amp;""&lt;&gt;""),"Tutup","Tidak dibuka"),IF(IFERROR(--(INDEX('Reguler Class Availability'!$G:$G,AN43)&amp;""),0)&gt;IFERROR(--(INDEX('Reguler Class Availability'!$F:$F,AN43)&amp;""),0),"Lebih",IF(IFERROR(--(INDEX('Reguler Class Availability'!$G:$G,AN43)&amp;""),0)=IFERROR(--(INDEX('Reguler Class Availability'!$F:$F,AN43)&amp;""),0),"Penuh",IF(IFERROR(--(INDEX('Reguler Class Availability'!$G:$G,AN43)&amp;""),0)=0,IF(INDEX('Reguler Class Availability'!$B:$B,AN43)&amp;""="","Kosong","Belum terisi"),IF(IFERROR(--(INDEX('Reguler Class Availability'!$G:$G,AN43)&amp;""),0)/IFERROR(--(INDEX('Reguler Class Availability'!$F:$F,AN43)&amp;""),0)&gt;=0.6,"Tinggi","Sebagian"))))))</f>
        <v>Belum terisi</v>
      </c>
      <c r="AW43" s="0" t="str">
        <f aca="false">IF(AO43="","",IF(AND(IFERROR(--(INDEX('Reguler Class Availability'!$F:$F,AO43)&amp;""),0)=0,IFERROR(--(INDEX('Reguler Class Availability'!$G:$G,AO43)&amp;""),0)=0),IF(OR(INDEX('Reguler Class Availability'!$B:$B,AO43)&amp;""&lt;&gt;"",INDEX('Reguler Class Availability'!$I:$I,AO43)&amp;""&lt;&gt;""),"Tutup","Tidak dibuka"),IF(IFERROR(--(INDEX('Reguler Class Availability'!$G:$G,AO43)&amp;""),0)&gt;IFERROR(--(INDEX('Reguler Class Availability'!$F:$F,AO43)&amp;""),0),"Lebih",IF(IFERROR(--(INDEX('Reguler Class Availability'!$G:$G,AO43)&amp;""),0)=IFERROR(--(INDEX('Reguler Class Availability'!$F:$F,AO43)&amp;""),0),"Penuh",IF(IFERROR(--(INDEX('Reguler Class Availability'!$G:$G,AO43)&amp;""),0)=0,IF(INDEX('Reguler Class Availability'!$B:$B,AO43)&amp;""="","Kosong","Belum terisi"),IF(IFERROR(--(INDEX('Reguler Class Availability'!$G:$G,AO43)&amp;""),0)/IFERROR(--(INDEX('Reguler Class Availability'!$F:$F,AO43)&amp;""),0)&gt;=0.6,"Tinggi","Sebagian"))))))</f>
        <v>Belum terisi</v>
      </c>
      <c r="AX43" s="0" t="str">
        <f aca="false">IF(AP43="","",IF(AND(IFERROR(--(INDEX('Reguler Class Availability'!$F:$F,AP43)&amp;""),0)=0,IFERROR(--(INDEX('Reguler Class Availability'!$G:$G,AP43)&amp;""),0)=0),IF(OR(INDEX('Reguler Class Availability'!$B:$B,AP43)&amp;""&lt;&gt;"",INDEX('Reguler Class Availability'!$I:$I,AP43)&amp;""&lt;&gt;""),"Tutup","Tidak dibuka"),IF(IFERROR(--(INDEX('Reguler Class Availability'!$G:$G,AP43)&amp;""),0)&gt;IFERROR(--(INDEX('Reguler Class Availability'!$F:$F,AP43)&amp;""),0),"Lebih",IF(IFERROR(--(INDEX('Reguler Class Availability'!$G:$G,AP43)&amp;""),0)=IFERROR(--(INDEX('Reguler Class Availability'!$F:$F,AP43)&amp;""),0),"Penuh",IF(IFERROR(--(INDEX('Reguler Class Availability'!$G:$G,AP43)&amp;""),0)=0,IF(INDEX('Reguler Class Availability'!$B:$B,AP43)&amp;""="","Kosong","Belum terisi"),IF(IFERROR(--(INDEX('Reguler Class Availability'!$G:$G,AP43)&amp;""),0)/IFERROR(--(INDEX('Reguler Class Availability'!$F:$F,AP43)&amp;""),0)&gt;=0.6,"Tinggi","Sebagian"))))))</f>
        <v>Tinggi</v>
      </c>
      <c r="AY43" s="0" t="str">
        <f aca="false">IF(AQ43="","",IF(AND(IFERROR(--(INDEX('Reguler Class Availability'!$F:$F,AQ43)&amp;""),0)=0,IFERROR(--(INDEX('Reguler Class Availability'!$G:$G,AQ43)&amp;""),0)=0),IF(OR(INDEX('Reguler Class Availability'!$B:$B,AQ43)&amp;""&lt;&gt;"",INDEX('Reguler Class Availability'!$I:$I,AQ43)&amp;""&lt;&gt;""),"Tutup","Tidak dibuka"),IF(IFERROR(--(INDEX('Reguler Class Availability'!$G:$G,AQ43)&amp;""),0)&gt;IFERROR(--(INDEX('Reguler Class Availability'!$F:$F,AQ43)&amp;""),0),"Lebih",IF(IFERROR(--(INDEX('Reguler Class Availability'!$G:$G,AQ43)&amp;""),0)=IFERROR(--(INDEX('Reguler Class Availability'!$F:$F,AQ43)&amp;""),0),"Penuh",IF(IFERROR(--(INDEX('Reguler Class Availability'!$G:$G,AQ43)&amp;""),0)=0,IF(INDEX('Reguler Class Availability'!$B:$B,AQ43)&amp;""="","Kosong","Belum terisi"),IF(IFERROR(--(INDEX('Reguler Class Availability'!$G:$G,AQ43)&amp;""),0)/IFERROR(--(INDEX('Reguler Class Availability'!$F:$F,AQ43)&amp;""),0)&gt;=0.6,"Tinggi","Sebagian"))))))</f>
        <v>Belum terisi</v>
      </c>
      <c r="AZ43" s="0" t="str">
        <f aca="false">IF(AR43="","",IF(AND(IFERROR(--(INDEX('Reguler Class Availability'!$F:$F,AR43)&amp;""),0)=0,IFERROR(--(INDEX('Reguler Class Availability'!$G:$G,AR43)&amp;""),0)=0),IF(OR(INDEX('Reguler Class Availability'!$B:$B,AR43)&amp;""&lt;&gt;"",INDEX('Reguler Class Availability'!$I:$I,AR43)&amp;""&lt;&gt;""),"Tutup","Tidak dibuka"),IF(IFERROR(--(INDEX('Reguler Class Availability'!$G:$G,AR43)&amp;""),0)&gt;IFERROR(--(INDEX('Reguler Class Availability'!$F:$F,AR43)&amp;""),0),"Lebih",IF(IFERROR(--(INDEX('Reguler Class Availability'!$G:$G,AR43)&amp;""),0)=IFERROR(--(INDEX('Reguler Class Availability'!$F:$F,AR43)&amp;""),0),"Penuh",IF(IFERROR(--(INDEX('Reguler Class Availability'!$G:$G,AR43)&amp;""),0)=0,IF(INDEX('Reguler Class Availability'!$B:$B,AR43)&amp;""="","Kosong","Belum terisi"),IF(IFERROR(--(INDEX('Reguler Class Availability'!$G:$G,AR43)&amp;""),0)/IFERROR(--(INDEX('Reguler Class Availability'!$F:$F,AR43)&amp;""),0)&gt;=0.6,"Tinggi","Sebagian"))))))</f>
        <v>Sebagian</v>
      </c>
      <c r="BA43" s="0" t="str">
        <f aca="false">IF(AS43="","",IF(AND(IFERROR(--(INDEX('Reguler Class Availability'!$F:$F,AS43)&amp;""),0)=0,IFERROR(--(INDEX('Reguler Class Availability'!$G:$G,AS43)&amp;""),0)=0),IF(OR(INDEX('Reguler Class Availability'!$B:$B,AS43)&amp;""&lt;&gt;"",INDEX('Reguler Class Availability'!$I:$I,AS43)&amp;""&lt;&gt;""),"Tutup","Tidak dibuka"),IF(IFERROR(--(INDEX('Reguler Class Availability'!$G:$G,AS43)&amp;""),0)&gt;IFERROR(--(INDEX('Reguler Class Availability'!$F:$F,AS43)&amp;""),0),"Lebih",IF(IFERROR(--(INDEX('Reguler Class Availability'!$G:$G,AS43)&amp;""),0)=IFERROR(--(INDEX('Reguler Class Availability'!$F:$F,AS43)&amp;""),0),"Penuh",IF(IFERROR(--(INDEX('Reguler Class Availability'!$G:$G,AS43)&amp;""),0)=0,IF(INDEX('Reguler Class Availability'!$B:$B,AS43)&amp;""="","Kosong","Belum terisi"),IF(IFERROR(--(INDEX('Reguler Class Availability'!$G:$G,AS43)&amp;""),0)/IFERROR(--(INDEX('Reguler Class Availability'!$F:$F,AS43)&amp;""),0)&gt;=0.6,"Tinggi","Sebagian"))))))</f>
        <v>Sebagian</v>
      </c>
      <c r="BB43" s="0" t="str">
        <f aca="false">IF(AT43="","",IF(AND(IFERROR(--(INDEX('Reguler Class Availability'!$F:$F,AT43)&amp;""),0)=0,IFERROR(--(INDEX('Reguler Class Availability'!$G:$G,AT43)&amp;""),0)=0),IF(OR(INDEX('Reguler Class Availability'!$B:$B,AT43)&amp;""&lt;&gt;"",INDEX('Reguler Class Availability'!$I:$I,AT43)&amp;""&lt;&gt;""),"Tutup","Tidak dibuka"),IF(IFERROR(--(INDEX('Reguler Class Availability'!$G:$G,AT43)&amp;""),0)&gt;IFERROR(--(INDEX('Reguler Class Availability'!$F:$F,AT43)&amp;""),0),"Lebih",IF(IFERROR(--(INDEX('Reguler Class Availability'!$G:$G,AT43)&amp;""),0)=IFERROR(--(INDEX('Reguler Class Availability'!$F:$F,AT43)&amp;""),0),"Penuh",IF(IFERROR(--(INDEX('Reguler Class Availability'!$G:$G,AT43)&amp;""),0)=0,IF(INDEX('Reguler Class Availability'!$B:$B,AT43)&amp;""="","Kosong","Belum terisi"),IF(IFERROR(--(INDEX('Reguler Class Availability'!$G:$G,AT43)&amp;""),0)/IFERROR(--(INDEX('Reguler Class Availability'!$F:$F,AT43)&amp;""),0)&gt;=0.6,"Tinggi","Sebagian"))))))</f>
        <v>Belum terisi</v>
      </c>
      <c r="BD43" s="30" t="s">
        <v>152</v>
      </c>
      <c r="BE43" s="30" t="n">
        <f aca="false">IF(COUNTIFS('Reguler Class Availability'!$L:$L,$B$4&amp;"|- Lane 1 - *|"&amp;BD43)&gt;0,1,0)</f>
        <v>1</v>
      </c>
      <c r="BF43" s="30" t="n">
        <f aca="false">BE43+BF42</f>
        <v>12</v>
      </c>
    </row>
    <row r="44" customFormat="false" ht="39.75" hidden="false" customHeight="true" outlineLevel="0" collapsed="false">
      <c r="A44" s="66" t="str">
        <f aca="false">IFERROR(INDEX($BD$62:$BD$121,MATCH(11,$BF$62:$BF$121,0)),"")</f>
        <v>16:15</v>
      </c>
      <c r="B44" s="67" t="str">
        <f aca="false">IF(AN44="","",IF(AV44="Tidak dibuka","–",IF(INDEX('Reguler Class Availability'!$B:$B,AN44)&amp;""="","Kosong",PROPER(INDEX('Reguler Class Availability'!$B:$B,AN44)&amp;""))&amp;"  "&amp;IFERROR(--(INDEX('Reguler Class Availability'!$G:$G,AN44)&amp;""),0)&amp;"/"&amp;IFERROR(--(INDEX('Reguler Class Availability'!$F:$F,AN44)&amp;""),0)&amp;IF(IFERROR(--(INDEX('Reguler Class Availability'!$F:$F,AN44)&amp;""),0)&gt;0,"  ("&amp;TEXT(IFERROR(--(INDEX('Reguler Class Availability'!$G:$G,AN44)&amp;""),0)/IFERROR(--(INDEX('Reguler Class Availability'!$F:$F,AN44)&amp;""),0),"0%")&amp;")","")&amp;CHAR(10)&amp;IF(INDEX('Reguler Class Availability'!$I:$I,AN44)&amp;""="","coach: –",PROPER(INDEX('Reguler Class Availability'!$I:$I,AN44)&amp;""))&amp;IF(INDEX('Reguler Class Availability'!$J:$J,AN44)&amp;""="","",CHAR(10)&amp;"asst: "&amp;PROPER(INDEX('Reguler Class Availability'!$J:$J,AN44)&amp;""))))</f>
        <v>Tiny  0/5  (0%)
coach: –</v>
      </c>
      <c r="C44" s="67" t="str">
        <f aca="false">IF(AO44="","",IF(AW44="Tidak dibuka","–",IF(INDEX('Reguler Class Availability'!$B:$B,AO44)&amp;""="","Kosong",PROPER(INDEX('Reguler Class Availability'!$B:$B,AO44)&amp;""))&amp;"  "&amp;IFERROR(--(INDEX('Reguler Class Availability'!$G:$G,AO44)&amp;""),0)&amp;"/"&amp;IFERROR(--(INDEX('Reguler Class Availability'!$F:$F,AO44)&amp;""),0)&amp;IF(IFERROR(--(INDEX('Reguler Class Availability'!$F:$F,AO44)&amp;""),0)&gt;0,"  ("&amp;TEXT(IFERROR(--(INDEX('Reguler Class Availability'!$G:$G,AO44)&amp;""),0)/IFERROR(--(INDEX('Reguler Class Availability'!$F:$F,AO44)&amp;""),0),"0%")&amp;")","")&amp;CHAR(10)&amp;IF(INDEX('Reguler Class Availability'!$I:$I,AO44)&amp;""="","coach: –",PROPER(INDEX('Reguler Class Availability'!$I:$I,AO44)&amp;""))&amp;IF(INDEX('Reguler Class Availability'!$J:$J,AO44)&amp;""="","",CHAR(10)&amp;"asst: "&amp;PROPER(INDEX('Reguler Class Availability'!$J:$J,AO44)&amp;""))))</f>
        <v>Tiny  0/5  (0%)
coach: –</v>
      </c>
      <c r="D44" s="67" t="str">
        <f aca="false">IF(AP44="","",IF(AX44="Tidak dibuka","–",IF(INDEX('Reguler Class Availability'!$B:$B,AP44)&amp;""="","Kosong",PROPER(INDEX('Reguler Class Availability'!$B:$B,AP44)&amp;""))&amp;"  "&amp;IFERROR(--(INDEX('Reguler Class Availability'!$G:$G,AP44)&amp;""),0)&amp;"/"&amp;IFERROR(--(INDEX('Reguler Class Availability'!$F:$F,AP44)&amp;""),0)&amp;IF(IFERROR(--(INDEX('Reguler Class Availability'!$F:$F,AP44)&amp;""),0)&gt;0,"  ("&amp;TEXT(IFERROR(--(INDEX('Reguler Class Availability'!$G:$G,AP44)&amp;""),0)/IFERROR(--(INDEX('Reguler Class Availability'!$F:$F,AP44)&amp;""),0),"0%")&amp;")","")&amp;CHAR(10)&amp;IF(INDEX('Reguler Class Availability'!$I:$I,AP44)&amp;""="","coach: –",PROPER(INDEX('Reguler Class Availability'!$I:$I,AP44)&amp;""))&amp;IF(INDEX('Reguler Class Availability'!$J:$J,AP44)&amp;""="","",CHAR(10)&amp;"asst: "&amp;PROPER(INDEX('Reguler Class Availability'!$J:$J,AP44)&amp;""))))</f>
        <v>Tiny  0/5  (0%)
Shabrina</v>
      </c>
      <c r="E44" s="67" t="str">
        <f aca="false">IF(AQ44="","",IF(AY44="Tidak dibuka","–",IF(INDEX('Reguler Class Availability'!$B:$B,AQ44)&amp;""="","Kosong",PROPER(INDEX('Reguler Class Availability'!$B:$B,AQ44)&amp;""))&amp;"  "&amp;IFERROR(--(INDEX('Reguler Class Availability'!$G:$G,AQ44)&amp;""),0)&amp;"/"&amp;IFERROR(--(INDEX('Reguler Class Availability'!$F:$F,AQ44)&amp;""),0)&amp;IF(IFERROR(--(INDEX('Reguler Class Availability'!$F:$F,AQ44)&amp;""),0)&gt;0,"  ("&amp;TEXT(IFERROR(--(INDEX('Reguler Class Availability'!$G:$G,AQ44)&amp;""),0)/IFERROR(--(INDEX('Reguler Class Availability'!$F:$F,AQ44)&amp;""),0),"0%")&amp;")","")&amp;CHAR(10)&amp;IF(INDEX('Reguler Class Availability'!$I:$I,AQ44)&amp;""="","coach: –",PROPER(INDEX('Reguler Class Availability'!$I:$I,AQ44)&amp;""))&amp;IF(INDEX('Reguler Class Availability'!$J:$J,AQ44)&amp;""="","",CHAR(10)&amp;"asst: "&amp;PROPER(INDEX('Reguler Class Availability'!$J:$J,AQ44)&amp;""))))</f>
        <v>Tiny  0/5  (0%)
coach: –</v>
      </c>
      <c r="F44" s="67" t="str">
        <f aca="false">IF(AR44="","",IF(AZ44="Tidak dibuka","–",IF(INDEX('Reguler Class Availability'!$B:$B,AR44)&amp;""="","Kosong",PROPER(INDEX('Reguler Class Availability'!$B:$B,AR44)&amp;""))&amp;"  "&amp;IFERROR(--(INDEX('Reguler Class Availability'!$G:$G,AR44)&amp;""),0)&amp;"/"&amp;IFERROR(--(INDEX('Reguler Class Availability'!$F:$F,AR44)&amp;""),0)&amp;IF(IFERROR(--(INDEX('Reguler Class Availability'!$F:$F,AR44)&amp;""),0)&gt;0,"  ("&amp;TEXT(IFERROR(--(INDEX('Reguler Class Availability'!$G:$G,AR44)&amp;""),0)/IFERROR(--(INDEX('Reguler Class Availability'!$F:$F,AR44)&amp;""),0),"0%")&amp;")","")&amp;CHAR(10)&amp;IF(INDEX('Reguler Class Availability'!$I:$I,AR44)&amp;""="","coach: –",PROPER(INDEX('Reguler Class Availability'!$I:$I,AR44)&amp;""))&amp;IF(INDEX('Reguler Class Availability'!$J:$J,AR44)&amp;""="","",CHAR(10)&amp;"asst: "&amp;PROPER(INDEX('Reguler Class Availability'!$J:$J,AR44)&amp;""))))</f>
        <v>Tiny  0/5  (0%)
coach: –</v>
      </c>
      <c r="G44" s="67" t="str">
        <f aca="false">IF(AS44="","",IF(BA44="Tidak dibuka","–",IF(INDEX('Reguler Class Availability'!$B:$B,AS44)&amp;""="","Kosong",PROPER(INDEX('Reguler Class Availability'!$B:$B,AS44)&amp;""))&amp;"  "&amp;IFERROR(--(INDEX('Reguler Class Availability'!$G:$G,AS44)&amp;""),0)&amp;"/"&amp;IFERROR(--(INDEX('Reguler Class Availability'!$F:$F,AS44)&amp;""),0)&amp;IF(IFERROR(--(INDEX('Reguler Class Availability'!$F:$F,AS44)&amp;""),0)&gt;0,"  ("&amp;TEXT(IFERROR(--(INDEX('Reguler Class Availability'!$G:$G,AS44)&amp;""),0)/IFERROR(--(INDEX('Reguler Class Availability'!$F:$F,AS44)&amp;""),0),"0%")&amp;")","")&amp;CHAR(10)&amp;IF(INDEX('Reguler Class Availability'!$I:$I,AS44)&amp;""="","coach: –",PROPER(INDEX('Reguler Class Availability'!$I:$I,AS44)&amp;""))&amp;IF(INDEX('Reguler Class Availability'!$J:$J,AS44)&amp;""="","",CHAR(10)&amp;"asst: "&amp;PROPER(INDEX('Reguler Class Availability'!$J:$J,AS44)&amp;""))))</f>
        <v>Tiny  0/5  (0%)
coach: –</v>
      </c>
      <c r="H44" s="67" t="str">
        <f aca="false">IF(AT44="","",IF(BB44="Tidak dibuka","–",IF(INDEX('Reguler Class Availability'!$B:$B,AT44)&amp;""="","Kosong",PROPER(INDEX('Reguler Class Availability'!$B:$B,AT44)&amp;""))&amp;"  "&amp;IFERROR(--(INDEX('Reguler Class Availability'!$G:$G,AT44)&amp;""),0)&amp;"/"&amp;IFERROR(--(INDEX('Reguler Class Availability'!$F:$F,AT44)&amp;""),0)&amp;IF(IFERROR(--(INDEX('Reguler Class Availability'!$F:$F,AT44)&amp;""),0)&gt;0,"  ("&amp;TEXT(IFERROR(--(INDEX('Reguler Class Availability'!$G:$G,AT44)&amp;""),0)/IFERROR(--(INDEX('Reguler Class Availability'!$F:$F,AT44)&amp;""),0),"0%")&amp;")","")&amp;CHAR(10)&amp;IF(INDEX('Reguler Class Availability'!$I:$I,AT44)&amp;""="","coach: –",PROPER(INDEX('Reguler Class Availability'!$I:$I,AT44)&amp;""))&amp;IF(INDEX('Reguler Class Availability'!$J:$J,AT44)&amp;""="","",CHAR(10)&amp;"asst: "&amp;PROPER(INDEX('Reguler Class Availability'!$J:$J,AT44)&amp;""))))</f>
        <v>Tiny  0/5  (0%)
coach: –</v>
      </c>
      <c r="AN44" s="30" t="n">
        <f aca="false">IF($A44="","",IFERROR(MATCH($B$4&amp;"|- Lane 2 - "&amp;B$33&amp;"|"&amp;$A44,'Reguler Class Availability'!$L:$L,0),""))</f>
        <v>2518</v>
      </c>
      <c r="AO44" s="30" t="n">
        <f aca="false">IF($A44="","",IFERROR(MATCH($B$4&amp;"|- Lane 2 - "&amp;C$33&amp;"|"&amp;$A44,'Reguler Class Availability'!$L:$L,0),""))</f>
        <v>2530</v>
      </c>
      <c r="AP44" s="30" t="n">
        <f aca="false">IF($A44="","",IFERROR(MATCH($B$4&amp;"|- Lane 2 - "&amp;D$33&amp;"|"&amp;$A44,'Reguler Class Availability'!$L:$L,0),""))</f>
        <v>2542</v>
      </c>
      <c r="AQ44" s="30" t="n">
        <f aca="false">IF($A44="","",IFERROR(MATCH($B$4&amp;"|- Lane 2 - "&amp;E$33&amp;"|"&amp;$A44,'Reguler Class Availability'!$L:$L,0),""))</f>
        <v>2554</v>
      </c>
      <c r="AR44" s="30" t="n">
        <f aca="false">IF($A44="","",IFERROR(MATCH($B$4&amp;"|- Lane 2 - "&amp;F$33&amp;"|"&amp;$A44,'Reguler Class Availability'!$L:$L,0),""))</f>
        <v>2566</v>
      </c>
      <c r="AS44" s="30" t="n">
        <f aca="false">IF($A44="","",IFERROR(MATCH($B$4&amp;"|- Lane 2 - "&amp;G$33&amp;"|"&amp;$A44,'Reguler Class Availability'!$L:$L,0),""))</f>
        <v>2578</v>
      </c>
      <c r="AT44" s="30" t="n">
        <f aca="false">IF($A44="","",IFERROR(MATCH($B$4&amp;"|- Lane 2 - "&amp;H$33&amp;"|"&amp;$A44,'Reguler Class Availability'!$L:$L,0),""))</f>
        <v>2590</v>
      </c>
      <c r="AV44" s="0" t="str">
        <f aca="false">IF(AN44="","",IF(AND(IFERROR(--(INDEX('Reguler Class Availability'!$F:$F,AN44)&amp;""),0)=0,IFERROR(--(INDEX('Reguler Class Availability'!$G:$G,AN44)&amp;""),0)=0),IF(OR(INDEX('Reguler Class Availability'!$B:$B,AN44)&amp;""&lt;&gt;"",INDEX('Reguler Class Availability'!$I:$I,AN44)&amp;""&lt;&gt;""),"Tutup","Tidak dibuka"),IF(IFERROR(--(INDEX('Reguler Class Availability'!$G:$G,AN44)&amp;""),0)&gt;IFERROR(--(INDEX('Reguler Class Availability'!$F:$F,AN44)&amp;""),0),"Lebih",IF(IFERROR(--(INDEX('Reguler Class Availability'!$G:$G,AN44)&amp;""),0)=IFERROR(--(INDEX('Reguler Class Availability'!$F:$F,AN44)&amp;""),0),"Penuh",IF(IFERROR(--(INDEX('Reguler Class Availability'!$G:$G,AN44)&amp;""),0)=0,IF(INDEX('Reguler Class Availability'!$B:$B,AN44)&amp;""="","Kosong","Belum terisi"),IF(IFERROR(--(INDEX('Reguler Class Availability'!$G:$G,AN44)&amp;""),0)/IFERROR(--(INDEX('Reguler Class Availability'!$F:$F,AN44)&amp;""),0)&gt;=0.6,"Tinggi","Sebagian"))))))</f>
        <v>Belum terisi</v>
      </c>
      <c r="AW44" s="0" t="str">
        <f aca="false">IF(AO44="","",IF(AND(IFERROR(--(INDEX('Reguler Class Availability'!$F:$F,AO44)&amp;""),0)=0,IFERROR(--(INDEX('Reguler Class Availability'!$G:$G,AO44)&amp;""),0)=0),IF(OR(INDEX('Reguler Class Availability'!$B:$B,AO44)&amp;""&lt;&gt;"",INDEX('Reguler Class Availability'!$I:$I,AO44)&amp;""&lt;&gt;""),"Tutup","Tidak dibuka"),IF(IFERROR(--(INDEX('Reguler Class Availability'!$G:$G,AO44)&amp;""),0)&gt;IFERROR(--(INDEX('Reguler Class Availability'!$F:$F,AO44)&amp;""),0),"Lebih",IF(IFERROR(--(INDEX('Reguler Class Availability'!$G:$G,AO44)&amp;""),0)=IFERROR(--(INDEX('Reguler Class Availability'!$F:$F,AO44)&amp;""),0),"Penuh",IF(IFERROR(--(INDEX('Reguler Class Availability'!$G:$G,AO44)&amp;""),0)=0,IF(INDEX('Reguler Class Availability'!$B:$B,AO44)&amp;""="","Kosong","Belum terisi"),IF(IFERROR(--(INDEX('Reguler Class Availability'!$G:$G,AO44)&amp;""),0)/IFERROR(--(INDEX('Reguler Class Availability'!$F:$F,AO44)&amp;""),0)&gt;=0.6,"Tinggi","Sebagian"))))))</f>
        <v>Belum terisi</v>
      </c>
      <c r="AX44" s="0" t="str">
        <f aca="false">IF(AP44="","",IF(AND(IFERROR(--(INDEX('Reguler Class Availability'!$F:$F,AP44)&amp;""),0)=0,IFERROR(--(INDEX('Reguler Class Availability'!$G:$G,AP44)&amp;""),0)=0),IF(OR(INDEX('Reguler Class Availability'!$B:$B,AP44)&amp;""&lt;&gt;"",INDEX('Reguler Class Availability'!$I:$I,AP44)&amp;""&lt;&gt;""),"Tutup","Tidak dibuka"),IF(IFERROR(--(INDEX('Reguler Class Availability'!$G:$G,AP44)&amp;""),0)&gt;IFERROR(--(INDEX('Reguler Class Availability'!$F:$F,AP44)&amp;""),0),"Lebih",IF(IFERROR(--(INDEX('Reguler Class Availability'!$G:$G,AP44)&amp;""),0)=IFERROR(--(INDEX('Reguler Class Availability'!$F:$F,AP44)&amp;""),0),"Penuh",IF(IFERROR(--(INDEX('Reguler Class Availability'!$G:$G,AP44)&amp;""),0)=0,IF(INDEX('Reguler Class Availability'!$B:$B,AP44)&amp;""="","Kosong","Belum terisi"),IF(IFERROR(--(INDEX('Reguler Class Availability'!$G:$G,AP44)&amp;""),0)/IFERROR(--(INDEX('Reguler Class Availability'!$F:$F,AP44)&amp;""),0)&gt;=0.6,"Tinggi","Sebagian"))))))</f>
        <v>Belum terisi</v>
      </c>
      <c r="AY44" s="0" t="str">
        <f aca="false">IF(AQ44="","",IF(AND(IFERROR(--(INDEX('Reguler Class Availability'!$F:$F,AQ44)&amp;""),0)=0,IFERROR(--(INDEX('Reguler Class Availability'!$G:$G,AQ44)&amp;""),0)=0),IF(OR(INDEX('Reguler Class Availability'!$B:$B,AQ44)&amp;""&lt;&gt;"",INDEX('Reguler Class Availability'!$I:$I,AQ44)&amp;""&lt;&gt;""),"Tutup","Tidak dibuka"),IF(IFERROR(--(INDEX('Reguler Class Availability'!$G:$G,AQ44)&amp;""),0)&gt;IFERROR(--(INDEX('Reguler Class Availability'!$F:$F,AQ44)&amp;""),0),"Lebih",IF(IFERROR(--(INDEX('Reguler Class Availability'!$G:$G,AQ44)&amp;""),0)=IFERROR(--(INDEX('Reguler Class Availability'!$F:$F,AQ44)&amp;""),0),"Penuh",IF(IFERROR(--(INDEX('Reguler Class Availability'!$G:$G,AQ44)&amp;""),0)=0,IF(INDEX('Reguler Class Availability'!$B:$B,AQ44)&amp;""="","Kosong","Belum terisi"),IF(IFERROR(--(INDEX('Reguler Class Availability'!$G:$G,AQ44)&amp;""),0)/IFERROR(--(INDEX('Reguler Class Availability'!$F:$F,AQ44)&amp;""),0)&gt;=0.6,"Tinggi","Sebagian"))))))</f>
        <v>Belum terisi</v>
      </c>
      <c r="AZ44" s="0" t="str">
        <f aca="false">IF(AR44="","",IF(AND(IFERROR(--(INDEX('Reguler Class Availability'!$F:$F,AR44)&amp;""),0)=0,IFERROR(--(INDEX('Reguler Class Availability'!$G:$G,AR44)&amp;""),0)=0),IF(OR(INDEX('Reguler Class Availability'!$B:$B,AR44)&amp;""&lt;&gt;"",INDEX('Reguler Class Availability'!$I:$I,AR44)&amp;""&lt;&gt;""),"Tutup","Tidak dibuka"),IF(IFERROR(--(INDEX('Reguler Class Availability'!$G:$G,AR44)&amp;""),0)&gt;IFERROR(--(INDEX('Reguler Class Availability'!$F:$F,AR44)&amp;""),0),"Lebih",IF(IFERROR(--(INDEX('Reguler Class Availability'!$G:$G,AR44)&amp;""),0)=IFERROR(--(INDEX('Reguler Class Availability'!$F:$F,AR44)&amp;""),0),"Penuh",IF(IFERROR(--(INDEX('Reguler Class Availability'!$G:$G,AR44)&amp;""),0)=0,IF(INDEX('Reguler Class Availability'!$B:$B,AR44)&amp;""="","Kosong","Belum terisi"),IF(IFERROR(--(INDEX('Reguler Class Availability'!$G:$G,AR44)&amp;""),0)/IFERROR(--(INDEX('Reguler Class Availability'!$F:$F,AR44)&amp;""),0)&gt;=0.6,"Tinggi","Sebagian"))))))</f>
        <v>Belum terisi</v>
      </c>
      <c r="BA44" s="0" t="str">
        <f aca="false">IF(AS44="","",IF(AND(IFERROR(--(INDEX('Reguler Class Availability'!$F:$F,AS44)&amp;""),0)=0,IFERROR(--(INDEX('Reguler Class Availability'!$G:$G,AS44)&amp;""),0)=0),IF(OR(INDEX('Reguler Class Availability'!$B:$B,AS44)&amp;""&lt;&gt;"",INDEX('Reguler Class Availability'!$I:$I,AS44)&amp;""&lt;&gt;""),"Tutup","Tidak dibuka"),IF(IFERROR(--(INDEX('Reguler Class Availability'!$G:$G,AS44)&amp;""),0)&gt;IFERROR(--(INDEX('Reguler Class Availability'!$F:$F,AS44)&amp;""),0),"Lebih",IF(IFERROR(--(INDEX('Reguler Class Availability'!$G:$G,AS44)&amp;""),0)=IFERROR(--(INDEX('Reguler Class Availability'!$F:$F,AS44)&amp;""),0),"Penuh",IF(IFERROR(--(INDEX('Reguler Class Availability'!$G:$G,AS44)&amp;""),0)=0,IF(INDEX('Reguler Class Availability'!$B:$B,AS44)&amp;""="","Kosong","Belum terisi"),IF(IFERROR(--(INDEX('Reguler Class Availability'!$G:$G,AS44)&amp;""),0)/IFERROR(--(INDEX('Reguler Class Availability'!$F:$F,AS44)&amp;""),0)&gt;=0.6,"Tinggi","Sebagian"))))))</f>
        <v>Belum terisi</v>
      </c>
      <c r="BB44" s="0" t="str">
        <f aca="false">IF(AT44="","",IF(AND(IFERROR(--(INDEX('Reguler Class Availability'!$F:$F,AT44)&amp;""),0)=0,IFERROR(--(INDEX('Reguler Class Availability'!$G:$G,AT44)&amp;""),0)=0),IF(OR(INDEX('Reguler Class Availability'!$B:$B,AT44)&amp;""&lt;&gt;"",INDEX('Reguler Class Availability'!$I:$I,AT44)&amp;""&lt;&gt;""),"Tutup","Tidak dibuka"),IF(IFERROR(--(INDEX('Reguler Class Availability'!$G:$G,AT44)&amp;""),0)&gt;IFERROR(--(INDEX('Reguler Class Availability'!$F:$F,AT44)&amp;""),0),"Lebih",IF(IFERROR(--(INDEX('Reguler Class Availability'!$G:$G,AT44)&amp;""),0)=IFERROR(--(INDEX('Reguler Class Availability'!$F:$F,AT44)&amp;""),0),"Penuh",IF(IFERROR(--(INDEX('Reguler Class Availability'!$G:$G,AT44)&amp;""),0)=0,IF(INDEX('Reguler Class Availability'!$B:$B,AT44)&amp;""="","Kosong","Belum terisi"),IF(IFERROR(--(INDEX('Reguler Class Availability'!$G:$G,AT44)&amp;""),0)/IFERROR(--(INDEX('Reguler Class Availability'!$F:$F,AT44)&amp;""),0)&gt;=0.6,"Tinggi","Sebagian"))))))</f>
        <v>Belum terisi</v>
      </c>
      <c r="BD44" s="30" t="s">
        <v>153</v>
      </c>
      <c r="BE44" s="30" t="n">
        <f aca="false">IF(COUNTIFS('Reguler Class Availability'!$L:$L,$B$4&amp;"|- Lane 1 - *|"&amp;BD44)&gt;0,1,0)</f>
        <v>0</v>
      </c>
      <c r="BF44" s="30" t="n">
        <f aca="false">BE44+BF43</f>
        <v>12</v>
      </c>
    </row>
    <row r="45" customFormat="false" ht="39.75" hidden="false" customHeight="true" outlineLevel="0" collapsed="false">
      <c r="A45" s="66" t="str">
        <f aca="false">IFERROR(INDEX($BD$62:$BD$121,MATCH(12,$BF$62:$BF$121,0)),"")</f>
        <v>17:00</v>
      </c>
      <c r="B45" s="67" t="str">
        <f aca="false">IF(AN45="","",IF(AV45="Tidak dibuka","–",IF(INDEX('Reguler Class Availability'!$B:$B,AN45)&amp;""="","Kosong",PROPER(INDEX('Reguler Class Availability'!$B:$B,AN45)&amp;""))&amp;"  "&amp;IFERROR(--(INDEX('Reguler Class Availability'!$G:$G,AN45)&amp;""),0)&amp;"/"&amp;IFERROR(--(INDEX('Reguler Class Availability'!$F:$F,AN45)&amp;""),0)&amp;IF(IFERROR(--(INDEX('Reguler Class Availability'!$F:$F,AN45)&amp;""),0)&gt;0,"  ("&amp;TEXT(IFERROR(--(INDEX('Reguler Class Availability'!$G:$G,AN45)&amp;""),0)/IFERROR(--(INDEX('Reguler Class Availability'!$F:$F,AN45)&amp;""),0),"0%")&amp;")","")&amp;CHAR(10)&amp;IF(INDEX('Reguler Class Availability'!$I:$I,AN45)&amp;""="","coach: –",PROPER(INDEX('Reguler Class Availability'!$I:$I,AN45)&amp;""))&amp;IF(INDEX('Reguler Class Availability'!$J:$J,AN45)&amp;""="","",CHAR(10)&amp;"asst: "&amp;PROPER(INDEX('Reguler Class Availability'!$J:$J,AN45)&amp;""))))</f>
        <v>Tiny  0/5  (0%)
coach: –</v>
      </c>
      <c r="C45" s="67" t="str">
        <f aca="false">IF(AO45="","",IF(AW45="Tidak dibuka","–",IF(INDEX('Reguler Class Availability'!$B:$B,AO45)&amp;""="","Kosong",PROPER(INDEX('Reguler Class Availability'!$B:$B,AO45)&amp;""))&amp;"  "&amp;IFERROR(--(INDEX('Reguler Class Availability'!$G:$G,AO45)&amp;""),0)&amp;"/"&amp;IFERROR(--(INDEX('Reguler Class Availability'!$F:$F,AO45)&amp;""),0)&amp;IF(IFERROR(--(INDEX('Reguler Class Availability'!$F:$F,AO45)&amp;""),0)&gt;0,"  ("&amp;TEXT(IFERROR(--(INDEX('Reguler Class Availability'!$G:$G,AO45)&amp;""),0)/IFERROR(--(INDEX('Reguler Class Availability'!$F:$F,AO45)&amp;""),0),"0%")&amp;")","")&amp;CHAR(10)&amp;IF(INDEX('Reguler Class Availability'!$I:$I,AO45)&amp;""="","coach: –",PROPER(INDEX('Reguler Class Availability'!$I:$I,AO45)&amp;""))&amp;IF(INDEX('Reguler Class Availability'!$J:$J,AO45)&amp;""="","",CHAR(10)&amp;"asst: "&amp;PROPER(INDEX('Reguler Class Availability'!$J:$J,AO45)&amp;""))))</f>
        <v>Tiny  0/5  (0%)
coach: –</v>
      </c>
      <c r="D45" s="67" t="str">
        <f aca="false">IF(AP45="","",IF(AX45="Tidak dibuka","–",IF(INDEX('Reguler Class Availability'!$B:$B,AP45)&amp;""="","Kosong",PROPER(INDEX('Reguler Class Availability'!$B:$B,AP45)&amp;""))&amp;"  "&amp;IFERROR(--(INDEX('Reguler Class Availability'!$G:$G,AP45)&amp;""),0)&amp;"/"&amp;IFERROR(--(INDEX('Reguler Class Availability'!$F:$F,AP45)&amp;""),0)&amp;IF(IFERROR(--(INDEX('Reguler Class Availability'!$F:$F,AP45)&amp;""),0)&gt;0,"  ("&amp;TEXT(IFERROR(--(INDEX('Reguler Class Availability'!$G:$G,AP45)&amp;""),0)/IFERROR(--(INDEX('Reguler Class Availability'!$F:$F,AP45)&amp;""),0),"0%")&amp;")","")&amp;CHAR(10)&amp;IF(INDEX('Reguler Class Availability'!$I:$I,AP45)&amp;""="","coach: –",PROPER(INDEX('Reguler Class Availability'!$I:$I,AP45)&amp;""))&amp;IF(INDEX('Reguler Class Availability'!$J:$J,AP45)&amp;""="","",CHAR(10)&amp;"asst: "&amp;PROPER(INDEX('Reguler Class Availability'!$J:$J,AP45)&amp;""))))</f>
        <v>Tiny  0/5  (0%)
coach: –</v>
      </c>
      <c r="E45" s="67" t="str">
        <f aca="false">IF(AQ45="","",IF(AY45="Tidak dibuka","–",IF(INDEX('Reguler Class Availability'!$B:$B,AQ45)&amp;""="","Kosong",PROPER(INDEX('Reguler Class Availability'!$B:$B,AQ45)&amp;""))&amp;"  "&amp;IFERROR(--(INDEX('Reguler Class Availability'!$G:$G,AQ45)&amp;""),0)&amp;"/"&amp;IFERROR(--(INDEX('Reguler Class Availability'!$F:$F,AQ45)&amp;""),0)&amp;IF(IFERROR(--(INDEX('Reguler Class Availability'!$F:$F,AQ45)&amp;""),0)&gt;0,"  ("&amp;TEXT(IFERROR(--(INDEX('Reguler Class Availability'!$G:$G,AQ45)&amp;""),0)/IFERROR(--(INDEX('Reguler Class Availability'!$F:$F,AQ45)&amp;""),0),"0%")&amp;")","")&amp;CHAR(10)&amp;IF(INDEX('Reguler Class Availability'!$I:$I,AQ45)&amp;""="","coach: –",PROPER(INDEX('Reguler Class Availability'!$I:$I,AQ45)&amp;""))&amp;IF(INDEX('Reguler Class Availability'!$J:$J,AQ45)&amp;""="","",CHAR(10)&amp;"asst: "&amp;PROPER(INDEX('Reguler Class Availability'!$J:$J,AQ45)&amp;""))))</f>
        <v>Tiny  0/5  (0%)
coach: –</v>
      </c>
      <c r="F45" s="67" t="str">
        <f aca="false">IF(AR45="","",IF(AZ45="Tidak dibuka","–",IF(INDEX('Reguler Class Availability'!$B:$B,AR45)&amp;""="","Kosong",PROPER(INDEX('Reguler Class Availability'!$B:$B,AR45)&amp;""))&amp;"  "&amp;IFERROR(--(INDEX('Reguler Class Availability'!$G:$G,AR45)&amp;""),0)&amp;"/"&amp;IFERROR(--(INDEX('Reguler Class Availability'!$F:$F,AR45)&amp;""),0)&amp;IF(IFERROR(--(INDEX('Reguler Class Availability'!$F:$F,AR45)&amp;""),0)&gt;0,"  ("&amp;TEXT(IFERROR(--(INDEX('Reguler Class Availability'!$G:$G,AR45)&amp;""),0)/IFERROR(--(INDEX('Reguler Class Availability'!$F:$F,AR45)&amp;""),0),"0%")&amp;")","")&amp;CHAR(10)&amp;IF(INDEX('Reguler Class Availability'!$I:$I,AR45)&amp;""="","coach: –",PROPER(INDEX('Reguler Class Availability'!$I:$I,AR45)&amp;""))&amp;IF(INDEX('Reguler Class Availability'!$J:$J,AR45)&amp;""="","",CHAR(10)&amp;"asst: "&amp;PROPER(INDEX('Reguler Class Availability'!$J:$J,AR45)&amp;""))))</f>
        <v>Tiny  0/5  (0%)
coach: –</v>
      </c>
      <c r="G45" s="67" t="str">
        <f aca="false">IF(AS45="","",IF(BA45="Tidak dibuka","–",IF(INDEX('Reguler Class Availability'!$B:$B,AS45)&amp;""="","Kosong",PROPER(INDEX('Reguler Class Availability'!$B:$B,AS45)&amp;""))&amp;"  "&amp;IFERROR(--(INDEX('Reguler Class Availability'!$G:$G,AS45)&amp;""),0)&amp;"/"&amp;IFERROR(--(INDEX('Reguler Class Availability'!$F:$F,AS45)&amp;""),0)&amp;IF(IFERROR(--(INDEX('Reguler Class Availability'!$F:$F,AS45)&amp;""),0)&gt;0,"  ("&amp;TEXT(IFERROR(--(INDEX('Reguler Class Availability'!$G:$G,AS45)&amp;""),0)/IFERROR(--(INDEX('Reguler Class Availability'!$F:$F,AS45)&amp;""),0),"0%")&amp;")","")&amp;CHAR(10)&amp;IF(INDEX('Reguler Class Availability'!$I:$I,AS45)&amp;""="","coach: –",PROPER(INDEX('Reguler Class Availability'!$I:$I,AS45)&amp;""))&amp;IF(INDEX('Reguler Class Availability'!$J:$J,AS45)&amp;""="","",CHAR(10)&amp;"asst: "&amp;PROPER(INDEX('Reguler Class Availability'!$J:$J,AS45)&amp;""))))</f>
        <v>Tiny  0/5  (0%)
coach: –</v>
      </c>
      <c r="H45" s="67" t="str">
        <f aca="false">IF(AT45="","",IF(BB45="Tidak dibuka","–",IF(INDEX('Reguler Class Availability'!$B:$B,AT45)&amp;""="","Kosong",PROPER(INDEX('Reguler Class Availability'!$B:$B,AT45)&amp;""))&amp;"  "&amp;IFERROR(--(INDEX('Reguler Class Availability'!$G:$G,AT45)&amp;""),0)&amp;"/"&amp;IFERROR(--(INDEX('Reguler Class Availability'!$F:$F,AT45)&amp;""),0)&amp;IF(IFERROR(--(INDEX('Reguler Class Availability'!$F:$F,AT45)&amp;""),0)&gt;0,"  ("&amp;TEXT(IFERROR(--(INDEX('Reguler Class Availability'!$G:$G,AT45)&amp;""),0)/IFERROR(--(INDEX('Reguler Class Availability'!$F:$F,AT45)&amp;""),0),"0%")&amp;")","")&amp;CHAR(10)&amp;IF(INDEX('Reguler Class Availability'!$I:$I,AT45)&amp;""="","coach: –",PROPER(INDEX('Reguler Class Availability'!$I:$I,AT45)&amp;""))&amp;IF(INDEX('Reguler Class Availability'!$J:$J,AT45)&amp;""="","",CHAR(10)&amp;"asst: "&amp;PROPER(INDEX('Reguler Class Availability'!$J:$J,AT45)&amp;""))))</f>
        <v>Tiny  0/5  (0%)
coach: –</v>
      </c>
      <c r="AN45" s="30" t="n">
        <f aca="false">IF($A45="","",IFERROR(MATCH($B$4&amp;"|- Lane 2 - "&amp;B$33&amp;"|"&amp;$A45,'Reguler Class Availability'!$L:$L,0),""))</f>
        <v>2519</v>
      </c>
      <c r="AO45" s="30" t="n">
        <f aca="false">IF($A45="","",IFERROR(MATCH($B$4&amp;"|- Lane 2 - "&amp;C$33&amp;"|"&amp;$A45,'Reguler Class Availability'!$L:$L,0),""))</f>
        <v>2531</v>
      </c>
      <c r="AP45" s="30" t="n">
        <f aca="false">IF($A45="","",IFERROR(MATCH($B$4&amp;"|- Lane 2 - "&amp;D$33&amp;"|"&amp;$A45,'Reguler Class Availability'!$L:$L,0),""))</f>
        <v>2543</v>
      </c>
      <c r="AQ45" s="30" t="n">
        <f aca="false">IF($A45="","",IFERROR(MATCH($B$4&amp;"|- Lane 2 - "&amp;E$33&amp;"|"&amp;$A45,'Reguler Class Availability'!$L:$L,0),""))</f>
        <v>2555</v>
      </c>
      <c r="AR45" s="30" t="n">
        <f aca="false">IF($A45="","",IFERROR(MATCH($B$4&amp;"|- Lane 2 - "&amp;F$33&amp;"|"&amp;$A45,'Reguler Class Availability'!$L:$L,0),""))</f>
        <v>2567</v>
      </c>
      <c r="AS45" s="30" t="n">
        <f aca="false">IF($A45="","",IFERROR(MATCH($B$4&amp;"|- Lane 2 - "&amp;G$33&amp;"|"&amp;$A45,'Reguler Class Availability'!$L:$L,0),""))</f>
        <v>2579</v>
      </c>
      <c r="AT45" s="30" t="n">
        <f aca="false">IF($A45="","",IFERROR(MATCH($B$4&amp;"|- Lane 2 - "&amp;H$33&amp;"|"&amp;$A45,'Reguler Class Availability'!$L:$L,0),""))</f>
        <v>2591</v>
      </c>
      <c r="AV45" s="0" t="str">
        <f aca="false">IF(AN45="","",IF(AND(IFERROR(--(INDEX('Reguler Class Availability'!$F:$F,AN45)&amp;""),0)=0,IFERROR(--(INDEX('Reguler Class Availability'!$G:$G,AN45)&amp;""),0)=0),IF(OR(INDEX('Reguler Class Availability'!$B:$B,AN45)&amp;""&lt;&gt;"",INDEX('Reguler Class Availability'!$I:$I,AN45)&amp;""&lt;&gt;""),"Tutup","Tidak dibuka"),IF(IFERROR(--(INDEX('Reguler Class Availability'!$G:$G,AN45)&amp;""),0)&gt;IFERROR(--(INDEX('Reguler Class Availability'!$F:$F,AN45)&amp;""),0),"Lebih",IF(IFERROR(--(INDEX('Reguler Class Availability'!$G:$G,AN45)&amp;""),0)=IFERROR(--(INDEX('Reguler Class Availability'!$F:$F,AN45)&amp;""),0),"Penuh",IF(IFERROR(--(INDEX('Reguler Class Availability'!$G:$G,AN45)&amp;""),0)=0,IF(INDEX('Reguler Class Availability'!$B:$B,AN45)&amp;""="","Kosong","Belum terisi"),IF(IFERROR(--(INDEX('Reguler Class Availability'!$G:$G,AN45)&amp;""),0)/IFERROR(--(INDEX('Reguler Class Availability'!$F:$F,AN45)&amp;""),0)&gt;=0.6,"Tinggi","Sebagian"))))))</f>
        <v>Belum terisi</v>
      </c>
      <c r="AW45" s="0" t="str">
        <f aca="false">IF(AO45="","",IF(AND(IFERROR(--(INDEX('Reguler Class Availability'!$F:$F,AO45)&amp;""),0)=0,IFERROR(--(INDEX('Reguler Class Availability'!$G:$G,AO45)&amp;""),0)=0),IF(OR(INDEX('Reguler Class Availability'!$B:$B,AO45)&amp;""&lt;&gt;"",INDEX('Reguler Class Availability'!$I:$I,AO45)&amp;""&lt;&gt;""),"Tutup","Tidak dibuka"),IF(IFERROR(--(INDEX('Reguler Class Availability'!$G:$G,AO45)&amp;""),0)&gt;IFERROR(--(INDEX('Reguler Class Availability'!$F:$F,AO45)&amp;""),0),"Lebih",IF(IFERROR(--(INDEX('Reguler Class Availability'!$G:$G,AO45)&amp;""),0)=IFERROR(--(INDEX('Reguler Class Availability'!$F:$F,AO45)&amp;""),0),"Penuh",IF(IFERROR(--(INDEX('Reguler Class Availability'!$G:$G,AO45)&amp;""),0)=0,IF(INDEX('Reguler Class Availability'!$B:$B,AO45)&amp;""="","Kosong","Belum terisi"),IF(IFERROR(--(INDEX('Reguler Class Availability'!$G:$G,AO45)&amp;""),0)/IFERROR(--(INDEX('Reguler Class Availability'!$F:$F,AO45)&amp;""),0)&gt;=0.6,"Tinggi","Sebagian"))))))</f>
        <v>Belum terisi</v>
      </c>
      <c r="AX45" s="0" t="str">
        <f aca="false">IF(AP45="","",IF(AND(IFERROR(--(INDEX('Reguler Class Availability'!$F:$F,AP45)&amp;""),0)=0,IFERROR(--(INDEX('Reguler Class Availability'!$G:$G,AP45)&amp;""),0)=0),IF(OR(INDEX('Reguler Class Availability'!$B:$B,AP45)&amp;""&lt;&gt;"",INDEX('Reguler Class Availability'!$I:$I,AP45)&amp;""&lt;&gt;""),"Tutup","Tidak dibuka"),IF(IFERROR(--(INDEX('Reguler Class Availability'!$G:$G,AP45)&amp;""),0)&gt;IFERROR(--(INDEX('Reguler Class Availability'!$F:$F,AP45)&amp;""),0),"Lebih",IF(IFERROR(--(INDEX('Reguler Class Availability'!$G:$G,AP45)&amp;""),0)=IFERROR(--(INDEX('Reguler Class Availability'!$F:$F,AP45)&amp;""),0),"Penuh",IF(IFERROR(--(INDEX('Reguler Class Availability'!$G:$G,AP45)&amp;""),0)=0,IF(INDEX('Reguler Class Availability'!$B:$B,AP45)&amp;""="","Kosong","Belum terisi"),IF(IFERROR(--(INDEX('Reguler Class Availability'!$G:$G,AP45)&amp;""),0)/IFERROR(--(INDEX('Reguler Class Availability'!$F:$F,AP45)&amp;""),0)&gt;=0.6,"Tinggi","Sebagian"))))))</f>
        <v>Belum terisi</v>
      </c>
      <c r="AY45" s="0" t="str">
        <f aca="false">IF(AQ45="","",IF(AND(IFERROR(--(INDEX('Reguler Class Availability'!$F:$F,AQ45)&amp;""),0)=0,IFERROR(--(INDEX('Reguler Class Availability'!$G:$G,AQ45)&amp;""),0)=0),IF(OR(INDEX('Reguler Class Availability'!$B:$B,AQ45)&amp;""&lt;&gt;"",INDEX('Reguler Class Availability'!$I:$I,AQ45)&amp;""&lt;&gt;""),"Tutup","Tidak dibuka"),IF(IFERROR(--(INDEX('Reguler Class Availability'!$G:$G,AQ45)&amp;""),0)&gt;IFERROR(--(INDEX('Reguler Class Availability'!$F:$F,AQ45)&amp;""),0),"Lebih",IF(IFERROR(--(INDEX('Reguler Class Availability'!$G:$G,AQ45)&amp;""),0)=IFERROR(--(INDEX('Reguler Class Availability'!$F:$F,AQ45)&amp;""),0),"Penuh",IF(IFERROR(--(INDEX('Reguler Class Availability'!$G:$G,AQ45)&amp;""),0)=0,IF(INDEX('Reguler Class Availability'!$B:$B,AQ45)&amp;""="","Kosong","Belum terisi"),IF(IFERROR(--(INDEX('Reguler Class Availability'!$G:$G,AQ45)&amp;""),0)/IFERROR(--(INDEX('Reguler Class Availability'!$F:$F,AQ45)&amp;""),0)&gt;=0.6,"Tinggi","Sebagian"))))))</f>
        <v>Belum terisi</v>
      </c>
      <c r="AZ45" s="0" t="str">
        <f aca="false">IF(AR45="","",IF(AND(IFERROR(--(INDEX('Reguler Class Availability'!$F:$F,AR45)&amp;""),0)=0,IFERROR(--(INDEX('Reguler Class Availability'!$G:$G,AR45)&amp;""),0)=0),IF(OR(INDEX('Reguler Class Availability'!$B:$B,AR45)&amp;""&lt;&gt;"",INDEX('Reguler Class Availability'!$I:$I,AR45)&amp;""&lt;&gt;""),"Tutup","Tidak dibuka"),IF(IFERROR(--(INDEX('Reguler Class Availability'!$G:$G,AR45)&amp;""),0)&gt;IFERROR(--(INDEX('Reguler Class Availability'!$F:$F,AR45)&amp;""),0),"Lebih",IF(IFERROR(--(INDEX('Reguler Class Availability'!$G:$G,AR45)&amp;""),0)=IFERROR(--(INDEX('Reguler Class Availability'!$F:$F,AR45)&amp;""),0),"Penuh",IF(IFERROR(--(INDEX('Reguler Class Availability'!$G:$G,AR45)&amp;""),0)=0,IF(INDEX('Reguler Class Availability'!$B:$B,AR45)&amp;""="","Kosong","Belum terisi"),IF(IFERROR(--(INDEX('Reguler Class Availability'!$G:$G,AR45)&amp;""),0)/IFERROR(--(INDEX('Reguler Class Availability'!$F:$F,AR45)&amp;""),0)&gt;=0.6,"Tinggi","Sebagian"))))))</f>
        <v>Belum terisi</v>
      </c>
      <c r="BA45" s="0" t="str">
        <f aca="false">IF(AS45="","",IF(AND(IFERROR(--(INDEX('Reguler Class Availability'!$F:$F,AS45)&amp;""),0)=0,IFERROR(--(INDEX('Reguler Class Availability'!$G:$G,AS45)&amp;""),0)=0),IF(OR(INDEX('Reguler Class Availability'!$B:$B,AS45)&amp;""&lt;&gt;"",INDEX('Reguler Class Availability'!$I:$I,AS45)&amp;""&lt;&gt;""),"Tutup","Tidak dibuka"),IF(IFERROR(--(INDEX('Reguler Class Availability'!$G:$G,AS45)&amp;""),0)&gt;IFERROR(--(INDEX('Reguler Class Availability'!$F:$F,AS45)&amp;""),0),"Lebih",IF(IFERROR(--(INDEX('Reguler Class Availability'!$G:$G,AS45)&amp;""),0)=IFERROR(--(INDEX('Reguler Class Availability'!$F:$F,AS45)&amp;""),0),"Penuh",IF(IFERROR(--(INDEX('Reguler Class Availability'!$G:$G,AS45)&amp;""),0)=0,IF(INDEX('Reguler Class Availability'!$B:$B,AS45)&amp;""="","Kosong","Belum terisi"),IF(IFERROR(--(INDEX('Reguler Class Availability'!$G:$G,AS45)&amp;""),0)/IFERROR(--(INDEX('Reguler Class Availability'!$F:$F,AS45)&amp;""),0)&gt;=0.6,"Tinggi","Sebagian"))))))</f>
        <v>Belum terisi</v>
      </c>
      <c r="BB45" s="0" t="str">
        <f aca="false">IF(AT45="","",IF(AND(IFERROR(--(INDEX('Reguler Class Availability'!$F:$F,AT45)&amp;""),0)=0,IFERROR(--(INDEX('Reguler Class Availability'!$G:$G,AT45)&amp;""),0)=0),IF(OR(INDEX('Reguler Class Availability'!$B:$B,AT45)&amp;""&lt;&gt;"",INDEX('Reguler Class Availability'!$I:$I,AT45)&amp;""&lt;&gt;""),"Tutup","Tidak dibuka"),IF(IFERROR(--(INDEX('Reguler Class Availability'!$G:$G,AT45)&amp;""),0)&gt;IFERROR(--(INDEX('Reguler Class Availability'!$F:$F,AT45)&amp;""),0),"Lebih",IF(IFERROR(--(INDEX('Reguler Class Availability'!$G:$G,AT45)&amp;""),0)=IFERROR(--(INDEX('Reguler Class Availability'!$F:$F,AT45)&amp;""),0),"Penuh",IF(IFERROR(--(INDEX('Reguler Class Availability'!$G:$G,AT45)&amp;""),0)=0,IF(INDEX('Reguler Class Availability'!$B:$B,AT45)&amp;""="","Kosong","Belum terisi"),IF(IFERROR(--(INDEX('Reguler Class Availability'!$G:$G,AT45)&amp;""),0)/IFERROR(--(INDEX('Reguler Class Availability'!$F:$F,AT45)&amp;""),0)&gt;=0.6,"Tinggi","Sebagian"))))))</f>
        <v>Belum terisi</v>
      </c>
      <c r="BD45" s="30" t="s">
        <v>154</v>
      </c>
      <c r="BE45" s="30" t="n">
        <f aca="false">IF(COUNTIFS('Reguler Class Availability'!$L:$L,$B$4&amp;"|- Lane 1 - *|"&amp;BD45)&gt;0,1,0)</f>
        <v>0</v>
      </c>
      <c r="BF45" s="30" t="n">
        <f aca="false">BE45+BF44</f>
        <v>12</v>
      </c>
    </row>
    <row r="46" customFormat="false" ht="39.75" hidden="false" customHeight="true" outlineLevel="0" collapsed="false">
      <c r="A46" s="66" t="str">
        <f aca="false">IFERROR(INDEX($BD$62:$BD$121,MATCH(13,$BF$62:$BF$121,0)),"")</f>
        <v/>
      </c>
      <c r="B46" s="67" t="str">
        <f aca="false">IF(AN46="","",IF(AV46="Tidak dibuka","–",IF(INDEX('Reguler Class Availability'!$B:$B,AN46)&amp;""="","Kosong",PROPER(INDEX('Reguler Class Availability'!$B:$B,AN46)&amp;""))&amp;"  "&amp;IFERROR(--(INDEX('Reguler Class Availability'!$G:$G,AN46)&amp;""),0)&amp;"/"&amp;IFERROR(--(INDEX('Reguler Class Availability'!$F:$F,AN46)&amp;""),0)&amp;IF(IFERROR(--(INDEX('Reguler Class Availability'!$F:$F,AN46)&amp;""),0)&gt;0,"  ("&amp;TEXT(IFERROR(--(INDEX('Reguler Class Availability'!$G:$G,AN46)&amp;""),0)/IFERROR(--(INDEX('Reguler Class Availability'!$F:$F,AN46)&amp;""),0),"0%")&amp;")","")&amp;CHAR(10)&amp;IF(INDEX('Reguler Class Availability'!$I:$I,AN46)&amp;""="","coach: –",PROPER(INDEX('Reguler Class Availability'!$I:$I,AN46)&amp;""))&amp;IF(INDEX('Reguler Class Availability'!$J:$J,AN46)&amp;""="","",CHAR(10)&amp;"asst: "&amp;PROPER(INDEX('Reguler Class Availability'!$J:$J,AN46)&amp;""))))</f>
        <v/>
      </c>
      <c r="C46" s="67" t="str">
        <f aca="false">IF(AO46="","",IF(AW46="Tidak dibuka","–",IF(INDEX('Reguler Class Availability'!$B:$B,AO46)&amp;""="","Kosong",PROPER(INDEX('Reguler Class Availability'!$B:$B,AO46)&amp;""))&amp;"  "&amp;IFERROR(--(INDEX('Reguler Class Availability'!$G:$G,AO46)&amp;""),0)&amp;"/"&amp;IFERROR(--(INDEX('Reguler Class Availability'!$F:$F,AO46)&amp;""),0)&amp;IF(IFERROR(--(INDEX('Reguler Class Availability'!$F:$F,AO46)&amp;""),0)&gt;0,"  ("&amp;TEXT(IFERROR(--(INDEX('Reguler Class Availability'!$G:$G,AO46)&amp;""),0)/IFERROR(--(INDEX('Reguler Class Availability'!$F:$F,AO46)&amp;""),0),"0%")&amp;")","")&amp;CHAR(10)&amp;IF(INDEX('Reguler Class Availability'!$I:$I,AO46)&amp;""="","coach: –",PROPER(INDEX('Reguler Class Availability'!$I:$I,AO46)&amp;""))&amp;IF(INDEX('Reguler Class Availability'!$J:$J,AO46)&amp;""="","",CHAR(10)&amp;"asst: "&amp;PROPER(INDEX('Reguler Class Availability'!$J:$J,AO46)&amp;""))))</f>
        <v/>
      </c>
      <c r="D46" s="67" t="str">
        <f aca="false">IF(AP46="","",IF(AX46="Tidak dibuka","–",IF(INDEX('Reguler Class Availability'!$B:$B,AP46)&amp;""="","Kosong",PROPER(INDEX('Reguler Class Availability'!$B:$B,AP46)&amp;""))&amp;"  "&amp;IFERROR(--(INDEX('Reguler Class Availability'!$G:$G,AP46)&amp;""),0)&amp;"/"&amp;IFERROR(--(INDEX('Reguler Class Availability'!$F:$F,AP46)&amp;""),0)&amp;IF(IFERROR(--(INDEX('Reguler Class Availability'!$F:$F,AP46)&amp;""),0)&gt;0,"  ("&amp;TEXT(IFERROR(--(INDEX('Reguler Class Availability'!$G:$G,AP46)&amp;""),0)/IFERROR(--(INDEX('Reguler Class Availability'!$F:$F,AP46)&amp;""),0),"0%")&amp;")","")&amp;CHAR(10)&amp;IF(INDEX('Reguler Class Availability'!$I:$I,AP46)&amp;""="","coach: –",PROPER(INDEX('Reguler Class Availability'!$I:$I,AP46)&amp;""))&amp;IF(INDEX('Reguler Class Availability'!$J:$J,AP46)&amp;""="","",CHAR(10)&amp;"asst: "&amp;PROPER(INDEX('Reguler Class Availability'!$J:$J,AP46)&amp;""))))</f>
        <v/>
      </c>
      <c r="E46" s="67" t="str">
        <f aca="false">IF(AQ46="","",IF(AY46="Tidak dibuka","–",IF(INDEX('Reguler Class Availability'!$B:$B,AQ46)&amp;""="","Kosong",PROPER(INDEX('Reguler Class Availability'!$B:$B,AQ46)&amp;""))&amp;"  "&amp;IFERROR(--(INDEX('Reguler Class Availability'!$G:$G,AQ46)&amp;""),0)&amp;"/"&amp;IFERROR(--(INDEX('Reguler Class Availability'!$F:$F,AQ46)&amp;""),0)&amp;IF(IFERROR(--(INDEX('Reguler Class Availability'!$F:$F,AQ46)&amp;""),0)&gt;0,"  ("&amp;TEXT(IFERROR(--(INDEX('Reguler Class Availability'!$G:$G,AQ46)&amp;""),0)/IFERROR(--(INDEX('Reguler Class Availability'!$F:$F,AQ46)&amp;""),0),"0%")&amp;")","")&amp;CHAR(10)&amp;IF(INDEX('Reguler Class Availability'!$I:$I,AQ46)&amp;""="","coach: –",PROPER(INDEX('Reguler Class Availability'!$I:$I,AQ46)&amp;""))&amp;IF(INDEX('Reguler Class Availability'!$J:$J,AQ46)&amp;""="","",CHAR(10)&amp;"asst: "&amp;PROPER(INDEX('Reguler Class Availability'!$J:$J,AQ46)&amp;""))))</f>
        <v/>
      </c>
      <c r="F46" s="67" t="str">
        <f aca="false">IF(AR46="","",IF(AZ46="Tidak dibuka","–",IF(INDEX('Reguler Class Availability'!$B:$B,AR46)&amp;""="","Kosong",PROPER(INDEX('Reguler Class Availability'!$B:$B,AR46)&amp;""))&amp;"  "&amp;IFERROR(--(INDEX('Reguler Class Availability'!$G:$G,AR46)&amp;""),0)&amp;"/"&amp;IFERROR(--(INDEX('Reguler Class Availability'!$F:$F,AR46)&amp;""),0)&amp;IF(IFERROR(--(INDEX('Reguler Class Availability'!$F:$F,AR46)&amp;""),0)&gt;0,"  ("&amp;TEXT(IFERROR(--(INDEX('Reguler Class Availability'!$G:$G,AR46)&amp;""),0)/IFERROR(--(INDEX('Reguler Class Availability'!$F:$F,AR46)&amp;""),0),"0%")&amp;")","")&amp;CHAR(10)&amp;IF(INDEX('Reguler Class Availability'!$I:$I,AR46)&amp;""="","coach: –",PROPER(INDEX('Reguler Class Availability'!$I:$I,AR46)&amp;""))&amp;IF(INDEX('Reguler Class Availability'!$J:$J,AR46)&amp;""="","",CHAR(10)&amp;"asst: "&amp;PROPER(INDEX('Reguler Class Availability'!$J:$J,AR46)&amp;""))))</f>
        <v/>
      </c>
      <c r="G46" s="67" t="str">
        <f aca="false">IF(AS46="","",IF(BA46="Tidak dibuka","–",IF(INDEX('Reguler Class Availability'!$B:$B,AS46)&amp;""="","Kosong",PROPER(INDEX('Reguler Class Availability'!$B:$B,AS46)&amp;""))&amp;"  "&amp;IFERROR(--(INDEX('Reguler Class Availability'!$G:$G,AS46)&amp;""),0)&amp;"/"&amp;IFERROR(--(INDEX('Reguler Class Availability'!$F:$F,AS46)&amp;""),0)&amp;IF(IFERROR(--(INDEX('Reguler Class Availability'!$F:$F,AS46)&amp;""),0)&gt;0,"  ("&amp;TEXT(IFERROR(--(INDEX('Reguler Class Availability'!$G:$G,AS46)&amp;""),0)/IFERROR(--(INDEX('Reguler Class Availability'!$F:$F,AS46)&amp;""),0),"0%")&amp;")","")&amp;CHAR(10)&amp;IF(INDEX('Reguler Class Availability'!$I:$I,AS46)&amp;""="","coach: –",PROPER(INDEX('Reguler Class Availability'!$I:$I,AS46)&amp;""))&amp;IF(INDEX('Reguler Class Availability'!$J:$J,AS46)&amp;""="","",CHAR(10)&amp;"asst: "&amp;PROPER(INDEX('Reguler Class Availability'!$J:$J,AS46)&amp;""))))</f>
        <v/>
      </c>
      <c r="H46" s="67" t="str">
        <f aca="false">IF(AT46="","",IF(BB46="Tidak dibuka","–",IF(INDEX('Reguler Class Availability'!$B:$B,AT46)&amp;""="","Kosong",PROPER(INDEX('Reguler Class Availability'!$B:$B,AT46)&amp;""))&amp;"  "&amp;IFERROR(--(INDEX('Reguler Class Availability'!$G:$G,AT46)&amp;""),0)&amp;"/"&amp;IFERROR(--(INDEX('Reguler Class Availability'!$F:$F,AT46)&amp;""),0)&amp;IF(IFERROR(--(INDEX('Reguler Class Availability'!$F:$F,AT46)&amp;""),0)&gt;0,"  ("&amp;TEXT(IFERROR(--(INDEX('Reguler Class Availability'!$G:$G,AT46)&amp;""),0)/IFERROR(--(INDEX('Reguler Class Availability'!$F:$F,AT46)&amp;""),0),"0%")&amp;")","")&amp;CHAR(10)&amp;IF(INDEX('Reguler Class Availability'!$I:$I,AT46)&amp;""="","coach: –",PROPER(INDEX('Reguler Class Availability'!$I:$I,AT46)&amp;""))&amp;IF(INDEX('Reguler Class Availability'!$J:$J,AT46)&amp;""="","",CHAR(10)&amp;"asst: "&amp;PROPER(INDEX('Reguler Class Availability'!$J:$J,AT46)&amp;""))))</f>
        <v/>
      </c>
      <c r="AN46" s="0" t="str">
        <f aca="false">IF($A46="","",IFERROR(MATCH($B$4&amp;"|- Lane 2 - "&amp;B$33&amp;"|"&amp;$A46,'Reguler Class Availability'!$L:$L,0),""))</f>
        <v/>
      </c>
      <c r="AO46" s="0" t="str">
        <f aca="false">IF($A46="","",IFERROR(MATCH($B$4&amp;"|- Lane 2 - "&amp;C$33&amp;"|"&amp;$A46,'Reguler Class Availability'!$L:$L,0),""))</f>
        <v/>
      </c>
      <c r="AP46" s="0" t="str">
        <f aca="false">IF($A46="","",IFERROR(MATCH($B$4&amp;"|- Lane 2 - "&amp;D$33&amp;"|"&amp;$A46,'Reguler Class Availability'!$L:$L,0),""))</f>
        <v/>
      </c>
      <c r="AQ46" s="0" t="str">
        <f aca="false">IF($A46="","",IFERROR(MATCH($B$4&amp;"|- Lane 2 - "&amp;E$33&amp;"|"&amp;$A46,'Reguler Class Availability'!$L:$L,0),""))</f>
        <v/>
      </c>
      <c r="AR46" s="0" t="str">
        <f aca="false">IF($A46="","",IFERROR(MATCH($B$4&amp;"|- Lane 2 - "&amp;F$33&amp;"|"&amp;$A46,'Reguler Class Availability'!$L:$L,0),""))</f>
        <v/>
      </c>
      <c r="AS46" s="0" t="str">
        <f aca="false">IF($A46="","",IFERROR(MATCH($B$4&amp;"|- Lane 2 - "&amp;G$33&amp;"|"&amp;$A46,'Reguler Class Availability'!$L:$L,0),""))</f>
        <v/>
      </c>
      <c r="AT46" s="0" t="str">
        <f aca="false">IF($A46="","",IFERROR(MATCH($B$4&amp;"|- Lane 2 - "&amp;H$33&amp;"|"&amp;$A46,'Reguler Class Availability'!$L:$L,0),""))</f>
        <v/>
      </c>
      <c r="AV46" s="0" t="str">
        <f aca="false">IF(AN46="","",IF(AND(IFERROR(--(INDEX('Reguler Class Availability'!$F:$F,AN46)&amp;""),0)=0,IFERROR(--(INDEX('Reguler Class Availability'!$G:$G,AN46)&amp;""),0)=0),IF(OR(INDEX('Reguler Class Availability'!$B:$B,AN46)&amp;""&lt;&gt;"",INDEX('Reguler Class Availability'!$I:$I,AN46)&amp;""&lt;&gt;""),"Tutup","Tidak dibuka"),IF(IFERROR(--(INDEX('Reguler Class Availability'!$G:$G,AN46)&amp;""),0)&gt;IFERROR(--(INDEX('Reguler Class Availability'!$F:$F,AN46)&amp;""),0),"Lebih",IF(IFERROR(--(INDEX('Reguler Class Availability'!$G:$G,AN46)&amp;""),0)=IFERROR(--(INDEX('Reguler Class Availability'!$F:$F,AN46)&amp;""),0),"Penuh",IF(IFERROR(--(INDEX('Reguler Class Availability'!$G:$G,AN46)&amp;""),0)=0,IF(INDEX('Reguler Class Availability'!$B:$B,AN46)&amp;""="","Kosong","Belum terisi"),IF(IFERROR(--(INDEX('Reguler Class Availability'!$G:$G,AN46)&amp;""),0)/IFERROR(--(INDEX('Reguler Class Availability'!$F:$F,AN46)&amp;""),0)&gt;=0.6,"Tinggi","Sebagian"))))))</f>
        <v/>
      </c>
      <c r="AW46" s="0" t="str">
        <f aca="false">IF(AO46="","",IF(AND(IFERROR(--(INDEX('Reguler Class Availability'!$F:$F,AO46)&amp;""),0)=0,IFERROR(--(INDEX('Reguler Class Availability'!$G:$G,AO46)&amp;""),0)=0),IF(OR(INDEX('Reguler Class Availability'!$B:$B,AO46)&amp;""&lt;&gt;"",INDEX('Reguler Class Availability'!$I:$I,AO46)&amp;""&lt;&gt;""),"Tutup","Tidak dibuka"),IF(IFERROR(--(INDEX('Reguler Class Availability'!$G:$G,AO46)&amp;""),0)&gt;IFERROR(--(INDEX('Reguler Class Availability'!$F:$F,AO46)&amp;""),0),"Lebih",IF(IFERROR(--(INDEX('Reguler Class Availability'!$G:$G,AO46)&amp;""),0)=IFERROR(--(INDEX('Reguler Class Availability'!$F:$F,AO46)&amp;""),0),"Penuh",IF(IFERROR(--(INDEX('Reguler Class Availability'!$G:$G,AO46)&amp;""),0)=0,IF(INDEX('Reguler Class Availability'!$B:$B,AO46)&amp;""="","Kosong","Belum terisi"),IF(IFERROR(--(INDEX('Reguler Class Availability'!$G:$G,AO46)&amp;""),0)/IFERROR(--(INDEX('Reguler Class Availability'!$F:$F,AO46)&amp;""),0)&gt;=0.6,"Tinggi","Sebagian"))))))</f>
        <v/>
      </c>
      <c r="AX46" s="0" t="str">
        <f aca="false">IF(AP46="","",IF(AND(IFERROR(--(INDEX('Reguler Class Availability'!$F:$F,AP46)&amp;""),0)=0,IFERROR(--(INDEX('Reguler Class Availability'!$G:$G,AP46)&amp;""),0)=0),IF(OR(INDEX('Reguler Class Availability'!$B:$B,AP46)&amp;""&lt;&gt;"",INDEX('Reguler Class Availability'!$I:$I,AP46)&amp;""&lt;&gt;""),"Tutup","Tidak dibuka"),IF(IFERROR(--(INDEX('Reguler Class Availability'!$G:$G,AP46)&amp;""),0)&gt;IFERROR(--(INDEX('Reguler Class Availability'!$F:$F,AP46)&amp;""),0),"Lebih",IF(IFERROR(--(INDEX('Reguler Class Availability'!$G:$G,AP46)&amp;""),0)=IFERROR(--(INDEX('Reguler Class Availability'!$F:$F,AP46)&amp;""),0),"Penuh",IF(IFERROR(--(INDEX('Reguler Class Availability'!$G:$G,AP46)&amp;""),0)=0,IF(INDEX('Reguler Class Availability'!$B:$B,AP46)&amp;""="","Kosong","Belum terisi"),IF(IFERROR(--(INDEX('Reguler Class Availability'!$G:$G,AP46)&amp;""),0)/IFERROR(--(INDEX('Reguler Class Availability'!$F:$F,AP46)&amp;""),0)&gt;=0.6,"Tinggi","Sebagian"))))))</f>
        <v/>
      </c>
      <c r="AY46" s="0" t="str">
        <f aca="false">IF(AQ46="","",IF(AND(IFERROR(--(INDEX('Reguler Class Availability'!$F:$F,AQ46)&amp;""),0)=0,IFERROR(--(INDEX('Reguler Class Availability'!$G:$G,AQ46)&amp;""),0)=0),IF(OR(INDEX('Reguler Class Availability'!$B:$B,AQ46)&amp;""&lt;&gt;"",INDEX('Reguler Class Availability'!$I:$I,AQ46)&amp;""&lt;&gt;""),"Tutup","Tidak dibuka"),IF(IFERROR(--(INDEX('Reguler Class Availability'!$G:$G,AQ46)&amp;""),0)&gt;IFERROR(--(INDEX('Reguler Class Availability'!$F:$F,AQ46)&amp;""),0),"Lebih",IF(IFERROR(--(INDEX('Reguler Class Availability'!$G:$G,AQ46)&amp;""),0)=IFERROR(--(INDEX('Reguler Class Availability'!$F:$F,AQ46)&amp;""),0),"Penuh",IF(IFERROR(--(INDEX('Reguler Class Availability'!$G:$G,AQ46)&amp;""),0)=0,IF(INDEX('Reguler Class Availability'!$B:$B,AQ46)&amp;""="","Kosong","Belum terisi"),IF(IFERROR(--(INDEX('Reguler Class Availability'!$G:$G,AQ46)&amp;""),0)/IFERROR(--(INDEX('Reguler Class Availability'!$F:$F,AQ46)&amp;""),0)&gt;=0.6,"Tinggi","Sebagian"))))))</f>
        <v/>
      </c>
      <c r="AZ46" s="0" t="str">
        <f aca="false">IF(AR46="","",IF(AND(IFERROR(--(INDEX('Reguler Class Availability'!$F:$F,AR46)&amp;""),0)=0,IFERROR(--(INDEX('Reguler Class Availability'!$G:$G,AR46)&amp;""),0)=0),IF(OR(INDEX('Reguler Class Availability'!$B:$B,AR46)&amp;""&lt;&gt;"",INDEX('Reguler Class Availability'!$I:$I,AR46)&amp;""&lt;&gt;""),"Tutup","Tidak dibuka"),IF(IFERROR(--(INDEX('Reguler Class Availability'!$G:$G,AR46)&amp;""),0)&gt;IFERROR(--(INDEX('Reguler Class Availability'!$F:$F,AR46)&amp;""),0),"Lebih",IF(IFERROR(--(INDEX('Reguler Class Availability'!$G:$G,AR46)&amp;""),0)=IFERROR(--(INDEX('Reguler Class Availability'!$F:$F,AR46)&amp;""),0),"Penuh",IF(IFERROR(--(INDEX('Reguler Class Availability'!$G:$G,AR46)&amp;""),0)=0,IF(INDEX('Reguler Class Availability'!$B:$B,AR46)&amp;""="","Kosong","Belum terisi"),IF(IFERROR(--(INDEX('Reguler Class Availability'!$G:$G,AR46)&amp;""),0)/IFERROR(--(INDEX('Reguler Class Availability'!$F:$F,AR46)&amp;""),0)&gt;=0.6,"Tinggi","Sebagian"))))))</f>
        <v/>
      </c>
      <c r="BA46" s="0" t="str">
        <f aca="false">IF(AS46="","",IF(AND(IFERROR(--(INDEX('Reguler Class Availability'!$F:$F,AS46)&amp;""),0)=0,IFERROR(--(INDEX('Reguler Class Availability'!$G:$G,AS46)&amp;""),0)=0),IF(OR(INDEX('Reguler Class Availability'!$B:$B,AS46)&amp;""&lt;&gt;"",INDEX('Reguler Class Availability'!$I:$I,AS46)&amp;""&lt;&gt;""),"Tutup","Tidak dibuka"),IF(IFERROR(--(INDEX('Reguler Class Availability'!$G:$G,AS46)&amp;""),0)&gt;IFERROR(--(INDEX('Reguler Class Availability'!$F:$F,AS46)&amp;""),0),"Lebih",IF(IFERROR(--(INDEX('Reguler Class Availability'!$G:$G,AS46)&amp;""),0)=IFERROR(--(INDEX('Reguler Class Availability'!$F:$F,AS46)&amp;""),0),"Penuh",IF(IFERROR(--(INDEX('Reguler Class Availability'!$G:$G,AS46)&amp;""),0)=0,IF(INDEX('Reguler Class Availability'!$B:$B,AS46)&amp;""="","Kosong","Belum terisi"),IF(IFERROR(--(INDEX('Reguler Class Availability'!$G:$G,AS46)&amp;""),0)/IFERROR(--(INDEX('Reguler Class Availability'!$F:$F,AS46)&amp;""),0)&gt;=0.6,"Tinggi","Sebagian"))))))</f>
        <v/>
      </c>
      <c r="BB46" s="0" t="str">
        <f aca="false">IF(AT46="","",IF(AND(IFERROR(--(INDEX('Reguler Class Availability'!$F:$F,AT46)&amp;""),0)=0,IFERROR(--(INDEX('Reguler Class Availability'!$G:$G,AT46)&amp;""),0)=0),IF(OR(INDEX('Reguler Class Availability'!$B:$B,AT46)&amp;""&lt;&gt;"",INDEX('Reguler Class Availability'!$I:$I,AT46)&amp;""&lt;&gt;""),"Tutup","Tidak dibuka"),IF(IFERROR(--(INDEX('Reguler Class Availability'!$G:$G,AT46)&amp;""),0)&gt;IFERROR(--(INDEX('Reguler Class Availability'!$F:$F,AT46)&amp;""),0),"Lebih",IF(IFERROR(--(INDEX('Reguler Class Availability'!$G:$G,AT46)&amp;""),0)=IFERROR(--(INDEX('Reguler Class Availability'!$F:$F,AT46)&amp;""),0),"Penuh",IF(IFERROR(--(INDEX('Reguler Class Availability'!$G:$G,AT46)&amp;""),0)=0,IF(INDEX('Reguler Class Availability'!$B:$B,AT46)&amp;""="","Kosong","Belum terisi"),IF(IFERROR(--(INDEX('Reguler Class Availability'!$G:$G,AT46)&amp;""),0)/IFERROR(--(INDEX('Reguler Class Availability'!$F:$F,AT46)&amp;""),0)&gt;=0.6,"Tinggi","Sebagian"))))))</f>
        <v/>
      </c>
      <c r="BD46" s="30" t="s">
        <v>155</v>
      </c>
      <c r="BE46" s="30" t="n">
        <f aca="false">IF(COUNTIFS('Reguler Class Availability'!$L:$L,$B$4&amp;"|- Lane 1 - *|"&amp;BD46)&gt;0,1,0)</f>
        <v>1</v>
      </c>
      <c r="BF46" s="30" t="n">
        <f aca="false">BE46+BF45</f>
        <v>13</v>
      </c>
    </row>
    <row r="47" customFormat="false" ht="39.75" hidden="false" customHeight="true" outlineLevel="0" collapsed="false">
      <c r="A47" s="66" t="str">
        <f aca="false">IFERROR(INDEX($BD$62:$BD$121,MATCH(14,$BF$62:$BF$121,0)),"")</f>
        <v/>
      </c>
      <c r="B47" s="67" t="str">
        <f aca="false">IF(AN47="","",IF(AV47="Tidak dibuka","–",IF(INDEX('Reguler Class Availability'!$B:$B,AN47)&amp;""="","Kosong",PROPER(INDEX('Reguler Class Availability'!$B:$B,AN47)&amp;""))&amp;"  "&amp;IFERROR(--(INDEX('Reguler Class Availability'!$G:$G,AN47)&amp;""),0)&amp;"/"&amp;IFERROR(--(INDEX('Reguler Class Availability'!$F:$F,AN47)&amp;""),0)&amp;IF(IFERROR(--(INDEX('Reguler Class Availability'!$F:$F,AN47)&amp;""),0)&gt;0,"  ("&amp;TEXT(IFERROR(--(INDEX('Reguler Class Availability'!$G:$G,AN47)&amp;""),0)/IFERROR(--(INDEX('Reguler Class Availability'!$F:$F,AN47)&amp;""),0),"0%")&amp;")","")&amp;CHAR(10)&amp;IF(INDEX('Reguler Class Availability'!$I:$I,AN47)&amp;""="","coach: –",PROPER(INDEX('Reguler Class Availability'!$I:$I,AN47)&amp;""))&amp;IF(INDEX('Reguler Class Availability'!$J:$J,AN47)&amp;""="","",CHAR(10)&amp;"asst: "&amp;PROPER(INDEX('Reguler Class Availability'!$J:$J,AN47)&amp;""))))</f>
        <v/>
      </c>
      <c r="C47" s="67" t="str">
        <f aca="false">IF(AO47="","",IF(AW47="Tidak dibuka","–",IF(INDEX('Reguler Class Availability'!$B:$B,AO47)&amp;""="","Kosong",PROPER(INDEX('Reguler Class Availability'!$B:$B,AO47)&amp;""))&amp;"  "&amp;IFERROR(--(INDEX('Reguler Class Availability'!$G:$G,AO47)&amp;""),0)&amp;"/"&amp;IFERROR(--(INDEX('Reguler Class Availability'!$F:$F,AO47)&amp;""),0)&amp;IF(IFERROR(--(INDEX('Reguler Class Availability'!$F:$F,AO47)&amp;""),0)&gt;0,"  ("&amp;TEXT(IFERROR(--(INDEX('Reguler Class Availability'!$G:$G,AO47)&amp;""),0)/IFERROR(--(INDEX('Reguler Class Availability'!$F:$F,AO47)&amp;""),0),"0%")&amp;")","")&amp;CHAR(10)&amp;IF(INDEX('Reguler Class Availability'!$I:$I,AO47)&amp;""="","coach: –",PROPER(INDEX('Reguler Class Availability'!$I:$I,AO47)&amp;""))&amp;IF(INDEX('Reguler Class Availability'!$J:$J,AO47)&amp;""="","",CHAR(10)&amp;"asst: "&amp;PROPER(INDEX('Reguler Class Availability'!$J:$J,AO47)&amp;""))))</f>
        <v/>
      </c>
      <c r="D47" s="67" t="str">
        <f aca="false">IF(AP47="","",IF(AX47="Tidak dibuka","–",IF(INDEX('Reguler Class Availability'!$B:$B,AP47)&amp;""="","Kosong",PROPER(INDEX('Reguler Class Availability'!$B:$B,AP47)&amp;""))&amp;"  "&amp;IFERROR(--(INDEX('Reguler Class Availability'!$G:$G,AP47)&amp;""),0)&amp;"/"&amp;IFERROR(--(INDEX('Reguler Class Availability'!$F:$F,AP47)&amp;""),0)&amp;IF(IFERROR(--(INDEX('Reguler Class Availability'!$F:$F,AP47)&amp;""),0)&gt;0,"  ("&amp;TEXT(IFERROR(--(INDEX('Reguler Class Availability'!$G:$G,AP47)&amp;""),0)/IFERROR(--(INDEX('Reguler Class Availability'!$F:$F,AP47)&amp;""),0),"0%")&amp;")","")&amp;CHAR(10)&amp;IF(INDEX('Reguler Class Availability'!$I:$I,AP47)&amp;""="","coach: –",PROPER(INDEX('Reguler Class Availability'!$I:$I,AP47)&amp;""))&amp;IF(INDEX('Reguler Class Availability'!$J:$J,AP47)&amp;""="","",CHAR(10)&amp;"asst: "&amp;PROPER(INDEX('Reguler Class Availability'!$J:$J,AP47)&amp;""))))</f>
        <v/>
      </c>
      <c r="E47" s="67" t="str">
        <f aca="false">IF(AQ47="","",IF(AY47="Tidak dibuka","–",IF(INDEX('Reguler Class Availability'!$B:$B,AQ47)&amp;""="","Kosong",PROPER(INDEX('Reguler Class Availability'!$B:$B,AQ47)&amp;""))&amp;"  "&amp;IFERROR(--(INDEX('Reguler Class Availability'!$G:$G,AQ47)&amp;""),0)&amp;"/"&amp;IFERROR(--(INDEX('Reguler Class Availability'!$F:$F,AQ47)&amp;""),0)&amp;IF(IFERROR(--(INDEX('Reguler Class Availability'!$F:$F,AQ47)&amp;""),0)&gt;0,"  ("&amp;TEXT(IFERROR(--(INDEX('Reguler Class Availability'!$G:$G,AQ47)&amp;""),0)/IFERROR(--(INDEX('Reguler Class Availability'!$F:$F,AQ47)&amp;""),0),"0%")&amp;")","")&amp;CHAR(10)&amp;IF(INDEX('Reguler Class Availability'!$I:$I,AQ47)&amp;""="","coach: –",PROPER(INDEX('Reguler Class Availability'!$I:$I,AQ47)&amp;""))&amp;IF(INDEX('Reguler Class Availability'!$J:$J,AQ47)&amp;""="","",CHAR(10)&amp;"asst: "&amp;PROPER(INDEX('Reguler Class Availability'!$J:$J,AQ47)&amp;""))))</f>
        <v/>
      </c>
      <c r="F47" s="67" t="str">
        <f aca="false">IF(AR47="","",IF(AZ47="Tidak dibuka","–",IF(INDEX('Reguler Class Availability'!$B:$B,AR47)&amp;""="","Kosong",PROPER(INDEX('Reguler Class Availability'!$B:$B,AR47)&amp;""))&amp;"  "&amp;IFERROR(--(INDEX('Reguler Class Availability'!$G:$G,AR47)&amp;""),0)&amp;"/"&amp;IFERROR(--(INDEX('Reguler Class Availability'!$F:$F,AR47)&amp;""),0)&amp;IF(IFERROR(--(INDEX('Reguler Class Availability'!$F:$F,AR47)&amp;""),0)&gt;0,"  ("&amp;TEXT(IFERROR(--(INDEX('Reguler Class Availability'!$G:$G,AR47)&amp;""),0)/IFERROR(--(INDEX('Reguler Class Availability'!$F:$F,AR47)&amp;""),0),"0%")&amp;")","")&amp;CHAR(10)&amp;IF(INDEX('Reguler Class Availability'!$I:$I,AR47)&amp;""="","coach: –",PROPER(INDEX('Reguler Class Availability'!$I:$I,AR47)&amp;""))&amp;IF(INDEX('Reguler Class Availability'!$J:$J,AR47)&amp;""="","",CHAR(10)&amp;"asst: "&amp;PROPER(INDEX('Reguler Class Availability'!$J:$J,AR47)&amp;""))))</f>
        <v/>
      </c>
      <c r="G47" s="67" t="str">
        <f aca="false">IF(AS47="","",IF(BA47="Tidak dibuka","–",IF(INDEX('Reguler Class Availability'!$B:$B,AS47)&amp;""="","Kosong",PROPER(INDEX('Reguler Class Availability'!$B:$B,AS47)&amp;""))&amp;"  "&amp;IFERROR(--(INDEX('Reguler Class Availability'!$G:$G,AS47)&amp;""),0)&amp;"/"&amp;IFERROR(--(INDEX('Reguler Class Availability'!$F:$F,AS47)&amp;""),0)&amp;IF(IFERROR(--(INDEX('Reguler Class Availability'!$F:$F,AS47)&amp;""),0)&gt;0,"  ("&amp;TEXT(IFERROR(--(INDEX('Reguler Class Availability'!$G:$G,AS47)&amp;""),0)/IFERROR(--(INDEX('Reguler Class Availability'!$F:$F,AS47)&amp;""),0),"0%")&amp;")","")&amp;CHAR(10)&amp;IF(INDEX('Reguler Class Availability'!$I:$I,AS47)&amp;""="","coach: –",PROPER(INDEX('Reguler Class Availability'!$I:$I,AS47)&amp;""))&amp;IF(INDEX('Reguler Class Availability'!$J:$J,AS47)&amp;""="","",CHAR(10)&amp;"asst: "&amp;PROPER(INDEX('Reguler Class Availability'!$J:$J,AS47)&amp;""))))</f>
        <v/>
      </c>
      <c r="H47" s="67" t="str">
        <f aca="false">IF(AT47="","",IF(BB47="Tidak dibuka","–",IF(INDEX('Reguler Class Availability'!$B:$B,AT47)&amp;""="","Kosong",PROPER(INDEX('Reguler Class Availability'!$B:$B,AT47)&amp;""))&amp;"  "&amp;IFERROR(--(INDEX('Reguler Class Availability'!$G:$G,AT47)&amp;""),0)&amp;"/"&amp;IFERROR(--(INDEX('Reguler Class Availability'!$F:$F,AT47)&amp;""),0)&amp;IF(IFERROR(--(INDEX('Reguler Class Availability'!$F:$F,AT47)&amp;""),0)&gt;0,"  ("&amp;TEXT(IFERROR(--(INDEX('Reguler Class Availability'!$G:$G,AT47)&amp;""),0)/IFERROR(--(INDEX('Reguler Class Availability'!$F:$F,AT47)&amp;""),0),"0%")&amp;")","")&amp;CHAR(10)&amp;IF(INDEX('Reguler Class Availability'!$I:$I,AT47)&amp;""="","coach: –",PROPER(INDEX('Reguler Class Availability'!$I:$I,AT47)&amp;""))&amp;IF(INDEX('Reguler Class Availability'!$J:$J,AT47)&amp;""="","",CHAR(10)&amp;"asst: "&amp;PROPER(INDEX('Reguler Class Availability'!$J:$J,AT47)&amp;""))))</f>
        <v/>
      </c>
      <c r="AN47" s="0" t="str">
        <f aca="false">IF($A47="","",IFERROR(MATCH($B$4&amp;"|- Lane 2 - "&amp;B$33&amp;"|"&amp;$A47,'Reguler Class Availability'!$L:$L,0),""))</f>
        <v/>
      </c>
      <c r="AO47" s="0" t="str">
        <f aca="false">IF($A47="","",IFERROR(MATCH($B$4&amp;"|- Lane 2 - "&amp;C$33&amp;"|"&amp;$A47,'Reguler Class Availability'!$L:$L,0),""))</f>
        <v/>
      </c>
      <c r="AP47" s="0" t="str">
        <f aca="false">IF($A47="","",IFERROR(MATCH($B$4&amp;"|- Lane 2 - "&amp;D$33&amp;"|"&amp;$A47,'Reguler Class Availability'!$L:$L,0),""))</f>
        <v/>
      </c>
      <c r="AQ47" s="0" t="str">
        <f aca="false">IF($A47="","",IFERROR(MATCH($B$4&amp;"|- Lane 2 - "&amp;E$33&amp;"|"&amp;$A47,'Reguler Class Availability'!$L:$L,0),""))</f>
        <v/>
      </c>
      <c r="AR47" s="0" t="str">
        <f aca="false">IF($A47="","",IFERROR(MATCH($B$4&amp;"|- Lane 2 - "&amp;F$33&amp;"|"&amp;$A47,'Reguler Class Availability'!$L:$L,0),""))</f>
        <v/>
      </c>
      <c r="AS47" s="0" t="str">
        <f aca="false">IF($A47="","",IFERROR(MATCH($B$4&amp;"|- Lane 2 - "&amp;G$33&amp;"|"&amp;$A47,'Reguler Class Availability'!$L:$L,0),""))</f>
        <v/>
      </c>
      <c r="AT47" s="0" t="str">
        <f aca="false">IF($A47="","",IFERROR(MATCH($B$4&amp;"|- Lane 2 - "&amp;H$33&amp;"|"&amp;$A47,'Reguler Class Availability'!$L:$L,0),""))</f>
        <v/>
      </c>
      <c r="AV47" s="0" t="str">
        <f aca="false">IF(AN47="","",IF(AND(IFERROR(--(INDEX('Reguler Class Availability'!$F:$F,AN47)&amp;""),0)=0,IFERROR(--(INDEX('Reguler Class Availability'!$G:$G,AN47)&amp;""),0)=0),IF(OR(INDEX('Reguler Class Availability'!$B:$B,AN47)&amp;""&lt;&gt;"",INDEX('Reguler Class Availability'!$I:$I,AN47)&amp;""&lt;&gt;""),"Tutup","Tidak dibuka"),IF(IFERROR(--(INDEX('Reguler Class Availability'!$G:$G,AN47)&amp;""),0)&gt;IFERROR(--(INDEX('Reguler Class Availability'!$F:$F,AN47)&amp;""),0),"Lebih",IF(IFERROR(--(INDEX('Reguler Class Availability'!$G:$G,AN47)&amp;""),0)=IFERROR(--(INDEX('Reguler Class Availability'!$F:$F,AN47)&amp;""),0),"Penuh",IF(IFERROR(--(INDEX('Reguler Class Availability'!$G:$G,AN47)&amp;""),0)=0,IF(INDEX('Reguler Class Availability'!$B:$B,AN47)&amp;""="","Kosong","Belum terisi"),IF(IFERROR(--(INDEX('Reguler Class Availability'!$G:$G,AN47)&amp;""),0)/IFERROR(--(INDEX('Reguler Class Availability'!$F:$F,AN47)&amp;""),0)&gt;=0.6,"Tinggi","Sebagian"))))))</f>
        <v/>
      </c>
      <c r="AW47" s="0" t="str">
        <f aca="false">IF(AO47="","",IF(AND(IFERROR(--(INDEX('Reguler Class Availability'!$F:$F,AO47)&amp;""),0)=0,IFERROR(--(INDEX('Reguler Class Availability'!$G:$G,AO47)&amp;""),0)=0),IF(OR(INDEX('Reguler Class Availability'!$B:$B,AO47)&amp;""&lt;&gt;"",INDEX('Reguler Class Availability'!$I:$I,AO47)&amp;""&lt;&gt;""),"Tutup","Tidak dibuka"),IF(IFERROR(--(INDEX('Reguler Class Availability'!$G:$G,AO47)&amp;""),0)&gt;IFERROR(--(INDEX('Reguler Class Availability'!$F:$F,AO47)&amp;""),0),"Lebih",IF(IFERROR(--(INDEX('Reguler Class Availability'!$G:$G,AO47)&amp;""),0)=IFERROR(--(INDEX('Reguler Class Availability'!$F:$F,AO47)&amp;""),0),"Penuh",IF(IFERROR(--(INDEX('Reguler Class Availability'!$G:$G,AO47)&amp;""),0)=0,IF(INDEX('Reguler Class Availability'!$B:$B,AO47)&amp;""="","Kosong","Belum terisi"),IF(IFERROR(--(INDEX('Reguler Class Availability'!$G:$G,AO47)&amp;""),0)/IFERROR(--(INDEX('Reguler Class Availability'!$F:$F,AO47)&amp;""),0)&gt;=0.6,"Tinggi","Sebagian"))))))</f>
        <v/>
      </c>
      <c r="AX47" s="0" t="str">
        <f aca="false">IF(AP47="","",IF(AND(IFERROR(--(INDEX('Reguler Class Availability'!$F:$F,AP47)&amp;""),0)=0,IFERROR(--(INDEX('Reguler Class Availability'!$G:$G,AP47)&amp;""),0)=0),IF(OR(INDEX('Reguler Class Availability'!$B:$B,AP47)&amp;""&lt;&gt;"",INDEX('Reguler Class Availability'!$I:$I,AP47)&amp;""&lt;&gt;""),"Tutup","Tidak dibuka"),IF(IFERROR(--(INDEX('Reguler Class Availability'!$G:$G,AP47)&amp;""),0)&gt;IFERROR(--(INDEX('Reguler Class Availability'!$F:$F,AP47)&amp;""),0),"Lebih",IF(IFERROR(--(INDEX('Reguler Class Availability'!$G:$G,AP47)&amp;""),0)=IFERROR(--(INDEX('Reguler Class Availability'!$F:$F,AP47)&amp;""),0),"Penuh",IF(IFERROR(--(INDEX('Reguler Class Availability'!$G:$G,AP47)&amp;""),0)=0,IF(INDEX('Reguler Class Availability'!$B:$B,AP47)&amp;""="","Kosong","Belum terisi"),IF(IFERROR(--(INDEX('Reguler Class Availability'!$G:$G,AP47)&amp;""),0)/IFERROR(--(INDEX('Reguler Class Availability'!$F:$F,AP47)&amp;""),0)&gt;=0.6,"Tinggi","Sebagian"))))))</f>
        <v/>
      </c>
      <c r="AY47" s="0" t="str">
        <f aca="false">IF(AQ47="","",IF(AND(IFERROR(--(INDEX('Reguler Class Availability'!$F:$F,AQ47)&amp;""),0)=0,IFERROR(--(INDEX('Reguler Class Availability'!$G:$G,AQ47)&amp;""),0)=0),IF(OR(INDEX('Reguler Class Availability'!$B:$B,AQ47)&amp;""&lt;&gt;"",INDEX('Reguler Class Availability'!$I:$I,AQ47)&amp;""&lt;&gt;""),"Tutup","Tidak dibuka"),IF(IFERROR(--(INDEX('Reguler Class Availability'!$G:$G,AQ47)&amp;""),0)&gt;IFERROR(--(INDEX('Reguler Class Availability'!$F:$F,AQ47)&amp;""),0),"Lebih",IF(IFERROR(--(INDEX('Reguler Class Availability'!$G:$G,AQ47)&amp;""),0)=IFERROR(--(INDEX('Reguler Class Availability'!$F:$F,AQ47)&amp;""),0),"Penuh",IF(IFERROR(--(INDEX('Reguler Class Availability'!$G:$G,AQ47)&amp;""),0)=0,IF(INDEX('Reguler Class Availability'!$B:$B,AQ47)&amp;""="","Kosong","Belum terisi"),IF(IFERROR(--(INDEX('Reguler Class Availability'!$G:$G,AQ47)&amp;""),0)/IFERROR(--(INDEX('Reguler Class Availability'!$F:$F,AQ47)&amp;""),0)&gt;=0.6,"Tinggi","Sebagian"))))))</f>
        <v/>
      </c>
      <c r="AZ47" s="0" t="str">
        <f aca="false">IF(AR47="","",IF(AND(IFERROR(--(INDEX('Reguler Class Availability'!$F:$F,AR47)&amp;""),0)=0,IFERROR(--(INDEX('Reguler Class Availability'!$G:$G,AR47)&amp;""),0)=0),IF(OR(INDEX('Reguler Class Availability'!$B:$B,AR47)&amp;""&lt;&gt;"",INDEX('Reguler Class Availability'!$I:$I,AR47)&amp;""&lt;&gt;""),"Tutup","Tidak dibuka"),IF(IFERROR(--(INDEX('Reguler Class Availability'!$G:$G,AR47)&amp;""),0)&gt;IFERROR(--(INDEX('Reguler Class Availability'!$F:$F,AR47)&amp;""),0),"Lebih",IF(IFERROR(--(INDEX('Reguler Class Availability'!$G:$G,AR47)&amp;""),0)=IFERROR(--(INDEX('Reguler Class Availability'!$F:$F,AR47)&amp;""),0),"Penuh",IF(IFERROR(--(INDEX('Reguler Class Availability'!$G:$G,AR47)&amp;""),0)=0,IF(INDEX('Reguler Class Availability'!$B:$B,AR47)&amp;""="","Kosong","Belum terisi"),IF(IFERROR(--(INDEX('Reguler Class Availability'!$G:$G,AR47)&amp;""),0)/IFERROR(--(INDEX('Reguler Class Availability'!$F:$F,AR47)&amp;""),0)&gt;=0.6,"Tinggi","Sebagian"))))))</f>
        <v/>
      </c>
      <c r="BA47" s="0" t="str">
        <f aca="false">IF(AS47="","",IF(AND(IFERROR(--(INDEX('Reguler Class Availability'!$F:$F,AS47)&amp;""),0)=0,IFERROR(--(INDEX('Reguler Class Availability'!$G:$G,AS47)&amp;""),0)=0),IF(OR(INDEX('Reguler Class Availability'!$B:$B,AS47)&amp;""&lt;&gt;"",INDEX('Reguler Class Availability'!$I:$I,AS47)&amp;""&lt;&gt;""),"Tutup","Tidak dibuka"),IF(IFERROR(--(INDEX('Reguler Class Availability'!$G:$G,AS47)&amp;""),0)&gt;IFERROR(--(INDEX('Reguler Class Availability'!$F:$F,AS47)&amp;""),0),"Lebih",IF(IFERROR(--(INDEX('Reguler Class Availability'!$G:$G,AS47)&amp;""),0)=IFERROR(--(INDEX('Reguler Class Availability'!$F:$F,AS47)&amp;""),0),"Penuh",IF(IFERROR(--(INDEX('Reguler Class Availability'!$G:$G,AS47)&amp;""),0)=0,IF(INDEX('Reguler Class Availability'!$B:$B,AS47)&amp;""="","Kosong","Belum terisi"),IF(IFERROR(--(INDEX('Reguler Class Availability'!$G:$G,AS47)&amp;""),0)/IFERROR(--(INDEX('Reguler Class Availability'!$F:$F,AS47)&amp;""),0)&gt;=0.6,"Tinggi","Sebagian"))))))</f>
        <v/>
      </c>
      <c r="BB47" s="0" t="str">
        <f aca="false">IF(AT47="","",IF(AND(IFERROR(--(INDEX('Reguler Class Availability'!$F:$F,AT47)&amp;""),0)=0,IFERROR(--(INDEX('Reguler Class Availability'!$G:$G,AT47)&amp;""),0)=0),IF(OR(INDEX('Reguler Class Availability'!$B:$B,AT47)&amp;""&lt;&gt;"",INDEX('Reguler Class Availability'!$I:$I,AT47)&amp;""&lt;&gt;""),"Tutup","Tidak dibuka"),IF(IFERROR(--(INDEX('Reguler Class Availability'!$G:$G,AT47)&amp;""),0)&gt;IFERROR(--(INDEX('Reguler Class Availability'!$F:$F,AT47)&amp;""),0),"Lebih",IF(IFERROR(--(INDEX('Reguler Class Availability'!$G:$G,AT47)&amp;""),0)=IFERROR(--(INDEX('Reguler Class Availability'!$F:$F,AT47)&amp;""),0),"Penuh",IF(IFERROR(--(INDEX('Reguler Class Availability'!$G:$G,AT47)&amp;""),0)=0,IF(INDEX('Reguler Class Availability'!$B:$B,AT47)&amp;""="","Kosong","Belum terisi"),IF(IFERROR(--(INDEX('Reguler Class Availability'!$G:$G,AT47)&amp;""),0)/IFERROR(--(INDEX('Reguler Class Availability'!$F:$F,AT47)&amp;""),0)&gt;=0.6,"Tinggi","Sebagian"))))))</f>
        <v/>
      </c>
      <c r="BD47" s="30" t="s">
        <v>156</v>
      </c>
      <c r="BE47" s="30" t="n">
        <f aca="false">IF(COUNTIFS('Reguler Class Availability'!$L:$L,$B$4&amp;"|- Lane 1 - *|"&amp;BD47)&gt;0,1,0)</f>
        <v>0</v>
      </c>
      <c r="BF47" s="30" t="n">
        <f aca="false">BE47+BF46</f>
        <v>13</v>
      </c>
    </row>
    <row r="48" customFormat="false" ht="15" hidden="false" customHeight="false" outlineLevel="0" collapsed="false">
      <c r="A48" s="68" t="s">
        <v>137</v>
      </c>
      <c r="B48" s="69" t="str">
        <f aca="false">IFERROR(TEXT(SUMIFS('Reguler Class Availability'!$G:$G,'Reguler Class Availability'!$A:$A,$B$4,'Reguler Class Availability'!$C:$C,"- Lane 2 - "&amp;B$33,'Reguler Class Availability'!$F:$F,"&gt;0")/SUMIFS('Reguler Class Availability'!$F:$F,'Reguler Class Availability'!$A:$A,$B$4,'Reguler Class Availability'!$C:$C,"- Lane 2 - "&amp;B$33,'Reguler Class Availability'!$F:$F,"&gt;0"),"0%"),"–")</f>
        <v>2%</v>
      </c>
      <c r="C48" s="69" t="str">
        <f aca="false">IFERROR(TEXT(SUMIFS('Reguler Class Availability'!$G:$G,'Reguler Class Availability'!$A:$A,$B$4,'Reguler Class Availability'!$C:$C,"- Lane 2 - "&amp;C$33,'Reguler Class Availability'!$F:$F,"&gt;0")/SUMIFS('Reguler Class Availability'!$F:$F,'Reguler Class Availability'!$A:$A,$B$4,'Reguler Class Availability'!$C:$C,"- Lane 2 - "&amp;C$33,'Reguler Class Availability'!$F:$F,"&gt;0"),"0%"),"–")</f>
        <v>0%</v>
      </c>
      <c r="D48" s="69" t="str">
        <f aca="false">IFERROR(TEXT(SUMIFS('Reguler Class Availability'!$G:$G,'Reguler Class Availability'!$A:$A,$B$4,'Reguler Class Availability'!$C:$C,"- Lane 2 - "&amp;D$33,'Reguler Class Availability'!$F:$F,"&gt;0")/SUMIFS('Reguler Class Availability'!$F:$F,'Reguler Class Availability'!$A:$A,$B$4,'Reguler Class Availability'!$C:$C,"- Lane 2 - "&amp;D$33,'Reguler Class Availability'!$F:$F,"&gt;0"),"0%"),"–")</f>
        <v>15%</v>
      </c>
      <c r="E48" s="69" t="str">
        <f aca="false">IFERROR(TEXT(SUMIFS('Reguler Class Availability'!$G:$G,'Reguler Class Availability'!$A:$A,$B$4,'Reguler Class Availability'!$C:$C,"- Lane 2 - "&amp;E$33,'Reguler Class Availability'!$F:$F,"&gt;0")/SUMIFS('Reguler Class Availability'!$F:$F,'Reguler Class Availability'!$A:$A,$B$4,'Reguler Class Availability'!$C:$C,"- Lane 2 - "&amp;E$33,'Reguler Class Availability'!$F:$F,"&gt;0"),"0%"),"–")</f>
        <v>8%</v>
      </c>
      <c r="F48" s="69" t="str">
        <f aca="false">IFERROR(TEXT(SUMIFS('Reguler Class Availability'!$G:$G,'Reguler Class Availability'!$A:$A,$B$4,'Reguler Class Availability'!$C:$C,"- Lane 2 - "&amp;F$33,'Reguler Class Availability'!$F:$F,"&gt;0")/SUMIFS('Reguler Class Availability'!$F:$F,'Reguler Class Availability'!$A:$A,$B$4,'Reguler Class Availability'!$C:$C,"- Lane 2 - "&amp;F$33,'Reguler Class Availability'!$F:$F,"&gt;0"),"0%"),"–")</f>
        <v>3%</v>
      </c>
      <c r="G48" s="69" t="str">
        <f aca="false">IFERROR(TEXT(SUMIFS('Reguler Class Availability'!$G:$G,'Reguler Class Availability'!$A:$A,$B$4,'Reguler Class Availability'!$C:$C,"- Lane 2 - "&amp;G$33,'Reguler Class Availability'!$F:$F,"&gt;0")/SUMIFS('Reguler Class Availability'!$F:$F,'Reguler Class Availability'!$A:$A,$B$4,'Reguler Class Availability'!$C:$C,"- Lane 2 - "&amp;G$33,'Reguler Class Availability'!$F:$F,"&gt;0"),"0%"),"–")</f>
        <v>15%</v>
      </c>
      <c r="H48" s="69" t="str">
        <f aca="false">IFERROR(TEXT(SUMIFS('Reguler Class Availability'!$G:$G,'Reguler Class Availability'!$A:$A,$B$4,'Reguler Class Availability'!$C:$C,"- Lane 2 - "&amp;H$33,'Reguler Class Availability'!$F:$F,"&gt;0")/SUMIFS('Reguler Class Availability'!$F:$F,'Reguler Class Availability'!$A:$A,$B$4,'Reguler Class Availability'!$C:$C,"- Lane 2 - "&amp;H$33,'Reguler Class Availability'!$F:$F,"&gt;0"),"0%"),"–")</f>
        <v>7%</v>
      </c>
      <c r="BD48" s="30" t="s">
        <v>157</v>
      </c>
      <c r="BE48" s="30" t="n">
        <f aca="false">IF(COUNTIFS('Reguler Class Availability'!$L:$L,$B$4&amp;"|- Lane 1 - *|"&amp;BD48)&gt;0,1,0)</f>
        <v>0</v>
      </c>
      <c r="BF48" s="30" t="n">
        <f aca="false">BE48+BF47</f>
        <v>13</v>
      </c>
    </row>
    <row r="49" customFormat="false" ht="15" hidden="false" customHeight="false" outlineLevel="0" collapsed="false">
      <c r="BD49" s="0" t="s">
        <v>158</v>
      </c>
      <c r="BE49" s="0" t="n">
        <f aca="false">IF(COUNTIFS('Reguler Class Availability'!$L:$L,$B$4&amp;"|- Lane 1 - *|"&amp;BD49)&gt;0,1,0)</f>
        <v>0</v>
      </c>
      <c r="BF49" s="0" t="n">
        <f aca="false">BE49+BF48</f>
        <v>13</v>
      </c>
    </row>
    <row r="50" customFormat="false" ht="15" hidden="false" customHeight="false" outlineLevel="0" collapsed="false">
      <c r="A50" s="61" t="s">
        <v>159</v>
      </c>
      <c r="B50" s="62"/>
      <c r="C50" s="63" t="str">
        <f aca="false">"Utilisasi lane: "&amp;IFERROR(TEXT(SUMIFS('Reguler Class Availability'!$G:$G,'Reguler Class Availability'!$A:$A,$B$4,'Reguler Class Availability'!$C:$C,"- Lane 3 - *",'Reguler Class Availability'!$F:$F,"&gt;0")/SUMIFS('Reguler Class Availability'!$F:$F,'Reguler Class Availability'!$A:$A,$B$4,'Reguler Class Availability'!$C:$C,"- Lane 3 - *",'Reguler Class Availability'!$F:$F,"&gt;0"),"0%"),"–")&amp;"   ·   Belum terisi: "&amp;COUNTIF($AV$52:$BB$65,"Belum terisi")&amp;"   ·   Slot kosong: "&amp;COUNTIF($AV$52:$BB$65,"Kosong")</f>
        <v>Utilisasi lane: 18%   ·   Belum terisi: 52   ·   Slot kosong: 0</v>
      </c>
      <c r="D50" s="62"/>
      <c r="E50" s="62"/>
      <c r="F50" s="62"/>
      <c r="G50" s="62"/>
      <c r="H50" s="62"/>
      <c r="BD50" s="30" t="s">
        <v>160</v>
      </c>
      <c r="BE50" s="30" t="n">
        <f aca="false">IF(COUNTIFS('Reguler Class Availability'!$L:$L,$B$4&amp;"|- Lane 1 - *|"&amp;BD50)&gt;0,1,0)</f>
        <v>1</v>
      </c>
      <c r="BF50" s="30" t="n">
        <f aca="false">BE50+BF49</f>
        <v>14</v>
      </c>
    </row>
    <row r="51" customFormat="false" ht="15" hidden="false" customHeight="false" outlineLevel="0" collapsed="false">
      <c r="A51" s="64" t="s">
        <v>113</v>
      </c>
      <c r="B51" s="65" t="s">
        <v>114</v>
      </c>
      <c r="C51" s="65" t="s">
        <v>115</v>
      </c>
      <c r="D51" s="65" t="s">
        <v>116</v>
      </c>
      <c r="E51" s="65" t="s">
        <v>117</v>
      </c>
      <c r="F51" s="65" t="s">
        <v>118</v>
      </c>
      <c r="G51" s="65" t="s">
        <v>119</v>
      </c>
      <c r="H51" s="65" t="s">
        <v>80</v>
      </c>
      <c r="BD51" s="30" t="s">
        <v>161</v>
      </c>
      <c r="BE51" s="30" t="n">
        <f aca="false">IF(COUNTIFS('Reguler Class Availability'!$L:$L,$B$4&amp;"|- Lane 1 - *|"&amp;BD51)&gt;0,1,0)</f>
        <v>0</v>
      </c>
      <c r="BF51" s="30" t="n">
        <f aca="false">BE51+BF50</f>
        <v>14</v>
      </c>
    </row>
    <row r="52" customFormat="false" ht="39.75" hidden="false" customHeight="true" outlineLevel="0" collapsed="false">
      <c r="A52" s="66" t="str">
        <f aca="false">IFERROR(INDEX($BD$122:$BD$181,MATCH(1,$BF$122:$BF$181,0)),"")</f>
        <v>08:15</v>
      </c>
      <c r="B52" s="67" t="str">
        <f aca="false">IF(AN52="","",IF(AV52="Tidak dibuka","–",IF(INDEX('Reguler Class Availability'!$B:$B,AN52)&amp;""="","Kosong",PROPER(INDEX('Reguler Class Availability'!$B:$B,AN52)&amp;""))&amp;"  "&amp;IFERROR(--(INDEX('Reguler Class Availability'!$G:$G,AN52)&amp;""),0)&amp;"/"&amp;IFERROR(--(INDEX('Reguler Class Availability'!$F:$F,AN52)&amp;""),0)&amp;IF(IFERROR(--(INDEX('Reguler Class Availability'!$F:$F,AN52)&amp;""),0)&gt;0,"  ("&amp;TEXT(IFERROR(--(INDEX('Reguler Class Availability'!$G:$G,AN52)&amp;""),0)/IFERROR(--(INDEX('Reguler Class Availability'!$F:$F,AN52)&amp;""),0),"0%")&amp;")","")&amp;CHAR(10)&amp;IF(INDEX('Reguler Class Availability'!$I:$I,AN52)&amp;""="","coach: –",PROPER(INDEX('Reguler Class Availability'!$I:$I,AN52)&amp;""))&amp;IF(INDEX('Reguler Class Availability'!$J:$J,AN52)&amp;""="","",CHAR(10)&amp;"asst: "&amp;PROPER(INDEX('Reguler Class Availability'!$J:$J,AN52)&amp;""))))</f>
        <v>Little  0/4  (0%)
coach: –</v>
      </c>
      <c r="C52" s="67" t="str">
        <f aca="false">IF(AO52="","",IF(AW52="Tidak dibuka","–",IF(INDEX('Reguler Class Availability'!$B:$B,AO52)&amp;""="","Kosong",PROPER(INDEX('Reguler Class Availability'!$B:$B,AO52)&amp;""))&amp;"  "&amp;IFERROR(--(INDEX('Reguler Class Availability'!$G:$G,AO52)&amp;""),0)&amp;"/"&amp;IFERROR(--(INDEX('Reguler Class Availability'!$F:$F,AO52)&amp;""),0)&amp;IF(IFERROR(--(INDEX('Reguler Class Availability'!$F:$F,AO52)&amp;""),0)&gt;0,"  ("&amp;TEXT(IFERROR(--(INDEX('Reguler Class Availability'!$G:$G,AO52)&amp;""),0)/IFERROR(--(INDEX('Reguler Class Availability'!$F:$F,AO52)&amp;""),0),"0%")&amp;")","")&amp;CHAR(10)&amp;IF(INDEX('Reguler Class Availability'!$I:$I,AO52)&amp;""="","coach: –",PROPER(INDEX('Reguler Class Availability'!$I:$I,AO52)&amp;""))&amp;IF(INDEX('Reguler Class Availability'!$J:$J,AO52)&amp;""="","",CHAR(10)&amp;"asst: "&amp;PROPER(INDEX('Reguler Class Availability'!$J:$J,AO52)&amp;""))))</f>
        <v>Little  0/4  (0%)
coach: –</v>
      </c>
      <c r="D52" s="67" t="str">
        <f aca="false">IF(AP52="","",IF(AX52="Tidak dibuka","–",IF(INDEX('Reguler Class Availability'!$B:$B,AP52)&amp;""="","Kosong",PROPER(INDEX('Reguler Class Availability'!$B:$B,AP52)&amp;""))&amp;"  "&amp;IFERROR(--(INDEX('Reguler Class Availability'!$G:$G,AP52)&amp;""),0)&amp;"/"&amp;IFERROR(--(INDEX('Reguler Class Availability'!$F:$F,AP52)&amp;""),0)&amp;IF(IFERROR(--(INDEX('Reguler Class Availability'!$F:$F,AP52)&amp;""),0)&gt;0,"  ("&amp;TEXT(IFERROR(--(INDEX('Reguler Class Availability'!$G:$G,AP52)&amp;""),0)/IFERROR(--(INDEX('Reguler Class Availability'!$F:$F,AP52)&amp;""),0),"0%")&amp;")","")&amp;CHAR(10)&amp;IF(INDEX('Reguler Class Availability'!$I:$I,AP52)&amp;""="","coach: –",PROPER(INDEX('Reguler Class Availability'!$I:$I,AP52)&amp;""))&amp;IF(INDEX('Reguler Class Availability'!$J:$J,AP52)&amp;""="","",CHAR(10)&amp;"asst: "&amp;PROPER(INDEX('Reguler Class Availability'!$J:$J,AP52)&amp;""))))</f>
        <v>Little  0/4  (0%)
coach: –</v>
      </c>
      <c r="E52" s="67" t="str">
        <f aca="false">IF(AQ52="","",IF(AY52="Tidak dibuka","–",IF(INDEX('Reguler Class Availability'!$B:$B,AQ52)&amp;""="","Kosong",PROPER(INDEX('Reguler Class Availability'!$B:$B,AQ52)&amp;""))&amp;"  "&amp;IFERROR(--(INDEX('Reguler Class Availability'!$G:$G,AQ52)&amp;""),0)&amp;"/"&amp;IFERROR(--(INDEX('Reguler Class Availability'!$F:$F,AQ52)&amp;""),0)&amp;IF(IFERROR(--(INDEX('Reguler Class Availability'!$F:$F,AQ52)&amp;""),0)&gt;0,"  ("&amp;TEXT(IFERROR(--(INDEX('Reguler Class Availability'!$G:$G,AQ52)&amp;""),0)/IFERROR(--(INDEX('Reguler Class Availability'!$F:$F,AQ52)&amp;""),0),"0%")&amp;")","")&amp;CHAR(10)&amp;IF(INDEX('Reguler Class Availability'!$I:$I,AQ52)&amp;""="","coach: –",PROPER(INDEX('Reguler Class Availability'!$I:$I,AQ52)&amp;""))&amp;IF(INDEX('Reguler Class Availability'!$J:$J,AQ52)&amp;""="","",CHAR(10)&amp;"asst: "&amp;PROPER(INDEX('Reguler Class Availability'!$J:$J,AQ52)&amp;""))))</f>
        <v>Little  0/4  (0%)
coach: –</v>
      </c>
      <c r="F52" s="67" t="str">
        <f aca="false">IF(AR52="","",IF(AZ52="Tidak dibuka","–",IF(INDEX('Reguler Class Availability'!$B:$B,AR52)&amp;""="","Kosong",PROPER(INDEX('Reguler Class Availability'!$B:$B,AR52)&amp;""))&amp;"  "&amp;IFERROR(--(INDEX('Reguler Class Availability'!$G:$G,AR52)&amp;""),0)&amp;"/"&amp;IFERROR(--(INDEX('Reguler Class Availability'!$F:$F,AR52)&amp;""),0)&amp;IF(IFERROR(--(INDEX('Reguler Class Availability'!$F:$F,AR52)&amp;""),0)&gt;0,"  ("&amp;TEXT(IFERROR(--(INDEX('Reguler Class Availability'!$G:$G,AR52)&amp;""),0)/IFERROR(--(INDEX('Reguler Class Availability'!$F:$F,AR52)&amp;""),0),"0%")&amp;")","")&amp;CHAR(10)&amp;IF(INDEX('Reguler Class Availability'!$I:$I,AR52)&amp;""="","coach: –",PROPER(INDEX('Reguler Class Availability'!$I:$I,AR52)&amp;""))&amp;IF(INDEX('Reguler Class Availability'!$J:$J,AR52)&amp;""="","",CHAR(10)&amp;"asst: "&amp;PROPER(INDEX('Reguler Class Availability'!$J:$J,AR52)&amp;""))))</f>
        <v>Little  0/4  (0%)
coach: –</v>
      </c>
      <c r="G52" s="67" t="str">
        <f aca="false">IF(AS52="","",IF(BA52="Tidak dibuka","–",IF(INDEX('Reguler Class Availability'!$B:$B,AS52)&amp;""="","Kosong",PROPER(INDEX('Reguler Class Availability'!$B:$B,AS52)&amp;""))&amp;"  "&amp;IFERROR(--(INDEX('Reguler Class Availability'!$G:$G,AS52)&amp;""),0)&amp;"/"&amp;IFERROR(--(INDEX('Reguler Class Availability'!$F:$F,AS52)&amp;""),0)&amp;IF(IFERROR(--(INDEX('Reguler Class Availability'!$F:$F,AS52)&amp;""),0)&gt;0,"  ("&amp;TEXT(IFERROR(--(INDEX('Reguler Class Availability'!$G:$G,AS52)&amp;""),0)/IFERROR(--(INDEX('Reguler Class Availability'!$F:$F,AS52)&amp;""),0),"0%")&amp;")","")&amp;CHAR(10)&amp;IF(INDEX('Reguler Class Availability'!$I:$I,AS52)&amp;""="","coach: –",PROPER(INDEX('Reguler Class Availability'!$I:$I,AS52)&amp;""))&amp;IF(INDEX('Reguler Class Availability'!$J:$J,AS52)&amp;""="","",CHAR(10)&amp;"asst: "&amp;PROPER(INDEX('Reguler Class Availability'!$J:$J,AS52)&amp;""))))</f>
        <v>Little  0/4  (0%)
coach: –</v>
      </c>
      <c r="H52" s="67" t="str">
        <f aca="false">IF(AT52="","",IF(BB52="Tidak dibuka","–",IF(INDEX('Reguler Class Availability'!$B:$B,AT52)&amp;""="","Kosong",PROPER(INDEX('Reguler Class Availability'!$B:$B,AT52)&amp;""))&amp;"  "&amp;IFERROR(--(INDEX('Reguler Class Availability'!$G:$G,AT52)&amp;""),0)&amp;"/"&amp;IFERROR(--(INDEX('Reguler Class Availability'!$F:$F,AT52)&amp;""),0)&amp;IF(IFERROR(--(INDEX('Reguler Class Availability'!$F:$F,AT52)&amp;""),0)&gt;0,"  ("&amp;TEXT(IFERROR(--(INDEX('Reguler Class Availability'!$G:$G,AT52)&amp;""),0)/IFERROR(--(INDEX('Reguler Class Availability'!$F:$F,AT52)&amp;""),0),"0%")&amp;")","")&amp;CHAR(10)&amp;IF(INDEX('Reguler Class Availability'!$I:$I,AT52)&amp;""="","coach: –",PROPER(INDEX('Reguler Class Availability'!$I:$I,AT52)&amp;""))&amp;IF(INDEX('Reguler Class Availability'!$J:$J,AT52)&amp;""="","",CHAR(10)&amp;"asst: "&amp;PROPER(INDEX('Reguler Class Availability'!$J:$J,AT52)&amp;""))))</f>
        <v>Little  0/4  (0%)
coach: –</v>
      </c>
      <c r="AN52" s="30" t="n">
        <f aca="false">IF($A52="","",IFERROR(MATCH($B$4&amp;"|- Lane 3 - "&amp;B$51&amp;"|"&amp;$A52,'Reguler Class Availability'!$L:$L,0),""))</f>
        <v>2592</v>
      </c>
      <c r="AO52" s="30" t="n">
        <f aca="false">IF($A52="","",IFERROR(MATCH($B$4&amp;"|- Lane 3 - "&amp;C$51&amp;"|"&amp;$A52,'Reguler Class Availability'!$L:$L,0),""))</f>
        <v>2604</v>
      </c>
      <c r="AP52" s="30" t="n">
        <f aca="false">IF($A52="","",IFERROR(MATCH($B$4&amp;"|- Lane 3 - "&amp;D$51&amp;"|"&amp;$A52,'Reguler Class Availability'!$L:$L,0),""))</f>
        <v>2616</v>
      </c>
      <c r="AQ52" s="30" t="n">
        <f aca="false">IF($A52="","",IFERROR(MATCH($B$4&amp;"|- Lane 3 - "&amp;E$51&amp;"|"&amp;$A52,'Reguler Class Availability'!$L:$L,0),""))</f>
        <v>2628</v>
      </c>
      <c r="AR52" s="30" t="n">
        <f aca="false">IF($A52="","",IFERROR(MATCH($B$4&amp;"|- Lane 3 - "&amp;F$51&amp;"|"&amp;$A52,'Reguler Class Availability'!$L:$L,0),""))</f>
        <v>2640</v>
      </c>
      <c r="AS52" s="30" t="n">
        <f aca="false">IF($A52="","",IFERROR(MATCH($B$4&amp;"|- Lane 3 - "&amp;G$51&amp;"|"&amp;$A52,'Reguler Class Availability'!$L:$L,0),""))</f>
        <v>2652</v>
      </c>
      <c r="AT52" s="30" t="n">
        <f aca="false">IF($A52="","",IFERROR(MATCH($B$4&amp;"|- Lane 3 - "&amp;H$51&amp;"|"&amp;$A52,'Reguler Class Availability'!$L:$L,0),""))</f>
        <v>2664</v>
      </c>
      <c r="AV52" s="0" t="str">
        <f aca="false">IF(AN52="","",IF(AND(IFERROR(--(INDEX('Reguler Class Availability'!$F:$F,AN52)&amp;""),0)=0,IFERROR(--(INDEX('Reguler Class Availability'!$G:$G,AN52)&amp;""),0)=0),IF(OR(INDEX('Reguler Class Availability'!$B:$B,AN52)&amp;""&lt;&gt;"",INDEX('Reguler Class Availability'!$I:$I,AN52)&amp;""&lt;&gt;""),"Tutup","Tidak dibuka"),IF(IFERROR(--(INDEX('Reguler Class Availability'!$G:$G,AN52)&amp;""),0)&gt;IFERROR(--(INDEX('Reguler Class Availability'!$F:$F,AN52)&amp;""),0),"Lebih",IF(IFERROR(--(INDEX('Reguler Class Availability'!$G:$G,AN52)&amp;""),0)=IFERROR(--(INDEX('Reguler Class Availability'!$F:$F,AN52)&amp;""),0),"Penuh",IF(IFERROR(--(INDEX('Reguler Class Availability'!$G:$G,AN52)&amp;""),0)=0,IF(INDEX('Reguler Class Availability'!$B:$B,AN52)&amp;""="","Kosong","Belum terisi"),IF(IFERROR(--(INDEX('Reguler Class Availability'!$G:$G,AN52)&amp;""),0)/IFERROR(--(INDEX('Reguler Class Availability'!$F:$F,AN52)&amp;""),0)&gt;=0.6,"Tinggi","Sebagian"))))))</f>
        <v>Belum terisi</v>
      </c>
      <c r="AW52" s="0" t="str">
        <f aca="false">IF(AO52="","",IF(AND(IFERROR(--(INDEX('Reguler Class Availability'!$F:$F,AO52)&amp;""),0)=0,IFERROR(--(INDEX('Reguler Class Availability'!$G:$G,AO52)&amp;""),0)=0),IF(OR(INDEX('Reguler Class Availability'!$B:$B,AO52)&amp;""&lt;&gt;"",INDEX('Reguler Class Availability'!$I:$I,AO52)&amp;""&lt;&gt;""),"Tutup","Tidak dibuka"),IF(IFERROR(--(INDEX('Reguler Class Availability'!$G:$G,AO52)&amp;""),0)&gt;IFERROR(--(INDEX('Reguler Class Availability'!$F:$F,AO52)&amp;""),0),"Lebih",IF(IFERROR(--(INDEX('Reguler Class Availability'!$G:$G,AO52)&amp;""),0)=IFERROR(--(INDEX('Reguler Class Availability'!$F:$F,AO52)&amp;""),0),"Penuh",IF(IFERROR(--(INDEX('Reguler Class Availability'!$G:$G,AO52)&amp;""),0)=0,IF(INDEX('Reguler Class Availability'!$B:$B,AO52)&amp;""="","Kosong","Belum terisi"),IF(IFERROR(--(INDEX('Reguler Class Availability'!$G:$G,AO52)&amp;""),0)/IFERROR(--(INDEX('Reguler Class Availability'!$F:$F,AO52)&amp;""),0)&gt;=0.6,"Tinggi","Sebagian"))))))</f>
        <v>Belum terisi</v>
      </c>
      <c r="AX52" s="0" t="str">
        <f aca="false">IF(AP52="","",IF(AND(IFERROR(--(INDEX('Reguler Class Availability'!$F:$F,AP52)&amp;""),0)=0,IFERROR(--(INDEX('Reguler Class Availability'!$G:$G,AP52)&amp;""),0)=0),IF(OR(INDEX('Reguler Class Availability'!$B:$B,AP52)&amp;""&lt;&gt;"",INDEX('Reguler Class Availability'!$I:$I,AP52)&amp;""&lt;&gt;""),"Tutup","Tidak dibuka"),IF(IFERROR(--(INDEX('Reguler Class Availability'!$G:$G,AP52)&amp;""),0)&gt;IFERROR(--(INDEX('Reguler Class Availability'!$F:$F,AP52)&amp;""),0),"Lebih",IF(IFERROR(--(INDEX('Reguler Class Availability'!$G:$G,AP52)&amp;""),0)=IFERROR(--(INDEX('Reguler Class Availability'!$F:$F,AP52)&amp;""),0),"Penuh",IF(IFERROR(--(INDEX('Reguler Class Availability'!$G:$G,AP52)&amp;""),0)=0,IF(INDEX('Reguler Class Availability'!$B:$B,AP52)&amp;""="","Kosong","Belum terisi"),IF(IFERROR(--(INDEX('Reguler Class Availability'!$G:$G,AP52)&amp;""),0)/IFERROR(--(INDEX('Reguler Class Availability'!$F:$F,AP52)&amp;""),0)&gt;=0.6,"Tinggi","Sebagian"))))))</f>
        <v>Belum terisi</v>
      </c>
      <c r="AY52" s="0" t="str">
        <f aca="false">IF(AQ52="","",IF(AND(IFERROR(--(INDEX('Reguler Class Availability'!$F:$F,AQ52)&amp;""),0)=0,IFERROR(--(INDEX('Reguler Class Availability'!$G:$G,AQ52)&amp;""),0)=0),IF(OR(INDEX('Reguler Class Availability'!$B:$B,AQ52)&amp;""&lt;&gt;"",INDEX('Reguler Class Availability'!$I:$I,AQ52)&amp;""&lt;&gt;""),"Tutup","Tidak dibuka"),IF(IFERROR(--(INDEX('Reguler Class Availability'!$G:$G,AQ52)&amp;""),0)&gt;IFERROR(--(INDEX('Reguler Class Availability'!$F:$F,AQ52)&amp;""),0),"Lebih",IF(IFERROR(--(INDEX('Reguler Class Availability'!$G:$G,AQ52)&amp;""),0)=IFERROR(--(INDEX('Reguler Class Availability'!$F:$F,AQ52)&amp;""),0),"Penuh",IF(IFERROR(--(INDEX('Reguler Class Availability'!$G:$G,AQ52)&amp;""),0)=0,IF(INDEX('Reguler Class Availability'!$B:$B,AQ52)&amp;""="","Kosong","Belum terisi"),IF(IFERROR(--(INDEX('Reguler Class Availability'!$G:$G,AQ52)&amp;""),0)/IFERROR(--(INDEX('Reguler Class Availability'!$F:$F,AQ52)&amp;""),0)&gt;=0.6,"Tinggi","Sebagian"))))))</f>
        <v>Belum terisi</v>
      </c>
      <c r="AZ52" s="0" t="str">
        <f aca="false">IF(AR52="","",IF(AND(IFERROR(--(INDEX('Reguler Class Availability'!$F:$F,AR52)&amp;""),0)=0,IFERROR(--(INDEX('Reguler Class Availability'!$G:$G,AR52)&amp;""),0)=0),IF(OR(INDEX('Reguler Class Availability'!$B:$B,AR52)&amp;""&lt;&gt;"",INDEX('Reguler Class Availability'!$I:$I,AR52)&amp;""&lt;&gt;""),"Tutup","Tidak dibuka"),IF(IFERROR(--(INDEX('Reguler Class Availability'!$G:$G,AR52)&amp;""),0)&gt;IFERROR(--(INDEX('Reguler Class Availability'!$F:$F,AR52)&amp;""),0),"Lebih",IF(IFERROR(--(INDEX('Reguler Class Availability'!$G:$G,AR52)&amp;""),0)=IFERROR(--(INDEX('Reguler Class Availability'!$F:$F,AR52)&amp;""),0),"Penuh",IF(IFERROR(--(INDEX('Reguler Class Availability'!$G:$G,AR52)&amp;""),0)=0,IF(INDEX('Reguler Class Availability'!$B:$B,AR52)&amp;""="","Kosong","Belum terisi"),IF(IFERROR(--(INDEX('Reguler Class Availability'!$G:$G,AR52)&amp;""),0)/IFERROR(--(INDEX('Reguler Class Availability'!$F:$F,AR52)&amp;""),0)&gt;=0.6,"Tinggi","Sebagian"))))))</f>
        <v>Belum terisi</v>
      </c>
      <c r="BA52" s="0" t="str">
        <f aca="false">IF(AS52="","",IF(AND(IFERROR(--(INDEX('Reguler Class Availability'!$F:$F,AS52)&amp;""),0)=0,IFERROR(--(INDEX('Reguler Class Availability'!$G:$G,AS52)&amp;""),0)=0),IF(OR(INDEX('Reguler Class Availability'!$B:$B,AS52)&amp;""&lt;&gt;"",INDEX('Reguler Class Availability'!$I:$I,AS52)&amp;""&lt;&gt;""),"Tutup","Tidak dibuka"),IF(IFERROR(--(INDEX('Reguler Class Availability'!$G:$G,AS52)&amp;""),0)&gt;IFERROR(--(INDEX('Reguler Class Availability'!$F:$F,AS52)&amp;""),0),"Lebih",IF(IFERROR(--(INDEX('Reguler Class Availability'!$G:$G,AS52)&amp;""),0)=IFERROR(--(INDEX('Reguler Class Availability'!$F:$F,AS52)&amp;""),0),"Penuh",IF(IFERROR(--(INDEX('Reguler Class Availability'!$G:$G,AS52)&amp;""),0)=0,IF(INDEX('Reguler Class Availability'!$B:$B,AS52)&amp;""="","Kosong","Belum terisi"),IF(IFERROR(--(INDEX('Reguler Class Availability'!$G:$G,AS52)&amp;""),0)/IFERROR(--(INDEX('Reguler Class Availability'!$F:$F,AS52)&amp;""),0)&gt;=0.6,"Tinggi","Sebagian"))))))</f>
        <v>Belum terisi</v>
      </c>
      <c r="BB52" s="0" t="str">
        <f aca="false">IF(AT52="","",IF(AND(IFERROR(--(INDEX('Reguler Class Availability'!$F:$F,AT52)&amp;""),0)=0,IFERROR(--(INDEX('Reguler Class Availability'!$G:$G,AT52)&amp;""),0)=0),IF(OR(INDEX('Reguler Class Availability'!$B:$B,AT52)&amp;""&lt;&gt;"",INDEX('Reguler Class Availability'!$I:$I,AT52)&amp;""&lt;&gt;""),"Tutup","Tidak dibuka"),IF(IFERROR(--(INDEX('Reguler Class Availability'!$G:$G,AT52)&amp;""),0)&gt;IFERROR(--(INDEX('Reguler Class Availability'!$F:$F,AT52)&amp;""),0),"Lebih",IF(IFERROR(--(INDEX('Reguler Class Availability'!$G:$G,AT52)&amp;""),0)=IFERROR(--(INDEX('Reguler Class Availability'!$F:$F,AT52)&amp;""),0),"Penuh",IF(IFERROR(--(INDEX('Reguler Class Availability'!$G:$G,AT52)&amp;""),0)=0,IF(INDEX('Reguler Class Availability'!$B:$B,AT52)&amp;""="","Kosong","Belum terisi"),IF(IFERROR(--(INDEX('Reguler Class Availability'!$G:$G,AT52)&amp;""),0)/IFERROR(--(INDEX('Reguler Class Availability'!$F:$F,AT52)&amp;""),0)&gt;=0.6,"Tinggi","Sebagian"))))))</f>
        <v>Belum terisi</v>
      </c>
      <c r="BD52" s="30" t="s">
        <v>162</v>
      </c>
      <c r="BE52" s="30" t="n">
        <f aca="false">IF(COUNTIFS('Reguler Class Availability'!$L:$L,$B$4&amp;"|- Lane 1 - *|"&amp;BD52)&gt;0,1,0)</f>
        <v>0</v>
      </c>
      <c r="BF52" s="30" t="n">
        <f aca="false">BE52+BF51</f>
        <v>14</v>
      </c>
    </row>
    <row r="53" customFormat="false" ht="39.75" hidden="false" customHeight="true" outlineLevel="0" collapsed="false">
      <c r="A53" s="66" t="str">
        <f aca="false">IFERROR(INDEX($BD$122:$BD$181,MATCH(2,$BF$122:$BF$181,0)),"")</f>
        <v>09:00</v>
      </c>
      <c r="B53" s="67" t="str">
        <f aca="false">IF(AN53="","",IF(AV53="Tidak dibuka","–",IF(INDEX('Reguler Class Availability'!$B:$B,AN53)&amp;""="","Kosong",PROPER(INDEX('Reguler Class Availability'!$B:$B,AN53)&amp;""))&amp;"  "&amp;IFERROR(--(INDEX('Reguler Class Availability'!$G:$G,AN53)&amp;""),0)&amp;"/"&amp;IFERROR(--(INDEX('Reguler Class Availability'!$F:$F,AN53)&amp;""),0)&amp;IF(IFERROR(--(INDEX('Reguler Class Availability'!$F:$F,AN53)&amp;""),0)&gt;0,"  ("&amp;TEXT(IFERROR(--(INDEX('Reguler Class Availability'!$G:$G,AN53)&amp;""),0)/IFERROR(--(INDEX('Reguler Class Availability'!$F:$F,AN53)&amp;""),0),"0%")&amp;")","")&amp;CHAR(10)&amp;IF(INDEX('Reguler Class Availability'!$I:$I,AN53)&amp;""="","coach: –",PROPER(INDEX('Reguler Class Availability'!$I:$I,AN53)&amp;""))&amp;IF(INDEX('Reguler Class Availability'!$J:$J,AN53)&amp;""="","",CHAR(10)&amp;"asst: "&amp;PROPER(INDEX('Reguler Class Availability'!$J:$J,AN53)&amp;""))))</f>
        <v>Little  0/4  (0%)
coach: –</v>
      </c>
      <c r="C53" s="67" t="str">
        <f aca="false">IF(AO53="","",IF(AW53="Tidak dibuka","–",IF(INDEX('Reguler Class Availability'!$B:$B,AO53)&amp;""="","Kosong",PROPER(INDEX('Reguler Class Availability'!$B:$B,AO53)&amp;""))&amp;"  "&amp;IFERROR(--(INDEX('Reguler Class Availability'!$G:$G,AO53)&amp;""),0)&amp;"/"&amp;IFERROR(--(INDEX('Reguler Class Availability'!$F:$F,AO53)&amp;""),0)&amp;IF(IFERROR(--(INDEX('Reguler Class Availability'!$F:$F,AO53)&amp;""),0)&gt;0,"  ("&amp;TEXT(IFERROR(--(INDEX('Reguler Class Availability'!$G:$G,AO53)&amp;""),0)/IFERROR(--(INDEX('Reguler Class Availability'!$F:$F,AO53)&amp;""),0),"0%")&amp;")","")&amp;CHAR(10)&amp;IF(INDEX('Reguler Class Availability'!$I:$I,AO53)&amp;""="","coach: –",PROPER(INDEX('Reguler Class Availability'!$I:$I,AO53)&amp;""))&amp;IF(INDEX('Reguler Class Availability'!$J:$J,AO53)&amp;""="","",CHAR(10)&amp;"asst: "&amp;PROPER(INDEX('Reguler Class Availability'!$J:$J,AO53)&amp;""))))</f>
        <v>Little  0/4  (0%)
coach: –</v>
      </c>
      <c r="D53" s="67" t="str">
        <f aca="false">IF(AP53="","",IF(AX53="Tidak dibuka","–",IF(INDEX('Reguler Class Availability'!$B:$B,AP53)&amp;""="","Kosong",PROPER(INDEX('Reguler Class Availability'!$B:$B,AP53)&amp;""))&amp;"  "&amp;IFERROR(--(INDEX('Reguler Class Availability'!$G:$G,AP53)&amp;""),0)&amp;"/"&amp;IFERROR(--(INDEX('Reguler Class Availability'!$F:$F,AP53)&amp;""),0)&amp;IF(IFERROR(--(INDEX('Reguler Class Availability'!$F:$F,AP53)&amp;""),0)&gt;0,"  ("&amp;TEXT(IFERROR(--(INDEX('Reguler Class Availability'!$G:$G,AP53)&amp;""),0)/IFERROR(--(INDEX('Reguler Class Availability'!$F:$F,AP53)&amp;""),0),"0%")&amp;")","")&amp;CHAR(10)&amp;IF(INDEX('Reguler Class Availability'!$I:$I,AP53)&amp;""="","coach: –",PROPER(INDEX('Reguler Class Availability'!$I:$I,AP53)&amp;""))&amp;IF(INDEX('Reguler Class Availability'!$J:$J,AP53)&amp;""="","",CHAR(10)&amp;"asst: "&amp;PROPER(INDEX('Reguler Class Availability'!$J:$J,AP53)&amp;""))))</f>
        <v>Little  0/4  (0%)
coach: –</v>
      </c>
      <c r="E53" s="67" t="str">
        <f aca="false">IF(AQ53="","",IF(AY53="Tidak dibuka","–",IF(INDEX('Reguler Class Availability'!$B:$B,AQ53)&amp;""="","Kosong",PROPER(INDEX('Reguler Class Availability'!$B:$B,AQ53)&amp;""))&amp;"  "&amp;IFERROR(--(INDEX('Reguler Class Availability'!$G:$G,AQ53)&amp;""),0)&amp;"/"&amp;IFERROR(--(INDEX('Reguler Class Availability'!$F:$F,AQ53)&amp;""),0)&amp;IF(IFERROR(--(INDEX('Reguler Class Availability'!$F:$F,AQ53)&amp;""),0)&gt;0,"  ("&amp;TEXT(IFERROR(--(INDEX('Reguler Class Availability'!$G:$G,AQ53)&amp;""),0)/IFERROR(--(INDEX('Reguler Class Availability'!$F:$F,AQ53)&amp;""),0),"0%")&amp;")","")&amp;CHAR(10)&amp;IF(INDEX('Reguler Class Availability'!$I:$I,AQ53)&amp;""="","coach: –",PROPER(INDEX('Reguler Class Availability'!$I:$I,AQ53)&amp;""))&amp;IF(INDEX('Reguler Class Availability'!$J:$J,AQ53)&amp;""="","",CHAR(10)&amp;"asst: "&amp;PROPER(INDEX('Reguler Class Availability'!$J:$J,AQ53)&amp;""))))</f>
        <v>Little  0/4  (0%)
coach: –</v>
      </c>
      <c r="F53" s="67" t="str">
        <f aca="false">IF(AR53="","",IF(AZ53="Tidak dibuka","–",IF(INDEX('Reguler Class Availability'!$B:$B,AR53)&amp;""="","Kosong",PROPER(INDEX('Reguler Class Availability'!$B:$B,AR53)&amp;""))&amp;"  "&amp;IFERROR(--(INDEX('Reguler Class Availability'!$G:$G,AR53)&amp;""),0)&amp;"/"&amp;IFERROR(--(INDEX('Reguler Class Availability'!$F:$F,AR53)&amp;""),0)&amp;IF(IFERROR(--(INDEX('Reguler Class Availability'!$F:$F,AR53)&amp;""),0)&gt;0,"  ("&amp;TEXT(IFERROR(--(INDEX('Reguler Class Availability'!$G:$G,AR53)&amp;""),0)/IFERROR(--(INDEX('Reguler Class Availability'!$F:$F,AR53)&amp;""),0),"0%")&amp;")","")&amp;CHAR(10)&amp;IF(INDEX('Reguler Class Availability'!$I:$I,AR53)&amp;""="","coach: –",PROPER(INDEX('Reguler Class Availability'!$I:$I,AR53)&amp;""))&amp;IF(INDEX('Reguler Class Availability'!$J:$J,AR53)&amp;""="","",CHAR(10)&amp;"asst: "&amp;PROPER(INDEX('Reguler Class Availability'!$J:$J,AR53)&amp;""))))</f>
        <v>Little  0/4  (0%)
coach: –</v>
      </c>
      <c r="G53" s="67" t="str">
        <f aca="false">IF(AS53="","",IF(BA53="Tidak dibuka","–",IF(INDEX('Reguler Class Availability'!$B:$B,AS53)&amp;""="","Kosong",PROPER(INDEX('Reguler Class Availability'!$B:$B,AS53)&amp;""))&amp;"  "&amp;IFERROR(--(INDEX('Reguler Class Availability'!$G:$G,AS53)&amp;""),0)&amp;"/"&amp;IFERROR(--(INDEX('Reguler Class Availability'!$F:$F,AS53)&amp;""),0)&amp;IF(IFERROR(--(INDEX('Reguler Class Availability'!$F:$F,AS53)&amp;""),0)&gt;0,"  ("&amp;TEXT(IFERROR(--(INDEX('Reguler Class Availability'!$G:$G,AS53)&amp;""),0)/IFERROR(--(INDEX('Reguler Class Availability'!$F:$F,AS53)&amp;""),0),"0%")&amp;")","")&amp;CHAR(10)&amp;IF(INDEX('Reguler Class Availability'!$I:$I,AS53)&amp;""="","coach: –",PROPER(INDEX('Reguler Class Availability'!$I:$I,AS53)&amp;""))&amp;IF(INDEX('Reguler Class Availability'!$J:$J,AS53)&amp;""="","",CHAR(10)&amp;"asst: "&amp;PROPER(INDEX('Reguler Class Availability'!$J:$J,AS53)&amp;""))))</f>
        <v>Little  4/4  (100%)
Silvi</v>
      </c>
      <c r="H53" s="67" t="str">
        <f aca="false">IF(AT53="","",IF(BB53="Tidak dibuka","–",IF(INDEX('Reguler Class Availability'!$B:$B,AT53)&amp;""="","Kosong",PROPER(INDEX('Reguler Class Availability'!$B:$B,AT53)&amp;""))&amp;"  "&amp;IFERROR(--(INDEX('Reguler Class Availability'!$G:$G,AT53)&amp;""),0)&amp;"/"&amp;IFERROR(--(INDEX('Reguler Class Availability'!$F:$F,AT53)&amp;""),0)&amp;IF(IFERROR(--(INDEX('Reguler Class Availability'!$F:$F,AT53)&amp;""),0)&gt;0,"  ("&amp;TEXT(IFERROR(--(INDEX('Reguler Class Availability'!$G:$G,AT53)&amp;""),0)/IFERROR(--(INDEX('Reguler Class Availability'!$F:$F,AT53)&amp;""),0),"0%")&amp;")","")&amp;CHAR(10)&amp;IF(INDEX('Reguler Class Availability'!$I:$I,AT53)&amp;""="","coach: –",PROPER(INDEX('Reguler Class Availability'!$I:$I,AT53)&amp;""))&amp;IF(INDEX('Reguler Class Availability'!$J:$J,AT53)&amp;""="","",CHAR(10)&amp;"asst: "&amp;PROPER(INDEX('Reguler Class Availability'!$J:$J,AT53)&amp;""))))</f>
        <v>Little  3/4  (75%)
Silvi</v>
      </c>
      <c r="AN53" s="30" t="n">
        <f aca="false">IF($A53="","",IFERROR(MATCH($B$4&amp;"|- Lane 3 - "&amp;B$51&amp;"|"&amp;$A53,'Reguler Class Availability'!$L:$L,0),""))</f>
        <v>2593</v>
      </c>
      <c r="AO53" s="30" t="n">
        <f aca="false">IF($A53="","",IFERROR(MATCH($B$4&amp;"|- Lane 3 - "&amp;C$51&amp;"|"&amp;$A53,'Reguler Class Availability'!$L:$L,0),""))</f>
        <v>2605</v>
      </c>
      <c r="AP53" s="30" t="n">
        <f aca="false">IF($A53="","",IFERROR(MATCH($B$4&amp;"|- Lane 3 - "&amp;D$51&amp;"|"&amp;$A53,'Reguler Class Availability'!$L:$L,0),""))</f>
        <v>2617</v>
      </c>
      <c r="AQ53" s="30" t="n">
        <f aca="false">IF($A53="","",IFERROR(MATCH($B$4&amp;"|- Lane 3 - "&amp;E$51&amp;"|"&amp;$A53,'Reguler Class Availability'!$L:$L,0),""))</f>
        <v>2629</v>
      </c>
      <c r="AR53" s="30" t="n">
        <f aca="false">IF($A53="","",IFERROR(MATCH($B$4&amp;"|- Lane 3 - "&amp;F$51&amp;"|"&amp;$A53,'Reguler Class Availability'!$L:$L,0),""))</f>
        <v>2641</v>
      </c>
      <c r="AS53" s="30" t="n">
        <f aca="false">IF($A53="","",IFERROR(MATCH($B$4&amp;"|- Lane 3 - "&amp;G$51&amp;"|"&amp;$A53,'Reguler Class Availability'!$L:$L,0),""))</f>
        <v>2653</v>
      </c>
      <c r="AT53" s="30" t="n">
        <f aca="false">IF($A53="","",IFERROR(MATCH($B$4&amp;"|- Lane 3 - "&amp;H$51&amp;"|"&amp;$A53,'Reguler Class Availability'!$L:$L,0),""))</f>
        <v>2665</v>
      </c>
      <c r="AV53" s="0" t="str">
        <f aca="false">IF(AN53="","",IF(AND(IFERROR(--(INDEX('Reguler Class Availability'!$F:$F,AN53)&amp;""),0)=0,IFERROR(--(INDEX('Reguler Class Availability'!$G:$G,AN53)&amp;""),0)=0),IF(OR(INDEX('Reguler Class Availability'!$B:$B,AN53)&amp;""&lt;&gt;"",INDEX('Reguler Class Availability'!$I:$I,AN53)&amp;""&lt;&gt;""),"Tutup","Tidak dibuka"),IF(IFERROR(--(INDEX('Reguler Class Availability'!$G:$G,AN53)&amp;""),0)&gt;IFERROR(--(INDEX('Reguler Class Availability'!$F:$F,AN53)&amp;""),0),"Lebih",IF(IFERROR(--(INDEX('Reguler Class Availability'!$G:$G,AN53)&amp;""),0)=IFERROR(--(INDEX('Reguler Class Availability'!$F:$F,AN53)&amp;""),0),"Penuh",IF(IFERROR(--(INDEX('Reguler Class Availability'!$G:$G,AN53)&amp;""),0)=0,IF(INDEX('Reguler Class Availability'!$B:$B,AN53)&amp;""="","Kosong","Belum terisi"),IF(IFERROR(--(INDEX('Reguler Class Availability'!$G:$G,AN53)&amp;""),0)/IFERROR(--(INDEX('Reguler Class Availability'!$F:$F,AN53)&amp;""),0)&gt;=0.6,"Tinggi","Sebagian"))))))</f>
        <v>Belum terisi</v>
      </c>
      <c r="AW53" s="0" t="str">
        <f aca="false">IF(AO53="","",IF(AND(IFERROR(--(INDEX('Reguler Class Availability'!$F:$F,AO53)&amp;""),0)=0,IFERROR(--(INDEX('Reguler Class Availability'!$G:$G,AO53)&amp;""),0)=0),IF(OR(INDEX('Reguler Class Availability'!$B:$B,AO53)&amp;""&lt;&gt;"",INDEX('Reguler Class Availability'!$I:$I,AO53)&amp;""&lt;&gt;""),"Tutup","Tidak dibuka"),IF(IFERROR(--(INDEX('Reguler Class Availability'!$G:$G,AO53)&amp;""),0)&gt;IFERROR(--(INDEX('Reguler Class Availability'!$F:$F,AO53)&amp;""),0),"Lebih",IF(IFERROR(--(INDEX('Reguler Class Availability'!$G:$G,AO53)&amp;""),0)=IFERROR(--(INDEX('Reguler Class Availability'!$F:$F,AO53)&amp;""),0),"Penuh",IF(IFERROR(--(INDEX('Reguler Class Availability'!$G:$G,AO53)&amp;""),0)=0,IF(INDEX('Reguler Class Availability'!$B:$B,AO53)&amp;""="","Kosong","Belum terisi"),IF(IFERROR(--(INDEX('Reguler Class Availability'!$G:$G,AO53)&amp;""),0)/IFERROR(--(INDEX('Reguler Class Availability'!$F:$F,AO53)&amp;""),0)&gt;=0.6,"Tinggi","Sebagian"))))))</f>
        <v>Belum terisi</v>
      </c>
      <c r="AX53" s="0" t="str">
        <f aca="false">IF(AP53="","",IF(AND(IFERROR(--(INDEX('Reguler Class Availability'!$F:$F,AP53)&amp;""),0)=0,IFERROR(--(INDEX('Reguler Class Availability'!$G:$G,AP53)&amp;""),0)=0),IF(OR(INDEX('Reguler Class Availability'!$B:$B,AP53)&amp;""&lt;&gt;"",INDEX('Reguler Class Availability'!$I:$I,AP53)&amp;""&lt;&gt;""),"Tutup","Tidak dibuka"),IF(IFERROR(--(INDEX('Reguler Class Availability'!$G:$G,AP53)&amp;""),0)&gt;IFERROR(--(INDEX('Reguler Class Availability'!$F:$F,AP53)&amp;""),0),"Lebih",IF(IFERROR(--(INDEX('Reguler Class Availability'!$G:$G,AP53)&amp;""),0)=IFERROR(--(INDEX('Reguler Class Availability'!$F:$F,AP53)&amp;""),0),"Penuh",IF(IFERROR(--(INDEX('Reguler Class Availability'!$G:$G,AP53)&amp;""),0)=0,IF(INDEX('Reguler Class Availability'!$B:$B,AP53)&amp;""="","Kosong","Belum terisi"),IF(IFERROR(--(INDEX('Reguler Class Availability'!$G:$G,AP53)&amp;""),0)/IFERROR(--(INDEX('Reguler Class Availability'!$F:$F,AP53)&amp;""),0)&gt;=0.6,"Tinggi","Sebagian"))))))</f>
        <v>Belum terisi</v>
      </c>
      <c r="AY53" s="0" t="str">
        <f aca="false">IF(AQ53="","",IF(AND(IFERROR(--(INDEX('Reguler Class Availability'!$F:$F,AQ53)&amp;""),0)=0,IFERROR(--(INDEX('Reguler Class Availability'!$G:$G,AQ53)&amp;""),0)=0),IF(OR(INDEX('Reguler Class Availability'!$B:$B,AQ53)&amp;""&lt;&gt;"",INDEX('Reguler Class Availability'!$I:$I,AQ53)&amp;""&lt;&gt;""),"Tutup","Tidak dibuka"),IF(IFERROR(--(INDEX('Reguler Class Availability'!$G:$G,AQ53)&amp;""),0)&gt;IFERROR(--(INDEX('Reguler Class Availability'!$F:$F,AQ53)&amp;""),0),"Lebih",IF(IFERROR(--(INDEX('Reguler Class Availability'!$G:$G,AQ53)&amp;""),0)=IFERROR(--(INDEX('Reguler Class Availability'!$F:$F,AQ53)&amp;""),0),"Penuh",IF(IFERROR(--(INDEX('Reguler Class Availability'!$G:$G,AQ53)&amp;""),0)=0,IF(INDEX('Reguler Class Availability'!$B:$B,AQ53)&amp;""="","Kosong","Belum terisi"),IF(IFERROR(--(INDEX('Reguler Class Availability'!$G:$G,AQ53)&amp;""),0)/IFERROR(--(INDEX('Reguler Class Availability'!$F:$F,AQ53)&amp;""),0)&gt;=0.6,"Tinggi","Sebagian"))))))</f>
        <v>Belum terisi</v>
      </c>
      <c r="AZ53" s="0" t="str">
        <f aca="false">IF(AR53="","",IF(AND(IFERROR(--(INDEX('Reguler Class Availability'!$F:$F,AR53)&amp;""),0)=0,IFERROR(--(INDEX('Reguler Class Availability'!$G:$G,AR53)&amp;""),0)=0),IF(OR(INDEX('Reguler Class Availability'!$B:$B,AR53)&amp;""&lt;&gt;"",INDEX('Reguler Class Availability'!$I:$I,AR53)&amp;""&lt;&gt;""),"Tutup","Tidak dibuka"),IF(IFERROR(--(INDEX('Reguler Class Availability'!$G:$G,AR53)&amp;""),0)&gt;IFERROR(--(INDEX('Reguler Class Availability'!$F:$F,AR53)&amp;""),0),"Lebih",IF(IFERROR(--(INDEX('Reguler Class Availability'!$G:$G,AR53)&amp;""),0)=IFERROR(--(INDEX('Reguler Class Availability'!$F:$F,AR53)&amp;""),0),"Penuh",IF(IFERROR(--(INDEX('Reguler Class Availability'!$G:$G,AR53)&amp;""),0)=0,IF(INDEX('Reguler Class Availability'!$B:$B,AR53)&amp;""="","Kosong","Belum terisi"),IF(IFERROR(--(INDEX('Reguler Class Availability'!$G:$G,AR53)&amp;""),0)/IFERROR(--(INDEX('Reguler Class Availability'!$F:$F,AR53)&amp;""),0)&gt;=0.6,"Tinggi","Sebagian"))))))</f>
        <v>Belum terisi</v>
      </c>
      <c r="BA53" s="0" t="str">
        <f aca="false">IF(AS53="","",IF(AND(IFERROR(--(INDEX('Reguler Class Availability'!$F:$F,AS53)&amp;""),0)=0,IFERROR(--(INDEX('Reguler Class Availability'!$G:$G,AS53)&amp;""),0)=0),IF(OR(INDEX('Reguler Class Availability'!$B:$B,AS53)&amp;""&lt;&gt;"",INDEX('Reguler Class Availability'!$I:$I,AS53)&amp;""&lt;&gt;""),"Tutup","Tidak dibuka"),IF(IFERROR(--(INDEX('Reguler Class Availability'!$G:$G,AS53)&amp;""),0)&gt;IFERROR(--(INDEX('Reguler Class Availability'!$F:$F,AS53)&amp;""),0),"Lebih",IF(IFERROR(--(INDEX('Reguler Class Availability'!$G:$G,AS53)&amp;""),0)=IFERROR(--(INDEX('Reguler Class Availability'!$F:$F,AS53)&amp;""),0),"Penuh",IF(IFERROR(--(INDEX('Reguler Class Availability'!$G:$G,AS53)&amp;""),0)=0,IF(INDEX('Reguler Class Availability'!$B:$B,AS53)&amp;""="","Kosong","Belum terisi"),IF(IFERROR(--(INDEX('Reguler Class Availability'!$G:$G,AS53)&amp;""),0)/IFERROR(--(INDEX('Reguler Class Availability'!$F:$F,AS53)&amp;""),0)&gt;=0.6,"Tinggi","Sebagian"))))))</f>
        <v>Penuh</v>
      </c>
      <c r="BB53" s="0" t="str">
        <f aca="false">IF(AT53="","",IF(AND(IFERROR(--(INDEX('Reguler Class Availability'!$F:$F,AT53)&amp;""),0)=0,IFERROR(--(INDEX('Reguler Class Availability'!$G:$G,AT53)&amp;""),0)=0),IF(OR(INDEX('Reguler Class Availability'!$B:$B,AT53)&amp;""&lt;&gt;"",INDEX('Reguler Class Availability'!$I:$I,AT53)&amp;""&lt;&gt;""),"Tutup","Tidak dibuka"),IF(IFERROR(--(INDEX('Reguler Class Availability'!$G:$G,AT53)&amp;""),0)&gt;IFERROR(--(INDEX('Reguler Class Availability'!$F:$F,AT53)&amp;""),0),"Lebih",IF(IFERROR(--(INDEX('Reguler Class Availability'!$G:$G,AT53)&amp;""),0)=IFERROR(--(INDEX('Reguler Class Availability'!$F:$F,AT53)&amp;""),0),"Penuh",IF(IFERROR(--(INDEX('Reguler Class Availability'!$G:$G,AT53)&amp;""),0)=0,IF(INDEX('Reguler Class Availability'!$B:$B,AT53)&amp;""="","Kosong","Belum terisi"),IF(IFERROR(--(INDEX('Reguler Class Availability'!$G:$G,AT53)&amp;""),0)/IFERROR(--(INDEX('Reguler Class Availability'!$F:$F,AT53)&amp;""),0)&gt;=0.6,"Tinggi","Sebagian"))))))</f>
        <v>Tinggi</v>
      </c>
      <c r="BD53" s="30" t="s">
        <v>163</v>
      </c>
      <c r="BE53" s="30" t="n">
        <f aca="false">IF(COUNTIFS('Reguler Class Availability'!$L:$L,$B$4&amp;"|- Lane 1 - *|"&amp;BD53)&gt;0,1,0)</f>
        <v>0</v>
      </c>
      <c r="BF53" s="30" t="n">
        <f aca="false">BE53+BF52</f>
        <v>14</v>
      </c>
    </row>
    <row r="54" customFormat="false" ht="39.75" hidden="false" customHeight="true" outlineLevel="0" collapsed="false">
      <c r="A54" s="66" t="str">
        <f aca="false">IFERROR(INDEX($BD$122:$BD$181,MATCH(3,$BF$122:$BF$181,0)),"")</f>
        <v>09:45</v>
      </c>
      <c r="B54" s="67" t="str">
        <f aca="false">IF(AN54="","",IF(AV54="Tidak dibuka","–",IF(INDEX('Reguler Class Availability'!$B:$B,AN54)&amp;""="","Kosong",PROPER(INDEX('Reguler Class Availability'!$B:$B,AN54)&amp;""))&amp;"  "&amp;IFERROR(--(INDEX('Reguler Class Availability'!$G:$G,AN54)&amp;""),0)&amp;"/"&amp;IFERROR(--(INDEX('Reguler Class Availability'!$F:$F,AN54)&amp;""),0)&amp;IF(IFERROR(--(INDEX('Reguler Class Availability'!$F:$F,AN54)&amp;""),0)&gt;0,"  ("&amp;TEXT(IFERROR(--(INDEX('Reguler Class Availability'!$G:$G,AN54)&amp;""),0)/IFERROR(--(INDEX('Reguler Class Availability'!$F:$F,AN54)&amp;""),0),"0%")&amp;")","")&amp;CHAR(10)&amp;IF(INDEX('Reguler Class Availability'!$I:$I,AN54)&amp;""="","coach: –",PROPER(INDEX('Reguler Class Availability'!$I:$I,AN54)&amp;""))&amp;IF(INDEX('Reguler Class Availability'!$J:$J,AN54)&amp;""="","",CHAR(10)&amp;"asst: "&amp;PROPER(INDEX('Reguler Class Availability'!$J:$J,AN54)&amp;""))))</f>
        <v>Little  1/4  (25%)
Silvi</v>
      </c>
      <c r="C54" s="67" t="str">
        <f aca="false">IF(AO54="","",IF(AW54="Tidak dibuka","–",IF(INDEX('Reguler Class Availability'!$B:$B,AO54)&amp;""="","Kosong",PROPER(INDEX('Reguler Class Availability'!$B:$B,AO54)&amp;""))&amp;"  "&amp;IFERROR(--(INDEX('Reguler Class Availability'!$G:$G,AO54)&amp;""),0)&amp;"/"&amp;IFERROR(--(INDEX('Reguler Class Availability'!$F:$F,AO54)&amp;""),0)&amp;IF(IFERROR(--(INDEX('Reguler Class Availability'!$F:$F,AO54)&amp;""),0)&gt;0,"  ("&amp;TEXT(IFERROR(--(INDEX('Reguler Class Availability'!$G:$G,AO54)&amp;""),0)/IFERROR(--(INDEX('Reguler Class Availability'!$F:$F,AO54)&amp;""),0),"0%")&amp;")","")&amp;CHAR(10)&amp;IF(INDEX('Reguler Class Availability'!$I:$I,AO54)&amp;""="","coach: –",PROPER(INDEX('Reguler Class Availability'!$I:$I,AO54)&amp;""))&amp;IF(INDEX('Reguler Class Availability'!$J:$J,AO54)&amp;""="","",CHAR(10)&amp;"asst: "&amp;PROPER(INDEX('Reguler Class Availability'!$J:$J,AO54)&amp;""))))</f>
        <v>Little  3/4  (75%)
Angga</v>
      </c>
      <c r="D54" s="67" t="str">
        <f aca="false">IF(AP54="","",IF(AX54="Tidak dibuka","–",IF(INDEX('Reguler Class Availability'!$B:$B,AP54)&amp;""="","Kosong",PROPER(INDEX('Reguler Class Availability'!$B:$B,AP54)&amp;""))&amp;"  "&amp;IFERROR(--(INDEX('Reguler Class Availability'!$G:$G,AP54)&amp;""),0)&amp;"/"&amp;IFERROR(--(INDEX('Reguler Class Availability'!$F:$F,AP54)&amp;""),0)&amp;IF(IFERROR(--(INDEX('Reguler Class Availability'!$F:$F,AP54)&amp;""),0)&gt;0,"  ("&amp;TEXT(IFERROR(--(INDEX('Reguler Class Availability'!$G:$G,AP54)&amp;""),0)/IFERROR(--(INDEX('Reguler Class Availability'!$F:$F,AP54)&amp;""),0),"0%")&amp;")","")&amp;CHAR(10)&amp;IF(INDEX('Reguler Class Availability'!$I:$I,AP54)&amp;""="","coach: –",PROPER(INDEX('Reguler Class Availability'!$I:$I,AP54)&amp;""))&amp;IF(INDEX('Reguler Class Availability'!$J:$J,AP54)&amp;""="","",CHAR(10)&amp;"asst: "&amp;PROPER(INDEX('Reguler Class Availability'!$J:$J,AP54)&amp;""))))</f>
        <v>Little  0/4  (0%)
coach: –</v>
      </c>
      <c r="E54" s="67" t="str">
        <f aca="false">IF(AQ54="","",IF(AY54="Tidak dibuka","–",IF(INDEX('Reguler Class Availability'!$B:$B,AQ54)&amp;""="","Kosong",PROPER(INDEX('Reguler Class Availability'!$B:$B,AQ54)&amp;""))&amp;"  "&amp;IFERROR(--(INDEX('Reguler Class Availability'!$G:$G,AQ54)&amp;""),0)&amp;"/"&amp;IFERROR(--(INDEX('Reguler Class Availability'!$F:$F,AQ54)&amp;""),0)&amp;IF(IFERROR(--(INDEX('Reguler Class Availability'!$F:$F,AQ54)&amp;""),0)&gt;0,"  ("&amp;TEXT(IFERROR(--(INDEX('Reguler Class Availability'!$G:$G,AQ54)&amp;""),0)/IFERROR(--(INDEX('Reguler Class Availability'!$F:$F,AQ54)&amp;""),0),"0%")&amp;")","")&amp;CHAR(10)&amp;IF(INDEX('Reguler Class Availability'!$I:$I,AQ54)&amp;""="","coach: –",PROPER(INDEX('Reguler Class Availability'!$I:$I,AQ54)&amp;""))&amp;IF(INDEX('Reguler Class Availability'!$J:$J,AQ54)&amp;""="","",CHAR(10)&amp;"asst: "&amp;PROPER(INDEX('Reguler Class Availability'!$J:$J,AQ54)&amp;""))))</f>
        <v>Little  3/4  (75%)
Juan</v>
      </c>
      <c r="F54" s="67" t="str">
        <f aca="false">IF(AR54="","",IF(AZ54="Tidak dibuka","–",IF(INDEX('Reguler Class Availability'!$B:$B,AR54)&amp;""="","Kosong",PROPER(INDEX('Reguler Class Availability'!$B:$B,AR54)&amp;""))&amp;"  "&amp;IFERROR(--(INDEX('Reguler Class Availability'!$G:$G,AR54)&amp;""),0)&amp;"/"&amp;IFERROR(--(INDEX('Reguler Class Availability'!$F:$F,AR54)&amp;""),0)&amp;IF(IFERROR(--(INDEX('Reguler Class Availability'!$F:$F,AR54)&amp;""),0)&gt;0,"  ("&amp;TEXT(IFERROR(--(INDEX('Reguler Class Availability'!$G:$G,AR54)&amp;""),0)/IFERROR(--(INDEX('Reguler Class Availability'!$F:$F,AR54)&amp;""),0),"0%")&amp;")","")&amp;CHAR(10)&amp;IF(INDEX('Reguler Class Availability'!$I:$I,AR54)&amp;""="","coach: –",PROPER(INDEX('Reguler Class Availability'!$I:$I,AR54)&amp;""))&amp;IF(INDEX('Reguler Class Availability'!$J:$J,AR54)&amp;""="","",CHAR(10)&amp;"asst: "&amp;PROPER(INDEX('Reguler Class Availability'!$J:$J,AR54)&amp;""))))</f>
        <v>Little  0/4  (0%)
coach: –</v>
      </c>
      <c r="G54" s="67" t="str">
        <f aca="false">IF(AS54="","",IF(BA54="Tidak dibuka","–",IF(INDEX('Reguler Class Availability'!$B:$B,AS54)&amp;""="","Kosong",PROPER(INDEX('Reguler Class Availability'!$B:$B,AS54)&amp;""))&amp;"  "&amp;IFERROR(--(INDEX('Reguler Class Availability'!$G:$G,AS54)&amp;""),0)&amp;"/"&amp;IFERROR(--(INDEX('Reguler Class Availability'!$F:$F,AS54)&amp;""),0)&amp;IF(IFERROR(--(INDEX('Reguler Class Availability'!$F:$F,AS54)&amp;""),0)&gt;0,"  ("&amp;TEXT(IFERROR(--(INDEX('Reguler Class Availability'!$G:$G,AS54)&amp;""),0)/IFERROR(--(INDEX('Reguler Class Availability'!$F:$F,AS54)&amp;""),0),"0%")&amp;")","")&amp;CHAR(10)&amp;IF(INDEX('Reguler Class Availability'!$I:$I,AS54)&amp;""="","coach: –",PROPER(INDEX('Reguler Class Availability'!$I:$I,AS54)&amp;""))&amp;IF(INDEX('Reguler Class Availability'!$J:$J,AS54)&amp;""="","",CHAR(10)&amp;"asst: "&amp;PROPER(INDEX('Reguler Class Availability'!$J:$J,AS54)&amp;""))))</f>
        <v>Little  4/4  (100%)
Silvi</v>
      </c>
      <c r="H54" s="67" t="str">
        <f aca="false">IF(AT54="","",IF(BB54="Tidak dibuka","–",IF(INDEX('Reguler Class Availability'!$B:$B,AT54)&amp;""="","Kosong",PROPER(INDEX('Reguler Class Availability'!$B:$B,AT54)&amp;""))&amp;"  "&amp;IFERROR(--(INDEX('Reguler Class Availability'!$G:$G,AT54)&amp;""),0)&amp;"/"&amp;IFERROR(--(INDEX('Reguler Class Availability'!$F:$F,AT54)&amp;""),0)&amp;IF(IFERROR(--(INDEX('Reguler Class Availability'!$F:$F,AT54)&amp;""),0)&gt;0,"  ("&amp;TEXT(IFERROR(--(INDEX('Reguler Class Availability'!$G:$G,AT54)&amp;""),0)/IFERROR(--(INDEX('Reguler Class Availability'!$F:$F,AT54)&amp;""),0),"0%")&amp;")","")&amp;CHAR(10)&amp;IF(INDEX('Reguler Class Availability'!$I:$I,AT54)&amp;""="","coach: –",PROPER(INDEX('Reguler Class Availability'!$I:$I,AT54)&amp;""))&amp;IF(INDEX('Reguler Class Availability'!$J:$J,AT54)&amp;""="","",CHAR(10)&amp;"asst: "&amp;PROPER(INDEX('Reguler Class Availability'!$J:$J,AT54)&amp;""))))</f>
        <v>Little  3/4  (75%)
Angga</v>
      </c>
      <c r="AN54" s="30" t="n">
        <f aca="false">IF($A54="","",IFERROR(MATCH($B$4&amp;"|- Lane 3 - "&amp;B$51&amp;"|"&amp;$A54,'Reguler Class Availability'!$L:$L,0),""))</f>
        <v>2594</v>
      </c>
      <c r="AO54" s="30" t="n">
        <f aca="false">IF($A54="","",IFERROR(MATCH($B$4&amp;"|- Lane 3 - "&amp;C$51&amp;"|"&amp;$A54,'Reguler Class Availability'!$L:$L,0),""))</f>
        <v>2606</v>
      </c>
      <c r="AP54" s="30" t="n">
        <f aca="false">IF($A54="","",IFERROR(MATCH($B$4&amp;"|- Lane 3 - "&amp;D$51&amp;"|"&amp;$A54,'Reguler Class Availability'!$L:$L,0),""))</f>
        <v>2618</v>
      </c>
      <c r="AQ54" s="30" t="n">
        <f aca="false">IF($A54="","",IFERROR(MATCH($B$4&amp;"|- Lane 3 - "&amp;E$51&amp;"|"&amp;$A54,'Reguler Class Availability'!$L:$L,0),""))</f>
        <v>2630</v>
      </c>
      <c r="AR54" s="30" t="n">
        <f aca="false">IF($A54="","",IFERROR(MATCH($B$4&amp;"|- Lane 3 - "&amp;F$51&amp;"|"&amp;$A54,'Reguler Class Availability'!$L:$L,0),""))</f>
        <v>2642</v>
      </c>
      <c r="AS54" s="30" t="n">
        <f aca="false">IF($A54="","",IFERROR(MATCH($B$4&amp;"|- Lane 3 - "&amp;G$51&amp;"|"&amp;$A54,'Reguler Class Availability'!$L:$L,0),""))</f>
        <v>2654</v>
      </c>
      <c r="AT54" s="30" t="n">
        <f aca="false">IF($A54="","",IFERROR(MATCH($B$4&amp;"|- Lane 3 - "&amp;H$51&amp;"|"&amp;$A54,'Reguler Class Availability'!$L:$L,0),""))</f>
        <v>2666</v>
      </c>
      <c r="AV54" s="0" t="str">
        <f aca="false">IF(AN54="","",IF(AND(IFERROR(--(INDEX('Reguler Class Availability'!$F:$F,AN54)&amp;""),0)=0,IFERROR(--(INDEX('Reguler Class Availability'!$G:$G,AN54)&amp;""),0)=0),IF(OR(INDEX('Reguler Class Availability'!$B:$B,AN54)&amp;""&lt;&gt;"",INDEX('Reguler Class Availability'!$I:$I,AN54)&amp;""&lt;&gt;""),"Tutup","Tidak dibuka"),IF(IFERROR(--(INDEX('Reguler Class Availability'!$G:$G,AN54)&amp;""),0)&gt;IFERROR(--(INDEX('Reguler Class Availability'!$F:$F,AN54)&amp;""),0),"Lebih",IF(IFERROR(--(INDEX('Reguler Class Availability'!$G:$G,AN54)&amp;""),0)=IFERROR(--(INDEX('Reguler Class Availability'!$F:$F,AN54)&amp;""),0),"Penuh",IF(IFERROR(--(INDEX('Reguler Class Availability'!$G:$G,AN54)&amp;""),0)=0,IF(INDEX('Reguler Class Availability'!$B:$B,AN54)&amp;""="","Kosong","Belum terisi"),IF(IFERROR(--(INDEX('Reguler Class Availability'!$G:$G,AN54)&amp;""),0)/IFERROR(--(INDEX('Reguler Class Availability'!$F:$F,AN54)&amp;""),0)&gt;=0.6,"Tinggi","Sebagian"))))))</f>
        <v>Sebagian</v>
      </c>
      <c r="AW54" s="0" t="str">
        <f aca="false">IF(AO54="","",IF(AND(IFERROR(--(INDEX('Reguler Class Availability'!$F:$F,AO54)&amp;""),0)=0,IFERROR(--(INDEX('Reguler Class Availability'!$G:$G,AO54)&amp;""),0)=0),IF(OR(INDEX('Reguler Class Availability'!$B:$B,AO54)&amp;""&lt;&gt;"",INDEX('Reguler Class Availability'!$I:$I,AO54)&amp;""&lt;&gt;""),"Tutup","Tidak dibuka"),IF(IFERROR(--(INDEX('Reguler Class Availability'!$G:$G,AO54)&amp;""),0)&gt;IFERROR(--(INDEX('Reguler Class Availability'!$F:$F,AO54)&amp;""),0),"Lebih",IF(IFERROR(--(INDEX('Reguler Class Availability'!$G:$G,AO54)&amp;""),0)=IFERROR(--(INDEX('Reguler Class Availability'!$F:$F,AO54)&amp;""),0),"Penuh",IF(IFERROR(--(INDEX('Reguler Class Availability'!$G:$G,AO54)&amp;""),0)=0,IF(INDEX('Reguler Class Availability'!$B:$B,AO54)&amp;""="","Kosong","Belum terisi"),IF(IFERROR(--(INDEX('Reguler Class Availability'!$G:$G,AO54)&amp;""),0)/IFERROR(--(INDEX('Reguler Class Availability'!$F:$F,AO54)&amp;""),0)&gt;=0.6,"Tinggi","Sebagian"))))))</f>
        <v>Tinggi</v>
      </c>
      <c r="AX54" s="0" t="str">
        <f aca="false">IF(AP54="","",IF(AND(IFERROR(--(INDEX('Reguler Class Availability'!$F:$F,AP54)&amp;""),0)=0,IFERROR(--(INDEX('Reguler Class Availability'!$G:$G,AP54)&amp;""),0)=0),IF(OR(INDEX('Reguler Class Availability'!$B:$B,AP54)&amp;""&lt;&gt;"",INDEX('Reguler Class Availability'!$I:$I,AP54)&amp;""&lt;&gt;""),"Tutup","Tidak dibuka"),IF(IFERROR(--(INDEX('Reguler Class Availability'!$G:$G,AP54)&amp;""),0)&gt;IFERROR(--(INDEX('Reguler Class Availability'!$F:$F,AP54)&amp;""),0),"Lebih",IF(IFERROR(--(INDEX('Reguler Class Availability'!$G:$G,AP54)&amp;""),0)=IFERROR(--(INDEX('Reguler Class Availability'!$F:$F,AP54)&amp;""),0),"Penuh",IF(IFERROR(--(INDEX('Reguler Class Availability'!$G:$G,AP54)&amp;""),0)=0,IF(INDEX('Reguler Class Availability'!$B:$B,AP54)&amp;""="","Kosong","Belum terisi"),IF(IFERROR(--(INDEX('Reguler Class Availability'!$G:$G,AP54)&amp;""),0)/IFERROR(--(INDEX('Reguler Class Availability'!$F:$F,AP54)&amp;""),0)&gt;=0.6,"Tinggi","Sebagian"))))))</f>
        <v>Belum terisi</v>
      </c>
      <c r="AY54" s="0" t="str">
        <f aca="false">IF(AQ54="","",IF(AND(IFERROR(--(INDEX('Reguler Class Availability'!$F:$F,AQ54)&amp;""),0)=0,IFERROR(--(INDEX('Reguler Class Availability'!$G:$G,AQ54)&amp;""),0)=0),IF(OR(INDEX('Reguler Class Availability'!$B:$B,AQ54)&amp;""&lt;&gt;"",INDEX('Reguler Class Availability'!$I:$I,AQ54)&amp;""&lt;&gt;""),"Tutup","Tidak dibuka"),IF(IFERROR(--(INDEX('Reguler Class Availability'!$G:$G,AQ54)&amp;""),0)&gt;IFERROR(--(INDEX('Reguler Class Availability'!$F:$F,AQ54)&amp;""),0),"Lebih",IF(IFERROR(--(INDEX('Reguler Class Availability'!$G:$G,AQ54)&amp;""),0)=IFERROR(--(INDEX('Reguler Class Availability'!$F:$F,AQ54)&amp;""),0),"Penuh",IF(IFERROR(--(INDEX('Reguler Class Availability'!$G:$G,AQ54)&amp;""),0)=0,IF(INDEX('Reguler Class Availability'!$B:$B,AQ54)&amp;""="","Kosong","Belum terisi"),IF(IFERROR(--(INDEX('Reguler Class Availability'!$G:$G,AQ54)&amp;""),0)/IFERROR(--(INDEX('Reguler Class Availability'!$F:$F,AQ54)&amp;""),0)&gt;=0.6,"Tinggi","Sebagian"))))))</f>
        <v>Tinggi</v>
      </c>
      <c r="AZ54" s="0" t="str">
        <f aca="false">IF(AR54="","",IF(AND(IFERROR(--(INDEX('Reguler Class Availability'!$F:$F,AR54)&amp;""),0)=0,IFERROR(--(INDEX('Reguler Class Availability'!$G:$G,AR54)&amp;""),0)=0),IF(OR(INDEX('Reguler Class Availability'!$B:$B,AR54)&amp;""&lt;&gt;"",INDEX('Reguler Class Availability'!$I:$I,AR54)&amp;""&lt;&gt;""),"Tutup","Tidak dibuka"),IF(IFERROR(--(INDEX('Reguler Class Availability'!$G:$G,AR54)&amp;""),0)&gt;IFERROR(--(INDEX('Reguler Class Availability'!$F:$F,AR54)&amp;""),0),"Lebih",IF(IFERROR(--(INDEX('Reguler Class Availability'!$G:$G,AR54)&amp;""),0)=IFERROR(--(INDEX('Reguler Class Availability'!$F:$F,AR54)&amp;""),0),"Penuh",IF(IFERROR(--(INDEX('Reguler Class Availability'!$G:$G,AR54)&amp;""),0)=0,IF(INDEX('Reguler Class Availability'!$B:$B,AR54)&amp;""="","Kosong","Belum terisi"),IF(IFERROR(--(INDEX('Reguler Class Availability'!$G:$G,AR54)&amp;""),0)/IFERROR(--(INDEX('Reguler Class Availability'!$F:$F,AR54)&amp;""),0)&gt;=0.6,"Tinggi","Sebagian"))))))</f>
        <v>Belum terisi</v>
      </c>
      <c r="BA54" s="0" t="str">
        <f aca="false">IF(AS54="","",IF(AND(IFERROR(--(INDEX('Reguler Class Availability'!$F:$F,AS54)&amp;""),0)=0,IFERROR(--(INDEX('Reguler Class Availability'!$G:$G,AS54)&amp;""),0)=0),IF(OR(INDEX('Reguler Class Availability'!$B:$B,AS54)&amp;""&lt;&gt;"",INDEX('Reguler Class Availability'!$I:$I,AS54)&amp;""&lt;&gt;""),"Tutup","Tidak dibuka"),IF(IFERROR(--(INDEX('Reguler Class Availability'!$G:$G,AS54)&amp;""),0)&gt;IFERROR(--(INDEX('Reguler Class Availability'!$F:$F,AS54)&amp;""),0),"Lebih",IF(IFERROR(--(INDEX('Reguler Class Availability'!$G:$G,AS54)&amp;""),0)=IFERROR(--(INDEX('Reguler Class Availability'!$F:$F,AS54)&amp;""),0),"Penuh",IF(IFERROR(--(INDEX('Reguler Class Availability'!$G:$G,AS54)&amp;""),0)=0,IF(INDEX('Reguler Class Availability'!$B:$B,AS54)&amp;""="","Kosong","Belum terisi"),IF(IFERROR(--(INDEX('Reguler Class Availability'!$G:$G,AS54)&amp;""),0)/IFERROR(--(INDEX('Reguler Class Availability'!$F:$F,AS54)&amp;""),0)&gt;=0.6,"Tinggi","Sebagian"))))))</f>
        <v>Penuh</v>
      </c>
      <c r="BB54" s="0" t="str">
        <f aca="false">IF(AT54="","",IF(AND(IFERROR(--(INDEX('Reguler Class Availability'!$F:$F,AT54)&amp;""),0)=0,IFERROR(--(INDEX('Reguler Class Availability'!$G:$G,AT54)&amp;""),0)=0),IF(OR(INDEX('Reguler Class Availability'!$B:$B,AT54)&amp;""&lt;&gt;"",INDEX('Reguler Class Availability'!$I:$I,AT54)&amp;""&lt;&gt;""),"Tutup","Tidak dibuka"),IF(IFERROR(--(INDEX('Reguler Class Availability'!$G:$G,AT54)&amp;""),0)&gt;IFERROR(--(INDEX('Reguler Class Availability'!$F:$F,AT54)&amp;""),0),"Lebih",IF(IFERROR(--(INDEX('Reguler Class Availability'!$G:$G,AT54)&amp;""),0)=IFERROR(--(INDEX('Reguler Class Availability'!$F:$F,AT54)&amp;""),0),"Penuh",IF(IFERROR(--(INDEX('Reguler Class Availability'!$G:$G,AT54)&amp;""),0)=0,IF(INDEX('Reguler Class Availability'!$B:$B,AT54)&amp;""="","Kosong","Belum terisi"),IF(IFERROR(--(INDEX('Reguler Class Availability'!$G:$G,AT54)&amp;""),0)/IFERROR(--(INDEX('Reguler Class Availability'!$F:$F,AT54)&amp;""),0)&gt;=0.6,"Tinggi","Sebagian"))))))</f>
        <v>Tinggi</v>
      </c>
      <c r="BD54" s="30" t="s">
        <v>164</v>
      </c>
      <c r="BE54" s="30" t="n">
        <f aca="false">IF(COUNTIFS('Reguler Class Availability'!$L:$L,$B$4&amp;"|- Lane 1 - *|"&amp;BD54)&gt;0,1,0)</f>
        <v>0</v>
      </c>
      <c r="BF54" s="30" t="n">
        <f aca="false">BE54+BF53</f>
        <v>14</v>
      </c>
    </row>
    <row r="55" customFormat="false" ht="39.75" hidden="false" customHeight="true" outlineLevel="0" collapsed="false">
      <c r="A55" s="66" t="str">
        <f aca="false">IFERROR(INDEX($BD$122:$BD$181,MATCH(4,$BF$122:$BF$181,0)),"")</f>
        <v>10:30</v>
      </c>
      <c r="B55" s="67" t="str">
        <f aca="false">IF(AN55="","",IF(AV55="Tidak dibuka","–",IF(INDEX('Reguler Class Availability'!$B:$B,AN55)&amp;""="","Kosong",PROPER(INDEX('Reguler Class Availability'!$B:$B,AN55)&amp;""))&amp;"  "&amp;IFERROR(--(INDEX('Reguler Class Availability'!$G:$G,AN55)&amp;""),0)&amp;"/"&amp;IFERROR(--(INDEX('Reguler Class Availability'!$F:$F,AN55)&amp;""),0)&amp;IF(IFERROR(--(INDEX('Reguler Class Availability'!$F:$F,AN55)&amp;""),0)&gt;0,"  ("&amp;TEXT(IFERROR(--(INDEX('Reguler Class Availability'!$G:$G,AN55)&amp;""),0)/IFERROR(--(INDEX('Reguler Class Availability'!$F:$F,AN55)&amp;""),0),"0%")&amp;")","")&amp;CHAR(10)&amp;IF(INDEX('Reguler Class Availability'!$I:$I,AN55)&amp;""="","coach: –",PROPER(INDEX('Reguler Class Availability'!$I:$I,AN55)&amp;""))&amp;IF(INDEX('Reguler Class Availability'!$J:$J,AN55)&amp;""="","",CHAR(10)&amp;"asst: "&amp;PROPER(INDEX('Reguler Class Availability'!$J:$J,AN55)&amp;""))))</f>
        <v>Little  1/4  (25%)
Silvi</v>
      </c>
      <c r="C55" s="67" t="str">
        <f aca="false">IF(AO55="","",IF(AW55="Tidak dibuka","–",IF(INDEX('Reguler Class Availability'!$B:$B,AO55)&amp;""="","Kosong",PROPER(INDEX('Reguler Class Availability'!$B:$B,AO55)&amp;""))&amp;"  "&amp;IFERROR(--(INDEX('Reguler Class Availability'!$G:$G,AO55)&amp;""),0)&amp;"/"&amp;IFERROR(--(INDEX('Reguler Class Availability'!$F:$F,AO55)&amp;""),0)&amp;IF(IFERROR(--(INDEX('Reguler Class Availability'!$F:$F,AO55)&amp;""),0)&gt;0,"  ("&amp;TEXT(IFERROR(--(INDEX('Reguler Class Availability'!$G:$G,AO55)&amp;""),0)/IFERROR(--(INDEX('Reguler Class Availability'!$F:$F,AO55)&amp;""),0),"0%")&amp;")","")&amp;CHAR(10)&amp;IF(INDEX('Reguler Class Availability'!$I:$I,AO55)&amp;""="","coach: –",PROPER(INDEX('Reguler Class Availability'!$I:$I,AO55)&amp;""))&amp;IF(INDEX('Reguler Class Availability'!$J:$J,AO55)&amp;""="","",CHAR(10)&amp;"asst: "&amp;PROPER(INDEX('Reguler Class Availability'!$J:$J,AO55)&amp;""))))</f>
        <v>Little  0/4  (0%)
coach: –</v>
      </c>
      <c r="D55" s="67" t="str">
        <f aca="false">IF(AP55="","",IF(AX55="Tidak dibuka","–",IF(INDEX('Reguler Class Availability'!$B:$B,AP55)&amp;""="","Kosong",PROPER(INDEX('Reguler Class Availability'!$B:$B,AP55)&amp;""))&amp;"  "&amp;IFERROR(--(INDEX('Reguler Class Availability'!$G:$G,AP55)&amp;""),0)&amp;"/"&amp;IFERROR(--(INDEX('Reguler Class Availability'!$F:$F,AP55)&amp;""),0)&amp;IF(IFERROR(--(INDEX('Reguler Class Availability'!$F:$F,AP55)&amp;""),0)&gt;0,"  ("&amp;TEXT(IFERROR(--(INDEX('Reguler Class Availability'!$G:$G,AP55)&amp;""),0)/IFERROR(--(INDEX('Reguler Class Availability'!$F:$F,AP55)&amp;""),0),"0%")&amp;")","")&amp;CHAR(10)&amp;IF(INDEX('Reguler Class Availability'!$I:$I,AP55)&amp;""="","coach: –",PROPER(INDEX('Reguler Class Availability'!$I:$I,AP55)&amp;""))&amp;IF(INDEX('Reguler Class Availability'!$J:$J,AP55)&amp;""="","",CHAR(10)&amp;"asst: "&amp;PROPER(INDEX('Reguler Class Availability'!$J:$J,AP55)&amp;""))))</f>
        <v>Little  1/4  (25%)
Angga</v>
      </c>
      <c r="E55" s="67" t="str">
        <f aca="false">IF(AQ55="","",IF(AY55="Tidak dibuka","–",IF(INDEX('Reguler Class Availability'!$B:$B,AQ55)&amp;""="","Kosong",PROPER(INDEX('Reguler Class Availability'!$B:$B,AQ55)&amp;""))&amp;"  "&amp;IFERROR(--(INDEX('Reguler Class Availability'!$G:$G,AQ55)&amp;""),0)&amp;"/"&amp;IFERROR(--(INDEX('Reguler Class Availability'!$F:$F,AQ55)&amp;""),0)&amp;IF(IFERROR(--(INDEX('Reguler Class Availability'!$F:$F,AQ55)&amp;""),0)&gt;0,"  ("&amp;TEXT(IFERROR(--(INDEX('Reguler Class Availability'!$G:$G,AQ55)&amp;""),0)/IFERROR(--(INDEX('Reguler Class Availability'!$F:$F,AQ55)&amp;""),0),"0%")&amp;")","")&amp;CHAR(10)&amp;IF(INDEX('Reguler Class Availability'!$I:$I,AQ55)&amp;""="","coach: –",PROPER(INDEX('Reguler Class Availability'!$I:$I,AQ55)&amp;""))&amp;IF(INDEX('Reguler Class Availability'!$J:$J,AQ55)&amp;""="","",CHAR(10)&amp;"asst: "&amp;PROPER(INDEX('Reguler Class Availability'!$J:$J,AQ55)&amp;""))))</f>
        <v>Little  1/4  (25%)
Juan</v>
      </c>
      <c r="F55" s="67" t="str">
        <f aca="false">IF(AR55="","",IF(AZ55="Tidak dibuka","–",IF(INDEX('Reguler Class Availability'!$B:$B,AR55)&amp;""="","Kosong",PROPER(INDEX('Reguler Class Availability'!$B:$B,AR55)&amp;""))&amp;"  "&amp;IFERROR(--(INDEX('Reguler Class Availability'!$G:$G,AR55)&amp;""),0)&amp;"/"&amp;IFERROR(--(INDEX('Reguler Class Availability'!$F:$F,AR55)&amp;""),0)&amp;IF(IFERROR(--(INDEX('Reguler Class Availability'!$F:$F,AR55)&amp;""),0)&gt;0,"  ("&amp;TEXT(IFERROR(--(INDEX('Reguler Class Availability'!$G:$G,AR55)&amp;""),0)/IFERROR(--(INDEX('Reguler Class Availability'!$F:$F,AR55)&amp;""),0),"0%")&amp;")","")&amp;CHAR(10)&amp;IF(INDEX('Reguler Class Availability'!$I:$I,AR55)&amp;""="","coach: –",PROPER(INDEX('Reguler Class Availability'!$I:$I,AR55)&amp;""))&amp;IF(INDEX('Reguler Class Availability'!$J:$J,AR55)&amp;""="","",CHAR(10)&amp;"asst: "&amp;PROPER(INDEX('Reguler Class Availability'!$J:$J,AR55)&amp;""))))</f>
        <v>Little  1/4  (25%)
Juan</v>
      </c>
      <c r="G55" s="67" t="str">
        <f aca="false">IF(AS55="","",IF(BA55="Tidak dibuka","–",IF(INDEX('Reguler Class Availability'!$B:$B,AS55)&amp;""="","Kosong",PROPER(INDEX('Reguler Class Availability'!$B:$B,AS55)&amp;""))&amp;"  "&amp;IFERROR(--(INDEX('Reguler Class Availability'!$G:$G,AS55)&amp;""),0)&amp;"/"&amp;IFERROR(--(INDEX('Reguler Class Availability'!$F:$F,AS55)&amp;""),0)&amp;IF(IFERROR(--(INDEX('Reguler Class Availability'!$F:$F,AS55)&amp;""),0)&gt;0,"  ("&amp;TEXT(IFERROR(--(INDEX('Reguler Class Availability'!$G:$G,AS55)&amp;""),0)/IFERROR(--(INDEX('Reguler Class Availability'!$F:$F,AS55)&amp;""),0),"0%")&amp;")","")&amp;CHAR(10)&amp;IF(INDEX('Reguler Class Availability'!$I:$I,AS55)&amp;""="","coach: –",PROPER(INDEX('Reguler Class Availability'!$I:$I,AS55)&amp;""))&amp;IF(INDEX('Reguler Class Availability'!$J:$J,AS55)&amp;""="","",CHAR(10)&amp;"asst: "&amp;PROPER(INDEX('Reguler Class Availability'!$J:$J,AS55)&amp;""))))</f>
        <v>Little  4/4  (100%)
Juan</v>
      </c>
      <c r="H55" s="67" t="str">
        <f aca="false">IF(AT55="","",IF(BB55="Tidak dibuka","–",IF(INDEX('Reguler Class Availability'!$B:$B,AT55)&amp;""="","Kosong",PROPER(INDEX('Reguler Class Availability'!$B:$B,AT55)&amp;""))&amp;"  "&amp;IFERROR(--(INDEX('Reguler Class Availability'!$G:$G,AT55)&amp;""),0)&amp;"/"&amp;IFERROR(--(INDEX('Reguler Class Availability'!$F:$F,AT55)&amp;""),0)&amp;IF(IFERROR(--(INDEX('Reguler Class Availability'!$F:$F,AT55)&amp;""),0)&gt;0,"  ("&amp;TEXT(IFERROR(--(INDEX('Reguler Class Availability'!$G:$G,AT55)&amp;""),0)/IFERROR(--(INDEX('Reguler Class Availability'!$F:$F,AT55)&amp;""),0),"0%")&amp;")","")&amp;CHAR(10)&amp;IF(INDEX('Reguler Class Availability'!$I:$I,AT55)&amp;""="","coach: –",PROPER(INDEX('Reguler Class Availability'!$I:$I,AT55)&amp;""))&amp;IF(INDEX('Reguler Class Availability'!$J:$J,AT55)&amp;""="","",CHAR(10)&amp;"asst: "&amp;PROPER(INDEX('Reguler Class Availability'!$J:$J,AT55)&amp;""))))</f>
        <v>Little  4/4  (100%)
Juan</v>
      </c>
      <c r="AN55" s="30" t="n">
        <f aca="false">IF($A55="","",IFERROR(MATCH($B$4&amp;"|- Lane 3 - "&amp;B$51&amp;"|"&amp;$A55,'Reguler Class Availability'!$L:$L,0),""))</f>
        <v>2595</v>
      </c>
      <c r="AO55" s="30" t="n">
        <f aca="false">IF($A55="","",IFERROR(MATCH($B$4&amp;"|- Lane 3 - "&amp;C$51&amp;"|"&amp;$A55,'Reguler Class Availability'!$L:$L,0),""))</f>
        <v>2607</v>
      </c>
      <c r="AP55" s="30" t="n">
        <f aca="false">IF($A55="","",IFERROR(MATCH($B$4&amp;"|- Lane 3 - "&amp;D$51&amp;"|"&amp;$A55,'Reguler Class Availability'!$L:$L,0),""))</f>
        <v>2619</v>
      </c>
      <c r="AQ55" s="30" t="n">
        <f aca="false">IF($A55="","",IFERROR(MATCH($B$4&amp;"|- Lane 3 - "&amp;E$51&amp;"|"&amp;$A55,'Reguler Class Availability'!$L:$L,0),""))</f>
        <v>2631</v>
      </c>
      <c r="AR55" s="30" t="n">
        <f aca="false">IF($A55="","",IFERROR(MATCH($B$4&amp;"|- Lane 3 - "&amp;F$51&amp;"|"&amp;$A55,'Reguler Class Availability'!$L:$L,0),""))</f>
        <v>2643</v>
      </c>
      <c r="AS55" s="30" t="n">
        <f aca="false">IF($A55="","",IFERROR(MATCH($B$4&amp;"|- Lane 3 - "&amp;G$51&amp;"|"&amp;$A55,'Reguler Class Availability'!$L:$L,0),""))</f>
        <v>2655</v>
      </c>
      <c r="AT55" s="30" t="n">
        <f aca="false">IF($A55="","",IFERROR(MATCH($B$4&amp;"|- Lane 3 - "&amp;H$51&amp;"|"&amp;$A55,'Reguler Class Availability'!$L:$L,0),""))</f>
        <v>2667</v>
      </c>
      <c r="AV55" s="0" t="str">
        <f aca="false">IF(AN55="","",IF(AND(IFERROR(--(INDEX('Reguler Class Availability'!$F:$F,AN55)&amp;""),0)=0,IFERROR(--(INDEX('Reguler Class Availability'!$G:$G,AN55)&amp;""),0)=0),IF(OR(INDEX('Reguler Class Availability'!$B:$B,AN55)&amp;""&lt;&gt;"",INDEX('Reguler Class Availability'!$I:$I,AN55)&amp;""&lt;&gt;""),"Tutup","Tidak dibuka"),IF(IFERROR(--(INDEX('Reguler Class Availability'!$G:$G,AN55)&amp;""),0)&gt;IFERROR(--(INDEX('Reguler Class Availability'!$F:$F,AN55)&amp;""),0),"Lebih",IF(IFERROR(--(INDEX('Reguler Class Availability'!$G:$G,AN55)&amp;""),0)=IFERROR(--(INDEX('Reguler Class Availability'!$F:$F,AN55)&amp;""),0),"Penuh",IF(IFERROR(--(INDEX('Reguler Class Availability'!$G:$G,AN55)&amp;""),0)=0,IF(INDEX('Reguler Class Availability'!$B:$B,AN55)&amp;""="","Kosong","Belum terisi"),IF(IFERROR(--(INDEX('Reguler Class Availability'!$G:$G,AN55)&amp;""),0)/IFERROR(--(INDEX('Reguler Class Availability'!$F:$F,AN55)&amp;""),0)&gt;=0.6,"Tinggi","Sebagian"))))))</f>
        <v>Sebagian</v>
      </c>
      <c r="AW55" s="0" t="str">
        <f aca="false">IF(AO55="","",IF(AND(IFERROR(--(INDEX('Reguler Class Availability'!$F:$F,AO55)&amp;""),0)=0,IFERROR(--(INDEX('Reguler Class Availability'!$G:$G,AO55)&amp;""),0)=0),IF(OR(INDEX('Reguler Class Availability'!$B:$B,AO55)&amp;""&lt;&gt;"",INDEX('Reguler Class Availability'!$I:$I,AO55)&amp;""&lt;&gt;""),"Tutup","Tidak dibuka"),IF(IFERROR(--(INDEX('Reguler Class Availability'!$G:$G,AO55)&amp;""),0)&gt;IFERROR(--(INDEX('Reguler Class Availability'!$F:$F,AO55)&amp;""),0),"Lebih",IF(IFERROR(--(INDEX('Reguler Class Availability'!$G:$G,AO55)&amp;""),0)=IFERROR(--(INDEX('Reguler Class Availability'!$F:$F,AO55)&amp;""),0),"Penuh",IF(IFERROR(--(INDEX('Reguler Class Availability'!$G:$G,AO55)&amp;""),0)=0,IF(INDEX('Reguler Class Availability'!$B:$B,AO55)&amp;""="","Kosong","Belum terisi"),IF(IFERROR(--(INDEX('Reguler Class Availability'!$G:$G,AO55)&amp;""),0)/IFERROR(--(INDEX('Reguler Class Availability'!$F:$F,AO55)&amp;""),0)&gt;=0.6,"Tinggi","Sebagian"))))))</f>
        <v>Belum terisi</v>
      </c>
      <c r="AX55" s="0" t="str">
        <f aca="false">IF(AP55="","",IF(AND(IFERROR(--(INDEX('Reguler Class Availability'!$F:$F,AP55)&amp;""),0)=0,IFERROR(--(INDEX('Reguler Class Availability'!$G:$G,AP55)&amp;""),0)=0),IF(OR(INDEX('Reguler Class Availability'!$B:$B,AP55)&amp;""&lt;&gt;"",INDEX('Reguler Class Availability'!$I:$I,AP55)&amp;""&lt;&gt;""),"Tutup","Tidak dibuka"),IF(IFERROR(--(INDEX('Reguler Class Availability'!$G:$G,AP55)&amp;""),0)&gt;IFERROR(--(INDEX('Reguler Class Availability'!$F:$F,AP55)&amp;""),0),"Lebih",IF(IFERROR(--(INDEX('Reguler Class Availability'!$G:$G,AP55)&amp;""),0)=IFERROR(--(INDEX('Reguler Class Availability'!$F:$F,AP55)&amp;""),0),"Penuh",IF(IFERROR(--(INDEX('Reguler Class Availability'!$G:$G,AP55)&amp;""),0)=0,IF(INDEX('Reguler Class Availability'!$B:$B,AP55)&amp;""="","Kosong","Belum terisi"),IF(IFERROR(--(INDEX('Reguler Class Availability'!$G:$G,AP55)&amp;""),0)/IFERROR(--(INDEX('Reguler Class Availability'!$F:$F,AP55)&amp;""),0)&gt;=0.6,"Tinggi","Sebagian"))))))</f>
        <v>Sebagian</v>
      </c>
      <c r="AY55" s="0" t="str">
        <f aca="false">IF(AQ55="","",IF(AND(IFERROR(--(INDEX('Reguler Class Availability'!$F:$F,AQ55)&amp;""),0)=0,IFERROR(--(INDEX('Reguler Class Availability'!$G:$G,AQ55)&amp;""),0)=0),IF(OR(INDEX('Reguler Class Availability'!$B:$B,AQ55)&amp;""&lt;&gt;"",INDEX('Reguler Class Availability'!$I:$I,AQ55)&amp;""&lt;&gt;""),"Tutup","Tidak dibuka"),IF(IFERROR(--(INDEX('Reguler Class Availability'!$G:$G,AQ55)&amp;""),0)&gt;IFERROR(--(INDEX('Reguler Class Availability'!$F:$F,AQ55)&amp;""),0),"Lebih",IF(IFERROR(--(INDEX('Reguler Class Availability'!$G:$G,AQ55)&amp;""),0)=IFERROR(--(INDEX('Reguler Class Availability'!$F:$F,AQ55)&amp;""),0),"Penuh",IF(IFERROR(--(INDEX('Reguler Class Availability'!$G:$G,AQ55)&amp;""),0)=0,IF(INDEX('Reguler Class Availability'!$B:$B,AQ55)&amp;""="","Kosong","Belum terisi"),IF(IFERROR(--(INDEX('Reguler Class Availability'!$G:$G,AQ55)&amp;""),0)/IFERROR(--(INDEX('Reguler Class Availability'!$F:$F,AQ55)&amp;""),0)&gt;=0.6,"Tinggi","Sebagian"))))))</f>
        <v>Sebagian</v>
      </c>
      <c r="AZ55" s="0" t="str">
        <f aca="false">IF(AR55="","",IF(AND(IFERROR(--(INDEX('Reguler Class Availability'!$F:$F,AR55)&amp;""),0)=0,IFERROR(--(INDEX('Reguler Class Availability'!$G:$G,AR55)&amp;""),0)=0),IF(OR(INDEX('Reguler Class Availability'!$B:$B,AR55)&amp;""&lt;&gt;"",INDEX('Reguler Class Availability'!$I:$I,AR55)&amp;""&lt;&gt;""),"Tutup","Tidak dibuka"),IF(IFERROR(--(INDEX('Reguler Class Availability'!$G:$G,AR55)&amp;""),0)&gt;IFERROR(--(INDEX('Reguler Class Availability'!$F:$F,AR55)&amp;""),0),"Lebih",IF(IFERROR(--(INDEX('Reguler Class Availability'!$G:$G,AR55)&amp;""),0)=IFERROR(--(INDEX('Reguler Class Availability'!$F:$F,AR55)&amp;""),0),"Penuh",IF(IFERROR(--(INDEX('Reguler Class Availability'!$G:$G,AR55)&amp;""),0)=0,IF(INDEX('Reguler Class Availability'!$B:$B,AR55)&amp;""="","Kosong","Belum terisi"),IF(IFERROR(--(INDEX('Reguler Class Availability'!$G:$G,AR55)&amp;""),0)/IFERROR(--(INDEX('Reguler Class Availability'!$F:$F,AR55)&amp;""),0)&gt;=0.6,"Tinggi","Sebagian"))))))</f>
        <v>Sebagian</v>
      </c>
      <c r="BA55" s="0" t="str">
        <f aca="false">IF(AS55="","",IF(AND(IFERROR(--(INDEX('Reguler Class Availability'!$F:$F,AS55)&amp;""),0)=0,IFERROR(--(INDEX('Reguler Class Availability'!$G:$G,AS55)&amp;""),0)=0),IF(OR(INDEX('Reguler Class Availability'!$B:$B,AS55)&amp;""&lt;&gt;"",INDEX('Reguler Class Availability'!$I:$I,AS55)&amp;""&lt;&gt;""),"Tutup","Tidak dibuka"),IF(IFERROR(--(INDEX('Reguler Class Availability'!$G:$G,AS55)&amp;""),0)&gt;IFERROR(--(INDEX('Reguler Class Availability'!$F:$F,AS55)&amp;""),0),"Lebih",IF(IFERROR(--(INDEX('Reguler Class Availability'!$G:$G,AS55)&amp;""),0)=IFERROR(--(INDEX('Reguler Class Availability'!$F:$F,AS55)&amp;""),0),"Penuh",IF(IFERROR(--(INDEX('Reguler Class Availability'!$G:$G,AS55)&amp;""),0)=0,IF(INDEX('Reguler Class Availability'!$B:$B,AS55)&amp;""="","Kosong","Belum terisi"),IF(IFERROR(--(INDEX('Reguler Class Availability'!$G:$G,AS55)&amp;""),0)/IFERROR(--(INDEX('Reguler Class Availability'!$F:$F,AS55)&amp;""),0)&gt;=0.6,"Tinggi","Sebagian"))))))</f>
        <v>Penuh</v>
      </c>
      <c r="BB55" s="0" t="str">
        <f aca="false">IF(AT55="","",IF(AND(IFERROR(--(INDEX('Reguler Class Availability'!$F:$F,AT55)&amp;""),0)=0,IFERROR(--(INDEX('Reguler Class Availability'!$G:$G,AT55)&amp;""),0)=0),IF(OR(INDEX('Reguler Class Availability'!$B:$B,AT55)&amp;""&lt;&gt;"",INDEX('Reguler Class Availability'!$I:$I,AT55)&amp;""&lt;&gt;""),"Tutup","Tidak dibuka"),IF(IFERROR(--(INDEX('Reguler Class Availability'!$G:$G,AT55)&amp;""),0)&gt;IFERROR(--(INDEX('Reguler Class Availability'!$F:$F,AT55)&amp;""),0),"Lebih",IF(IFERROR(--(INDEX('Reguler Class Availability'!$G:$G,AT55)&amp;""),0)=IFERROR(--(INDEX('Reguler Class Availability'!$F:$F,AT55)&amp;""),0),"Penuh",IF(IFERROR(--(INDEX('Reguler Class Availability'!$G:$G,AT55)&amp;""),0)=0,IF(INDEX('Reguler Class Availability'!$B:$B,AT55)&amp;""="","Kosong","Belum terisi"),IF(IFERROR(--(INDEX('Reguler Class Availability'!$G:$G,AT55)&amp;""),0)/IFERROR(--(INDEX('Reguler Class Availability'!$F:$F,AT55)&amp;""),0)&gt;=0.6,"Tinggi","Sebagian"))))))</f>
        <v>Penuh</v>
      </c>
      <c r="BD55" s="30" t="s">
        <v>165</v>
      </c>
      <c r="BE55" s="30" t="n">
        <f aca="false">IF(COUNTIFS('Reguler Class Availability'!$L:$L,$B$4&amp;"|- Lane 1 - *|"&amp;BD55)&gt;0,1,0)</f>
        <v>0</v>
      </c>
      <c r="BF55" s="30" t="n">
        <f aca="false">BE55+BF54</f>
        <v>14</v>
      </c>
    </row>
    <row r="56" customFormat="false" ht="39.75" hidden="false" customHeight="true" outlineLevel="0" collapsed="false">
      <c r="A56" s="66" t="str">
        <f aca="false">IFERROR(INDEX($BD$122:$BD$181,MATCH(5,$BF$122:$BF$181,0)),"")</f>
        <v>11:15</v>
      </c>
      <c r="B56" s="67" t="str">
        <f aca="false">IF(AN56="","",IF(AV56="Tidak dibuka","–",IF(INDEX('Reguler Class Availability'!$B:$B,AN56)&amp;""="","Kosong",PROPER(INDEX('Reguler Class Availability'!$B:$B,AN56)&amp;""))&amp;"  "&amp;IFERROR(--(INDEX('Reguler Class Availability'!$G:$G,AN56)&amp;""),0)&amp;"/"&amp;IFERROR(--(INDEX('Reguler Class Availability'!$F:$F,AN56)&amp;""),0)&amp;IF(IFERROR(--(INDEX('Reguler Class Availability'!$F:$F,AN56)&amp;""),0)&gt;0,"  ("&amp;TEXT(IFERROR(--(INDEX('Reguler Class Availability'!$G:$G,AN56)&amp;""),0)/IFERROR(--(INDEX('Reguler Class Availability'!$F:$F,AN56)&amp;""),0),"0%")&amp;")","")&amp;CHAR(10)&amp;IF(INDEX('Reguler Class Availability'!$I:$I,AN56)&amp;""="","coach: –",PROPER(INDEX('Reguler Class Availability'!$I:$I,AN56)&amp;""))&amp;IF(INDEX('Reguler Class Availability'!$J:$J,AN56)&amp;""="","",CHAR(10)&amp;"asst: "&amp;PROPER(INDEX('Reguler Class Availability'!$J:$J,AN56)&amp;""))))</f>
        <v>Little  1/4  (25%)
Silvi</v>
      </c>
      <c r="C56" s="67" t="str">
        <f aca="false">IF(AO56="","",IF(AW56="Tidak dibuka","–",IF(INDEX('Reguler Class Availability'!$B:$B,AO56)&amp;""="","Kosong",PROPER(INDEX('Reguler Class Availability'!$B:$B,AO56)&amp;""))&amp;"  "&amp;IFERROR(--(INDEX('Reguler Class Availability'!$G:$G,AO56)&amp;""),0)&amp;"/"&amp;IFERROR(--(INDEX('Reguler Class Availability'!$F:$F,AO56)&amp;""),0)&amp;IF(IFERROR(--(INDEX('Reguler Class Availability'!$F:$F,AO56)&amp;""),0)&gt;0,"  ("&amp;TEXT(IFERROR(--(INDEX('Reguler Class Availability'!$G:$G,AO56)&amp;""),0)/IFERROR(--(INDEX('Reguler Class Availability'!$F:$F,AO56)&amp;""),0),"0%")&amp;")","")&amp;CHAR(10)&amp;IF(INDEX('Reguler Class Availability'!$I:$I,AO56)&amp;""="","coach: –",PROPER(INDEX('Reguler Class Availability'!$I:$I,AO56)&amp;""))&amp;IF(INDEX('Reguler Class Availability'!$J:$J,AO56)&amp;""="","",CHAR(10)&amp;"asst: "&amp;PROPER(INDEX('Reguler Class Availability'!$J:$J,AO56)&amp;""))))</f>
        <v>Little  2/4  (50%)
Angga</v>
      </c>
      <c r="D56" s="67" t="str">
        <f aca="false">IF(AP56="","",IF(AX56="Tidak dibuka","–",IF(INDEX('Reguler Class Availability'!$B:$B,AP56)&amp;""="","Kosong",PROPER(INDEX('Reguler Class Availability'!$B:$B,AP56)&amp;""))&amp;"  "&amp;IFERROR(--(INDEX('Reguler Class Availability'!$G:$G,AP56)&amp;""),0)&amp;"/"&amp;IFERROR(--(INDEX('Reguler Class Availability'!$F:$F,AP56)&amp;""),0)&amp;IF(IFERROR(--(INDEX('Reguler Class Availability'!$F:$F,AP56)&amp;""),0)&gt;0,"  ("&amp;TEXT(IFERROR(--(INDEX('Reguler Class Availability'!$G:$G,AP56)&amp;""),0)/IFERROR(--(INDEX('Reguler Class Availability'!$F:$F,AP56)&amp;""),0),"0%")&amp;")","")&amp;CHAR(10)&amp;IF(INDEX('Reguler Class Availability'!$I:$I,AP56)&amp;""="","coach: –",PROPER(INDEX('Reguler Class Availability'!$I:$I,AP56)&amp;""))&amp;IF(INDEX('Reguler Class Availability'!$J:$J,AP56)&amp;""="","",CHAR(10)&amp;"asst: "&amp;PROPER(INDEX('Reguler Class Availability'!$J:$J,AP56)&amp;""))))</f>
        <v>Little  0/4  (0%)
coach: –</v>
      </c>
      <c r="E56" s="67" t="str">
        <f aca="false">IF(AQ56="","",IF(AY56="Tidak dibuka","–",IF(INDEX('Reguler Class Availability'!$B:$B,AQ56)&amp;""="","Kosong",PROPER(INDEX('Reguler Class Availability'!$B:$B,AQ56)&amp;""))&amp;"  "&amp;IFERROR(--(INDEX('Reguler Class Availability'!$G:$G,AQ56)&amp;""),0)&amp;"/"&amp;IFERROR(--(INDEX('Reguler Class Availability'!$F:$F,AQ56)&amp;""),0)&amp;IF(IFERROR(--(INDEX('Reguler Class Availability'!$F:$F,AQ56)&amp;""),0)&gt;0,"  ("&amp;TEXT(IFERROR(--(INDEX('Reguler Class Availability'!$G:$G,AQ56)&amp;""),0)/IFERROR(--(INDEX('Reguler Class Availability'!$F:$F,AQ56)&amp;""),0),"0%")&amp;")","")&amp;CHAR(10)&amp;IF(INDEX('Reguler Class Availability'!$I:$I,AQ56)&amp;""="","coach: –",PROPER(INDEX('Reguler Class Availability'!$I:$I,AQ56)&amp;""))&amp;IF(INDEX('Reguler Class Availability'!$J:$J,AQ56)&amp;""="","",CHAR(10)&amp;"asst: "&amp;PROPER(INDEX('Reguler Class Availability'!$J:$J,AQ56)&amp;""))))</f>
        <v>Little  1/4  (25%)
Juan</v>
      </c>
      <c r="F56" s="67" t="str">
        <f aca="false">IF(AR56="","",IF(AZ56="Tidak dibuka","–",IF(INDEX('Reguler Class Availability'!$B:$B,AR56)&amp;""="","Kosong",PROPER(INDEX('Reguler Class Availability'!$B:$B,AR56)&amp;""))&amp;"  "&amp;IFERROR(--(INDEX('Reguler Class Availability'!$G:$G,AR56)&amp;""),0)&amp;"/"&amp;IFERROR(--(INDEX('Reguler Class Availability'!$F:$F,AR56)&amp;""),0)&amp;IF(IFERROR(--(INDEX('Reguler Class Availability'!$F:$F,AR56)&amp;""),0)&gt;0,"  ("&amp;TEXT(IFERROR(--(INDEX('Reguler Class Availability'!$G:$G,AR56)&amp;""),0)/IFERROR(--(INDEX('Reguler Class Availability'!$F:$F,AR56)&amp;""),0),"0%")&amp;")","")&amp;CHAR(10)&amp;IF(INDEX('Reguler Class Availability'!$I:$I,AR56)&amp;""="","coach: –",PROPER(INDEX('Reguler Class Availability'!$I:$I,AR56)&amp;""))&amp;IF(INDEX('Reguler Class Availability'!$J:$J,AR56)&amp;""="","",CHAR(10)&amp;"asst: "&amp;PROPER(INDEX('Reguler Class Availability'!$J:$J,AR56)&amp;""))))</f>
        <v>Little  1/4  (25%)
Silvi</v>
      </c>
      <c r="G56" s="67" t="str">
        <f aca="false">IF(AS56="","",IF(BA56="Tidak dibuka","–",IF(INDEX('Reguler Class Availability'!$B:$B,AS56)&amp;""="","Kosong",PROPER(INDEX('Reguler Class Availability'!$B:$B,AS56)&amp;""))&amp;"  "&amp;IFERROR(--(INDEX('Reguler Class Availability'!$G:$G,AS56)&amp;""),0)&amp;"/"&amp;IFERROR(--(INDEX('Reguler Class Availability'!$F:$F,AS56)&amp;""),0)&amp;IF(IFERROR(--(INDEX('Reguler Class Availability'!$F:$F,AS56)&amp;""),0)&gt;0,"  ("&amp;TEXT(IFERROR(--(INDEX('Reguler Class Availability'!$G:$G,AS56)&amp;""),0)/IFERROR(--(INDEX('Reguler Class Availability'!$F:$F,AS56)&amp;""),0),"0%")&amp;")","")&amp;CHAR(10)&amp;IF(INDEX('Reguler Class Availability'!$I:$I,AS56)&amp;""="","coach: –",PROPER(INDEX('Reguler Class Availability'!$I:$I,AS56)&amp;""))&amp;IF(INDEX('Reguler Class Availability'!$J:$J,AS56)&amp;""="","",CHAR(10)&amp;"asst: "&amp;PROPER(INDEX('Reguler Class Availability'!$J:$J,AS56)&amp;""))))</f>
        <v>Little  2/4  (50%)
Angga</v>
      </c>
      <c r="H56" s="67" t="str">
        <f aca="false">IF(AT56="","",IF(BB56="Tidak dibuka","–",IF(INDEX('Reguler Class Availability'!$B:$B,AT56)&amp;""="","Kosong",PROPER(INDEX('Reguler Class Availability'!$B:$B,AT56)&amp;""))&amp;"  "&amp;IFERROR(--(INDEX('Reguler Class Availability'!$G:$G,AT56)&amp;""),0)&amp;"/"&amp;IFERROR(--(INDEX('Reguler Class Availability'!$F:$F,AT56)&amp;""),0)&amp;IF(IFERROR(--(INDEX('Reguler Class Availability'!$F:$F,AT56)&amp;""),0)&gt;0,"  ("&amp;TEXT(IFERROR(--(INDEX('Reguler Class Availability'!$G:$G,AT56)&amp;""),0)/IFERROR(--(INDEX('Reguler Class Availability'!$F:$F,AT56)&amp;""),0),"0%")&amp;")","")&amp;CHAR(10)&amp;IF(INDEX('Reguler Class Availability'!$I:$I,AT56)&amp;""="","coach: –",PROPER(INDEX('Reguler Class Availability'!$I:$I,AT56)&amp;""))&amp;IF(INDEX('Reguler Class Availability'!$J:$J,AT56)&amp;""="","",CHAR(10)&amp;"asst: "&amp;PROPER(INDEX('Reguler Class Availability'!$J:$J,AT56)&amp;""))))</f>
        <v>Little  2/4  (50%)
Indra</v>
      </c>
      <c r="AN56" s="30" t="n">
        <f aca="false">IF($A56="","",IFERROR(MATCH($B$4&amp;"|- Lane 3 - "&amp;B$51&amp;"|"&amp;$A56,'Reguler Class Availability'!$L:$L,0),""))</f>
        <v>2596</v>
      </c>
      <c r="AO56" s="30" t="n">
        <f aca="false">IF($A56="","",IFERROR(MATCH($B$4&amp;"|- Lane 3 - "&amp;C$51&amp;"|"&amp;$A56,'Reguler Class Availability'!$L:$L,0),""))</f>
        <v>2608</v>
      </c>
      <c r="AP56" s="30" t="n">
        <f aca="false">IF($A56="","",IFERROR(MATCH($B$4&amp;"|- Lane 3 - "&amp;D$51&amp;"|"&amp;$A56,'Reguler Class Availability'!$L:$L,0),""))</f>
        <v>2620</v>
      </c>
      <c r="AQ56" s="30" t="n">
        <f aca="false">IF($A56="","",IFERROR(MATCH($B$4&amp;"|- Lane 3 - "&amp;E$51&amp;"|"&amp;$A56,'Reguler Class Availability'!$L:$L,0),""))</f>
        <v>2632</v>
      </c>
      <c r="AR56" s="30" t="n">
        <f aca="false">IF($A56="","",IFERROR(MATCH($B$4&amp;"|- Lane 3 - "&amp;F$51&amp;"|"&amp;$A56,'Reguler Class Availability'!$L:$L,0),""))</f>
        <v>2644</v>
      </c>
      <c r="AS56" s="30" t="n">
        <f aca="false">IF($A56="","",IFERROR(MATCH($B$4&amp;"|- Lane 3 - "&amp;G$51&amp;"|"&amp;$A56,'Reguler Class Availability'!$L:$L,0),""))</f>
        <v>2656</v>
      </c>
      <c r="AT56" s="30" t="n">
        <f aca="false">IF($A56="","",IFERROR(MATCH($B$4&amp;"|- Lane 3 - "&amp;H$51&amp;"|"&amp;$A56,'Reguler Class Availability'!$L:$L,0),""))</f>
        <v>2668</v>
      </c>
      <c r="AV56" s="0" t="str">
        <f aca="false">IF(AN56="","",IF(AND(IFERROR(--(INDEX('Reguler Class Availability'!$F:$F,AN56)&amp;""),0)=0,IFERROR(--(INDEX('Reguler Class Availability'!$G:$G,AN56)&amp;""),0)=0),IF(OR(INDEX('Reguler Class Availability'!$B:$B,AN56)&amp;""&lt;&gt;"",INDEX('Reguler Class Availability'!$I:$I,AN56)&amp;""&lt;&gt;""),"Tutup","Tidak dibuka"),IF(IFERROR(--(INDEX('Reguler Class Availability'!$G:$G,AN56)&amp;""),0)&gt;IFERROR(--(INDEX('Reguler Class Availability'!$F:$F,AN56)&amp;""),0),"Lebih",IF(IFERROR(--(INDEX('Reguler Class Availability'!$G:$G,AN56)&amp;""),0)=IFERROR(--(INDEX('Reguler Class Availability'!$F:$F,AN56)&amp;""),0),"Penuh",IF(IFERROR(--(INDEX('Reguler Class Availability'!$G:$G,AN56)&amp;""),0)=0,IF(INDEX('Reguler Class Availability'!$B:$B,AN56)&amp;""="","Kosong","Belum terisi"),IF(IFERROR(--(INDEX('Reguler Class Availability'!$G:$G,AN56)&amp;""),0)/IFERROR(--(INDEX('Reguler Class Availability'!$F:$F,AN56)&amp;""),0)&gt;=0.6,"Tinggi","Sebagian"))))))</f>
        <v>Sebagian</v>
      </c>
      <c r="AW56" s="0" t="str">
        <f aca="false">IF(AO56="","",IF(AND(IFERROR(--(INDEX('Reguler Class Availability'!$F:$F,AO56)&amp;""),0)=0,IFERROR(--(INDEX('Reguler Class Availability'!$G:$G,AO56)&amp;""),0)=0),IF(OR(INDEX('Reguler Class Availability'!$B:$B,AO56)&amp;""&lt;&gt;"",INDEX('Reguler Class Availability'!$I:$I,AO56)&amp;""&lt;&gt;""),"Tutup","Tidak dibuka"),IF(IFERROR(--(INDEX('Reguler Class Availability'!$G:$G,AO56)&amp;""),0)&gt;IFERROR(--(INDEX('Reguler Class Availability'!$F:$F,AO56)&amp;""),0),"Lebih",IF(IFERROR(--(INDEX('Reguler Class Availability'!$G:$G,AO56)&amp;""),0)=IFERROR(--(INDEX('Reguler Class Availability'!$F:$F,AO56)&amp;""),0),"Penuh",IF(IFERROR(--(INDEX('Reguler Class Availability'!$G:$G,AO56)&amp;""),0)=0,IF(INDEX('Reguler Class Availability'!$B:$B,AO56)&amp;""="","Kosong","Belum terisi"),IF(IFERROR(--(INDEX('Reguler Class Availability'!$G:$G,AO56)&amp;""),0)/IFERROR(--(INDEX('Reguler Class Availability'!$F:$F,AO56)&amp;""),0)&gt;=0.6,"Tinggi","Sebagian"))))))</f>
        <v>Sebagian</v>
      </c>
      <c r="AX56" s="0" t="str">
        <f aca="false">IF(AP56="","",IF(AND(IFERROR(--(INDEX('Reguler Class Availability'!$F:$F,AP56)&amp;""),0)=0,IFERROR(--(INDEX('Reguler Class Availability'!$G:$G,AP56)&amp;""),0)=0),IF(OR(INDEX('Reguler Class Availability'!$B:$B,AP56)&amp;""&lt;&gt;"",INDEX('Reguler Class Availability'!$I:$I,AP56)&amp;""&lt;&gt;""),"Tutup","Tidak dibuka"),IF(IFERROR(--(INDEX('Reguler Class Availability'!$G:$G,AP56)&amp;""),0)&gt;IFERROR(--(INDEX('Reguler Class Availability'!$F:$F,AP56)&amp;""),0),"Lebih",IF(IFERROR(--(INDEX('Reguler Class Availability'!$G:$G,AP56)&amp;""),0)=IFERROR(--(INDEX('Reguler Class Availability'!$F:$F,AP56)&amp;""),0),"Penuh",IF(IFERROR(--(INDEX('Reguler Class Availability'!$G:$G,AP56)&amp;""),0)=0,IF(INDEX('Reguler Class Availability'!$B:$B,AP56)&amp;""="","Kosong","Belum terisi"),IF(IFERROR(--(INDEX('Reguler Class Availability'!$G:$G,AP56)&amp;""),0)/IFERROR(--(INDEX('Reguler Class Availability'!$F:$F,AP56)&amp;""),0)&gt;=0.6,"Tinggi","Sebagian"))))))</f>
        <v>Belum terisi</v>
      </c>
      <c r="AY56" s="0" t="str">
        <f aca="false">IF(AQ56="","",IF(AND(IFERROR(--(INDEX('Reguler Class Availability'!$F:$F,AQ56)&amp;""),0)=0,IFERROR(--(INDEX('Reguler Class Availability'!$G:$G,AQ56)&amp;""),0)=0),IF(OR(INDEX('Reguler Class Availability'!$B:$B,AQ56)&amp;""&lt;&gt;"",INDEX('Reguler Class Availability'!$I:$I,AQ56)&amp;""&lt;&gt;""),"Tutup","Tidak dibuka"),IF(IFERROR(--(INDEX('Reguler Class Availability'!$G:$G,AQ56)&amp;""),0)&gt;IFERROR(--(INDEX('Reguler Class Availability'!$F:$F,AQ56)&amp;""),0),"Lebih",IF(IFERROR(--(INDEX('Reguler Class Availability'!$G:$G,AQ56)&amp;""),0)=IFERROR(--(INDEX('Reguler Class Availability'!$F:$F,AQ56)&amp;""),0),"Penuh",IF(IFERROR(--(INDEX('Reguler Class Availability'!$G:$G,AQ56)&amp;""),0)=0,IF(INDEX('Reguler Class Availability'!$B:$B,AQ56)&amp;""="","Kosong","Belum terisi"),IF(IFERROR(--(INDEX('Reguler Class Availability'!$G:$G,AQ56)&amp;""),0)/IFERROR(--(INDEX('Reguler Class Availability'!$F:$F,AQ56)&amp;""),0)&gt;=0.6,"Tinggi","Sebagian"))))))</f>
        <v>Sebagian</v>
      </c>
      <c r="AZ56" s="0" t="str">
        <f aca="false">IF(AR56="","",IF(AND(IFERROR(--(INDEX('Reguler Class Availability'!$F:$F,AR56)&amp;""),0)=0,IFERROR(--(INDEX('Reguler Class Availability'!$G:$G,AR56)&amp;""),0)=0),IF(OR(INDEX('Reguler Class Availability'!$B:$B,AR56)&amp;""&lt;&gt;"",INDEX('Reguler Class Availability'!$I:$I,AR56)&amp;""&lt;&gt;""),"Tutup","Tidak dibuka"),IF(IFERROR(--(INDEX('Reguler Class Availability'!$G:$G,AR56)&amp;""),0)&gt;IFERROR(--(INDEX('Reguler Class Availability'!$F:$F,AR56)&amp;""),0),"Lebih",IF(IFERROR(--(INDEX('Reguler Class Availability'!$G:$G,AR56)&amp;""),0)=IFERROR(--(INDEX('Reguler Class Availability'!$F:$F,AR56)&amp;""),0),"Penuh",IF(IFERROR(--(INDEX('Reguler Class Availability'!$G:$G,AR56)&amp;""),0)=0,IF(INDEX('Reguler Class Availability'!$B:$B,AR56)&amp;""="","Kosong","Belum terisi"),IF(IFERROR(--(INDEX('Reguler Class Availability'!$G:$G,AR56)&amp;""),0)/IFERROR(--(INDEX('Reguler Class Availability'!$F:$F,AR56)&amp;""),0)&gt;=0.6,"Tinggi","Sebagian"))))))</f>
        <v>Sebagian</v>
      </c>
      <c r="BA56" s="0" t="str">
        <f aca="false">IF(AS56="","",IF(AND(IFERROR(--(INDEX('Reguler Class Availability'!$F:$F,AS56)&amp;""),0)=0,IFERROR(--(INDEX('Reguler Class Availability'!$G:$G,AS56)&amp;""),0)=0),IF(OR(INDEX('Reguler Class Availability'!$B:$B,AS56)&amp;""&lt;&gt;"",INDEX('Reguler Class Availability'!$I:$I,AS56)&amp;""&lt;&gt;""),"Tutup","Tidak dibuka"),IF(IFERROR(--(INDEX('Reguler Class Availability'!$G:$G,AS56)&amp;""),0)&gt;IFERROR(--(INDEX('Reguler Class Availability'!$F:$F,AS56)&amp;""),0),"Lebih",IF(IFERROR(--(INDEX('Reguler Class Availability'!$G:$G,AS56)&amp;""),0)=IFERROR(--(INDEX('Reguler Class Availability'!$F:$F,AS56)&amp;""),0),"Penuh",IF(IFERROR(--(INDEX('Reguler Class Availability'!$G:$G,AS56)&amp;""),0)=0,IF(INDEX('Reguler Class Availability'!$B:$B,AS56)&amp;""="","Kosong","Belum terisi"),IF(IFERROR(--(INDEX('Reguler Class Availability'!$G:$G,AS56)&amp;""),0)/IFERROR(--(INDEX('Reguler Class Availability'!$F:$F,AS56)&amp;""),0)&gt;=0.6,"Tinggi","Sebagian"))))))</f>
        <v>Sebagian</v>
      </c>
      <c r="BB56" s="0" t="str">
        <f aca="false">IF(AT56="","",IF(AND(IFERROR(--(INDEX('Reguler Class Availability'!$F:$F,AT56)&amp;""),0)=0,IFERROR(--(INDEX('Reguler Class Availability'!$G:$G,AT56)&amp;""),0)=0),IF(OR(INDEX('Reguler Class Availability'!$B:$B,AT56)&amp;""&lt;&gt;"",INDEX('Reguler Class Availability'!$I:$I,AT56)&amp;""&lt;&gt;""),"Tutup","Tidak dibuka"),IF(IFERROR(--(INDEX('Reguler Class Availability'!$G:$G,AT56)&amp;""),0)&gt;IFERROR(--(INDEX('Reguler Class Availability'!$F:$F,AT56)&amp;""),0),"Lebih",IF(IFERROR(--(INDEX('Reguler Class Availability'!$G:$G,AT56)&amp;""),0)=IFERROR(--(INDEX('Reguler Class Availability'!$F:$F,AT56)&amp;""),0),"Penuh",IF(IFERROR(--(INDEX('Reguler Class Availability'!$G:$G,AT56)&amp;""),0)=0,IF(INDEX('Reguler Class Availability'!$B:$B,AT56)&amp;""="","Kosong","Belum terisi"),IF(IFERROR(--(INDEX('Reguler Class Availability'!$G:$G,AT56)&amp;""),0)/IFERROR(--(INDEX('Reguler Class Availability'!$F:$F,AT56)&amp;""),0)&gt;=0.6,"Tinggi","Sebagian"))))))</f>
        <v>Sebagian</v>
      </c>
      <c r="BD56" s="30" t="s">
        <v>166</v>
      </c>
      <c r="BE56" s="30" t="n">
        <f aca="false">IF(COUNTIFS('Reguler Class Availability'!$L:$L,$B$4&amp;"|- Lane 1 - *|"&amp;BD56)&gt;0,1,0)</f>
        <v>0</v>
      </c>
      <c r="BF56" s="30" t="n">
        <f aca="false">BE56+BF55</f>
        <v>14</v>
      </c>
    </row>
    <row r="57" customFormat="false" ht="39.75" hidden="false" customHeight="true" outlineLevel="0" collapsed="false">
      <c r="A57" s="66" t="str">
        <f aca="false">IFERROR(INDEX($BD$122:$BD$181,MATCH(6,$BF$122:$BF$181,0)),"")</f>
        <v>12:00</v>
      </c>
      <c r="B57" s="67" t="str">
        <f aca="false">IF(AN57="","",IF(AV57="Tidak dibuka","–",IF(INDEX('Reguler Class Availability'!$B:$B,AN57)&amp;""="","Kosong",PROPER(INDEX('Reguler Class Availability'!$B:$B,AN57)&amp;""))&amp;"  "&amp;IFERROR(--(INDEX('Reguler Class Availability'!$G:$G,AN57)&amp;""),0)&amp;"/"&amp;IFERROR(--(INDEX('Reguler Class Availability'!$F:$F,AN57)&amp;""),0)&amp;IF(IFERROR(--(INDEX('Reguler Class Availability'!$F:$F,AN57)&amp;""),0)&gt;0,"  ("&amp;TEXT(IFERROR(--(INDEX('Reguler Class Availability'!$G:$G,AN57)&amp;""),0)/IFERROR(--(INDEX('Reguler Class Availability'!$F:$F,AN57)&amp;""),0),"0%")&amp;")","")&amp;CHAR(10)&amp;IF(INDEX('Reguler Class Availability'!$I:$I,AN57)&amp;""="","coach: –",PROPER(INDEX('Reguler Class Availability'!$I:$I,AN57)&amp;""))&amp;IF(INDEX('Reguler Class Availability'!$J:$J,AN57)&amp;""="","",CHAR(10)&amp;"asst: "&amp;PROPER(INDEX('Reguler Class Availability'!$J:$J,AN57)&amp;""))))</f>
        <v>Little  0/4  (0%)
coach: –</v>
      </c>
      <c r="C57" s="67" t="str">
        <f aca="false">IF(AO57="","",IF(AW57="Tidak dibuka","–",IF(INDEX('Reguler Class Availability'!$B:$B,AO57)&amp;""="","Kosong",PROPER(INDEX('Reguler Class Availability'!$B:$B,AO57)&amp;""))&amp;"  "&amp;IFERROR(--(INDEX('Reguler Class Availability'!$G:$G,AO57)&amp;""),0)&amp;"/"&amp;IFERROR(--(INDEX('Reguler Class Availability'!$F:$F,AO57)&amp;""),0)&amp;IF(IFERROR(--(INDEX('Reguler Class Availability'!$F:$F,AO57)&amp;""),0)&gt;0,"  ("&amp;TEXT(IFERROR(--(INDEX('Reguler Class Availability'!$G:$G,AO57)&amp;""),0)/IFERROR(--(INDEX('Reguler Class Availability'!$F:$F,AO57)&amp;""),0),"0%")&amp;")","")&amp;CHAR(10)&amp;IF(INDEX('Reguler Class Availability'!$I:$I,AO57)&amp;""="","coach: –",PROPER(INDEX('Reguler Class Availability'!$I:$I,AO57)&amp;""))&amp;IF(INDEX('Reguler Class Availability'!$J:$J,AO57)&amp;""="","",CHAR(10)&amp;"asst: "&amp;PROPER(INDEX('Reguler Class Availability'!$J:$J,AO57)&amp;""))))</f>
        <v>Little  0/4  (0%)
coach: –</v>
      </c>
      <c r="D57" s="67" t="str">
        <f aca="false">IF(AP57="","",IF(AX57="Tidak dibuka","–",IF(INDEX('Reguler Class Availability'!$B:$B,AP57)&amp;""="","Kosong",PROPER(INDEX('Reguler Class Availability'!$B:$B,AP57)&amp;""))&amp;"  "&amp;IFERROR(--(INDEX('Reguler Class Availability'!$G:$G,AP57)&amp;""),0)&amp;"/"&amp;IFERROR(--(INDEX('Reguler Class Availability'!$F:$F,AP57)&amp;""),0)&amp;IF(IFERROR(--(INDEX('Reguler Class Availability'!$F:$F,AP57)&amp;""),0)&gt;0,"  ("&amp;TEXT(IFERROR(--(INDEX('Reguler Class Availability'!$G:$G,AP57)&amp;""),0)/IFERROR(--(INDEX('Reguler Class Availability'!$F:$F,AP57)&amp;""),0),"0%")&amp;")","")&amp;CHAR(10)&amp;IF(INDEX('Reguler Class Availability'!$I:$I,AP57)&amp;""="","coach: –",PROPER(INDEX('Reguler Class Availability'!$I:$I,AP57)&amp;""))&amp;IF(INDEX('Reguler Class Availability'!$J:$J,AP57)&amp;""="","",CHAR(10)&amp;"asst: "&amp;PROPER(INDEX('Reguler Class Availability'!$J:$J,AP57)&amp;""))))</f>
        <v>Little  0/4  (0%)
coach: –</v>
      </c>
      <c r="E57" s="67" t="str">
        <f aca="false">IF(AQ57="","",IF(AY57="Tidak dibuka","–",IF(INDEX('Reguler Class Availability'!$B:$B,AQ57)&amp;""="","Kosong",PROPER(INDEX('Reguler Class Availability'!$B:$B,AQ57)&amp;""))&amp;"  "&amp;IFERROR(--(INDEX('Reguler Class Availability'!$G:$G,AQ57)&amp;""),0)&amp;"/"&amp;IFERROR(--(INDEX('Reguler Class Availability'!$F:$F,AQ57)&amp;""),0)&amp;IF(IFERROR(--(INDEX('Reguler Class Availability'!$F:$F,AQ57)&amp;""),0)&gt;0,"  ("&amp;TEXT(IFERROR(--(INDEX('Reguler Class Availability'!$G:$G,AQ57)&amp;""),0)/IFERROR(--(INDEX('Reguler Class Availability'!$F:$F,AQ57)&amp;""),0),"0%")&amp;")","")&amp;CHAR(10)&amp;IF(INDEX('Reguler Class Availability'!$I:$I,AQ57)&amp;""="","coach: –",PROPER(INDEX('Reguler Class Availability'!$I:$I,AQ57)&amp;""))&amp;IF(INDEX('Reguler Class Availability'!$J:$J,AQ57)&amp;""="","",CHAR(10)&amp;"asst: "&amp;PROPER(INDEX('Reguler Class Availability'!$J:$J,AQ57)&amp;""))))</f>
        <v>Little  0/4  (0%)
coach: –</v>
      </c>
      <c r="F57" s="67" t="str">
        <f aca="false">IF(AR57="","",IF(AZ57="Tidak dibuka","–",IF(INDEX('Reguler Class Availability'!$B:$B,AR57)&amp;""="","Kosong",PROPER(INDEX('Reguler Class Availability'!$B:$B,AR57)&amp;""))&amp;"  "&amp;IFERROR(--(INDEX('Reguler Class Availability'!$G:$G,AR57)&amp;""),0)&amp;"/"&amp;IFERROR(--(INDEX('Reguler Class Availability'!$F:$F,AR57)&amp;""),0)&amp;IF(IFERROR(--(INDEX('Reguler Class Availability'!$F:$F,AR57)&amp;""),0)&gt;0,"  ("&amp;TEXT(IFERROR(--(INDEX('Reguler Class Availability'!$G:$G,AR57)&amp;""),0)/IFERROR(--(INDEX('Reguler Class Availability'!$F:$F,AR57)&amp;""),0),"0%")&amp;")","")&amp;CHAR(10)&amp;IF(INDEX('Reguler Class Availability'!$I:$I,AR57)&amp;""="","coach: –",PROPER(INDEX('Reguler Class Availability'!$I:$I,AR57)&amp;""))&amp;IF(INDEX('Reguler Class Availability'!$J:$J,AR57)&amp;""="","",CHAR(10)&amp;"asst: "&amp;PROPER(INDEX('Reguler Class Availability'!$J:$J,AR57)&amp;""))))</f>
        <v>Little  0/4  (0%)
coach: –</v>
      </c>
      <c r="G57" s="67" t="str">
        <f aca="false">IF(AS57="","",IF(BA57="Tidak dibuka","–",IF(INDEX('Reguler Class Availability'!$B:$B,AS57)&amp;""="","Kosong",PROPER(INDEX('Reguler Class Availability'!$B:$B,AS57)&amp;""))&amp;"  "&amp;IFERROR(--(INDEX('Reguler Class Availability'!$G:$G,AS57)&amp;""),0)&amp;"/"&amp;IFERROR(--(INDEX('Reguler Class Availability'!$F:$F,AS57)&amp;""),0)&amp;IF(IFERROR(--(INDEX('Reguler Class Availability'!$F:$F,AS57)&amp;""),0)&gt;0,"  ("&amp;TEXT(IFERROR(--(INDEX('Reguler Class Availability'!$G:$G,AS57)&amp;""),0)/IFERROR(--(INDEX('Reguler Class Availability'!$F:$F,AS57)&amp;""),0),"0%")&amp;")","")&amp;CHAR(10)&amp;IF(INDEX('Reguler Class Availability'!$I:$I,AS57)&amp;""="","coach: –",PROPER(INDEX('Reguler Class Availability'!$I:$I,AS57)&amp;""))&amp;IF(INDEX('Reguler Class Availability'!$J:$J,AS57)&amp;""="","",CHAR(10)&amp;"asst: "&amp;PROPER(INDEX('Reguler Class Availability'!$J:$J,AS57)&amp;""))))</f>
        <v>Little  0/4  (0%)
coach: –</v>
      </c>
      <c r="H57" s="67" t="str">
        <f aca="false">IF(AT57="","",IF(BB57="Tidak dibuka","–",IF(INDEX('Reguler Class Availability'!$B:$B,AT57)&amp;""="","Kosong",PROPER(INDEX('Reguler Class Availability'!$B:$B,AT57)&amp;""))&amp;"  "&amp;IFERROR(--(INDEX('Reguler Class Availability'!$G:$G,AT57)&amp;""),0)&amp;"/"&amp;IFERROR(--(INDEX('Reguler Class Availability'!$F:$F,AT57)&amp;""),0)&amp;IF(IFERROR(--(INDEX('Reguler Class Availability'!$F:$F,AT57)&amp;""),0)&gt;0,"  ("&amp;TEXT(IFERROR(--(INDEX('Reguler Class Availability'!$G:$G,AT57)&amp;""),0)/IFERROR(--(INDEX('Reguler Class Availability'!$F:$F,AT57)&amp;""),0),"0%")&amp;")","")&amp;CHAR(10)&amp;IF(INDEX('Reguler Class Availability'!$I:$I,AT57)&amp;""="","coach: –",PROPER(INDEX('Reguler Class Availability'!$I:$I,AT57)&amp;""))&amp;IF(INDEX('Reguler Class Availability'!$J:$J,AT57)&amp;""="","",CHAR(10)&amp;"asst: "&amp;PROPER(INDEX('Reguler Class Availability'!$J:$J,AT57)&amp;""))))</f>
        <v>Little  0/4  (0%)
coach: –</v>
      </c>
      <c r="AN57" s="30" t="n">
        <f aca="false">IF($A57="","",IFERROR(MATCH($B$4&amp;"|- Lane 3 - "&amp;B$51&amp;"|"&amp;$A57,'Reguler Class Availability'!$L:$L,0),""))</f>
        <v>2597</v>
      </c>
      <c r="AO57" s="30" t="n">
        <f aca="false">IF($A57="","",IFERROR(MATCH($B$4&amp;"|- Lane 3 - "&amp;C$51&amp;"|"&amp;$A57,'Reguler Class Availability'!$L:$L,0),""))</f>
        <v>2609</v>
      </c>
      <c r="AP57" s="30" t="n">
        <f aca="false">IF($A57="","",IFERROR(MATCH($B$4&amp;"|- Lane 3 - "&amp;D$51&amp;"|"&amp;$A57,'Reguler Class Availability'!$L:$L,0),""))</f>
        <v>2621</v>
      </c>
      <c r="AQ57" s="30" t="n">
        <f aca="false">IF($A57="","",IFERROR(MATCH($B$4&amp;"|- Lane 3 - "&amp;E$51&amp;"|"&amp;$A57,'Reguler Class Availability'!$L:$L,0),""))</f>
        <v>2633</v>
      </c>
      <c r="AR57" s="30" t="n">
        <f aca="false">IF($A57="","",IFERROR(MATCH($B$4&amp;"|- Lane 3 - "&amp;F$51&amp;"|"&amp;$A57,'Reguler Class Availability'!$L:$L,0),""))</f>
        <v>2645</v>
      </c>
      <c r="AS57" s="30" t="n">
        <f aca="false">IF($A57="","",IFERROR(MATCH($B$4&amp;"|- Lane 3 - "&amp;G$51&amp;"|"&amp;$A57,'Reguler Class Availability'!$L:$L,0),""))</f>
        <v>2657</v>
      </c>
      <c r="AT57" s="30" t="n">
        <f aca="false">IF($A57="","",IFERROR(MATCH($B$4&amp;"|- Lane 3 - "&amp;H$51&amp;"|"&amp;$A57,'Reguler Class Availability'!$L:$L,0),""))</f>
        <v>2669</v>
      </c>
      <c r="AV57" s="0" t="str">
        <f aca="false">IF(AN57="","",IF(AND(IFERROR(--(INDEX('Reguler Class Availability'!$F:$F,AN57)&amp;""),0)=0,IFERROR(--(INDEX('Reguler Class Availability'!$G:$G,AN57)&amp;""),0)=0),IF(OR(INDEX('Reguler Class Availability'!$B:$B,AN57)&amp;""&lt;&gt;"",INDEX('Reguler Class Availability'!$I:$I,AN57)&amp;""&lt;&gt;""),"Tutup","Tidak dibuka"),IF(IFERROR(--(INDEX('Reguler Class Availability'!$G:$G,AN57)&amp;""),0)&gt;IFERROR(--(INDEX('Reguler Class Availability'!$F:$F,AN57)&amp;""),0),"Lebih",IF(IFERROR(--(INDEX('Reguler Class Availability'!$G:$G,AN57)&amp;""),0)=IFERROR(--(INDEX('Reguler Class Availability'!$F:$F,AN57)&amp;""),0),"Penuh",IF(IFERROR(--(INDEX('Reguler Class Availability'!$G:$G,AN57)&amp;""),0)=0,IF(INDEX('Reguler Class Availability'!$B:$B,AN57)&amp;""="","Kosong","Belum terisi"),IF(IFERROR(--(INDEX('Reguler Class Availability'!$G:$G,AN57)&amp;""),0)/IFERROR(--(INDEX('Reguler Class Availability'!$F:$F,AN57)&amp;""),0)&gt;=0.6,"Tinggi","Sebagian"))))))</f>
        <v>Belum terisi</v>
      </c>
      <c r="AW57" s="0" t="str">
        <f aca="false">IF(AO57="","",IF(AND(IFERROR(--(INDEX('Reguler Class Availability'!$F:$F,AO57)&amp;""),0)=0,IFERROR(--(INDEX('Reguler Class Availability'!$G:$G,AO57)&amp;""),0)=0),IF(OR(INDEX('Reguler Class Availability'!$B:$B,AO57)&amp;""&lt;&gt;"",INDEX('Reguler Class Availability'!$I:$I,AO57)&amp;""&lt;&gt;""),"Tutup","Tidak dibuka"),IF(IFERROR(--(INDEX('Reguler Class Availability'!$G:$G,AO57)&amp;""),0)&gt;IFERROR(--(INDEX('Reguler Class Availability'!$F:$F,AO57)&amp;""),0),"Lebih",IF(IFERROR(--(INDEX('Reguler Class Availability'!$G:$G,AO57)&amp;""),0)=IFERROR(--(INDEX('Reguler Class Availability'!$F:$F,AO57)&amp;""),0),"Penuh",IF(IFERROR(--(INDEX('Reguler Class Availability'!$G:$G,AO57)&amp;""),0)=0,IF(INDEX('Reguler Class Availability'!$B:$B,AO57)&amp;""="","Kosong","Belum terisi"),IF(IFERROR(--(INDEX('Reguler Class Availability'!$G:$G,AO57)&amp;""),0)/IFERROR(--(INDEX('Reguler Class Availability'!$F:$F,AO57)&amp;""),0)&gt;=0.6,"Tinggi","Sebagian"))))))</f>
        <v>Belum terisi</v>
      </c>
      <c r="AX57" s="0" t="str">
        <f aca="false">IF(AP57="","",IF(AND(IFERROR(--(INDEX('Reguler Class Availability'!$F:$F,AP57)&amp;""),0)=0,IFERROR(--(INDEX('Reguler Class Availability'!$G:$G,AP57)&amp;""),0)=0),IF(OR(INDEX('Reguler Class Availability'!$B:$B,AP57)&amp;""&lt;&gt;"",INDEX('Reguler Class Availability'!$I:$I,AP57)&amp;""&lt;&gt;""),"Tutup","Tidak dibuka"),IF(IFERROR(--(INDEX('Reguler Class Availability'!$G:$G,AP57)&amp;""),0)&gt;IFERROR(--(INDEX('Reguler Class Availability'!$F:$F,AP57)&amp;""),0),"Lebih",IF(IFERROR(--(INDEX('Reguler Class Availability'!$G:$G,AP57)&amp;""),0)=IFERROR(--(INDEX('Reguler Class Availability'!$F:$F,AP57)&amp;""),0),"Penuh",IF(IFERROR(--(INDEX('Reguler Class Availability'!$G:$G,AP57)&amp;""),0)=0,IF(INDEX('Reguler Class Availability'!$B:$B,AP57)&amp;""="","Kosong","Belum terisi"),IF(IFERROR(--(INDEX('Reguler Class Availability'!$G:$G,AP57)&amp;""),0)/IFERROR(--(INDEX('Reguler Class Availability'!$F:$F,AP57)&amp;""),0)&gt;=0.6,"Tinggi","Sebagian"))))))</f>
        <v>Belum terisi</v>
      </c>
      <c r="AY57" s="0" t="str">
        <f aca="false">IF(AQ57="","",IF(AND(IFERROR(--(INDEX('Reguler Class Availability'!$F:$F,AQ57)&amp;""),0)=0,IFERROR(--(INDEX('Reguler Class Availability'!$G:$G,AQ57)&amp;""),0)=0),IF(OR(INDEX('Reguler Class Availability'!$B:$B,AQ57)&amp;""&lt;&gt;"",INDEX('Reguler Class Availability'!$I:$I,AQ57)&amp;""&lt;&gt;""),"Tutup","Tidak dibuka"),IF(IFERROR(--(INDEX('Reguler Class Availability'!$G:$G,AQ57)&amp;""),0)&gt;IFERROR(--(INDEX('Reguler Class Availability'!$F:$F,AQ57)&amp;""),0),"Lebih",IF(IFERROR(--(INDEX('Reguler Class Availability'!$G:$G,AQ57)&amp;""),0)=IFERROR(--(INDEX('Reguler Class Availability'!$F:$F,AQ57)&amp;""),0),"Penuh",IF(IFERROR(--(INDEX('Reguler Class Availability'!$G:$G,AQ57)&amp;""),0)=0,IF(INDEX('Reguler Class Availability'!$B:$B,AQ57)&amp;""="","Kosong","Belum terisi"),IF(IFERROR(--(INDEX('Reguler Class Availability'!$G:$G,AQ57)&amp;""),0)/IFERROR(--(INDEX('Reguler Class Availability'!$F:$F,AQ57)&amp;""),0)&gt;=0.6,"Tinggi","Sebagian"))))))</f>
        <v>Belum terisi</v>
      </c>
      <c r="AZ57" s="0" t="str">
        <f aca="false">IF(AR57="","",IF(AND(IFERROR(--(INDEX('Reguler Class Availability'!$F:$F,AR57)&amp;""),0)=0,IFERROR(--(INDEX('Reguler Class Availability'!$G:$G,AR57)&amp;""),0)=0),IF(OR(INDEX('Reguler Class Availability'!$B:$B,AR57)&amp;""&lt;&gt;"",INDEX('Reguler Class Availability'!$I:$I,AR57)&amp;""&lt;&gt;""),"Tutup","Tidak dibuka"),IF(IFERROR(--(INDEX('Reguler Class Availability'!$G:$G,AR57)&amp;""),0)&gt;IFERROR(--(INDEX('Reguler Class Availability'!$F:$F,AR57)&amp;""),0),"Lebih",IF(IFERROR(--(INDEX('Reguler Class Availability'!$G:$G,AR57)&amp;""),0)=IFERROR(--(INDEX('Reguler Class Availability'!$F:$F,AR57)&amp;""),0),"Penuh",IF(IFERROR(--(INDEX('Reguler Class Availability'!$G:$G,AR57)&amp;""),0)=0,IF(INDEX('Reguler Class Availability'!$B:$B,AR57)&amp;""="","Kosong","Belum terisi"),IF(IFERROR(--(INDEX('Reguler Class Availability'!$G:$G,AR57)&amp;""),0)/IFERROR(--(INDEX('Reguler Class Availability'!$F:$F,AR57)&amp;""),0)&gt;=0.6,"Tinggi","Sebagian"))))))</f>
        <v>Belum terisi</v>
      </c>
      <c r="BA57" s="0" t="str">
        <f aca="false">IF(AS57="","",IF(AND(IFERROR(--(INDEX('Reguler Class Availability'!$F:$F,AS57)&amp;""),0)=0,IFERROR(--(INDEX('Reguler Class Availability'!$G:$G,AS57)&amp;""),0)=0),IF(OR(INDEX('Reguler Class Availability'!$B:$B,AS57)&amp;""&lt;&gt;"",INDEX('Reguler Class Availability'!$I:$I,AS57)&amp;""&lt;&gt;""),"Tutup","Tidak dibuka"),IF(IFERROR(--(INDEX('Reguler Class Availability'!$G:$G,AS57)&amp;""),0)&gt;IFERROR(--(INDEX('Reguler Class Availability'!$F:$F,AS57)&amp;""),0),"Lebih",IF(IFERROR(--(INDEX('Reguler Class Availability'!$G:$G,AS57)&amp;""),0)=IFERROR(--(INDEX('Reguler Class Availability'!$F:$F,AS57)&amp;""),0),"Penuh",IF(IFERROR(--(INDEX('Reguler Class Availability'!$G:$G,AS57)&amp;""),0)=0,IF(INDEX('Reguler Class Availability'!$B:$B,AS57)&amp;""="","Kosong","Belum terisi"),IF(IFERROR(--(INDEX('Reguler Class Availability'!$G:$G,AS57)&amp;""),0)/IFERROR(--(INDEX('Reguler Class Availability'!$F:$F,AS57)&amp;""),0)&gt;=0.6,"Tinggi","Sebagian"))))))</f>
        <v>Belum terisi</v>
      </c>
      <c r="BB57" s="0" t="str">
        <f aca="false">IF(AT57="","",IF(AND(IFERROR(--(INDEX('Reguler Class Availability'!$F:$F,AT57)&amp;""),0)=0,IFERROR(--(INDEX('Reguler Class Availability'!$G:$G,AT57)&amp;""),0)=0),IF(OR(INDEX('Reguler Class Availability'!$B:$B,AT57)&amp;""&lt;&gt;"",INDEX('Reguler Class Availability'!$I:$I,AT57)&amp;""&lt;&gt;""),"Tutup","Tidak dibuka"),IF(IFERROR(--(INDEX('Reguler Class Availability'!$G:$G,AT57)&amp;""),0)&gt;IFERROR(--(INDEX('Reguler Class Availability'!$F:$F,AT57)&amp;""),0),"Lebih",IF(IFERROR(--(INDEX('Reguler Class Availability'!$G:$G,AT57)&amp;""),0)=IFERROR(--(INDEX('Reguler Class Availability'!$F:$F,AT57)&amp;""),0),"Penuh",IF(IFERROR(--(INDEX('Reguler Class Availability'!$G:$G,AT57)&amp;""),0)=0,IF(INDEX('Reguler Class Availability'!$B:$B,AT57)&amp;""="","Kosong","Belum terisi"),IF(IFERROR(--(INDEX('Reguler Class Availability'!$G:$G,AT57)&amp;""),0)/IFERROR(--(INDEX('Reguler Class Availability'!$F:$F,AT57)&amp;""),0)&gt;=0.6,"Tinggi","Sebagian"))))))</f>
        <v>Belum terisi</v>
      </c>
      <c r="BD57" s="30" t="s">
        <v>167</v>
      </c>
      <c r="BE57" s="30" t="n">
        <f aca="false">IF(COUNTIFS('Reguler Class Availability'!$L:$L,$B$4&amp;"|- Lane 1 - *|"&amp;BD57)&gt;0,1,0)</f>
        <v>0</v>
      </c>
      <c r="BF57" s="30" t="n">
        <f aca="false">BE57+BF56</f>
        <v>14</v>
      </c>
    </row>
    <row r="58" customFormat="false" ht="39.75" hidden="false" customHeight="true" outlineLevel="0" collapsed="false">
      <c r="A58" s="66" t="str">
        <f aca="false">IFERROR(INDEX($BD$122:$BD$181,MATCH(7,$BF$122:$BF$181,0)),"")</f>
        <v>13:30</v>
      </c>
      <c r="B58" s="67" t="str">
        <f aca="false">IF(AN58="","",IF(AV58="Tidak dibuka","–",IF(INDEX('Reguler Class Availability'!$B:$B,AN58)&amp;""="","Kosong",PROPER(INDEX('Reguler Class Availability'!$B:$B,AN58)&amp;""))&amp;"  "&amp;IFERROR(--(INDEX('Reguler Class Availability'!$G:$G,AN58)&amp;""),0)&amp;"/"&amp;IFERROR(--(INDEX('Reguler Class Availability'!$F:$F,AN58)&amp;""),0)&amp;IF(IFERROR(--(INDEX('Reguler Class Availability'!$F:$F,AN58)&amp;""),0)&gt;0,"  ("&amp;TEXT(IFERROR(--(INDEX('Reguler Class Availability'!$G:$G,AN58)&amp;""),0)/IFERROR(--(INDEX('Reguler Class Availability'!$F:$F,AN58)&amp;""),0),"0%")&amp;")","")&amp;CHAR(10)&amp;IF(INDEX('Reguler Class Availability'!$I:$I,AN58)&amp;""="","coach: –",PROPER(INDEX('Reguler Class Availability'!$I:$I,AN58)&amp;""))&amp;IF(INDEX('Reguler Class Availability'!$J:$J,AN58)&amp;""="","",CHAR(10)&amp;"asst: "&amp;PROPER(INDEX('Reguler Class Availability'!$J:$J,AN58)&amp;""))))</f>
        <v>Little  1/4  (25%)
Silvi</v>
      </c>
      <c r="C58" s="67" t="str">
        <f aca="false">IF(AO58="","",IF(AW58="Tidak dibuka","–",IF(INDEX('Reguler Class Availability'!$B:$B,AO58)&amp;""="","Kosong",PROPER(INDEX('Reguler Class Availability'!$B:$B,AO58)&amp;""))&amp;"  "&amp;IFERROR(--(INDEX('Reguler Class Availability'!$G:$G,AO58)&amp;""),0)&amp;"/"&amp;IFERROR(--(INDEX('Reguler Class Availability'!$F:$F,AO58)&amp;""),0)&amp;IF(IFERROR(--(INDEX('Reguler Class Availability'!$F:$F,AO58)&amp;""),0)&gt;0,"  ("&amp;TEXT(IFERROR(--(INDEX('Reguler Class Availability'!$G:$G,AO58)&amp;""),0)/IFERROR(--(INDEX('Reguler Class Availability'!$F:$F,AO58)&amp;""),0),"0%")&amp;")","")&amp;CHAR(10)&amp;IF(INDEX('Reguler Class Availability'!$I:$I,AO58)&amp;""="","coach: –",PROPER(INDEX('Reguler Class Availability'!$I:$I,AO58)&amp;""))&amp;IF(INDEX('Reguler Class Availability'!$J:$J,AO58)&amp;""="","",CHAR(10)&amp;"asst: "&amp;PROPER(INDEX('Reguler Class Availability'!$J:$J,AO58)&amp;""))))</f>
        <v>Little  0/4  (0%)
coach: –</v>
      </c>
      <c r="D58" s="67" t="str">
        <f aca="false">IF(AP58="","",IF(AX58="Tidak dibuka","–",IF(INDEX('Reguler Class Availability'!$B:$B,AP58)&amp;""="","Kosong",PROPER(INDEX('Reguler Class Availability'!$B:$B,AP58)&amp;""))&amp;"  "&amp;IFERROR(--(INDEX('Reguler Class Availability'!$G:$G,AP58)&amp;""),0)&amp;"/"&amp;IFERROR(--(INDEX('Reguler Class Availability'!$F:$F,AP58)&amp;""),0)&amp;IF(IFERROR(--(INDEX('Reguler Class Availability'!$F:$F,AP58)&amp;""),0)&gt;0,"  ("&amp;TEXT(IFERROR(--(INDEX('Reguler Class Availability'!$G:$G,AP58)&amp;""),0)/IFERROR(--(INDEX('Reguler Class Availability'!$F:$F,AP58)&amp;""),0),"0%")&amp;")","")&amp;CHAR(10)&amp;IF(INDEX('Reguler Class Availability'!$I:$I,AP58)&amp;""="","coach: –",PROPER(INDEX('Reguler Class Availability'!$I:$I,AP58)&amp;""))&amp;IF(INDEX('Reguler Class Availability'!$J:$J,AP58)&amp;""="","",CHAR(10)&amp;"asst: "&amp;PROPER(INDEX('Reguler Class Availability'!$J:$J,AP58)&amp;""))))</f>
        <v>Little  0/4  (0%)
coach: –</v>
      </c>
      <c r="E58" s="67" t="str">
        <f aca="false">IF(AQ58="","",IF(AY58="Tidak dibuka","–",IF(INDEX('Reguler Class Availability'!$B:$B,AQ58)&amp;""="","Kosong",PROPER(INDEX('Reguler Class Availability'!$B:$B,AQ58)&amp;""))&amp;"  "&amp;IFERROR(--(INDEX('Reguler Class Availability'!$G:$G,AQ58)&amp;""),0)&amp;"/"&amp;IFERROR(--(INDEX('Reguler Class Availability'!$F:$F,AQ58)&amp;""),0)&amp;IF(IFERROR(--(INDEX('Reguler Class Availability'!$F:$F,AQ58)&amp;""),0)&gt;0,"  ("&amp;TEXT(IFERROR(--(INDEX('Reguler Class Availability'!$G:$G,AQ58)&amp;""),0)/IFERROR(--(INDEX('Reguler Class Availability'!$F:$F,AQ58)&amp;""),0),"0%")&amp;")","")&amp;CHAR(10)&amp;IF(INDEX('Reguler Class Availability'!$I:$I,AQ58)&amp;""="","coach: –",PROPER(INDEX('Reguler Class Availability'!$I:$I,AQ58)&amp;""))&amp;IF(INDEX('Reguler Class Availability'!$J:$J,AQ58)&amp;""="","",CHAR(10)&amp;"asst: "&amp;PROPER(INDEX('Reguler Class Availability'!$J:$J,AQ58)&amp;""))))</f>
        <v>Little  0/4  (0%)
coach: –</v>
      </c>
      <c r="F58" s="67" t="str">
        <f aca="false">IF(AR58="","",IF(AZ58="Tidak dibuka","–",IF(INDEX('Reguler Class Availability'!$B:$B,AR58)&amp;""="","Kosong",PROPER(INDEX('Reguler Class Availability'!$B:$B,AR58)&amp;""))&amp;"  "&amp;IFERROR(--(INDEX('Reguler Class Availability'!$G:$G,AR58)&amp;""),0)&amp;"/"&amp;IFERROR(--(INDEX('Reguler Class Availability'!$F:$F,AR58)&amp;""),0)&amp;IF(IFERROR(--(INDEX('Reguler Class Availability'!$F:$F,AR58)&amp;""),0)&gt;0,"  ("&amp;TEXT(IFERROR(--(INDEX('Reguler Class Availability'!$G:$G,AR58)&amp;""),0)/IFERROR(--(INDEX('Reguler Class Availability'!$F:$F,AR58)&amp;""),0),"0%")&amp;")","")&amp;CHAR(10)&amp;IF(INDEX('Reguler Class Availability'!$I:$I,AR58)&amp;""="","coach: –",PROPER(INDEX('Reguler Class Availability'!$I:$I,AR58)&amp;""))&amp;IF(INDEX('Reguler Class Availability'!$J:$J,AR58)&amp;""="","",CHAR(10)&amp;"asst: "&amp;PROPER(INDEX('Reguler Class Availability'!$J:$J,AR58)&amp;""))))</f>
        <v>Little  1/4  (25%)
Silvi</v>
      </c>
      <c r="G58" s="67" t="str">
        <f aca="false">IF(AS58="","",IF(BA58="Tidak dibuka","–",IF(INDEX('Reguler Class Availability'!$B:$B,AS58)&amp;""="","Kosong",PROPER(INDEX('Reguler Class Availability'!$B:$B,AS58)&amp;""))&amp;"  "&amp;IFERROR(--(INDEX('Reguler Class Availability'!$G:$G,AS58)&amp;""),0)&amp;"/"&amp;IFERROR(--(INDEX('Reguler Class Availability'!$F:$F,AS58)&amp;""),0)&amp;IF(IFERROR(--(INDEX('Reguler Class Availability'!$F:$F,AS58)&amp;""),0)&gt;0,"  ("&amp;TEXT(IFERROR(--(INDEX('Reguler Class Availability'!$G:$G,AS58)&amp;""),0)/IFERROR(--(INDEX('Reguler Class Availability'!$F:$F,AS58)&amp;""),0),"0%")&amp;")","")&amp;CHAR(10)&amp;IF(INDEX('Reguler Class Availability'!$I:$I,AS58)&amp;""="","coach: –",PROPER(INDEX('Reguler Class Availability'!$I:$I,AS58)&amp;""))&amp;IF(INDEX('Reguler Class Availability'!$J:$J,AS58)&amp;""="","",CHAR(10)&amp;"asst: "&amp;PROPER(INDEX('Reguler Class Availability'!$J:$J,AS58)&amp;""))))</f>
        <v>Little  1/4  (25%)
coach: –</v>
      </c>
      <c r="H58" s="67" t="str">
        <f aca="false">IF(AT58="","",IF(BB58="Tidak dibuka","–",IF(INDEX('Reguler Class Availability'!$B:$B,AT58)&amp;""="","Kosong",PROPER(INDEX('Reguler Class Availability'!$B:$B,AT58)&amp;""))&amp;"  "&amp;IFERROR(--(INDEX('Reguler Class Availability'!$G:$G,AT58)&amp;""),0)&amp;"/"&amp;IFERROR(--(INDEX('Reguler Class Availability'!$F:$F,AT58)&amp;""),0)&amp;IF(IFERROR(--(INDEX('Reguler Class Availability'!$F:$F,AT58)&amp;""),0)&gt;0,"  ("&amp;TEXT(IFERROR(--(INDEX('Reguler Class Availability'!$G:$G,AT58)&amp;""),0)/IFERROR(--(INDEX('Reguler Class Availability'!$F:$F,AT58)&amp;""),0),"0%")&amp;")","")&amp;CHAR(10)&amp;IF(INDEX('Reguler Class Availability'!$I:$I,AT58)&amp;""="","coach: –",PROPER(INDEX('Reguler Class Availability'!$I:$I,AT58)&amp;""))&amp;IF(INDEX('Reguler Class Availability'!$J:$J,AT58)&amp;""="","",CHAR(10)&amp;"asst: "&amp;PROPER(INDEX('Reguler Class Availability'!$J:$J,AT58)&amp;""))))</f>
        <v>Little  0/4  (0%)
coach: –</v>
      </c>
      <c r="AN58" s="30" t="n">
        <f aca="false">IF($A58="","",IFERROR(MATCH($B$4&amp;"|- Lane 3 - "&amp;B$51&amp;"|"&amp;$A58,'Reguler Class Availability'!$L:$L,0),""))</f>
        <v>2598</v>
      </c>
      <c r="AO58" s="30" t="n">
        <f aca="false">IF($A58="","",IFERROR(MATCH($B$4&amp;"|- Lane 3 - "&amp;C$51&amp;"|"&amp;$A58,'Reguler Class Availability'!$L:$L,0),""))</f>
        <v>2610</v>
      </c>
      <c r="AP58" s="30" t="n">
        <f aca="false">IF($A58="","",IFERROR(MATCH($B$4&amp;"|- Lane 3 - "&amp;D$51&amp;"|"&amp;$A58,'Reguler Class Availability'!$L:$L,0),""))</f>
        <v>2622</v>
      </c>
      <c r="AQ58" s="30" t="n">
        <f aca="false">IF($A58="","",IFERROR(MATCH($B$4&amp;"|- Lane 3 - "&amp;E$51&amp;"|"&amp;$A58,'Reguler Class Availability'!$L:$L,0),""))</f>
        <v>2634</v>
      </c>
      <c r="AR58" s="30" t="n">
        <f aca="false">IF($A58="","",IFERROR(MATCH($B$4&amp;"|- Lane 3 - "&amp;F$51&amp;"|"&amp;$A58,'Reguler Class Availability'!$L:$L,0),""))</f>
        <v>2646</v>
      </c>
      <c r="AS58" s="30" t="n">
        <f aca="false">IF($A58="","",IFERROR(MATCH($B$4&amp;"|- Lane 3 - "&amp;G$51&amp;"|"&amp;$A58,'Reguler Class Availability'!$L:$L,0),""))</f>
        <v>2658</v>
      </c>
      <c r="AT58" s="30" t="n">
        <f aca="false">IF($A58="","",IFERROR(MATCH($B$4&amp;"|- Lane 3 - "&amp;H$51&amp;"|"&amp;$A58,'Reguler Class Availability'!$L:$L,0),""))</f>
        <v>2670</v>
      </c>
      <c r="AV58" s="0" t="str">
        <f aca="false">IF(AN58="","",IF(AND(IFERROR(--(INDEX('Reguler Class Availability'!$F:$F,AN58)&amp;""),0)=0,IFERROR(--(INDEX('Reguler Class Availability'!$G:$G,AN58)&amp;""),0)=0),IF(OR(INDEX('Reguler Class Availability'!$B:$B,AN58)&amp;""&lt;&gt;"",INDEX('Reguler Class Availability'!$I:$I,AN58)&amp;""&lt;&gt;""),"Tutup","Tidak dibuka"),IF(IFERROR(--(INDEX('Reguler Class Availability'!$G:$G,AN58)&amp;""),0)&gt;IFERROR(--(INDEX('Reguler Class Availability'!$F:$F,AN58)&amp;""),0),"Lebih",IF(IFERROR(--(INDEX('Reguler Class Availability'!$G:$G,AN58)&amp;""),0)=IFERROR(--(INDEX('Reguler Class Availability'!$F:$F,AN58)&amp;""),0),"Penuh",IF(IFERROR(--(INDEX('Reguler Class Availability'!$G:$G,AN58)&amp;""),0)=0,IF(INDEX('Reguler Class Availability'!$B:$B,AN58)&amp;""="","Kosong","Belum terisi"),IF(IFERROR(--(INDEX('Reguler Class Availability'!$G:$G,AN58)&amp;""),0)/IFERROR(--(INDEX('Reguler Class Availability'!$F:$F,AN58)&amp;""),0)&gt;=0.6,"Tinggi","Sebagian"))))))</f>
        <v>Sebagian</v>
      </c>
      <c r="AW58" s="0" t="str">
        <f aca="false">IF(AO58="","",IF(AND(IFERROR(--(INDEX('Reguler Class Availability'!$F:$F,AO58)&amp;""),0)=0,IFERROR(--(INDEX('Reguler Class Availability'!$G:$G,AO58)&amp;""),0)=0),IF(OR(INDEX('Reguler Class Availability'!$B:$B,AO58)&amp;""&lt;&gt;"",INDEX('Reguler Class Availability'!$I:$I,AO58)&amp;""&lt;&gt;""),"Tutup","Tidak dibuka"),IF(IFERROR(--(INDEX('Reguler Class Availability'!$G:$G,AO58)&amp;""),0)&gt;IFERROR(--(INDEX('Reguler Class Availability'!$F:$F,AO58)&amp;""),0),"Lebih",IF(IFERROR(--(INDEX('Reguler Class Availability'!$G:$G,AO58)&amp;""),0)=IFERROR(--(INDEX('Reguler Class Availability'!$F:$F,AO58)&amp;""),0),"Penuh",IF(IFERROR(--(INDEX('Reguler Class Availability'!$G:$G,AO58)&amp;""),0)=0,IF(INDEX('Reguler Class Availability'!$B:$B,AO58)&amp;""="","Kosong","Belum terisi"),IF(IFERROR(--(INDEX('Reguler Class Availability'!$G:$G,AO58)&amp;""),0)/IFERROR(--(INDEX('Reguler Class Availability'!$F:$F,AO58)&amp;""),0)&gt;=0.6,"Tinggi","Sebagian"))))))</f>
        <v>Belum terisi</v>
      </c>
      <c r="AX58" s="0" t="str">
        <f aca="false">IF(AP58="","",IF(AND(IFERROR(--(INDEX('Reguler Class Availability'!$F:$F,AP58)&amp;""),0)=0,IFERROR(--(INDEX('Reguler Class Availability'!$G:$G,AP58)&amp;""),0)=0),IF(OR(INDEX('Reguler Class Availability'!$B:$B,AP58)&amp;""&lt;&gt;"",INDEX('Reguler Class Availability'!$I:$I,AP58)&amp;""&lt;&gt;""),"Tutup","Tidak dibuka"),IF(IFERROR(--(INDEX('Reguler Class Availability'!$G:$G,AP58)&amp;""),0)&gt;IFERROR(--(INDEX('Reguler Class Availability'!$F:$F,AP58)&amp;""),0),"Lebih",IF(IFERROR(--(INDEX('Reguler Class Availability'!$G:$G,AP58)&amp;""),0)=IFERROR(--(INDEX('Reguler Class Availability'!$F:$F,AP58)&amp;""),0),"Penuh",IF(IFERROR(--(INDEX('Reguler Class Availability'!$G:$G,AP58)&amp;""),0)=0,IF(INDEX('Reguler Class Availability'!$B:$B,AP58)&amp;""="","Kosong","Belum terisi"),IF(IFERROR(--(INDEX('Reguler Class Availability'!$G:$G,AP58)&amp;""),0)/IFERROR(--(INDEX('Reguler Class Availability'!$F:$F,AP58)&amp;""),0)&gt;=0.6,"Tinggi","Sebagian"))))))</f>
        <v>Belum terisi</v>
      </c>
      <c r="AY58" s="0" t="str">
        <f aca="false">IF(AQ58="","",IF(AND(IFERROR(--(INDEX('Reguler Class Availability'!$F:$F,AQ58)&amp;""),0)=0,IFERROR(--(INDEX('Reguler Class Availability'!$G:$G,AQ58)&amp;""),0)=0),IF(OR(INDEX('Reguler Class Availability'!$B:$B,AQ58)&amp;""&lt;&gt;"",INDEX('Reguler Class Availability'!$I:$I,AQ58)&amp;""&lt;&gt;""),"Tutup","Tidak dibuka"),IF(IFERROR(--(INDEX('Reguler Class Availability'!$G:$G,AQ58)&amp;""),0)&gt;IFERROR(--(INDEX('Reguler Class Availability'!$F:$F,AQ58)&amp;""),0),"Lebih",IF(IFERROR(--(INDEX('Reguler Class Availability'!$G:$G,AQ58)&amp;""),0)=IFERROR(--(INDEX('Reguler Class Availability'!$F:$F,AQ58)&amp;""),0),"Penuh",IF(IFERROR(--(INDEX('Reguler Class Availability'!$G:$G,AQ58)&amp;""),0)=0,IF(INDEX('Reguler Class Availability'!$B:$B,AQ58)&amp;""="","Kosong","Belum terisi"),IF(IFERROR(--(INDEX('Reguler Class Availability'!$G:$G,AQ58)&amp;""),0)/IFERROR(--(INDEX('Reguler Class Availability'!$F:$F,AQ58)&amp;""),0)&gt;=0.6,"Tinggi","Sebagian"))))))</f>
        <v>Belum terisi</v>
      </c>
      <c r="AZ58" s="0" t="str">
        <f aca="false">IF(AR58="","",IF(AND(IFERROR(--(INDEX('Reguler Class Availability'!$F:$F,AR58)&amp;""),0)=0,IFERROR(--(INDEX('Reguler Class Availability'!$G:$G,AR58)&amp;""),0)=0),IF(OR(INDEX('Reguler Class Availability'!$B:$B,AR58)&amp;""&lt;&gt;"",INDEX('Reguler Class Availability'!$I:$I,AR58)&amp;""&lt;&gt;""),"Tutup","Tidak dibuka"),IF(IFERROR(--(INDEX('Reguler Class Availability'!$G:$G,AR58)&amp;""),0)&gt;IFERROR(--(INDEX('Reguler Class Availability'!$F:$F,AR58)&amp;""),0),"Lebih",IF(IFERROR(--(INDEX('Reguler Class Availability'!$G:$G,AR58)&amp;""),0)=IFERROR(--(INDEX('Reguler Class Availability'!$F:$F,AR58)&amp;""),0),"Penuh",IF(IFERROR(--(INDEX('Reguler Class Availability'!$G:$G,AR58)&amp;""),0)=0,IF(INDEX('Reguler Class Availability'!$B:$B,AR58)&amp;""="","Kosong","Belum terisi"),IF(IFERROR(--(INDEX('Reguler Class Availability'!$G:$G,AR58)&amp;""),0)/IFERROR(--(INDEX('Reguler Class Availability'!$F:$F,AR58)&amp;""),0)&gt;=0.6,"Tinggi","Sebagian"))))))</f>
        <v>Sebagian</v>
      </c>
      <c r="BA58" s="0" t="str">
        <f aca="false">IF(AS58="","",IF(AND(IFERROR(--(INDEX('Reguler Class Availability'!$F:$F,AS58)&amp;""),0)=0,IFERROR(--(INDEX('Reguler Class Availability'!$G:$G,AS58)&amp;""),0)=0),IF(OR(INDEX('Reguler Class Availability'!$B:$B,AS58)&amp;""&lt;&gt;"",INDEX('Reguler Class Availability'!$I:$I,AS58)&amp;""&lt;&gt;""),"Tutup","Tidak dibuka"),IF(IFERROR(--(INDEX('Reguler Class Availability'!$G:$G,AS58)&amp;""),0)&gt;IFERROR(--(INDEX('Reguler Class Availability'!$F:$F,AS58)&amp;""),0),"Lebih",IF(IFERROR(--(INDEX('Reguler Class Availability'!$G:$G,AS58)&amp;""),0)=IFERROR(--(INDEX('Reguler Class Availability'!$F:$F,AS58)&amp;""),0),"Penuh",IF(IFERROR(--(INDEX('Reguler Class Availability'!$G:$G,AS58)&amp;""),0)=0,IF(INDEX('Reguler Class Availability'!$B:$B,AS58)&amp;""="","Kosong","Belum terisi"),IF(IFERROR(--(INDEX('Reguler Class Availability'!$G:$G,AS58)&amp;""),0)/IFERROR(--(INDEX('Reguler Class Availability'!$F:$F,AS58)&amp;""),0)&gt;=0.6,"Tinggi","Sebagian"))))))</f>
        <v>Sebagian</v>
      </c>
      <c r="BB58" s="0" t="str">
        <f aca="false">IF(AT58="","",IF(AND(IFERROR(--(INDEX('Reguler Class Availability'!$F:$F,AT58)&amp;""),0)=0,IFERROR(--(INDEX('Reguler Class Availability'!$G:$G,AT58)&amp;""),0)=0),IF(OR(INDEX('Reguler Class Availability'!$B:$B,AT58)&amp;""&lt;&gt;"",INDEX('Reguler Class Availability'!$I:$I,AT58)&amp;""&lt;&gt;""),"Tutup","Tidak dibuka"),IF(IFERROR(--(INDEX('Reguler Class Availability'!$G:$G,AT58)&amp;""),0)&gt;IFERROR(--(INDEX('Reguler Class Availability'!$F:$F,AT58)&amp;""),0),"Lebih",IF(IFERROR(--(INDEX('Reguler Class Availability'!$G:$G,AT58)&amp;""),0)=IFERROR(--(INDEX('Reguler Class Availability'!$F:$F,AT58)&amp;""),0),"Penuh",IF(IFERROR(--(INDEX('Reguler Class Availability'!$G:$G,AT58)&amp;""),0)=0,IF(INDEX('Reguler Class Availability'!$B:$B,AT58)&amp;""="","Kosong","Belum terisi"),IF(IFERROR(--(INDEX('Reguler Class Availability'!$G:$G,AT58)&amp;""),0)/IFERROR(--(INDEX('Reguler Class Availability'!$F:$F,AT58)&amp;""),0)&gt;=0.6,"Tinggi","Sebagian"))))))</f>
        <v>Belum terisi</v>
      </c>
      <c r="BD58" s="30" t="s">
        <v>168</v>
      </c>
      <c r="BE58" s="30" t="n">
        <f aca="false">IF(COUNTIFS('Reguler Class Availability'!$L:$L,$B$4&amp;"|- Lane 1 - *|"&amp;BD58)&gt;0,1,0)</f>
        <v>0</v>
      </c>
      <c r="BF58" s="30" t="n">
        <f aca="false">BE58+BF57</f>
        <v>14</v>
      </c>
    </row>
    <row r="59" customFormat="false" ht="39.75" hidden="false" customHeight="true" outlineLevel="0" collapsed="false">
      <c r="A59" s="66" t="str">
        <f aca="false">IFERROR(INDEX($BD$122:$BD$181,MATCH(8,$BF$122:$BF$181,0)),"")</f>
        <v>14:15</v>
      </c>
      <c r="B59" s="67" t="str">
        <f aca="false">IF(AN59="","",IF(AV59="Tidak dibuka","–",IF(INDEX('Reguler Class Availability'!$B:$B,AN59)&amp;""="","Kosong",PROPER(INDEX('Reguler Class Availability'!$B:$B,AN59)&amp;""))&amp;"  "&amp;IFERROR(--(INDEX('Reguler Class Availability'!$G:$G,AN59)&amp;""),0)&amp;"/"&amp;IFERROR(--(INDEX('Reguler Class Availability'!$F:$F,AN59)&amp;""),0)&amp;IF(IFERROR(--(INDEX('Reguler Class Availability'!$F:$F,AN59)&amp;""),0)&gt;0,"  ("&amp;TEXT(IFERROR(--(INDEX('Reguler Class Availability'!$G:$G,AN59)&amp;""),0)/IFERROR(--(INDEX('Reguler Class Availability'!$F:$F,AN59)&amp;""),0),"0%")&amp;")","")&amp;CHAR(10)&amp;IF(INDEX('Reguler Class Availability'!$I:$I,AN59)&amp;""="","coach: –",PROPER(INDEX('Reguler Class Availability'!$I:$I,AN59)&amp;""))&amp;IF(INDEX('Reguler Class Availability'!$J:$J,AN59)&amp;""="","",CHAR(10)&amp;"asst: "&amp;PROPER(INDEX('Reguler Class Availability'!$J:$J,AN59)&amp;""))))</f>
        <v>Little  0/4  (0%)
coach: –</v>
      </c>
      <c r="C59" s="67" t="str">
        <f aca="false">IF(AO59="","",IF(AW59="Tidak dibuka","–",IF(INDEX('Reguler Class Availability'!$B:$B,AO59)&amp;""="","Kosong",PROPER(INDEX('Reguler Class Availability'!$B:$B,AO59)&amp;""))&amp;"  "&amp;IFERROR(--(INDEX('Reguler Class Availability'!$G:$G,AO59)&amp;""),0)&amp;"/"&amp;IFERROR(--(INDEX('Reguler Class Availability'!$F:$F,AO59)&amp;""),0)&amp;IF(IFERROR(--(INDEX('Reguler Class Availability'!$F:$F,AO59)&amp;""),0)&gt;0,"  ("&amp;TEXT(IFERROR(--(INDEX('Reguler Class Availability'!$G:$G,AO59)&amp;""),0)/IFERROR(--(INDEX('Reguler Class Availability'!$F:$F,AO59)&amp;""),0),"0%")&amp;")","")&amp;CHAR(10)&amp;IF(INDEX('Reguler Class Availability'!$I:$I,AO59)&amp;""="","coach: –",PROPER(INDEX('Reguler Class Availability'!$I:$I,AO59)&amp;""))&amp;IF(INDEX('Reguler Class Availability'!$J:$J,AO59)&amp;""="","",CHAR(10)&amp;"asst: "&amp;PROPER(INDEX('Reguler Class Availability'!$J:$J,AO59)&amp;""))))</f>
        <v>Little  0/4  (0%)
coach: –</v>
      </c>
      <c r="D59" s="67" t="str">
        <f aca="false">IF(AP59="","",IF(AX59="Tidak dibuka","–",IF(INDEX('Reguler Class Availability'!$B:$B,AP59)&amp;""="","Kosong",PROPER(INDEX('Reguler Class Availability'!$B:$B,AP59)&amp;""))&amp;"  "&amp;IFERROR(--(INDEX('Reguler Class Availability'!$G:$G,AP59)&amp;""),0)&amp;"/"&amp;IFERROR(--(INDEX('Reguler Class Availability'!$F:$F,AP59)&amp;""),0)&amp;IF(IFERROR(--(INDEX('Reguler Class Availability'!$F:$F,AP59)&amp;""),0)&gt;0,"  ("&amp;TEXT(IFERROR(--(INDEX('Reguler Class Availability'!$G:$G,AP59)&amp;""),0)/IFERROR(--(INDEX('Reguler Class Availability'!$F:$F,AP59)&amp;""),0),"0%")&amp;")","")&amp;CHAR(10)&amp;IF(INDEX('Reguler Class Availability'!$I:$I,AP59)&amp;""="","coach: –",PROPER(INDEX('Reguler Class Availability'!$I:$I,AP59)&amp;""))&amp;IF(INDEX('Reguler Class Availability'!$J:$J,AP59)&amp;""="","",CHAR(10)&amp;"asst: "&amp;PROPER(INDEX('Reguler Class Availability'!$J:$J,AP59)&amp;""))))</f>
        <v>Little  0/4  (0%)
coach: –</v>
      </c>
      <c r="E59" s="67" t="str">
        <f aca="false">IF(AQ59="","",IF(AY59="Tidak dibuka","–",IF(INDEX('Reguler Class Availability'!$B:$B,AQ59)&amp;""="","Kosong",PROPER(INDEX('Reguler Class Availability'!$B:$B,AQ59)&amp;""))&amp;"  "&amp;IFERROR(--(INDEX('Reguler Class Availability'!$G:$G,AQ59)&amp;""),0)&amp;"/"&amp;IFERROR(--(INDEX('Reguler Class Availability'!$F:$F,AQ59)&amp;""),0)&amp;IF(IFERROR(--(INDEX('Reguler Class Availability'!$F:$F,AQ59)&amp;""),0)&gt;0,"  ("&amp;TEXT(IFERROR(--(INDEX('Reguler Class Availability'!$G:$G,AQ59)&amp;""),0)/IFERROR(--(INDEX('Reguler Class Availability'!$F:$F,AQ59)&amp;""),0),"0%")&amp;")","")&amp;CHAR(10)&amp;IF(INDEX('Reguler Class Availability'!$I:$I,AQ59)&amp;""="","coach: –",PROPER(INDEX('Reguler Class Availability'!$I:$I,AQ59)&amp;""))&amp;IF(INDEX('Reguler Class Availability'!$J:$J,AQ59)&amp;""="","",CHAR(10)&amp;"asst: "&amp;PROPER(INDEX('Reguler Class Availability'!$J:$J,AQ59)&amp;""))))</f>
        <v>Little  0/4  (0%)
coach: –</v>
      </c>
      <c r="F59" s="67" t="str">
        <f aca="false">IF(AR59="","",IF(AZ59="Tidak dibuka","–",IF(INDEX('Reguler Class Availability'!$B:$B,AR59)&amp;""="","Kosong",PROPER(INDEX('Reguler Class Availability'!$B:$B,AR59)&amp;""))&amp;"  "&amp;IFERROR(--(INDEX('Reguler Class Availability'!$G:$G,AR59)&amp;""),0)&amp;"/"&amp;IFERROR(--(INDEX('Reguler Class Availability'!$F:$F,AR59)&amp;""),0)&amp;IF(IFERROR(--(INDEX('Reguler Class Availability'!$F:$F,AR59)&amp;""),0)&gt;0,"  ("&amp;TEXT(IFERROR(--(INDEX('Reguler Class Availability'!$G:$G,AR59)&amp;""),0)/IFERROR(--(INDEX('Reguler Class Availability'!$F:$F,AR59)&amp;""),0),"0%")&amp;")","")&amp;CHAR(10)&amp;IF(INDEX('Reguler Class Availability'!$I:$I,AR59)&amp;""="","coach: –",PROPER(INDEX('Reguler Class Availability'!$I:$I,AR59)&amp;""))&amp;IF(INDEX('Reguler Class Availability'!$J:$J,AR59)&amp;""="","",CHAR(10)&amp;"asst: "&amp;PROPER(INDEX('Reguler Class Availability'!$J:$J,AR59)&amp;""))))</f>
        <v>Little  0/4  (0%)
coach: –</v>
      </c>
      <c r="G59" s="67" t="str">
        <f aca="false">IF(AS59="","",IF(BA59="Tidak dibuka","–",IF(INDEX('Reguler Class Availability'!$B:$B,AS59)&amp;""="","Kosong",PROPER(INDEX('Reguler Class Availability'!$B:$B,AS59)&amp;""))&amp;"  "&amp;IFERROR(--(INDEX('Reguler Class Availability'!$G:$G,AS59)&amp;""),0)&amp;"/"&amp;IFERROR(--(INDEX('Reguler Class Availability'!$F:$F,AS59)&amp;""),0)&amp;IF(IFERROR(--(INDEX('Reguler Class Availability'!$F:$F,AS59)&amp;""),0)&gt;0,"  ("&amp;TEXT(IFERROR(--(INDEX('Reguler Class Availability'!$G:$G,AS59)&amp;""),0)/IFERROR(--(INDEX('Reguler Class Availability'!$F:$F,AS59)&amp;""),0),"0%")&amp;")","")&amp;CHAR(10)&amp;IF(INDEX('Reguler Class Availability'!$I:$I,AS59)&amp;""="","coach: –",PROPER(INDEX('Reguler Class Availability'!$I:$I,AS59)&amp;""))&amp;IF(INDEX('Reguler Class Availability'!$J:$J,AS59)&amp;""="","",CHAR(10)&amp;"asst: "&amp;PROPER(INDEX('Reguler Class Availability'!$J:$J,AS59)&amp;""))))</f>
        <v>Little  1/4  (25%)
Shabrina</v>
      </c>
      <c r="H59" s="67" t="str">
        <f aca="false">IF(AT59="","",IF(BB59="Tidak dibuka","–",IF(INDEX('Reguler Class Availability'!$B:$B,AT59)&amp;""="","Kosong",PROPER(INDEX('Reguler Class Availability'!$B:$B,AT59)&amp;""))&amp;"  "&amp;IFERROR(--(INDEX('Reguler Class Availability'!$G:$G,AT59)&amp;""),0)&amp;"/"&amp;IFERROR(--(INDEX('Reguler Class Availability'!$F:$F,AT59)&amp;""),0)&amp;IF(IFERROR(--(INDEX('Reguler Class Availability'!$F:$F,AT59)&amp;""),0)&gt;0,"  ("&amp;TEXT(IFERROR(--(INDEX('Reguler Class Availability'!$G:$G,AT59)&amp;""),0)/IFERROR(--(INDEX('Reguler Class Availability'!$F:$F,AT59)&amp;""),0),"0%")&amp;")","")&amp;CHAR(10)&amp;IF(INDEX('Reguler Class Availability'!$I:$I,AT59)&amp;""="","coach: –",PROPER(INDEX('Reguler Class Availability'!$I:$I,AT59)&amp;""))&amp;IF(INDEX('Reguler Class Availability'!$J:$J,AT59)&amp;""="","",CHAR(10)&amp;"asst: "&amp;PROPER(INDEX('Reguler Class Availability'!$J:$J,AT59)&amp;""))))</f>
        <v>Little  0/4  (0%)
coach: –</v>
      </c>
      <c r="AN59" s="30" t="n">
        <f aca="false">IF($A59="","",IFERROR(MATCH($B$4&amp;"|- Lane 3 - "&amp;B$51&amp;"|"&amp;$A59,'Reguler Class Availability'!$L:$L,0),""))</f>
        <v>2599</v>
      </c>
      <c r="AO59" s="30" t="n">
        <f aca="false">IF($A59="","",IFERROR(MATCH($B$4&amp;"|- Lane 3 - "&amp;C$51&amp;"|"&amp;$A59,'Reguler Class Availability'!$L:$L,0),""))</f>
        <v>2611</v>
      </c>
      <c r="AP59" s="30" t="n">
        <f aca="false">IF($A59="","",IFERROR(MATCH($B$4&amp;"|- Lane 3 - "&amp;D$51&amp;"|"&amp;$A59,'Reguler Class Availability'!$L:$L,0),""))</f>
        <v>2623</v>
      </c>
      <c r="AQ59" s="30" t="n">
        <f aca="false">IF($A59="","",IFERROR(MATCH($B$4&amp;"|- Lane 3 - "&amp;E$51&amp;"|"&amp;$A59,'Reguler Class Availability'!$L:$L,0),""))</f>
        <v>2635</v>
      </c>
      <c r="AR59" s="30" t="n">
        <f aca="false">IF($A59="","",IFERROR(MATCH($B$4&amp;"|- Lane 3 - "&amp;F$51&amp;"|"&amp;$A59,'Reguler Class Availability'!$L:$L,0),""))</f>
        <v>2647</v>
      </c>
      <c r="AS59" s="30" t="n">
        <f aca="false">IF($A59="","",IFERROR(MATCH($B$4&amp;"|- Lane 3 - "&amp;G$51&amp;"|"&amp;$A59,'Reguler Class Availability'!$L:$L,0),""))</f>
        <v>2659</v>
      </c>
      <c r="AT59" s="30" t="n">
        <f aca="false">IF($A59="","",IFERROR(MATCH($B$4&amp;"|- Lane 3 - "&amp;H$51&amp;"|"&amp;$A59,'Reguler Class Availability'!$L:$L,0),""))</f>
        <v>2671</v>
      </c>
      <c r="AV59" s="0" t="str">
        <f aca="false">IF(AN59="","",IF(AND(IFERROR(--(INDEX('Reguler Class Availability'!$F:$F,AN59)&amp;""),0)=0,IFERROR(--(INDEX('Reguler Class Availability'!$G:$G,AN59)&amp;""),0)=0),IF(OR(INDEX('Reguler Class Availability'!$B:$B,AN59)&amp;""&lt;&gt;"",INDEX('Reguler Class Availability'!$I:$I,AN59)&amp;""&lt;&gt;""),"Tutup","Tidak dibuka"),IF(IFERROR(--(INDEX('Reguler Class Availability'!$G:$G,AN59)&amp;""),0)&gt;IFERROR(--(INDEX('Reguler Class Availability'!$F:$F,AN59)&amp;""),0),"Lebih",IF(IFERROR(--(INDEX('Reguler Class Availability'!$G:$G,AN59)&amp;""),0)=IFERROR(--(INDEX('Reguler Class Availability'!$F:$F,AN59)&amp;""),0),"Penuh",IF(IFERROR(--(INDEX('Reguler Class Availability'!$G:$G,AN59)&amp;""),0)=0,IF(INDEX('Reguler Class Availability'!$B:$B,AN59)&amp;""="","Kosong","Belum terisi"),IF(IFERROR(--(INDEX('Reguler Class Availability'!$G:$G,AN59)&amp;""),0)/IFERROR(--(INDEX('Reguler Class Availability'!$F:$F,AN59)&amp;""),0)&gt;=0.6,"Tinggi","Sebagian"))))))</f>
        <v>Belum terisi</v>
      </c>
      <c r="AW59" s="0" t="str">
        <f aca="false">IF(AO59="","",IF(AND(IFERROR(--(INDEX('Reguler Class Availability'!$F:$F,AO59)&amp;""),0)=0,IFERROR(--(INDEX('Reguler Class Availability'!$G:$G,AO59)&amp;""),0)=0),IF(OR(INDEX('Reguler Class Availability'!$B:$B,AO59)&amp;""&lt;&gt;"",INDEX('Reguler Class Availability'!$I:$I,AO59)&amp;""&lt;&gt;""),"Tutup","Tidak dibuka"),IF(IFERROR(--(INDEX('Reguler Class Availability'!$G:$G,AO59)&amp;""),0)&gt;IFERROR(--(INDEX('Reguler Class Availability'!$F:$F,AO59)&amp;""),0),"Lebih",IF(IFERROR(--(INDEX('Reguler Class Availability'!$G:$G,AO59)&amp;""),0)=IFERROR(--(INDEX('Reguler Class Availability'!$F:$F,AO59)&amp;""),0),"Penuh",IF(IFERROR(--(INDEX('Reguler Class Availability'!$G:$G,AO59)&amp;""),0)=0,IF(INDEX('Reguler Class Availability'!$B:$B,AO59)&amp;""="","Kosong","Belum terisi"),IF(IFERROR(--(INDEX('Reguler Class Availability'!$G:$G,AO59)&amp;""),0)/IFERROR(--(INDEX('Reguler Class Availability'!$F:$F,AO59)&amp;""),0)&gt;=0.6,"Tinggi","Sebagian"))))))</f>
        <v>Belum terisi</v>
      </c>
      <c r="AX59" s="0" t="str">
        <f aca="false">IF(AP59="","",IF(AND(IFERROR(--(INDEX('Reguler Class Availability'!$F:$F,AP59)&amp;""),0)=0,IFERROR(--(INDEX('Reguler Class Availability'!$G:$G,AP59)&amp;""),0)=0),IF(OR(INDEX('Reguler Class Availability'!$B:$B,AP59)&amp;""&lt;&gt;"",INDEX('Reguler Class Availability'!$I:$I,AP59)&amp;""&lt;&gt;""),"Tutup","Tidak dibuka"),IF(IFERROR(--(INDEX('Reguler Class Availability'!$G:$G,AP59)&amp;""),0)&gt;IFERROR(--(INDEX('Reguler Class Availability'!$F:$F,AP59)&amp;""),0),"Lebih",IF(IFERROR(--(INDEX('Reguler Class Availability'!$G:$G,AP59)&amp;""),0)=IFERROR(--(INDEX('Reguler Class Availability'!$F:$F,AP59)&amp;""),0),"Penuh",IF(IFERROR(--(INDEX('Reguler Class Availability'!$G:$G,AP59)&amp;""),0)=0,IF(INDEX('Reguler Class Availability'!$B:$B,AP59)&amp;""="","Kosong","Belum terisi"),IF(IFERROR(--(INDEX('Reguler Class Availability'!$G:$G,AP59)&amp;""),0)/IFERROR(--(INDEX('Reguler Class Availability'!$F:$F,AP59)&amp;""),0)&gt;=0.6,"Tinggi","Sebagian"))))))</f>
        <v>Belum terisi</v>
      </c>
      <c r="AY59" s="0" t="str">
        <f aca="false">IF(AQ59="","",IF(AND(IFERROR(--(INDEX('Reguler Class Availability'!$F:$F,AQ59)&amp;""),0)=0,IFERROR(--(INDEX('Reguler Class Availability'!$G:$G,AQ59)&amp;""),0)=0),IF(OR(INDEX('Reguler Class Availability'!$B:$B,AQ59)&amp;""&lt;&gt;"",INDEX('Reguler Class Availability'!$I:$I,AQ59)&amp;""&lt;&gt;""),"Tutup","Tidak dibuka"),IF(IFERROR(--(INDEX('Reguler Class Availability'!$G:$G,AQ59)&amp;""),0)&gt;IFERROR(--(INDEX('Reguler Class Availability'!$F:$F,AQ59)&amp;""),0),"Lebih",IF(IFERROR(--(INDEX('Reguler Class Availability'!$G:$G,AQ59)&amp;""),0)=IFERROR(--(INDEX('Reguler Class Availability'!$F:$F,AQ59)&amp;""),0),"Penuh",IF(IFERROR(--(INDEX('Reguler Class Availability'!$G:$G,AQ59)&amp;""),0)=0,IF(INDEX('Reguler Class Availability'!$B:$B,AQ59)&amp;""="","Kosong","Belum terisi"),IF(IFERROR(--(INDEX('Reguler Class Availability'!$G:$G,AQ59)&amp;""),0)/IFERROR(--(INDEX('Reguler Class Availability'!$F:$F,AQ59)&amp;""),0)&gt;=0.6,"Tinggi","Sebagian"))))))</f>
        <v>Belum terisi</v>
      </c>
      <c r="AZ59" s="0" t="str">
        <f aca="false">IF(AR59="","",IF(AND(IFERROR(--(INDEX('Reguler Class Availability'!$F:$F,AR59)&amp;""),0)=0,IFERROR(--(INDEX('Reguler Class Availability'!$G:$G,AR59)&amp;""),0)=0),IF(OR(INDEX('Reguler Class Availability'!$B:$B,AR59)&amp;""&lt;&gt;"",INDEX('Reguler Class Availability'!$I:$I,AR59)&amp;""&lt;&gt;""),"Tutup","Tidak dibuka"),IF(IFERROR(--(INDEX('Reguler Class Availability'!$G:$G,AR59)&amp;""),0)&gt;IFERROR(--(INDEX('Reguler Class Availability'!$F:$F,AR59)&amp;""),0),"Lebih",IF(IFERROR(--(INDEX('Reguler Class Availability'!$G:$G,AR59)&amp;""),0)=IFERROR(--(INDEX('Reguler Class Availability'!$F:$F,AR59)&amp;""),0),"Penuh",IF(IFERROR(--(INDEX('Reguler Class Availability'!$G:$G,AR59)&amp;""),0)=0,IF(INDEX('Reguler Class Availability'!$B:$B,AR59)&amp;""="","Kosong","Belum terisi"),IF(IFERROR(--(INDEX('Reguler Class Availability'!$G:$G,AR59)&amp;""),0)/IFERROR(--(INDEX('Reguler Class Availability'!$F:$F,AR59)&amp;""),0)&gt;=0.6,"Tinggi","Sebagian"))))))</f>
        <v>Belum terisi</v>
      </c>
      <c r="BA59" s="0" t="str">
        <f aca="false">IF(AS59="","",IF(AND(IFERROR(--(INDEX('Reguler Class Availability'!$F:$F,AS59)&amp;""),0)=0,IFERROR(--(INDEX('Reguler Class Availability'!$G:$G,AS59)&amp;""),0)=0),IF(OR(INDEX('Reguler Class Availability'!$B:$B,AS59)&amp;""&lt;&gt;"",INDEX('Reguler Class Availability'!$I:$I,AS59)&amp;""&lt;&gt;""),"Tutup","Tidak dibuka"),IF(IFERROR(--(INDEX('Reguler Class Availability'!$G:$G,AS59)&amp;""),0)&gt;IFERROR(--(INDEX('Reguler Class Availability'!$F:$F,AS59)&amp;""),0),"Lebih",IF(IFERROR(--(INDEX('Reguler Class Availability'!$G:$G,AS59)&amp;""),0)=IFERROR(--(INDEX('Reguler Class Availability'!$F:$F,AS59)&amp;""),0),"Penuh",IF(IFERROR(--(INDEX('Reguler Class Availability'!$G:$G,AS59)&amp;""),0)=0,IF(INDEX('Reguler Class Availability'!$B:$B,AS59)&amp;""="","Kosong","Belum terisi"),IF(IFERROR(--(INDEX('Reguler Class Availability'!$G:$G,AS59)&amp;""),0)/IFERROR(--(INDEX('Reguler Class Availability'!$F:$F,AS59)&amp;""),0)&gt;=0.6,"Tinggi","Sebagian"))))))</f>
        <v>Sebagian</v>
      </c>
      <c r="BB59" s="0" t="str">
        <f aca="false">IF(AT59="","",IF(AND(IFERROR(--(INDEX('Reguler Class Availability'!$F:$F,AT59)&amp;""),0)=0,IFERROR(--(INDEX('Reguler Class Availability'!$G:$G,AT59)&amp;""),0)=0),IF(OR(INDEX('Reguler Class Availability'!$B:$B,AT59)&amp;""&lt;&gt;"",INDEX('Reguler Class Availability'!$I:$I,AT59)&amp;""&lt;&gt;""),"Tutup","Tidak dibuka"),IF(IFERROR(--(INDEX('Reguler Class Availability'!$G:$G,AT59)&amp;""),0)&gt;IFERROR(--(INDEX('Reguler Class Availability'!$F:$F,AT59)&amp;""),0),"Lebih",IF(IFERROR(--(INDEX('Reguler Class Availability'!$G:$G,AT59)&amp;""),0)=IFERROR(--(INDEX('Reguler Class Availability'!$F:$F,AT59)&amp;""),0),"Penuh",IF(IFERROR(--(INDEX('Reguler Class Availability'!$G:$G,AT59)&amp;""),0)=0,IF(INDEX('Reguler Class Availability'!$B:$B,AT59)&amp;""="","Kosong","Belum terisi"),IF(IFERROR(--(INDEX('Reguler Class Availability'!$G:$G,AT59)&amp;""),0)/IFERROR(--(INDEX('Reguler Class Availability'!$F:$F,AT59)&amp;""),0)&gt;=0.6,"Tinggi","Sebagian"))))))</f>
        <v>Belum terisi</v>
      </c>
      <c r="BD59" s="30" t="s">
        <v>169</v>
      </c>
      <c r="BE59" s="30" t="n">
        <f aca="false">IF(COUNTIFS('Reguler Class Availability'!$L:$L,$B$4&amp;"|- Lane 1 - *|"&amp;BD59)&gt;0,1,0)</f>
        <v>0</v>
      </c>
      <c r="BF59" s="30" t="n">
        <f aca="false">BE59+BF58</f>
        <v>14</v>
      </c>
    </row>
    <row r="60" customFormat="false" ht="39.75" hidden="false" customHeight="true" outlineLevel="0" collapsed="false">
      <c r="A60" s="66" t="str">
        <f aca="false">IFERROR(INDEX($BD$122:$BD$181,MATCH(9,$BF$122:$BF$181,0)),"")</f>
        <v>15:00</v>
      </c>
      <c r="B60" s="67" t="str">
        <f aca="false">IF(AN60="","",IF(AV60="Tidak dibuka","–",IF(INDEX('Reguler Class Availability'!$B:$B,AN60)&amp;""="","Kosong",PROPER(INDEX('Reguler Class Availability'!$B:$B,AN60)&amp;""))&amp;"  "&amp;IFERROR(--(INDEX('Reguler Class Availability'!$G:$G,AN60)&amp;""),0)&amp;"/"&amp;IFERROR(--(INDEX('Reguler Class Availability'!$F:$F,AN60)&amp;""),0)&amp;IF(IFERROR(--(INDEX('Reguler Class Availability'!$F:$F,AN60)&amp;""),0)&gt;0,"  ("&amp;TEXT(IFERROR(--(INDEX('Reguler Class Availability'!$G:$G,AN60)&amp;""),0)/IFERROR(--(INDEX('Reguler Class Availability'!$F:$F,AN60)&amp;""),0),"0%")&amp;")","")&amp;CHAR(10)&amp;IF(INDEX('Reguler Class Availability'!$I:$I,AN60)&amp;""="","coach: –",PROPER(INDEX('Reguler Class Availability'!$I:$I,AN60)&amp;""))&amp;IF(INDEX('Reguler Class Availability'!$J:$J,AN60)&amp;""="","",CHAR(10)&amp;"asst: "&amp;PROPER(INDEX('Reguler Class Availability'!$J:$J,AN60)&amp;""))))</f>
        <v>Little  0/4  (0%)
coach: –</v>
      </c>
      <c r="C60" s="67" t="str">
        <f aca="false">IF(AO60="","",IF(AW60="Tidak dibuka","–",IF(INDEX('Reguler Class Availability'!$B:$B,AO60)&amp;""="","Kosong",PROPER(INDEX('Reguler Class Availability'!$B:$B,AO60)&amp;""))&amp;"  "&amp;IFERROR(--(INDEX('Reguler Class Availability'!$G:$G,AO60)&amp;""),0)&amp;"/"&amp;IFERROR(--(INDEX('Reguler Class Availability'!$F:$F,AO60)&amp;""),0)&amp;IF(IFERROR(--(INDEX('Reguler Class Availability'!$F:$F,AO60)&amp;""),0)&gt;0,"  ("&amp;TEXT(IFERROR(--(INDEX('Reguler Class Availability'!$G:$G,AO60)&amp;""),0)/IFERROR(--(INDEX('Reguler Class Availability'!$F:$F,AO60)&amp;""),0),"0%")&amp;")","")&amp;CHAR(10)&amp;IF(INDEX('Reguler Class Availability'!$I:$I,AO60)&amp;""="","coach: –",PROPER(INDEX('Reguler Class Availability'!$I:$I,AO60)&amp;""))&amp;IF(INDEX('Reguler Class Availability'!$J:$J,AO60)&amp;""="","",CHAR(10)&amp;"asst: "&amp;PROPER(INDEX('Reguler Class Availability'!$J:$J,AO60)&amp;""))))</f>
        <v>Little  0/4  (0%)
coach: –</v>
      </c>
      <c r="D60" s="67" t="str">
        <f aca="false">IF(AP60="","",IF(AX60="Tidak dibuka","–",IF(INDEX('Reguler Class Availability'!$B:$B,AP60)&amp;""="","Kosong",PROPER(INDEX('Reguler Class Availability'!$B:$B,AP60)&amp;""))&amp;"  "&amp;IFERROR(--(INDEX('Reguler Class Availability'!$G:$G,AP60)&amp;""),0)&amp;"/"&amp;IFERROR(--(INDEX('Reguler Class Availability'!$F:$F,AP60)&amp;""),0)&amp;IF(IFERROR(--(INDEX('Reguler Class Availability'!$F:$F,AP60)&amp;""),0)&gt;0,"  ("&amp;TEXT(IFERROR(--(INDEX('Reguler Class Availability'!$G:$G,AP60)&amp;""),0)/IFERROR(--(INDEX('Reguler Class Availability'!$F:$F,AP60)&amp;""),0),"0%")&amp;")","")&amp;CHAR(10)&amp;IF(INDEX('Reguler Class Availability'!$I:$I,AP60)&amp;""="","coach: –",PROPER(INDEX('Reguler Class Availability'!$I:$I,AP60)&amp;""))&amp;IF(INDEX('Reguler Class Availability'!$J:$J,AP60)&amp;""="","",CHAR(10)&amp;"asst: "&amp;PROPER(INDEX('Reguler Class Availability'!$J:$J,AP60)&amp;""))))</f>
        <v>Little  2/4  (50%)
Angga</v>
      </c>
      <c r="E60" s="67" t="str">
        <f aca="false">IF(AQ60="","",IF(AY60="Tidak dibuka","–",IF(INDEX('Reguler Class Availability'!$B:$B,AQ60)&amp;""="","Kosong",PROPER(INDEX('Reguler Class Availability'!$B:$B,AQ60)&amp;""))&amp;"  "&amp;IFERROR(--(INDEX('Reguler Class Availability'!$G:$G,AQ60)&amp;""),0)&amp;"/"&amp;IFERROR(--(INDEX('Reguler Class Availability'!$F:$F,AQ60)&amp;""),0)&amp;IF(IFERROR(--(INDEX('Reguler Class Availability'!$F:$F,AQ60)&amp;""),0)&gt;0,"  ("&amp;TEXT(IFERROR(--(INDEX('Reguler Class Availability'!$G:$G,AQ60)&amp;""),0)/IFERROR(--(INDEX('Reguler Class Availability'!$F:$F,AQ60)&amp;""),0),"0%")&amp;")","")&amp;CHAR(10)&amp;IF(INDEX('Reguler Class Availability'!$I:$I,AQ60)&amp;""="","coach: –",PROPER(INDEX('Reguler Class Availability'!$I:$I,AQ60)&amp;""))&amp;IF(INDEX('Reguler Class Availability'!$J:$J,AQ60)&amp;""="","",CHAR(10)&amp;"asst: "&amp;PROPER(INDEX('Reguler Class Availability'!$J:$J,AQ60)&amp;""))))</f>
        <v>Little  0/4  (0%)
coach: –</v>
      </c>
      <c r="F60" s="67" t="str">
        <f aca="false">IF(AR60="","",IF(AZ60="Tidak dibuka","–",IF(INDEX('Reguler Class Availability'!$B:$B,AR60)&amp;""="","Kosong",PROPER(INDEX('Reguler Class Availability'!$B:$B,AR60)&amp;""))&amp;"  "&amp;IFERROR(--(INDEX('Reguler Class Availability'!$G:$G,AR60)&amp;""),0)&amp;"/"&amp;IFERROR(--(INDEX('Reguler Class Availability'!$F:$F,AR60)&amp;""),0)&amp;IF(IFERROR(--(INDEX('Reguler Class Availability'!$F:$F,AR60)&amp;""),0)&gt;0,"  ("&amp;TEXT(IFERROR(--(INDEX('Reguler Class Availability'!$G:$G,AR60)&amp;""),0)/IFERROR(--(INDEX('Reguler Class Availability'!$F:$F,AR60)&amp;""),0),"0%")&amp;")","")&amp;CHAR(10)&amp;IF(INDEX('Reguler Class Availability'!$I:$I,AR60)&amp;""="","coach: –",PROPER(INDEX('Reguler Class Availability'!$I:$I,AR60)&amp;""))&amp;IF(INDEX('Reguler Class Availability'!$J:$J,AR60)&amp;""="","",CHAR(10)&amp;"asst: "&amp;PROPER(INDEX('Reguler Class Availability'!$J:$J,AR60)&amp;""))))</f>
        <v>Little  0/4  (0%)
coach: –</v>
      </c>
      <c r="G60" s="67" t="str">
        <f aca="false">IF(AS60="","",IF(BA60="Tidak dibuka","–",IF(INDEX('Reguler Class Availability'!$B:$B,AS60)&amp;""="","Kosong",PROPER(INDEX('Reguler Class Availability'!$B:$B,AS60)&amp;""))&amp;"  "&amp;IFERROR(--(INDEX('Reguler Class Availability'!$G:$G,AS60)&amp;""),0)&amp;"/"&amp;IFERROR(--(INDEX('Reguler Class Availability'!$F:$F,AS60)&amp;""),0)&amp;IF(IFERROR(--(INDEX('Reguler Class Availability'!$F:$F,AS60)&amp;""),0)&gt;0,"  ("&amp;TEXT(IFERROR(--(INDEX('Reguler Class Availability'!$G:$G,AS60)&amp;""),0)/IFERROR(--(INDEX('Reguler Class Availability'!$F:$F,AS60)&amp;""),0),"0%")&amp;")","")&amp;CHAR(10)&amp;IF(INDEX('Reguler Class Availability'!$I:$I,AS60)&amp;""="","coach: –",PROPER(INDEX('Reguler Class Availability'!$I:$I,AS60)&amp;""))&amp;IF(INDEX('Reguler Class Availability'!$J:$J,AS60)&amp;""="","",CHAR(10)&amp;"asst: "&amp;PROPER(INDEX('Reguler Class Availability'!$J:$J,AS60)&amp;""))))</f>
        <v>Little  1/4  (25%)
Angga</v>
      </c>
      <c r="H60" s="67" t="str">
        <f aca="false">IF(AT60="","",IF(BB60="Tidak dibuka","–",IF(INDEX('Reguler Class Availability'!$B:$B,AT60)&amp;""="","Kosong",PROPER(INDEX('Reguler Class Availability'!$B:$B,AT60)&amp;""))&amp;"  "&amp;IFERROR(--(INDEX('Reguler Class Availability'!$G:$G,AT60)&amp;""),0)&amp;"/"&amp;IFERROR(--(INDEX('Reguler Class Availability'!$F:$F,AT60)&amp;""),0)&amp;IF(IFERROR(--(INDEX('Reguler Class Availability'!$F:$F,AT60)&amp;""),0)&gt;0,"  ("&amp;TEXT(IFERROR(--(INDEX('Reguler Class Availability'!$G:$G,AT60)&amp;""),0)/IFERROR(--(INDEX('Reguler Class Availability'!$F:$F,AT60)&amp;""),0),"0%")&amp;")","")&amp;CHAR(10)&amp;IF(INDEX('Reguler Class Availability'!$I:$I,AT60)&amp;""="","coach: –",PROPER(INDEX('Reguler Class Availability'!$I:$I,AT60)&amp;""))&amp;IF(INDEX('Reguler Class Availability'!$J:$J,AT60)&amp;""="","",CHAR(10)&amp;"asst: "&amp;PROPER(INDEX('Reguler Class Availability'!$J:$J,AT60)&amp;""))))</f>
        <v>Little  0/4  (0%)
coach: –</v>
      </c>
      <c r="AN60" s="30" t="n">
        <f aca="false">IF($A60="","",IFERROR(MATCH($B$4&amp;"|- Lane 3 - "&amp;B$51&amp;"|"&amp;$A60,'Reguler Class Availability'!$L:$L,0),""))</f>
        <v>2600</v>
      </c>
      <c r="AO60" s="30" t="n">
        <f aca="false">IF($A60="","",IFERROR(MATCH($B$4&amp;"|- Lane 3 - "&amp;C$51&amp;"|"&amp;$A60,'Reguler Class Availability'!$L:$L,0),""))</f>
        <v>2612</v>
      </c>
      <c r="AP60" s="30" t="n">
        <f aca="false">IF($A60="","",IFERROR(MATCH($B$4&amp;"|- Lane 3 - "&amp;D$51&amp;"|"&amp;$A60,'Reguler Class Availability'!$L:$L,0),""))</f>
        <v>2624</v>
      </c>
      <c r="AQ60" s="30" t="n">
        <f aca="false">IF($A60="","",IFERROR(MATCH($B$4&amp;"|- Lane 3 - "&amp;E$51&amp;"|"&amp;$A60,'Reguler Class Availability'!$L:$L,0),""))</f>
        <v>2636</v>
      </c>
      <c r="AR60" s="30" t="n">
        <f aca="false">IF($A60="","",IFERROR(MATCH($B$4&amp;"|- Lane 3 - "&amp;F$51&amp;"|"&amp;$A60,'Reguler Class Availability'!$L:$L,0),""))</f>
        <v>2648</v>
      </c>
      <c r="AS60" s="30" t="n">
        <f aca="false">IF($A60="","",IFERROR(MATCH($B$4&amp;"|- Lane 3 - "&amp;G$51&amp;"|"&amp;$A60,'Reguler Class Availability'!$L:$L,0),""))</f>
        <v>2660</v>
      </c>
      <c r="AT60" s="30" t="n">
        <f aca="false">IF($A60="","",IFERROR(MATCH($B$4&amp;"|- Lane 3 - "&amp;H$51&amp;"|"&amp;$A60,'Reguler Class Availability'!$L:$L,0),""))</f>
        <v>2672</v>
      </c>
      <c r="AV60" s="0" t="str">
        <f aca="false">IF(AN60="","",IF(AND(IFERROR(--(INDEX('Reguler Class Availability'!$F:$F,AN60)&amp;""),0)=0,IFERROR(--(INDEX('Reguler Class Availability'!$G:$G,AN60)&amp;""),0)=0),IF(OR(INDEX('Reguler Class Availability'!$B:$B,AN60)&amp;""&lt;&gt;"",INDEX('Reguler Class Availability'!$I:$I,AN60)&amp;""&lt;&gt;""),"Tutup","Tidak dibuka"),IF(IFERROR(--(INDEX('Reguler Class Availability'!$G:$G,AN60)&amp;""),0)&gt;IFERROR(--(INDEX('Reguler Class Availability'!$F:$F,AN60)&amp;""),0),"Lebih",IF(IFERROR(--(INDEX('Reguler Class Availability'!$G:$G,AN60)&amp;""),0)=IFERROR(--(INDEX('Reguler Class Availability'!$F:$F,AN60)&amp;""),0),"Penuh",IF(IFERROR(--(INDEX('Reguler Class Availability'!$G:$G,AN60)&amp;""),0)=0,IF(INDEX('Reguler Class Availability'!$B:$B,AN60)&amp;""="","Kosong","Belum terisi"),IF(IFERROR(--(INDEX('Reguler Class Availability'!$G:$G,AN60)&amp;""),0)/IFERROR(--(INDEX('Reguler Class Availability'!$F:$F,AN60)&amp;""),0)&gt;=0.6,"Tinggi","Sebagian"))))))</f>
        <v>Belum terisi</v>
      </c>
      <c r="AW60" s="0" t="str">
        <f aca="false">IF(AO60="","",IF(AND(IFERROR(--(INDEX('Reguler Class Availability'!$F:$F,AO60)&amp;""),0)=0,IFERROR(--(INDEX('Reguler Class Availability'!$G:$G,AO60)&amp;""),0)=0),IF(OR(INDEX('Reguler Class Availability'!$B:$B,AO60)&amp;""&lt;&gt;"",INDEX('Reguler Class Availability'!$I:$I,AO60)&amp;""&lt;&gt;""),"Tutup","Tidak dibuka"),IF(IFERROR(--(INDEX('Reguler Class Availability'!$G:$G,AO60)&amp;""),0)&gt;IFERROR(--(INDEX('Reguler Class Availability'!$F:$F,AO60)&amp;""),0),"Lebih",IF(IFERROR(--(INDEX('Reguler Class Availability'!$G:$G,AO60)&amp;""),0)=IFERROR(--(INDEX('Reguler Class Availability'!$F:$F,AO60)&amp;""),0),"Penuh",IF(IFERROR(--(INDEX('Reguler Class Availability'!$G:$G,AO60)&amp;""),0)=0,IF(INDEX('Reguler Class Availability'!$B:$B,AO60)&amp;""="","Kosong","Belum terisi"),IF(IFERROR(--(INDEX('Reguler Class Availability'!$G:$G,AO60)&amp;""),0)/IFERROR(--(INDEX('Reguler Class Availability'!$F:$F,AO60)&amp;""),0)&gt;=0.6,"Tinggi","Sebagian"))))))</f>
        <v>Belum terisi</v>
      </c>
      <c r="AX60" s="0" t="str">
        <f aca="false">IF(AP60="","",IF(AND(IFERROR(--(INDEX('Reguler Class Availability'!$F:$F,AP60)&amp;""),0)=0,IFERROR(--(INDEX('Reguler Class Availability'!$G:$G,AP60)&amp;""),0)=0),IF(OR(INDEX('Reguler Class Availability'!$B:$B,AP60)&amp;""&lt;&gt;"",INDEX('Reguler Class Availability'!$I:$I,AP60)&amp;""&lt;&gt;""),"Tutup","Tidak dibuka"),IF(IFERROR(--(INDEX('Reguler Class Availability'!$G:$G,AP60)&amp;""),0)&gt;IFERROR(--(INDEX('Reguler Class Availability'!$F:$F,AP60)&amp;""),0),"Lebih",IF(IFERROR(--(INDEX('Reguler Class Availability'!$G:$G,AP60)&amp;""),0)=IFERROR(--(INDEX('Reguler Class Availability'!$F:$F,AP60)&amp;""),0),"Penuh",IF(IFERROR(--(INDEX('Reguler Class Availability'!$G:$G,AP60)&amp;""),0)=0,IF(INDEX('Reguler Class Availability'!$B:$B,AP60)&amp;""="","Kosong","Belum terisi"),IF(IFERROR(--(INDEX('Reguler Class Availability'!$G:$G,AP60)&amp;""),0)/IFERROR(--(INDEX('Reguler Class Availability'!$F:$F,AP60)&amp;""),0)&gt;=0.6,"Tinggi","Sebagian"))))))</f>
        <v>Sebagian</v>
      </c>
      <c r="AY60" s="0" t="str">
        <f aca="false">IF(AQ60="","",IF(AND(IFERROR(--(INDEX('Reguler Class Availability'!$F:$F,AQ60)&amp;""),0)=0,IFERROR(--(INDEX('Reguler Class Availability'!$G:$G,AQ60)&amp;""),0)=0),IF(OR(INDEX('Reguler Class Availability'!$B:$B,AQ60)&amp;""&lt;&gt;"",INDEX('Reguler Class Availability'!$I:$I,AQ60)&amp;""&lt;&gt;""),"Tutup","Tidak dibuka"),IF(IFERROR(--(INDEX('Reguler Class Availability'!$G:$G,AQ60)&amp;""),0)&gt;IFERROR(--(INDEX('Reguler Class Availability'!$F:$F,AQ60)&amp;""),0),"Lebih",IF(IFERROR(--(INDEX('Reguler Class Availability'!$G:$G,AQ60)&amp;""),0)=IFERROR(--(INDEX('Reguler Class Availability'!$F:$F,AQ60)&amp;""),0),"Penuh",IF(IFERROR(--(INDEX('Reguler Class Availability'!$G:$G,AQ60)&amp;""),0)=0,IF(INDEX('Reguler Class Availability'!$B:$B,AQ60)&amp;""="","Kosong","Belum terisi"),IF(IFERROR(--(INDEX('Reguler Class Availability'!$G:$G,AQ60)&amp;""),0)/IFERROR(--(INDEX('Reguler Class Availability'!$F:$F,AQ60)&amp;""),0)&gt;=0.6,"Tinggi","Sebagian"))))))</f>
        <v>Belum terisi</v>
      </c>
      <c r="AZ60" s="0" t="str">
        <f aca="false">IF(AR60="","",IF(AND(IFERROR(--(INDEX('Reguler Class Availability'!$F:$F,AR60)&amp;""),0)=0,IFERROR(--(INDEX('Reguler Class Availability'!$G:$G,AR60)&amp;""),0)=0),IF(OR(INDEX('Reguler Class Availability'!$B:$B,AR60)&amp;""&lt;&gt;"",INDEX('Reguler Class Availability'!$I:$I,AR60)&amp;""&lt;&gt;""),"Tutup","Tidak dibuka"),IF(IFERROR(--(INDEX('Reguler Class Availability'!$G:$G,AR60)&amp;""),0)&gt;IFERROR(--(INDEX('Reguler Class Availability'!$F:$F,AR60)&amp;""),0),"Lebih",IF(IFERROR(--(INDEX('Reguler Class Availability'!$G:$G,AR60)&amp;""),0)=IFERROR(--(INDEX('Reguler Class Availability'!$F:$F,AR60)&amp;""),0),"Penuh",IF(IFERROR(--(INDEX('Reguler Class Availability'!$G:$G,AR60)&amp;""),0)=0,IF(INDEX('Reguler Class Availability'!$B:$B,AR60)&amp;""="","Kosong","Belum terisi"),IF(IFERROR(--(INDEX('Reguler Class Availability'!$G:$G,AR60)&amp;""),0)/IFERROR(--(INDEX('Reguler Class Availability'!$F:$F,AR60)&amp;""),0)&gt;=0.6,"Tinggi","Sebagian"))))))</f>
        <v>Belum terisi</v>
      </c>
      <c r="BA60" s="0" t="str">
        <f aca="false">IF(AS60="","",IF(AND(IFERROR(--(INDEX('Reguler Class Availability'!$F:$F,AS60)&amp;""),0)=0,IFERROR(--(INDEX('Reguler Class Availability'!$G:$G,AS60)&amp;""),0)=0),IF(OR(INDEX('Reguler Class Availability'!$B:$B,AS60)&amp;""&lt;&gt;"",INDEX('Reguler Class Availability'!$I:$I,AS60)&amp;""&lt;&gt;""),"Tutup","Tidak dibuka"),IF(IFERROR(--(INDEX('Reguler Class Availability'!$G:$G,AS60)&amp;""),0)&gt;IFERROR(--(INDEX('Reguler Class Availability'!$F:$F,AS60)&amp;""),0),"Lebih",IF(IFERROR(--(INDEX('Reguler Class Availability'!$G:$G,AS60)&amp;""),0)=IFERROR(--(INDEX('Reguler Class Availability'!$F:$F,AS60)&amp;""),0),"Penuh",IF(IFERROR(--(INDEX('Reguler Class Availability'!$G:$G,AS60)&amp;""),0)=0,IF(INDEX('Reguler Class Availability'!$B:$B,AS60)&amp;""="","Kosong","Belum terisi"),IF(IFERROR(--(INDEX('Reguler Class Availability'!$G:$G,AS60)&amp;""),0)/IFERROR(--(INDEX('Reguler Class Availability'!$F:$F,AS60)&amp;""),0)&gt;=0.6,"Tinggi","Sebagian"))))))</f>
        <v>Sebagian</v>
      </c>
      <c r="BB60" s="0" t="str">
        <f aca="false">IF(AT60="","",IF(AND(IFERROR(--(INDEX('Reguler Class Availability'!$F:$F,AT60)&amp;""),0)=0,IFERROR(--(INDEX('Reguler Class Availability'!$G:$G,AT60)&amp;""),0)=0),IF(OR(INDEX('Reguler Class Availability'!$B:$B,AT60)&amp;""&lt;&gt;"",INDEX('Reguler Class Availability'!$I:$I,AT60)&amp;""&lt;&gt;""),"Tutup","Tidak dibuka"),IF(IFERROR(--(INDEX('Reguler Class Availability'!$G:$G,AT60)&amp;""),0)&gt;IFERROR(--(INDEX('Reguler Class Availability'!$F:$F,AT60)&amp;""),0),"Lebih",IF(IFERROR(--(INDEX('Reguler Class Availability'!$G:$G,AT60)&amp;""),0)=IFERROR(--(INDEX('Reguler Class Availability'!$F:$F,AT60)&amp;""),0),"Penuh",IF(IFERROR(--(INDEX('Reguler Class Availability'!$G:$G,AT60)&amp;""),0)=0,IF(INDEX('Reguler Class Availability'!$B:$B,AT60)&amp;""="","Kosong","Belum terisi"),IF(IFERROR(--(INDEX('Reguler Class Availability'!$G:$G,AT60)&amp;""),0)/IFERROR(--(INDEX('Reguler Class Availability'!$F:$F,AT60)&amp;""),0)&gt;=0.6,"Tinggi","Sebagian"))))))</f>
        <v>Belum terisi</v>
      </c>
      <c r="BD60" s="30" t="s">
        <v>170</v>
      </c>
      <c r="BE60" s="30" t="n">
        <f aca="false">IF(COUNTIFS('Reguler Class Availability'!$L:$L,$B$4&amp;"|- Lane 1 - *|"&amp;BD60)&gt;0,1,0)</f>
        <v>0</v>
      </c>
      <c r="BF60" s="30" t="n">
        <f aca="false">BE60+BF59</f>
        <v>14</v>
      </c>
    </row>
    <row r="61" customFormat="false" ht="39.75" hidden="false" customHeight="true" outlineLevel="0" collapsed="false">
      <c r="A61" s="66" t="str">
        <f aca="false">IFERROR(INDEX($BD$122:$BD$181,MATCH(10,$BF$122:$BF$181,0)),"")</f>
        <v>15:45</v>
      </c>
      <c r="B61" s="67" t="str">
        <f aca="false">IF(AN61="","",IF(AV61="Tidak dibuka","–",IF(INDEX('Reguler Class Availability'!$B:$B,AN61)&amp;""="","Kosong",PROPER(INDEX('Reguler Class Availability'!$B:$B,AN61)&amp;""))&amp;"  "&amp;IFERROR(--(INDEX('Reguler Class Availability'!$G:$G,AN61)&amp;""),0)&amp;"/"&amp;IFERROR(--(INDEX('Reguler Class Availability'!$F:$F,AN61)&amp;""),0)&amp;IF(IFERROR(--(INDEX('Reguler Class Availability'!$F:$F,AN61)&amp;""),0)&gt;0,"  ("&amp;TEXT(IFERROR(--(INDEX('Reguler Class Availability'!$G:$G,AN61)&amp;""),0)/IFERROR(--(INDEX('Reguler Class Availability'!$F:$F,AN61)&amp;""),0),"0%")&amp;")","")&amp;CHAR(10)&amp;IF(INDEX('Reguler Class Availability'!$I:$I,AN61)&amp;""="","coach: –",PROPER(INDEX('Reguler Class Availability'!$I:$I,AN61)&amp;""))&amp;IF(INDEX('Reguler Class Availability'!$J:$J,AN61)&amp;""="","",CHAR(10)&amp;"asst: "&amp;PROPER(INDEX('Reguler Class Availability'!$J:$J,AN61)&amp;""))))</f>
        <v>Little  1/4  (25%)
Angga</v>
      </c>
      <c r="C61" s="67" t="str">
        <f aca="false">IF(AO61="","",IF(AW61="Tidak dibuka","–",IF(INDEX('Reguler Class Availability'!$B:$B,AO61)&amp;""="","Kosong",PROPER(INDEX('Reguler Class Availability'!$B:$B,AO61)&amp;""))&amp;"  "&amp;IFERROR(--(INDEX('Reguler Class Availability'!$G:$G,AO61)&amp;""),0)&amp;"/"&amp;IFERROR(--(INDEX('Reguler Class Availability'!$F:$F,AO61)&amp;""),0)&amp;IF(IFERROR(--(INDEX('Reguler Class Availability'!$F:$F,AO61)&amp;""),0)&gt;0,"  ("&amp;TEXT(IFERROR(--(INDEX('Reguler Class Availability'!$G:$G,AO61)&amp;""),0)/IFERROR(--(INDEX('Reguler Class Availability'!$F:$F,AO61)&amp;""),0),"0%")&amp;")","")&amp;CHAR(10)&amp;IF(INDEX('Reguler Class Availability'!$I:$I,AO61)&amp;""="","coach: –",PROPER(INDEX('Reguler Class Availability'!$I:$I,AO61)&amp;""))&amp;IF(INDEX('Reguler Class Availability'!$J:$J,AO61)&amp;""="","",CHAR(10)&amp;"asst: "&amp;PROPER(INDEX('Reguler Class Availability'!$J:$J,AO61)&amp;""))))</f>
        <v>Little  2/4  (50%)
Silvi</v>
      </c>
      <c r="D61" s="67" t="str">
        <f aca="false">IF(AP61="","",IF(AX61="Tidak dibuka","–",IF(INDEX('Reguler Class Availability'!$B:$B,AP61)&amp;""="","Kosong",PROPER(INDEX('Reguler Class Availability'!$B:$B,AP61)&amp;""))&amp;"  "&amp;IFERROR(--(INDEX('Reguler Class Availability'!$G:$G,AP61)&amp;""),0)&amp;"/"&amp;IFERROR(--(INDEX('Reguler Class Availability'!$F:$F,AP61)&amp;""),0)&amp;IF(IFERROR(--(INDEX('Reguler Class Availability'!$F:$F,AP61)&amp;""),0)&gt;0,"  ("&amp;TEXT(IFERROR(--(INDEX('Reguler Class Availability'!$G:$G,AP61)&amp;""),0)/IFERROR(--(INDEX('Reguler Class Availability'!$F:$F,AP61)&amp;""),0),"0%")&amp;")","")&amp;CHAR(10)&amp;IF(INDEX('Reguler Class Availability'!$I:$I,AP61)&amp;""="","coach: –",PROPER(INDEX('Reguler Class Availability'!$I:$I,AP61)&amp;""))&amp;IF(INDEX('Reguler Class Availability'!$J:$J,AP61)&amp;""="","",CHAR(10)&amp;"asst: "&amp;PROPER(INDEX('Reguler Class Availability'!$J:$J,AP61)&amp;""))))</f>
        <v>Little  1/4  (25%)
Angga</v>
      </c>
      <c r="E61" s="67" t="str">
        <f aca="false">IF(AQ61="","",IF(AY61="Tidak dibuka","–",IF(INDEX('Reguler Class Availability'!$B:$B,AQ61)&amp;""="","Kosong",PROPER(INDEX('Reguler Class Availability'!$B:$B,AQ61)&amp;""))&amp;"  "&amp;IFERROR(--(INDEX('Reguler Class Availability'!$G:$G,AQ61)&amp;""),0)&amp;"/"&amp;IFERROR(--(INDEX('Reguler Class Availability'!$F:$F,AQ61)&amp;""),0)&amp;IF(IFERROR(--(INDEX('Reguler Class Availability'!$F:$F,AQ61)&amp;""),0)&gt;0,"  ("&amp;TEXT(IFERROR(--(INDEX('Reguler Class Availability'!$G:$G,AQ61)&amp;""),0)/IFERROR(--(INDEX('Reguler Class Availability'!$F:$F,AQ61)&amp;""),0),"0%")&amp;")","")&amp;CHAR(10)&amp;IF(INDEX('Reguler Class Availability'!$I:$I,AQ61)&amp;""="","coach: –",PROPER(INDEX('Reguler Class Availability'!$I:$I,AQ61)&amp;""))&amp;IF(INDEX('Reguler Class Availability'!$J:$J,AQ61)&amp;""="","",CHAR(10)&amp;"asst: "&amp;PROPER(INDEX('Reguler Class Availability'!$J:$J,AQ61)&amp;""))))</f>
        <v>Little  1/4  (25%)
Indra</v>
      </c>
      <c r="F61" s="67" t="str">
        <f aca="false">IF(AR61="","",IF(AZ61="Tidak dibuka","–",IF(INDEX('Reguler Class Availability'!$B:$B,AR61)&amp;""="","Kosong",PROPER(INDEX('Reguler Class Availability'!$B:$B,AR61)&amp;""))&amp;"  "&amp;IFERROR(--(INDEX('Reguler Class Availability'!$G:$G,AR61)&amp;""),0)&amp;"/"&amp;IFERROR(--(INDEX('Reguler Class Availability'!$F:$F,AR61)&amp;""),0)&amp;IF(IFERROR(--(INDEX('Reguler Class Availability'!$F:$F,AR61)&amp;""),0)&gt;0,"  ("&amp;TEXT(IFERROR(--(INDEX('Reguler Class Availability'!$G:$G,AR61)&amp;""),0)/IFERROR(--(INDEX('Reguler Class Availability'!$F:$F,AR61)&amp;""),0),"0%")&amp;")","")&amp;CHAR(10)&amp;IF(INDEX('Reguler Class Availability'!$I:$I,AR61)&amp;""="","coach: –",PROPER(INDEX('Reguler Class Availability'!$I:$I,AR61)&amp;""))&amp;IF(INDEX('Reguler Class Availability'!$J:$J,AR61)&amp;""="","",CHAR(10)&amp;"asst: "&amp;PROPER(INDEX('Reguler Class Availability'!$J:$J,AR61)&amp;""))))</f>
        <v>Little  2/4  (50%)
Juan</v>
      </c>
      <c r="G61" s="67" t="str">
        <f aca="false">IF(AS61="","",IF(BA61="Tidak dibuka","–",IF(INDEX('Reguler Class Availability'!$B:$B,AS61)&amp;""="","Kosong",PROPER(INDEX('Reguler Class Availability'!$B:$B,AS61)&amp;""))&amp;"  "&amp;IFERROR(--(INDEX('Reguler Class Availability'!$G:$G,AS61)&amp;""),0)&amp;"/"&amp;IFERROR(--(INDEX('Reguler Class Availability'!$F:$F,AS61)&amp;""),0)&amp;IF(IFERROR(--(INDEX('Reguler Class Availability'!$F:$F,AS61)&amp;""),0)&gt;0,"  ("&amp;TEXT(IFERROR(--(INDEX('Reguler Class Availability'!$G:$G,AS61)&amp;""),0)/IFERROR(--(INDEX('Reguler Class Availability'!$F:$F,AS61)&amp;""),0),"0%")&amp;")","")&amp;CHAR(10)&amp;IF(INDEX('Reguler Class Availability'!$I:$I,AS61)&amp;""="","coach: –",PROPER(INDEX('Reguler Class Availability'!$I:$I,AS61)&amp;""))&amp;IF(INDEX('Reguler Class Availability'!$J:$J,AS61)&amp;""="","",CHAR(10)&amp;"asst: "&amp;PROPER(INDEX('Reguler Class Availability'!$J:$J,AS61)&amp;""))))</f>
        <v>Little  0/4  (0%)
coach: –</v>
      </c>
      <c r="H61" s="67" t="str">
        <f aca="false">IF(AT61="","",IF(BB61="Tidak dibuka","–",IF(INDEX('Reguler Class Availability'!$B:$B,AT61)&amp;""="","Kosong",PROPER(INDEX('Reguler Class Availability'!$B:$B,AT61)&amp;""))&amp;"  "&amp;IFERROR(--(INDEX('Reguler Class Availability'!$G:$G,AT61)&amp;""),0)&amp;"/"&amp;IFERROR(--(INDEX('Reguler Class Availability'!$F:$F,AT61)&amp;""),0)&amp;IF(IFERROR(--(INDEX('Reguler Class Availability'!$F:$F,AT61)&amp;""),0)&gt;0,"  ("&amp;TEXT(IFERROR(--(INDEX('Reguler Class Availability'!$G:$G,AT61)&amp;""),0)/IFERROR(--(INDEX('Reguler Class Availability'!$F:$F,AT61)&amp;""),0),"0%")&amp;")","")&amp;CHAR(10)&amp;IF(INDEX('Reguler Class Availability'!$I:$I,AT61)&amp;""="","coach: –",PROPER(INDEX('Reguler Class Availability'!$I:$I,AT61)&amp;""))&amp;IF(INDEX('Reguler Class Availability'!$J:$J,AT61)&amp;""="","",CHAR(10)&amp;"asst: "&amp;PROPER(INDEX('Reguler Class Availability'!$J:$J,AT61)&amp;""))))</f>
        <v>Little  1/4  (25%)
Juan</v>
      </c>
      <c r="AN61" s="30" t="n">
        <f aca="false">IF($A61="","",IFERROR(MATCH($B$4&amp;"|- Lane 3 - "&amp;B$51&amp;"|"&amp;$A61,'Reguler Class Availability'!$L:$L,0),""))</f>
        <v>2601</v>
      </c>
      <c r="AO61" s="30" t="n">
        <f aca="false">IF($A61="","",IFERROR(MATCH($B$4&amp;"|- Lane 3 - "&amp;C$51&amp;"|"&amp;$A61,'Reguler Class Availability'!$L:$L,0),""))</f>
        <v>2613</v>
      </c>
      <c r="AP61" s="30" t="n">
        <f aca="false">IF($A61="","",IFERROR(MATCH($B$4&amp;"|- Lane 3 - "&amp;D$51&amp;"|"&amp;$A61,'Reguler Class Availability'!$L:$L,0),""))</f>
        <v>2625</v>
      </c>
      <c r="AQ61" s="30" t="n">
        <f aca="false">IF($A61="","",IFERROR(MATCH($B$4&amp;"|- Lane 3 - "&amp;E$51&amp;"|"&amp;$A61,'Reguler Class Availability'!$L:$L,0),""))</f>
        <v>2637</v>
      </c>
      <c r="AR61" s="30" t="n">
        <f aca="false">IF($A61="","",IFERROR(MATCH($B$4&amp;"|- Lane 3 - "&amp;F$51&amp;"|"&amp;$A61,'Reguler Class Availability'!$L:$L,0),""))</f>
        <v>2649</v>
      </c>
      <c r="AS61" s="30" t="n">
        <f aca="false">IF($A61="","",IFERROR(MATCH($B$4&amp;"|- Lane 3 - "&amp;G$51&amp;"|"&amp;$A61,'Reguler Class Availability'!$L:$L,0),""))</f>
        <v>2661</v>
      </c>
      <c r="AT61" s="30" t="n">
        <f aca="false">IF($A61="","",IFERROR(MATCH($B$4&amp;"|- Lane 3 - "&amp;H$51&amp;"|"&amp;$A61,'Reguler Class Availability'!$L:$L,0),""))</f>
        <v>2673</v>
      </c>
      <c r="AV61" s="0" t="str">
        <f aca="false">IF(AN61="","",IF(AND(IFERROR(--(INDEX('Reguler Class Availability'!$F:$F,AN61)&amp;""),0)=0,IFERROR(--(INDEX('Reguler Class Availability'!$G:$G,AN61)&amp;""),0)=0),IF(OR(INDEX('Reguler Class Availability'!$B:$B,AN61)&amp;""&lt;&gt;"",INDEX('Reguler Class Availability'!$I:$I,AN61)&amp;""&lt;&gt;""),"Tutup","Tidak dibuka"),IF(IFERROR(--(INDEX('Reguler Class Availability'!$G:$G,AN61)&amp;""),0)&gt;IFERROR(--(INDEX('Reguler Class Availability'!$F:$F,AN61)&amp;""),0),"Lebih",IF(IFERROR(--(INDEX('Reguler Class Availability'!$G:$G,AN61)&amp;""),0)=IFERROR(--(INDEX('Reguler Class Availability'!$F:$F,AN61)&amp;""),0),"Penuh",IF(IFERROR(--(INDEX('Reguler Class Availability'!$G:$G,AN61)&amp;""),0)=0,IF(INDEX('Reguler Class Availability'!$B:$B,AN61)&amp;""="","Kosong","Belum terisi"),IF(IFERROR(--(INDEX('Reguler Class Availability'!$G:$G,AN61)&amp;""),0)/IFERROR(--(INDEX('Reguler Class Availability'!$F:$F,AN61)&amp;""),0)&gt;=0.6,"Tinggi","Sebagian"))))))</f>
        <v>Sebagian</v>
      </c>
      <c r="AW61" s="0" t="str">
        <f aca="false">IF(AO61="","",IF(AND(IFERROR(--(INDEX('Reguler Class Availability'!$F:$F,AO61)&amp;""),0)=0,IFERROR(--(INDEX('Reguler Class Availability'!$G:$G,AO61)&amp;""),0)=0),IF(OR(INDEX('Reguler Class Availability'!$B:$B,AO61)&amp;""&lt;&gt;"",INDEX('Reguler Class Availability'!$I:$I,AO61)&amp;""&lt;&gt;""),"Tutup","Tidak dibuka"),IF(IFERROR(--(INDEX('Reguler Class Availability'!$G:$G,AO61)&amp;""),0)&gt;IFERROR(--(INDEX('Reguler Class Availability'!$F:$F,AO61)&amp;""),0),"Lebih",IF(IFERROR(--(INDEX('Reguler Class Availability'!$G:$G,AO61)&amp;""),0)=IFERROR(--(INDEX('Reguler Class Availability'!$F:$F,AO61)&amp;""),0),"Penuh",IF(IFERROR(--(INDEX('Reguler Class Availability'!$G:$G,AO61)&amp;""),0)=0,IF(INDEX('Reguler Class Availability'!$B:$B,AO61)&amp;""="","Kosong","Belum terisi"),IF(IFERROR(--(INDEX('Reguler Class Availability'!$G:$G,AO61)&amp;""),0)/IFERROR(--(INDEX('Reguler Class Availability'!$F:$F,AO61)&amp;""),0)&gt;=0.6,"Tinggi","Sebagian"))))))</f>
        <v>Sebagian</v>
      </c>
      <c r="AX61" s="0" t="str">
        <f aca="false">IF(AP61="","",IF(AND(IFERROR(--(INDEX('Reguler Class Availability'!$F:$F,AP61)&amp;""),0)=0,IFERROR(--(INDEX('Reguler Class Availability'!$G:$G,AP61)&amp;""),0)=0),IF(OR(INDEX('Reguler Class Availability'!$B:$B,AP61)&amp;""&lt;&gt;"",INDEX('Reguler Class Availability'!$I:$I,AP61)&amp;""&lt;&gt;""),"Tutup","Tidak dibuka"),IF(IFERROR(--(INDEX('Reguler Class Availability'!$G:$G,AP61)&amp;""),0)&gt;IFERROR(--(INDEX('Reguler Class Availability'!$F:$F,AP61)&amp;""),0),"Lebih",IF(IFERROR(--(INDEX('Reguler Class Availability'!$G:$G,AP61)&amp;""),0)=IFERROR(--(INDEX('Reguler Class Availability'!$F:$F,AP61)&amp;""),0),"Penuh",IF(IFERROR(--(INDEX('Reguler Class Availability'!$G:$G,AP61)&amp;""),0)=0,IF(INDEX('Reguler Class Availability'!$B:$B,AP61)&amp;""="","Kosong","Belum terisi"),IF(IFERROR(--(INDEX('Reguler Class Availability'!$G:$G,AP61)&amp;""),0)/IFERROR(--(INDEX('Reguler Class Availability'!$F:$F,AP61)&amp;""),0)&gt;=0.6,"Tinggi","Sebagian"))))))</f>
        <v>Sebagian</v>
      </c>
      <c r="AY61" s="0" t="str">
        <f aca="false">IF(AQ61="","",IF(AND(IFERROR(--(INDEX('Reguler Class Availability'!$F:$F,AQ61)&amp;""),0)=0,IFERROR(--(INDEX('Reguler Class Availability'!$G:$G,AQ61)&amp;""),0)=0),IF(OR(INDEX('Reguler Class Availability'!$B:$B,AQ61)&amp;""&lt;&gt;"",INDEX('Reguler Class Availability'!$I:$I,AQ61)&amp;""&lt;&gt;""),"Tutup","Tidak dibuka"),IF(IFERROR(--(INDEX('Reguler Class Availability'!$G:$G,AQ61)&amp;""),0)&gt;IFERROR(--(INDEX('Reguler Class Availability'!$F:$F,AQ61)&amp;""),0),"Lebih",IF(IFERROR(--(INDEX('Reguler Class Availability'!$G:$G,AQ61)&amp;""),0)=IFERROR(--(INDEX('Reguler Class Availability'!$F:$F,AQ61)&amp;""),0),"Penuh",IF(IFERROR(--(INDEX('Reguler Class Availability'!$G:$G,AQ61)&amp;""),0)=0,IF(INDEX('Reguler Class Availability'!$B:$B,AQ61)&amp;""="","Kosong","Belum terisi"),IF(IFERROR(--(INDEX('Reguler Class Availability'!$G:$G,AQ61)&amp;""),0)/IFERROR(--(INDEX('Reguler Class Availability'!$F:$F,AQ61)&amp;""),0)&gt;=0.6,"Tinggi","Sebagian"))))))</f>
        <v>Sebagian</v>
      </c>
      <c r="AZ61" s="0" t="str">
        <f aca="false">IF(AR61="","",IF(AND(IFERROR(--(INDEX('Reguler Class Availability'!$F:$F,AR61)&amp;""),0)=0,IFERROR(--(INDEX('Reguler Class Availability'!$G:$G,AR61)&amp;""),0)=0),IF(OR(INDEX('Reguler Class Availability'!$B:$B,AR61)&amp;""&lt;&gt;"",INDEX('Reguler Class Availability'!$I:$I,AR61)&amp;""&lt;&gt;""),"Tutup","Tidak dibuka"),IF(IFERROR(--(INDEX('Reguler Class Availability'!$G:$G,AR61)&amp;""),0)&gt;IFERROR(--(INDEX('Reguler Class Availability'!$F:$F,AR61)&amp;""),0),"Lebih",IF(IFERROR(--(INDEX('Reguler Class Availability'!$G:$G,AR61)&amp;""),0)=IFERROR(--(INDEX('Reguler Class Availability'!$F:$F,AR61)&amp;""),0),"Penuh",IF(IFERROR(--(INDEX('Reguler Class Availability'!$G:$G,AR61)&amp;""),0)=0,IF(INDEX('Reguler Class Availability'!$B:$B,AR61)&amp;""="","Kosong","Belum terisi"),IF(IFERROR(--(INDEX('Reguler Class Availability'!$G:$G,AR61)&amp;""),0)/IFERROR(--(INDEX('Reguler Class Availability'!$F:$F,AR61)&amp;""),0)&gt;=0.6,"Tinggi","Sebagian"))))))</f>
        <v>Sebagian</v>
      </c>
      <c r="BA61" s="0" t="str">
        <f aca="false">IF(AS61="","",IF(AND(IFERROR(--(INDEX('Reguler Class Availability'!$F:$F,AS61)&amp;""),0)=0,IFERROR(--(INDEX('Reguler Class Availability'!$G:$G,AS61)&amp;""),0)=0),IF(OR(INDEX('Reguler Class Availability'!$B:$B,AS61)&amp;""&lt;&gt;"",INDEX('Reguler Class Availability'!$I:$I,AS61)&amp;""&lt;&gt;""),"Tutup","Tidak dibuka"),IF(IFERROR(--(INDEX('Reguler Class Availability'!$G:$G,AS61)&amp;""),0)&gt;IFERROR(--(INDEX('Reguler Class Availability'!$F:$F,AS61)&amp;""),0),"Lebih",IF(IFERROR(--(INDEX('Reguler Class Availability'!$G:$G,AS61)&amp;""),0)=IFERROR(--(INDEX('Reguler Class Availability'!$F:$F,AS61)&amp;""),0),"Penuh",IF(IFERROR(--(INDEX('Reguler Class Availability'!$G:$G,AS61)&amp;""),0)=0,IF(INDEX('Reguler Class Availability'!$B:$B,AS61)&amp;""="","Kosong","Belum terisi"),IF(IFERROR(--(INDEX('Reguler Class Availability'!$G:$G,AS61)&amp;""),0)/IFERROR(--(INDEX('Reguler Class Availability'!$F:$F,AS61)&amp;""),0)&gt;=0.6,"Tinggi","Sebagian"))))))</f>
        <v>Belum terisi</v>
      </c>
      <c r="BB61" s="0" t="str">
        <f aca="false">IF(AT61="","",IF(AND(IFERROR(--(INDEX('Reguler Class Availability'!$F:$F,AT61)&amp;""),0)=0,IFERROR(--(INDEX('Reguler Class Availability'!$G:$G,AT61)&amp;""),0)=0),IF(OR(INDEX('Reguler Class Availability'!$B:$B,AT61)&amp;""&lt;&gt;"",INDEX('Reguler Class Availability'!$I:$I,AT61)&amp;""&lt;&gt;""),"Tutup","Tidak dibuka"),IF(IFERROR(--(INDEX('Reguler Class Availability'!$G:$G,AT61)&amp;""),0)&gt;IFERROR(--(INDEX('Reguler Class Availability'!$F:$F,AT61)&amp;""),0),"Lebih",IF(IFERROR(--(INDEX('Reguler Class Availability'!$G:$G,AT61)&amp;""),0)=IFERROR(--(INDEX('Reguler Class Availability'!$F:$F,AT61)&amp;""),0),"Penuh",IF(IFERROR(--(INDEX('Reguler Class Availability'!$G:$G,AT61)&amp;""),0)=0,IF(INDEX('Reguler Class Availability'!$B:$B,AT61)&amp;""="","Kosong","Belum terisi"),IF(IFERROR(--(INDEX('Reguler Class Availability'!$G:$G,AT61)&amp;""),0)/IFERROR(--(INDEX('Reguler Class Availability'!$F:$F,AT61)&amp;""),0)&gt;=0.6,"Tinggi","Sebagian"))))))</f>
        <v>Sebagian</v>
      </c>
      <c r="BD61" s="30" t="s">
        <v>171</v>
      </c>
      <c r="BE61" s="30" t="n">
        <f aca="false">IF(COUNTIFS('Reguler Class Availability'!$L:$L,$B$4&amp;"|- Lane 1 - *|"&amp;BD61)&gt;0,1,0)</f>
        <v>0</v>
      </c>
      <c r="BF61" s="30" t="n">
        <f aca="false">BE61+BF60</f>
        <v>14</v>
      </c>
    </row>
    <row r="62" customFormat="false" ht="39.75" hidden="false" customHeight="true" outlineLevel="0" collapsed="false">
      <c r="A62" s="66" t="str">
        <f aca="false">IFERROR(INDEX($BD$122:$BD$181,MATCH(11,$BF$122:$BF$181,0)),"")</f>
        <v>16:30</v>
      </c>
      <c r="B62" s="67" t="str">
        <f aca="false">IF(AN62="","",IF(AV62="Tidak dibuka","–",IF(INDEX('Reguler Class Availability'!$B:$B,AN62)&amp;""="","Kosong",PROPER(INDEX('Reguler Class Availability'!$B:$B,AN62)&amp;""))&amp;"  "&amp;IFERROR(--(INDEX('Reguler Class Availability'!$G:$G,AN62)&amp;""),0)&amp;"/"&amp;IFERROR(--(INDEX('Reguler Class Availability'!$F:$F,AN62)&amp;""),0)&amp;IF(IFERROR(--(INDEX('Reguler Class Availability'!$F:$F,AN62)&amp;""),0)&gt;0,"  ("&amp;TEXT(IFERROR(--(INDEX('Reguler Class Availability'!$G:$G,AN62)&amp;""),0)/IFERROR(--(INDEX('Reguler Class Availability'!$F:$F,AN62)&amp;""),0),"0%")&amp;")","")&amp;CHAR(10)&amp;IF(INDEX('Reguler Class Availability'!$I:$I,AN62)&amp;""="","coach: –",PROPER(INDEX('Reguler Class Availability'!$I:$I,AN62)&amp;""))&amp;IF(INDEX('Reguler Class Availability'!$J:$J,AN62)&amp;""="","",CHAR(10)&amp;"asst: "&amp;PROPER(INDEX('Reguler Class Availability'!$J:$J,AN62)&amp;""))))</f>
        <v>Little  0/4  (0%)
coach: –</v>
      </c>
      <c r="C62" s="67" t="str">
        <f aca="false">IF(AO62="","",IF(AW62="Tidak dibuka","–",IF(INDEX('Reguler Class Availability'!$B:$B,AO62)&amp;""="","Kosong",PROPER(INDEX('Reguler Class Availability'!$B:$B,AO62)&amp;""))&amp;"  "&amp;IFERROR(--(INDEX('Reguler Class Availability'!$G:$G,AO62)&amp;""),0)&amp;"/"&amp;IFERROR(--(INDEX('Reguler Class Availability'!$F:$F,AO62)&amp;""),0)&amp;IF(IFERROR(--(INDEX('Reguler Class Availability'!$F:$F,AO62)&amp;""),0)&gt;0,"  ("&amp;TEXT(IFERROR(--(INDEX('Reguler Class Availability'!$G:$G,AO62)&amp;""),0)/IFERROR(--(INDEX('Reguler Class Availability'!$F:$F,AO62)&amp;""),0),"0%")&amp;")","")&amp;CHAR(10)&amp;IF(INDEX('Reguler Class Availability'!$I:$I,AO62)&amp;""="","coach: –",PROPER(INDEX('Reguler Class Availability'!$I:$I,AO62)&amp;""))&amp;IF(INDEX('Reguler Class Availability'!$J:$J,AO62)&amp;""="","",CHAR(10)&amp;"asst: "&amp;PROPER(INDEX('Reguler Class Availability'!$J:$J,AO62)&amp;""))))</f>
        <v>Little  0/4  (0%)
coach: –</v>
      </c>
      <c r="D62" s="67" t="str">
        <f aca="false">IF(AP62="","",IF(AX62="Tidak dibuka","–",IF(INDEX('Reguler Class Availability'!$B:$B,AP62)&amp;""="","Kosong",PROPER(INDEX('Reguler Class Availability'!$B:$B,AP62)&amp;""))&amp;"  "&amp;IFERROR(--(INDEX('Reguler Class Availability'!$G:$G,AP62)&amp;""),0)&amp;"/"&amp;IFERROR(--(INDEX('Reguler Class Availability'!$F:$F,AP62)&amp;""),0)&amp;IF(IFERROR(--(INDEX('Reguler Class Availability'!$F:$F,AP62)&amp;""),0)&gt;0,"  ("&amp;TEXT(IFERROR(--(INDEX('Reguler Class Availability'!$G:$G,AP62)&amp;""),0)/IFERROR(--(INDEX('Reguler Class Availability'!$F:$F,AP62)&amp;""),0),"0%")&amp;")","")&amp;CHAR(10)&amp;IF(INDEX('Reguler Class Availability'!$I:$I,AP62)&amp;""="","coach: –",PROPER(INDEX('Reguler Class Availability'!$I:$I,AP62)&amp;""))&amp;IF(INDEX('Reguler Class Availability'!$J:$J,AP62)&amp;""="","",CHAR(10)&amp;"asst: "&amp;PROPER(INDEX('Reguler Class Availability'!$J:$J,AP62)&amp;""))))</f>
        <v>Little  0/4  (0%)
coach: –</v>
      </c>
      <c r="E62" s="67" t="str">
        <f aca="false">IF(AQ62="","",IF(AY62="Tidak dibuka","–",IF(INDEX('Reguler Class Availability'!$B:$B,AQ62)&amp;""="","Kosong",PROPER(INDEX('Reguler Class Availability'!$B:$B,AQ62)&amp;""))&amp;"  "&amp;IFERROR(--(INDEX('Reguler Class Availability'!$G:$G,AQ62)&amp;""),0)&amp;"/"&amp;IFERROR(--(INDEX('Reguler Class Availability'!$F:$F,AQ62)&amp;""),0)&amp;IF(IFERROR(--(INDEX('Reguler Class Availability'!$F:$F,AQ62)&amp;""),0)&gt;0,"  ("&amp;TEXT(IFERROR(--(INDEX('Reguler Class Availability'!$G:$G,AQ62)&amp;""),0)/IFERROR(--(INDEX('Reguler Class Availability'!$F:$F,AQ62)&amp;""),0),"0%")&amp;")","")&amp;CHAR(10)&amp;IF(INDEX('Reguler Class Availability'!$I:$I,AQ62)&amp;""="","coach: –",PROPER(INDEX('Reguler Class Availability'!$I:$I,AQ62)&amp;""))&amp;IF(INDEX('Reguler Class Availability'!$J:$J,AQ62)&amp;""="","",CHAR(10)&amp;"asst: "&amp;PROPER(INDEX('Reguler Class Availability'!$J:$J,AQ62)&amp;""))))</f>
        <v>Little  0/4  (0%)
coach: –</v>
      </c>
      <c r="F62" s="67" t="str">
        <f aca="false">IF(AR62="","",IF(AZ62="Tidak dibuka","–",IF(INDEX('Reguler Class Availability'!$B:$B,AR62)&amp;""="","Kosong",PROPER(INDEX('Reguler Class Availability'!$B:$B,AR62)&amp;""))&amp;"  "&amp;IFERROR(--(INDEX('Reguler Class Availability'!$G:$G,AR62)&amp;""),0)&amp;"/"&amp;IFERROR(--(INDEX('Reguler Class Availability'!$F:$F,AR62)&amp;""),0)&amp;IF(IFERROR(--(INDEX('Reguler Class Availability'!$F:$F,AR62)&amp;""),0)&gt;0,"  ("&amp;TEXT(IFERROR(--(INDEX('Reguler Class Availability'!$G:$G,AR62)&amp;""),0)/IFERROR(--(INDEX('Reguler Class Availability'!$F:$F,AR62)&amp;""),0),"0%")&amp;")","")&amp;CHAR(10)&amp;IF(INDEX('Reguler Class Availability'!$I:$I,AR62)&amp;""="","coach: –",PROPER(INDEX('Reguler Class Availability'!$I:$I,AR62)&amp;""))&amp;IF(INDEX('Reguler Class Availability'!$J:$J,AR62)&amp;""="","",CHAR(10)&amp;"asst: "&amp;PROPER(INDEX('Reguler Class Availability'!$J:$J,AR62)&amp;""))))</f>
        <v>Little  2/4  (50%)
Silvi</v>
      </c>
      <c r="G62" s="67" t="str">
        <f aca="false">IF(AS62="","",IF(BA62="Tidak dibuka","–",IF(INDEX('Reguler Class Availability'!$B:$B,AS62)&amp;""="","Kosong",PROPER(INDEX('Reguler Class Availability'!$B:$B,AS62)&amp;""))&amp;"  "&amp;IFERROR(--(INDEX('Reguler Class Availability'!$G:$G,AS62)&amp;""),0)&amp;"/"&amp;IFERROR(--(INDEX('Reguler Class Availability'!$F:$F,AS62)&amp;""),0)&amp;IF(IFERROR(--(INDEX('Reguler Class Availability'!$F:$F,AS62)&amp;""),0)&gt;0,"  ("&amp;TEXT(IFERROR(--(INDEX('Reguler Class Availability'!$G:$G,AS62)&amp;""),0)/IFERROR(--(INDEX('Reguler Class Availability'!$F:$F,AS62)&amp;""),0),"0%")&amp;")","")&amp;CHAR(10)&amp;IF(INDEX('Reguler Class Availability'!$I:$I,AS62)&amp;""="","coach: –",PROPER(INDEX('Reguler Class Availability'!$I:$I,AS62)&amp;""))&amp;IF(INDEX('Reguler Class Availability'!$J:$J,AS62)&amp;""="","",CHAR(10)&amp;"asst: "&amp;PROPER(INDEX('Reguler Class Availability'!$J:$J,AS62)&amp;""))))</f>
        <v>Little  0/4  (0%)
coach: –</v>
      </c>
      <c r="H62" s="67" t="str">
        <f aca="false">IF(AT62="","",IF(BB62="Tidak dibuka","–",IF(INDEX('Reguler Class Availability'!$B:$B,AT62)&amp;""="","Kosong",PROPER(INDEX('Reguler Class Availability'!$B:$B,AT62)&amp;""))&amp;"  "&amp;IFERROR(--(INDEX('Reguler Class Availability'!$G:$G,AT62)&amp;""),0)&amp;"/"&amp;IFERROR(--(INDEX('Reguler Class Availability'!$F:$F,AT62)&amp;""),0)&amp;IF(IFERROR(--(INDEX('Reguler Class Availability'!$F:$F,AT62)&amp;""),0)&gt;0,"  ("&amp;TEXT(IFERROR(--(INDEX('Reguler Class Availability'!$G:$G,AT62)&amp;""),0)/IFERROR(--(INDEX('Reguler Class Availability'!$F:$F,AT62)&amp;""),0),"0%")&amp;")","")&amp;CHAR(10)&amp;IF(INDEX('Reguler Class Availability'!$I:$I,AT62)&amp;""="","coach: –",PROPER(INDEX('Reguler Class Availability'!$I:$I,AT62)&amp;""))&amp;IF(INDEX('Reguler Class Availability'!$J:$J,AT62)&amp;""="","",CHAR(10)&amp;"asst: "&amp;PROPER(INDEX('Reguler Class Availability'!$J:$J,AT62)&amp;""))))</f>
        <v>Little  0/4  (0%)
coach: –</v>
      </c>
      <c r="AN62" s="30" t="n">
        <f aca="false">IF($A62="","",IFERROR(MATCH($B$4&amp;"|- Lane 3 - "&amp;B$51&amp;"|"&amp;$A62,'Reguler Class Availability'!$L:$L,0),""))</f>
        <v>2602</v>
      </c>
      <c r="AO62" s="30" t="n">
        <f aca="false">IF($A62="","",IFERROR(MATCH($B$4&amp;"|- Lane 3 - "&amp;C$51&amp;"|"&amp;$A62,'Reguler Class Availability'!$L:$L,0),""))</f>
        <v>2614</v>
      </c>
      <c r="AP62" s="30" t="n">
        <f aca="false">IF($A62="","",IFERROR(MATCH($B$4&amp;"|- Lane 3 - "&amp;D$51&amp;"|"&amp;$A62,'Reguler Class Availability'!$L:$L,0),""))</f>
        <v>2626</v>
      </c>
      <c r="AQ62" s="30" t="n">
        <f aca="false">IF($A62="","",IFERROR(MATCH($B$4&amp;"|- Lane 3 - "&amp;E$51&amp;"|"&amp;$A62,'Reguler Class Availability'!$L:$L,0),""))</f>
        <v>2638</v>
      </c>
      <c r="AR62" s="30" t="n">
        <f aca="false">IF($A62="","",IFERROR(MATCH($B$4&amp;"|- Lane 3 - "&amp;F$51&amp;"|"&amp;$A62,'Reguler Class Availability'!$L:$L,0),""))</f>
        <v>2650</v>
      </c>
      <c r="AS62" s="30" t="n">
        <f aca="false">IF($A62="","",IFERROR(MATCH($B$4&amp;"|- Lane 3 - "&amp;G$51&amp;"|"&amp;$A62,'Reguler Class Availability'!$L:$L,0),""))</f>
        <v>2662</v>
      </c>
      <c r="AT62" s="30" t="n">
        <f aca="false">IF($A62="","",IFERROR(MATCH($B$4&amp;"|- Lane 3 - "&amp;H$51&amp;"|"&amp;$A62,'Reguler Class Availability'!$L:$L,0),""))</f>
        <v>2674</v>
      </c>
      <c r="AV62" s="0" t="str">
        <f aca="false">IF(AN62="","",IF(AND(IFERROR(--(INDEX('Reguler Class Availability'!$F:$F,AN62)&amp;""),0)=0,IFERROR(--(INDEX('Reguler Class Availability'!$G:$G,AN62)&amp;""),0)=0),IF(OR(INDEX('Reguler Class Availability'!$B:$B,AN62)&amp;""&lt;&gt;"",INDEX('Reguler Class Availability'!$I:$I,AN62)&amp;""&lt;&gt;""),"Tutup","Tidak dibuka"),IF(IFERROR(--(INDEX('Reguler Class Availability'!$G:$G,AN62)&amp;""),0)&gt;IFERROR(--(INDEX('Reguler Class Availability'!$F:$F,AN62)&amp;""),0),"Lebih",IF(IFERROR(--(INDEX('Reguler Class Availability'!$G:$G,AN62)&amp;""),0)=IFERROR(--(INDEX('Reguler Class Availability'!$F:$F,AN62)&amp;""),0),"Penuh",IF(IFERROR(--(INDEX('Reguler Class Availability'!$G:$G,AN62)&amp;""),0)=0,IF(INDEX('Reguler Class Availability'!$B:$B,AN62)&amp;""="","Kosong","Belum terisi"),IF(IFERROR(--(INDEX('Reguler Class Availability'!$G:$G,AN62)&amp;""),0)/IFERROR(--(INDEX('Reguler Class Availability'!$F:$F,AN62)&amp;""),0)&gt;=0.6,"Tinggi","Sebagian"))))))</f>
        <v>Belum terisi</v>
      </c>
      <c r="AW62" s="0" t="str">
        <f aca="false">IF(AO62="","",IF(AND(IFERROR(--(INDEX('Reguler Class Availability'!$F:$F,AO62)&amp;""),0)=0,IFERROR(--(INDEX('Reguler Class Availability'!$G:$G,AO62)&amp;""),0)=0),IF(OR(INDEX('Reguler Class Availability'!$B:$B,AO62)&amp;""&lt;&gt;"",INDEX('Reguler Class Availability'!$I:$I,AO62)&amp;""&lt;&gt;""),"Tutup","Tidak dibuka"),IF(IFERROR(--(INDEX('Reguler Class Availability'!$G:$G,AO62)&amp;""),0)&gt;IFERROR(--(INDEX('Reguler Class Availability'!$F:$F,AO62)&amp;""),0),"Lebih",IF(IFERROR(--(INDEX('Reguler Class Availability'!$G:$G,AO62)&amp;""),0)=IFERROR(--(INDEX('Reguler Class Availability'!$F:$F,AO62)&amp;""),0),"Penuh",IF(IFERROR(--(INDEX('Reguler Class Availability'!$G:$G,AO62)&amp;""),0)=0,IF(INDEX('Reguler Class Availability'!$B:$B,AO62)&amp;""="","Kosong","Belum terisi"),IF(IFERROR(--(INDEX('Reguler Class Availability'!$G:$G,AO62)&amp;""),0)/IFERROR(--(INDEX('Reguler Class Availability'!$F:$F,AO62)&amp;""),0)&gt;=0.6,"Tinggi","Sebagian"))))))</f>
        <v>Belum terisi</v>
      </c>
      <c r="AX62" s="0" t="str">
        <f aca="false">IF(AP62="","",IF(AND(IFERROR(--(INDEX('Reguler Class Availability'!$F:$F,AP62)&amp;""),0)=0,IFERROR(--(INDEX('Reguler Class Availability'!$G:$G,AP62)&amp;""),0)=0),IF(OR(INDEX('Reguler Class Availability'!$B:$B,AP62)&amp;""&lt;&gt;"",INDEX('Reguler Class Availability'!$I:$I,AP62)&amp;""&lt;&gt;""),"Tutup","Tidak dibuka"),IF(IFERROR(--(INDEX('Reguler Class Availability'!$G:$G,AP62)&amp;""),0)&gt;IFERROR(--(INDEX('Reguler Class Availability'!$F:$F,AP62)&amp;""),0),"Lebih",IF(IFERROR(--(INDEX('Reguler Class Availability'!$G:$G,AP62)&amp;""),0)=IFERROR(--(INDEX('Reguler Class Availability'!$F:$F,AP62)&amp;""),0),"Penuh",IF(IFERROR(--(INDEX('Reguler Class Availability'!$G:$G,AP62)&amp;""),0)=0,IF(INDEX('Reguler Class Availability'!$B:$B,AP62)&amp;""="","Kosong","Belum terisi"),IF(IFERROR(--(INDEX('Reguler Class Availability'!$G:$G,AP62)&amp;""),0)/IFERROR(--(INDEX('Reguler Class Availability'!$F:$F,AP62)&amp;""),0)&gt;=0.6,"Tinggi","Sebagian"))))))</f>
        <v>Belum terisi</v>
      </c>
      <c r="AY62" s="0" t="str">
        <f aca="false">IF(AQ62="","",IF(AND(IFERROR(--(INDEX('Reguler Class Availability'!$F:$F,AQ62)&amp;""),0)=0,IFERROR(--(INDEX('Reguler Class Availability'!$G:$G,AQ62)&amp;""),0)=0),IF(OR(INDEX('Reguler Class Availability'!$B:$B,AQ62)&amp;""&lt;&gt;"",INDEX('Reguler Class Availability'!$I:$I,AQ62)&amp;""&lt;&gt;""),"Tutup","Tidak dibuka"),IF(IFERROR(--(INDEX('Reguler Class Availability'!$G:$G,AQ62)&amp;""),0)&gt;IFERROR(--(INDEX('Reguler Class Availability'!$F:$F,AQ62)&amp;""),0),"Lebih",IF(IFERROR(--(INDEX('Reguler Class Availability'!$G:$G,AQ62)&amp;""),0)=IFERROR(--(INDEX('Reguler Class Availability'!$F:$F,AQ62)&amp;""),0),"Penuh",IF(IFERROR(--(INDEX('Reguler Class Availability'!$G:$G,AQ62)&amp;""),0)=0,IF(INDEX('Reguler Class Availability'!$B:$B,AQ62)&amp;""="","Kosong","Belum terisi"),IF(IFERROR(--(INDEX('Reguler Class Availability'!$G:$G,AQ62)&amp;""),0)/IFERROR(--(INDEX('Reguler Class Availability'!$F:$F,AQ62)&amp;""),0)&gt;=0.6,"Tinggi","Sebagian"))))))</f>
        <v>Belum terisi</v>
      </c>
      <c r="AZ62" s="0" t="str">
        <f aca="false">IF(AR62="","",IF(AND(IFERROR(--(INDEX('Reguler Class Availability'!$F:$F,AR62)&amp;""),0)=0,IFERROR(--(INDEX('Reguler Class Availability'!$G:$G,AR62)&amp;""),0)=0),IF(OR(INDEX('Reguler Class Availability'!$B:$B,AR62)&amp;""&lt;&gt;"",INDEX('Reguler Class Availability'!$I:$I,AR62)&amp;""&lt;&gt;""),"Tutup","Tidak dibuka"),IF(IFERROR(--(INDEX('Reguler Class Availability'!$G:$G,AR62)&amp;""),0)&gt;IFERROR(--(INDEX('Reguler Class Availability'!$F:$F,AR62)&amp;""),0),"Lebih",IF(IFERROR(--(INDEX('Reguler Class Availability'!$G:$G,AR62)&amp;""),0)=IFERROR(--(INDEX('Reguler Class Availability'!$F:$F,AR62)&amp;""),0),"Penuh",IF(IFERROR(--(INDEX('Reguler Class Availability'!$G:$G,AR62)&amp;""),0)=0,IF(INDEX('Reguler Class Availability'!$B:$B,AR62)&amp;""="","Kosong","Belum terisi"),IF(IFERROR(--(INDEX('Reguler Class Availability'!$G:$G,AR62)&amp;""),0)/IFERROR(--(INDEX('Reguler Class Availability'!$F:$F,AR62)&amp;""),0)&gt;=0.6,"Tinggi","Sebagian"))))))</f>
        <v>Sebagian</v>
      </c>
      <c r="BA62" s="0" t="str">
        <f aca="false">IF(AS62="","",IF(AND(IFERROR(--(INDEX('Reguler Class Availability'!$F:$F,AS62)&amp;""),0)=0,IFERROR(--(INDEX('Reguler Class Availability'!$G:$G,AS62)&amp;""),0)=0),IF(OR(INDEX('Reguler Class Availability'!$B:$B,AS62)&amp;""&lt;&gt;"",INDEX('Reguler Class Availability'!$I:$I,AS62)&amp;""&lt;&gt;""),"Tutup","Tidak dibuka"),IF(IFERROR(--(INDEX('Reguler Class Availability'!$G:$G,AS62)&amp;""),0)&gt;IFERROR(--(INDEX('Reguler Class Availability'!$F:$F,AS62)&amp;""),0),"Lebih",IF(IFERROR(--(INDEX('Reguler Class Availability'!$G:$G,AS62)&amp;""),0)=IFERROR(--(INDEX('Reguler Class Availability'!$F:$F,AS62)&amp;""),0),"Penuh",IF(IFERROR(--(INDEX('Reguler Class Availability'!$G:$G,AS62)&amp;""),0)=0,IF(INDEX('Reguler Class Availability'!$B:$B,AS62)&amp;""="","Kosong","Belum terisi"),IF(IFERROR(--(INDEX('Reguler Class Availability'!$G:$G,AS62)&amp;""),0)/IFERROR(--(INDEX('Reguler Class Availability'!$F:$F,AS62)&amp;""),0)&gt;=0.6,"Tinggi","Sebagian"))))))</f>
        <v>Belum terisi</v>
      </c>
      <c r="BB62" s="0" t="str">
        <f aca="false">IF(AT62="","",IF(AND(IFERROR(--(INDEX('Reguler Class Availability'!$F:$F,AT62)&amp;""),0)=0,IFERROR(--(INDEX('Reguler Class Availability'!$G:$G,AT62)&amp;""),0)=0),IF(OR(INDEX('Reguler Class Availability'!$B:$B,AT62)&amp;""&lt;&gt;"",INDEX('Reguler Class Availability'!$I:$I,AT62)&amp;""&lt;&gt;""),"Tutup","Tidak dibuka"),IF(IFERROR(--(INDEX('Reguler Class Availability'!$G:$G,AT62)&amp;""),0)&gt;IFERROR(--(INDEX('Reguler Class Availability'!$F:$F,AT62)&amp;""),0),"Lebih",IF(IFERROR(--(INDEX('Reguler Class Availability'!$G:$G,AT62)&amp;""),0)=IFERROR(--(INDEX('Reguler Class Availability'!$F:$F,AT62)&amp;""),0),"Penuh",IF(IFERROR(--(INDEX('Reguler Class Availability'!$G:$G,AT62)&amp;""),0)=0,IF(INDEX('Reguler Class Availability'!$B:$B,AT62)&amp;""="","Kosong","Belum terisi"),IF(IFERROR(--(INDEX('Reguler Class Availability'!$G:$G,AT62)&amp;""),0)/IFERROR(--(INDEX('Reguler Class Availability'!$F:$F,AT62)&amp;""),0)&gt;=0.6,"Tinggi","Sebagian"))))))</f>
        <v>Belum terisi</v>
      </c>
      <c r="BD62" s="30" t="s">
        <v>78</v>
      </c>
      <c r="BE62" s="30" t="n">
        <f aca="false">IF(COUNTIFS('Reguler Class Availability'!$L:$L,$B$4&amp;"|- Lane 2 - *|"&amp;BD62)&gt;0,1,0)</f>
        <v>0</v>
      </c>
      <c r="BF62" s="30" t="n">
        <f aca="false">BE62</f>
        <v>0</v>
      </c>
    </row>
    <row r="63" customFormat="false" ht="39.75" hidden="false" customHeight="true" outlineLevel="0" collapsed="false">
      <c r="A63" s="66" t="str">
        <f aca="false">IFERROR(INDEX($BD$122:$BD$181,MATCH(12,$BF$122:$BF$181,0)),"")</f>
        <v>17:15</v>
      </c>
      <c r="B63" s="67" t="str">
        <f aca="false">IF(AN63="","",IF(AV63="Tidak dibuka","–",IF(INDEX('Reguler Class Availability'!$B:$B,AN63)&amp;""="","Kosong",PROPER(INDEX('Reguler Class Availability'!$B:$B,AN63)&amp;""))&amp;"  "&amp;IFERROR(--(INDEX('Reguler Class Availability'!$G:$G,AN63)&amp;""),0)&amp;"/"&amp;IFERROR(--(INDEX('Reguler Class Availability'!$F:$F,AN63)&amp;""),0)&amp;IF(IFERROR(--(INDEX('Reguler Class Availability'!$F:$F,AN63)&amp;""),0)&gt;0,"  ("&amp;TEXT(IFERROR(--(INDEX('Reguler Class Availability'!$G:$G,AN63)&amp;""),0)/IFERROR(--(INDEX('Reguler Class Availability'!$F:$F,AN63)&amp;""),0),"0%")&amp;")","")&amp;CHAR(10)&amp;IF(INDEX('Reguler Class Availability'!$I:$I,AN63)&amp;""="","coach: –",PROPER(INDEX('Reguler Class Availability'!$I:$I,AN63)&amp;""))&amp;IF(INDEX('Reguler Class Availability'!$J:$J,AN63)&amp;""="","",CHAR(10)&amp;"asst: "&amp;PROPER(INDEX('Reguler Class Availability'!$J:$J,AN63)&amp;""))))</f>
        <v>Little  0/4  (0%)
coach: –</v>
      </c>
      <c r="C63" s="67" t="str">
        <f aca="false">IF(AO63="","",IF(AW63="Tidak dibuka","–",IF(INDEX('Reguler Class Availability'!$B:$B,AO63)&amp;""="","Kosong",PROPER(INDEX('Reguler Class Availability'!$B:$B,AO63)&amp;""))&amp;"  "&amp;IFERROR(--(INDEX('Reguler Class Availability'!$G:$G,AO63)&amp;""),0)&amp;"/"&amp;IFERROR(--(INDEX('Reguler Class Availability'!$F:$F,AO63)&amp;""),0)&amp;IF(IFERROR(--(INDEX('Reguler Class Availability'!$F:$F,AO63)&amp;""),0)&gt;0,"  ("&amp;TEXT(IFERROR(--(INDEX('Reguler Class Availability'!$G:$G,AO63)&amp;""),0)/IFERROR(--(INDEX('Reguler Class Availability'!$F:$F,AO63)&amp;""),0),"0%")&amp;")","")&amp;CHAR(10)&amp;IF(INDEX('Reguler Class Availability'!$I:$I,AO63)&amp;""="","coach: –",PROPER(INDEX('Reguler Class Availability'!$I:$I,AO63)&amp;""))&amp;IF(INDEX('Reguler Class Availability'!$J:$J,AO63)&amp;""="","",CHAR(10)&amp;"asst: "&amp;PROPER(INDEX('Reguler Class Availability'!$J:$J,AO63)&amp;""))))</f>
        <v>Little  0/4  (0%)
coach: –</v>
      </c>
      <c r="D63" s="67" t="str">
        <f aca="false">IF(AP63="","",IF(AX63="Tidak dibuka","–",IF(INDEX('Reguler Class Availability'!$B:$B,AP63)&amp;""="","Kosong",PROPER(INDEX('Reguler Class Availability'!$B:$B,AP63)&amp;""))&amp;"  "&amp;IFERROR(--(INDEX('Reguler Class Availability'!$G:$G,AP63)&amp;""),0)&amp;"/"&amp;IFERROR(--(INDEX('Reguler Class Availability'!$F:$F,AP63)&amp;""),0)&amp;IF(IFERROR(--(INDEX('Reguler Class Availability'!$F:$F,AP63)&amp;""),0)&gt;0,"  ("&amp;TEXT(IFERROR(--(INDEX('Reguler Class Availability'!$G:$G,AP63)&amp;""),0)/IFERROR(--(INDEX('Reguler Class Availability'!$F:$F,AP63)&amp;""),0),"0%")&amp;")","")&amp;CHAR(10)&amp;IF(INDEX('Reguler Class Availability'!$I:$I,AP63)&amp;""="","coach: –",PROPER(INDEX('Reguler Class Availability'!$I:$I,AP63)&amp;""))&amp;IF(INDEX('Reguler Class Availability'!$J:$J,AP63)&amp;""="","",CHAR(10)&amp;"asst: "&amp;PROPER(INDEX('Reguler Class Availability'!$J:$J,AP63)&amp;""))))</f>
        <v>Little  0/4  (0%)
coach: –</v>
      </c>
      <c r="E63" s="67" t="str">
        <f aca="false">IF(AQ63="","",IF(AY63="Tidak dibuka","–",IF(INDEX('Reguler Class Availability'!$B:$B,AQ63)&amp;""="","Kosong",PROPER(INDEX('Reguler Class Availability'!$B:$B,AQ63)&amp;""))&amp;"  "&amp;IFERROR(--(INDEX('Reguler Class Availability'!$G:$G,AQ63)&amp;""),0)&amp;"/"&amp;IFERROR(--(INDEX('Reguler Class Availability'!$F:$F,AQ63)&amp;""),0)&amp;IF(IFERROR(--(INDEX('Reguler Class Availability'!$F:$F,AQ63)&amp;""),0)&gt;0,"  ("&amp;TEXT(IFERROR(--(INDEX('Reguler Class Availability'!$G:$G,AQ63)&amp;""),0)/IFERROR(--(INDEX('Reguler Class Availability'!$F:$F,AQ63)&amp;""),0),"0%")&amp;")","")&amp;CHAR(10)&amp;IF(INDEX('Reguler Class Availability'!$I:$I,AQ63)&amp;""="","coach: –",PROPER(INDEX('Reguler Class Availability'!$I:$I,AQ63)&amp;""))&amp;IF(INDEX('Reguler Class Availability'!$J:$J,AQ63)&amp;""="","",CHAR(10)&amp;"asst: "&amp;PROPER(INDEX('Reguler Class Availability'!$J:$J,AQ63)&amp;""))))</f>
        <v>Little  0/4  (0%)
coach: –</v>
      </c>
      <c r="F63" s="67" t="str">
        <f aca="false">IF(AR63="","",IF(AZ63="Tidak dibuka","–",IF(INDEX('Reguler Class Availability'!$B:$B,AR63)&amp;""="","Kosong",PROPER(INDEX('Reguler Class Availability'!$B:$B,AR63)&amp;""))&amp;"  "&amp;IFERROR(--(INDEX('Reguler Class Availability'!$G:$G,AR63)&amp;""),0)&amp;"/"&amp;IFERROR(--(INDEX('Reguler Class Availability'!$F:$F,AR63)&amp;""),0)&amp;IF(IFERROR(--(INDEX('Reguler Class Availability'!$F:$F,AR63)&amp;""),0)&gt;0,"  ("&amp;TEXT(IFERROR(--(INDEX('Reguler Class Availability'!$G:$G,AR63)&amp;""),0)/IFERROR(--(INDEX('Reguler Class Availability'!$F:$F,AR63)&amp;""),0),"0%")&amp;")","")&amp;CHAR(10)&amp;IF(INDEX('Reguler Class Availability'!$I:$I,AR63)&amp;""="","coach: –",PROPER(INDEX('Reguler Class Availability'!$I:$I,AR63)&amp;""))&amp;IF(INDEX('Reguler Class Availability'!$J:$J,AR63)&amp;""="","",CHAR(10)&amp;"asst: "&amp;PROPER(INDEX('Reguler Class Availability'!$J:$J,AR63)&amp;""))))</f>
        <v>Little  0/4  (0%)
coach: –</v>
      </c>
      <c r="G63" s="67" t="str">
        <f aca="false">IF(AS63="","",IF(BA63="Tidak dibuka","–",IF(INDEX('Reguler Class Availability'!$B:$B,AS63)&amp;""="","Kosong",PROPER(INDEX('Reguler Class Availability'!$B:$B,AS63)&amp;""))&amp;"  "&amp;IFERROR(--(INDEX('Reguler Class Availability'!$G:$G,AS63)&amp;""),0)&amp;"/"&amp;IFERROR(--(INDEX('Reguler Class Availability'!$F:$F,AS63)&amp;""),0)&amp;IF(IFERROR(--(INDEX('Reguler Class Availability'!$F:$F,AS63)&amp;""),0)&gt;0,"  ("&amp;TEXT(IFERROR(--(INDEX('Reguler Class Availability'!$G:$G,AS63)&amp;""),0)/IFERROR(--(INDEX('Reguler Class Availability'!$F:$F,AS63)&amp;""),0),"0%")&amp;")","")&amp;CHAR(10)&amp;IF(INDEX('Reguler Class Availability'!$I:$I,AS63)&amp;""="","coach: –",PROPER(INDEX('Reguler Class Availability'!$I:$I,AS63)&amp;""))&amp;IF(INDEX('Reguler Class Availability'!$J:$J,AS63)&amp;""="","",CHAR(10)&amp;"asst: "&amp;PROPER(INDEX('Reguler Class Availability'!$J:$J,AS63)&amp;""))))</f>
        <v>Little  0/4  (0%)
coach: –</v>
      </c>
      <c r="H63" s="67" t="str">
        <f aca="false">IF(AT63="","",IF(BB63="Tidak dibuka","–",IF(INDEX('Reguler Class Availability'!$B:$B,AT63)&amp;""="","Kosong",PROPER(INDEX('Reguler Class Availability'!$B:$B,AT63)&amp;""))&amp;"  "&amp;IFERROR(--(INDEX('Reguler Class Availability'!$G:$G,AT63)&amp;""),0)&amp;"/"&amp;IFERROR(--(INDEX('Reguler Class Availability'!$F:$F,AT63)&amp;""),0)&amp;IF(IFERROR(--(INDEX('Reguler Class Availability'!$F:$F,AT63)&amp;""),0)&gt;0,"  ("&amp;TEXT(IFERROR(--(INDEX('Reguler Class Availability'!$G:$G,AT63)&amp;""),0)/IFERROR(--(INDEX('Reguler Class Availability'!$F:$F,AT63)&amp;""),0),"0%")&amp;")","")&amp;CHAR(10)&amp;IF(INDEX('Reguler Class Availability'!$I:$I,AT63)&amp;""="","coach: –",PROPER(INDEX('Reguler Class Availability'!$I:$I,AT63)&amp;""))&amp;IF(INDEX('Reguler Class Availability'!$J:$J,AT63)&amp;""="","",CHAR(10)&amp;"asst: "&amp;PROPER(INDEX('Reguler Class Availability'!$J:$J,AT63)&amp;""))))</f>
        <v>Little  0/4  (0%)
coach: –</v>
      </c>
      <c r="AN63" s="30" t="n">
        <f aca="false">IF($A63="","",IFERROR(MATCH($B$4&amp;"|- Lane 3 - "&amp;B$51&amp;"|"&amp;$A63,'Reguler Class Availability'!$L:$L,0),""))</f>
        <v>2603</v>
      </c>
      <c r="AO63" s="30" t="n">
        <f aca="false">IF($A63="","",IFERROR(MATCH($B$4&amp;"|- Lane 3 - "&amp;C$51&amp;"|"&amp;$A63,'Reguler Class Availability'!$L:$L,0),""))</f>
        <v>2615</v>
      </c>
      <c r="AP63" s="30" t="n">
        <f aca="false">IF($A63="","",IFERROR(MATCH($B$4&amp;"|- Lane 3 - "&amp;D$51&amp;"|"&amp;$A63,'Reguler Class Availability'!$L:$L,0),""))</f>
        <v>2627</v>
      </c>
      <c r="AQ63" s="30" t="n">
        <f aca="false">IF($A63="","",IFERROR(MATCH($B$4&amp;"|- Lane 3 - "&amp;E$51&amp;"|"&amp;$A63,'Reguler Class Availability'!$L:$L,0),""))</f>
        <v>2639</v>
      </c>
      <c r="AR63" s="30" t="n">
        <f aca="false">IF($A63="","",IFERROR(MATCH($B$4&amp;"|- Lane 3 - "&amp;F$51&amp;"|"&amp;$A63,'Reguler Class Availability'!$L:$L,0),""))</f>
        <v>2651</v>
      </c>
      <c r="AS63" s="30" t="n">
        <f aca="false">IF($A63="","",IFERROR(MATCH($B$4&amp;"|- Lane 3 - "&amp;G$51&amp;"|"&amp;$A63,'Reguler Class Availability'!$L:$L,0),""))</f>
        <v>2663</v>
      </c>
      <c r="AT63" s="30" t="n">
        <f aca="false">IF($A63="","",IFERROR(MATCH($B$4&amp;"|- Lane 3 - "&amp;H$51&amp;"|"&amp;$A63,'Reguler Class Availability'!$L:$L,0),""))</f>
        <v>2675</v>
      </c>
      <c r="AV63" s="0" t="str">
        <f aca="false">IF(AN63="","",IF(AND(IFERROR(--(INDEX('Reguler Class Availability'!$F:$F,AN63)&amp;""),0)=0,IFERROR(--(INDEX('Reguler Class Availability'!$G:$G,AN63)&amp;""),0)=0),IF(OR(INDEX('Reguler Class Availability'!$B:$B,AN63)&amp;""&lt;&gt;"",INDEX('Reguler Class Availability'!$I:$I,AN63)&amp;""&lt;&gt;""),"Tutup","Tidak dibuka"),IF(IFERROR(--(INDEX('Reguler Class Availability'!$G:$G,AN63)&amp;""),0)&gt;IFERROR(--(INDEX('Reguler Class Availability'!$F:$F,AN63)&amp;""),0),"Lebih",IF(IFERROR(--(INDEX('Reguler Class Availability'!$G:$G,AN63)&amp;""),0)=IFERROR(--(INDEX('Reguler Class Availability'!$F:$F,AN63)&amp;""),0),"Penuh",IF(IFERROR(--(INDEX('Reguler Class Availability'!$G:$G,AN63)&amp;""),0)=0,IF(INDEX('Reguler Class Availability'!$B:$B,AN63)&amp;""="","Kosong","Belum terisi"),IF(IFERROR(--(INDEX('Reguler Class Availability'!$G:$G,AN63)&amp;""),0)/IFERROR(--(INDEX('Reguler Class Availability'!$F:$F,AN63)&amp;""),0)&gt;=0.6,"Tinggi","Sebagian"))))))</f>
        <v>Belum terisi</v>
      </c>
      <c r="AW63" s="0" t="str">
        <f aca="false">IF(AO63="","",IF(AND(IFERROR(--(INDEX('Reguler Class Availability'!$F:$F,AO63)&amp;""),0)=0,IFERROR(--(INDEX('Reguler Class Availability'!$G:$G,AO63)&amp;""),0)=0),IF(OR(INDEX('Reguler Class Availability'!$B:$B,AO63)&amp;""&lt;&gt;"",INDEX('Reguler Class Availability'!$I:$I,AO63)&amp;""&lt;&gt;""),"Tutup","Tidak dibuka"),IF(IFERROR(--(INDEX('Reguler Class Availability'!$G:$G,AO63)&amp;""),0)&gt;IFERROR(--(INDEX('Reguler Class Availability'!$F:$F,AO63)&amp;""),0),"Lebih",IF(IFERROR(--(INDEX('Reguler Class Availability'!$G:$G,AO63)&amp;""),0)=IFERROR(--(INDEX('Reguler Class Availability'!$F:$F,AO63)&amp;""),0),"Penuh",IF(IFERROR(--(INDEX('Reguler Class Availability'!$G:$G,AO63)&amp;""),0)=0,IF(INDEX('Reguler Class Availability'!$B:$B,AO63)&amp;""="","Kosong","Belum terisi"),IF(IFERROR(--(INDEX('Reguler Class Availability'!$G:$G,AO63)&amp;""),0)/IFERROR(--(INDEX('Reguler Class Availability'!$F:$F,AO63)&amp;""),0)&gt;=0.6,"Tinggi","Sebagian"))))))</f>
        <v>Belum terisi</v>
      </c>
      <c r="AX63" s="0" t="str">
        <f aca="false">IF(AP63="","",IF(AND(IFERROR(--(INDEX('Reguler Class Availability'!$F:$F,AP63)&amp;""),0)=0,IFERROR(--(INDEX('Reguler Class Availability'!$G:$G,AP63)&amp;""),0)=0),IF(OR(INDEX('Reguler Class Availability'!$B:$B,AP63)&amp;""&lt;&gt;"",INDEX('Reguler Class Availability'!$I:$I,AP63)&amp;""&lt;&gt;""),"Tutup","Tidak dibuka"),IF(IFERROR(--(INDEX('Reguler Class Availability'!$G:$G,AP63)&amp;""),0)&gt;IFERROR(--(INDEX('Reguler Class Availability'!$F:$F,AP63)&amp;""),0),"Lebih",IF(IFERROR(--(INDEX('Reguler Class Availability'!$G:$G,AP63)&amp;""),0)=IFERROR(--(INDEX('Reguler Class Availability'!$F:$F,AP63)&amp;""),0),"Penuh",IF(IFERROR(--(INDEX('Reguler Class Availability'!$G:$G,AP63)&amp;""),0)=0,IF(INDEX('Reguler Class Availability'!$B:$B,AP63)&amp;""="","Kosong","Belum terisi"),IF(IFERROR(--(INDEX('Reguler Class Availability'!$G:$G,AP63)&amp;""),0)/IFERROR(--(INDEX('Reguler Class Availability'!$F:$F,AP63)&amp;""),0)&gt;=0.6,"Tinggi","Sebagian"))))))</f>
        <v>Belum terisi</v>
      </c>
      <c r="AY63" s="0" t="str">
        <f aca="false">IF(AQ63="","",IF(AND(IFERROR(--(INDEX('Reguler Class Availability'!$F:$F,AQ63)&amp;""),0)=0,IFERROR(--(INDEX('Reguler Class Availability'!$G:$G,AQ63)&amp;""),0)=0),IF(OR(INDEX('Reguler Class Availability'!$B:$B,AQ63)&amp;""&lt;&gt;"",INDEX('Reguler Class Availability'!$I:$I,AQ63)&amp;""&lt;&gt;""),"Tutup","Tidak dibuka"),IF(IFERROR(--(INDEX('Reguler Class Availability'!$G:$G,AQ63)&amp;""),0)&gt;IFERROR(--(INDEX('Reguler Class Availability'!$F:$F,AQ63)&amp;""),0),"Lebih",IF(IFERROR(--(INDEX('Reguler Class Availability'!$G:$G,AQ63)&amp;""),0)=IFERROR(--(INDEX('Reguler Class Availability'!$F:$F,AQ63)&amp;""),0),"Penuh",IF(IFERROR(--(INDEX('Reguler Class Availability'!$G:$G,AQ63)&amp;""),0)=0,IF(INDEX('Reguler Class Availability'!$B:$B,AQ63)&amp;""="","Kosong","Belum terisi"),IF(IFERROR(--(INDEX('Reguler Class Availability'!$G:$G,AQ63)&amp;""),0)/IFERROR(--(INDEX('Reguler Class Availability'!$F:$F,AQ63)&amp;""),0)&gt;=0.6,"Tinggi","Sebagian"))))))</f>
        <v>Belum terisi</v>
      </c>
      <c r="AZ63" s="0" t="str">
        <f aca="false">IF(AR63="","",IF(AND(IFERROR(--(INDEX('Reguler Class Availability'!$F:$F,AR63)&amp;""),0)=0,IFERROR(--(INDEX('Reguler Class Availability'!$G:$G,AR63)&amp;""),0)=0),IF(OR(INDEX('Reguler Class Availability'!$B:$B,AR63)&amp;""&lt;&gt;"",INDEX('Reguler Class Availability'!$I:$I,AR63)&amp;""&lt;&gt;""),"Tutup","Tidak dibuka"),IF(IFERROR(--(INDEX('Reguler Class Availability'!$G:$G,AR63)&amp;""),0)&gt;IFERROR(--(INDEX('Reguler Class Availability'!$F:$F,AR63)&amp;""),0),"Lebih",IF(IFERROR(--(INDEX('Reguler Class Availability'!$G:$G,AR63)&amp;""),0)=IFERROR(--(INDEX('Reguler Class Availability'!$F:$F,AR63)&amp;""),0),"Penuh",IF(IFERROR(--(INDEX('Reguler Class Availability'!$G:$G,AR63)&amp;""),0)=0,IF(INDEX('Reguler Class Availability'!$B:$B,AR63)&amp;""="","Kosong","Belum terisi"),IF(IFERROR(--(INDEX('Reguler Class Availability'!$G:$G,AR63)&amp;""),0)/IFERROR(--(INDEX('Reguler Class Availability'!$F:$F,AR63)&amp;""),0)&gt;=0.6,"Tinggi","Sebagian"))))))</f>
        <v>Belum terisi</v>
      </c>
      <c r="BA63" s="0" t="str">
        <f aca="false">IF(AS63="","",IF(AND(IFERROR(--(INDEX('Reguler Class Availability'!$F:$F,AS63)&amp;""),0)=0,IFERROR(--(INDEX('Reguler Class Availability'!$G:$G,AS63)&amp;""),0)=0),IF(OR(INDEX('Reguler Class Availability'!$B:$B,AS63)&amp;""&lt;&gt;"",INDEX('Reguler Class Availability'!$I:$I,AS63)&amp;""&lt;&gt;""),"Tutup","Tidak dibuka"),IF(IFERROR(--(INDEX('Reguler Class Availability'!$G:$G,AS63)&amp;""),0)&gt;IFERROR(--(INDEX('Reguler Class Availability'!$F:$F,AS63)&amp;""),0),"Lebih",IF(IFERROR(--(INDEX('Reguler Class Availability'!$G:$G,AS63)&amp;""),0)=IFERROR(--(INDEX('Reguler Class Availability'!$F:$F,AS63)&amp;""),0),"Penuh",IF(IFERROR(--(INDEX('Reguler Class Availability'!$G:$G,AS63)&amp;""),0)=0,IF(INDEX('Reguler Class Availability'!$B:$B,AS63)&amp;""="","Kosong","Belum terisi"),IF(IFERROR(--(INDEX('Reguler Class Availability'!$G:$G,AS63)&amp;""),0)/IFERROR(--(INDEX('Reguler Class Availability'!$F:$F,AS63)&amp;""),0)&gt;=0.6,"Tinggi","Sebagian"))))))</f>
        <v>Belum terisi</v>
      </c>
      <c r="BB63" s="0" t="str">
        <f aca="false">IF(AT63="","",IF(AND(IFERROR(--(INDEX('Reguler Class Availability'!$F:$F,AT63)&amp;""),0)=0,IFERROR(--(INDEX('Reguler Class Availability'!$G:$G,AT63)&amp;""),0)=0),IF(OR(INDEX('Reguler Class Availability'!$B:$B,AT63)&amp;""&lt;&gt;"",INDEX('Reguler Class Availability'!$I:$I,AT63)&amp;""&lt;&gt;""),"Tutup","Tidak dibuka"),IF(IFERROR(--(INDEX('Reguler Class Availability'!$G:$G,AT63)&amp;""),0)&gt;IFERROR(--(INDEX('Reguler Class Availability'!$F:$F,AT63)&amp;""),0),"Lebih",IF(IFERROR(--(INDEX('Reguler Class Availability'!$G:$G,AT63)&amp;""),0)=IFERROR(--(INDEX('Reguler Class Availability'!$F:$F,AT63)&amp;""),0),"Penuh",IF(IFERROR(--(INDEX('Reguler Class Availability'!$G:$G,AT63)&amp;""),0)=0,IF(INDEX('Reguler Class Availability'!$B:$B,AT63)&amp;""="","Kosong","Belum terisi"),IF(IFERROR(--(INDEX('Reguler Class Availability'!$G:$G,AT63)&amp;""),0)/IFERROR(--(INDEX('Reguler Class Availability'!$F:$F,AT63)&amp;""),0)&gt;=0.6,"Tinggi","Sebagian"))))))</f>
        <v>Belum terisi</v>
      </c>
      <c r="BD63" s="30" t="s">
        <v>79</v>
      </c>
      <c r="BE63" s="30" t="n">
        <f aca="false">IF(COUNTIFS('Reguler Class Availability'!$L:$L,$B$4&amp;"|- Lane 2 - *|"&amp;BD63)&gt;0,1,0)</f>
        <v>0</v>
      </c>
      <c r="BF63" s="30" t="n">
        <f aca="false">BE63+BF62</f>
        <v>0</v>
      </c>
    </row>
    <row r="64" customFormat="false" ht="39.75" hidden="false" customHeight="true" outlineLevel="0" collapsed="false">
      <c r="A64" s="66" t="str">
        <f aca="false">IFERROR(INDEX($BD$122:$BD$181,MATCH(13,$BF$122:$BF$181,0)),"")</f>
        <v/>
      </c>
      <c r="B64" s="67" t="str">
        <f aca="false">IF(AN64="","",IF(AV64="Tidak dibuka","–",IF(INDEX('Reguler Class Availability'!$B:$B,AN64)&amp;""="","Kosong",PROPER(INDEX('Reguler Class Availability'!$B:$B,AN64)&amp;""))&amp;"  "&amp;IFERROR(--(INDEX('Reguler Class Availability'!$G:$G,AN64)&amp;""),0)&amp;"/"&amp;IFERROR(--(INDEX('Reguler Class Availability'!$F:$F,AN64)&amp;""),0)&amp;IF(IFERROR(--(INDEX('Reguler Class Availability'!$F:$F,AN64)&amp;""),0)&gt;0,"  ("&amp;TEXT(IFERROR(--(INDEX('Reguler Class Availability'!$G:$G,AN64)&amp;""),0)/IFERROR(--(INDEX('Reguler Class Availability'!$F:$F,AN64)&amp;""),0),"0%")&amp;")","")&amp;CHAR(10)&amp;IF(INDEX('Reguler Class Availability'!$I:$I,AN64)&amp;""="","coach: –",PROPER(INDEX('Reguler Class Availability'!$I:$I,AN64)&amp;""))&amp;IF(INDEX('Reguler Class Availability'!$J:$J,AN64)&amp;""="","",CHAR(10)&amp;"asst: "&amp;PROPER(INDEX('Reguler Class Availability'!$J:$J,AN64)&amp;""))))</f>
        <v/>
      </c>
      <c r="C64" s="67" t="str">
        <f aca="false">IF(AO64="","",IF(AW64="Tidak dibuka","–",IF(INDEX('Reguler Class Availability'!$B:$B,AO64)&amp;""="","Kosong",PROPER(INDEX('Reguler Class Availability'!$B:$B,AO64)&amp;""))&amp;"  "&amp;IFERROR(--(INDEX('Reguler Class Availability'!$G:$G,AO64)&amp;""),0)&amp;"/"&amp;IFERROR(--(INDEX('Reguler Class Availability'!$F:$F,AO64)&amp;""),0)&amp;IF(IFERROR(--(INDEX('Reguler Class Availability'!$F:$F,AO64)&amp;""),0)&gt;0,"  ("&amp;TEXT(IFERROR(--(INDEX('Reguler Class Availability'!$G:$G,AO64)&amp;""),0)/IFERROR(--(INDEX('Reguler Class Availability'!$F:$F,AO64)&amp;""),0),"0%")&amp;")","")&amp;CHAR(10)&amp;IF(INDEX('Reguler Class Availability'!$I:$I,AO64)&amp;""="","coach: –",PROPER(INDEX('Reguler Class Availability'!$I:$I,AO64)&amp;""))&amp;IF(INDEX('Reguler Class Availability'!$J:$J,AO64)&amp;""="","",CHAR(10)&amp;"asst: "&amp;PROPER(INDEX('Reguler Class Availability'!$J:$J,AO64)&amp;""))))</f>
        <v/>
      </c>
      <c r="D64" s="67" t="str">
        <f aca="false">IF(AP64="","",IF(AX64="Tidak dibuka","–",IF(INDEX('Reguler Class Availability'!$B:$B,AP64)&amp;""="","Kosong",PROPER(INDEX('Reguler Class Availability'!$B:$B,AP64)&amp;""))&amp;"  "&amp;IFERROR(--(INDEX('Reguler Class Availability'!$G:$G,AP64)&amp;""),0)&amp;"/"&amp;IFERROR(--(INDEX('Reguler Class Availability'!$F:$F,AP64)&amp;""),0)&amp;IF(IFERROR(--(INDEX('Reguler Class Availability'!$F:$F,AP64)&amp;""),0)&gt;0,"  ("&amp;TEXT(IFERROR(--(INDEX('Reguler Class Availability'!$G:$G,AP64)&amp;""),0)/IFERROR(--(INDEX('Reguler Class Availability'!$F:$F,AP64)&amp;""),0),"0%")&amp;")","")&amp;CHAR(10)&amp;IF(INDEX('Reguler Class Availability'!$I:$I,AP64)&amp;""="","coach: –",PROPER(INDEX('Reguler Class Availability'!$I:$I,AP64)&amp;""))&amp;IF(INDEX('Reguler Class Availability'!$J:$J,AP64)&amp;""="","",CHAR(10)&amp;"asst: "&amp;PROPER(INDEX('Reguler Class Availability'!$J:$J,AP64)&amp;""))))</f>
        <v/>
      </c>
      <c r="E64" s="67" t="str">
        <f aca="false">IF(AQ64="","",IF(AY64="Tidak dibuka","–",IF(INDEX('Reguler Class Availability'!$B:$B,AQ64)&amp;""="","Kosong",PROPER(INDEX('Reguler Class Availability'!$B:$B,AQ64)&amp;""))&amp;"  "&amp;IFERROR(--(INDEX('Reguler Class Availability'!$G:$G,AQ64)&amp;""),0)&amp;"/"&amp;IFERROR(--(INDEX('Reguler Class Availability'!$F:$F,AQ64)&amp;""),0)&amp;IF(IFERROR(--(INDEX('Reguler Class Availability'!$F:$F,AQ64)&amp;""),0)&gt;0,"  ("&amp;TEXT(IFERROR(--(INDEX('Reguler Class Availability'!$G:$G,AQ64)&amp;""),0)/IFERROR(--(INDEX('Reguler Class Availability'!$F:$F,AQ64)&amp;""),0),"0%")&amp;")","")&amp;CHAR(10)&amp;IF(INDEX('Reguler Class Availability'!$I:$I,AQ64)&amp;""="","coach: –",PROPER(INDEX('Reguler Class Availability'!$I:$I,AQ64)&amp;""))&amp;IF(INDEX('Reguler Class Availability'!$J:$J,AQ64)&amp;""="","",CHAR(10)&amp;"asst: "&amp;PROPER(INDEX('Reguler Class Availability'!$J:$J,AQ64)&amp;""))))</f>
        <v/>
      </c>
      <c r="F64" s="67" t="str">
        <f aca="false">IF(AR64="","",IF(AZ64="Tidak dibuka","–",IF(INDEX('Reguler Class Availability'!$B:$B,AR64)&amp;""="","Kosong",PROPER(INDEX('Reguler Class Availability'!$B:$B,AR64)&amp;""))&amp;"  "&amp;IFERROR(--(INDEX('Reguler Class Availability'!$G:$G,AR64)&amp;""),0)&amp;"/"&amp;IFERROR(--(INDEX('Reguler Class Availability'!$F:$F,AR64)&amp;""),0)&amp;IF(IFERROR(--(INDEX('Reguler Class Availability'!$F:$F,AR64)&amp;""),0)&gt;0,"  ("&amp;TEXT(IFERROR(--(INDEX('Reguler Class Availability'!$G:$G,AR64)&amp;""),0)/IFERROR(--(INDEX('Reguler Class Availability'!$F:$F,AR64)&amp;""),0),"0%")&amp;")","")&amp;CHAR(10)&amp;IF(INDEX('Reguler Class Availability'!$I:$I,AR64)&amp;""="","coach: –",PROPER(INDEX('Reguler Class Availability'!$I:$I,AR64)&amp;""))&amp;IF(INDEX('Reguler Class Availability'!$J:$J,AR64)&amp;""="","",CHAR(10)&amp;"asst: "&amp;PROPER(INDEX('Reguler Class Availability'!$J:$J,AR64)&amp;""))))</f>
        <v/>
      </c>
      <c r="G64" s="67" t="str">
        <f aca="false">IF(AS64="","",IF(BA64="Tidak dibuka","–",IF(INDEX('Reguler Class Availability'!$B:$B,AS64)&amp;""="","Kosong",PROPER(INDEX('Reguler Class Availability'!$B:$B,AS64)&amp;""))&amp;"  "&amp;IFERROR(--(INDEX('Reguler Class Availability'!$G:$G,AS64)&amp;""),0)&amp;"/"&amp;IFERROR(--(INDEX('Reguler Class Availability'!$F:$F,AS64)&amp;""),0)&amp;IF(IFERROR(--(INDEX('Reguler Class Availability'!$F:$F,AS64)&amp;""),0)&gt;0,"  ("&amp;TEXT(IFERROR(--(INDEX('Reguler Class Availability'!$G:$G,AS64)&amp;""),0)/IFERROR(--(INDEX('Reguler Class Availability'!$F:$F,AS64)&amp;""),0),"0%")&amp;")","")&amp;CHAR(10)&amp;IF(INDEX('Reguler Class Availability'!$I:$I,AS64)&amp;""="","coach: –",PROPER(INDEX('Reguler Class Availability'!$I:$I,AS64)&amp;""))&amp;IF(INDEX('Reguler Class Availability'!$J:$J,AS64)&amp;""="","",CHAR(10)&amp;"asst: "&amp;PROPER(INDEX('Reguler Class Availability'!$J:$J,AS64)&amp;""))))</f>
        <v/>
      </c>
      <c r="H64" s="67" t="str">
        <f aca="false">IF(AT64="","",IF(BB64="Tidak dibuka","–",IF(INDEX('Reguler Class Availability'!$B:$B,AT64)&amp;""="","Kosong",PROPER(INDEX('Reguler Class Availability'!$B:$B,AT64)&amp;""))&amp;"  "&amp;IFERROR(--(INDEX('Reguler Class Availability'!$G:$G,AT64)&amp;""),0)&amp;"/"&amp;IFERROR(--(INDEX('Reguler Class Availability'!$F:$F,AT64)&amp;""),0)&amp;IF(IFERROR(--(INDEX('Reguler Class Availability'!$F:$F,AT64)&amp;""),0)&gt;0,"  ("&amp;TEXT(IFERROR(--(INDEX('Reguler Class Availability'!$G:$G,AT64)&amp;""),0)/IFERROR(--(INDEX('Reguler Class Availability'!$F:$F,AT64)&amp;""),0),"0%")&amp;")","")&amp;CHAR(10)&amp;IF(INDEX('Reguler Class Availability'!$I:$I,AT64)&amp;""="","coach: –",PROPER(INDEX('Reguler Class Availability'!$I:$I,AT64)&amp;""))&amp;IF(INDEX('Reguler Class Availability'!$J:$J,AT64)&amp;""="","",CHAR(10)&amp;"asst: "&amp;PROPER(INDEX('Reguler Class Availability'!$J:$J,AT64)&amp;""))))</f>
        <v/>
      </c>
      <c r="AN64" s="0" t="str">
        <f aca="false">IF($A64="","",IFERROR(MATCH($B$4&amp;"|- Lane 3 - "&amp;B$51&amp;"|"&amp;$A64,'Reguler Class Availability'!$L:$L,0),""))</f>
        <v/>
      </c>
      <c r="AO64" s="0" t="str">
        <f aca="false">IF($A64="","",IFERROR(MATCH($B$4&amp;"|- Lane 3 - "&amp;C$51&amp;"|"&amp;$A64,'Reguler Class Availability'!$L:$L,0),""))</f>
        <v/>
      </c>
      <c r="AP64" s="0" t="str">
        <f aca="false">IF($A64="","",IFERROR(MATCH($B$4&amp;"|- Lane 3 - "&amp;D$51&amp;"|"&amp;$A64,'Reguler Class Availability'!$L:$L,0),""))</f>
        <v/>
      </c>
      <c r="AQ64" s="0" t="str">
        <f aca="false">IF($A64="","",IFERROR(MATCH($B$4&amp;"|- Lane 3 - "&amp;E$51&amp;"|"&amp;$A64,'Reguler Class Availability'!$L:$L,0),""))</f>
        <v/>
      </c>
      <c r="AR64" s="0" t="str">
        <f aca="false">IF($A64="","",IFERROR(MATCH($B$4&amp;"|- Lane 3 - "&amp;F$51&amp;"|"&amp;$A64,'Reguler Class Availability'!$L:$L,0),""))</f>
        <v/>
      </c>
      <c r="AS64" s="0" t="str">
        <f aca="false">IF($A64="","",IFERROR(MATCH($B$4&amp;"|- Lane 3 - "&amp;G$51&amp;"|"&amp;$A64,'Reguler Class Availability'!$L:$L,0),""))</f>
        <v/>
      </c>
      <c r="AT64" s="0" t="str">
        <f aca="false">IF($A64="","",IFERROR(MATCH($B$4&amp;"|- Lane 3 - "&amp;H$51&amp;"|"&amp;$A64,'Reguler Class Availability'!$L:$L,0),""))</f>
        <v/>
      </c>
      <c r="AV64" s="0" t="str">
        <f aca="false">IF(AN64="","",IF(AND(IFERROR(--(INDEX('Reguler Class Availability'!$F:$F,AN64)&amp;""),0)=0,IFERROR(--(INDEX('Reguler Class Availability'!$G:$G,AN64)&amp;""),0)=0),IF(OR(INDEX('Reguler Class Availability'!$B:$B,AN64)&amp;""&lt;&gt;"",INDEX('Reguler Class Availability'!$I:$I,AN64)&amp;""&lt;&gt;""),"Tutup","Tidak dibuka"),IF(IFERROR(--(INDEX('Reguler Class Availability'!$G:$G,AN64)&amp;""),0)&gt;IFERROR(--(INDEX('Reguler Class Availability'!$F:$F,AN64)&amp;""),0),"Lebih",IF(IFERROR(--(INDEX('Reguler Class Availability'!$G:$G,AN64)&amp;""),0)=IFERROR(--(INDEX('Reguler Class Availability'!$F:$F,AN64)&amp;""),0),"Penuh",IF(IFERROR(--(INDEX('Reguler Class Availability'!$G:$G,AN64)&amp;""),0)=0,IF(INDEX('Reguler Class Availability'!$B:$B,AN64)&amp;""="","Kosong","Belum terisi"),IF(IFERROR(--(INDEX('Reguler Class Availability'!$G:$G,AN64)&amp;""),0)/IFERROR(--(INDEX('Reguler Class Availability'!$F:$F,AN64)&amp;""),0)&gt;=0.6,"Tinggi","Sebagian"))))))</f>
        <v/>
      </c>
      <c r="AW64" s="0" t="str">
        <f aca="false">IF(AO64="","",IF(AND(IFERROR(--(INDEX('Reguler Class Availability'!$F:$F,AO64)&amp;""),0)=0,IFERROR(--(INDEX('Reguler Class Availability'!$G:$G,AO64)&amp;""),0)=0),IF(OR(INDEX('Reguler Class Availability'!$B:$B,AO64)&amp;""&lt;&gt;"",INDEX('Reguler Class Availability'!$I:$I,AO64)&amp;""&lt;&gt;""),"Tutup","Tidak dibuka"),IF(IFERROR(--(INDEX('Reguler Class Availability'!$G:$G,AO64)&amp;""),0)&gt;IFERROR(--(INDEX('Reguler Class Availability'!$F:$F,AO64)&amp;""),0),"Lebih",IF(IFERROR(--(INDEX('Reguler Class Availability'!$G:$G,AO64)&amp;""),0)=IFERROR(--(INDEX('Reguler Class Availability'!$F:$F,AO64)&amp;""),0),"Penuh",IF(IFERROR(--(INDEX('Reguler Class Availability'!$G:$G,AO64)&amp;""),0)=0,IF(INDEX('Reguler Class Availability'!$B:$B,AO64)&amp;""="","Kosong","Belum terisi"),IF(IFERROR(--(INDEX('Reguler Class Availability'!$G:$G,AO64)&amp;""),0)/IFERROR(--(INDEX('Reguler Class Availability'!$F:$F,AO64)&amp;""),0)&gt;=0.6,"Tinggi","Sebagian"))))))</f>
        <v/>
      </c>
      <c r="AX64" s="0" t="str">
        <f aca="false">IF(AP64="","",IF(AND(IFERROR(--(INDEX('Reguler Class Availability'!$F:$F,AP64)&amp;""),0)=0,IFERROR(--(INDEX('Reguler Class Availability'!$G:$G,AP64)&amp;""),0)=0),IF(OR(INDEX('Reguler Class Availability'!$B:$B,AP64)&amp;""&lt;&gt;"",INDEX('Reguler Class Availability'!$I:$I,AP64)&amp;""&lt;&gt;""),"Tutup","Tidak dibuka"),IF(IFERROR(--(INDEX('Reguler Class Availability'!$G:$G,AP64)&amp;""),0)&gt;IFERROR(--(INDEX('Reguler Class Availability'!$F:$F,AP64)&amp;""),0),"Lebih",IF(IFERROR(--(INDEX('Reguler Class Availability'!$G:$G,AP64)&amp;""),0)=IFERROR(--(INDEX('Reguler Class Availability'!$F:$F,AP64)&amp;""),0),"Penuh",IF(IFERROR(--(INDEX('Reguler Class Availability'!$G:$G,AP64)&amp;""),0)=0,IF(INDEX('Reguler Class Availability'!$B:$B,AP64)&amp;""="","Kosong","Belum terisi"),IF(IFERROR(--(INDEX('Reguler Class Availability'!$G:$G,AP64)&amp;""),0)/IFERROR(--(INDEX('Reguler Class Availability'!$F:$F,AP64)&amp;""),0)&gt;=0.6,"Tinggi","Sebagian"))))))</f>
        <v/>
      </c>
      <c r="AY64" s="0" t="str">
        <f aca="false">IF(AQ64="","",IF(AND(IFERROR(--(INDEX('Reguler Class Availability'!$F:$F,AQ64)&amp;""),0)=0,IFERROR(--(INDEX('Reguler Class Availability'!$G:$G,AQ64)&amp;""),0)=0),IF(OR(INDEX('Reguler Class Availability'!$B:$B,AQ64)&amp;""&lt;&gt;"",INDEX('Reguler Class Availability'!$I:$I,AQ64)&amp;""&lt;&gt;""),"Tutup","Tidak dibuka"),IF(IFERROR(--(INDEX('Reguler Class Availability'!$G:$G,AQ64)&amp;""),0)&gt;IFERROR(--(INDEX('Reguler Class Availability'!$F:$F,AQ64)&amp;""),0),"Lebih",IF(IFERROR(--(INDEX('Reguler Class Availability'!$G:$G,AQ64)&amp;""),0)=IFERROR(--(INDEX('Reguler Class Availability'!$F:$F,AQ64)&amp;""),0),"Penuh",IF(IFERROR(--(INDEX('Reguler Class Availability'!$G:$G,AQ64)&amp;""),0)=0,IF(INDEX('Reguler Class Availability'!$B:$B,AQ64)&amp;""="","Kosong","Belum terisi"),IF(IFERROR(--(INDEX('Reguler Class Availability'!$G:$G,AQ64)&amp;""),0)/IFERROR(--(INDEX('Reguler Class Availability'!$F:$F,AQ64)&amp;""),0)&gt;=0.6,"Tinggi","Sebagian"))))))</f>
        <v/>
      </c>
      <c r="AZ64" s="0" t="str">
        <f aca="false">IF(AR64="","",IF(AND(IFERROR(--(INDEX('Reguler Class Availability'!$F:$F,AR64)&amp;""),0)=0,IFERROR(--(INDEX('Reguler Class Availability'!$G:$G,AR64)&amp;""),0)=0),IF(OR(INDEX('Reguler Class Availability'!$B:$B,AR64)&amp;""&lt;&gt;"",INDEX('Reguler Class Availability'!$I:$I,AR64)&amp;""&lt;&gt;""),"Tutup","Tidak dibuka"),IF(IFERROR(--(INDEX('Reguler Class Availability'!$G:$G,AR64)&amp;""),0)&gt;IFERROR(--(INDEX('Reguler Class Availability'!$F:$F,AR64)&amp;""),0),"Lebih",IF(IFERROR(--(INDEX('Reguler Class Availability'!$G:$G,AR64)&amp;""),0)=IFERROR(--(INDEX('Reguler Class Availability'!$F:$F,AR64)&amp;""),0),"Penuh",IF(IFERROR(--(INDEX('Reguler Class Availability'!$G:$G,AR64)&amp;""),0)=0,IF(INDEX('Reguler Class Availability'!$B:$B,AR64)&amp;""="","Kosong","Belum terisi"),IF(IFERROR(--(INDEX('Reguler Class Availability'!$G:$G,AR64)&amp;""),0)/IFERROR(--(INDEX('Reguler Class Availability'!$F:$F,AR64)&amp;""),0)&gt;=0.6,"Tinggi","Sebagian"))))))</f>
        <v/>
      </c>
      <c r="BA64" s="0" t="str">
        <f aca="false">IF(AS64="","",IF(AND(IFERROR(--(INDEX('Reguler Class Availability'!$F:$F,AS64)&amp;""),0)=0,IFERROR(--(INDEX('Reguler Class Availability'!$G:$G,AS64)&amp;""),0)=0),IF(OR(INDEX('Reguler Class Availability'!$B:$B,AS64)&amp;""&lt;&gt;"",INDEX('Reguler Class Availability'!$I:$I,AS64)&amp;""&lt;&gt;""),"Tutup","Tidak dibuka"),IF(IFERROR(--(INDEX('Reguler Class Availability'!$G:$G,AS64)&amp;""),0)&gt;IFERROR(--(INDEX('Reguler Class Availability'!$F:$F,AS64)&amp;""),0),"Lebih",IF(IFERROR(--(INDEX('Reguler Class Availability'!$G:$G,AS64)&amp;""),0)=IFERROR(--(INDEX('Reguler Class Availability'!$F:$F,AS64)&amp;""),0),"Penuh",IF(IFERROR(--(INDEX('Reguler Class Availability'!$G:$G,AS64)&amp;""),0)=0,IF(INDEX('Reguler Class Availability'!$B:$B,AS64)&amp;""="","Kosong","Belum terisi"),IF(IFERROR(--(INDEX('Reguler Class Availability'!$G:$G,AS64)&amp;""),0)/IFERROR(--(INDEX('Reguler Class Availability'!$F:$F,AS64)&amp;""),0)&gt;=0.6,"Tinggi","Sebagian"))))))</f>
        <v/>
      </c>
      <c r="BB64" s="0" t="str">
        <f aca="false">IF(AT64="","",IF(AND(IFERROR(--(INDEX('Reguler Class Availability'!$F:$F,AT64)&amp;""),0)=0,IFERROR(--(INDEX('Reguler Class Availability'!$G:$G,AT64)&amp;""),0)=0),IF(OR(INDEX('Reguler Class Availability'!$B:$B,AT64)&amp;""&lt;&gt;"",INDEX('Reguler Class Availability'!$I:$I,AT64)&amp;""&lt;&gt;""),"Tutup","Tidak dibuka"),IF(IFERROR(--(INDEX('Reguler Class Availability'!$G:$G,AT64)&amp;""),0)&gt;IFERROR(--(INDEX('Reguler Class Availability'!$F:$F,AT64)&amp;""),0),"Lebih",IF(IFERROR(--(INDEX('Reguler Class Availability'!$G:$G,AT64)&amp;""),0)=IFERROR(--(INDEX('Reguler Class Availability'!$F:$F,AT64)&amp;""),0),"Penuh",IF(IFERROR(--(INDEX('Reguler Class Availability'!$G:$G,AT64)&amp;""),0)=0,IF(INDEX('Reguler Class Availability'!$B:$B,AT64)&amp;""="","Kosong","Belum terisi"),IF(IFERROR(--(INDEX('Reguler Class Availability'!$G:$G,AT64)&amp;""),0)/IFERROR(--(INDEX('Reguler Class Availability'!$F:$F,AT64)&amp;""),0)&gt;=0.6,"Tinggi","Sebagian"))))))</f>
        <v/>
      </c>
      <c r="BD64" s="30" t="s">
        <v>84</v>
      </c>
      <c r="BE64" s="30" t="n">
        <f aca="false">IF(COUNTIFS('Reguler Class Availability'!$L:$L,$B$4&amp;"|- Lane 2 - *|"&amp;BD64)&gt;0,1,0)</f>
        <v>0</v>
      </c>
      <c r="BF64" s="30" t="n">
        <f aca="false">BE64+BF63</f>
        <v>0</v>
      </c>
    </row>
    <row r="65" customFormat="false" ht="39.75" hidden="false" customHeight="true" outlineLevel="0" collapsed="false">
      <c r="A65" s="66" t="str">
        <f aca="false">IFERROR(INDEX($BD$122:$BD$181,MATCH(14,$BF$122:$BF$181,0)),"")</f>
        <v/>
      </c>
      <c r="B65" s="67" t="str">
        <f aca="false">IF(AN65="","",IF(AV65="Tidak dibuka","–",IF(INDEX('Reguler Class Availability'!$B:$B,AN65)&amp;""="","Kosong",PROPER(INDEX('Reguler Class Availability'!$B:$B,AN65)&amp;""))&amp;"  "&amp;IFERROR(--(INDEX('Reguler Class Availability'!$G:$G,AN65)&amp;""),0)&amp;"/"&amp;IFERROR(--(INDEX('Reguler Class Availability'!$F:$F,AN65)&amp;""),0)&amp;IF(IFERROR(--(INDEX('Reguler Class Availability'!$F:$F,AN65)&amp;""),0)&gt;0,"  ("&amp;TEXT(IFERROR(--(INDEX('Reguler Class Availability'!$G:$G,AN65)&amp;""),0)/IFERROR(--(INDEX('Reguler Class Availability'!$F:$F,AN65)&amp;""),0),"0%")&amp;")","")&amp;CHAR(10)&amp;IF(INDEX('Reguler Class Availability'!$I:$I,AN65)&amp;""="","coach: –",PROPER(INDEX('Reguler Class Availability'!$I:$I,AN65)&amp;""))&amp;IF(INDEX('Reguler Class Availability'!$J:$J,AN65)&amp;""="","",CHAR(10)&amp;"asst: "&amp;PROPER(INDEX('Reguler Class Availability'!$J:$J,AN65)&amp;""))))</f>
        <v/>
      </c>
      <c r="C65" s="67" t="str">
        <f aca="false">IF(AO65="","",IF(AW65="Tidak dibuka","–",IF(INDEX('Reguler Class Availability'!$B:$B,AO65)&amp;""="","Kosong",PROPER(INDEX('Reguler Class Availability'!$B:$B,AO65)&amp;""))&amp;"  "&amp;IFERROR(--(INDEX('Reguler Class Availability'!$G:$G,AO65)&amp;""),0)&amp;"/"&amp;IFERROR(--(INDEX('Reguler Class Availability'!$F:$F,AO65)&amp;""),0)&amp;IF(IFERROR(--(INDEX('Reguler Class Availability'!$F:$F,AO65)&amp;""),0)&gt;0,"  ("&amp;TEXT(IFERROR(--(INDEX('Reguler Class Availability'!$G:$G,AO65)&amp;""),0)/IFERROR(--(INDEX('Reguler Class Availability'!$F:$F,AO65)&amp;""),0),"0%")&amp;")","")&amp;CHAR(10)&amp;IF(INDEX('Reguler Class Availability'!$I:$I,AO65)&amp;""="","coach: –",PROPER(INDEX('Reguler Class Availability'!$I:$I,AO65)&amp;""))&amp;IF(INDEX('Reguler Class Availability'!$J:$J,AO65)&amp;""="","",CHAR(10)&amp;"asst: "&amp;PROPER(INDEX('Reguler Class Availability'!$J:$J,AO65)&amp;""))))</f>
        <v/>
      </c>
      <c r="D65" s="67" t="str">
        <f aca="false">IF(AP65="","",IF(AX65="Tidak dibuka","–",IF(INDEX('Reguler Class Availability'!$B:$B,AP65)&amp;""="","Kosong",PROPER(INDEX('Reguler Class Availability'!$B:$B,AP65)&amp;""))&amp;"  "&amp;IFERROR(--(INDEX('Reguler Class Availability'!$G:$G,AP65)&amp;""),0)&amp;"/"&amp;IFERROR(--(INDEX('Reguler Class Availability'!$F:$F,AP65)&amp;""),0)&amp;IF(IFERROR(--(INDEX('Reguler Class Availability'!$F:$F,AP65)&amp;""),0)&gt;0,"  ("&amp;TEXT(IFERROR(--(INDEX('Reguler Class Availability'!$G:$G,AP65)&amp;""),0)/IFERROR(--(INDEX('Reguler Class Availability'!$F:$F,AP65)&amp;""),0),"0%")&amp;")","")&amp;CHAR(10)&amp;IF(INDEX('Reguler Class Availability'!$I:$I,AP65)&amp;""="","coach: –",PROPER(INDEX('Reguler Class Availability'!$I:$I,AP65)&amp;""))&amp;IF(INDEX('Reguler Class Availability'!$J:$J,AP65)&amp;""="","",CHAR(10)&amp;"asst: "&amp;PROPER(INDEX('Reguler Class Availability'!$J:$J,AP65)&amp;""))))</f>
        <v/>
      </c>
      <c r="E65" s="67" t="str">
        <f aca="false">IF(AQ65="","",IF(AY65="Tidak dibuka","–",IF(INDEX('Reguler Class Availability'!$B:$B,AQ65)&amp;""="","Kosong",PROPER(INDEX('Reguler Class Availability'!$B:$B,AQ65)&amp;""))&amp;"  "&amp;IFERROR(--(INDEX('Reguler Class Availability'!$G:$G,AQ65)&amp;""),0)&amp;"/"&amp;IFERROR(--(INDEX('Reguler Class Availability'!$F:$F,AQ65)&amp;""),0)&amp;IF(IFERROR(--(INDEX('Reguler Class Availability'!$F:$F,AQ65)&amp;""),0)&gt;0,"  ("&amp;TEXT(IFERROR(--(INDEX('Reguler Class Availability'!$G:$G,AQ65)&amp;""),0)/IFERROR(--(INDEX('Reguler Class Availability'!$F:$F,AQ65)&amp;""),0),"0%")&amp;")","")&amp;CHAR(10)&amp;IF(INDEX('Reguler Class Availability'!$I:$I,AQ65)&amp;""="","coach: –",PROPER(INDEX('Reguler Class Availability'!$I:$I,AQ65)&amp;""))&amp;IF(INDEX('Reguler Class Availability'!$J:$J,AQ65)&amp;""="","",CHAR(10)&amp;"asst: "&amp;PROPER(INDEX('Reguler Class Availability'!$J:$J,AQ65)&amp;""))))</f>
        <v/>
      </c>
      <c r="F65" s="67" t="str">
        <f aca="false">IF(AR65="","",IF(AZ65="Tidak dibuka","–",IF(INDEX('Reguler Class Availability'!$B:$B,AR65)&amp;""="","Kosong",PROPER(INDEX('Reguler Class Availability'!$B:$B,AR65)&amp;""))&amp;"  "&amp;IFERROR(--(INDEX('Reguler Class Availability'!$G:$G,AR65)&amp;""),0)&amp;"/"&amp;IFERROR(--(INDEX('Reguler Class Availability'!$F:$F,AR65)&amp;""),0)&amp;IF(IFERROR(--(INDEX('Reguler Class Availability'!$F:$F,AR65)&amp;""),0)&gt;0,"  ("&amp;TEXT(IFERROR(--(INDEX('Reguler Class Availability'!$G:$G,AR65)&amp;""),0)/IFERROR(--(INDEX('Reguler Class Availability'!$F:$F,AR65)&amp;""),0),"0%")&amp;")","")&amp;CHAR(10)&amp;IF(INDEX('Reguler Class Availability'!$I:$I,AR65)&amp;""="","coach: –",PROPER(INDEX('Reguler Class Availability'!$I:$I,AR65)&amp;""))&amp;IF(INDEX('Reguler Class Availability'!$J:$J,AR65)&amp;""="","",CHAR(10)&amp;"asst: "&amp;PROPER(INDEX('Reguler Class Availability'!$J:$J,AR65)&amp;""))))</f>
        <v/>
      </c>
      <c r="G65" s="67" t="str">
        <f aca="false">IF(AS65="","",IF(BA65="Tidak dibuka","–",IF(INDEX('Reguler Class Availability'!$B:$B,AS65)&amp;""="","Kosong",PROPER(INDEX('Reguler Class Availability'!$B:$B,AS65)&amp;""))&amp;"  "&amp;IFERROR(--(INDEX('Reguler Class Availability'!$G:$G,AS65)&amp;""),0)&amp;"/"&amp;IFERROR(--(INDEX('Reguler Class Availability'!$F:$F,AS65)&amp;""),0)&amp;IF(IFERROR(--(INDEX('Reguler Class Availability'!$F:$F,AS65)&amp;""),0)&gt;0,"  ("&amp;TEXT(IFERROR(--(INDEX('Reguler Class Availability'!$G:$G,AS65)&amp;""),0)/IFERROR(--(INDEX('Reguler Class Availability'!$F:$F,AS65)&amp;""),0),"0%")&amp;")","")&amp;CHAR(10)&amp;IF(INDEX('Reguler Class Availability'!$I:$I,AS65)&amp;""="","coach: –",PROPER(INDEX('Reguler Class Availability'!$I:$I,AS65)&amp;""))&amp;IF(INDEX('Reguler Class Availability'!$J:$J,AS65)&amp;""="","",CHAR(10)&amp;"asst: "&amp;PROPER(INDEX('Reguler Class Availability'!$J:$J,AS65)&amp;""))))</f>
        <v/>
      </c>
      <c r="H65" s="67" t="str">
        <f aca="false">IF(AT65="","",IF(BB65="Tidak dibuka","–",IF(INDEX('Reguler Class Availability'!$B:$B,AT65)&amp;""="","Kosong",PROPER(INDEX('Reguler Class Availability'!$B:$B,AT65)&amp;""))&amp;"  "&amp;IFERROR(--(INDEX('Reguler Class Availability'!$G:$G,AT65)&amp;""),0)&amp;"/"&amp;IFERROR(--(INDEX('Reguler Class Availability'!$F:$F,AT65)&amp;""),0)&amp;IF(IFERROR(--(INDEX('Reguler Class Availability'!$F:$F,AT65)&amp;""),0)&gt;0,"  ("&amp;TEXT(IFERROR(--(INDEX('Reguler Class Availability'!$G:$G,AT65)&amp;""),0)/IFERROR(--(INDEX('Reguler Class Availability'!$F:$F,AT65)&amp;""),0),"0%")&amp;")","")&amp;CHAR(10)&amp;IF(INDEX('Reguler Class Availability'!$I:$I,AT65)&amp;""="","coach: –",PROPER(INDEX('Reguler Class Availability'!$I:$I,AT65)&amp;""))&amp;IF(INDEX('Reguler Class Availability'!$J:$J,AT65)&amp;""="","",CHAR(10)&amp;"asst: "&amp;PROPER(INDEX('Reguler Class Availability'!$J:$J,AT65)&amp;""))))</f>
        <v/>
      </c>
      <c r="AN65" s="0" t="str">
        <f aca="false">IF($A65="","",IFERROR(MATCH($B$4&amp;"|- Lane 3 - "&amp;B$51&amp;"|"&amp;$A65,'Reguler Class Availability'!$L:$L,0),""))</f>
        <v/>
      </c>
      <c r="AO65" s="0" t="str">
        <f aca="false">IF($A65="","",IFERROR(MATCH($B$4&amp;"|- Lane 3 - "&amp;C$51&amp;"|"&amp;$A65,'Reguler Class Availability'!$L:$L,0),""))</f>
        <v/>
      </c>
      <c r="AP65" s="0" t="str">
        <f aca="false">IF($A65="","",IFERROR(MATCH($B$4&amp;"|- Lane 3 - "&amp;D$51&amp;"|"&amp;$A65,'Reguler Class Availability'!$L:$L,0),""))</f>
        <v/>
      </c>
      <c r="AQ65" s="0" t="str">
        <f aca="false">IF($A65="","",IFERROR(MATCH($B$4&amp;"|- Lane 3 - "&amp;E$51&amp;"|"&amp;$A65,'Reguler Class Availability'!$L:$L,0),""))</f>
        <v/>
      </c>
      <c r="AR65" s="0" t="str">
        <f aca="false">IF($A65="","",IFERROR(MATCH($B$4&amp;"|- Lane 3 - "&amp;F$51&amp;"|"&amp;$A65,'Reguler Class Availability'!$L:$L,0),""))</f>
        <v/>
      </c>
      <c r="AS65" s="0" t="str">
        <f aca="false">IF($A65="","",IFERROR(MATCH($B$4&amp;"|- Lane 3 - "&amp;G$51&amp;"|"&amp;$A65,'Reguler Class Availability'!$L:$L,0),""))</f>
        <v/>
      </c>
      <c r="AT65" s="0" t="str">
        <f aca="false">IF($A65="","",IFERROR(MATCH($B$4&amp;"|- Lane 3 - "&amp;H$51&amp;"|"&amp;$A65,'Reguler Class Availability'!$L:$L,0),""))</f>
        <v/>
      </c>
      <c r="AV65" s="0" t="str">
        <f aca="false">IF(AN65="","",IF(AND(IFERROR(--(INDEX('Reguler Class Availability'!$F:$F,AN65)&amp;""),0)=0,IFERROR(--(INDEX('Reguler Class Availability'!$G:$G,AN65)&amp;""),0)=0),IF(OR(INDEX('Reguler Class Availability'!$B:$B,AN65)&amp;""&lt;&gt;"",INDEX('Reguler Class Availability'!$I:$I,AN65)&amp;""&lt;&gt;""),"Tutup","Tidak dibuka"),IF(IFERROR(--(INDEX('Reguler Class Availability'!$G:$G,AN65)&amp;""),0)&gt;IFERROR(--(INDEX('Reguler Class Availability'!$F:$F,AN65)&amp;""),0),"Lebih",IF(IFERROR(--(INDEX('Reguler Class Availability'!$G:$G,AN65)&amp;""),0)=IFERROR(--(INDEX('Reguler Class Availability'!$F:$F,AN65)&amp;""),0),"Penuh",IF(IFERROR(--(INDEX('Reguler Class Availability'!$G:$G,AN65)&amp;""),0)=0,IF(INDEX('Reguler Class Availability'!$B:$B,AN65)&amp;""="","Kosong","Belum terisi"),IF(IFERROR(--(INDEX('Reguler Class Availability'!$G:$G,AN65)&amp;""),0)/IFERROR(--(INDEX('Reguler Class Availability'!$F:$F,AN65)&amp;""),0)&gt;=0.6,"Tinggi","Sebagian"))))))</f>
        <v/>
      </c>
      <c r="AW65" s="0" t="str">
        <f aca="false">IF(AO65="","",IF(AND(IFERROR(--(INDEX('Reguler Class Availability'!$F:$F,AO65)&amp;""),0)=0,IFERROR(--(INDEX('Reguler Class Availability'!$G:$G,AO65)&amp;""),0)=0),IF(OR(INDEX('Reguler Class Availability'!$B:$B,AO65)&amp;""&lt;&gt;"",INDEX('Reguler Class Availability'!$I:$I,AO65)&amp;""&lt;&gt;""),"Tutup","Tidak dibuka"),IF(IFERROR(--(INDEX('Reguler Class Availability'!$G:$G,AO65)&amp;""),0)&gt;IFERROR(--(INDEX('Reguler Class Availability'!$F:$F,AO65)&amp;""),0),"Lebih",IF(IFERROR(--(INDEX('Reguler Class Availability'!$G:$G,AO65)&amp;""),0)=IFERROR(--(INDEX('Reguler Class Availability'!$F:$F,AO65)&amp;""),0),"Penuh",IF(IFERROR(--(INDEX('Reguler Class Availability'!$G:$G,AO65)&amp;""),0)=0,IF(INDEX('Reguler Class Availability'!$B:$B,AO65)&amp;""="","Kosong","Belum terisi"),IF(IFERROR(--(INDEX('Reguler Class Availability'!$G:$G,AO65)&amp;""),0)/IFERROR(--(INDEX('Reguler Class Availability'!$F:$F,AO65)&amp;""),0)&gt;=0.6,"Tinggi","Sebagian"))))))</f>
        <v/>
      </c>
      <c r="AX65" s="0" t="str">
        <f aca="false">IF(AP65="","",IF(AND(IFERROR(--(INDEX('Reguler Class Availability'!$F:$F,AP65)&amp;""),0)=0,IFERROR(--(INDEX('Reguler Class Availability'!$G:$G,AP65)&amp;""),0)=0),IF(OR(INDEX('Reguler Class Availability'!$B:$B,AP65)&amp;""&lt;&gt;"",INDEX('Reguler Class Availability'!$I:$I,AP65)&amp;""&lt;&gt;""),"Tutup","Tidak dibuka"),IF(IFERROR(--(INDEX('Reguler Class Availability'!$G:$G,AP65)&amp;""),0)&gt;IFERROR(--(INDEX('Reguler Class Availability'!$F:$F,AP65)&amp;""),0),"Lebih",IF(IFERROR(--(INDEX('Reguler Class Availability'!$G:$G,AP65)&amp;""),0)=IFERROR(--(INDEX('Reguler Class Availability'!$F:$F,AP65)&amp;""),0),"Penuh",IF(IFERROR(--(INDEX('Reguler Class Availability'!$G:$G,AP65)&amp;""),0)=0,IF(INDEX('Reguler Class Availability'!$B:$B,AP65)&amp;""="","Kosong","Belum terisi"),IF(IFERROR(--(INDEX('Reguler Class Availability'!$G:$G,AP65)&amp;""),0)/IFERROR(--(INDEX('Reguler Class Availability'!$F:$F,AP65)&amp;""),0)&gt;=0.6,"Tinggi","Sebagian"))))))</f>
        <v/>
      </c>
      <c r="AY65" s="0" t="str">
        <f aca="false">IF(AQ65="","",IF(AND(IFERROR(--(INDEX('Reguler Class Availability'!$F:$F,AQ65)&amp;""),0)=0,IFERROR(--(INDEX('Reguler Class Availability'!$G:$G,AQ65)&amp;""),0)=0),IF(OR(INDEX('Reguler Class Availability'!$B:$B,AQ65)&amp;""&lt;&gt;"",INDEX('Reguler Class Availability'!$I:$I,AQ65)&amp;""&lt;&gt;""),"Tutup","Tidak dibuka"),IF(IFERROR(--(INDEX('Reguler Class Availability'!$G:$G,AQ65)&amp;""),0)&gt;IFERROR(--(INDEX('Reguler Class Availability'!$F:$F,AQ65)&amp;""),0),"Lebih",IF(IFERROR(--(INDEX('Reguler Class Availability'!$G:$G,AQ65)&amp;""),0)=IFERROR(--(INDEX('Reguler Class Availability'!$F:$F,AQ65)&amp;""),0),"Penuh",IF(IFERROR(--(INDEX('Reguler Class Availability'!$G:$G,AQ65)&amp;""),0)=0,IF(INDEX('Reguler Class Availability'!$B:$B,AQ65)&amp;""="","Kosong","Belum terisi"),IF(IFERROR(--(INDEX('Reguler Class Availability'!$G:$G,AQ65)&amp;""),0)/IFERROR(--(INDEX('Reguler Class Availability'!$F:$F,AQ65)&amp;""),0)&gt;=0.6,"Tinggi","Sebagian"))))))</f>
        <v/>
      </c>
      <c r="AZ65" s="0" t="str">
        <f aca="false">IF(AR65="","",IF(AND(IFERROR(--(INDEX('Reguler Class Availability'!$F:$F,AR65)&amp;""),0)=0,IFERROR(--(INDEX('Reguler Class Availability'!$G:$G,AR65)&amp;""),0)=0),IF(OR(INDEX('Reguler Class Availability'!$B:$B,AR65)&amp;""&lt;&gt;"",INDEX('Reguler Class Availability'!$I:$I,AR65)&amp;""&lt;&gt;""),"Tutup","Tidak dibuka"),IF(IFERROR(--(INDEX('Reguler Class Availability'!$G:$G,AR65)&amp;""),0)&gt;IFERROR(--(INDEX('Reguler Class Availability'!$F:$F,AR65)&amp;""),0),"Lebih",IF(IFERROR(--(INDEX('Reguler Class Availability'!$G:$G,AR65)&amp;""),0)=IFERROR(--(INDEX('Reguler Class Availability'!$F:$F,AR65)&amp;""),0),"Penuh",IF(IFERROR(--(INDEX('Reguler Class Availability'!$G:$G,AR65)&amp;""),0)=0,IF(INDEX('Reguler Class Availability'!$B:$B,AR65)&amp;""="","Kosong","Belum terisi"),IF(IFERROR(--(INDEX('Reguler Class Availability'!$G:$G,AR65)&amp;""),0)/IFERROR(--(INDEX('Reguler Class Availability'!$F:$F,AR65)&amp;""),0)&gt;=0.6,"Tinggi","Sebagian"))))))</f>
        <v/>
      </c>
      <c r="BA65" s="0" t="str">
        <f aca="false">IF(AS65="","",IF(AND(IFERROR(--(INDEX('Reguler Class Availability'!$F:$F,AS65)&amp;""),0)=0,IFERROR(--(INDEX('Reguler Class Availability'!$G:$G,AS65)&amp;""),0)=0),IF(OR(INDEX('Reguler Class Availability'!$B:$B,AS65)&amp;""&lt;&gt;"",INDEX('Reguler Class Availability'!$I:$I,AS65)&amp;""&lt;&gt;""),"Tutup","Tidak dibuka"),IF(IFERROR(--(INDEX('Reguler Class Availability'!$G:$G,AS65)&amp;""),0)&gt;IFERROR(--(INDEX('Reguler Class Availability'!$F:$F,AS65)&amp;""),0),"Lebih",IF(IFERROR(--(INDEX('Reguler Class Availability'!$G:$G,AS65)&amp;""),0)=IFERROR(--(INDEX('Reguler Class Availability'!$F:$F,AS65)&amp;""),0),"Penuh",IF(IFERROR(--(INDEX('Reguler Class Availability'!$G:$G,AS65)&amp;""),0)=0,IF(INDEX('Reguler Class Availability'!$B:$B,AS65)&amp;""="","Kosong","Belum terisi"),IF(IFERROR(--(INDEX('Reguler Class Availability'!$G:$G,AS65)&amp;""),0)/IFERROR(--(INDEX('Reguler Class Availability'!$F:$F,AS65)&amp;""),0)&gt;=0.6,"Tinggi","Sebagian"))))))</f>
        <v/>
      </c>
      <c r="BB65" s="0" t="str">
        <f aca="false">IF(AT65="","",IF(AND(IFERROR(--(INDEX('Reguler Class Availability'!$F:$F,AT65)&amp;""),0)=0,IFERROR(--(INDEX('Reguler Class Availability'!$G:$G,AT65)&amp;""),0)=0),IF(OR(INDEX('Reguler Class Availability'!$B:$B,AT65)&amp;""&lt;&gt;"",INDEX('Reguler Class Availability'!$I:$I,AT65)&amp;""&lt;&gt;""),"Tutup","Tidak dibuka"),IF(IFERROR(--(INDEX('Reguler Class Availability'!$G:$G,AT65)&amp;""),0)&gt;IFERROR(--(INDEX('Reguler Class Availability'!$F:$F,AT65)&amp;""),0),"Lebih",IF(IFERROR(--(INDEX('Reguler Class Availability'!$G:$G,AT65)&amp;""),0)=IFERROR(--(INDEX('Reguler Class Availability'!$F:$F,AT65)&amp;""),0),"Penuh",IF(IFERROR(--(INDEX('Reguler Class Availability'!$G:$G,AT65)&amp;""),0)=0,IF(INDEX('Reguler Class Availability'!$B:$B,AT65)&amp;""="","Kosong","Belum terisi"),IF(IFERROR(--(INDEX('Reguler Class Availability'!$G:$G,AT65)&amp;""),0)/IFERROR(--(INDEX('Reguler Class Availability'!$F:$F,AT65)&amp;""),0)&gt;=0.6,"Tinggi","Sebagian"))))))</f>
        <v/>
      </c>
      <c r="BD65" s="30" t="s">
        <v>85</v>
      </c>
      <c r="BE65" s="30" t="n">
        <f aca="false">IF(COUNTIFS('Reguler Class Availability'!$L:$L,$B$4&amp;"|- Lane 2 - *|"&amp;BD65)&gt;0,1,0)</f>
        <v>0</v>
      </c>
      <c r="BF65" s="30" t="n">
        <f aca="false">BE65+BF64</f>
        <v>0</v>
      </c>
    </row>
    <row r="66" customFormat="false" ht="15" hidden="false" customHeight="false" outlineLevel="0" collapsed="false">
      <c r="A66" s="68" t="s">
        <v>137</v>
      </c>
      <c r="B66" s="69" t="str">
        <f aca="false">IFERROR(TEXT(SUMIFS('Reguler Class Availability'!$G:$G,'Reguler Class Availability'!$A:$A,$B$4,'Reguler Class Availability'!$C:$C,"- Lane 3 - "&amp;B$51,'Reguler Class Availability'!$F:$F,"&gt;0")/SUMIFS('Reguler Class Availability'!$F:$F,'Reguler Class Availability'!$A:$A,$B$4,'Reguler Class Availability'!$C:$C,"- Lane 3 - "&amp;B$51,'Reguler Class Availability'!$F:$F,"&gt;0"),"0%"),"–")</f>
        <v>10%</v>
      </c>
      <c r="C66" s="69" t="str">
        <f aca="false">IFERROR(TEXT(SUMIFS('Reguler Class Availability'!$G:$G,'Reguler Class Availability'!$A:$A,$B$4,'Reguler Class Availability'!$C:$C,"- Lane 3 - "&amp;C$51,'Reguler Class Availability'!$F:$F,"&gt;0")/SUMIFS('Reguler Class Availability'!$F:$F,'Reguler Class Availability'!$A:$A,$B$4,'Reguler Class Availability'!$C:$C,"- Lane 3 - "&amp;C$51,'Reguler Class Availability'!$F:$F,"&gt;0"),"0%"),"–")</f>
        <v>15%</v>
      </c>
      <c r="D66" s="69" t="str">
        <f aca="false">IFERROR(TEXT(SUMIFS('Reguler Class Availability'!$G:$G,'Reguler Class Availability'!$A:$A,$B$4,'Reguler Class Availability'!$C:$C,"- Lane 3 - "&amp;D$51,'Reguler Class Availability'!$F:$F,"&gt;0")/SUMIFS('Reguler Class Availability'!$F:$F,'Reguler Class Availability'!$A:$A,$B$4,'Reguler Class Availability'!$C:$C,"- Lane 3 - "&amp;D$51,'Reguler Class Availability'!$F:$F,"&gt;0"),"0%"),"–")</f>
        <v>8%</v>
      </c>
      <c r="E66" s="69" t="str">
        <f aca="false">IFERROR(TEXT(SUMIFS('Reguler Class Availability'!$G:$G,'Reguler Class Availability'!$A:$A,$B$4,'Reguler Class Availability'!$C:$C,"- Lane 3 - "&amp;E$51,'Reguler Class Availability'!$F:$F,"&gt;0")/SUMIFS('Reguler Class Availability'!$F:$F,'Reguler Class Availability'!$A:$A,$B$4,'Reguler Class Availability'!$C:$C,"- Lane 3 - "&amp;E$51,'Reguler Class Availability'!$F:$F,"&gt;0"),"0%"),"–")</f>
        <v>13%</v>
      </c>
      <c r="F66" s="69" t="str">
        <f aca="false">IFERROR(TEXT(SUMIFS('Reguler Class Availability'!$G:$G,'Reguler Class Availability'!$A:$A,$B$4,'Reguler Class Availability'!$C:$C,"- Lane 3 - "&amp;F$51,'Reguler Class Availability'!$F:$F,"&gt;0")/SUMIFS('Reguler Class Availability'!$F:$F,'Reguler Class Availability'!$A:$A,$B$4,'Reguler Class Availability'!$C:$C,"- Lane 3 - "&amp;F$51,'Reguler Class Availability'!$F:$F,"&gt;0"),"0%"),"–")</f>
        <v>15%</v>
      </c>
      <c r="G66" s="69" t="str">
        <f aca="false">IFERROR(TEXT(SUMIFS('Reguler Class Availability'!$G:$G,'Reguler Class Availability'!$A:$A,$B$4,'Reguler Class Availability'!$C:$C,"- Lane 3 - "&amp;G$51,'Reguler Class Availability'!$F:$F,"&gt;0")/SUMIFS('Reguler Class Availability'!$F:$F,'Reguler Class Availability'!$A:$A,$B$4,'Reguler Class Availability'!$C:$C,"- Lane 3 - "&amp;G$51,'Reguler Class Availability'!$F:$F,"&gt;0"),"0%"),"–")</f>
        <v>35%</v>
      </c>
      <c r="H66" s="69" t="str">
        <f aca="false">IFERROR(TEXT(SUMIFS('Reguler Class Availability'!$G:$G,'Reguler Class Availability'!$A:$A,$B$4,'Reguler Class Availability'!$C:$C,"- Lane 3 - "&amp;H$51,'Reguler Class Availability'!$F:$F,"&gt;0")/SUMIFS('Reguler Class Availability'!$F:$F,'Reguler Class Availability'!$A:$A,$B$4,'Reguler Class Availability'!$C:$C,"- Lane 3 - "&amp;H$51,'Reguler Class Availability'!$F:$F,"&gt;0"),"0%"),"–")</f>
        <v>27%</v>
      </c>
      <c r="BD66" s="30" t="s">
        <v>89</v>
      </c>
      <c r="BE66" s="30" t="n">
        <f aca="false">IF(COUNTIFS('Reguler Class Availability'!$L:$L,$B$4&amp;"|- Lane 2 - *|"&amp;BD66)&gt;0,1,0)</f>
        <v>0</v>
      </c>
      <c r="BF66" s="30" t="n">
        <f aca="false">BE66+BF65</f>
        <v>0</v>
      </c>
    </row>
    <row r="67" customFormat="false" ht="15" hidden="false" customHeight="false" outlineLevel="0" collapsed="false">
      <c r="BD67" s="0" t="s">
        <v>90</v>
      </c>
      <c r="BE67" s="0" t="n">
        <f aca="false">IF(COUNTIFS('Reguler Class Availability'!$L:$L,$B$4&amp;"|- Lane 2 - *|"&amp;BD67)&gt;0,1,0)</f>
        <v>0</v>
      </c>
      <c r="BF67" s="0" t="n">
        <f aca="false">BE67+BF66</f>
        <v>0</v>
      </c>
    </row>
    <row r="68" customFormat="false" ht="15" hidden="false" customHeight="false" outlineLevel="0" collapsed="false">
      <c r="A68" s="61" t="s">
        <v>172</v>
      </c>
      <c r="B68" s="62"/>
      <c r="C68" s="63" t="str">
        <f aca="false">"Utilisasi lane: "&amp;IFERROR(TEXT(SUMIFS('Reguler Class Availability'!$G:$G,'Reguler Class Availability'!$A:$A,$B$4,'Reguler Class Availability'!$C:$C,"- Lane 4 - *",'Reguler Class Availability'!$F:$F,"&gt;0")/SUMIFS('Reguler Class Availability'!$F:$F,'Reguler Class Availability'!$A:$A,$B$4,'Reguler Class Availability'!$C:$C,"- Lane 4 - *",'Reguler Class Availability'!$F:$F,"&gt;0"),"0%"),"–")&amp;"   ·   Belum terisi: "&amp;COUNTIF($AV$70:$BB$83,"Belum terisi")&amp;"   ·   Slot kosong: "&amp;COUNTIF($AV$70:$BB$83,"Kosong")</f>
        <v>Utilisasi lane: 18%   ·   Belum terisi: 56   ·   Slot kosong: 0</v>
      </c>
      <c r="D68" s="62"/>
      <c r="E68" s="62"/>
      <c r="F68" s="62"/>
      <c r="G68" s="62"/>
      <c r="H68" s="62"/>
      <c r="BD68" s="30" t="s">
        <v>91</v>
      </c>
      <c r="BE68" s="30" t="n">
        <f aca="false">IF(COUNTIFS('Reguler Class Availability'!$L:$L,$B$4&amp;"|- Lane 2 - *|"&amp;BD68)&gt;0,1,0)</f>
        <v>0</v>
      </c>
      <c r="BF68" s="30" t="n">
        <f aca="false">BE68+BF67</f>
        <v>0</v>
      </c>
    </row>
    <row r="69" customFormat="false" ht="15" hidden="false" customHeight="false" outlineLevel="0" collapsed="false">
      <c r="A69" s="64" t="s">
        <v>113</v>
      </c>
      <c r="B69" s="65" t="s">
        <v>114</v>
      </c>
      <c r="C69" s="65" t="s">
        <v>115</v>
      </c>
      <c r="D69" s="65" t="s">
        <v>116</v>
      </c>
      <c r="E69" s="65" t="s">
        <v>117</v>
      </c>
      <c r="F69" s="65" t="s">
        <v>118</v>
      </c>
      <c r="G69" s="65" t="s">
        <v>119</v>
      </c>
      <c r="H69" s="65" t="s">
        <v>80</v>
      </c>
      <c r="BD69" s="30" t="s">
        <v>98</v>
      </c>
      <c r="BE69" s="30" t="n">
        <f aca="false">IF(COUNTIFS('Reguler Class Availability'!$L:$L,$B$4&amp;"|- Lane 2 - *|"&amp;BD69)&gt;0,1,0)</f>
        <v>0</v>
      </c>
      <c r="BF69" s="30" t="n">
        <f aca="false">BE69+BF68</f>
        <v>0</v>
      </c>
    </row>
    <row r="70" customFormat="false" ht="39.75" hidden="false" customHeight="true" outlineLevel="0" collapsed="false">
      <c r="A70" s="66" t="str">
        <f aca="false">IFERROR(INDEX($BD$182:$BD$241,MATCH(1,$BF$182:$BF$241,0)),"")</f>
        <v>08:15</v>
      </c>
      <c r="B70" s="67" t="str">
        <f aca="false">IF(AN70="","",IF(AV70="Tidak dibuka","–",IF(INDEX('Reguler Class Availability'!$B:$B,AN70)&amp;""="","Kosong",PROPER(INDEX('Reguler Class Availability'!$B:$B,AN70)&amp;""))&amp;"  "&amp;IFERROR(--(INDEX('Reguler Class Availability'!$G:$G,AN70)&amp;""),0)&amp;"/"&amp;IFERROR(--(INDEX('Reguler Class Availability'!$F:$F,AN70)&amp;""),0)&amp;IF(IFERROR(--(INDEX('Reguler Class Availability'!$F:$F,AN70)&amp;""),0)&gt;0,"  ("&amp;TEXT(IFERROR(--(INDEX('Reguler Class Availability'!$G:$G,AN70)&amp;""),0)/IFERROR(--(INDEX('Reguler Class Availability'!$F:$F,AN70)&amp;""),0),"0%")&amp;")","")&amp;CHAR(10)&amp;IF(INDEX('Reguler Class Availability'!$I:$I,AN70)&amp;""="","coach: –",PROPER(INDEX('Reguler Class Availability'!$I:$I,AN70)&amp;""))&amp;IF(INDEX('Reguler Class Availability'!$J:$J,AN70)&amp;""="","",CHAR(10)&amp;"asst: "&amp;PROPER(INDEX('Reguler Class Availability'!$J:$J,AN70)&amp;""))))</f>
        <v>Kids  0/4  (0%)
coach: –</v>
      </c>
      <c r="C70" s="67" t="str">
        <f aca="false">IF(AO70="","",IF(AW70="Tidak dibuka","–",IF(INDEX('Reguler Class Availability'!$B:$B,AO70)&amp;""="","Kosong",PROPER(INDEX('Reguler Class Availability'!$B:$B,AO70)&amp;""))&amp;"  "&amp;IFERROR(--(INDEX('Reguler Class Availability'!$G:$G,AO70)&amp;""),0)&amp;"/"&amp;IFERROR(--(INDEX('Reguler Class Availability'!$F:$F,AO70)&amp;""),0)&amp;IF(IFERROR(--(INDEX('Reguler Class Availability'!$F:$F,AO70)&amp;""),0)&gt;0,"  ("&amp;TEXT(IFERROR(--(INDEX('Reguler Class Availability'!$G:$G,AO70)&amp;""),0)/IFERROR(--(INDEX('Reguler Class Availability'!$F:$F,AO70)&amp;""),0),"0%")&amp;")","")&amp;CHAR(10)&amp;IF(INDEX('Reguler Class Availability'!$I:$I,AO70)&amp;""="","coach: –",PROPER(INDEX('Reguler Class Availability'!$I:$I,AO70)&amp;""))&amp;IF(INDEX('Reguler Class Availability'!$J:$J,AO70)&amp;""="","",CHAR(10)&amp;"asst: "&amp;PROPER(INDEX('Reguler Class Availability'!$J:$J,AO70)&amp;""))))</f>
        <v>Kids  0/4  (0%)
coach: –</v>
      </c>
      <c r="D70" s="67" t="str">
        <f aca="false">IF(AP70="","",IF(AX70="Tidak dibuka","–",IF(INDEX('Reguler Class Availability'!$B:$B,AP70)&amp;""="","Kosong",PROPER(INDEX('Reguler Class Availability'!$B:$B,AP70)&amp;""))&amp;"  "&amp;IFERROR(--(INDEX('Reguler Class Availability'!$G:$G,AP70)&amp;""),0)&amp;"/"&amp;IFERROR(--(INDEX('Reguler Class Availability'!$F:$F,AP70)&amp;""),0)&amp;IF(IFERROR(--(INDEX('Reguler Class Availability'!$F:$F,AP70)&amp;""),0)&gt;0,"  ("&amp;TEXT(IFERROR(--(INDEX('Reguler Class Availability'!$G:$G,AP70)&amp;""),0)/IFERROR(--(INDEX('Reguler Class Availability'!$F:$F,AP70)&amp;""),0),"0%")&amp;")","")&amp;CHAR(10)&amp;IF(INDEX('Reguler Class Availability'!$I:$I,AP70)&amp;""="","coach: –",PROPER(INDEX('Reguler Class Availability'!$I:$I,AP70)&amp;""))&amp;IF(INDEX('Reguler Class Availability'!$J:$J,AP70)&amp;""="","",CHAR(10)&amp;"asst: "&amp;PROPER(INDEX('Reguler Class Availability'!$J:$J,AP70)&amp;""))))</f>
        <v>Kids  0/4  (0%)
coach: –</v>
      </c>
      <c r="E70" s="67" t="str">
        <f aca="false">IF(AQ70="","",IF(AY70="Tidak dibuka","–",IF(INDEX('Reguler Class Availability'!$B:$B,AQ70)&amp;""="","Kosong",PROPER(INDEX('Reguler Class Availability'!$B:$B,AQ70)&amp;""))&amp;"  "&amp;IFERROR(--(INDEX('Reguler Class Availability'!$G:$G,AQ70)&amp;""),0)&amp;"/"&amp;IFERROR(--(INDEX('Reguler Class Availability'!$F:$F,AQ70)&amp;""),0)&amp;IF(IFERROR(--(INDEX('Reguler Class Availability'!$F:$F,AQ70)&amp;""),0)&gt;0,"  ("&amp;TEXT(IFERROR(--(INDEX('Reguler Class Availability'!$G:$G,AQ70)&amp;""),0)/IFERROR(--(INDEX('Reguler Class Availability'!$F:$F,AQ70)&amp;""),0),"0%")&amp;")","")&amp;CHAR(10)&amp;IF(INDEX('Reguler Class Availability'!$I:$I,AQ70)&amp;""="","coach: –",PROPER(INDEX('Reguler Class Availability'!$I:$I,AQ70)&amp;""))&amp;IF(INDEX('Reguler Class Availability'!$J:$J,AQ70)&amp;""="","",CHAR(10)&amp;"asst: "&amp;PROPER(INDEX('Reguler Class Availability'!$J:$J,AQ70)&amp;""))))</f>
        <v>Kids  0/4  (0%)
coach: –</v>
      </c>
      <c r="F70" s="67" t="str">
        <f aca="false">IF(AR70="","",IF(AZ70="Tidak dibuka","–",IF(INDEX('Reguler Class Availability'!$B:$B,AR70)&amp;""="","Kosong",PROPER(INDEX('Reguler Class Availability'!$B:$B,AR70)&amp;""))&amp;"  "&amp;IFERROR(--(INDEX('Reguler Class Availability'!$G:$G,AR70)&amp;""),0)&amp;"/"&amp;IFERROR(--(INDEX('Reguler Class Availability'!$F:$F,AR70)&amp;""),0)&amp;IF(IFERROR(--(INDEX('Reguler Class Availability'!$F:$F,AR70)&amp;""),0)&gt;0,"  ("&amp;TEXT(IFERROR(--(INDEX('Reguler Class Availability'!$G:$G,AR70)&amp;""),0)/IFERROR(--(INDEX('Reguler Class Availability'!$F:$F,AR70)&amp;""),0),"0%")&amp;")","")&amp;CHAR(10)&amp;IF(INDEX('Reguler Class Availability'!$I:$I,AR70)&amp;""="","coach: –",PROPER(INDEX('Reguler Class Availability'!$I:$I,AR70)&amp;""))&amp;IF(INDEX('Reguler Class Availability'!$J:$J,AR70)&amp;""="","",CHAR(10)&amp;"asst: "&amp;PROPER(INDEX('Reguler Class Availability'!$J:$J,AR70)&amp;""))))</f>
        <v>Kids  0/4  (0%)
coach: –</v>
      </c>
      <c r="G70" s="67" t="str">
        <f aca="false">IF(AS70="","",IF(BA70="Tidak dibuka","–",IF(INDEX('Reguler Class Availability'!$B:$B,AS70)&amp;""="","Kosong",PROPER(INDEX('Reguler Class Availability'!$B:$B,AS70)&amp;""))&amp;"  "&amp;IFERROR(--(INDEX('Reguler Class Availability'!$G:$G,AS70)&amp;""),0)&amp;"/"&amp;IFERROR(--(INDEX('Reguler Class Availability'!$F:$F,AS70)&amp;""),0)&amp;IF(IFERROR(--(INDEX('Reguler Class Availability'!$F:$F,AS70)&amp;""),0)&gt;0,"  ("&amp;TEXT(IFERROR(--(INDEX('Reguler Class Availability'!$G:$G,AS70)&amp;""),0)/IFERROR(--(INDEX('Reguler Class Availability'!$F:$F,AS70)&amp;""),0),"0%")&amp;")","")&amp;CHAR(10)&amp;IF(INDEX('Reguler Class Availability'!$I:$I,AS70)&amp;""="","coach: –",PROPER(INDEX('Reguler Class Availability'!$I:$I,AS70)&amp;""))&amp;IF(INDEX('Reguler Class Availability'!$J:$J,AS70)&amp;""="","",CHAR(10)&amp;"asst: "&amp;PROPER(INDEX('Reguler Class Availability'!$J:$J,AS70)&amp;""))))</f>
        <v>Kids  0/4  (0%)
coach: –</v>
      </c>
      <c r="H70" s="67" t="str">
        <f aca="false">IF(AT70="","",IF(BB70="Tidak dibuka","–",IF(INDEX('Reguler Class Availability'!$B:$B,AT70)&amp;""="","Kosong",PROPER(INDEX('Reguler Class Availability'!$B:$B,AT70)&amp;""))&amp;"  "&amp;IFERROR(--(INDEX('Reguler Class Availability'!$G:$G,AT70)&amp;""),0)&amp;"/"&amp;IFERROR(--(INDEX('Reguler Class Availability'!$F:$F,AT70)&amp;""),0)&amp;IF(IFERROR(--(INDEX('Reguler Class Availability'!$F:$F,AT70)&amp;""),0)&gt;0,"  ("&amp;TEXT(IFERROR(--(INDEX('Reguler Class Availability'!$G:$G,AT70)&amp;""),0)/IFERROR(--(INDEX('Reguler Class Availability'!$F:$F,AT70)&amp;""),0),"0%")&amp;")","")&amp;CHAR(10)&amp;IF(INDEX('Reguler Class Availability'!$I:$I,AT70)&amp;""="","coach: –",PROPER(INDEX('Reguler Class Availability'!$I:$I,AT70)&amp;""))&amp;IF(INDEX('Reguler Class Availability'!$J:$J,AT70)&amp;""="","",CHAR(10)&amp;"asst: "&amp;PROPER(INDEX('Reguler Class Availability'!$J:$J,AT70)&amp;""))))</f>
        <v>Kids  0/4  (0%)
coach: –</v>
      </c>
      <c r="AN70" s="30" t="n">
        <f aca="false">IF($A70="","",IFERROR(MATCH($B$4&amp;"|- Lane 4 - "&amp;B$69&amp;"|"&amp;$A70,'Reguler Class Availability'!$L:$L,0),""))</f>
        <v>2676</v>
      </c>
      <c r="AO70" s="30" t="n">
        <f aca="false">IF($A70="","",IFERROR(MATCH($B$4&amp;"|- Lane 4 - "&amp;C$69&amp;"|"&amp;$A70,'Reguler Class Availability'!$L:$L,0),""))</f>
        <v>2688</v>
      </c>
      <c r="AP70" s="30" t="n">
        <f aca="false">IF($A70="","",IFERROR(MATCH($B$4&amp;"|- Lane 4 - "&amp;D$69&amp;"|"&amp;$A70,'Reguler Class Availability'!$L:$L,0),""))</f>
        <v>2700</v>
      </c>
      <c r="AQ70" s="30" t="n">
        <f aca="false">IF($A70="","",IFERROR(MATCH($B$4&amp;"|- Lane 4 - "&amp;E$69&amp;"|"&amp;$A70,'Reguler Class Availability'!$L:$L,0),""))</f>
        <v>2712</v>
      </c>
      <c r="AR70" s="30" t="n">
        <f aca="false">IF($A70="","",IFERROR(MATCH($B$4&amp;"|- Lane 4 - "&amp;F$69&amp;"|"&amp;$A70,'Reguler Class Availability'!$L:$L,0),""))</f>
        <v>2724</v>
      </c>
      <c r="AS70" s="30" t="n">
        <f aca="false">IF($A70="","",IFERROR(MATCH($B$4&amp;"|- Lane 4 - "&amp;G$69&amp;"|"&amp;$A70,'Reguler Class Availability'!$L:$L,0),""))</f>
        <v>2736</v>
      </c>
      <c r="AT70" s="30" t="n">
        <f aca="false">IF($A70="","",IFERROR(MATCH($B$4&amp;"|- Lane 4 - "&amp;H$69&amp;"|"&amp;$A70,'Reguler Class Availability'!$L:$L,0),""))</f>
        <v>2748</v>
      </c>
      <c r="AV70" s="0" t="str">
        <f aca="false">IF(AN70="","",IF(AND(IFERROR(--(INDEX('Reguler Class Availability'!$F:$F,AN70)&amp;""),0)=0,IFERROR(--(INDEX('Reguler Class Availability'!$G:$G,AN70)&amp;""),0)=0),IF(OR(INDEX('Reguler Class Availability'!$B:$B,AN70)&amp;""&lt;&gt;"",INDEX('Reguler Class Availability'!$I:$I,AN70)&amp;""&lt;&gt;""),"Tutup","Tidak dibuka"),IF(IFERROR(--(INDEX('Reguler Class Availability'!$G:$G,AN70)&amp;""),0)&gt;IFERROR(--(INDEX('Reguler Class Availability'!$F:$F,AN70)&amp;""),0),"Lebih",IF(IFERROR(--(INDEX('Reguler Class Availability'!$G:$G,AN70)&amp;""),0)=IFERROR(--(INDEX('Reguler Class Availability'!$F:$F,AN70)&amp;""),0),"Penuh",IF(IFERROR(--(INDEX('Reguler Class Availability'!$G:$G,AN70)&amp;""),0)=0,IF(INDEX('Reguler Class Availability'!$B:$B,AN70)&amp;""="","Kosong","Belum terisi"),IF(IFERROR(--(INDEX('Reguler Class Availability'!$G:$G,AN70)&amp;""),0)/IFERROR(--(INDEX('Reguler Class Availability'!$F:$F,AN70)&amp;""),0)&gt;=0.6,"Tinggi","Sebagian"))))))</f>
        <v>Belum terisi</v>
      </c>
      <c r="AW70" s="0" t="str">
        <f aca="false">IF(AO70="","",IF(AND(IFERROR(--(INDEX('Reguler Class Availability'!$F:$F,AO70)&amp;""),0)=0,IFERROR(--(INDEX('Reguler Class Availability'!$G:$G,AO70)&amp;""),0)=0),IF(OR(INDEX('Reguler Class Availability'!$B:$B,AO70)&amp;""&lt;&gt;"",INDEX('Reguler Class Availability'!$I:$I,AO70)&amp;""&lt;&gt;""),"Tutup","Tidak dibuka"),IF(IFERROR(--(INDEX('Reguler Class Availability'!$G:$G,AO70)&amp;""),0)&gt;IFERROR(--(INDEX('Reguler Class Availability'!$F:$F,AO70)&amp;""),0),"Lebih",IF(IFERROR(--(INDEX('Reguler Class Availability'!$G:$G,AO70)&amp;""),0)=IFERROR(--(INDEX('Reguler Class Availability'!$F:$F,AO70)&amp;""),0),"Penuh",IF(IFERROR(--(INDEX('Reguler Class Availability'!$G:$G,AO70)&amp;""),0)=0,IF(INDEX('Reguler Class Availability'!$B:$B,AO70)&amp;""="","Kosong","Belum terisi"),IF(IFERROR(--(INDEX('Reguler Class Availability'!$G:$G,AO70)&amp;""),0)/IFERROR(--(INDEX('Reguler Class Availability'!$F:$F,AO70)&amp;""),0)&gt;=0.6,"Tinggi","Sebagian"))))))</f>
        <v>Belum terisi</v>
      </c>
      <c r="AX70" s="0" t="str">
        <f aca="false">IF(AP70="","",IF(AND(IFERROR(--(INDEX('Reguler Class Availability'!$F:$F,AP70)&amp;""),0)=0,IFERROR(--(INDEX('Reguler Class Availability'!$G:$G,AP70)&amp;""),0)=0),IF(OR(INDEX('Reguler Class Availability'!$B:$B,AP70)&amp;""&lt;&gt;"",INDEX('Reguler Class Availability'!$I:$I,AP70)&amp;""&lt;&gt;""),"Tutup","Tidak dibuka"),IF(IFERROR(--(INDEX('Reguler Class Availability'!$G:$G,AP70)&amp;""),0)&gt;IFERROR(--(INDEX('Reguler Class Availability'!$F:$F,AP70)&amp;""),0),"Lebih",IF(IFERROR(--(INDEX('Reguler Class Availability'!$G:$G,AP70)&amp;""),0)=IFERROR(--(INDEX('Reguler Class Availability'!$F:$F,AP70)&amp;""),0),"Penuh",IF(IFERROR(--(INDEX('Reguler Class Availability'!$G:$G,AP70)&amp;""),0)=0,IF(INDEX('Reguler Class Availability'!$B:$B,AP70)&amp;""="","Kosong","Belum terisi"),IF(IFERROR(--(INDEX('Reguler Class Availability'!$G:$G,AP70)&amp;""),0)/IFERROR(--(INDEX('Reguler Class Availability'!$F:$F,AP70)&amp;""),0)&gt;=0.6,"Tinggi","Sebagian"))))))</f>
        <v>Belum terisi</v>
      </c>
      <c r="AY70" s="0" t="str">
        <f aca="false">IF(AQ70="","",IF(AND(IFERROR(--(INDEX('Reguler Class Availability'!$F:$F,AQ70)&amp;""),0)=0,IFERROR(--(INDEX('Reguler Class Availability'!$G:$G,AQ70)&amp;""),0)=0),IF(OR(INDEX('Reguler Class Availability'!$B:$B,AQ70)&amp;""&lt;&gt;"",INDEX('Reguler Class Availability'!$I:$I,AQ70)&amp;""&lt;&gt;""),"Tutup","Tidak dibuka"),IF(IFERROR(--(INDEX('Reguler Class Availability'!$G:$G,AQ70)&amp;""),0)&gt;IFERROR(--(INDEX('Reguler Class Availability'!$F:$F,AQ70)&amp;""),0),"Lebih",IF(IFERROR(--(INDEX('Reguler Class Availability'!$G:$G,AQ70)&amp;""),0)=IFERROR(--(INDEX('Reguler Class Availability'!$F:$F,AQ70)&amp;""),0),"Penuh",IF(IFERROR(--(INDEX('Reguler Class Availability'!$G:$G,AQ70)&amp;""),0)=0,IF(INDEX('Reguler Class Availability'!$B:$B,AQ70)&amp;""="","Kosong","Belum terisi"),IF(IFERROR(--(INDEX('Reguler Class Availability'!$G:$G,AQ70)&amp;""),0)/IFERROR(--(INDEX('Reguler Class Availability'!$F:$F,AQ70)&amp;""),0)&gt;=0.6,"Tinggi","Sebagian"))))))</f>
        <v>Belum terisi</v>
      </c>
      <c r="AZ70" s="0" t="str">
        <f aca="false">IF(AR70="","",IF(AND(IFERROR(--(INDEX('Reguler Class Availability'!$F:$F,AR70)&amp;""),0)=0,IFERROR(--(INDEX('Reguler Class Availability'!$G:$G,AR70)&amp;""),0)=0),IF(OR(INDEX('Reguler Class Availability'!$B:$B,AR70)&amp;""&lt;&gt;"",INDEX('Reguler Class Availability'!$I:$I,AR70)&amp;""&lt;&gt;""),"Tutup","Tidak dibuka"),IF(IFERROR(--(INDEX('Reguler Class Availability'!$G:$G,AR70)&amp;""),0)&gt;IFERROR(--(INDEX('Reguler Class Availability'!$F:$F,AR70)&amp;""),0),"Lebih",IF(IFERROR(--(INDEX('Reguler Class Availability'!$G:$G,AR70)&amp;""),0)=IFERROR(--(INDEX('Reguler Class Availability'!$F:$F,AR70)&amp;""),0),"Penuh",IF(IFERROR(--(INDEX('Reguler Class Availability'!$G:$G,AR70)&amp;""),0)=0,IF(INDEX('Reguler Class Availability'!$B:$B,AR70)&amp;""="","Kosong","Belum terisi"),IF(IFERROR(--(INDEX('Reguler Class Availability'!$G:$G,AR70)&amp;""),0)/IFERROR(--(INDEX('Reguler Class Availability'!$F:$F,AR70)&amp;""),0)&gt;=0.6,"Tinggi","Sebagian"))))))</f>
        <v>Belum terisi</v>
      </c>
      <c r="BA70" s="0" t="str">
        <f aca="false">IF(AS70="","",IF(AND(IFERROR(--(INDEX('Reguler Class Availability'!$F:$F,AS70)&amp;""),0)=0,IFERROR(--(INDEX('Reguler Class Availability'!$G:$G,AS70)&amp;""),0)=0),IF(OR(INDEX('Reguler Class Availability'!$B:$B,AS70)&amp;""&lt;&gt;"",INDEX('Reguler Class Availability'!$I:$I,AS70)&amp;""&lt;&gt;""),"Tutup","Tidak dibuka"),IF(IFERROR(--(INDEX('Reguler Class Availability'!$G:$G,AS70)&amp;""),0)&gt;IFERROR(--(INDEX('Reguler Class Availability'!$F:$F,AS70)&amp;""),0),"Lebih",IF(IFERROR(--(INDEX('Reguler Class Availability'!$G:$G,AS70)&amp;""),0)=IFERROR(--(INDEX('Reguler Class Availability'!$F:$F,AS70)&amp;""),0),"Penuh",IF(IFERROR(--(INDEX('Reguler Class Availability'!$G:$G,AS70)&amp;""),0)=0,IF(INDEX('Reguler Class Availability'!$B:$B,AS70)&amp;""="","Kosong","Belum terisi"),IF(IFERROR(--(INDEX('Reguler Class Availability'!$G:$G,AS70)&amp;""),0)/IFERROR(--(INDEX('Reguler Class Availability'!$F:$F,AS70)&amp;""),0)&gt;=0.6,"Tinggi","Sebagian"))))))</f>
        <v>Belum terisi</v>
      </c>
      <c r="BB70" s="0" t="str">
        <f aca="false">IF(AT70="","",IF(AND(IFERROR(--(INDEX('Reguler Class Availability'!$F:$F,AT70)&amp;""),0)=0,IFERROR(--(INDEX('Reguler Class Availability'!$G:$G,AT70)&amp;""),0)=0),IF(OR(INDEX('Reguler Class Availability'!$B:$B,AT70)&amp;""&lt;&gt;"",INDEX('Reguler Class Availability'!$I:$I,AT70)&amp;""&lt;&gt;""),"Tutup","Tidak dibuka"),IF(IFERROR(--(INDEX('Reguler Class Availability'!$G:$G,AT70)&amp;""),0)&gt;IFERROR(--(INDEX('Reguler Class Availability'!$F:$F,AT70)&amp;""),0),"Lebih",IF(IFERROR(--(INDEX('Reguler Class Availability'!$G:$G,AT70)&amp;""),0)=IFERROR(--(INDEX('Reguler Class Availability'!$F:$F,AT70)&amp;""),0),"Penuh",IF(IFERROR(--(INDEX('Reguler Class Availability'!$G:$G,AT70)&amp;""),0)=0,IF(INDEX('Reguler Class Availability'!$B:$B,AT70)&amp;""="","Kosong","Belum terisi"),IF(IFERROR(--(INDEX('Reguler Class Availability'!$G:$G,AT70)&amp;""),0)/IFERROR(--(INDEX('Reguler Class Availability'!$F:$F,AT70)&amp;""),0)&gt;=0.6,"Tinggi","Sebagian"))))))</f>
        <v>Belum terisi</v>
      </c>
      <c r="BD70" s="30" t="s">
        <v>105</v>
      </c>
      <c r="BE70" s="30" t="n">
        <f aca="false">IF(COUNTIFS('Reguler Class Availability'!$L:$L,$B$4&amp;"|- Lane 2 - *|"&amp;BD70)&gt;0,1,0)</f>
        <v>1</v>
      </c>
      <c r="BF70" s="30" t="n">
        <f aca="false">BE70+BF69</f>
        <v>1</v>
      </c>
    </row>
    <row r="71" customFormat="false" ht="39.75" hidden="false" customHeight="true" outlineLevel="0" collapsed="false">
      <c r="A71" s="66" t="str">
        <f aca="false">IFERROR(INDEX($BD$182:$BD$241,MATCH(2,$BF$182:$BF$241,0)),"")</f>
        <v>09:00</v>
      </c>
      <c r="B71" s="67" t="str">
        <f aca="false">IF(AN71="","",IF(AV71="Tidak dibuka","–",IF(INDEX('Reguler Class Availability'!$B:$B,AN71)&amp;""="","Kosong",PROPER(INDEX('Reguler Class Availability'!$B:$B,AN71)&amp;""))&amp;"  "&amp;IFERROR(--(INDEX('Reguler Class Availability'!$G:$G,AN71)&amp;""),0)&amp;"/"&amp;IFERROR(--(INDEX('Reguler Class Availability'!$F:$F,AN71)&amp;""),0)&amp;IF(IFERROR(--(INDEX('Reguler Class Availability'!$F:$F,AN71)&amp;""),0)&gt;0,"  ("&amp;TEXT(IFERROR(--(INDEX('Reguler Class Availability'!$G:$G,AN71)&amp;""),0)/IFERROR(--(INDEX('Reguler Class Availability'!$F:$F,AN71)&amp;""),0),"0%")&amp;")","")&amp;CHAR(10)&amp;IF(INDEX('Reguler Class Availability'!$I:$I,AN71)&amp;""="","coach: –",PROPER(INDEX('Reguler Class Availability'!$I:$I,AN71)&amp;""))&amp;IF(INDEX('Reguler Class Availability'!$J:$J,AN71)&amp;""="","",CHAR(10)&amp;"asst: "&amp;PROPER(INDEX('Reguler Class Availability'!$J:$J,AN71)&amp;""))))</f>
        <v>Kids  0/4  (0%)
coach: –</v>
      </c>
      <c r="C71" s="67" t="str">
        <f aca="false">IF(AO71="","",IF(AW71="Tidak dibuka","–",IF(INDEX('Reguler Class Availability'!$B:$B,AO71)&amp;""="","Kosong",PROPER(INDEX('Reguler Class Availability'!$B:$B,AO71)&amp;""))&amp;"  "&amp;IFERROR(--(INDEX('Reguler Class Availability'!$G:$G,AO71)&amp;""),0)&amp;"/"&amp;IFERROR(--(INDEX('Reguler Class Availability'!$F:$F,AO71)&amp;""),0)&amp;IF(IFERROR(--(INDEX('Reguler Class Availability'!$F:$F,AO71)&amp;""),0)&gt;0,"  ("&amp;TEXT(IFERROR(--(INDEX('Reguler Class Availability'!$G:$G,AO71)&amp;""),0)/IFERROR(--(INDEX('Reguler Class Availability'!$F:$F,AO71)&amp;""),0),"0%")&amp;")","")&amp;CHAR(10)&amp;IF(INDEX('Reguler Class Availability'!$I:$I,AO71)&amp;""="","coach: –",PROPER(INDEX('Reguler Class Availability'!$I:$I,AO71)&amp;""))&amp;IF(INDEX('Reguler Class Availability'!$J:$J,AO71)&amp;""="","",CHAR(10)&amp;"asst: "&amp;PROPER(INDEX('Reguler Class Availability'!$J:$J,AO71)&amp;""))))</f>
        <v>Kids  0/4  (0%)
coach: –</v>
      </c>
      <c r="D71" s="67" t="str">
        <f aca="false">IF(AP71="","",IF(AX71="Tidak dibuka","–",IF(INDEX('Reguler Class Availability'!$B:$B,AP71)&amp;""="","Kosong",PROPER(INDEX('Reguler Class Availability'!$B:$B,AP71)&amp;""))&amp;"  "&amp;IFERROR(--(INDEX('Reguler Class Availability'!$G:$G,AP71)&amp;""),0)&amp;"/"&amp;IFERROR(--(INDEX('Reguler Class Availability'!$F:$F,AP71)&amp;""),0)&amp;IF(IFERROR(--(INDEX('Reguler Class Availability'!$F:$F,AP71)&amp;""),0)&gt;0,"  ("&amp;TEXT(IFERROR(--(INDEX('Reguler Class Availability'!$G:$G,AP71)&amp;""),0)/IFERROR(--(INDEX('Reguler Class Availability'!$F:$F,AP71)&amp;""),0),"0%")&amp;")","")&amp;CHAR(10)&amp;IF(INDEX('Reguler Class Availability'!$I:$I,AP71)&amp;""="","coach: –",PROPER(INDEX('Reguler Class Availability'!$I:$I,AP71)&amp;""))&amp;IF(INDEX('Reguler Class Availability'!$J:$J,AP71)&amp;""="","",CHAR(10)&amp;"asst: "&amp;PROPER(INDEX('Reguler Class Availability'!$J:$J,AP71)&amp;""))))</f>
        <v>Kids  0/4  (0%)
coach: –</v>
      </c>
      <c r="E71" s="67" t="str">
        <f aca="false">IF(AQ71="","",IF(AY71="Tidak dibuka","–",IF(INDEX('Reguler Class Availability'!$B:$B,AQ71)&amp;""="","Kosong",PROPER(INDEX('Reguler Class Availability'!$B:$B,AQ71)&amp;""))&amp;"  "&amp;IFERROR(--(INDEX('Reguler Class Availability'!$G:$G,AQ71)&amp;""),0)&amp;"/"&amp;IFERROR(--(INDEX('Reguler Class Availability'!$F:$F,AQ71)&amp;""),0)&amp;IF(IFERROR(--(INDEX('Reguler Class Availability'!$F:$F,AQ71)&amp;""),0)&gt;0,"  ("&amp;TEXT(IFERROR(--(INDEX('Reguler Class Availability'!$G:$G,AQ71)&amp;""),0)/IFERROR(--(INDEX('Reguler Class Availability'!$F:$F,AQ71)&amp;""),0),"0%")&amp;")","")&amp;CHAR(10)&amp;IF(INDEX('Reguler Class Availability'!$I:$I,AQ71)&amp;""="","coach: –",PROPER(INDEX('Reguler Class Availability'!$I:$I,AQ71)&amp;""))&amp;IF(INDEX('Reguler Class Availability'!$J:$J,AQ71)&amp;""="","",CHAR(10)&amp;"asst: "&amp;PROPER(INDEX('Reguler Class Availability'!$J:$J,AQ71)&amp;""))))</f>
        <v>Kids  0/4  (0%)
coach: –</v>
      </c>
      <c r="F71" s="67" t="str">
        <f aca="false">IF(AR71="","",IF(AZ71="Tidak dibuka","–",IF(INDEX('Reguler Class Availability'!$B:$B,AR71)&amp;""="","Kosong",PROPER(INDEX('Reguler Class Availability'!$B:$B,AR71)&amp;""))&amp;"  "&amp;IFERROR(--(INDEX('Reguler Class Availability'!$G:$G,AR71)&amp;""),0)&amp;"/"&amp;IFERROR(--(INDEX('Reguler Class Availability'!$F:$F,AR71)&amp;""),0)&amp;IF(IFERROR(--(INDEX('Reguler Class Availability'!$F:$F,AR71)&amp;""),0)&gt;0,"  ("&amp;TEXT(IFERROR(--(INDEX('Reguler Class Availability'!$G:$G,AR71)&amp;""),0)/IFERROR(--(INDEX('Reguler Class Availability'!$F:$F,AR71)&amp;""),0),"0%")&amp;")","")&amp;CHAR(10)&amp;IF(INDEX('Reguler Class Availability'!$I:$I,AR71)&amp;""="","coach: –",PROPER(INDEX('Reguler Class Availability'!$I:$I,AR71)&amp;""))&amp;IF(INDEX('Reguler Class Availability'!$J:$J,AR71)&amp;""="","",CHAR(10)&amp;"asst: "&amp;PROPER(INDEX('Reguler Class Availability'!$J:$J,AR71)&amp;""))))</f>
        <v>Kids  0/4  (0%)
coach: –</v>
      </c>
      <c r="G71" s="67" t="str">
        <f aca="false">IF(AS71="","",IF(BA71="Tidak dibuka","–",IF(INDEX('Reguler Class Availability'!$B:$B,AS71)&amp;""="","Kosong",PROPER(INDEX('Reguler Class Availability'!$B:$B,AS71)&amp;""))&amp;"  "&amp;IFERROR(--(INDEX('Reguler Class Availability'!$G:$G,AS71)&amp;""),0)&amp;"/"&amp;IFERROR(--(INDEX('Reguler Class Availability'!$F:$F,AS71)&amp;""),0)&amp;IF(IFERROR(--(INDEX('Reguler Class Availability'!$F:$F,AS71)&amp;""),0)&gt;0,"  ("&amp;TEXT(IFERROR(--(INDEX('Reguler Class Availability'!$G:$G,AS71)&amp;""),0)/IFERROR(--(INDEX('Reguler Class Availability'!$F:$F,AS71)&amp;""),0),"0%")&amp;")","")&amp;CHAR(10)&amp;IF(INDEX('Reguler Class Availability'!$I:$I,AS71)&amp;""="","coach: –",PROPER(INDEX('Reguler Class Availability'!$I:$I,AS71)&amp;""))&amp;IF(INDEX('Reguler Class Availability'!$J:$J,AS71)&amp;""="","",CHAR(10)&amp;"asst: "&amp;PROPER(INDEX('Reguler Class Availability'!$J:$J,AS71)&amp;""))))</f>
        <v>Kids  4/4  (100%)
Angga</v>
      </c>
      <c r="H71" s="67" t="str">
        <f aca="false">IF(AT71="","",IF(BB71="Tidak dibuka","–",IF(INDEX('Reguler Class Availability'!$B:$B,AT71)&amp;""="","Kosong",PROPER(INDEX('Reguler Class Availability'!$B:$B,AT71)&amp;""))&amp;"  "&amp;IFERROR(--(INDEX('Reguler Class Availability'!$G:$G,AT71)&amp;""),0)&amp;"/"&amp;IFERROR(--(INDEX('Reguler Class Availability'!$F:$F,AT71)&amp;""),0)&amp;IF(IFERROR(--(INDEX('Reguler Class Availability'!$F:$F,AT71)&amp;""),0)&gt;0,"  ("&amp;TEXT(IFERROR(--(INDEX('Reguler Class Availability'!$G:$G,AT71)&amp;""),0)/IFERROR(--(INDEX('Reguler Class Availability'!$F:$F,AT71)&amp;""),0),"0%")&amp;")","")&amp;CHAR(10)&amp;IF(INDEX('Reguler Class Availability'!$I:$I,AT71)&amp;""="","coach: –",PROPER(INDEX('Reguler Class Availability'!$I:$I,AT71)&amp;""))&amp;IF(INDEX('Reguler Class Availability'!$J:$J,AT71)&amp;""="","",CHAR(10)&amp;"asst: "&amp;PROPER(INDEX('Reguler Class Availability'!$J:$J,AT71)&amp;""))))</f>
        <v>Kids  2/4  (50%)
Angga</v>
      </c>
      <c r="AN71" s="30" t="n">
        <f aca="false">IF($A71="","",IFERROR(MATCH($B$4&amp;"|- Lane 4 - "&amp;B$69&amp;"|"&amp;$A71,'Reguler Class Availability'!$L:$L,0),""))</f>
        <v>2677</v>
      </c>
      <c r="AO71" s="30" t="n">
        <f aca="false">IF($A71="","",IFERROR(MATCH($B$4&amp;"|- Lane 4 - "&amp;C$69&amp;"|"&amp;$A71,'Reguler Class Availability'!$L:$L,0),""))</f>
        <v>2689</v>
      </c>
      <c r="AP71" s="30" t="n">
        <f aca="false">IF($A71="","",IFERROR(MATCH($B$4&amp;"|- Lane 4 - "&amp;D$69&amp;"|"&amp;$A71,'Reguler Class Availability'!$L:$L,0),""))</f>
        <v>2701</v>
      </c>
      <c r="AQ71" s="30" t="n">
        <f aca="false">IF($A71="","",IFERROR(MATCH($B$4&amp;"|- Lane 4 - "&amp;E$69&amp;"|"&amp;$A71,'Reguler Class Availability'!$L:$L,0),""))</f>
        <v>2713</v>
      </c>
      <c r="AR71" s="30" t="n">
        <f aca="false">IF($A71="","",IFERROR(MATCH($B$4&amp;"|- Lane 4 - "&amp;F$69&amp;"|"&amp;$A71,'Reguler Class Availability'!$L:$L,0),""))</f>
        <v>2725</v>
      </c>
      <c r="AS71" s="30" t="n">
        <f aca="false">IF($A71="","",IFERROR(MATCH($B$4&amp;"|- Lane 4 - "&amp;G$69&amp;"|"&amp;$A71,'Reguler Class Availability'!$L:$L,0),""))</f>
        <v>2737</v>
      </c>
      <c r="AT71" s="30" t="n">
        <f aca="false">IF($A71="","",IFERROR(MATCH($B$4&amp;"|- Lane 4 - "&amp;H$69&amp;"|"&amp;$A71,'Reguler Class Availability'!$L:$L,0),""))</f>
        <v>2749</v>
      </c>
      <c r="AV71" s="0" t="str">
        <f aca="false">IF(AN71="","",IF(AND(IFERROR(--(INDEX('Reguler Class Availability'!$F:$F,AN71)&amp;""),0)=0,IFERROR(--(INDEX('Reguler Class Availability'!$G:$G,AN71)&amp;""),0)=0),IF(OR(INDEX('Reguler Class Availability'!$B:$B,AN71)&amp;""&lt;&gt;"",INDEX('Reguler Class Availability'!$I:$I,AN71)&amp;""&lt;&gt;""),"Tutup","Tidak dibuka"),IF(IFERROR(--(INDEX('Reguler Class Availability'!$G:$G,AN71)&amp;""),0)&gt;IFERROR(--(INDEX('Reguler Class Availability'!$F:$F,AN71)&amp;""),0),"Lebih",IF(IFERROR(--(INDEX('Reguler Class Availability'!$G:$G,AN71)&amp;""),0)=IFERROR(--(INDEX('Reguler Class Availability'!$F:$F,AN71)&amp;""),0),"Penuh",IF(IFERROR(--(INDEX('Reguler Class Availability'!$G:$G,AN71)&amp;""),0)=0,IF(INDEX('Reguler Class Availability'!$B:$B,AN71)&amp;""="","Kosong","Belum terisi"),IF(IFERROR(--(INDEX('Reguler Class Availability'!$G:$G,AN71)&amp;""),0)/IFERROR(--(INDEX('Reguler Class Availability'!$F:$F,AN71)&amp;""),0)&gt;=0.6,"Tinggi","Sebagian"))))))</f>
        <v>Belum terisi</v>
      </c>
      <c r="AW71" s="0" t="str">
        <f aca="false">IF(AO71="","",IF(AND(IFERROR(--(INDEX('Reguler Class Availability'!$F:$F,AO71)&amp;""),0)=0,IFERROR(--(INDEX('Reguler Class Availability'!$G:$G,AO71)&amp;""),0)=0),IF(OR(INDEX('Reguler Class Availability'!$B:$B,AO71)&amp;""&lt;&gt;"",INDEX('Reguler Class Availability'!$I:$I,AO71)&amp;""&lt;&gt;""),"Tutup","Tidak dibuka"),IF(IFERROR(--(INDEX('Reguler Class Availability'!$G:$G,AO71)&amp;""),0)&gt;IFERROR(--(INDEX('Reguler Class Availability'!$F:$F,AO71)&amp;""),0),"Lebih",IF(IFERROR(--(INDEX('Reguler Class Availability'!$G:$G,AO71)&amp;""),0)=IFERROR(--(INDEX('Reguler Class Availability'!$F:$F,AO71)&amp;""),0),"Penuh",IF(IFERROR(--(INDEX('Reguler Class Availability'!$G:$G,AO71)&amp;""),0)=0,IF(INDEX('Reguler Class Availability'!$B:$B,AO71)&amp;""="","Kosong","Belum terisi"),IF(IFERROR(--(INDEX('Reguler Class Availability'!$G:$G,AO71)&amp;""),0)/IFERROR(--(INDEX('Reguler Class Availability'!$F:$F,AO71)&amp;""),0)&gt;=0.6,"Tinggi","Sebagian"))))))</f>
        <v>Belum terisi</v>
      </c>
      <c r="AX71" s="0" t="str">
        <f aca="false">IF(AP71="","",IF(AND(IFERROR(--(INDEX('Reguler Class Availability'!$F:$F,AP71)&amp;""),0)=0,IFERROR(--(INDEX('Reguler Class Availability'!$G:$G,AP71)&amp;""),0)=0),IF(OR(INDEX('Reguler Class Availability'!$B:$B,AP71)&amp;""&lt;&gt;"",INDEX('Reguler Class Availability'!$I:$I,AP71)&amp;""&lt;&gt;""),"Tutup","Tidak dibuka"),IF(IFERROR(--(INDEX('Reguler Class Availability'!$G:$G,AP71)&amp;""),0)&gt;IFERROR(--(INDEX('Reguler Class Availability'!$F:$F,AP71)&amp;""),0),"Lebih",IF(IFERROR(--(INDEX('Reguler Class Availability'!$G:$G,AP71)&amp;""),0)=IFERROR(--(INDEX('Reguler Class Availability'!$F:$F,AP71)&amp;""),0),"Penuh",IF(IFERROR(--(INDEX('Reguler Class Availability'!$G:$G,AP71)&amp;""),0)=0,IF(INDEX('Reguler Class Availability'!$B:$B,AP71)&amp;""="","Kosong","Belum terisi"),IF(IFERROR(--(INDEX('Reguler Class Availability'!$G:$G,AP71)&amp;""),0)/IFERROR(--(INDEX('Reguler Class Availability'!$F:$F,AP71)&amp;""),0)&gt;=0.6,"Tinggi","Sebagian"))))))</f>
        <v>Belum terisi</v>
      </c>
      <c r="AY71" s="0" t="str">
        <f aca="false">IF(AQ71="","",IF(AND(IFERROR(--(INDEX('Reguler Class Availability'!$F:$F,AQ71)&amp;""),0)=0,IFERROR(--(INDEX('Reguler Class Availability'!$G:$G,AQ71)&amp;""),0)=0),IF(OR(INDEX('Reguler Class Availability'!$B:$B,AQ71)&amp;""&lt;&gt;"",INDEX('Reguler Class Availability'!$I:$I,AQ71)&amp;""&lt;&gt;""),"Tutup","Tidak dibuka"),IF(IFERROR(--(INDEX('Reguler Class Availability'!$G:$G,AQ71)&amp;""),0)&gt;IFERROR(--(INDEX('Reguler Class Availability'!$F:$F,AQ71)&amp;""),0),"Lebih",IF(IFERROR(--(INDEX('Reguler Class Availability'!$G:$G,AQ71)&amp;""),0)=IFERROR(--(INDEX('Reguler Class Availability'!$F:$F,AQ71)&amp;""),0),"Penuh",IF(IFERROR(--(INDEX('Reguler Class Availability'!$G:$G,AQ71)&amp;""),0)=0,IF(INDEX('Reguler Class Availability'!$B:$B,AQ71)&amp;""="","Kosong","Belum terisi"),IF(IFERROR(--(INDEX('Reguler Class Availability'!$G:$G,AQ71)&amp;""),0)/IFERROR(--(INDEX('Reguler Class Availability'!$F:$F,AQ71)&amp;""),0)&gt;=0.6,"Tinggi","Sebagian"))))))</f>
        <v>Belum terisi</v>
      </c>
      <c r="AZ71" s="0" t="str">
        <f aca="false">IF(AR71="","",IF(AND(IFERROR(--(INDEX('Reguler Class Availability'!$F:$F,AR71)&amp;""),0)=0,IFERROR(--(INDEX('Reguler Class Availability'!$G:$G,AR71)&amp;""),0)=0),IF(OR(INDEX('Reguler Class Availability'!$B:$B,AR71)&amp;""&lt;&gt;"",INDEX('Reguler Class Availability'!$I:$I,AR71)&amp;""&lt;&gt;""),"Tutup","Tidak dibuka"),IF(IFERROR(--(INDEX('Reguler Class Availability'!$G:$G,AR71)&amp;""),0)&gt;IFERROR(--(INDEX('Reguler Class Availability'!$F:$F,AR71)&amp;""),0),"Lebih",IF(IFERROR(--(INDEX('Reguler Class Availability'!$G:$G,AR71)&amp;""),0)=IFERROR(--(INDEX('Reguler Class Availability'!$F:$F,AR71)&amp;""),0),"Penuh",IF(IFERROR(--(INDEX('Reguler Class Availability'!$G:$G,AR71)&amp;""),0)=0,IF(INDEX('Reguler Class Availability'!$B:$B,AR71)&amp;""="","Kosong","Belum terisi"),IF(IFERROR(--(INDEX('Reguler Class Availability'!$G:$G,AR71)&amp;""),0)/IFERROR(--(INDEX('Reguler Class Availability'!$F:$F,AR71)&amp;""),0)&gt;=0.6,"Tinggi","Sebagian"))))))</f>
        <v>Belum terisi</v>
      </c>
      <c r="BA71" s="0" t="str">
        <f aca="false">IF(AS71="","",IF(AND(IFERROR(--(INDEX('Reguler Class Availability'!$F:$F,AS71)&amp;""),0)=0,IFERROR(--(INDEX('Reguler Class Availability'!$G:$G,AS71)&amp;""),0)=0),IF(OR(INDEX('Reguler Class Availability'!$B:$B,AS71)&amp;""&lt;&gt;"",INDEX('Reguler Class Availability'!$I:$I,AS71)&amp;""&lt;&gt;""),"Tutup","Tidak dibuka"),IF(IFERROR(--(INDEX('Reguler Class Availability'!$G:$G,AS71)&amp;""),0)&gt;IFERROR(--(INDEX('Reguler Class Availability'!$F:$F,AS71)&amp;""),0),"Lebih",IF(IFERROR(--(INDEX('Reguler Class Availability'!$G:$G,AS71)&amp;""),0)=IFERROR(--(INDEX('Reguler Class Availability'!$F:$F,AS71)&amp;""),0),"Penuh",IF(IFERROR(--(INDEX('Reguler Class Availability'!$G:$G,AS71)&amp;""),0)=0,IF(INDEX('Reguler Class Availability'!$B:$B,AS71)&amp;""="","Kosong","Belum terisi"),IF(IFERROR(--(INDEX('Reguler Class Availability'!$G:$G,AS71)&amp;""),0)/IFERROR(--(INDEX('Reguler Class Availability'!$F:$F,AS71)&amp;""),0)&gt;=0.6,"Tinggi","Sebagian"))))))</f>
        <v>Penuh</v>
      </c>
      <c r="BB71" s="0" t="str">
        <f aca="false">IF(AT71="","",IF(AND(IFERROR(--(INDEX('Reguler Class Availability'!$F:$F,AT71)&amp;""),0)=0,IFERROR(--(INDEX('Reguler Class Availability'!$G:$G,AT71)&amp;""),0)=0),IF(OR(INDEX('Reguler Class Availability'!$B:$B,AT71)&amp;""&lt;&gt;"",INDEX('Reguler Class Availability'!$I:$I,AT71)&amp;""&lt;&gt;""),"Tutup","Tidak dibuka"),IF(IFERROR(--(INDEX('Reguler Class Availability'!$G:$G,AT71)&amp;""),0)&gt;IFERROR(--(INDEX('Reguler Class Availability'!$F:$F,AT71)&amp;""),0),"Lebih",IF(IFERROR(--(INDEX('Reguler Class Availability'!$G:$G,AT71)&amp;""),0)=IFERROR(--(INDEX('Reguler Class Availability'!$F:$F,AT71)&amp;""),0),"Penuh",IF(IFERROR(--(INDEX('Reguler Class Availability'!$G:$G,AT71)&amp;""),0)=0,IF(INDEX('Reguler Class Availability'!$B:$B,AT71)&amp;""="","Kosong","Belum terisi"),IF(IFERROR(--(INDEX('Reguler Class Availability'!$G:$G,AT71)&amp;""),0)/IFERROR(--(INDEX('Reguler Class Availability'!$F:$F,AT71)&amp;""),0)&gt;=0.6,"Tinggi","Sebagian"))))))</f>
        <v>Sebagian</v>
      </c>
      <c r="BD71" s="30" t="s">
        <v>110</v>
      </c>
      <c r="BE71" s="30" t="n">
        <f aca="false">IF(COUNTIFS('Reguler Class Availability'!$L:$L,$B$4&amp;"|- Lane 2 - *|"&amp;BD71)&gt;0,1,0)</f>
        <v>0</v>
      </c>
      <c r="BF71" s="30" t="n">
        <f aca="false">BE71+BF70</f>
        <v>1</v>
      </c>
    </row>
    <row r="72" customFormat="false" ht="39.75" hidden="false" customHeight="true" outlineLevel="0" collapsed="false">
      <c r="A72" s="66" t="str">
        <f aca="false">IFERROR(INDEX($BD$182:$BD$241,MATCH(3,$BF$182:$BF$241,0)),"")</f>
        <v>09:45</v>
      </c>
      <c r="B72" s="67" t="str">
        <f aca="false">IF(AN72="","",IF(AV72="Tidak dibuka","–",IF(INDEX('Reguler Class Availability'!$B:$B,AN72)&amp;""="","Kosong",PROPER(INDEX('Reguler Class Availability'!$B:$B,AN72)&amp;""))&amp;"  "&amp;IFERROR(--(INDEX('Reguler Class Availability'!$G:$G,AN72)&amp;""),0)&amp;"/"&amp;IFERROR(--(INDEX('Reguler Class Availability'!$F:$F,AN72)&amp;""),0)&amp;IF(IFERROR(--(INDEX('Reguler Class Availability'!$F:$F,AN72)&amp;""),0)&gt;0,"  ("&amp;TEXT(IFERROR(--(INDEX('Reguler Class Availability'!$G:$G,AN72)&amp;""),0)/IFERROR(--(INDEX('Reguler Class Availability'!$F:$F,AN72)&amp;""),0),"0%")&amp;")","")&amp;CHAR(10)&amp;IF(INDEX('Reguler Class Availability'!$I:$I,AN72)&amp;""="","coach: –",PROPER(INDEX('Reguler Class Availability'!$I:$I,AN72)&amp;""))&amp;IF(INDEX('Reguler Class Availability'!$J:$J,AN72)&amp;""="","",CHAR(10)&amp;"asst: "&amp;PROPER(INDEX('Reguler Class Availability'!$J:$J,AN72)&amp;""))))</f>
        <v>Kids  0/4  (0%)
coach: –</v>
      </c>
      <c r="C72" s="67" t="str">
        <f aca="false">IF(AO72="","",IF(AW72="Tidak dibuka","–",IF(INDEX('Reguler Class Availability'!$B:$B,AO72)&amp;""="","Kosong",PROPER(INDEX('Reguler Class Availability'!$B:$B,AO72)&amp;""))&amp;"  "&amp;IFERROR(--(INDEX('Reguler Class Availability'!$G:$G,AO72)&amp;""),0)&amp;"/"&amp;IFERROR(--(INDEX('Reguler Class Availability'!$F:$F,AO72)&amp;""),0)&amp;IF(IFERROR(--(INDEX('Reguler Class Availability'!$F:$F,AO72)&amp;""),0)&gt;0,"  ("&amp;TEXT(IFERROR(--(INDEX('Reguler Class Availability'!$G:$G,AO72)&amp;""),0)/IFERROR(--(INDEX('Reguler Class Availability'!$F:$F,AO72)&amp;""),0),"0%")&amp;")","")&amp;CHAR(10)&amp;IF(INDEX('Reguler Class Availability'!$I:$I,AO72)&amp;""="","coach: –",PROPER(INDEX('Reguler Class Availability'!$I:$I,AO72)&amp;""))&amp;IF(INDEX('Reguler Class Availability'!$J:$J,AO72)&amp;""="","",CHAR(10)&amp;"asst: "&amp;PROPER(INDEX('Reguler Class Availability'!$J:$J,AO72)&amp;""))))</f>
        <v>Kids  0/4  (0%)
coach: –</v>
      </c>
      <c r="D72" s="67" t="str">
        <f aca="false">IF(AP72="","",IF(AX72="Tidak dibuka","–",IF(INDEX('Reguler Class Availability'!$B:$B,AP72)&amp;""="","Kosong",PROPER(INDEX('Reguler Class Availability'!$B:$B,AP72)&amp;""))&amp;"  "&amp;IFERROR(--(INDEX('Reguler Class Availability'!$G:$G,AP72)&amp;""),0)&amp;"/"&amp;IFERROR(--(INDEX('Reguler Class Availability'!$F:$F,AP72)&amp;""),0)&amp;IF(IFERROR(--(INDEX('Reguler Class Availability'!$F:$F,AP72)&amp;""),0)&gt;0,"  ("&amp;TEXT(IFERROR(--(INDEX('Reguler Class Availability'!$G:$G,AP72)&amp;""),0)/IFERROR(--(INDEX('Reguler Class Availability'!$F:$F,AP72)&amp;""),0),"0%")&amp;")","")&amp;CHAR(10)&amp;IF(INDEX('Reguler Class Availability'!$I:$I,AP72)&amp;""="","coach: –",PROPER(INDEX('Reguler Class Availability'!$I:$I,AP72)&amp;""))&amp;IF(INDEX('Reguler Class Availability'!$J:$J,AP72)&amp;""="","",CHAR(10)&amp;"asst: "&amp;PROPER(INDEX('Reguler Class Availability'!$J:$J,AP72)&amp;""))))</f>
        <v>Kids  0/4  (0%)
coach: –</v>
      </c>
      <c r="E72" s="67" t="str">
        <f aca="false">IF(AQ72="","",IF(AY72="Tidak dibuka","–",IF(INDEX('Reguler Class Availability'!$B:$B,AQ72)&amp;""="","Kosong",PROPER(INDEX('Reguler Class Availability'!$B:$B,AQ72)&amp;""))&amp;"  "&amp;IFERROR(--(INDEX('Reguler Class Availability'!$G:$G,AQ72)&amp;""),0)&amp;"/"&amp;IFERROR(--(INDEX('Reguler Class Availability'!$F:$F,AQ72)&amp;""),0)&amp;IF(IFERROR(--(INDEX('Reguler Class Availability'!$F:$F,AQ72)&amp;""),0)&gt;0,"  ("&amp;TEXT(IFERROR(--(INDEX('Reguler Class Availability'!$G:$G,AQ72)&amp;""),0)/IFERROR(--(INDEX('Reguler Class Availability'!$F:$F,AQ72)&amp;""),0),"0%")&amp;")","")&amp;CHAR(10)&amp;IF(INDEX('Reguler Class Availability'!$I:$I,AQ72)&amp;""="","coach: –",PROPER(INDEX('Reguler Class Availability'!$I:$I,AQ72)&amp;""))&amp;IF(INDEX('Reguler Class Availability'!$J:$J,AQ72)&amp;""="","",CHAR(10)&amp;"asst: "&amp;PROPER(INDEX('Reguler Class Availability'!$J:$J,AQ72)&amp;""))))</f>
        <v>Kids  0/4  (0%)
coach: –</v>
      </c>
      <c r="F72" s="67" t="str">
        <f aca="false">IF(AR72="","",IF(AZ72="Tidak dibuka","–",IF(INDEX('Reguler Class Availability'!$B:$B,AR72)&amp;""="","Kosong",PROPER(INDEX('Reguler Class Availability'!$B:$B,AR72)&amp;""))&amp;"  "&amp;IFERROR(--(INDEX('Reguler Class Availability'!$G:$G,AR72)&amp;""),0)&amp;"/"&amp;IFERROR(--(INDEX('Reguler Class Availability'!$F:$F,AR72)&amp;""),0)&amp;IF(IFERROR(--(INDEX('Reguler Class Availability'!$F:$F,AR72)&amp;""),0)&gt;0,"  ("&amp;TEXT(IFERROR(--(INDEX('Reguler Class Availability'!$G:$G,AR72)&amp;""),0)/IFERROR(--(INDEX('Reguler Class Availability'!$F:$F,AR72)&amp;""),0),"0%")&amp;")","")&amp;CHAR(10)&amp;IF(INDEX('Reguler Class Availability'!$I:$I,AR72)&amp;""="","coach: –",PROPER(INDEX('Reguler Class Availability'!$I:$I,AR72)&amp;""))&amp;IF(INDEX('Reguler Class Availability'!$J:$J,AR72)&amp;""="","",CHAR(10)&amp;"asst: "&amp;PROPER(INDEX('Reguler Class Availability'!$J:$J,AR72)&amp;""))))</f>
        <v>Kids  0/4  (0%)
coach: –</v>
      </c>
      <c r="G72" s="67" t="str">
        <f aca="false">IF(AS72="","",IF(BA72="Tidak dibuka","–",IF(INDEX('Reguler Class Availability'!$B:$B,AS72)&amp;""="","Kosong",PROPER(INDEX('Reguler Class Availability'!$B:$B,AS72)&amp;""))&amp;"  "&amp;IFERROR(--(INDEX('Reguler Class Availability'!$G:$G,AS72)&amp;""),0)&amp;"/"&amp;IFERROR(--(INDEX('Reguler Class Availability'!$F:$F,AS72)&amp;""),0)&amp;IF(IFERROR(--(INDEX('Reguler Class Availability'!$F:$F,AS72)&amp;""),0)&gt;0,"  ("&amp;TEXT(IFERROR(--(INDEX('Reguler Class Availability'!$G:$G,AS72)&amp;""),0)/IFERROR(--(INDEX('Reguler Class Availability'!$F:$F,AS72)&amp;""),0),"0%")&amp;")","")&amp;CHAR(10)&amp;IF(INDEX('Reguler Class Availability'!$I:$I,AS72)&amp;""="","coach: –",PROPER(INDEX('Reguler Class Availability'!$I:$I,AS72)&amp;""))&amp;IF(INDEX('Reguler Class Availability'!$J:$J,AS72)&amp;""="","",CHAR(10)&amp;"asst: "&amp;PROPER(INDEX('Reguler Class Availability'!$J:$J,AS72)&amp;""))))</f>
        <v>Kids  1/4  (25%)
Juan</v>
      </c>
      <c r="H72" s="67" t="str">
        <f aca="false">IF(AT72="","",IF(BB72="Tidak dibuka","–",IF(INDEX('Reguler Class Availability'!$B:$B,AT72)&amp;""="","Kosong",PROPER(INDEX('Reguler Class Availability'!$B:$B,AT72)&amp;""))&amp;"  "&amp;IFERROR(--(INDEX('Reguler Class Availability'!$G:$G,AT72)&amp;""),0)&amp;"/"&amp;IFERROR(--(INDEX('Reguler Class Availability'!$F:$F,AT72)&amp;""),0)&amp;IF(IFERROR(--(INDEX('Reguler Class Availability'!$F:$F,AT72)&amp;""),0)&gt;0,"  ("&amp;TEXT(IFERROR(--(INDEX('Reguler Class Availability'!$G:$G,AT72)&amp;""),0)/IFERROR(--(INDEX('Reguler Class Availability'!$F:$F,AT72)&amp;""),0),"0%")&amp;")","")&amp;CHAR(10)&amp;IF(INDEX('Reguler Class Availability'!$I:$I,AT72)&amp;""="","coach: –",PROPER(INDEX('Reguler Class Availability'!$I:$I,AT72)&amp;""))&amp;IF(INDEX('Reguler Class Availability'!$J:$J,AT72)&amp;""="","",CHAR(10)&amp;"asst: "&amp;PROPER(INDEX('Reguler Class Availability'!$J:$J,AT72)&amp;""))))</f>
        <v>Kids  0/4  (0%)
coach: –</v>
      </c>
      <c r="AN72" s="30" t="n">
        <f aca="false">IF($A72="","",IFERROR(MATCH($B$4&amp;"|- Lane 4 - "&amp;B$69&amp;"|"&amp;$A72,'Reguler Class Availability'!$L:$L,0),""))</f>
        <v>2678</v>
      </c>
      <c r="AO72" s="30" t="n">
        <f aca="false">IF($A72="","",IFERROR(MATCH($B$4&amp;"|- Lane 4 - "&amp;C$69&amp;"|"&amp;$A72,'Reguler Class Availability'!$L:$L,0),""))</f>
        <v>2690</v>
      </c>
      <c r="AP72" s="30" t="n">
        <f aca="false">IF($A72="","",IFERROR(MATCH($B$4&amp;"|- Lane 4 - "&amp;D$69&amp;"|"&amp;$A72,'Reguler Class Availability'!$L:$L,0),""))</f>
        <v>2702</v>
      </c>
      <c r="AQ72" s="30" t="n">
        <f aca="false">IF($A72="","",IFERROR(MATCH($B$4&amp;"|- Lane 4 - "&amp;E$69&amp;"|"&amp;$A72,'Reguler Class Availability'!$L:$L,0),""))</f>
        <v>2714</v>
      </c>
      <c r="AR72" s="30" t="n">
        <f aca="false">IF($A72="","",IFERROR(MATCH($B$4&amp;"|- Lane 4 - "&amp;F$69&amp;"|"&amp;$A72,'Reguler Class Availability'!$L:$L,0),""))</f>
        <v>2726</v>
      </c>
      <c r="AS72" s="30" t="n">
        <f aca="false">IF($A72="","",IFERROR(MATCH($B$4&amp;"|- Lane 4 - "&amp;G$69&amp;"|"&amp;$A72,'Reguler Class Availability'!$L:$L,0),""))</f>
        <v>2738</v>
      </c>
      <c r="AT72" s="30" t="n">
        <f aca="false">IF($A72="","",IFERROR(MATCH($B$4&amp;"|- Lane 4 - "&amp;H$69&amp;"|"&amp;$A72,'Reguler Class Availability'!$L:$L,0),""))</f>
        <v>2750</v>
      </c>
      <c r="AV72" s="0" t="str">
        <f aca="false">IF(AN72="","",IF(AND(IFERROR(--(INDEX('Reguler Class Availability'!$F:$F,AN72)&amp;""),0)=0,IFERROR(--(INDEX('Reguler Class Availability'!$G:$G,AN72)&amp;""),0)=0),IF(OR(INDEX('Reguler Class Availability'!$B:$B,AN72)&amp;""&lt;&gt;"",INDEX('Reguler Class Availability'!$I:$I,AN72)&amp;""&lt;&gt;""),"Tutup","Tidak dibuka"),IF(IFERROR(--(INDEX('Reguler Class Availability'!$G:$G,AN72)&amp;""),0)&gt;IFERROR(--(INDEX('Reguler Class Availability'!$F:$F,AN72)&amp;""),0),"Lebih",IF(IFERROR(--(INDEX('Reguler Class Availability'!$G:$G,AN72)&amp;""),0)=IFERROR(--(INDEX('Reguler Class Availability'!$F:$F,AN72)&amp;""),0),"Penuh",IF(IFERROR(--(INDEX('Reguler Class Availability'!$G:$G,AN72)&amp;""),0)=0,IF(INDEX('Reguler Class Availability'!$B:$B,AN72)&amp;""="","Kosong","Belum terisi"),IF(IFERROR(--(INDEX('Reguler Class Availability'!$G:$G,AN72)&amp;""),0)/IFERROR(--(INDEX('Reguler Class Availability'!$F:$F,AN72)&amp;""),0)&gt;=0.6,"Tinggi","Sebagian"))))))</f>
        <v>Belum terisi</v>
      </c>
      <c r="AW72" s="0" t="str">
        <f aca="false">IF(AO72="","",IF(AND(IFERROR(--(INDEX('Reguler Class Availability'!$F:$F,AO72)&amp;""),0)=0,IFERROR(--(INDEX('Reguler Class Availability'!$G:$G,AO72)&amp;""),0)=0),IF(OR(INDEX('Reguler Class Availability'!$B:$B,AO72)&amp;""&lt;&gt;"",INDEX('Reguler Class Availability'!$I:$I,AO72)&amp;""&lt;&gt;""),"Tutup","Tidak dibuka"),IF(IFERROR(--(INDEX('Reguler Class Availability'!$G:$G,AO72)&amp;""),0)&gt;IFERROR(--(INDEX('Reguler Class Availability'!$F:$F,AO72)&amp;""),0),"Lebih",IF(IFERROR(--(INDEX('Reguler Class Availability'!$G:$G,AO72)&amp;""),0)=IFERROR(--(INDEX('Reguler Class Availability'!$F:$F,AO72)&amp;""),0),"Penuh",IF(IFERROR(--(INDEX('Reguler Class Availability'!$G:$G,AO72)&amp;""),0)=0,IF(INDEX('Reguler Class Availability'!$B:$B,AO72)&amp;""="","Kosong","Belum terisi"),IF(IFERROR(--(INDEX('Reguler Class Availability'!$G:$G,AO72)&amp;""),0)/IFERROR(--(INDEX('Reguler Class Availability'!$F:$F,AO72)&amp;""),0)&gt;=0.6,"Tinggi","Sebagian"))))))</f>
        <v>Belum terisi</v>
      </c>
      <c r="AX72" s="0" t="str">
        <f aca="false">IF(AP72="","",IF(AND(IFERROR(--(INDEX('Reguler Class Availability'!$F:$F,AP72)&amp;""),0)=0,IFERROR(--(INDEX('Reguler Class Availability'!$G:$G,AP72)&amp;""),0)=0),IF(OR(INDEX('Reguler Class Availability'!$B:$B,AP72)&amp;""&lt;&gt;"",INDEX('Reguler Class Availability'!$I:$I,AP72)&amp;""&lt;&gt;""),"Tutup","Tidak dibuka"),IF(IFERROR(--(INDEX('Reguler Class Availability'!$G:$G,AP72)&amp;""),0)&gt;IFERROR(--(INDEX('Reguler Class Availability'!$F:$F,AP72)&amp;""),0),"Lebih",IF(IFERROR(--(INDEX('Reguler Class Availability'!$G:$G,AP72)&amp;""),0)=IFERROR(--(INDEX('Reguler Class Availability'!$F:$F,AP72)&amp;""),0),"Penuh",IF(IFERROR(--(INDEX('Reguler Class Availability'!$G:$G,AP72)&amp;""),0)=0,IF(INDEX('Reguler Class Availability'!$B:$B,AP72)&amp;""="","Kosong","Belum terisi"),IF(IFERROR(--(INDEX('Reguler Class Availability'!$G:$G,AP72)&amp;""),0)/IFERROR(--(INDEX('Reguler Class Availability'!$F:$F,AP72)&amp;""),0)&gt;=0.6,"Tinggi","Sebagian"))))))</f>
        <v>Belum terisi</v>
      </c>
      <c r="AY72" s="0" t="str">
        <f aca="false">IF(AQ72="","",IF(AND(IFERROR(--(INDEX('Reguler Class Availability'!$F:$F,AQ72)&amp;""),0)=0,IFERROR(--(INDEX('Reguler Class Availability'!$G:$G,AQ72)&amp;""),0)=0),IF(OR(INDEX('Reguler Class Availability'!$B:$B,AQ72)&amp;""&lt;&gt;"",INDEX('Reguler Class Availability'!$I:$I,AQ72)&amp;""&lt;&gt;""),"Tutup","Tidak dibuka"),IF(IFERROR(--(INDEX('Reguler Class Availability'!$G:$G,AQ72)&amp;""),0)&gt;IFERROR(--(INDEX('Reguler Class Availability'!$F:$F,AQ72)&amp;""),0),"Lebih",IF(IFERROR(--(INDEX('Reguler Class Availability'!$G:$G,AQ72)&amp;""),0)=IFERROR(--(INDEX('Reguler Class Availability'!$F:$F,AQ72)&amp;""),0),"Penuh",IF(IFERROR(--(INDEX('Reguler Class Availability'!$G:$G,AQ72)&amp;""),0)=0,IF(INDEX('Reguler Class Availability'!$B:$B,AQ72)&amp;""="","Kosong","Belum terisi"),IF(IFERROR(--(INDEX('Reguler Class Availability'!$G:$G,AQ72)&amp;""),0)/IFERROR(--(INDEX('Reguler Class Availability'!$F:$F,AQ72)&amp;""),0)&gt;=0.6,"Tinggi","Sebagian"))))))</f>
        <v>Belum terisi</v>
      </c>
      <c r="AZ72" s="0" t="str">
        <f aca="false">IF(AR72="","",IF(AND(IFERROR(--(INDEX('Reguler Class Availability'!$F:$F,AR72)&amp;""),0)=0,IFERROR(--(INDEX('Reguler Class Availability'!$G:$G,AR72)&amp;""),0)=0),IF(OR(INDEX('Reguler Class Availability'!$B:$B,AR72)&amp;""&lt;&gt;"",INDEX('Reguler Class Availability'!$I:$I,AR72)&amp;""&lt;&gt;""),"Tutup","Tidak dibuka"),IF(IFERROR(--(INDEX('Reguler Class Availability'!$G:$G,AR72)&amp;""),0)&gt;IFERROR(--(INDEX('Reguler Class Availability'!$F:$F,AR72)&amp;""),0),"Lebih",IF(IFERROR(--(INDEX('Reguler Class Availability'!$G:$G,AR72)&amp;""),0)=IFERROR(--(INDEX('Reguler Class Availability'!$F:$F,AR72)&amp;""),0),"Penuh",IF(IFERROR(--(INDEX('Reguler Class Availability'!$G:$G,AR72)&amp;""),0)=0,IF(INDEX('Reguler Class Availability'!$B:$B,AR72)&amp;""="","Kosong","Belum terisi"),IF(IFERROR(--(INDEX('Reguler Class Availability'!$G:$G,AR72)&amp;""),0)/IFERROR(--(INDEX('Reguler Class Availability'!$F:$F,AR72)&amp;""),0)&gt;=0.6,"Tinggi","Sebagian"))))))</f>
        <v>Belum terisi</v>
      </c>
      <c r="BA72" s="0" t="str">
        <f aca="false">IF(AS72="","",IF(AND(IFERROR(--(INDEX('Reguler Class Availability'!$F:$F,AS72)&amp;""),0)=0,IFERROR(--(INDEX('Reguler Class Availability'!$G:$G,AS72)&amp;""),0)=0),IF(OR(INDEX('Reguler Class Availability'!$B:$B,AS72)&amp;""&lt;&gt;"",INDEX('Reguler Class Availability'!$I:$I,AS72)&amp;""&lt;&gt;""),"Tutup","Tidak dibuka"),IF(IFERROR(--(INDEX('Reguler Class Availability'!$G:$G,AS72)&amp;""),0)&gt;IFERROR(--(INDEX('Reguler Class Availability'!$F:$F,AS72)&amp;""),0),"Lebih",IF(IFERROR(--(INDEX('Reguler Class Availability'!$G:$G,AS72)&amp;""),0)=IFERROR(--(INDEX('Reguler Class Availability'!$F:$F,AS72)&amp;""),0),"Penuh",IF(IFERROR(--(INDEX('Reguler Class Availability'!$G:$G,AS72)&amp;""),0)=0,IF(INDEX('Reguler Class Availability'!$B:$B,AS72)&amp;""="","Kosong","Belum terisi"),IF(IFERROR(--(INDEX('Reguler Class Availability'!$G:$G,AS72)&amp;""),0)/IFERROR(--(INDEX('Reguler Class Availability'!$F:$F,AS72)&amp;""),0)&gt;=0.6,"Tinggi","Sebagian"))))))</f>
        <v>Sebagian</v>
      </c>
      <c r="BB72" s="0" t="str">
        <f aca="false">IF(AT72="","",IF(AND(IFERROR(--(INDEX('Reguler Class Availability'!$F:$F,AT72)&amp;""),0)=0,IFERROR(--(INDEX('Reguler Class Availability'!$G:$G,AT72)&amp;""),0)=0),IF(OR(INDEX('Reguler Class Availability'!$B:$B,AT72)&amp;""&lt;&gt;"",INDEX('Reguler Class Availability'!$I:$I,AT72)&amp;""&lt;&gt;""),"Tutup","Tidak dibuka"),IF(IFERROR(--(INDEX('Reguler Class Availability'!$G:$G,AT72)&amp;""),0)&gt;IFERROR(--(INDEX('Reguler Class Availability'!$F:$F,AT72)&amp;""),0),"Lebih",IF(IFERROR(--(INDEX('Reguler Class Availability'!$G:$G,AT72)&amp;""),0)=IFERROR(--(INDEX('Reguler Class Availability'!$F:$F,AT72)&amp;""),0),"Penuh",IF(IFERROR(--(INDEX('Reguler Class Availability'!$G:$G,AT72)&amp;""),0)=0,IF(INDEX('Reguler Class Availability'!$B:$B,AT72)&amp;""="","Kosong","Belum terisi"),IF(IFERROR(--(INDEX('Reguler Class Availability'!$G:$G,AT72)&amp;""),0)/IFERROR(--(INDEX('Reguler Class Availability'!$F:$F,AT72)&amp;""),0)&gt;=0.6,"Tinggi","Sebagian"))))))</f>
        <v>Belum terisi</v>
      </c>
      <c r="BD72" s="30" t="s">
        <v>112</v>
      </c>
      <c r="BE72" s="30" t="n">
        <f aca="false">IF(COUNTIFS('Reguler Class Availability'!$L:$L,$B$4&amp;"|- Lane 2 - *|"&amp;BD72)&gt;0,1,0)</f>
        <v>0</v>
      </c>
      <c r="BF72" s="30" t="n">
        <f aca="false">BE72+BF71</f>
        <v>1</v>
      </c>
    </row>
    <row r="73" customFormat="false" ht="39.75" hidden="false" customHeight="true" outlineLevel="0" collapsed="false">
      <c r="A73" s="66" t="str">
        <f aca="false">IFERROR(INDEX($BD$182:$BD$241,MATCH(4,$BF$182:$BF$241,0)),"")</f>
        <v>10:30</v>
      </c>
      <c r="B73" s="67" t="str">
        <f aca="false">IF(AN73="","",IF(AV73="Tidak dibuka","–",IF(INDEX('Reguler Class Availability'!$B:$B,AN73)&amp;""="","Kosong",PROPER(INDEX('Reguler Class Availability'!$B:$B,AN73)&amp;""))&amp;"  "&amp;IFERROR(--(INDEX('Reguler Class Availability'!$G:$G,AN73)&amp;""),0)&amp;"/"&amp;IFERROR(--(INDEX('Reguler Class Availability'!$F:$F,AN73)&amp;""),0)&amp;IF(IFERROR(--(INDEX('Reguler Class Availability'!$F:$F,AN73)&amp;""),0)&gt;0,"  ("&amp;TEXT(IFERROR(--(INDEX('Reguler Class Availability'!$G:$G,AN73)&amp;""),0)/IFERROR(--(INDEX('Reguler Class Availability'!$F:$F,AN73)&amp;""),0),"0%")&amp;")","")&amp;CHAR(10)&amp;IF(INDEX('Reguler Class Availability'!$I:$I,AN73)&amp;""="","coach: –",PROPER(INDEX('Reguler Class Availability'!$I:$I,AN73)&amp;""))&amp;IF(INDEX('Reguler Class Availability'!$J:$J,AN73)&amp;""="","",CHAR(10)&amp;"asst: "&amp;PROPER(INDEX('Reguler Class Availability'!$J:$J,AN73)&amp;""))))</f>
        <v>Kids  0/4  (0%)
coach: –</v>
      </c>
      <c r="C73" s="67" t="str">
        <f aca="false">IF(AO73="","",IF(AW73="Tidak dibuka","–",IF(INDEX('Reguler Class Availability'!$B:$B,AO73)&amp;""="","Kosong",PROPER(INDEX('Reguler Class Availability'!$B:$B,AO73)&amp;""))&amp;"  "&amp;IFERROR(--(INDEX('Reguler Class Availability'!$G:$G,AO73)&amp;""),0)&amp;"/"&amp;IFERROR(--(INDEX('Reguler Class Availability'!$F:$F,AO73)&amp;""),0)&amp;IF(IFERROR(--(INDEX('Reguler Class Availability'!$F:$F,AO73)&amp;""),0)&gt;0,"  ("&amp;TEXT(IFERROR(--(INDEX('Reguler Class Availability'!$G:$G,AO73)&amp;""),0)/IFERROR(--(INDEX('Reguler Class Availability'!$F:$F,AO73)&amp;""),0),"0%")&amp;")","")&amp;CHAR(10)&amp;IF(INDEX('Reguler Class Availability'!$I:$I,AO73)&amp;""="","coach: –",PROPER(INDEX('Reguler Class Availability'!$I:$I,AO73)&amp;""))&amp;IF(INDEX('Reguler Class Availability'!$J:$J,AO73)&amp;""="","",CHAR(10)&amp;"asst: "&amp;PROPER(INDEX('Reguler Class Availability'!$J:$J,AO73)&amp;""))))</f>
        <v>Kids  0/4  (0%)
coach: –</v>
      </c>
      <c r="D73" s="67" t="str">
        <f aca="false">IF(AP73="","",IF(AX73="Tidak dibuka","–",IF(INDEX('Reguler Class Availability'!$B:$B,AP73)&amp;""="","Kosong",PROPER(INDEX('Reguler Class Availability'!$B:$B,AP73)&amp;""))&amp;"  "&amp;IFERROR(--(INDEX('Reguler Class Availability'!$G:$G,AP73)&amp;""),0)&amp;"/"&amp;IFERROR(--(INDEX('Reguler Class Availability'!$F:$F,AP73)&amp;""),0)&amp;IF(IFERROR(--(INDEX('Reguler Class Availability'!$F:$F,AP73)&amp;""),0)&gt;0,"  ("&amp;TEXT(IFERROR(--(INDEX('Reguler Class Availability'!$G:$G,AP73)&amp;""),0)/IFERROR(--(INDEX('Reguler Class Availability'!$F:$F,AP73)&amp;""),0),"0%")&amp;")","")&amp;CHAR(10)&amp;IF(INDEX('Reguler Class Availability'!$I:$I,AP73)&amp;""="","coach: –",PROPER(INDEX('Reguler Class Availability'!$I:$I,AP73)&amp;""))&amp;IF(INDEX('Reguler Class Availability'!$J:$J,AP73)&amp;""="","",CHAR(10)&amp;"asst: "&amp;PROPER(INDEX('Reguler Class Availability'!$J:$J,AP73)&amp;""))))</f>
        <v>Kids  0/4  (0%)
coach: –</v>
      </c>
      <c r="E73" s="67" t="str">
        <f aca="false">IF(AQ73="","",IF(AY73="Tidak dibuka","–",IF(INDEX('Reguler Class Availability'!$B:$B,AQ73)&amp;""="","Kosong",PROPER(INDEX('Reguler Class Availability'!$B:$B,AQ73)&amp;""))&amp;"  "&amp;IFERROR(--(INDEX('Reguler Class Availability'!$G:$G,AQ73)&amp;""),0)&amp;"/"&amp;IFERROR(--(INDEX('Reguler Class Availability'!$F:$F,AQ73)&amp;""),0)&amp;IF(IFERROR(--(INDEX('Reguler Class Availability'!$F:$F,AQ73)&amp;""),0)&gt;0,"  ("&amp;TEXT(IFERROR(--(INDEX('Reguler Class Availability'!$G:$G,AQ73)&amp;""),0)/IFERROR(--(INDEX('Reguler Class Availability'!$F:$F,AQ73)&amp;""),0),"0%")&amp;")","")&amp;CHAR(10)&amp;IF(INDEX('Reguler Class Availability'!$I:$I,AQ73)&amp;""="","coach: –",PROPER(INDEX('Reguler Class Availability'!$I:$I,AQ73)&amp;""))&amp;IF(INDEX('Reguler Class Availability'!$J:$J,AQ73)&amp;""="","",CHAR(10)&amp;"asst: "&amp;PROPER(INDEX('Reguler Class Availability'!$J:$J,AQ73)&amp;""))))</f>
        <v>Kids  0/4  (0%)
coach: –</v>
      </c>
      <c r="F73" s="67" t="str">
        <f aca="false">IF(AR73="","",IF(AZ73="Tidak dibuka","–",IF(INDEX('Reguler Class Availability'!$B:$B,AR73)&amp;""="","Kosong",PROPER(INDEX('Reguler Class Availability'!$B:$B,AR73)&amp;""))&amp;"  "&amp;IFERROR(--(INDEX('Reguler Class Availability'!$G:$G,AR73)&amp;""),0)&amp;"/"&amp;IFERROR(--(INDEX('Reguler Class Availability'!$F:$F,AR73)&amp;""),0)&amp;IF(IFERROR(--(INDEX('Reguler Class Availability'!$F:$F,AR73)&amp;""),0)&gt;0,"  ("&amp;TEXT(IFERROR(--(INDEX('Reguler Class Availability'!$G:$G,AR73)&amp;""),0)/IFERROR(--(INDEX('Reguler Class Availability'!$F:$F,AR73)&amp;""),0),"0%")&amp;")","")&amp;CHAR(10)&amp;IF(INDEX('Reguler Class Availability'!$I:$I,AR73)&amp;""="","coach: –",PROPER(INDEX('Reguler Class Availability'!$I:$I,AR73)&amp;""))&amp;IF(INDEX('Reguler Class Availability'!$J:$J,AR73)&amp;""="","",CHAR(10)&amp;"asst: "&amp;PROPER(INDEX('Reguler Class Availability'!$J:$J,AR73)&amp;""))))</f>
        <v>Kids  0/4  (0%)
coach: –</v>
      </c>
      <c r="G73" s="67" t="str">
        <f aca="false">IF(AS73="","",IF(BA73="Tidak dibuka","–",IF(INDEX('Reguler Class Availability'!$B:$B,AS73)&amp;""="","Kosong",PROPER(INDEX('Reguler Class Availability'!$B:$B,AS73)&amp;""))&amp;"  "&amp;IFERROR(--(INDEX('Reguler Class Availability'!$G:$G,AS73)&amp;""),0)&amp;"/"&amp;IFERROR(--(INDEX('Reguler Class Availability'!$F:$F,AS73)&amp;""),0)&amp;IF(IFERROR(--(INDEX('Reguler Class Availability'!$F:$F,AS73)&amp;""),0)&gt;0,"  ("&amp;TEXT(IFERROR(--(INDEX('Reguler Class Availability'!$G:$G,AS73)&amp;""),0)/IFERROR(--(INDEX('Reguler Class Availability'!$F:$F,AS73)&amp;""),0),"0%")&amp;")","")&amp;CHAR(10)&amp;IF(INDEX('Reguler Class Availability'!$I:$I,AS73)&amp;""="","coach: –",PROPER(INDEX('Reguler Class Availability'!$I:$I,AS73)&amp;""))&amp;IF(INDEX('Reguler Class Availability'!$J:$J,AS73)&amp;""="","",CHAR(10)&amp;"asst: "&amp;PROPER(INDEX('Reguler Class Availability'!$J:$J,AS73)&amp;""))))</f>
        <v>Kids  0/4  (0%)
coach: –</v>
      </c>
      <c r="H73" s="67" t="str">
        <f aca="false">IF(AT73="","",IF(BB73="Tidak dibuka","–",IF(INDEX('Reguler Class Availability'!$B:$B,AT73)&amp;""="","Kosong",PROPER(INDEX('Reguler Class Availability'!$B:$B,AT73)&amp;""))&amp;"  "&amp;IFERROR(--(INDEX('Reguler Class Availability'!$G:$G,AT73)&amp;""),0)&amp;"/"&amp;IFERROR(--(INDEX('Reguler Class Availability'!$F:$F,AT73)&amp;""),0)&amp;IF(IFERROR(--(INDEX('Reguler Class Availability'!$F:$F,AT73)&amp;""),0)&gt;0,"  ("&amp;TEXT(IFERROR(--(INDEX('Reguler Class Availability'!$G:$G,AT73)&amp;""),0)/IFERROR(--(INDEX('Reguler Class Availability'!$F:$F,AT73)&amp;""),0),"0%")&amp;")","")&amp;CHAR(10)&amp;IF(INDEX('Reguler Class Availability'!$I:$I,AT73)&amp;""="","coach: –",PROPER(INDEX('Reguler Class Availability'!$I:$I,AT73)&amp;""))&amp;IF(INDEX('Reguler Class Availability'!$J:$J,AT73)&amp;""="","",CHAR(10)&amp;"asst: "&amp;PROPER(INDEX('Reguler Class Availability'!$J:$J,AT73)&amp;""))))</f>
        <v>Kids  2/4  (50%)
Silvi</v>
      </c>
      <c r="AN73" s="30" t="n">
        <f aca="false">IF($A73="","",IFERROR(MATCH($B$4&amp;"|- Lane 4 - "&amp;B$69&amp;"|"&amp;$A73,'Reguler Class Availability'!$L:$L,0),""))</f>
        <v>2679</v>
      </c>
      <c r="AO73" s="30" t="n">
        <f aca="false">IF($A73="","",IFERROR(MATCH($B$4&amp;"|- Lane 4 - "&amp;C$69&amp;"|"&amp;$A73,'Reguler Class Availability'!$L:$L,0),""))</f>
        <v>2691</v>
      </c>
      <c r="AP73" s="30" t="n">
        <f aca="false">IF($A73="","",IFERROR(MATCH($B$4&amp;"|- Lane 4 - "&amp;D$69&amp;"|"&amp;$A73,'Reguler Class Availability'!$L:$L,0),""))</f>
        <v>2703</v>
      </c>
      <c r="AQ73" s="30" t="n">
        <f aca="false">IF($A73="","",IFERROR(MATCH($B$4&amp;"|- Lane 4 - "&amp;E$69&amp;"|"&amp;$A73,'Reguler Class Availability'!$L:$L,0),""))</f>
        <v>2715</v>
      </c>
      <c r="AR73" s="30" t="n">
        <f aca="false">IF($A73="","",IFERROR(MATCH($B$4&amp;"|- Lane 4 - "&amp;F$69&amp;"|"&amp;$A73,'Reguler Class Availability'!$L:$L,0),""))</f>
        <v>2727</v>
      </c>
      <c r="AS73" s="30" t="n">
        <f aca="false">IF($A73="","",IFERROR(MATCH($B$4&amp;"|- Lane 4 - "&amp;G$69&amp;"|"&amp;$A73,'Reguler Class Availability'!$L:$L,0),""))</f>
        <v>2739</v>
      </c>
      <c r="AT73" s="30" t="n">
        <f aca="false">IF($A73="","",IFERROR(MATCH($B$4&amp;"|- Lane 4 - "&amp;H$69&amp;"|"&amp;$A73,'Reguler Class Availability'!$L:$L,0),""))</f>
        <v>2751</v>
      </c>
      <c r="AV73" s="0" t="str">
        <f aca="false">IF(AN73="","",IF(AND(IFERROR(--(INDEX('Reguler Class Availability'!$F:$F,AN73)&amp;""),0)=0,IFERROR(--(INDEX('Reguler Class Availability'!$G:$G,AN73)&amp;""),0)=0),IF(OR(INDEX('Reguler Class Availability'!$B:$B,AN73)&amp;""&lt;&gt;"",INDEX('Reguler Class Availability'!$I:$I,AN73)&amp;""&lt;&gt;""),"Tutup","Tidak dibuka"),IF(IFERROR(--(INDEX('Reguler Class Availability'!$G:$G,AN73)&amp;""),0)&gt;IFERROR(--(INDEX('Reguler Class Availability'!$F:$F,AN73)&amp;""),0),"Lebih",IF(IFERROR(--(INDEX('Reguler Class Availability'!$G:$G,AN73)&amp;""),0)=IFERROR(--(INDEX('Reguler Class Availability'!$F:$F,AN73)&amp;""),0),"Penuh",IF(IFERROR(--(INDEX('Reguler Class Availability'!$G:$G,AN73)&amp;""),0)=0,IF(INDEX('Reguler Class Availability'!$B:$B,AN73)&amp;""="","Kosong","Belum terisi"),IF(IFERROR(--(INDEX('Reguler Class Availability'!$G:$G,AN73)&amp;""),0)/IFERROR(--(INDEX('Reguler Class Availability'!$F:$F,AN73)&amp;""),0)&gt;=0.6,"Tinggi","Sebagian"))))))</f>
        <v>Belum terisi</v>
      </c>
      <c r="AW73" s="0" t="str">
        <f aca="false">IF(AO73="","",IF(AND(IFERROR(--(INDEX('Reguler Class Availability'!$F:$F,AO73)&amp;""),0)=0,IFERROR(--(INDEX('Reguler Class Availability'!$G:$G,AO73)&amp;""),0)=0),IF(OR(INDEX('Reguler Class Availability'!$B:$B,AO73)&amp;""&lt;&gt;"",INDEX('Reguler Class Availability'!$I:$I,AO73)&amp;""&lt;&gt;""),"Tutup","Tidak dibuka"),IF(IFERROR(--(INDEX('Reguler Class Availability'!$G:$G,AO73)&amp;""),0)&gt;IFERROR(--(INDEX('Reguler Class Availability'!$F:$F,AO73)&amp;""),0),"Lebih",IF(IFERROR(--(INDEX('Reguler Class Availability'!$G:$G,AO73)&amp;""),0)=IFERROR(--(INDEX('Reguler Class Availability'!$F:$F,AO73)&amp;""),0),"Penuh",IF(IFERROR(--(INDEX('Reguler Class Availability'!$G:$G,AO73)&amp;""),0)=0,IF(INDEX('Reguler Class Availability'!$B:$B,AO73)&amp;""="","Kosong","Belum terisi"),IF(IFERROR(--(INDEX('Reguler Class Availability'!$G:$G,AO73)&amp;""),0)/IFERROR(--(INDEX('Reguler Class Availability'!$F:$F,AO73)&amp;""),0)&gt;=0.6,"Tinggi","Sebagian"))))))</f>
        <v>Belum terisi</v>
      </c>
      <c r="AX73" s="0" t="str">
        <f aca="false">IF(AP73="","",IF(AND(IFERROR(--(INDEX('Reguler Class Availability'!$F:$F,AP73)&amp;""),0)=0,IFERROR(--(INDEX('Reguler Class Availability'!$G:$G,AP73)&amp;""),0)=0),IF(OR(INDEX('Reguler Class Availability'!$B:$B,AP73)&amp;""&lt;&gt;"",INDEX('Reguler Class Availability'!$I:$I,AP73)&amp;""&lt;&gt;""),"Tutup","Tidak dibuka"),IF(IFERROR(--(INDEX('Reguler Class Availability'!$G:$G,AP73)&amp;""),0)&gt;IFERROR(--(INDEX('Reguler Class Availability'!$F:$F,AP73)&amp;""),0),"Lebih",IF(IFERROR(--(INDEX('Reguler Class Availability'!$G:$G,AP73)&amp;""),0)=IFERROR(--(INDEX('Reguler Class Availability'!$F:$F,AP73)&amp;""),0),"Penuh",IF(IFERROR(--(INDEX('Reguler Class Availability'!$G:$G,AP73)&amp;""),0)=0,IF(INDEX('Reguler Class Availability'!$B:$B,AP73)&amp;""="","Kosong","Belum terisi"),IF(IFERROR(--(INDEX('Reguler Class Availability'!$G:$G,AP73)&amp;""),0)/IFERROR(--(INDEX('Reguler Class Availability'!$F:$F,AP73)&amp;""),0)&gt;=0.6,"Tinggi","Sebagian"))))))</f>
        <v>Belum terisi</v>
      </c>
      <c r="AY73" s="0" t="str">
        <f aca="false">IF(AQ73="","",IF(AND(IFERROR(--(INDEX('Reguler Class Availability'!$F:$F,AQ73)&amp;""),0)=0,IFERROR(--(INDEX('Reguler Class Availability'!$G:$G,AQ73)&amp;""),0)=0),IF(OR(INDEX('Reguler Class Availability'!$B:$B,AQ73)&amp;""&lt;&gt;"",INDEX('Reguler Class Availability'!$I:$I,AQ73)&amp;""&lt;&gt;""),"Tutup","Tidak dibuka"),IF(IFERROR(--(INDEX('Reguler Class Availability'!$G:$G,AQ73)&amp;""),0)&gt;IFERROR(--(INDEX('Reguler Class Availability'!$F:$F,AQ73)&amp;""),0),"Lebih",IF(IFERROR(--(INDEX('Reguler Class Availability'!$G:$G,AQ73)&amp;""),0)=IFERROR(--(INDEX('Reguler Class Availability'!$F:$F,AQ73)&amp;""),0),"Penuh",IF(IFERROR(--(INDEX('Reguler Class Availability'!$G:$G,AQ73)&amp;""),0)=0,IF(INDEX('Reguler Class Availability'!$B:$B,AQ73)&amp;""="","Kosong","Belum terisi"),IF(IFERROR(--(INDEX('Reguler Class Availability'!$G:$G,AQ73)&amp;""),0)/IFERROR(--(INDEX('Reguler Class Availability'!$F:$F,AQ73)&amp;""),0)&gt;=0.6,"Tinggi","Sebagian"))))))</f>
        <v>Belum terisi</v>
      </c>
      <c r="AZ73" s="0" t="str">
        <f aca="false">IF(AR73="","",IF(AND(IFERROR(--(INDEX('Reguler Class Availability'!$F:$F,AR73)&amp;""),0)=0,IFERROR(--(INDEX('Reguler Class Availability'!$G:$G,AR73)&amp;""),0)=0),IF(OR(INDEX('Reguler Class Availability'!$B:$B,AR73)&amp;""&lt;&gt;"",INDEX('Reguler Class Availability'!$I:$I,AR73)&amp;""&lt;&gt;""),"Tutup","Tidak dibuka"),IF(IFERROR(--(INDEX('Reguler Class Availability'!$G:$G,AR73)&amp;""),0)&gt;IFERROR(--(INDEX('Reguler Class Availability'!$F:$F,AR73)&amp;""),0),"Lebih",IF(IFERROR(--(INDEX('Reguler Class Availability'!$G:$G,AR73)&amp;""),0)=IFERROR(--(INDEX('Reguler Class Availability'!$F:$F,AR73)&amp;""),0),"Penuh",IF(IFERROR(--(INDEX('Reguler Class Availability'!$G:$G,AR73)&amp;""),0)=0,IF(INDEX('Reguler Class Availability'!$B:$B,AR73)&amp;""="","Kosong","Belum terisi"),IF(IFERROR(--(INDEX('Reguler Class Availability'!$G:$G,AR73)&amp;""),0)/IFERROR(--(INDEX('Reguler Class Availability'!$F:$F,AR73)&amp;""),0)&gt;=0.6,"Tinggi","Sebagian"))))))</f>
        <v>Belum terisi</v>
      </c>
      <c r="BA73" s="0" t="str">
        <f aca="false">IF(AS73="","",IF(AND(IFERROR(--(INDEX('Reguler Class Availability'!$F:$F,AS73)&amp;""),0)=0,IFERROR(--(INDEX('Reguler Class Availability'!$G:$G,AS73)&amp;""),0)=0),IF(OR(INDEX('Reguler Class Availability'!$B:$B,AS73)&amp;""&lt;&gt;"",INDEX('Reguler Class Availability'!$I:$I,AS73)&amp;""&lt;&gt;""),"Tutup","Tidak dibuka"),IF(IFERROR(--(INDEX('Reguler Class Availability'!$G:$G,AS73)&amp;""),0)&gt;IFERROR(--(INDEX('Reguler Class Availability'!$F:$F,AS73)&amp;""),0),"Lebih",IF(IFERROR(--(INDEX('Reguler Class Availability'!$G:$G,AS73)&amp;""),0)=IFERROR(--(INDEX('Reguler Class Availability'!$F:$F,AS73)&amp;""),0),"Penuh",IF(IFERROR(--(INDEX('Reguler Class Availability'!$G:$G,AS73)&amp;""),0)=0,IF(INDEX('Reguler Class Availability'!$B:$B,AS73)&amp;""="","Kosong","Belum terisi"),IF(IFERROR(--(INDEX('Reguler Class Availability'!$G:$G,AS73)&amp;""),0)/IFERROR(--(INDEX('Reguler Class Availability'!$F:$F,AS73)&amp;""),0)&gt;=0.6,"Tinggi","Sebagian"))))))</f>
        <v>Belum terisi</v>
      </c>
      <c r="BB73" s="0" t="str">
        <f aca="false">IF(AT73="","",IF(AND(IFERROR(--(INDEX('Reguler Class Availability'!$F:$F,AT73)&amp;""),0)=0,IFERROR(--(INDEX('Reguler Class Availability'!$G:$G,AT73)&amp;""),0)=0),IF(OR(INDEX('Reguler Class Availability'!$B:$B,AT73)&amp;""&lt;&gt;"",INDEX('Reguler Class Availability'!$I:$I,AT73)&amp;""&lt;&gt;""),"Tutup","Tidak dibuka"),IF(IFERROR(--(INDEX('Reguler Class Availability'!$G:$G,AT73)&amp;""),0)&gt;IFERROR(--(INDEX('Reguler Class Availability'!$F:$F,AT73)&amp;""),0),"Lebih",IF(IFERROR(--(INDEX('Reguler Class Availability'!$G:$G,AT73)&amp;""),0)=IFERROR(--(INDEX('Reguler Class Availability'!$F:$F,AT73)&amp;""),0),"Penuh",IF(IFERROR(--(INDEX('Reguler Class Availability'!$G:$G,AT73)&amp;""),0)=0,IF(INDEX('Reguler Class Availability'!$B:$B,AT73)&amp;""="","Kosong","Belum terisi"),IF(IFERROR(--(INDEX('Reguler Class Availability'!$G:$G,AT73)&amp;""),0)/IFERROR(--(INDEX('Reguler Class Availability'!$F:$F,AT73)&amp;""),0)&gt;=0.6,"Tinggi","Sebagian"))))))</f>
        <v>Sebagian</v>
      </c>
      <c r="BD73" s="30" t="s">
        <v>120</v>
      </c>
      <c r="BE73" s="30" t="n">
        <f aca="false">IF(COUNTIFS('Reguler Class Availability'!$L:$L,$B$4&amp;"|- Lane 2 - *|"&amp;BD73)&gt;0,1,0)</f>
        <v>1</v>
      </c>
      <c r="BF73" s="30" t="n">
        <f aca="false">BE73+BF72</f>
        <v>2</v>
      </c>
    </row>
    <row r="74" customFormat="false" ht="39.75" hidden="false" customHeight="true" outlineLevel="0" collapsed="false">
      <c r="A74" s="66" t="str">
        <f aca="false">IFERROR(INDEX($BD$182:$BD$241,MATCH(5,$BF$182:$BF$241,0)),"")</f>
        <v>11:15</v>
      </c>
      <c r="B74" s="67" t="str">
        <f aca="false">IF(AN74="","",IF(AV74="Tidak dibuka","–",IF(INDEX('Reguler Class Availability'!$B:$B,AN74)&amp;""="","Kosong",PROPER(INDEX('Reguler Class Availability'!$B:$B,AN74)&amp;""))&amp;"  "&amp;IFERROR(--(INDEX('Reguler Class Availability'!$G:$G,AN74)&amp;""),0)&amp;"/"&amp;IFERROR(--(INDEX('Reguler Class Availability'!$F:$F,AN74)&amp;""),0)&amp;IF(IFERROR(--(INDEX('Reguler Class Availability'!$F:$F,AN74)&amp;""),0)&gt;0,"  ("&amp;TEXT(IFERROR(--(INDEX('Reguler Class Availability'!$G:$G,AN74)&amp;""),0)/IFERROR(--(INDEX('Reguler Class Availability'!$F:$F,AN74)&amp;""),0),"0%")&amp;")","")&amp;CHAR(10)&amp;IF(INDEX('Reguler Class Availability'!$I:$I,AN74)&amp;""="","coach: –",PROPER(INDEX('Reguler Class Availability'!$I:$I,AN74)&amp;""))&amp;IF(INDEX('Reguler Class Availability'!$J:$J,AN74)&amp;""="","",CHAR(10)&amp;"asst: "&amp;PROPER(INDEX('Reguler Class Availability'!$J:$J,AN74)&amp;""))))</f>
        <v>Kids  0/4  (0%)
coach: –</v>
      </c>
      <c r="C74" s="67" t="str">
        <f aca="false">IF(AO74="","",IF(AW74="Tidak dibuka","–",IF(INDEX('Reguler Class Availability'!$B:$B,AO74)&amp;""="","Kosong",PROPER(INDEX('Reguler Class Availability'!$B:$B,AO74)&amp;""))&amp;"  "&amp;IFERROR(--(INDEX('Reguler Class Availability'!$G:$G,AO74)&amp;""),0)&amp;"/"&amp;IFERROR(--(INDEX('Reguler Class Availability'!$F:$F,AO74)&amp;""),0)&amp;IF(IFERROR(--(INDEX('Reguler Class Availability'!$F:$F,AO74)&amp;""),0)&gt;0,"  ("&amp;TEXT(IFERROR(--(INDEX('Reguler Class Availability'!$G:$G,AO74)&amp;""),0)/IFERROR(--(INDEX('Reguler Class Availability'!$F:$F,AO74)&amp;""),0),"0%")&amp;")","")&amp;CHAR(10)&amp;IF(INDEX('Reguler Class Availability'!$I:$I,AO74)&amp;""="","coach: –",PROPER(INDEX('Reguler Class Availability'!$I:$I,AO74)&amp;""))&amp;IF(INDEX('Reguler Class Availability'!$J:$J,AO74)&amp;""="","",CHAR(10)&amp;"asst: "&amp;PROPER(INDEX('Reguler Class Availability'!$J:$J,AO74)&amp;""))))</f>
        <v>Kids  0/4  (0%)
coach: –</v>
      </c>
      <c r="D74" s="67" t="str">
        <f aca="false">IF(AP74="","",IF(AX74="Tidak dibuka","–",IF(INDEX('Reguler Class Availability'!$B:$B,AP74)&amp;""="","Kosong",PROPER(INDEX('Reguler Class Availability'!$B:$B,AP74)&amp;""))&amp;"  "&amp;IFERROR(--(INDEX('Reguler Class Availability'!$G:$G,AP74)&amp;""),0)&amp;"/"&amp;IFERROR(--(INDEX('Reguler Class Availability'!$F:$F,AP74)&amp;""),0)&amp;IF(IFERROR(--(INDEX('Reguler Class Availability'!$F:$F,AP74)&amp;""),0)&gt;0,"  ("&amp;TEXT(IFERROR(--(INDEX('Reguler Class Availability'!$G:$G,AP74)&amp;""),0)/IFERROR(--(INDEX('Reguler Class Availability'!$F:$F,AP74)&amp;""),0),"0%")&amp;")","")&amp;CHAR(10)&amp;IF(INDEX('Reguler Class Availability'!$I:$I,AP74)&amp;""="","coach: –",PROPER(INDEX('Reguler Class Availability'!$I:$I,AP74)&amp;""))&amp;IF(INDEX('Reguler Class Availability'!$J:$J,AP74)&amp;""="","",CHAR(10)&amp;"asst: "&amp;PROPER(INDEX('Reguler Class Availability'!$J:$J,AP74)&amp;""))))</f>
        <v>Kids  1/4  (25%)
Angga</v>
      </c>
      <c r="E74" s="67" t="str">
        <f aca="false">IF(AQ74="","",IF(AY74="Tidak dibuka","–",IF(INDEX('Reguler Class Availability'!$B:$B,AQ74)&amp;""="","Kosong",PROPER(INDEX('Reguler Class Availability'!$B:$B,AQ74)&amp;""))&amp;"  "&amp;IFERROR(--(INDEX('Reguler Class Availability'!$G:$G,AQ74)&amp;""),0)&amp;"/"&amp;IFERROR(--(INDEX('Reguler Class Availability'!$F:$F,AQ74)&amp;""),0)&amp;IF(IFERROR(--(INDEX('Reguler Class Availability'!$F:$F,AQ74)&amp;""),0)&gt;0,"  ("&amp;TEXT(IFERROR(--(INDEX('Reguler Class Availability'!$G:$G,AQ74)&amp;""),0)/IFERROR(--(INDEX('Reguler Class Availability'!$F:$F,AQ74)&amp;""),0),"0%")&amp;")","")&amp;CHAR(10)&amp;IF(INDEX('Reguler Class Availability'!$I:$I,AQ74)&amp;""="","coach: –",PROPER(INDEX('Reguler Class Availability'!$I:$I,AQ74)&amp;""))&amp;IF(INDEX('Reguler Class Availability'!$J:$J,AQ74)&amp;""="","",CHAR(10)&amp;"asst: "&amp;PROPER(INDEX('Reguler Class Availability'!$J:$J,AQ74)&amp;""))))</f>
        <v>Kids  0/4  (0%)
coach: –</v>
      </c>
      <c r="F74" s="67" t="str">
        <f aca="false">IF(AR74="","",IF(AZ74="Tidak dibuka","–",IF(INDEX('Reguler Class Availability'!$B:$B,AR74)&amp;""="","Kosong",PROPER(INDEX('Reguler Class Availability'!$B:$B,AR74)&amp;""))&amp;"  "&amp;IFERROR(--(INDEX('Reguler Class Availability'!$G:$G,AR74)&amp;""),0)&amp;"/"&amp;IFERROR(--(INDEX('Reguler Class Availability'!$F:$F,AR74)&amp;""),0)&amp;IF(IFERROR(--(INDEX('Reguler Class Availability'!$F:$F,AR74)&amp;""),0)&gt;0,"  ("&amp;TEXT(IFERROR(--(INDEX('Reguler Class Availability'!$G:$G,AR74)&amp;""),0)/IFERROR(--(INDEX('Reguler Class Availability'!$F:$F,AR74)&amp;""),0),"0%")&amp;")","")&amp;CHAR(10)&amp;IF(INDEX('Reguler Class Availability'!$I:$I,AR74)&amp;""="","coach: –",PROPER(INDEX('Reguler Class Availability'!$I:$I,AR74)&amp;""))&amp;IF(INDEX('Reguler Class Availability'!$J:$J,AR74)&amp;""="","",CHAR(10)&amp;"asst: "&amp;PROPER(INDEX('Reguler Class Availability'!$J:$J,AR74)&amp;""))))</f>
        <v>Kids  0/4  (0%)
coach: –</v>
      </c>
      <c r="G74" s="67" t="str">
        <f aca="false">IF(AS74="","",IF(BA74="Tidak dibuka","–",IF(INDEX('Reguler Class Availability'!$B:$B,AS74)&amp;""="","Kosong",PROPER(INDEX('Reguler Class Availability'!$B:$B,AS74)&amp;""))&amp;"  "&amp;IFERROR(--(INDEX('Reguler Class Availability'!$G:$G,AS74)&amp;""),0)&amp;"/"&amp;IFERROR(--(INDEX('Reguler Class Availability'!$F:$F,AS74)&amp;""),0)&amp;IF(IFERROR(--(INDEX('Reguler Class Availability'!$F:$F,AS74)&amp;""),0)&gt;0,"  ("&amp;TEXT(IFERROR(--(INDEX('Reguler Class Availability'!$G:$G,AS74)&amp;""),0)/IFERROR(--(INDEX('Reguler Class Availability'!$F:$F,AS74)&amp;""),0),"0%")&amp;")","")&amp;CHAR(10)&amp;IF(INDEX('Reguler Class Availability'!$I:$I,AS74)&amp;""="","coach: –",PROPER(INDEX('Reguler Class Availability'!$I:$I,AS74)&amp;""))&amp;IF(INDEX('Reguler Class Availability'!$J:$J,AS74)&amp;""="","",CHAR(10)&amp;"asst: "&amp;PROPER(INDEX('Reguler Class Availability'!$J:$J,AS74)&amp;""))))</f>
        <v>Kids  3/4  (75%)
Indra</v>
      </c>
      <c r="H74" s="67" t="str">
        <f aca="false">IF(AT74="","",IF(BB74="Tidak dibuka","–",IF(INDEX('Reguler Class Availability'!$B:$B,AT74)&amp;""="","Kosong",PROPER(INDEX('Reguler Class Availability'!$B:$B,AT74)&amp;""))&amp;"  "&amp;IFERROR(--(INDEX('Reguler Class Availability'!$G:$G,AT74)&amp;""),0)&amp;"/"&amp;IFERROR(--(INDEX('Reguler Class Availability'!$F:$F,AT74)&amp;""),0)&amp;IF(IFERROR(--(INDEX('Reguler Class Availability'!$F:$F,AT74)&amp;""),0)&gt;0,"  ("&amp;TEXT(IFERROR(--(INDEX('Reguler Class Availability'!$G:$G,AT74)&amp;""),0)/IFERROR(--(INDEX('Reguler Class Availability'!$F:$F,AT74)&amp;""),0),"0%")&amp;")","")&amp;CHAR(10)&amp;IF(INDEX('Reguler Class Availability'!$I:$I,AT74)&amp;""="","coach: –",PROPER(INDEX('Reguler Class Availability'!$I:$I,AT74)&amp;""))&amp;IF(INDEX('Reguler Class Availability'!$J:$J,AT74)&amp;""="","",CHAR(10)&amp;"asst: "&amp;PROPER(INDEX('Reguler Class Availability'!$J:$J,AT74)&amp;""))))</f>
        <v>Kids  0/4  (0%)
coach: –</v>
      </c>
      <c r="AN74" s="30" t="n">
        <f aca="false">IF($A74="","",IFERROR(MATCH($B$4&amp;"|- Lane 4 - "&amp;B$69&amp;"|"&amp;$A74,'Reguler Class Availability'!$L:$L,0),""))</f>
        <v>2680</v>
      </c>
      <c r="AO74" s="30" t="n">
        <f aca="false">IF($A74="","",IFERROR(MATCH($B$4&amp;"|- Lane 4 - "&amp;C$69&amp;"|"&amp;$A74,'Reguler Class Availability'!$L:$L,0),""))</f>
        <v>2692</v>
      </c>
      <c r="AP74" s="30" t="n">
        <f aca="false">IF($A74="","",IFERROR(MATCH($B$4&amp;"|- Lane 4 - "&amp;D$69&amp;"|"&amp;$A74,'Reguler Class Availability'!$L:$L,0),""))</f>
        <v>2704</v>
      </c>
      <c r="AQ74" s="30" t="n">
        <f aca="false">IF($A74="","",IFERROR(MATCH($B$4&amp;"|- Lane 4 - "&amp;E$69&amp;"|"&amp;$A74,'Reguler Class Availability'!$L:$L,0),""))</f>
        <v>2716</v>
      </c>
      <c r="AR74" s="30" t="n">
        <f aca="false">IF($A74="","",IFERROR(MATCH($B$4&amp;"|- Lane 4 - "&amp;F$69&amp;"|"&amp;$A74,'Reguler Class Availability'!$L:$L,0),""))</f>
        <v>2728</v>
      </c>
      <c r="AS74" s="30" t="n">
        <f aca="false">IF($A74="","",IFERROR(MATCH($B$4&amp;"|- Lane 4 - "&amp;G$69&amp;"|"&amp;$A74,'Reguler Class Availability'!$L:$L,0),""))</f>
        <v>2740</v>
      </c>
      <c r="AT74" s="30" t="n">
        <f aca="false">IF($A74="","",IFERROR(MATCH($B$4&amp;"|- Lane 4 - "&amp;H$69&amp;"|"&amp;$A74,'Reguler Class Availability'!$L:$L,0),""))</f>
        <v>2752</v>
      </c>
      <c r="AV74" s="0" t="str">
        <f aca="false">IF(AN74="","",IF(AND(IFERROR(--(INDEX('Reguler Class Availability'!$F:$F,AN74)&amp;""),0)=0,IFERROR(--(INDEX('Reguler Class Availability'!$G:$G,AN74)&amp;""),0)=0),IF(OR(INDEX('Reguler Class Availability'!$B:$B,AN74)&amp;""&lt;&gt;"",INDEX('Reguler Class Availability'!$I:$I,AN74)&amp;""&lt;&gt;""),"Tutup","Tidak dibuka"),IF(IFERROR(--(INDEX('Reguler Class Availability'!$G:$G,AN74)&amp;""),0)&gt;IFERROR(--(INDEX('Reguler Class Availability'!$F:$F,AN74)&amp;""),0),"Lebih",IF(IFERROR(--(INDEX('Reguler Class Availability'!$G:$G,AN74)&amp;""),0)=IFERROR(--(INDEX('Reguler Class Availability'!$F:$F,AN74)&amp;""),0),"Penuh",IF(IFERROR(--(INDEX('Reguler Class Availability'!$G:$G,AN74)&amp;""),0)=0,IF(INDEX('Reguler Class Availability'!$B:$B,AN74)&amp;""="","Kosong","Belum terisi"),IF(IFERROR(--(INDEX('Reguler Class Availability'!$G:$G,AN74)&amp;""),0)/IFERROR(--(INDEX('Reguler Class Availability'!$F:$F,AN74)&amp;""),0)&gt;=0.6,"Tinggi","Sebagian"))))))</f>
        <v>Belum terisi</v>
      </c>
      <c r="AW74" s="0" t="str">
        <f aca="false">IF(AO74="","",IF(AND(IFERROR(--(INDEX('Reguler Class Availability'!$F:$F,AO74)&amp;""),0)=0,IFERROR(--(INDEX('Reguler Class Availability'!$G:$G,AO74)&amp;""),0)=0),IF(OR(INDEX('Reguler Class Availability'!$B:$B,AO74)&amp;""&lt;&gt;"",INDEX('Reguler Class Availability'!$I:$I,AO74)&amp;""&lt;&gt;""),"Tutup","Tidak dibuka"),IF(IFERROR(--(INDEX('Reguler Class Availability'!$G:$G,AO74)&amp;""),0)&gt;IFERROR(--(INDEX('Reguler Class Availability'!$F:$F,AO74)&amp;""),0),"Lebih",IF(IFERROR(--(INDEX('Reguler Class Availability'!$G:$G,AO74)&amp;""),0)=IFERROR(--(INDEX('Reguler Class Availability'!$F:$F,AO74)&amp;""),0),"Penuh",IF(IFERROR(--(INDEX('Reguler Class Availability'!$G:$G,AO74)&amp;""),0)=0,IF(INDEX('Reguler Class Availability'!$B:$B,AO74)&amp;""="","Kosong","Belum terisi"),IF(IFERROR(--(INDEX('Reguler Class Availability'!$G:$G,AO74)&amp;""),0)/IFERROR(--(INDEX('Reguler Class Availability'!$F:$F,AO74)&amp;""),0)&gt;=0.6,"Tinggi","Sebagian"))))))</f>
        <v>Belum terisi</v>
      </c>
      <c r="AX74" s="0" t="str">
        <f aca="false">IF(AP74="","",IF(AND(IFERROR(--(INDEX('Reguler Class Availability'!$F:$F,AP74)&amp;""),0)=0,IFERROR(--(INDEX('Reguler Class Availability'!$G:$G,AP74)&amp;""),0)=0),IF(OR(INDEX('Reguler Class Availability'!$B:$B,AP74)&amp;""&lt;&gt;"",INDEX('Reguler Class Availability'!$I:$I,AP74)&amp;""&lt;&gt;""),"Tutup","Tidak dibuka"),IF(IFERROR(--(INDEX('Reguler Class Availability'!$G:$G,AP74)&amp;""),0)&gt;IFERROR(--(INDEX('Reguler Class Availability'!$F:$F,AP74)&amp;""),0),"Lebih",IF(IFERROR(--(INDEX('Reguler Class Availability'!$G:$G,AP74)&amp;""),0)=IFERROR(--(INDEX('Reguler Class Availability'!$F:$F,AP74)&amp;""),0),"Penuh",IF(IFERROR(--(INDEX('Reguler Class Availability'!$G:$G,AP74)&amp;""),0)=0,IF(INDEX('Reguler Class Availability'!$B:$B,AP74)&amp;""="","Kosong","Belum terisi"),IF(IFERROR(--(INDEX('Reguler Class Availability'!$G:$G,AP74)&amp;""),0)/IFERROR(--(INDEX('Reguler Class Availability'!$F:$F,AP74)&amp;""),0)&gt;=0.6,"Tinggi","Sebagian"))))))</f>
        <v>Sebagian</v>
      </c>
      <c r="AY74" s="0" t="str">
        <f aca="false">IF(AQ74="","",IF(AND(IFERROR(--(INDEX('Reguler Class Availability'!$F:$F,AQ74)&amp;""),0)=0,IFERROR(--(INDEX('Reguler Class Availability'!$G:$G,AQ74)&amp;""),0)=0),IF(OR(INDEX('Reguler Class Availability'!$B:$B,AQ74)&amp;""&lt;&gt;"",INDEX('Reguler Class Availability'!$I:$I,AQ74)&amp;""&lt;&gt;""),"Tutup","Tidak dibuka"),IF(IFERROR(--(INDEX('Reguler Class Availability'!$G:$G,AQ74)&amp;""),0)&gt;IFERROR(--(INDEX('Reguler Class Availability'!$F:$F,AQ74)&amp;""),0),"Lebih",IF(IFERROR(--(INDEX('Reguler Class Availability'!$G:$G,AQ74)&amp;""),0)=IFERROR(--(INDEX('Reguler Class Availability'!$F:$F,AQ74)&amp;""),0),"Penuh",IF(IFERROR(--(INDEX('Reguler Class Availability'!$G:$G,AQ74)&amp;""),0)=0,IF(INDEX('Reguler Class Availability'!$B:$B,AQ74)&amp;""="","Kosong","Belum terisi"),IF(IFERROR(--(INDEX('Reguler Class Availability'!$G:$G,AQ74)&amp;""),0)/IFERROR(--(INDEX('Reguler Class Availability'!$F:$F,AQ74)&amp;""),0)&gt;=0.6,"Tinggi","Sebagian"))))))</f>
        <v>Belum terisi</v>
      </c>
      <c r="AZ74" s="0" t="str">
        <f aca="false">IF(AR74="","",IF(AND(IFERROR(--(INDEX('Reguler Class Availability'!$F:$F,AR74)&amp;""),0)=0,IFERROR(--(INDEX('Reguler Class Availability'!$G:$G,AR74)&amp;""),0)=0),IF(OR(INDEX('Reguler Class Availability'!$B:$B,AR74)&amp;""&lt;&gt;"",INDEX('Reguler Class Availability'!$I:$I,AR74)&amp;""&lt;&gt;""),"Tutup","Tidak dibuka"),IF(IFERROR(--(INDEX('Reguler Class Availability'!$G:$G,AR74)&amp;""),0)&gt;IFERROR(--(INDEX('Reguler Class Availability'!$F:$F,AR74)&amp;""),0),"Lebih",IF(IFERROR(--(INDEX('Reguler Class Availability'!$G:$G,AR74)&amp;""),0)=IFERROR(--(INDEX('Reguler Class Availability'!$F:$F,AR74)&amp;""),0),"Penuh",IF(IFERROR(--(INDEX('Reguler Class Availability'!$G:$G,AR74)&amp;""),0)=0,IF(INDEX('Reguler Class Availability'!$B:$B,AR74)&amp;""="","Kosong","Belum terisi"),IF(IFERROR(--(INDEX('Reguler Class Availability'!$G:$G,AR74)&amp;""),0)/IFERROR(--(INDEX('Reguler Class Availability'!$F:$F,AR74)&amp;""),0)&gt;=0.6,"Tinggi","Sebagian"))))))</f>
        <v>Belum terisi</v>
      </c>
      <c r="BA74" s="0" t="str">
        <f aca="false">IF(AS74="","",IF(AND(IFERROR(--(INDEX('Reguler Class Availability'!$F:$F,AS74)&amp;""),0)=0,IFERROR(--(INDEX('Reguler Class Availability'!$G:$G,AS74)&amp;""),0)=0),IF(OR(INDEX('Reguler Class Availability'!$B:$B,AS74)&amp;""&lt;&gt;"",INDEX('Reguler Class Availability'!$I:$I,AS74)&amp;""&lt;&gt;""),"Tutup","Tidak dibuka"),IF(IFERROR(--(INDEX('Reguler Class Availability'!$G:$G,AS74)&amp;""),0)&gt;IFERROR(--(INDEX('Reguler Class Availability'!$F:$F,AS74)&amp;""),0),"Lebih",IF(IFERROR(--(INDEX('Reguler Class Availability'!$G:$G,AS74)&amp;""),0)=IFERROR(--(INDEX('Reguler Class Availability'!$F:$F,AS74)&amp;""),0),"Penuh",IF(IFERROR(--(INDEX('Reguler Class Availability'!$G:$G,AS74)&amp;""),0)=0,IF(INDEX('Reguler Class Availability'!$B:$B,AS74)&amp;""="","Kosong","Belum terisi"),IF(IFERROR(--(INDEX('Reguler Class Availability'!$G:$G,AS74)&amp;""),0)/IFERROR(--(INDEX('Reguler Class Availability'!$F:$F,AS74)&amp;""),0)&gt;=0.6,"Tinggi","Sebagian"))))))</f>
        <v>Tinggi</v>
      </c>
      <c r="BB74" s="0" t="str">
        <f aca="false">IF(AT74="","",IF(AND(IFERROR(--(INDEX('Reguler Class Availability'!$F:$F,AT74)&amp;""),0)=0,IFERROR(--(INDEX('Reguler Class Availability'!$G:$G,AT74)&amp;""),0)=0),IF(OR(INDEX('Reguler Class Availability'!$B:$B,AT74)&amp;""&lt;&gt;"",INDEX('Reguler Class Availability'!$I:$I,AT74)&amp;""&lt;&gt;""),"Tutup","Tidak dibuka"),IF(IFERROR(--(INDEX('Reguler Class Availability'!$G:$G,AT74)&amp;""),0)&gt;IFERROR(--(INDEX('Reguler Class Availability'!$F:$F,AT74)&amp;""),0),"Lebih",IF(IFERROR(--(INDEX('Reguler Class Availability'!$G:$G,AT74)&amp;""),0)=IFERROR(--(INDEX('Reguler Class Availability'!$F:$F,AT74)&amp;""),0),"Penuh",IF(IFERROR(--(INDEX('Reguler Class Availability'!$G:$G,AT74)&amp;""),0)=0,IF(INDEX('Reguler Class Availability'!$B:$B,AT74)&amp;""="","Kosong","Belum terisi"),IF(IFERROR(--(INDEX('Reguler Class Availability'!$G:$G,AT74)&amp;""),0)/IFERROR(--(INDEX('Reguler Class Availability'!$F:$F,AT74)&amp;""),0)&gt;=0.6,"Tinggi","Sebagian"))))))</f>
        <v>Belum terisi</v>
      </c>
      <c r="BD74" s="30" t="s">
        <v>121</v>
      </c>
      <c r="BE74" s="30" t="n">
        <f aca="false">IF(COUNTIFS('Reguler Class Availability'!$L:$L,$B$4&amp;"|- Lane 2 - *|"&amp;BD74)&gt;0,1,0)</f>
        <v>0</v>
      </c>
      <c r="BF74" s="30" t="n">
        <f aca="false">BE74+BF73</f>
        <v>2</v>
      </c>
    </row>
    <row r="75" customFormat="false" ht="39.75" hidden="false" customHeight="true" outlineLevel="0" collapsed="false">
      <c r="A75" s="66" t="str">
        <f aca="false">IFERROR(INDEX($BD$182:$BD$241,MATCH(6,$BF$182:$BF$241,0)),"")</f>
        <v>12:00</v>
      </c>
      <c r="B75" s="67" t="str">
        <f aca="false">IF(AN75="","",IF(AV75="Tidak dibuka","–",IF(INDEX('Reguler Class Availability'!$B:$B,AN75)&amp;""="","Kosong",PROPER(INDEX('Reguler Class Availability'!$B:$B,AN75)&amp;""))&amp;"  "&amp;IFERROR(--(INDEX('Reguler Class Availability'!$G:$G,AN75)&amp;""),0)&amp;"/"&amp;IFERROR(--(INDEX('Reguler Class Availability'!$F:$F,AN75)&amp;""),0)&amp;IF(IFERROR(--(INDEX('Reguler Class Availability'!$F:$F,AN75)&amp;""),0)&gt;0,"  ("&amp;TEXT(IFERROR(--(INDEX('Reguler Class Availability'!$G:$G,AN75)&amp;""),0)/IFERROR(--(INDEX('Reguler Class Availability'!$F:$F,AN75)&amp;""),0),"0%")&amp;")","")&amp;CHAR(10)&amp;IF(INDEX('Reguler Class Availability'!$I:$I,AN75)&amp;""="","coach: –",PROPER(INDEX('Reguler Class Availability'!$I:$I,AN75)&amp;""))&amp;IF(INDEX('Reguler Class Availability'!$J:$J,AN75)&amp;""="","",CHAR(10)&amp;"asst: "&amp;PROPER(INDEX('Reguler Class Availability'!$J:$J,AN75)&amp;""))))</f>
        <v>Kids  0/4  (0%)
coach: –</v>
      </c>
      <c r="C75" s="67" t="str">
        <f aca="false">IF(AO75="","",IF(AW75="Tidak dibuka","–",IF(INDEX('Reguler Class Availability'!$B:$B,AO75)&amp;""="","Kosong",PROPER(INDEX('Reguler Class Availability'!$B:$B,AO75)&amp;""))&amp;"  "&amp;IFERROR(--(INDEX('Reguler Class Availability'!$G:$G,AO75)&amp;""),0)&amp;"/"&amp;IFERROR(--(INDEX('Reguler Class Availability'!$F:$F,AO75)&amp;""),0)&amp;IF(IFERROR(--(INDEX('Reguler Class Availability'!$F:$F,AO75)&amp;""),0)&gt;0,"  ("&amp;TEXT(IFERROR(--(INDEX('Reguler Class Availability'!$G:$G,AO75)&amp;""),0)/IFERROR(--(INDEX('Reguler Class Availability'!$F:$F,AO75)&amp;""),0),"0%")&amp;")","")&amp;CHAR(10)&amp;IF(INDEX('Reguler Class Availability'!$I:$I,AO75)&amp;""="","coach: –",PROPER(INDEX('Reguler Class Availability'!$I:$I,AO75)&amp;""))&amp;IF(INDEX('Reguler Class Availability'!$J:$J,AO75)&amp;""="","",CHAR(10)&amp;"asst: "&amp;PROPER(INDEX('Reguler Class Availability'!$J:$J,AO75)&amp;""))))</f>
        <v>Kids  0/4  (0%)
coach: –</v>
      </c>
      <c r="D75" s="67" t="str">
        <f aca="false">IF(AP75="","",IF(AX75="Tidak dibuka","–",IF(INDEX('Reguler Class Availability'!$B:$B,AP75)&amp;""="","Kosong",PROPER(INDEX('Reguler Class Availability'!$B:$B,AP75)&amp;""))&amp;"  "&amp;IFERROR(--(INDEX('Reguler Class Availability'!$G:$G,AP75)&amp;""),0)&amp;"/"&amp;IFERROR(--(INDEX('Reguler Class Availability'!$F:$F,AP75)&amp;""),0)&amp;IF(IFERROR(--(INDEX('Reguler Class Availability'!$F:$F,AP75)&amp;""),0)&gt;0,"  ("&amp;TEXT(IFERROR(--(INDEX('Reguler Class Availability'!$G:$G,AP75)&amp;""),0)/IFERROR(--(INDEX('Reguler Class Availability'!$F:$F,AP75)&amp;""),0),"0%")&amp;")","")&amp;CHAR(10)&amp;IF(INDEX('Reguler Class Availability'!$I:$I,AP75)&amp;""="","coach: –",PROPER(INDEX('Reguler Class Availability'!$I:$I,AP75)&amp;""))&amp;IF(INDEX('Reguler Class Availability'!$J:$J,AP75)&amp;""="","",CHAR(10)&amp;"asst: "&amp;PROPER(INDEX('Reguler Class Availability'!$J:$J,AP75)&amp;""))))</f>
        <v>Kids  0/4  (0%)
coach: –</v>
      </c>
      <c r="E75" s="67" t="str">
        <f aca="false">IF(AQ75="","",IF(AY75="Tidak dibuka","–",IF(INDEX('Reguler Class Availability'!$B:$B,AQ75)&amp;""="","Kosong",PROPER(INDEX('Reguler Class Availability'!$B:$B,AQ75)&amp;""))&amp;"  "&amp;IFERROR(--(INDEX('Reguler Class Availability'!$G:$G,AQ75)&amp;""),0)&amp;"/"&amp;IFERROR(--(INDEX('Reguler Class Availability'!$F:$F,AQ75)&amp;""),0)&amp;IF(IFERROR(--(INDEX('Reguler Class Availability'!$F:$F,AQ75)&amp;""),0)&gt;0,"  ("&amp;TEXT(IFERROR(--(INDEX('Reguler Class Availability'!$G:$G,AQ75)&amp;""),0)/IFERROR(--(INDEX('Reguler Class Availability'!$F:$F,AQ75)&amp;""),0),"0%")&amp;")","")&amp;CHAR(10)&amp;IF(INDEX('Reguler Class Availability'!$I:$I,AQ75)&amp;""="","coach: –",PROPER(INDEX('Reguler Class Availability'!$I:$I,AQ75)&amp;""))&amp;IF(INDEX('Reguler Class Availability'!$J:$J,AQ75)&amp;""="","",CHAR(10)&amp;"asst: "&amp;PROPER(INDEX('Reguler Class Availability'!$J:$J,AQ75)&amp;""))))</f>
        <v>Kids  0/4  (0%)
coach: –</v>
      </c>
      <c r="F75" s="67" t="str">
        <f aca="false">IF(AR75="","",IF(AZ75="Tidak dibuka","–",IF(INDEX('Reguler Class Availability'!$B:$B,AR75)&amp;""="","Kosong",PROPER(INDEX('Reguler Class Availability'!$B:$B,AR75)&amp;""))&amp;"  "&amp;IFERROR(--(INDEX('Reguler Class Availability'!$G:$G,AR75)&amp;""),0)&amp;"/"&amp;IFERROR(--(INDEX('Reguler Class Availability'!$F:$F,AR75)&amp;""),0)&amp;IF(IFERROR(--(INDEX('Reguler Class Availability'!$F:$F,AR75)&amp;""),0)&gt;0,"  ("&amp;TEXT(IFERROR(--(INDEX('Reguler Class Availability'!$G:$G,AR75)&amp;""),0)/IFERROR(--(INDEX('Reguler Class Availability'!$F:$F,AR75)&amp;""),0),"0%")&amp;")","")&amp;CHAR(10)&amp;IF(INDEX('Reguler Class Availability'!$I:$I,AR75)&amp;""="","coach: –",PROPER(INDEX('Reguler Class Availability'!$I:$I,AR75)&amp;""))&amp;IF(INDEX('Reguler Class Availability'!$J:$J,AR75)&amp;""="","",CHAR(10)&amp;"asst: "&amp;PROPER(INDEX('Reguler Class Availability'!$J:$J,AR75)&amp;""))))</f>
        <v>Kids  0/4  (0%)
coach: –</v>
      </c>
      <c r="G75" s="67" t="str">
        <f aca="false">IF(AS75="","",IF(BA75="Tidak dibuka","–",IF(INDEX('Reguler Class Availability'!$B:$B,AS75)&amp;""="","Kosong",PROPER(INDEX('Reguler Class Availability'!$B:$B,AS75)&amp;""))&amp;"  "&amp;IFERROR(--(INDEX('Reguler Class Availability'!$G:$G,AS75)&amp;""),0)&amp;"/"&amp;IFERROR(--(INDEX('Reguler Class Availability'!$F:$F,AS75)&amp;""),0)&amp;IF(IFERROR(--(INDEX('Reguler Class Availability'!$F:$F,AS75)&amp;""),0)&gt;0,"  ("&amp;TEXT(IFERROR(--(INDEX('Reguler Class Availability'!$G:$G,AS75)&amp;""),0)/IFERROR(--(INDEX('Reguler Class Availability'!$F:$F,AS75)&amp;""),0),"0%")&amp;")","")&amp;CHAR(10)&amp;IF(INDEX('Reguler Class Availability'!$I:$I,AS75)&amp;""="","coach: –",PROPER(INDEX('Reguler Class Availability'!$I:$I,AS75)&amp;""))&amp;IF(INDEX('Reguler Class Availability'!$J:$J,AS75)&amp;""="","",CHAR(10)&amp;"asst: "&amp;PROPER(INDEX('Reguler Class Availability'!$J:$J,AS75)&amp;""))))</f>
        <v>Kids  0/4  (0%)
coach: –</v>
      </c>
      <c r="H75" s="67" t="str">
        <f aca="false">IF(AT75="","",IF(BB75="Tidak dibuka","–",IF(INDEX('Reguler Class Availability'!$B:$B,AT75)&amp;""="","Kosong",PROPER(INDEX('Reguler Class Availability'!$B:$B,AT75)&amp;""))&amp;"  "&amp;IFERROR(--(INDEX('Reguler Class Availability'!$G:$G,AT75)&amp;""),0)&amp;"/"&amp;IFERROR(--(INDEX('Reguler Class Availability'!$F:$F,AT75)&amp;""),0)&amp;IF(IFERROR(--(INDEX('Reguler Class Availability'!$F:$F,AT75)&amp;""),0)&gt;0,"  ("&amp;TEXT(IFERROR(--(INDEX('Reguler Class Availability'!$G:$G,AT75)&amp;""),0)/IFERROR(--(INDEX('Reguler Class Availability'!$F:$F,AT75)&amp;""),0),"0%")&amp;")","")&amp;CHAR(10)&amp;IF(INDEX('Reguler Class Availability'!$I:$I,AT75)&amp;""="","coach: –",PROPER(INDEX('Reguler Class Availability'!$I:$I,AT75)&amp;""))&amp;IF(INDEX('Reguler Class Availability'!$J:$J,AT75)&amp;""="","",CHAR(10)&amp;"asst: "&amp;PROPER(INDEX('Reguler Class Availability'!$J:$J,AT75)&amp;""))))</f>
        <v>Kids  0/4  (0%)
coach: –</v>
      </c>
      <c r="AN75" s="30" t="n">
        <f aca="false">IF($A75="","",IFERROR(MATCH($B$4&amp;"|- Lane 4 - "&amp;B$69&amp;"|"&amp;$A75,'Reguler Class Availability'!$L:$L,0),""))</f>
        <v>2681</v>
      </c>
      <c r="AO75" s="30" t="n">
        <f aca="false">IF($A75="","",IFERROR(MATCH($B$4&amp;"|- Lane 4 - "&amp;C$69&amp;"|"&amp;$A75,'Reguler Class Availability'!$L:$L,0),""))</f>
        <v>2693</v>
      </c>
      <c r="AP75" s="30" t="n">
        <f aca="false">IF($A75="","",IFERROR(MATCH($B$4&amp;"|- Lane 4 - "&amp;D$69&amp;"|"&amp;$A75,'Reguler Class Availability'!$L:$L,0),""))</f>
        <v>2705</v>
      </c>
      <c r="AQ75" s="30" t="n">
        <f aca="false">IF($A75="","",IFERROR(MATCH($B$4&amp;"|- Lane 4 - "&amp;E$69&amp;"|"&amp;$A75,'Reguler Class Availability'!$L:$L,0),""))</f>
        <v>2717</v>
      </c>
      <c r="AR75" s="30" t="n">
        <f aca="false">IF($A75="","",IFERROR(MATCH($B$4&amp;"|- Lane 4 - "&amp;F$69&amp;"|"&amp;$A75,'Reguler Class Availability'!$L:$L,0),""))</f>
        <v>2729</v>
      </c>
      <c r="AS75" s="30" t="n">
        <f aca="false">IF($A75="","",IFERROR(MATCH($B$4&amp;"|- Lane 4 - "&amp;G$69&amp;"|"&amp;$A75,'Reguler Class Availability'!$L:$L,0),""))</f>
        <v>2741</v>
      </c>
      <c r="AT75" s="30" t="n">
        <f aca="false">IF($A75="","",IFERROR(MATCH($B$4&amp;"|- Lane 4 - "&amp;H$69&amp;"|"&amp;$A75,'Reguler Class Availability'!$L:$L,0),""))</f>
        <v>2753</v>
      </c>
      <c r="AV75" s="0" t="str">
        <f aca="false">IF(AN75="","",IF(AND(IFERROR(--(INDEX('Reguler Class Availability'!$F:$F,AN75)&amp;""),0)=0,IFERROR(--(INDEX('Reguler Class Availability'!$G:$G,AN75)&amp;""),0)=0),IF(OR(INDEX('Reguler Class Availability'!$B:$B,AN75)&amp;""&lt;&gt;"",INDEX('Reguler Class Availability'!$I:$I,AN75)&amp;""&lt;&gt;""),"Tutup","Tidak dibuka"),IF(IFERROR(--(INDEX('Reguler Class Availability'!$G:$G,AN75)&amp;""),0)&gt;IFERROR(--(INDEX('Reguler Class Availability'!$F:$F,AN75)&amp;""),0),"Lebih",IF(IFERROR(--(INDEX('Reguler Class Availability'!$G:$G,AN75)&amp;""),0)=IFERROR(--(INDEX('Reguler Class Availability'!$F:$F,AN75)&amp;""),0),"Penuh",IF(IFERROR(--(INDEX('Reguler Class Availability'!$G:$G,AN75)&amp;""),0)=0,IF(INDEX('Reguler Class Availability'!$B:$B,AN75)&amp;""="","Kosong","Belum terisi"),IF(IFERROR(--(INDEX('Reguler Class Availability'!$G:$G,AN75)&amp;""),0)/IFERROR(--(INDEX('Reguler Class Availability'!$F:$F,AN75)&amp;""),0)&gt;=0.6,"Tinggi","Sebagian"))))))</f>
        <v>Belum terisi</v>
      </c>
      <c r="AW75" s="0" t="str">
        <f aca="false">IF(AO75="","",IF(AND(IFERROR(--(INDEX('Reguler Class Availability'!$F:$F,AO75)&amp;""),0)=0,IFERROR(--(INDEX('Reguler Class Availability'!$G:$G,AO75)&amp;""),0)=0),IF(OR(INDEX('Reguler Class Availability'!$B:$B,AO75)&amp;""&lt;&gt;"",INDEX('Reguler Class Availability'!$I:$I,AO75)&amp;""&lt;&gt;""),"Tutup","Tidak dibuka"),IF(IFERROR(--(INDEX('Reguler Class Availability'!$G:$G,AO75)&amp;""),0)&gt;IFERROR(--(INDEX('Reguler Class Availability'!$F:$F,AO75)&amp;""),0),"Lebih",IF(IFERROR(--(INDEX('Reguler Class Availability'!$G:$G,AO75)&amp;""),0)=IFERROR(--(INDEX('Reguler Class Availability'!$F:$F,AO75)&amp;""),0),"Penuh",IF(IFERROR(--(INDEX('Reguler Class Availability'!$G:$G,AO75)&amp;""),0)=0,IF(INDEX('Reguler Class Availability'!$B:$B,AO75)&amp;""="","Kosong","Belum terisi"),IF(IFERROR(--(INDEX('Reguler Class Availability'!$G:$G,AO75)&amp;""),0)/IFERROR(--(INDEX('Reguler Class Availability'!$F:$F,AO75)&amp;""),0)&gt;=0.6,"Tinggi","Sebagian"))))))</f>
        <v>Belum terisi</v>
      </c>
      <c r="AX75" s="0" t="str">
        <f aca="false">IF(AP75="","",IF(AND(IFERROR(--(INDEX('Reguler Class Availability'!$F:$F,AP75)&amp;""),0)=0,IFERROR(--(INDEX('Reguler Class Availability'!$G:$G,AP75)&amp;""),0)=0),IF(OR(INDEX('Reguler Class Availability'!$B:$B,AP75)&amp;""&lt;&gt;"",INDEX('Reguler Class Availability'!$I:$I,AP75)&amp;""&lt;&gt;""),"Tutup","Tidak dibuka"),IF(IFERROR(--(INDEX('Reguler Class Availability'!$G:$G,AP75)&amp;""),0)&gt;IFERROR(--(INDEX('Reguler Class Availability'!$F:$F,AP75)&amp;""),0),"Lebih",IF(IFERROR(--(INDEX('Reguler Class Availability'!$G:$G,AP75)&amp;""),0)=IFERROR(--(INDEX('Reguler Class Availability'!$F:$F,AP75)&amp;""),0),"Penuh",IF(IFERROR(--(INDEX('Reguler Class Availability'!$G:$G,AP75)&amp;""),0)=0,IF(INDEX('Reguler Class Availability'!$B:$B,AP75)&amp;""="","Kosong","Belum terisi"),IF(IFERROR(--(INDEX('Reguler Class Availability'!$G:$G,AP75)&amp;""),0)/IFERROR(--(INDEX('Reguler Class Availability'!$F:$F,AP75)&amp;""),0)&gt;=0.6,"Tinggi","Sebagian"))))))</f>
        <v>Belum terisi</v>
      </c>
      <c r="AY75" s="0" t="str">
        <f aca="false">IF(AQ75="","",IF(AND(IFERROR(--(INDEX('Reguler Class Availability'!$F:$F,AQ75)&amp;""),0)=0,IFERROR(--(INDEX('Reguler Class Availability'!$G:$G,AQ75)&amp;""),0)=0),IF(OR(INDEX('Reguler Class Availability'!$B:$B,AQ75)&amp;""&lt;&gt;"",INDEX('Reguler Class Availability'!$I:$I,AQ75)&amp;""&lt;&gt;""),"Tutup","Tidak dibuka"),IF(IFERROR(--(INDEX('Reguler Class Availability'!$G:$G,AQ75)&amp;""),0)&gt;IFERROR(--(INDEX('Reguler Class Availability'!$F:$F,AQ75)&amp;""),0),"Lebih",IF(IFERROR(--(INDEX('Reguler Class Availability'!$G:$G,AQ75)&amp;""),0)=IFERROR(--(INDEX('Reguler Class Availability'!$F:$F,AQ75)&amp;""),0),"Penuh",IF(IFERROR(--(INDEX('Reguler Class Availability'!$G:$G,AQ75)&amp;""),0)=0,IF(INDEX('Reguler Class Availability'!$B:$B,AQ75)&amp;""="","Kosong","Belum terisi"),IF(IFERROR(--(INDEX('Reguler Class Availability'!$G:$G,AQ75)&amp;""),0)/IFERROR(--(INDEX('Reguler Class Availability'!$F:$F,AQ75)&amp;""),0)&gt;=0.6,"Tinggi","Sebagian"))))))</f>
        <v>Belum terisi</v>
      </c>
      <c r="AZ75" s="0" t="str">
        <f aca="false">IF(AR75="","",IF(AND(IFERROR(--(INDEX('Reguler Class Availability'!$F:$F,AR75)&amp;""),0)=0,IFERROR(--(INDEX('Reguler Class Availability'!$G:$G,AR75)&amp;""),0)=0),IF(OR(INDEX('Reguler Class Availability'!$B:$B,AR75)&amp;""&lt;&gt;"",INDEX('Reguler Class Availability'!$I:$I,AR75)&amp;""&lt;&gt;""),"Tutup","Tidak dibuka"),IF(IFERROR(--(INDEX('Reguler Class Availability'!$G:$G,AR75)&amp;""),0)&gt;IFERROR(--(INDEX('Reguler Class Availability'!$F:$F,AR75)&amp;""),0),"Lebih",IF(IFERROR(--(INDEX('Reguler Class Availability'!$G:$G,AR75)&amp;""),0)=IFERROR(--(INDEX('Reguler Class Availability'!$F:$F,AR75)&amp;""),0),"Penuh",IF(IFERROR(--(INDEX('Reguler Class Availability'!$G:$G,AR75)&amp;""),0)=0,IF(INDEX('Reguler Class Availability'!$B:$B,AR75)&amp;""="","Kosong","Belum terisi"),IF(IFERROR(--(INDEX('Reguler Class Availability'!$G:$G,AR75)&amp;""),0)/IFERROR(--(INDEX('Reguler Class Availability'!$F:$F,AR75)&amp;""),0)&gt;=0.6,"Tinggi","Sebagian"))))))</f>
        <v>Belum terisi</v>
      </c>
      <c r="BA75" s="0" t="str">
        <f aca="false">IF(AS75="","",IF(AND(IFERROR(--(INDEX('Reguler Class Availability'!$F:$F,AS75)&amp;""),0)=0,IFERROR(--(INDEX('Reguler Class Availability'!$G:$G,AS75)&amp;""),0)=0),IF(OR(INDEX('Reguler Class Availability'!$B:$B,AS75)&amp;""&lt;&gt;"",INDEX('Reguler Class Availability'!$I:$I,AS75)&amp;""&lt;&gt;""),"Tutup","Tidak dibuka"),IF(IFERROR(--(INDEX('Reguler Class Availability'!$G:$G,AS75)&amp;""),0)&gt;IFERROR(--(INDEX('Reguler Class Availability'!$F:$F,AS75)&amp;""),0),"Lebih",IF(IFERROR(--(INDEX('Reguler Class Availability'!$G:$G,AS75)&amp;""),0)=IFERROR(--(INDEX('Reguler Class Availability'!$F:$F,AS75)&amp;""),0),"Penuh",IF(IFERROR(--(INDEX('Reguler Class Availability'!$G:$G,AS75)&amp;""),0)=0,IF(INDEX('Reguler Class Availability'!$B:$B,AS75)&amp;""="","Kosong","Belum terisi"),IF(IFERROR(--(INDEX('Reguler Class Availability'!$G:$G,AS75)&amp;""),0)/IFERROR(--(INDEX('Reguler Class Availability'!$F:$F,AS75)&amp;""),0)&gt;=0.6,"Tinggi","Sebagian"))))))</f>
        <v>Belum terisi</v>
      </c>
      <c r="BB75" s="0" t="str">
        <f aca="false">IF(AT75="","",IF(AND(IFERROR(--(INDEX('Reguler Class Availability'!$F:$F,AT75)&amp;""),0)=0,IFERROR(--(INDEX('Reguler Class Availability'!$G:$G,AT75)&amp;""),0)=0),IF(OR(INDEX('Reguler Class Availability'!$B:$B,AT75)&amp;""&lt;&gt;"",INDEX('Reguler Class Availability'!$I:$I,AT75)&amp;""&lt;&gt;""),"Tutup","Tidak dibuka"),IF(IFERROR(--(INDEX('Reguler Class Availability'!$G:$G,AT75)&amp;""),0)&gt;IFERROR(--(INDEX('Reguler Class Availability'!$F:$F,AT75)&amp;""),0),"Lebih",IF(IFERROR(--(INDEX('Reguler Class Availability'!$G:$G,AT75)&amp;""),0)=IFERROR(--(INDEX('Reguler Class Availability'!$F:$F,AT75)&amp;""),0),"Penuh",IF(IFERROR(--(INDEX('Reguler Class Availability'!$G:$G,AT75)&amp;""),0)=0,IF(INDEX('Reguler Class Availability'!$B:$B,AT75)&amp;""="","Kosong","Belum terisi"),IF(IFERROR(--(INDEX('Reguler Class Availability'!$G:$G,AT75)&amp;""),0)/IFERROR(--(INDEX('Reguler Class Availability'!$F:$F,AT75)&amp;""),0)&gt;=0.6,"Tinggi","Sebagian"))))))</f>
        <v>Belum terisi</v>
      </c>
      <c r="BD75" s="30" t="s">
        <v>122</v>
      </c>
      <c r="BE75" s="30" t="n">
        <f aca="false">IF(COUNTIFS('Reguler Class Availability'!$L:$L,$B$4&amp;"|- Lane 2 - *|"&amp;BD75)&gt;0,1,0)</f>
        <v>0</v>
      </c>
      <c r="BF75" s="30" t="n">
        <f aca="false">BE75+BF74</f>
        <v>2</v>
      </c>
    </row>
    <row r="76" customFormat="false" ht="39.75" hidden="false" customHeight="true" outlineLevel="0" collapsed="false">
      <c r="A76" s="66" t="str">
        <f aca="false">IFERROR(INDEX($BD$182:$BD$241,MATCH(7,$BF$182:$BF$241,0)),"")</f>
        <v>13:30</v>
      </c>
      <c r="B76" s="67" t="str">
        <f aca="false">IF(AN76="","",IF(AV76="Tidak dibuka","–",IF(INDEX('Reguler Class Availability'!$B:$B,AN76)&amp;""="","Kosong",PROPER(INDEX('Reguler Class Availability'!$B:$B,AN76)&amp;""))&amp;"  "&amp;IFERROR(--(INDEX('Reguler Class Availability'!$G:$G,AN76)&amp;""),0)&amp;"/"&amp;IFERROR(--(INDEX('Reguler Class Availability'!$F:$F,AN76)&amp;""),0)&amp;IF(IFERROR(--(INDEX('Reguler Class Availability'!$F:$F,AN76)&amp;""),0)&gt;0,"  ("&amp;TEXT(IFERROR(--(INDEX('Reguler Class Availability'!$G:$G,AN76)&amp;""),0)/IFERROR(--(INDEX('Reguler Class Availability'!$F:$F,AN76)&amp;""),0),"0%")&amp;")","")&amp;CHAR(10)&amp;IF(INDEX('Reguler Class Availability'!$I:$I,AN76)&amp;""="","coach: –",PROPER(INDEX('Reguler Class Availability'!$I:$I,AN76)&amp;""))&amp;IF(INDEX('Reguler Class Availability'!$J:$J,AN76)&amp;""="","",CHAR(10)&amp;"asst: "&amp;PROPER(INDEX('Reguler Class Availability'!$J:$J,AN76)&amp;""))))</f>
        <v>Kids  0/4  (0%)
coach: –</v>
      </c>
      <c r="C76" s="67" t="str">
        <f aca="false">IF(AO76="","",IF(AW76="Tidak dibuka","–",IF(INDEX('Reguler Class Availability'!$B:$B,AO76)&amp;""="","Kosong",PROPER(INDEX('Reguler Class Availability'!$B:$B,AO76)&amp;""))&amp;"  "&amp;IFERROR(--(INDEX('Reguler Class Availability'!$G:$G,AO76)&amp;""),0)&amp;"/"&amp;IFERROR(--(INDEX('Reguler Class Availability'!$F:$F,AO76)&amp;""),0)&amp;IF(IFERROR(--(INDEX('Reguler Class Availability'!$F:$F,AO76)&amp;""),0)&gt;0,"  ("&amp;TEXT(IFERROR(--(INDEX('Reguler Class Availability'!$G:$G,AO76)&amp;""),0)/IFERROR(--(INDEX('Reguler Class Availability'!$F:$F,AO76)&amp;""),0),"0%")&amp;")","")&amp;CHAR(10)&amp;IF(INDEX('Reguler Class Availability'!$I:$I,AO76)&amp;""="","coach: –",PROPER(INDEX('Reguler Class Availability'!$I:$I,AO76)&amp;""))&amp;IF(INDEX('Reguler Class Availability'!$J:$J,AO76)&amp;""="","",CHAR(10)&amp;"asst: "&amp;PROPER(INDEX('Reguler Class Availability'!$J:$J,AO76)&amp;""))))</f>
        <v>Kids  0/4  (0%)
coach: –</v>
      </c>
      <c r="D76" s="67" t="str">
        <f aca="false">IF(AP76="","",IF(AX76="Tidak dibuka","–",IF(INDEX('Reguler Class Availability'!$B:$B,AP76)&amp;""="","Kosong",PROPER(INDEX('Reguler Class Availability'!$B:$B,AP76)&amp;""))&amp;"  "&amp;IFERROR(--(INDEX('Reguler Class Availability'!$G:$G,AP76)&amp;""),0)&amp;"/"&amp;IFERROR(--(INDEX('Reguler Class Availability'!$F:$F,AP76)&amp;""),0)&amp;IF(IFERROR(--(INDEX('Reguler Class Availability'!$F:$F,AP76)&amp;""),0)&gt;0,"  ("&amp;TEXT(IFERROR(--(INDEX('Reguler Class Availability'!$G:$G,AP76)&amp;""),0)/IFERROR(--(INDEX('Reguler Class Availability'!$F:$F,AP76)&amp;""),0),"0%")&amp;")","")&amp;CHAR(10)&amp;IF(INDEX('Reguler Class Availability'!$I:$I,AP76)&amp;""="","coach: –",PROPER(INDEX('Reguler Class Availability'!$I:$I,AP76)&amp;""))&amp;IF(INDEX('Reguler Class Availability'!$J:$J,AP76)&amp;""="","",CHAR(10)&amp;"asst: "&amp;PROPER(INDEX('Reguler Class Availability'!$J:$J,AP76)&amp;""))))</f>
        <v>Kids  1/4  (25%)
Rizky</v>
      </c>
      <c r="E76" s="67" t="str">
        <f aca="false">IF(AQ76="","",IF(AY76="Tidak dibuka","–",IF(INDEX('Reguler Class Availability'!$B:$B,AQ76)&amp;""="","Kosong",PROPER(INDEX('Reguler Class Availability'!$B:$B,AQ76)&amp;""))&amp;"  "&amp;IFERROR(--(INDEX('Reguler Class Availability'!$G:$G,AQ76)&amp;""),0)&amp;"/"&amp;IFERROR(--(INDEX('Reguler Class Availability'!$F:$F,AQ76)&amp;""),0)&amp;IF(IFERROR(--(INDEX('Reguler Class Availability'!$F:$F,AQ76)&amp;""),0)&gt;0,"  ("&amp;TEXT(IFERROR(--(INDEX('Reguler Class Availability'!$G:$G,AQ76)&amp;""),0)/IFERROR(--(INDEX('Reguler Class Availability'!$F:$F,AQ76)&amp;""),0),"0%")&amp;")","")&amp;CHAR(10)&amp;IF(INDEX('Reguler Class Availability'!$I:$I,AQ76)&amp;""="","coach: –",PROPER(INDEX('Reguler Class Availability'!$I:$I,AQ76)&amp;""))&amp;IF(INDEX('Reguler Class Availability'!$J:$J,AQ76)&amp;""="","",CHAR(10)&amp;"asst: "&amp;PROPER(INDEX('Reguler Class Availability'!$J:$J,AQ76)&amp;""))))</f>
        <v>Kids  0/4  (0%)
coach: –</v>
      </c>
      <c r="F76" s="67" t="str">
        <f aca="false">IF(AR76="","",IF(AZ76="Tidak dibuka","–",IF(INDEX('Reguler Class Availability'!$B:$B,AR76)&amp;""="","Kosong",PROPER(INDEX('Reguler Class Availability'!$B:$B,AR76)&amp;""))&amp;"  "&amp;IFERROR(--(INDEX('Reguler Class Availability'!$G:$G,AR76)&amp;""),0)&amp;"/"&amp;IFERROR(--(INDEX('Reguler Class Availability'!$F:$F,AR76)&amp;""),0)&amp;IF(IFERROR(--(INDEX('Reguler Class Availability'!$F:$F,AR76)&amp;""),0)&gt;0,"  ("&amp;TEXT(IFERROR(--(INDEX('Reguler Class Availability'!$G:$G,AR76)&amp;""),0)/IFERROR(--(INDEX('Reguler Class Availability'!$F:$F,AR76)&amp;""),0),"0%")&amp;")","")&amp;CHAR(10)&amp;IF(INDEX('Reguler Class Availability'!$I:$I,AR76)&amp;""="","coach: –",PROPER(INDEX('Reguler Class Availability'!$I:$I,AR76)&amp;""))&amp;IF(INDEX('Reguler Class Availability'!$J:$J,AR76)&amp;""="","",CHAR(10)&amp;"asst: "&amp;PROPER(INDEX('Reguler Class Availability'!$J:$J,AR76)&amp;""))))</f>
        <v>Kids  2/4  (50%)
Juan</v>
      </c>
      <c r="G76" s="67" t="str">
        <f aca="false">IF(AS76="","",IF(BA76="Tidak dibuka","–",IF(INDEX('Reguler Class Availability'!$B:$B,AS76)&amp;""="","Kosong",PROPER(INDEX('Reguler Class Availability'!$B:$B,AS76)&amp;""))&amp;"  "&amp;IFERROR(--(INDEX('Reguler Class Availability'!$G:$G,AS76)&amp;""),0)&amp;"/"&amp;IFERROR(--(INDEX('Reguler Class Availability'!$F:$F,AS76)&amp;""),0)&amp;IF(IFERROR(--(INDEX('Reguler Class Availability'!$F:$F,AS76)&amp;""),0)&gt;0,"  ("&amp;TEXT(IFERROR(--(INDEX('Reguler Class Availability'!$G:$G,AS76)&amp;""),0)/IFERROR(--(INDEX('Reguler Class Availability'!$F:$F,AS76)&amp;""),0),"0%")&amp;")","")&amp;CHAR(10)&amp;IF(INDEX('Reguler Class Availability'!$I:$I,AS76)&amp;""="","coach: –",PROPER(INDEX('Reguler Class Availability'!$I:$I,AS76)&amp;""))&amp;IF(INDEX('Reguler Class Availability'!$J:$J,AS76)&amp;""="","",CHAR(10)&amp;"asst: "&amp;PROPER(INDEX('Reguler Class Availability'!$J:$J,AS76)&amp;""))))</f>
        <v>Kids  3/4  (75%)
Angga</v>
      </c>
      <c r="H76" s="67" t="str">
        <f aca="false">IF(AT76="","",IF(BB76="Tidak dibuka","–",IF(INDEX('Reguler Class Availability'!$B:$B,AT76)&amp;""="","Kosong",PROPER(INDEX('Reguler Class Availability'!$B:$B,AT76)&amp;""))&amp;"  "&amp;IFERROR(--(INDEX('Reguler Class Availability'!$G:$G,AT76)&amp;""),0)&amp;"/"&amp;IFERROR(--(INDEX('Reguler Class Availability'!$F:$F,AT76)&amp;""),0)&amp;IF(IFERROR(--(INDEX('Reguler Class Availability'!$F:$F,AT76)&amp;""),0)&gt;0,"  ("&amp;TEXT(IFERROR(--(INDEX('Reguler Class Availability'!$G:$G,AT76)&amp;""),0)/IFERROR(--(INDEX('Reguler Class Availability'!$F:$F,AT76)&amp;""),0),"0%")&amp;")","")&amp;CHAR(10)&amp;IF(INDEX('Reguler Class Availability'!$I:$I,AT76)&amp;""="","coach: –",PROPER(INDEX('Reguler Class Availability'!$I:$I,AT76)&amp;""))&amp;IF(INDEX('Reguler Class Availability'!$J:$J,AT76)&amp;""="","",CHAR(10)&amp;"asst: "&amp;PROPER(INDEX('Reguler Class Availability'!$J:$J,AT76)&amp;""))))</f>
        <v>Kids  0/4  (0%)
coach: –</v>
      </c>
      <c r="AN76" s="30" t="n">
        <f aca="false">IF($A76="","",IFERROR(MATCH($B$4&amp;"|- Lane 4 - "&amp;B$69&amp;"|"&amp;$A76,'Reguler Class Availability'!$L:$L,0),""))</f>
        <v>2682</v>
      </c>
      <c r="AO76" s="30" t="n">
        <f aca="false">IF($A76="","",IFERROR(MATCH($B$4&amp;"|- Lane 4 - "&amp;C$69&amp;"|"&amp;$A76,'Reguler Class Availability'!$L:$L,0),""))</f>
        <v>2694</v>
      </c>
      <c r="AP76" s="30" t="n">
        <f aca="false">IF($A76="","",IFERROR(MATCH($B$4&amp;"|- Lane 4 - "&amp;D$69&amp;"|"&amp;$A76,'Reguler Class Availability'!$L:$L,0),""))</f>
        <v>2706</v>
      </c>
      <c r="AQ76" s="30" t="n">
        <f aca="false">IF($A76="","",IFERROR(MATCH($B$4&amp;"|- Lane 4 - "&amp;E$69&amp;"|"&amp;$A76,'Reguler Class Availability'!$L:$L,0),""))</f>
        <v>2718</v>
      </c>
      <c r="AR76" s="30" t="n">
        <f aca="false">IF($A76="","",IFERROR(MATCH($B$4&amp;"|- Lane 4 - "&amp;F$69&amp;"|"&amp;$A76,'Reguler Class Availability'!$L:$L,0),""))</f>
        <v>2730</v>
      </c>
      <c r="AS76" s="30" t="n">
        <f aca="false">IF($A76="","",IFERROR(MATCH($B$4&amp;"|- Lane 4 - "&amp;G$69&amp;"|"&amp;$A76,'Reguler Class Availability'!$L:$L,0),""))</f>
        <v>2742</v>
      </c>
      <c r="AT76" s="30" t="n">
        <f aca="false">IF($A76="","",IFERROR(MATCH($B$4&amp;"|- Lane 4 - "&amp;H$69&amp;"|"&amp;$A76,'Reguler Class Availability'!$L:$L,0),""))</f>
        <v>2754</v>
      </c>
      <c r="AV76" s="0" t="str">
        <f aca="false">IF(AN76="","",IF(AND(IFERROR(--(INDEX('Reguler Class Availability'!$F:$F,AN76)&amp;""),0)=0,IFERROR(--(INDEX('Reguler Class Availability'!$G:$G,AN76)&amp;""),0)=0),IF(OR(INDEX('Reguler Class Availability'!$B:$B,AN76)&amp;""&lt;&gt;"",INDEX('Reguler Class Availability'!$I:$I,AN76)&amp;""&lt;&gt;""),"Tutup","Tidak dibuka"),IF(IFERROR(--(INDEX('Reguler Class Availability'!$G:$G,AN76)&amp;""),0)&gt;IFERROR(--(INDEX('Reguler Class Availability'!$F:$F,AN76)&amp;""),0),"Lebih",IF(IFERROR(--(INDEX('Reguler Class Availability'!$G:$G,AN76)&amp;""),0)=IFERROR(--(INDEX('Reguler Class Availability'!$F:$F,AN76)&amp;""),0),"Penuh",IF(IFERROR(--(INDEX('Reguler Class Availability'!$G:$G,AN76)&amp;""),0)=0,IF(INDEX('Reguler Class Availability'!$B:$B,AN76)&amp;""="","Kosong","Belum terisi"),IF(IFERROR(--(INDEX('Reguler Class Availability'!$G:$G,AN76)&amp;""),0)/IFERROR(--(INDEX('Reguler Class Availability'!$F:$F,AN76)&amp;""),0)&gt;=0.6,"Tinggi","Sebagian"))))))</f>
        <v>Belum terisi</v>
      </c>
      <c r="AW76" s="0" t="str">
        <f aca="false">IF(AO76="","",IF(AND(IFERROR(--(INDEX('Reguler Class Availability'!$F:$F,AO76)&amp;""),0)=0,IFERROR(--(INDEX('Reguler Class Availability'!$G:$G,AO76)&amp;""),0)=0),IF(OR(INDEX('Reguler Class Availability'!$B:$B,AO76)&amp;""&lt;&gt;"",INDEX('Reguler Class Availability'!$I:$I,AO76)&amp;""&lt;&gt;""),"Tutup","Tidak dibuka"),IF(IFERROR(--(INDEX('Reguler Class Availability'!$G:$G,AO76)&amp;""),0)&gt;IFERROR(--(INDEX('Reguler Class Availability'!$F:$F,AO76)&amp;""),0),"Lebih",IF(IFERROR(--(INDEX('Reguler Class Availability'!$G:$G,AO76)&amp;""),0)=IFERROR(--(INDEX('Reguler Class Availability'!$F:$F,AO76)&amp;""),0),"Penuh",IF(IFERROR(--(INDEX('Reguler Class Availability'!$G:$G,AO76)&amp;""),0)=0,IF(INDEX('Reguler Class Availability'!$B:$B,AO76)&amp;""="","Kosong","Belum terisi"),IF(IFERROR(--(INDEX('Reguler Class Availability'!$G:$G,AO76)&amp;""),0)/IFERROR(--(INDEX('Reguler Class Availability'!$F:$F,AO76)&amp;""),0)&gt;=0.6,"Tinggi","Sebagian"))))))</f>
        <v>Belum terisi</v>
      </c>
      <c r="AX76" s="0" t="str">
        <f aca="false">IF(AP76="","",IF(AND(IFERROR(--(INDEX('Reguler Class Availability'!$F:$F,AP76)&amp;""),0)=0,IFERROR(--(INDEX('Reguler Class Availability'!$G:$G,AP76)&amp;""),0)=0),IF(OR(INDEX('Reguler Class Availability'!$B:$B,AP76)&amp;""&lt;&gt;"",INDEX('Reguler Class Availability'!$I:$I,AP76)&amp;""&lt;&gt;""),"Tutup","Tidak dibuka"),IF(IFERROR(--(INDEX('Reguler Class Availability'!$G:$G,AP76)&amp;""),0)&gt;IFERROR(--(INDEX('Reguler Class Availability'!$F:$F,AP76)&amp;""),0),"Lebih",IF(IFERROR(--(INDEX('Reguler Class Availability'!$G:$G,AP76)&amp;""),0)=IFERROR(--(INDEX('Reguler Class Availability'!$F:$F,AP76)&amp;""),0),"Penuh",IF(IFERROR(--(INDEX('Reguler Class Availability'!$G:$G,AP76)&amp;""),0)=0,IF(INDEX('Reguler Class Availability'!$B:$B,AP76)&amp;""="","Kosong","Belum terisi"),IF(IFERROR(--(INDEX('Reguler Class Availability'!$G:$G,AP76)&amp;""),0)/IFERROR(--(INDEX('Reguler Class Availability'!$F:$F,AP76)&amp;""),0)&gt;=0.6,"Tinggi","Sebagian"))))))</f>
        <v>Sebagian</v>
      </c>
      <c r="AY76" s="0" t="str">
        <f aca="false">IF(AQ76="","",IF(AND(IFERROR(--(INDEX('Reguler Class Availability'!$F:$F,AQ76)&amp;""),0)=0,IFERROR(--(INDEX('Reguler Class Availability'!$G:$G,AQ76)&amp;""),0)=0),IF(OR(INDEX('Reguler Class Availability'!$B:$B,AQ76)&amp;""&lt;&gt;"",INDEX('Reguler Class Availability'!$I:$I,AQ76)&amp;""&lt;&gt;""),"Tutup","Tidak dibuka"),IF(IFERROR(--(INDEX('Reguler Class Availability'!$G:$G,AQ76)&amp;""),0)&gt;IFERROR(--(INDEX('Reguler Class Availability'!$F:$F,AQ76)&amp;""),0),"Lebih",IF(IFERROR(--(INDEX('Reguler Class Availability'!$G:$G,AQ76)&amp;""),0)=IFERROR(--(INDEX('Reguler Class Availability'!$F:$F,AQ76)&amp;""),0),"Penuh",IF(IFERROR(--(INDEX('Reguler Class Availability'!$G:$G,AQ76)&amp;""),0)=0,IF(INDEX('Reguler Class Availability'!$B:$B,AQ76)&amp;""="","Kosong","Belum terisi"),IF(IFERROR(--(INDEX('Reguler Class Availability'!$G:$G,AQ76)&amp;""),0)/IFERROR(--(INDEX('Reguler Class Availability'!$F:$F,AQ76)&amp;""),0)&gt;=0.6,"Tinggi","Sebagian"))))))</f>
        <v>Belum terisi</v>
      </c>
      <c r="AZ76" s="0" t="str">
        <f aca="false">IF(AR76="","",IF(AND(IFERROR(--(INDEX('Reguler Class Availability'!$F:$F,AR76)&amp;""),0)=0,IFERROR(--(INDEX('Reguler Class Availability'!$G:$G,AR76)&amp;""),0)=0),IF(OR(INDEX('Reguler Class Availability'!$B:$B,AR76)&amp;""&lt;&gt;"",INDEX('Reguler Class Availability'!$I:$I,AR76)&amp;""&lt;&gt;""),"Tutup","Tidak dibuka"),IF(IFERROR(--(INDEX('Reguler Class Availability'!$G:$G,AR76)&amp;""),0)&gt;IFERROR(--(INDEX('Reguler Class Availability'!$F:$F,AR76)&amp;""),0),"Lebih",IF(IFERROR(--(INDEX('Reguler Class Availability'!$G:$G,AR76)&amp;""),0)=IFERROR(--(INDEX('Reguler Class Availability'!$F:$F,AR76)&amp;""),0),"Penuh",IF(IFERROR(--(INDEX('Reguler Class Availability'!$G:$G,AR76)&amp;""),0)=0,IF(INDEX('Reguler Class Availability'!$B:$B,AR76)&amp;""="","Kosong","Belum terisi"),IF(IFERROR(--(INDEX('Reguler Class Availability'!$G:$G,AR76)&amp;""),0)/IFERROR(--(INDEX('Reguler Class Availability'!$F:$F,AR76)&amp;""),0)&gt;=0.6,"Tinggi","Sebagian"))))))</f>
        <v>Sebagian</v>
      </c>
      <c r="BA76" s="0" t="str">
        <f aca="false">IF(AS76="","",IF(AND(IFERROR(--(INDEX('Reguler Class Availability'!$F:$F,AS76)&amp;""),0)=0,IFERROR(--(INDEX('Reguler Class Availability'!$G:$G,AS76)&amp;""),0)=0),IF(OR(INDEX('Reguler Class Availability'!$B:$B,AS76)&amp;""&lt;&gt;"",INDEX('Reguler Class Availability'!$I:$I,AS76)&amp;""&lt;&gt;""),"Tutup","Tidak dibuka"),IF(IFERROR(--(INDEX('Reguler Class Availability'!$G:$G,AS76)&amp;""),0)&gt;IFERROR(--(INDEX('Reguler Class Availability'!$F:$F,AS76)&amp;""),0),"Lebih",IF(IFERROR(--(INDEX('Reguler Class Availability'!$G:$G,AS76)&amp;""),0)=IFERROR(--(INDEX('Reguler Class Availability'!$F:$F,AS76)&amp;""),0),"Penuh",IF(IFERROR(--(INDEX('Reguler Class Availability'!$G:$G,AS76)&amp;""),0)=0,IF(INDEX('Reguler Class Availability'!$B:$B,AS76)&amp;""="","Kosong","Belum terisi"),IF(IFERROR(--(INDEX('Reguler Class Availability'!$G:$G,AS76)&amp;""),0)/IFERROR(--(INDEX('Reguler Class Availability'!$F:$F,AS76)&amp;""),0)&gt;=0.6,"Tinggi","Sebagian"))))))</f>
        <v>Tinggi</v>
      </c>
      <c r="BB76" s="0" t="str">
        <f aca="false">IF(AT76="","",IF(AND(IFERROR(--(INDEX('Reguler Class Availability'!$F:$F,AT76)&amp;""),0)=0,IFERROR(--(INDEX('Reguler Class Availability'!$G:$G,AT76)&amp;""),0)=0),IF(OR(INDEX('Reguler Class Availability'!$B:$B,AT76)&amp;""&lt;&gt;"",INDEX('Reguler Class Availability'!$I:$I,AT76)&amp;""&lt;&gt;""),"Tutup","Tidak dibuka"),IF(IFERROR(--(INDEX('Reguler Class Availability'!$G:$G,AT76)&amp;""),0)&gt;IFERROR(--(INDEX('Reguler Class Availability'!$F:$F,AT76)&amp;""),0),"Lebih",IF(IFERROR(--(INDEX('Reguler Class Availability'!$G:$G,AT76)&amp;""),0)=IFERROR(--(INDEX('Reguler Class Availability'!$F:$F,AT76)&amp;""),0),"Penuh",IF(IFERROR(--(INDEX('Reguler Class Availability'!$G:$G,AT76)&amp;""),0)=0,IF(INDEX('Reguler Class Availability'!$B:$B,AT76)&amp;""="","Kosong","Belum terisi"),IF(IFERROR(--(INDEX('Reguler Class Availability'!$G:$G,AT76)&amp;""),0)/IFERROR(--(INDEX('Reguler Class Availability'!$F:$F,AT76)&amp;""),0)&gt;=0.6,"Tinggi","Sebagian"))))))</f>
        <v>Belum terisi</v>
      </c>
      <c r="BD76" s="30" t="s">
        <v>123</v>
      </c>
      <c r="BE76" s="30" t="n">
        <f aca="false">IF(COUNTIFS('Reguler Class Availability'!$L:$L,$B$4&amp;"|- Lane 2 - *|"&amp;BD76)&gt;0,1,0)</f>
        <v>1</v>
      </c>
      <c r="BF76" s="30" t="n">
        <f aca="false">BE76+BF75</f>
        <v>3</v>
      </c>
    </row>
    <row r="77" customFormat="false" ht="39.75" hidden="false" customHeight="true" outlineLevel="0" collapsed="false">
      <c r="A77" s="66" t="str">
        <f aca="false">IFERROR(INDEX($BD$182:$BD$241,MATCH(8,$BF$182:$BF$241,0)),"")</f>
        <v>14:15</v>
      </c>
      <c r="B77" s="67" t="str">
        <f aca="false">IF(AN77="","",IF(AV77="Tidak dibuka","–",IF(INDEX('Reguler Class Availability'!$B:$B,AN77)&amp;""="","Kosong",PROPER(INDEX('Reguler Class Availability'!$B:$B,AN77)&amp;""))&amp;"  "&amp;IFERROR(--(INDEX('Reguler Class Availability'!$G:$G,AN77)&amp;""),0)&amp;"/"&amp;IFERROR(--(INDEX('Reguler Class Availability'!$F:$F,AN77)&amp;""),0)&amp;IF(IFERROR(--(INDEX('Reguler Class Availability'!$F:$F,AN77)&amp;""),0)&gt;0,"  ("&amp;TEXT(IFERROR(--(INDEX('Reguler Class Availability'!$G:$G,AN77)&amp;""),0)/IFERROR(--(INDEX('Reguler Class Availability'!$F:$F,AN77)&amp;""),0),"0%")&amp;")","")&amp;CHAR(10)&amp;IF(INDEX('Reguler Class Availability'!$I:$I,AN77)&amp;""="","coach: –",PROPER(INDEX('Reguler Class Availability'!$I:$I,AN77)&amp;""))&amp;IF(INDEX('Reguler Class Availability'!$J:$J,AN77)&amp;""="","",CHAR(10)&amp;"asst: "&amp;PROPER(INDEX('Reguler Class Availability'!$J:$J,AN77)&amp;""))))</f>
        <v>Kids  0/4  (0%)
coach: –</v>
      </c>
      <c r="C77" s="67" t="str">
        <f aca="false">IF(AO77="","",IF(AW77="Tidak dibuka","–",IF(INDEX('Reguler Class Availability'!$B:$B,AO77)&amp;""="","Kosong",PROPER(INDEX('Reguler Class Availability'!$B:$B,AO77)&amp;""))&amp;"  "&amp;IFERROR(--(INDEX('Reguler Class Availability'!$G:$G,AO77)&amp;""),0)&amp;"/"&amp;IFERROR(--(INDEX('Reguler Class Availability'!$F:$F,AO77)&amp;""),0)&amp;IF(IFERROR(--(INDEX('Reguler Class Availability'!$F:$F,AO77)&amp;""),0)&gt;0,"  ("&amp;TEXT(IFERROR(--(INDEX('Reguler Class Availability'!$G:$G,AO77)&amp;""),0)/IFERROR(--(INDEX('Reguler Class Availability'!$F:$F,AO77)&amp;""),0),"0%")&amp;")","")&amp;CHAR(10)&amp;IF(INDEX('Reguler Class Availability'!$I:$I,AO77)&amp;""="","coach: –",PROPER(INDEX('Reguler Class Availability'!$I:$I,AO77)&amp;""))&amp;IF(INDEX('Reguler Class Availability'!$J:$J,AO77)&amp;""="","",CHAR(10)&amp;"asst: "&amp;PROPER(INDEX('Reguler Class Availability'!$J:$J,AO77)&amp;""))))</f>
        <v>Kids  1/4  (25%)
Silvi</v>
      </c>
      <c r="D77" s="67" t="str">
        <f aca="false">IF(AP77="","",IF(AX77="Tidak dibuka","–",IF(INDEX('Reguler Class Availability'!$B:$B,AP77)&amp;""="","Kosong",PROPER(INDEX('Reguler Class Availability'!$B:$B,AP77)&amp;""))&amp;"  "&amp;IFERROR(--(INDEX('Reguler Class Availability'!$G:$G,AP77)&amp;""),0)&amp;"/"&amp;IFERROR(--(INDEX('Reguler Class Availability'!$F:$F,AP77)&amp;""),0)&amp;IF(IFERROR(--(INDEX('Reguler Class Availability'!$F:$F,AP77)&amp;""),0)&gt;0,"  ("&amp;TEXT(IFERROR(--(INDEX('Reguler Class Availability'!$G:$G,AP77)&amp;""),0)/IFERROR(--(INDEX('Reguler Class Availability'!$F:$F,AP77)&amp;""),0),"0%")&amp;")","")&amp;CHAR(10)&amp;IF(INDEX('Reguler Class Availability'!$I:$I,AP77)&amp;""="","coach: –",PROPER(INDEX('Reguler Class Availability'!$I:$I,AP77)&amp;""))&amp;IF(INDEX('Reguler Class Availability'!$J:$J,AP77)&amp;""="","",CHAR(10)&amp;"asst: "&amp;PROPER(INDEX('Reguler Class Availability'!$J:$J,AP77)&amp;""))))</f>
        <v>Kids  0/4  (0%)
coach: –</v>
      </c>
      <c r="E77" s="67" t="str">
        <f aca="false">IF(AQ77="","",IF(AY77="Tidak dibuka","–",IF(INDEX('Reguler Class Availability'!$B:$B,AQ77)&amp;""="","Kosong",PROPER(INDEX('Reguler Class Availability'!$B:$B,AQ77)&amp;""))&amp;"  "&amp;IFERROR(--(INDEX('Reguler Class Availability'!$G:$G,AQ77)&amp;""),0)&amp;"/"&amp;IFERROR(--(INDEX('Reguler Class Availability'!$F:$F,AQ77)&amp;""),0)&amp;IF(IFERROR(--(INDEX('Reguler Class Availability'!$F:$F,AQ77)&amp;""),0)&gt;0,"  ("&amp;TEXT(IFERROR(--(INDEX('Reguler Class Availability'!$G:$G,AQ77)&amp;""),0)/IFERROR(--(INDEX('Reguler Class Availability'!$F:$F,AQ77)&amp;""),0),"0%")&amp;")","")&amp;CHAR(10)&amp;IF(INDEX('Reguler Class Availability'!$I:$I,AQ77)&amp;""="","coach: –",PROPER(INDEX('Reguler Class Availability'!$I:$I,AQ77)&amp;""))&amp;IF(INDEX('Reguler Class Availability'!$J:$J,AQ77)&amp;""="","",CHAR(10)&amp;"asst: "&amp;PROPER(INDEX('Reguler Class Availability'!$J:$J,AQ77)&amp;""))))</f>
        <v>Kids  1/4  (25%)
Indra</v>
      </c>
      <c r="F77" s="67" t="str">
        <f aca="false">IF(AR77="","",IF(AZ77="Tidak dibuka","–",IF(INDEX('Reguler Class Availability'!$B:$B,AR77)&amp;""="","Kosong",PROPER(INDEX('Reguler Class Availability'!$B:$B,AR77)&amp;""))&amp;"  "&amp;IFERROR(--(INDEX('Reguler Class Availability'!$G:$G,AR77)&amp;""),0)&amp;"/"&amp;IFERROR(--(INDEX('Reguler Class Availability'!$F:$F,AR77)&amp;""),0)&amp;IF(IFERROR(--(INDEX('Reguler Class Availability'!$F:$F,AR77)&amp;""),0)&gt;0,"  ("&amp;TEXT(IFERROR(--(INDEX('Reguler Class Availability'!$G:$G,AR77)&amp;""),0)/IFERROR(--(INDEX('Reguler Class Availability'!$F:$F,AR77)&amp;""),0),"0%")&amp;")","")&amp;CHAR(10)&amp;IF(INDEX('Reguler Class Availability'!$I:$I,AR77)&amp;""="","coach: –",PROPER(INDEX('Reguler Class Availability'!$I:$I,AR77)&amp;""))&amp;IF(INDEX('Reguler Class Availability'!$J:$J,AR77)&amp;""="","",CHAR(10)&amp;"asst: "&amp;PROPER(INDEX('Reguler Class Availability'!$J:$J,AR77)&amp;""))))</f>
        <v>Kids  2/4  (50%)
Juan</v>
      </c>
      <c r="G77" s="67" t="str">
        <f aca="false">IF(AS77="","",IF(BA77="Tidak dibuka","–",IF(INDEX('Reguler Class Availability'!$B:$B,AS77)&amp;""="","Kosong",PROPER(INDEX('Reguler Class Availability'!$B:$B,AS77)&amp;""))&amp;"  "&amp;IFERROR(--(INDEX('Reguler Class Availability'!$G:$G,AS77)&amp;""),0)&amp;"/"&amp;IFERROR(--(INDEX('Reguler Class Availability'!$F:$F,AS77)&amp;""),0)&amp;IF(IFERROR(--(INDEX('Reguler Class Availability'!$F:$F,AS77)&amp;""),0)&gt;0,"  ("&amp;TEXT(IFERROR(--(INDEX('Reguler Class Availability'!$G:$G,AS77)&amp;""),0)/IFERROR(--(INDEX('Reguler Class Availability'!$F:$F,AS77)&amp;""),0),"0%")&amp;")","")&amp;CHAR(10)&amp;IF(INDEX('Reguler Class Availability'!$I:$I,AS77)&amp;""="","coach: –",PROPER(INDEX('Reguler Class Availability'!$I:$I,AS77)&amp;""))&amp;IF(INDEX('Reguler Class Availability'!$J:$J,AS77)&amp;""="","",CHAR(10)&amp;"asst: "&amp;PROPER(INDEX('Reguler Class Availability'!$J:$J,AS77)&amp;""))))</f>
        <v>Kids  4/4  (100%)
Silvi</v>
      </c>
      <c r="H77" s="67" t="str">
        <f aca="false">IF(AT77="","",IF(BB77="Tidak dibuka","–",IF(INDEX('Reguler Class Availability'!$B:$B,AT77)&amp;""="","Kosong",PROPER(INDEX('Reguler Class Availability'!$B:$B,AT77)&amp;""))&amp;"  "&amp;IFERROR(--(INDEX('Reguler Class Availability'!$G:$G,AT77)&amp;""),0)&amp;"/"&amp;IFERROR(--(INDEX('Reguler Class Availability'!$F:$F,AT77)&amp;""),0)&amp;IF(IFERROR(--(INDEX('Reguler Class Availability'!$F:$F,AT77)&amp;""),0)&gt;0,"  ("&amp;TEXT(IFERROR(--(INDEX('Reguler Class Availability'!$G:$G,AT77)&amp;""),0)/IFERROR(--(INDEX('Reguler Class Availability'!$F:$F,AT77)&amp;""),0),"0%")&amp;")","")&amp;CHAR(10)&amp;IF(INDEX('Reguler Class Availability'!$I:$I,AT77)&amp;""="","coach: –",PROPER(INDEX('Reguler Class Availability'!$I:$I,AT77)&amp;""))&amp;IF(INDEX('Reguler Class Availability'!$J:$J,AT77)&amp;""="","",CHAR(10)&amp;"asst: "&amp;PROPER(INDEX('Reguler Class Availability'!$J:$J,AT77)&amp;""))))</f>
        <v>Kids  1/4  (25%)
Indra</v>
      </c>
      <c r="AN77" s="30" t="n">
        <f aca="false">IF($A77="","",IFERROR(MATCH($B$4&amp;"|- Lane 4 - "&amp;B$69&amp;"|"&amp;$A77,'Reguler Class Availability'!$L:$L,0),""))</f>
        <v>2683</v>
      </c>
      <c r="AO77" s="30" t="n">
        <f aca="false">IF($A77="","",IFERROR(MATCH($B$4&amp;"|- Lane 4 - "&amp;C$69&amp;"|"&amp;$A77,'Reguler Class Availability'!$L:$L,0),""))</f>
        <v>2695</v>
      </c>
      <c r="AP77" s="30" t="n">
        <f aca="false">IF($A77="","",IFERROR(MATCH($B$4&amp;"|- Lane 4 - "&amp;D$69&amp;"|"&amp;$A77,'Reguler Class Availability'!$L:$L,0),""))</f>
        <v>2707</v>
      </c>
      <c r="AQ77" s="30" t="n">
        <f aca="false">IF($A77="","",IFERROR(MATCH($B$4&amp;"|- Lane 4 - "&amp;E$69&amp;"|"&amp;$A77,'Reguler Class Availability'!$L:$L,0),""))</f>
        <v>2719</v>
      </c>
      <c r="AR77" s="30" t="n">
        <f aca="false">IF($A77="","",IFERROR(MATCH($B$4&amp;"|- Lane 4 - "&amp;F$69&amp;"|"&amp;$A77,'Reguler Class Availability'!$L:$L,0),""))</f>
        <v>2731</v>
      </c>
      <c r="AS77" s="30" t="n">
        <f aca="false">IF($A77="","",IFERROR(MATCH($B$4&amp;"|- Lane 4 - "&amp;G$69&amp;"|"&amp;$A77,'Reguler Class Availability'!$L:$L,0),""))</f>
        <v>2743</v>
      </c>
      <c r="AT77" s="30" t="n">
        <f aca="false">IF($A77="","",IFERROR(MATCH($B$4&amp;"|- Lane 4 - "&amp;H$69&amp;"|"&amp;$A77,'Reguler Class Availability'!$L:$L,0),""))</f>
        <v>2755</v>
      </c>
      <c r="AV77" s="0" t="str">
        <f aca="false">IF(AN77="","",IF(AND(IFERROR(--(INDEX('Reguler Class Availability'!$F:$F,AN77)&amp;""),0)=0,IFERROR(--(INDEX('Reguler Class Availability'!$G:$G,AN77)&amp;""),0)=0),IF(OR(INDEX('Reguler Class Availability'!$B:$B,AN77)&amp;""&lt;&gt;"",INDEX('Reguler Class Availability'!$I:$I,AN77)&amp;""&lt;&gt;""),"Tutup","Tidak dibuka"),IF(IFERROR(--(INDEX('Reguler Class Availability'!$G:$G,AN77)&amp;""),0)&gt;IFERROR(--(INDEX('Reguler Class Availability'!$F:$F,AN77)&amp;""),0),"Lebih",IF(IFERROR(--(INDEX('Reguler Class Availability'!$G:$G,AN77)&amp;""),0)=IFERROR(--(INDEX('Reguler Class Availability'!$F:$F,AN77)&amp;""),0),"Penuh",IF(IFERROR(--(INDEX('Reguler Class Availability'!$G:$G,AN77)&amp;""),0)=0,IF(INDEX('Reguler Class Availability'!$B:$B,AN77)&amp;""="","Kosong","Belum terisi"),IF(IFERROR(--(INDEX('Reguler Class Availability'!$G:$G,AN77)&amp;""),0)/IFERROR(--(INDEX('Reguler Class Availability'!$F:$F,AN77)&amp;""),0)&gt;=0.6,"Tinggi","Sebagian"))))))</f>
        <v>Belum terisi</v>
      </c>
      <c r="AW77" s="0" t="str">
        <f aca="false">IF(AO77="","",IF(AND(IFERROR(--(INDEX('Reguler Class Availability'!$F:$F,AO77)&amp;""),0)=0,IFERROR(--(INDEX('Reguler Class Availability'!$G:$G,AO77)&amp;""),0)=0),IF(OR(INDEX('Reguler Class Availability'!$B:$B,AO77)&amp;""&lt;&gt;"",INDEX('Reguler Class Availability'!$I:$I,AO77)&amp;""&lt;&gt;""),"Tutup","Tidak dibuka"),IF(IFERROR(--(INDEX('Reguler Class Availability'!$G:$G,AO77)&amp;""),0)&gt;IFERROR(--(INDEX('Reguler Class Availability'!$F:$F,AO77)&amp;""),0),"Lebih",IF(IFERROR(--(INDEX('Reguler Class Availability'!$G:$G,AO77)&amp;""),0)=IFERROR(--(INDEX('Reguler Class Availability'!$F:$F,AO77)&amp;""),0),"Penuh",IF(IFERROR(--(INDEX('Reguler Class Availability'!$G:$G,AO77)&amp;""),0)=0,IF(INDEX('Reguler Class Availability'!$B:$B,AO77)&amp;""="","Kosong","Belum terisi"),IF(IFERROR(--(INDEX('Reguler Class Availability'!$G:$G,AO77)&amp;""),0)/IFERROR(--(INDEX('Reguler Class Availability'!$F:$F,AO77)&amp;""),0)&gt;=0.6,"Tinggi","Sebagian"))))))</f>
        <v>Sebagian</v>
      </c>
      <c r="AX77" s="0" t="str">
        <f aca="false">IF(AP77="","",IF(AND(IFERROR(--(INDEX('Reguler Class Availability'!$F:$F,AP77)&amp;""),0)=0,IFERROR(--(INDEX('Reguler Class Availability'!$G:$G,AP77)&amp;""),0)=0),IF(OR(INDEX('Reguler Class Availability'!$B:$B,AP77)&amp;""&lt;&gt;"",INDEX('Reguler Class Availability'!$I:$I,AP77)&amp;""&lt;&gt;""),"Tutup","Tidak dibuka"),IF(IFERROR(--(INDEX('Reguler Class Availability'!$G:$G,AP77)&amp;""),0)&gt;IFERROR(--(INDEX('Reguler Class Availability'!$F:$F,AP77)&amp;""),0),"Lebih",IF(IFERROR(--(INDEX('Reguler Class Availability'!$G:$G,AP77)&amp;""),0)=IFERROR(--(INDEX('Reguler Class Availability'!$F:$F,AP77)&amp;""),0),"Penuh",IF(IFERROR(--(INDEX('Reguler Class Availability'!$G:$G,AP77)&amp;""),0)=0,IF(INDEX('Reguler Class Availability'!$B:$B,AP77)&amp;""="","Kosong","Belum terisi"),IF(IFERROR(--(INDEX('Reguler Class Availability'!$G:$G,AP77)&amp;""),0)/IFERROR(--(INDEX('Reguler Class Availability'!$F:$F,AP77)&amp;""),0)&gt;=0.6,"Tinggi","Sebagian"))))))</f>
        <v>Belum terisi</v>
      </c>
      <c r="AY77" s="0" t="str">
        <f aca="false">IF(AQ77="","",IF(AND(IFERROR(--(INDEX('Reguler Class Availability'!$F:$F,AQ77)&amp;""),0)=0,IFERROR(--(INDEX('Reguler Class Availability'!$G:$G,AQ77)&amp;""),0)=0),IF(OR(INDEX('Reguler Class Availability'!$B:$B,AQ77)&amp;""&lt;&gt;"",INDEX('Reguler Class Availability'!$I:$I,AQ77)&amp;""&lt;&gt;""),"Tutup","Tidak dibuka"),IF(IFERROR(--(INDEX('Reguler Class Availability'!$G:$G,AQ77)&amp;""),0)&gt;IFERROR(--(INDEX('Reguler Class Availability'!$F:$F,AQ77)&amp;""),0),"Lebih",IF(IFERROR(--(INDEX('Reguler Class Availability'!$G:$G,AQ77)&amp;""),0)=IFERROR(--(INDEX('Reguler Class Availability'!$F:$F,AQ77)&amp;""),0),"Penuh",IF(IFERROR(--(INDEX('Reguler Class Availability'!$G:$G,AQ77)&amp;""),0)=0,IF(INDEX('Reguler Class Availability'!$B:$B,AQ77)&amp;""="","Kosong","Belum terisi"),IF(IFERROR(--(INDEX('Reguler Class Availability'!$G:$G,AQ77)&amp;""),0)/IFERROR(--(INDEX('Reguler Class Availability'!$F:$F,AQ77)&amp;""),0)&gt;=0.6,"Tinggi","Sebagian"))))))</f>
        <v>Sebagian</v>
      </c>
      <c r="AZ77" s="0" t="str">
        <f aca="false">IF(AR77="","",IF(AND(IFERROR(--(INDEX('Reguler Class Availability'!$F:$F,AR77)&amp;""),0)=0,IFERROR(--(INDEX('Reguler Class Availability'!$G:$G,AR77)&amp;""),0)=0),IF(OR(INDEX('Reguler Class Availability'!$B:$B,AR77)&amp;""&lt;&gt;"",INDEX('Reguler Class Availability'!$I:$I,AR77)&amp;""&lt;&gt;""),"Tutup","Tidak dibuka"),IF(IFERROR(--(INDEX('Reguler Class Availability'!$G:$G,AR77)&amp;""),0)&gt;IFERROR(--(INDEX('Reguler Class Availability'!$F:$F,AR77)&amp;""),0),"Lebih",IF(IFERROR(--(INDEX('Reguler Class Availability'!$G:$G,AR77)&amp;""),0)=IFERROR(--(INDEX('Reguler Class Availability'!$F:$F,AR77)&amp;""),0),"Penuh",IF(IFERROR(--(INDEX('Reguler Class Availability'!$G:$G,AR77)&amp;""),0)=0,IF(INDEX('Reguler Class Availability'!$B:$B,AR77)&amp;""="","Kosong","Belum terisi"),IF(IFERROR(--(INDEX('Reguler Class Availability'!$G:$G,AR77)&amp;""),0)/IFERROR(--(INDEX('Reguler Class Availability'!$F:$F,AR77)&amp;""),0)&gt;=0.6,"Tinggi","Sebagian"))))))</f>
        <v>Sebagian</v>
      </c>
      <c r="BA77" s="0" t="str">
        <f aca="false">IF(AS77="","",IF(AND(IFERROR(--(INDEX('Reguler Class Availability'!$F:$F,AS77)&amp;""),0)=0,IFERROR(--(INDEX('Reguler Class Availability'!$G:$G,AS77)&amp;""),0)=0),IF(OR(INDEX('Reguler Class Availability'!$B:$B,AS77)&amp;""&lt;&gt;"",INDEX('Reguler Class Availability'!$I:$I,AS77)&amp;""&lt;&gt;""),"Tutup","Tidak dibuka"),IF(IFERROR(--(INDEX('Reguler Class Availability'!$G:$G,AS77)&amp;""),0)&gt;IFERROR(--(INDEX('Reguler Class Availability'!$F:$F,AS77)&amp;""),0),"Lebih",IF(IFERROR(--(INDEX('Reguler Class Availability'!$G:$G,AS77)&amp;""),0)=IFERROR(--(INDEX('Reguler Class Availability'!$F:$F,AS77)&amp;""),0),"Penuh",IF(IFERROR(--(INDEX('Reguler Class Availability'!$G:$G,AS77)&amp;""),0)=0,IF(INDEX('Reguler Class Availability'!$B:$B,AS77)&amp;""="","Kosong","Belum terisi"),IF(IFERROR(--(INDEX('Reguler Class Availability'!$G:$G,AS77)&amp;""),0)/IFERROR(--(INDEX('Reguler Class Availability'!$F:$F,AS77)&amp;""),0)&gt;=0.6,"Tinggi","Sebagian"))))))</f>
        <v>Penuh</v>
      </c>
      <c r="BB77" s="0" t="str">
        <f aca="false">IF(AT77="","",IF(AND(IFERROR(--(INDEX('Reguler Class Availability'!$F:$F,AT77)&amp;""),0)=0,IFERROR(--(INDEX('Reguler Class Availability'!$G:$G,AT77)&amp;""),0)=0),IF(OR(INDEX('Reguler Class Availability'!$B:$B,AT77)&amp;""&lt;&gt;"",INDEX('Reguler Class Availability'!$I:$I,AT77)&amp;""&lt;&gt;""),"Tutup","Tidak dibuka"),IF(IFERROR(--(INDEX('Reguler Class Availability'!$G:$G,AT77)&amp;""),0)&gt;IFERROR(--(INDEX('Reguler Class Availability'!$F:$F,AT77)&amp;""),0),"Lebih",IF(IFERROR(--(INDEX('Reguler Class Availability'!$G:$G,AT77)&amp;""),0)=IFERROR(--(INDEX('Reguler Class Availability'!$F:$F,AT77)&amp;""),0),"Penuh",IF(IFERROR(--(INDEX('Reguler Class Availability'!$G:$G,AT77)&amp;""),0)=0,IF(INDEX('Reguler Class Availability'!$B:$B,AT77)&amp;""="","Kosong","Belum terisi"),IF(IFERROR(--(INDEX('Reguler Class Availability'!$G:$G,AT77)&amp;""),0)/IFERROR(--(INDEX('Reguler Class Availability'!$F:$F,AT77)&amp;""),0)&gt;=0.6,"Tinggi","Sebagian"))))))</f>
        <v>Sebagian</v>
      </c>
      <c r="BD77" s="30" t="s">
        <v>124</v>
      </c>
      <c r="BE77" s="30" t="n">
        <f aca="false">IF(COUNTIFS('Reguler Class Availability'!$L:$L,$B$4&amp;"|- Lane 2 - *|"&amp;BD77)&gt;0,1,0)</f>
        <v>0</v>
      </c>
      <c r="BF77" s="30" t="n">
        <f aca="false">BE77+BF76</f>
        <v>3</v>
      </c>
    </row>
    <row r="78" customFormat="false" ht="39.75" hidden="false" customHeight="true" outlineLevel="0" collapsed="false">
      <c r="A78" s="66" t="str">
        <f aca="false">IFERROR(INDEX($BD$182:$BD$241,MATCH(9,$BF$182:$BF$241,0)),"")</f>
        <v>15:00</v>
      </c>
      <c r="B78" s="67" t="str">
        <f aca="false">IF(AN78="","",IF(AV78="Tidak dibuka","–",IF(INDEX('Reguler Class Availability'!$B:$B,AN78)&amp;""="","Kosong",PROPER(INDEX('Reguler Class Availability'!$B:$B,AN78)&amp;""))&amp;"  "&amp;IFERROR(--(INDEX('Reguler Class Availability'!$G:$G,AN78)&amp;""),0)&amp;"/"&amp;IFERROR(--(INDEX('Reguler Class Availability'!$F:$F,AN78)&amp;""),0)&amp;IF(IFERROR(--(INDEX('Reguler Class Availability'!$F:$F,AN78)&amp;""),0)&gt;0,"  ("&amp;TEXT(IFERROR(--(INDEX('Reguler Class Availability'!$G:$G,AN78)&amp;""),0)/IFERROR(--(INDEX('Reguler Class Availability'!$F:$F,AN78)&amp;""),0),"0%")&amp;")","")&amp;CHAR(10)&amp;IF(INDEX('Reguler Class Availability'!$I:$I,AN78)&amp;""="","coach: –",PROPER(INDEX('Reguler Class Availability'!$I:$I,AN78)&amp;""))&amp;IF(INDEX('Reguler Class Availability'!$J:$J,AN78)&amp;""="","",CHAR(10)&amp;"asst: "&amp;PROPER(INDEX('Reguler Class Availability'!$J:$J,AN78)&amp;""))))</f>
        <v>Kids  0/4  (0%)
Angga</v>
      </c>
      <c r="C78" s="67" t="str">
        <f aca="false">IF(AO78="","",IF(AW78="Tidak dibuka","–",IF(INDEX('Reguler Class Availability'!$B:$B,AO78)&amp;""="","Kosong",PROPER(INDEX('Reguler Class Availability'!$B:$B,AO78)&amp;""))&amp;"  "&amp;IFERROR(--(INDEX('Reguler Class Availability'!$G:$G,AO78)&amp;""),0)&amp;"/"&amp;IFERROR(--(INDEX('Reguler Class Availability'!$F:$F,AO78)&amp;""),0)&amp;IF(IFERROR(--(INDEX('Reguler Class Availability'!$F:$F,AO78)&amp;""),0)&gt;0,"  ("&amp;TEXT(IFERROR(--(INDEX('Reguler Class Availability'!$G:$G,AO78)&amp;""),0)/IFERROR(--(INDEX('Reguler Class Availability'!$F:$F,AO78)&amp;""),0),"0%")&amp;")","")&amp;CHAR(10)&amp;IF(INDEX('Reguler Class Availability'!$I:$I,AO78)&amp;""="","coach: –",PROPER(INDEX('Reguler Class Availability'!$I:$I,AO78)&amp;""))&amp;IF(INDEX('Reguler Class Availability'!$J:$J,AO78)&amp;""="","",CHAR(10)&amp;"asst: "&amp;PROPER(INDEX('Reguler Class Availability'!$J:$J,AO78)&amp;""))))</f>
        <v>Kids  0/4  (0%)
coach: –</v>
      </c>
      <c r="D78" s="67" t="str">
        <f aca="false">IF(AP78="","",IF(AX78="Tidak dibuka","–",IF(INDEX('Reguler Class Availability'!$B:$B,AP78)&amp;""="","Kosong",PROPER(INDEX('Reguler Class Availability'!$B:$B,AP78)&amp;""))&amp;"  "&amp;IFERROR(--(INDEX('Reguler Class Availability'!$G:$G,AP78)&amp;""),0)&amp;"/"&amp;IFERROR(--(INDEX('Reguler Class Availability'!$F:$F,AP78)&amp;""),0)&amp;IF(IFERROR(--(INDEX('Reguler Class Availability'!$F:$F,AP78)&amp;""),0)&gt;0,"  ("&amp;TEXT(IFERROR(--(INDEX('Reguler Class Availability'!$G:$G,AP78)&amp;""),0)/IFERROR(--(INDEX('Reguler Class Availability'!$F:$F,AP78)&amp;""),0),"0%")&amp;")","")&amp;CHAR(10)&amp;IF(INDEX('Reguler Class Availability'!$I:$I,AP78)&amp;""="","coach: –",PROPER(INDEX('Reguler Class Availability'!$I:$I,AP78)&amp;""))&amp;IF(INDEX('Reguler Class Availability'!$J:$J,AP78)&amp;""="","",CHAR(10)&amp;"asst: "&amp;PROPER(INDEX('Reguler Class Availability'!$J:$J,AP78)&amp;""))))</f>
        <v>Kids  0/4  (0%)
coach: –</v>
      </c>
      <c r="E78" s="67" t="str">
        <f aca="false">IF(AQ78="","",IF(AY78="Tidak dibuka","–",IF(INDEX('Reguler Class Availability'!$B:$B,AQ78)&amp;""="","Kosong",PROPER(INDEX('Reguler Class Availability'!$B:$B,AQ78)&amp;""))&amp;"  "&amp;IFERROR(--(INDEX('Reguler Class Availability'!$G:$G,AQ78)&amp;""),0)&amp;"/"&amp;IFERROR(--(INDEX('Reguler Class Availability'!$F:$F,AQ78)&amp;""),0)&amp;IF(IFERROR(--(INDEX('Reguler Class Availability'!$F:$F,AQ78)&amp;""),0)&gt;0,"  ("&amp;TEXT(IFERROR(--(INDEX('Reguler Class Availability'!$G:$G,AQ78)&amp;""),0)/IFERROR(--(INDEX('Reguler Class Availability'!$F:$F,AQ78)&amp;""),0),"0%")&amp;")","")&amp;CHAR(10)&amp;IF(INDEX('Reguler Class Availability'!$I:$I,AQ78)&amp;""="","coach: –",PROPER(INDEX('Reguler Class Availability'!$I:$I,AQ78)&amp;""))&amp;IF(INDEX('Reguler Class Availability'!$J:$J,AQ78)&amp;""="","",CHAR(10)&amp;"asst: "&amp;PROPER(INDEX('Reguler Class Availability'!$J:$J,AQ78)&amp;""))))</f>
        <v>Kids  0/4  (0%)
coach: –</v>
      </c>
      <c r="F78" s="67" t="str">
        <f aca="false">IF(AR78="","",IF(AZ78="Tidak dibuka","–",IF(INDEX('Reguler Class Availability'!$B:$B,AR78)&amp;""="","Kosong",PROPER(INDEX('Reguler Class Availability'!$B:$B,AR78)&amp;""))&amp;"  "&amp;IFERROR(--(INDEX('Reguler Class Availability'!$G:$G,AR78)&amp;""),0)&amp;"/"&amp;IFERROR(--(INDEX('Reguler Class Availability'!$F:$F,AR78)&amp;""),0)&amp;IF(IFERROR(--(INDEX('Reguler Class Availability'!$F:$F,AR78)&amp;""),0)&gt;0,"  ("&amp;TEXT(IFERROR(--(INDEX('Reguler Class Availability'!$G:$G,AR78)&amp;""),0)/IFERROR(--(INDEX('Reguler Class Availability'!$F:$F,AR78)&amp;""),0),"0%")&amp;")","")&amp;CHAR(10)&amp;IF(INDEX('Reguler Class Availability'!$I:$I,AR78)&amp;""="","coach: –",PROPER(INDEX('Reguler Class Availability'!$I:$I,AR78)&amp;""))&amp;IF(INDEX('Reguler Class Availability'!$J:$J,AR78)&amp;""="","",CHAR(10)&amp;"asst: "&amp;PROPER(INDEX('Reguler Class Availability'!$J:$J,AR78)&amp;""))))</f>
        <v>Kids  3/4  (75%)
Silvi</v>
      </c>
      <c r="G78" s="67" t="str">
        <f aca="false">IF(AS78="","",IF(BA78="Tidak dibuka","–",IF(INDEX('Reguler Class Availability'!$B:$B,AS78)&amp;""="","Kosong",PROPER(INDEX('Reguler Class Availability'!$B:$B,AS78)&amp;""))&amp;"  "&amp;IFERROR(--(INDEX('Reguler Class Availability'!$G:$G,AS78)&amp;""),0)&amp;"/"&amp;IFERROR(--(INDEX('Reguler Class Availability'!$F:$F,AS78)&amp;""),0)&amp;IF(IFERROR(--(INDEX('Reguler Class Availability'!$F:$F,AS78)&amp;""),0)&gt;0,"  ("&amp;TEXT(IFERROR(--(INDEX('Reguler Class Availability'!$G:$G,AS78)&amp;""),0)/IFERROR(--(INDEX('Reguler Class Availability'!$F:$F,AS78)&amp;""),0),"0%")&amp;")","")&amp;CHAR(10)&amp;IF(INDEX('Reguler Class Availability'!$I:$I,AS78)&amp;""="","coach: –",PROPER(INDEX('Reguler Class Availability'!$I:$I,AS78)&amp;""))&amp;IF(INDEX('Reguler Class Availability'!$J:$J,AS78)&amp;""="","",CHAR(10)&amp;"asst: "&amp;PROPER(INDEX('Reguler Class Availability'!$J:$J,AS78)&amp;""))))</f>
        <v>Kids  4/4  (100%)
Juan</v>
      </c>
      <c r="H78" s="67" t="str">
        <f aca="false">IF(AT78="","",IF(BB78="Tidak dibuka","–",IF(INDEX('Reguler Class Availability'!$B:$B,AT78)&amp;""="","Kosong",PROPER(INDEX('Reguler Class Availability'!$B:$B,AT78)&amp;""))&amp;"  "&amp;IFERROR(--(INDEX('Reguler Class Availability'!$G:$G,AT78)&amp;""),0)&amp;"/"&amp;IFERROR(--(INDEX('Reguler Class Availability'!$F:$F,AT78)&amp;""),0)&amp;IF(IFERROR(--(INDEX('Reguler Class Availability'!$F:$F,AT78)&amp;""),0)&gt;0,"  ("&amp;TEXT(IFERROR(--(INDEX('Reguler Class Availability'!$G:$G,AT78)&amp;""),0)/IFERROR(--(INDEX('Reguler Class Availability'!$F:$F,AT78)&amp;""),0),"0%")&amp;")","")&amp;CHAR(10)&amp;IF(INDEX('Reguler Class Availability'!$I:$I,AT78)&amp;""="","coach: –",PROPER(INDEX('Reguler Class Availability'!$I:$I,AT78)&amp;""))&amp;IF(INDEX('Reguler Class Availability'!$J:$J,AT78)&amp;""="","",CHAR(10)&amp;"asst: "&amp;PROPER(INDEX('Reguler Class Availability'!$J:$J,AT78)&amp;""))))</f>
        <v>Kids  0/4  (0%)
coach: –</v>
      </c>
      <c r="AN78" s="30" t="n">
        <f aca="false">IF($A78="","",IFERROR(MATCH($B$4&amp;"|- Lane 4 - "&amp;B$69&amp;"|"&amp;$A78,'Reguler Class Availability'!$L:$L,0),""))</f>
        <v>2684</v>
      </c>
      <c r="AO78" s="30" t="n">
        <f aca="false">IF($A78="","",IFERROR(MATCH($B$4&amp;"|- Lane 4 - "&amp;C$69&amp;"|"&amp;$A78,'Reguler Class Availability'!$L:$L,0),""))</f>
        <v>2696</v>
      </c>
      <c r="AP78" s="30" t="n">
        <f aca="false">IF($A78="","",IFERROR(MATCH($B$4&amp;"|- Lane 4 - "&amp;D$69&amp;"|"&amp;$A78,'Reguler Class Availability'!$L:$L,0),""))</f>
        <v>2708</v>
      </c>
      <c r="AQ78" s="30" t="n">
        <f aca="false">IF($A78="","",IFERROR(MATCH($B$4&amp;"|- Lane 4 - "&amp;E$69&amp;"|"&amp;$A78,'Reguler Class Availability'!$L:$L,0),""))</f>
        <v>2720</v>
      </c>
      <c r="AR78" s="30" t="n">
        <f aca="false">IF($A78="","",IFERROR(MATCH($B$4&amp;"|- Lane 4 - "&amp;F$69&amp;"|"&amp;$A78,'Reguler Class Availability'!$L:$L,0),""))</f>
        <v>2732</v>
      </c>
      <c r="AS78" s="30" t="n">
        <f aca="false">IF($A78="","",IFERROR(MATCH($B$4&amp;"|- Lane 4 - "&amp;G$69&amp;"|"&amp;$A78,'Reguler Class Availability'!$L:$L,0),""))</f>
        <v>2744</v>
      </c>
      <c r="AT78" s="30" t="n">
        <f aca="false">IF($A78="","",IFERROR(MATCH($B$4&amp;"|- Lane 4 - "&amp;H$69&amp;"|"&amp;$A78,'Reguler Class Availability'!$L:$L,0),""))</f>
        <v>2756</v>
      </c>
      <c r="AV78" s="0" t="str">
        <f aca="false">IF(AN78="","",IF(AND(IFERROR(--(INDEX('Reguler Class Availability'!$F:$F,AN78)&amp;""),0)=0,IFERROR(--(INDEX('Reguler Class Availability'!$G:$G,AN78)&amp;""),0)=0),IF(OR(INDEX('Reguler Class Availability'!$B:$B,AN78)&amp;""&lt;&gt;"",INDEX('Reguler Class Availability'!$I:$I,AN78)&amp;""&lt;&gt;""),"Tutup","Tidak dibuka"),IF(IFERROR(--(INDEX('Reguler Class Availability'!$G:$G,AN78)&amp;""),0)&gt;IFERROR(--(INDEX('Reguler Class Availability'!$F:$F,AN78)&amp;""),0),"Lebih",IF(IFERROR(--(INDEX('Reguler Class Availability'!$G:$G,AN78)&amp;""),0)=IFERROR(--(INDEX('Reguler Class Availability'!$F:$F,AN78)&amp;""),0),"Penuh",IF(IFERROR(--(INDEX('Reguler Class Availability'!$G:$G,AN78)&amp;""),0)=0,IF(INDEX('Reguler Class Availability'!$B:$B,AN78)&amp;""="","Kosong","Belum terisi"),IF(IFERROR(--(INDEX('Reguler Class Availability'!$G:$G,AN78)&amp;""),0)/IFERROR(--(INDEX('Reguler Class Availability'!$F:$F,AN78)&amp;""),0)&gt;=0.6,"Tinggi","Sebagian"))))))</f>
        <v>Belum terisi</v>
      </c>
      <c r="AW78" s="0" t="str">
        <f aca="false">IF(AO78="","",IF(AND(IFERROR(--(INDEX('Reguler Class Availability'!$F:$F,AO78)&amp;""),0)=0,IFERROR(--(INDEX('Reguler Class Availability'!$G:$G,AO78)&amp;""),0)=0),IF(OR(INDEX('Reguler Class Availability'!$B:$B,AO78)&amp;""&lt;&gt;"",INDEX('Reguler Class Availability'!$I:$I,AO78)&amp;""&lt;&gt;""),"Tutup","Tidak dibuka"),IF(IFERROR(--(INDEX('Reguler Class Availability'!$G:$G,AO78)&amp;""),0)&gt;IFERROR(--(INDEX('Reguler Class Availability'!$F:$F,AO78)&amp;""),0),"Lebih",IF(IFERROR(--(INDEX('Reguler Class Availability'!$G:$G,AO78)&amp;""),0)=IFERROR(--(INDEX('Reguler Class Availability'!$F:$F,AO78)&amp;""),0),"Penuh",IF(IFERROR(--(INDEX('Reguler Class Availability'!$G:$G,AO78)&amp;""),0)=0,IF(INDEX('Reguler Class Availability'!$B:$B,AO78)&amp;""="","Kosong","Belum terisi"),IF(IFERROR(--(INDEX('Reguler Class Availability'!$G:$G,AO78)&amp;""),0)/IFERROR(--(INDEX('Reguler Class Availability'!$F:$F,AO78)&amp;""),0)&gt;=0.6,"Tinggi","Sebagian"))))))</f>
        <v>Belum terisi</v>
      </c>
      <c r="AX78" s="0" t="str">
        <f aca="false">IF(AP78="","",IF(AND(IFERROR(--(INDEX('Reguler Class Availability'!$F:$F,AP78)&amp;""),0)=0,IFERROR(--(INDEX('Reguler Class Availability'!$G:$G,AP78)&amp;""),0)=0),IF(OR(INDEX('Reguler Class Availability'!$B:$B,AP78)&amp;""&lt;&gt;"",INDEX('Reguler Class Availability'!$I:$I,AP78)&amp;""&lt;&gt;""),"Tutup","Tidak dibuka"),IF(IFERROR(--(INDEX('Reguler Class Availability'!$G:$G,AP78)&amp;""),0)&gt;IFERROR(--(INDEX('Reguler Class Availability'!$F:$F,AP78)&amp;""),0),"Lebih",IF(IFERROR(--(INDEX('Reguler Class Availability'!$G:$G,AP78)&amp;""),0)=IFERROR(--(INDEX('Reguler Class Availability'!$F:$F,AP78)&amp;""),0),"Penuh",IF(IFERROR(--(INDEX('Reguler Class Availability'!$G:$G,AP78)&amp;""),0)=0,IF(INDEX('Reguler Class Availability'!$B:$B,AP78)&amp;""="","Kosong","Belum terisi"),IF(IFERROR(--(INDEX('Reguler Class Availability'!$G:$G,AP78)&amp;""),0)/IFERROR(--(INDEX('Reguler Class Availability'!$F:$F,AP78)&amp;""),0)&gt;=0.6,"Tinggi","Sebagian"))))))</f>
        <v>Belum terisi</v>
      </c>
      <c r="AY78" s="0" t="str">
        <f aca="false">IF(AQ78="","",IF(AND(IFERROR(--(INDEX('Reguler Class Availability'!$F:$F,AQ78)&amp;""),0)=0,IFERROR(--(INDEX('Reguler Class Availability'!$G:$G,AQ78)&amp;""),0)=0),IF(OR(INDEX('Reguler Class Availability'!$B:$B,AQ78)&amp;""&lt;&gt;"",INDEX('Reguler Class Availability'!$I:$I,AQ78)&amp;""&lt;&gt;""),"Tutup","Tidak dibuka"),IF(IFERROR(--(INDEX('Reguler Class Availability'!$G:$G,AQ78)&amp;""),0)&gt;IFERROR(--(INDEX('Reguler Class Availability'!$F:$F,AQ78)&amp;""),0),"Lebih",IF(IFERROR(--(INDEX('Reguler Class Availability'!$G:$G,AQ78)&amp;""),0)=IFERROR(--(INDEX('Reguler Class Availability'!$F:$F,AQ78)&amp;""),0),"Penuh",IF(IFERROR(--(INDEX('Reguler Class Availability'!$G:$G,AQ78)&amp;""),0)=0,IF(INDEX('Reguler Class Availability'!$B:$B,AQ78)&amp;""="","Kosong","Belum terisi"),IF(IFERROR(--(INDEX('Reguler Class Availability'!$G:$G,AQ78)&amp;""),0)/IFERROR(--(INDEX('Reguler Class Availability'!$F:$F,AQ78)&amp;""),0)&gt;=0.6,"Tinggi","Sebagian"))))))</f>
        <v>Belum terisi</v>
      </c>
      <c r="AZ78" s="0" t="str">
        <f aca="false">IF(AR78="","",IF(AND(IFERROR(--(INDEX('Reguler Class Availability'!$F:$F,AR78)&amp;""),0)=0,IFERROR(--(INDEX('Reguler Class Availability'!$G:$G,AR78)&amp;""),0)=0),IF(OR(INDEX('Reguler Class Availability'!$B:$B,AR78)&amp;""&lt;&gt;"",INDEX('Reguler Class Availability'!$I:$I,AR78)&amp;""&lt;&gt;""),"Tutup","Tidak dibuka"),IF(IFERROR(--(INDEX('Reguler Class Availability'!$G:$G,AR78)&amp;""),0)&gt;IFERROR(--(INDEX('Reguler Class Availability'!$F:$F,AR78)&amp;""),0),"Lebih",IF(IFERROR(--(INDEX('Reguler Class Availability'!$G:$G,AR78)&amp;""),0)=IFERROR(--(INDEX('Reguler Class Availability'!$F:$F,AR78)&amp;""),0),"Penuh",IF(IFERROR(--(INDEX('Reguler Class Availability'!$G:$G,AR78)&amp;""),0)=0,IF(INDEX('Reguler Class Availability'!$B:$B,AR78)&amp;""="","Kosong","Belum terisi"),IF(IFERROR(--(INDEX('Reguler Class Availability'!$G:$G,AR78)&amp;""),0)/IFERROR(--(INDEX('Reguler Class Availability'!$F:$F,AR78)&amp;""),0)&gt;=0.6,"Tinggi","Sebagian"))))))</f>
        <v>Tinggi</v>
      </c>
      <c r="BA78" s="0" t="str">
        <f aca="false">IF(AS78="","",IF(AND(IFERROR(--(INDEX('Reguler Class Availability'!$F:$F,AS78)&amp;""),0)=0,IFERROR(--(INDEX('Reguler Class Availability'!$G:$G,AS78)&amp;""),0)=0),IF(OR(INDEX('Reguler Class Availability'!$B:$B,AS78)&amp;""&lt;&gt;"",INDEX('Reguler Class Availability'!$I:$I,AS78)&amp;""&lt;&gt;""),"Tutup","Tidak dibuka"),IF(IFERROR(--(INDEX('Reguler Class Availability'!$G:$G,AS78)&amp;""),0)&gt;IFERROR(--(INDEX('Reguler Class Availability'!$F:$F,AS78)&amp;""),0),"Lebih",IF(IFERROR(--(INDEX('Reguler Class Availability'!$G:$G,AS78)&amp;""),0)=IFERROR(--(INDEX('Reguler Class Availability'!$F:$F,AS78)&amp;""),0),"Penuh",IF(IFERROR(--(INDEX('Reguler Class Availability'!$G:$G,AS78)&amp;""),0)=0,IF(INDEX('Reguler Class Availability'!$B:$B,AS78)&amp;""="","Kosong","Belum terisi"),IF(IFERROR(--(INDEX('Reguler Class Availability'!$G:$G,AS78)&amp;""),0)/IFERROR(--(INDEX('Reguler Class Availability'!$F:$F,AS78)&amp;""),0)&gt;=0.6,"Tinggi","Sebagian"))))))</f>
        <v>Penuh</v>
      </c>
      <c r="BB78" s="0" t="str">
        <f aca="false">IF(AT78="","",IF(AND(IFERROR(--(INDEX('Reguler Class Availability'!$F:$F,AT78)&amp;""),0)=0,IFERROR(--(INDEX('Reguler Class Availability'!$G:$G,AT78)&amp;""),0)=0),IF(OR(INDEX('Reguler Class Availability'!$B:$B,AT78)&amp;""&lt;&gt;"",INDEX('Reguler Class Availability'!$I:$I,AT78)&amp;""&lt;&gt;""),"Tutup","Tidak dibuka"),IF(IFERROR(--(INDEX('Reguler Class Availability'!$G:$G,AT78)&amp;""),0)&gt;IFERROR(--(INDEX('Reguler Class Availability'!$F:$F,AT78)&amp;""),0),"Lebih",IF(IFERROR(--(INDEX('Reguler Class Availability'!$G:$G,AT78)&amp;""),0)=IFERROR(--(INDEX('Reguler Class Availability'!$F:$F,AT78)&amp;""),0),"Penuh",IF(IFERROR(--(INDEX('Reguler Class Availability'!$G:$G,AT78)&amp;""),0)=0,IF(INDEX('Reguler Class Availability'!$B:$B,AT78)&amp;""="","Kosong","Belum terisi"),IF(IFERROR(--(INDEX('Reguler Class Availability'!$G:$G,AT78)&amp;""),0)/IFERROR(--(INDEX('Reguler Class Availability'!$F:$F,AT78)&amp;""),0)&gt;=0.6,"Tinggi","Sebagian"))))))</f>
        <v>Belum terisi</v>
      </c>
      <c r="BD78" s="30" t="s">
        <v>125</v>
      </c>
      <c r="BE78" s="30" t="n">
        <f aca="false">IF(COUNTIFS('Reguler Class Availability'!$L:$L,$B$4&amp;"|- Lane 2 - *|"&amp;BD78)&gt;0,1,0)</f>
        <v>0</v>
      </c>
      <c r="BF78" s="30" t="n">
        <f aca="false">BE78+BF77</f>
        <v>3</v>
      </c>
    </row>
    <row r="79" customFormat="false" ht="39.75" hidden="false" customHeight="true" outlineLevel="0" collapsed="false">
      <c r="A79" s="66" t="str">
        <f aca="false">IFERROR(INDEX($BD$182:$BD$241,MATCH(10,$BF$182:$BF$241,0)),"")</f>
        <v>15:45</v>
      </c>
      <c r="B79" s="67" t="str">
        <f aca="false">IF(AN79="","",IF(AV79="Tidak dibuka","–",IF(INDEX('Reguler Class Availability'!$B:$B,AN79)&amp;""="","Kosong",PROPER(INDEX('Reguler Class Availability'!$B:$B,AN79)&amp;""))&amp;"  "&amp;IFERROR(--(INDEX('Reguler Class Availability'!$G:$G,AN79)&amp;""),0)&amp;"/"&amp;IFERROR(--(INDEX('Reguler Class Availability'!$F:$F,AN79)&amp;""),0)&amp;IF(IFERROR(--(INDEX('Reguler Class Availability'!$F:$F,AN79)&amp;""),0)&gt;0,"  ("&amp;TEXT(IFERROR(--(INDEX('Reguler Class Availability'!$G:$G,AN79)&amp;""),0)/IFERROR(--(INDEX('Reguler Class Availability'!$F:$F,AN79)&amp;""),0),"0%")&amp;")","")&amp;CHAR(10)&amp;IF(INDEX('Reguler Class Availability'!$I:$I,AN79)&amp;""="","coach: –",PROPER(INDEX('Reguler Class Availability'!$I:$I,AN79)&amp;""))&amp;IF(INDEX('Reguler Class Availability'!$J:$J,AN79)&amp;""="","",CHAR(10)&amp;"asst: "&amp;PROPER(INDEX('Reguler Class Availability'!$J:$J,AN79)&amp;""))))</f>
        <v>Kids  0/4  (0%)
coach: –</v>
      </c>
      <c r="C79" s="67" t="str">
        <f aca="false">IF(AO79="","",IF(AW79="Tidak dibuka","–",IF(INDEX('Reguler Class Availability'!$B:$B,AO79)&amp;""="","Kosong",PROPER(INDEX('Reguler Class Availability'!$B:$B,AO79)&amp;""))&amp;"  "&amp;IFERROR(--(INDEX('Reguler Class Availability'!$G:$G,AO79)&amp;""),0)&amp;"/"&amp;IFERROR(--(INDEX('Reguler Class Availability'!$F:$F,AO79)&amp;""),0)&amp;IF(IFERROR(--(INDEX('Reguler Class Availability'!$F:$F,AO79)&amp;""),0)&gt;0,"  ("&amp;TEXT(IFERROR(--(INDEX('Reguler Class Availability'!$G:$G,AO79)&amp;""),0)/IFERROR(--(INDEX('Reguler Class Availability'!$F:$F,AO79)&amp;""),0),"0%")&amp;")","")&amp;CHAR(10)&amp;IF(INDEX('Reguler Class Availability'!$I:$I,AO79)&amp;""="","coach: –",PROPER(INDEX('Reguler Class Availability'!$I:$I,AO79)&amp;""))&amp;IF(INDEX('Reguler Class Availability'!$J:$J,AO79)&amp;""="","",CHAR(10)&amp;"asst: "&amp;PROPER(INDEX('Reguler Class Availability'!$J:$J,AO79)&amp;""))))</f>
        <v>Kids  0/4  (0%)
coach: –</v>
      </c>
      <c r="D79" s="67" t="str">
        <f aca="false">IF(AP79="","",IF(AX79="Tidak dibuka","–",IF(INDEX('Reguler Class Availability'!$B:$B,AP79)&amp;""="","Kosong",PROPER(INDEX('Reguler Class Availability'!$B:$B,AP79)&amp;""))&amp;"  "&amp;IFERROR(--(INDEX('Reguler Class Availability'!$G:$G,AP79)&amp;""),0)&amp;"/"&amp;IFERROR(--(INDEX('Reguler Class Availability'!$F:$F,AP79)&amp;""),0)&amp;IF(IFERROR(--(INDEX('Reguler Class Availability'!$F:$F,AP79)&amp;""),0)&gt;0,"  ("&amp;TEXT(IFERROR(--(INDEX('Reguler Class Availability'!$G:$G,AP79)&amp;""),0)/IFERROR(--(INDEX('Reguler Class Availability'!$F:$F,AP79)&amp;""),0),"0%")&amp;")","")&amp;CHAR(10)&amp;IF(INDEX('Reguler Class Availability'!$I:$I,AP79)&amp;""="","coach: –",PROPER(INDEX('Reguler Class Availability'!$I:$I,AP79)&amp;""))&amp;IF(INDEX('Reguler Class Availability'!$J:$J,AP79)&amp;""="","",CHAR(10)&amp;"asst: "&amp;PROPER(INDEX('Reguler Class Availability'!$J:$J,AP79)&amp;""))))</f>
        <v>Kids  1/4  (25%)
Indra</v>
      </c>
      <c r="E79" s="67" t="str">
        <f aca="false">IF(AQ79="","",IF(AY79="Tidak dibuka","–",IF(INDEX('Reguler Class Availability'!$B:$B,AQ79)&amp;""="","Kosong",PROPER(INDEX('Reguler Class Availability'!$B:$B,AQ79)&amp;""))&amp;"  "&amp;IFERROR(--(INDEX('Reguler Class Availability'!$G:$G,AQ79)&amp;""),0)&amp;"/"&amp;IFERROR(--(INDEX('Reguler Class Availability'!$F:$F,AQ79)&amp;""),0)&amp;IF(IFERROR(--(INDEX('Reguler Class Availability'!$F:$F,AQ79)&amp;""),0)&gt;0,"  ("&amp;TEXT(IFERROR(--(INDEX('Reguler Class Availability'!$G:$G,AQ79)&amp;""),0)/IFERROR(--(INDEX('Reguler Class Availability'!$F:$F,AQ79)&amp;""),0),"0%")&amp;")","")&amp;CHAR(10)&amp;IF(INDEX('Reguler Class Availability'!$I:$I,AQ79)&amp;""="","coach: –",PROPER(INDEX('Reguler Class Availability'!$I:$I,AQ79)&amp;""))&amp;IF(INDEX('Reguler Class Availability'!$J:$J,AQ79)&amp;""="","",CHAR(10)&amp;"asst: "&amp;PROPER(INDEX('Reguler Class Availability'!$J:$J,AQ79)&amp;""))))</f>
        <v>Kids  4/4  (100%)
Juan</v>
      </c>
      <c r="F79" s="67" t="str">
        <f aca="false">IF(AR79="","",IF(AZ79="Tidak dibuka","–",IF(INDEX('Reguler Class Availability'!$B:$B,AR79)&amp;""="","Kosong",PROPER(INDEX('Reguler Class Availability'!$B:$B,AR79)&amp;""))&amp;"  "&amp;IFERROR(--(INDEX('Reguler Class Availability'!$G:$G,AR79)&amp;""),0)&amp;"/"&amp;IFERROR(--(INDEX('Reguler Class Availability'!$F:$F,AR79)&amp;""),0)&amp;IF(IFERROR(--(INDEX('Reguler Class Availability'!$F:$F,AR79)&amp;""),0)&gt;0,"  ("&amp;TEXT(IFERROR(--(INDEX('Reguler Class Availability'!$G:$G,AR79)&amp;""),0)/IFERROR(--(INDEX('Reguler Class Availability'!$F:$F,AR79)&amp;""),0),"0%")&amp;")","")&amp;CHAR(10)&amp;IF(INDEX('Reguler Class Availability'!$I:$I,AR79)&amp;""="","coach: –",PROPER(INDEX('Reguler Class Availability'!$I:$I,AR79)&amp;""))&amp;IF(INDEX('Reguler Class Availability'!$J:$J,AR79)&amp;""="","",CHAR(10)&amp;"asst: "&amp;PROPER(INDEX('Reguler Class Availability'!$J:$J,AR79)&amp;""))))</f>
        <v>Kids  4/4  (100%)
Silvi</v>
      </c>
      <c r="G79" s="67" t="str">
        <f aca="false">IF(AS79="","",IF(BA79="Tidak dibuka","–",IF(INDEX('Reguler Class Availability'!$B:$B,AS79)&amp;""="","Kosong",PROPER(INDEX('Reguler Class Availability'!$B:$B,AS79)&amp;""))&amp;"  "&amp;IFERROR(--(INDEX('Reguler Class Availability'!$G:$G,AS79)&amp;""),0)&amp;"/"&amp;IFERROR(--(INDEX('Reguler Class Availability'!$F:$F,AS79)&amp;""),0)&amp;IF(IFERROR(--(INDEX('Reguler Class Availability'!$F:$F,AS79)&amp;""),0)&gt;0,"  ("&amp;TEXT(IFERROR(--(INDEX('Reguler Class Availability'!$G:$G,AS79)&amp;""),0)/IFERROR(--(INDEX('Reguler Class Availability'!$F:$F,AS79)&amp;""),0),"0%")&amp;")","")&amp;CHAR(10)&amp;IF(INDEX('Reguler Class Availability'!$I:$I,AS79)&amp;""="","coach: –",PROPER(INDEX('Reguler Class Availability'!$I:$I,AS79)&amp;""))&amp;IF(INDEX('Reguler Class Availability'!$J:$J,AS79)&amp;""="","",CHAR(10)&amp;"asst: "&amp;PROPER(INDEX('Reguler Class Availability'!$J:$J,AS79)&amp;""))))</f>
        <v>Kids  0/4  (0%)
coach: –</v>
      </c>
      <c r="H79" s="67" t="str">
        <f aca="false">IF(AT79="","",IF(BB79="Tidak dibuka","–",IF(INDEX('Reguler Class Availability'!$B:$B,AT79)&amp;""="","Kosong",PROPER(INDEX('Reguler Class Availability'!$B:$B,AT79)&amp;""))&amp;"  "&amp;IFERROR(--(INDEX('Reguler Class Availability'!$G:$G,AT79)&amp;""),0)&amp;"/"&amp;IFERROR(--(INDEX('Reguler Class Availability'!$F:$F,AT79)&amp;""),0)&amp;IF(IFERROR(--(INDEX('Reguler Class Availability'!$F:$F,AT79)&amp;""),0)&gt;0,"  ("&amp;TEXT(IFERROR(--(INDEX('Reguler Class Availability'!$G:$G,AT79)&amp;""),0)/IFERROR(--(INDEX('Reguler Class Availability'!$F:$F,AT79)&amp;""),0),"0%")&amp;")","")&amp;CHAR(10)&amp;IF(INDEX('Reguler Class Availability'!$I:$I,AT79)&amp;""="","coach: –",PROPER(INDEX('Reguler Class Availability'!$I:$I,AT79)&amp;""))&amp;IF(INDEX('Reguler Class Availability'!$J:$J,AT79)&amp;""="","",CHAR(10)&amp;"asst: "&amp;PROPER(INDEX('Reguler Class Availability'!$J:$J,AT79)&amp;""))))</f>
        <v>Kids  0/4  (0%)
coach: –</v>
      </c>
      <c r="AN79" s="30" t="n">
        <f aca="false">IF($A79="","",IFERROR(MATCH($B$4&amp;"|- Lane 4 - "&amp;B$69&amp;"|"&amp;$A79,'Reguler Class Availability'!$L:$L,0),""))</f>
        <v>2685</v>
      </c>
      <c r="AO79" s="30" t="n">
        <f aca="false">IF($A79="","",IFERROR(MATCH($B$4&amp;"|- Lane 4 - "&amp;C$69&amp;"|"&amp;$A79,'Reguler Class Availability'!$L:$L,0),""))</f>
        <v>2697</v>
      </c>
      <c r="AP79" s="30" t="n">
        <f aca="false">IF($A79="","",IFERROR(MATCH($B$4&amp;"|- Lane 4 - "&amp;D$69&amp;"|"&amp;$A79,'Reguler Class Availability'!$L:$L,0),""))</f>
        <v>2709</v>
      </c>
      <c r="AQ79" s="30" t="n">
        <f aca="false">IF($A79="","",IFERROR(MATCH($B$4&amp;"|- Lane 4 - "&amp;E$69&amp;"|"&amp;$A79,'Reguler Class Availability'!$L:$L,0),""))</f>
        <v>2721</v>
      </c>
      <c r="AR79" s="30" t="n">
        <f aca="false">IF($A79="","",IFERROR(MATCH($B$4&amp;"|- Lane 4 - "&amp;F$69&amp;"|"&amp;$A79,'Reguler Class Availability'!$L:$L,0),""))</f>
        <v>2733</v>
      </c>
      <c r="AS79" s="30" t="n">
        <f aca="false">IF($A79="","",IFERROR(MATCH($B$4&amp;"|- Lane 4 - "&amp;G$69&amp;"|"&amp;$A79,'Reguler Class Availability'!$L:$L,0),""))</f>
        <v>2745</v>
      </c>
      <c r="AT79" s="30" t="n">
        <f aca="false">IF($A79="","",IFERROR(MATCH($B$4&amp;"|- Lane 4 - "&amp;H$69&amp;"|"&amp;$A79,'Reguler Class Availability'!$L:$L,0),""))</f>
        <v>2757</v>
      </c>
      <c r="AV79" s="0" t="str">
        <f aca="false">IF(AN79="","",IF(AND(IFERROR(--(INDEX('Reguler Class Availability'!$F:$F,AN79)&amp;""),0)=0,IFERROR(--(INDEX('Reguler Class Availability'!$G:$G,AN79)&amp;""),0)=0),IF(OR(INDEX('Reguler Class Availability'!$B:$B,AN79)&amp;""&lt;&gt;"",INDEX('Reguler Class Availability'!$I:$I,AN79)&amp;""&lt;&gt;""),"Tutup","Tidak dibuka"),IF(IFERROR(--(INDEX('Reguler Class Availability'!$G:$G,AN79)&amp;""),0)&gt;IFERROR(--(INDEX('Reguler Class Availability'!$F:$F,AN79)&amp;""),0),"Lebih",IF(IFERROR(--(INDEX('Reguler Class Availability'!$G:$G,AN79)&amp;""),0)=IFERROR(--(INDEX('Reguler Class Availability'!$F:$F,AN79)&amp;""),0),"Penuh",IF(IFERROR(--(INDEX('Reguler Class Availability'!$G:$G,AN79)&amp;""),0)=0,IF(INDEX('Reguler Class Availability'!$B:$B,AN79)&amp;""="","Kosong","Belum terisi"),IF(IFERROR(--(INDEX('Reguler Class Availability'!$G:$G,AN79)&amp;""),0)/IFERROR(--(INDEX('Reguler Class Availability'!$F:$F,AN79)&amp;""),0)&gt;=0.6,"Tinggi","Sebagian"))))))</f>
        <v>Belum terisi</v>
      </c>
      <c r="AW79" s="0" t="str">
        <f aca="false">IF(AO79="","",IF(AND(IFERROR(--(INDEX('Reguler Class Availability'!$F:$F,AO79)&amp;""),0)=0,IFERROR(--(INDEX('Reguler Class Availability'!$G:$G,AO79)&amp;""),0)=0),IF(OR(INDEX('Reguler Class Availability'!$B:$B,AO79)&amp;""&lt;&gt;"",INDEX('Reguler Class Availability'!$I:$I,AO79)&amp;""&lt;&gt;""),"Tutup","Tidak dibuka"),IF(IFERROR(--(INDEX('Reguler Class Availability'!$G:$G,AO79)&amp;""),0)&gt;IFERROR(--(INDEX('Reguler Class Availability'!$F:$F,AO79)&amp;""),0),"Lebih",IF(IFERROR(--(INDEX('Reguler Class Availability'!$G:$G,AO79)&amp;""),0)=IFERROR(--(INDEX('Reguler Class Availability'!$F:$F,AO79)&amp;""),0),"Penuh",IF(IFERROR(--(INDEX('Reguler Class Availability'!$G:$G,AO79)&amp;""),0)=0,IF(INDEX('Reguler Class Availability'!$B:$B,AO79)&amp;""="","Kosong","Belum terisi"),IF(IFERROR(--(INDEX('Reguler Class Availability'!$G:$G,AO79)&amp;""),0)/IFERROR(--(INDEX('Reguler Class Availability'!$F:$F,AO79)&amp;""),0)&gt;=0.6,"Tinggi","Sebagian"))))))</f>
        <v>Belum terisi</v>
      </c>
      <c r="AX79" s="0" t="str">
        <f aca="false">IF(AP79="","",IF(AND(IFERROR(--(INDEX('Reguler Class Availability'!$F:$F,AP79)&amp;""),0)=0,IFERROR(--(INDEX('Reguler Class Availability'!$G:$G,AP79)&amp;""),0)=0),IF(OR(INDEX('Reguler Class Availability'!$B:$B,AP79)&amp;""&lt;&gt;"",INDEX('Reguler Class Availability'!$I:$I,AP79)&amp;""&lt;&gt;""),"Tutup","Tidak dibuka"),IF(IFERROR(--(INDEX('Reguler Class Availability'!$G:$G,AP79)&amp;""),0)&gt;IFERROR(--(INDEX('Reguler Class Availability'!$F:$F,AP79)&amp;""),0),"Lebih",IF(IFERROR(--(INDEX('Reguler Class Availability'!$G:$G,AP79)&amp;""),0)=IFERROR(--(INDEX('Reguler Class Availability'!$F:$F,AP79)&amp;""),0),"Penuh",IF(IFERROR(--(INDEX('Reguler Class Availability'!$G:$G,AP79)&amp;""),0)=0,IF(INDEX('Reguler Class Availability'!$B:$B,AP79)&amp;""="","Kosong","Belum terisi"),IF(IFERROR(--(INDEX('Reguler Class Availability'!$G:$G,AP79)&amp;""),0)/IFERROR(--(INDEX('Reguler Class Availability'!$F:$F,AP79)&amp;""),0)&gt;=0.6,"Tinggi","Sebagian"))))))</f>
        <v>Sebagian</v>
      </c>
      <c r="AY79" s="0" t="str">
        <f aca="false">IF(AQ79="","",IF(AND(IFERROR(--(INDEX('Reguler Class Availability'!$F:$F,AQ79)&amp;""),0)=0,IFERROR(--(INDEX('Reguler Class Availability'!$G:$G,AQ79)&amp;""),0)=0),IF(OR(INDEX('Reguler Class Availability'!$B:$B,AQ79)&amp;""&lt;&gt;"",INDEX('Reguler Class Availability'!$I:$I,AQ79)&amp;""&lt;&gt;""),"Tutup","Tidak dibuka"),IF(IFERROR(--(INDEX('Reguler Class Availability'!$G:$G,AQ79)&amp;""),0)&gt;IFERROR(--(INDEX('Reguler Class Availability'!$F:$F,AQ79)&amp;""),0),"Lebih",IF(IFERROR(--(INDEX('Reguler Class Availability'!$G:$G,AQ79)&amp;""),0)=IFERROR(--(INDEX('Reguler Class Availability'!$F:$F,AQ79)&amp;""),0),"Penuh",IF(IFERROR(--(INDEX('Reguler Class Availability'!$G:$G,AQ79)&amp;""),0)=0,IF(INDEX('Reguler Class Availability'!$B:$B,AQ79)&amp;""="","Kosong","Belum terisi"),IF(IFERROR(--(INDEX('Reguler Class Availability'!$G:$G,AQ79)&amp;""),0)/IFERROR(--(INDEX('Reguler Class Availability'!$F:$F,AQ79)&amp;""),0)&gt;=0.6,"Tinggi","Sebagian"))))))</f>
        <v>Penuh</v>
      </c>
      <c r="AZ79" s="0" t="str">
        <f aca="false">IF(AR79="","",IF(AND(IFERROR(--(INDEX('Reguler Class Availability'!$F:$F,AR79)&amp;""),0)=0,IFERROR(--(INDEX('Reguler Class Availability'!$G:$G,AR79)&amp;""),0)=0),IF(OR(INDEX('Reguler Class Availability'!$B:$B,AR79)&amp;""&lt;&gt;"",INDEX('Reguler Class Availability'!$I:$I,AR79)&amp;""&lt;&gt;""),"Tutup","Tidak dibuka"),IF(IFERROR(--(INDEX('Reguler Class Availability'!$G:$G,AR79)&amp;""),0)&gt;IFERROR(--(INDEX('Reguler Class Availability'!$F:$F,AR79)&amp;""),0),"Lebih",IF(IFERROR(--(INDEX('Reguler Class Availability'!$G:$G,AR79)&amp;""),0)=IFERROR(--(INDEX('Reguler Class Availability'!$F:$F,AR79)&amp;""),0),"Penuh",IF(IFERROR(--(INDEX('Reguler Class Availability'!$G:$G,AR79)&amp;""),0)=0,IF(INDEX('Reguler Class Availability'!$B:$B,AR79)&amp;""="","Kosong","Belum terisi"),IF(IFERROR(--(INDEX('Reguler Class Availability'!$G:$G,AR79)&amp;""),0)/IFERROR(--(INDEX('Reguler Class Availability'!$F:$F,AR79)&amp;""),0)&gt;=0.6,"Tinggi","Sebagian"))))))</f>
        <v>Penuh</v>
      </c>
      <c r="BA79" s="0" t="str">
        <f aca="false">IF(AS79="","",IF(AND(IFERROR(--(INDEX('Reguler Class Availability'!$F:$F,AS79)&amp;""),0)=0,IFERROR(--(INDEX('Reguler Class Availability'!$G:$G,AS79)&amp;""),0)=0),IF(OR(INDEX('Reguler Class Availability'!$B:$B,AS79)&amp;""&lt;&gt;"",INDEX('Reguler Class Availability'!$I:$I,AS79)&amp;""&lt;&gt;""),"Tutup","Tidak dibuka"),IF(IFERROR(--(INDEX('Reguler Class Availability'!$G:$G,AS79)&amp;""),0)&gt;IFERROR(--(INDEX('Reguler Class Availability'!$F:$F,AS79)&amp;""),0),"Lebih",IF(IFERROR(--(INDEX('Reguler Class Availability'!$G:$G,AS79)&amp;""),0)=IFERROR(--(INDEX('Reguler Class Availability'!$F:$F,AS79)&amp;""),0),"Penuh",IF(IFERROR(--(INDEX('Reguler Class Availability'!$G:$G,AS79)&amp;""),0)=0,IF(INDEX('Reguler Class Availability'!$B:$B,AS79)&amp;""="","Kosong","Belum terisi"),IF(IFERROR(--(INDEX('Reguler Class Availability'!$G:$G,AS79)&amp;""),0)/IFERROR(--(INDEX('Reguler Class Availability'!$F:$F,AS79)&amp;""),0)&gt;=0.6,"Tinggi","Sebagian"))))))</f>
        <v>Belum terisi</v>
      </c>
      <c r="BB79" s="0" t="str">
        <f aca="false">IF(AT79="","",IF(AND(IFERROR(--(INDEX('Reguler Class Availability'!$F:$F,AT79)&amp;""),0)=0,IFERROR(--(INDEX('Reguler Class Availability'!$G:$G,AT79)&amp;""),0)=0),IF(OR(INDEX('Reguler Class Availability'!$B:$B,AT79)&amp;""&lt;&gt;"",INDEX('Reguler Class Availability'!$I:$I,AT79)&amp;""&lt;&gt;""),"Tutup","Tidak dibuka"),IF(IFERROR(--(INDEX('Reguler Class Availability'!$G:$G,AT79)&amp;""),0)&gt;IFERROR(--(INDEX('Reguler Class Availability'!$F:$F,AT79)&amp;""),0),"Lebih",IF(IFERROR(--(INDEX('Reguler Class Availability'!$G:$G,AT79)&amp;""),0)=IFERROR(--(INDEX('Reguler Class Availability'!$F:$F,AT79)&amp;""),0),"Penuh",IF(IFERROR(--(INDEX('Reguler Class Availability'!$G:$G,AT79)&amp;""),0)=0,IF(INDEX('Reguler Class Availability'!$B:$B,AT79)&amp;""="","Kosong","Belum terisi"),IF(IFERROR(--(INDEX('Reguler Class Availability'!$G:$G,AT79)&amp;""),0)/IFERROR(--(INDEX('Reguler Class Availability'!$F:$F,AT79)&amp;""),0)&gt;=0.6,"Tinggi","Sebagian"))))))</f>
        <v>Belum terisi</v>
      </c>
      <c r="BD79" s="30" t="s">
        <v>126</v>
      </c>
      <c r="BE79" s="30" t="n">
        <f aca="false">IF(COUNTIFS('Reguler Class Availability'!$L:$L,$B$4&amp;"|- Lane 2 - *|"&amp;BD79)&gt;0,1,0)</f>
        <v>1</v>
      </c>
      <c r="BF79" s="30" t="n">
        <f aca="false">BE79+BF78</f>
        <v>4</v>
      </c>
    </row>
    <row r="80" customFormat="false" ht="39.75" hidden="false" customHeight="true" outlineLevel="0" collapsed="false">
      <c r="A80" s="66" t="str">
        <f aca="false">IFERROR(INDEX($BD$182:$BD$241,MATCH(11,$BF$182:$BF$241,0)),"")</f>
        <v>16:30</v>
      </c>
      <c r="B80" s="67" t="str">
        <f aca="false">IF(AN80="","",IF(AV80="Tidak dibuka","–",IF(INDEX('Reguler Class Availability'!$B:$B,AN80)&amp;""="","Kosong",PROPER(INDEX('Reguler Class Availability'!$B:$B,AN80)&amp;""))&amp;"  "&amp;IFERROR(--(INDEX('Reguler Class Availability'!$G:$G,AN80)&amp;""),0)&amp;"/"&amp;IFERROR(--(INDEX('Reguler Class Availability'!$F:$F,AN80)&amp;""),0)&amp;IF(IFERROR(--(INDEX('Reguler Class Availability'!$F:$F,AN80)&amp;""),0)&gt;0,"  ("&amp;TEXT(IFERROR(--(INDEX('Reguler Class Availability'!$G:$G,AN80)&amp;""),0)/IFERROR(--(INDEX('Reguler Class Availability'!$F:$F,AN80)&amp;""),0),"0%")&amp;")","")&amp;CHAR(10)&amp;IF(INDEX('Reguler Class Availability'!$I:$I,AN80)&amp;""="","coach: –",PROPER(INDEX('Reguler Class Availability'!$I:$I,AN80)&amp;""))&amp;IF(INDEX('Reguler Class Availability'!$J:$J,AN80)&amp;""="","",CHAR(10)&amp;"asst: "&amp;PROPER(INDEX('Reguler Class Availability'!$J:$J,AN80)&amp;""))))</f>
        <v>Kids  1/4  (25%)
coach: –</v>
      </c>
      <c r="C80" s="67" t="str">
        <f aca="false">IF(AO80="","",IF(AW80="Tidak dibuka","–",IF(INDEX('Reguler Class Availability'!$B:$B,AO80)&amp;""="","Kosong",PROPER(INDEX('Reguler Class Availability'!$B:$B,AO80)&amp;""))&amp;"  "&amp;IFERROR(--(INDEX('Reguler Class Availability'!$G:$G,AO80)&amp;""),0)&amp;"/"&amp;IFERROR(--(INDEX('Reguler Class Availability'!$F:$F,AO80)&amp;""),0)&amp;IF(IFERROR(--(INDEX('Reguler Class Availability'!$F:$F,AO80)&amp;""),0)&gt;0,"  ("&amp;TEXT(IFERROR(--(INDEX('Reguler Class Availability'!$G:$G,AO80)&amp;""),0)/IFERROR(--(INDEX('Reguler Class Availability'!$F:$F,AO80)&amp;""),0),"0%")&amp;")","")&amp;CHAR(10)&amp;IF(INDEX('Reguler Class Availability'!$I:$I,AO80)&amp;""="","coach: –",PROPER(INDEX('Reguler Class Availability'!$I:$I,AO80)&amp;""))&amp;IF(INDEX('Reguler Class Availability'!$J:$J,AO80)&amp;""="","",CHAR(10)&amp;"asst: "&amp;PROPER(INDEX('Reguler Class Availability'!$J:$J,AO80)&amp;""))))</f>
        <v>Kids  1/4  (25%)
Silvi</v>
      </c>
      <c r="D80" s="67" t="str">
        <f aca="false">IF(AP80="","",IF(AX80="Tidak dibuka","–",IF(INDEX('Reguler Class Availability'!$B:$B,AP80)&amp;""="","Kosong",PROPER(INDEX('Reguler Class Availability'!$B:$B,AP80)&amp;""))&amp;"  "&amp;IFERROR(--(INDEX('Reguler Class Availability'!$G:$G,AP80)&amp;""),0)&amp;"/"&amp;IFERROR(--(INDEX('Reguler Class Availability'!$F:$F,AP80)&amp;""),0)&amp;IF(IFERROR(--(INDEX('Reguler Class Availability'!$F:$F,AP80)&amp;""),0)&gt;0,"  ("&amp;TEXT(IFERROR(--(INDEX('Reguler Class Availability'!$G:$G,AP80)&amp;""),0)/IFERROR(--(INDEX('Reguler Class Availability'!$F:$F,AP80)&amp;""),0),"0%")&amp;")","")&amp;CHAR(10)&amp;IF(INDEX('Reguler Class Availability'!$I:$I,AP80)&amp;""="","coach: –",PROPER(INDEX('Reguler Class Availability'!$I:$I,AP80)&amp;""))&amp;IF(INDEX('Reguler Class Availability'!$J:$J,AP80)&amp;""="","",CHAR(10)&amp;"asst: "&amp;PROPER(INDEX('Reguler Class Availability'!$J:$J,AP80)&amp;""))))</f>
        <v>Kids  0/4  (0%)
coach: –</v>
      </c>
      <c r="E80" s="67" t="str">
        <f aca="false">IF(AQ80="","",IF(AY80="Tidak dibuka","–",IF(INDEX('Reguler Class Availability'!$B:$B,AQ80)&amp;""="","Kosong",PROPER(INDEX('Reguler Class Availability'!$B:$B,AQ80)&amp;""))&amp;"  "&amp;IFERROR(--(INDEX('Reguler Class Availability'!$G:$G,AQ80)&amp;""),0)&amp;"/"&amp;IFERROR(--(INDEX('Reguler Class Availability'!$F:$F,AQ80)&amp;""),0)&amp;IF(IFERROR(--(INDEX('Reguler Class Availability'!$F:$F,AQ80)&amp;""),0)&gt;0,"  ("&amp;TEXT(IFERROR(--(INDEX('Reguler Class Availability'!$G:$G,AQ80)&amp;""),0)/IFERROR(--(INDEX('Reguler Class Availability'!$F:$F,AQ80)&amp;""),0),"0%")&amp;")","")&amp;CHAR(10)&amp;IF(INDEX('Reguler Class Availability'!$I:$I,AQ80)&amp;""="","coach: –",PROPER(INDEX('Reguler Class Availability'!$I:$I,AQ80)&amp;""))&amp;IF(INDEX('Reguler Class Availability'!$J:$J,AQ80)&amp;""="","",CHAR(10)&amp;"asst: "&amp;PROPER(INDEX('Reguler Class Availability'!$J:$J,AQ80)&amp;""))))</f>
        <v>Kids  1/4  (25%)
Indra</v>
      </c>
      <c r="F80" s="67" t="str">
        <f aca="false">IF(AR80="","",IF(AZ80="Tidak dibuka","–",IF(INDEX('Reguler Class Availability'!$B:$B,AR80)&amp;""="","Kosong",PROPER(INDEX('Reguler Class Availability'!$B:$B,AR80)&amp;""))&amp;"  "&amp;IFERROR(--(INDEX('Reguler Class Availability'!$G:$G,AR80)&amp;""),0)&amp;"/"&amp;IFERROR(--(INDEX('Reguler Class Availability'!$F:$F,AR80)&amp;""),0)&amp;IF(IFERROR(--(INDEX('Reguler Class Availability'!$F:$F,AR80)&amp;""),0)&gt;0,"  ("&amp;TEXT(IFERROR(--(INDEX('Reguler Class Availability'!$G:$G,AR80)&amp;""),0)/IFERROR(--(INDEX('Reguler Class Availability'!$F:$F,AR80)&amp;""),0),"0%")&amp;")","")&amp;CHAR(10)&amp;IF(INDEX('Reguler Class Availability'!$I:$I,AR80)&amp;""="","coach: –",PROPER(INDEX('Reguler Class Availability'!$I:$I,AR80)&amp;""))&amp;IF(INDEX('Reguler Class Availability'!$J:$J,AR80)&amp;""="","",CHAR(10)&amp;"asst: "&amp;PROPER(INDEX('Reguler Class Availability'!$J:$J,AR80)&amp;""))))</f>
        <v>Kids  4/4  (100%)
Juan</v>
      </c>
      <c r="G80" s="67" t="str">
        <f aca="false">IF(AS80="","",IF(BA80="Tidak dibuka","–",IF(INDEX('Reguler Class Availability'!$B:$B,AS80)&amp;""="","Kosong",PROPER(INDEX('Reguler Class Availability'!$B:$B,AS80)&amp;""))&amp;"  "&amp;IFERROR(--(INDEX('Reguler Class Availability'!$G:$G,AS80)&amp;""),0)&amp;"/"&amp;IFERROR(--(INDEX('Reguler Class Availability'!$F:$F,AS80)&amp;""),0)&amp;IF(IFERROR(--(INDEX('Reguler Class Availability'!$F:$F,AS80)&amp;""),0)&gt;0,"  ("&amp;TEXT(IFERROR(--(INDEX('Reguler Class Availability'!$G:$G,AS80)&amp;""),0)/IFERROR(--(INDEX('Reguler Class Availability'!$F:$F,AS80)&amp;""),0),"0%")&amp;")","")&amp;CHAR(10)&amp;IF(INDEX('Reguler Class Availability'!$I:$I,AS80)&amp;""="","coach: –",PROPER(INDEX('Reguler Class Availability'!$I:$I,AS80)&amp;""))&amp;IF(INDEX('Reguler Class Availability'!$J:$J,AS80)&amp;""="","",CHAR(10)&amp;"asst: "&amp;PROPER(INDEX('Reguler Class Availability'!$J:$J,AS80)&amp;""))))</f>
        <v>Kids  2/4  (50%)
Juan</v>
      </c>
      <c r="H80" s="67" t="str">
        <f aca="false">IF(AT80="","",IF(BB80="Tidak dibuka","–",IF(INDEX('Reguler Class Availability'!$B:$B,AT80)&amp;""="","Kosong",PROPER(INDEX('Reguler Class Availability'!$B:$B,AT80)&amp;""))&amp;"  "&amp;IFERROR(--(INDEX('Reguler Class Availability'!$G:$G,AT80)&amp;""),0)&amp;"/"&amp;IFERROR(--(INDEX('Reguler Class Availability'!$F:$F,AT80)&amp;""),0)&amp;IF(IFERROR(--(INDEX('Reguler Class Availability'!$F:$F,AT80)&amp;""),0)&gt;0,"  ("&amp;TEXT(IFERROR(--(INDEX('Reguler Class Availability'!$G:$G,AT80)&amp;""),0)/IFERROR(--(INDEX('Reguler Class Availability'!$F:$F,AT80)&amp;""),0),"0%")&amp;")","")&amp;CHAR(10)&amp;IF(INDEX('Reguler Class Availability'!$I:$I,AT80)&amp;""="","coach: –",PROPER(INDEX('Reguler Class Availability'!$I:$I,AT80)&amp;""))&amp;IF(INDEX('Reguler Class Availability'!$J:$J,AT80)&amp;""="","",CHAR(10)&amp;"asst: "&amp;PROPER(INDEX('Reguler Class Availability'!$J:$J,AT80)&amp;""))))</f>
        <v>Kids  1/4  (25%)
Juan</v>
      </c>
      <c r="AN80" s="30" t="n">
        <f aca="false">IF($A80="","",IFERROR(MATCH($B$4&amp;"|- Lane 4 - "&amp;B$69&amp;"|"&amp;$A80,'Reguler Class Availability'!$L:$L,0),""))</f>
        <v>2686</v>
      </c>
      <c r="AO80" s="30" t="n">
        <f aca="false">IF($A80="","",IFERROR(MATCH($B$4&amp;"|- Lane 4 - "&amp;C$69&amp;"|"&amp;$A80,'Reguler Class Availability'!$L:$L,0),""))</f>
        <v>2698</v>
      </c>
      <c r="AP80" s="30" t="n">
        <f aca="false">IF($A80="","",IFERROR(MATCH($B$4&amp;"|- Lane 4 - "&amp;D$69&amp;"|"&amp;$A80,'Reguler Class Availability'!$L:$L,0),""))</f>
        <v>2710</v>
      </c>
      <c r="AQ80" s="30" t="n">
        <f aca="false">IF($A80="","",IFERROR(MATCH($B$4&amp;"|- Lane 4 - "&amp;E$69&amp;"|"&amp;$A80,'Reguler Class Availability'!$L:$L,0),""))</f>
        <v>2722</v>
      </c>
      <c r="AR80" s="30" t="n">
        <f aca="false">IF($A80="","",IFERROR(MATCH($B$4&amp;"|- Lane 4 - "&amp;F$69&amp;"|"&amp;$A80,'Reguler Class Availability'!$L:$L,0),""))</f>
        <v>2734</v>
      </c>
      <c r="AS80" s="30" t="n">
        <f aca="false">IF($A80="","",IFERROR(MATCH($B$4&amp;"|- Lane 4 - "&amp;G$69&amp;"|"&amp;$A80,'Reguler Class Availability'!$L:$L,0),""))</f>
        <v>2746</v>
      </c>
      <c r="AT80" s="30" t="n">
        <f aca="false">IF($A80="","",IFERROR(MATCH($B$4&amp;"|- Lane 4 - "&amp;H$69&amp;"|"&amp;$A80,'Reguler Class Availability'!$L:$L,0),""))</f>
        <v>2758</v>
      </c>
      <c r="AV80" s="0" t="str">
        <f aca="false">IF(AN80="","",IF(AND(IFERROR(--(INDEX('Reguler Class Availability'!$F:$F,AN80)&amp;""),0)=0,IFERROR(--(INDEX('Reguler Class Availability'!$G:$G,AN80)&amp;""),0)=0),IF(OR(INDEX('Reguler Class Availability'!$B:$B,AN80)&amp;""&lt;&gt;"",INDEX('Reguler Class Availability'!$I:$I,AN80)&amp;""&lt;&gt;""),"Tutup","Tidak dibuka"),IF(IFERROR(--(INDEX('Reguler Class Availability'!$G:$G,AN80)&amp;""),0)&gt;IFERROR(--(INDEX('Reguler Class Availability'!$F:$F,AN80)&amp;""),0),"Lebih",IF(IFERROR(--(INDEX('Reguler Class Availability'!$G:$G,AN80)&amp;""),0)=IFERROR(--(INDEX('Reguler Class Availability'!$F:$F,AN80)&amp;""),0),"Penuh",IF(IFERROR(--(INDEX('Reguler Class Availability'!$G:$G,AN80)&amp;""),0)=0,IF(INDEX('Reguler Class Availability'!$B:$B,AN80)&amp;""="","Kosong","Belum terisi"),IF(IFERROR(--(INDEX('Reguler Class Availability'!$G:$G,AN80)&amp;""),0)/IFERROR(--(INDEX('Reguler Class Availability'!$F:$F,AN80)&amp;""),0)&gt;=0.6,"Tinggi","Sebagian"))))))</f>
        <v>Sebagian</v>
      </c>
      <c r="AW80" s="0" t="str">
        <f aca="false">IF(AO80="","",IF(AND(IFERROR(--(INDEX('Reguler Class Availability'!$F:$F,AO80)&amp;""),0)=0,IFERROR(--(INDEX('Reguler Class Availability'!$G:$G,AO80)&amp;""),0)=0),IF(OR(INDEX('Reguler Class Availability'!$B:$B,AO80)&amp;""&lt;&gt;"",INDEX('Reguler Class Availability'!$I:$I,AO80)&amp;""&lt;&gt;""),"Tutup","Tidak dibuka"),IF(IFERROR(--(INDEX('Reguler Class Availability'!$G:$G,AO80)&amp;""),0)&gt;IFERROR(--(INDEX('Reguler Class Availability'!$F:$F,AO80)&amp;""),0),"Lebih",IF(IFERROR(--(INDEX('Reguler Class Availability'!$G:$G,AO80)&amp;""),0)=IFERROR(--(INDEX('Reguler Class Availability'!$F:$F,AO80)&amp;""),0),"Penuh",IF(IFERROR(--(INDEX('Reguler Class Availability'!$G:$G,AO80)&amp;""),0)=0,IF(INDEX('Reguler Class Availability'!$B:$B,AO80)&amp;""="","Kosong","Belum terisi"),IF(IFERROR(--(INDEX('Reguler Class Availability'!$G:$G,AO80)&amp;""),0)/IFERROR(--(INDEX('Reguler Class Availability'!$F:$F,AO80)&amp;""),0)&gt;=0.6,"Tinggi","Sebagian"))))))</f>
        <v>Sebagian</v>
      </c>
      <c r="AX80" s="0" t="str">
        <f aca="false">IF(AP80="","",IF(AND(IFERROR(--(INDEX('Reguler Class Availability'!$F:$F,AP80)&amp;""),0)=0,IFERROR(--(INDEX('Reguler Class Availability'!$G:$G,AP80)&amp;""),0)=0),IF(OR(INDEX('Reguler Class Availability'!$B:$B,AP80)&amp;""&lt;&gt;"",INDEX('Reguler Class Availability'!$I:$I,AP80)&amp;""&lt;&gt;""),"Tutup","Tidak dibuka"),IF(IFERROR(--(INDEX('Reguler Class Availability'!$G:$G,AP80)&amp;""),0)&gt;IFERROR(--(INDEX('Reguler Class Availability'!$F:$F,AP80)&amp;""),0),"Lebih",IF(IFERROR(--(INDEX('Reguler Class Availability'!$G:$G,AP80)&amp;""),0)=IFERROR(--(INDEX('Reguler Class Availability'!$F:$F,AP80)&amp;""),0),"Penuh",IF(IFERROR(--(INDEX('Reguler Class Availability'!$G:$G,AP80)&amp;""),0)=0,IF(INDEX('Reguler Class Availability'!$B:$B,AP80)&amp;""="","Kosong","Belum terisi"),IF(IFERROR(--(INDEX('Reguler Class Availability'!$G:$G,AP80)&amp;""),0)/IFERROR(--(INDEX('Reguler Class Availability'!$F:$F,AP80)&amp;""),0)&gt;=0.6,"Tinggi","Sebagian"))))))</f>
        <v>Belum terisi</v>
      </c>
      <c r="AY80" s="0" t="str">
        <f aca="false">IF(AQ80="","",IF(AND(IFERROR(--(INDEX('Reguler Class Availability'!$F:$F,AQ80)&amp;""),0)=0,IFERROR(--(INDEX('Reguler Class Availability'!$G:$G,AQ80)&amp;""),0)=0),IF(OR(INDEX('Reguler Class Availability'!$B:$B,AQ80)&amp;""&lt;&gt;"",INDEX('Reguler Class Availability'!$I:$I,AQ80)&amp;""&lt;&gt;""),"Tutup","Tidak dibuka"),IF(IFERROR(--(INDEX('Reguler Class Availability'!$G:$G,AQ80)&amp;""),0)&gt;IFERROR(--(INDEX('Reguler Class Availability'!$F:$F,AQ80)&amp;""),0),"Lebih",IF(IFERROR(--(INDEX('Reguler Class Availability'!$G:$G,AQ80)&amp;""),0)=IFERROR(--(INDEX('Reguler Class Availability'!$F:$F,AQ80)&amp;""),0),"Penuh",IF(IFERROR(--(INDEX('Reguler Class Availability'!$G:$G,AQ80)&amp;""),0)=0,IF(INDEX('Reguler Class Availability'!$B:$B,AQ80)&amp;""="","Kosong","Belum terisi"),IF(IFERROR(--(INDEX('Reguler Class Availability'!$G:$G,AQ80)&amp;""),0)/IFERROR(--(INDEX('Reguler Class Availability'!$F:$F,AQ80)&amp;""),0)&gt;=0.6,"Tinggi","Sebagian"))))))</f>
        <v>Sebagian</v>
      </c>
      <c r="AZ80" s="0" t="str">
        <f aca="false">IF(AR80="","",IF(AND(IFERROR(--(INDEX('Reguler Class Availability'!$F:$F,AR80)&amp;""),0)=0,IFERROR(--(INDEX('Reguler Class Availability'!$G:$G,AR80)&amp;""),0)=0),IF(OR(INDEX('Reguler Class Availability'!$B:$B,AR80)&amp;""&lt;&gt;"",INDEX('Reguler Class Availability'!$I:$I,AR80)&amp;""&lt;&gt;""),"Tutup","Tidak dibuka"),IF(IFERROR(--(INDEX('Reguler Class Availability'!$G:$G,AR80)&amp;""),0)&gt;IFERROR(--(INDEX('Reguler Class Availability'!$F:$F,AR80)&amp;""),0),"Lebih",IF(IFERROR(--(INDEX('Reguler Class Availability'!$G:$G,AR80)&amp;""),0)=IFERROR(--(INDEX('Reguler Class Availability'!$F:$F,AR80)&amp;""),0),"Penuh",IF(IFERROR(--(INDEX('Reguler Class Availability'!$G:$G,AR80)&amp;""),0)=0,IF(INDEX('Reguler Class Availability'!$B:$B,AR80)&amp;""="","Kosong","Belum terisi"),IF(IFERROR(--(INDEX('Reguler Class Availability'!$G:$G,AR80)&amp;""),0)/IFERROR(--(INDEX('Reguler Class Availability'!$F:$F,AR80)&amp;""),0)&gt;=0.6,"Tinggi","Sebagian"))))))</f>
        <v>Penuh</v>
      </c>
      <c r="BA80" s="0" t="str">
        <f aca="false">IF(AS80="","",IF(AND(IFERROR(--(INDEX('Reguler Class Availability'!$F:$F,AS80)&amp;""),0)=0,IFERROR(--(INDEX('Reguler Class Availability'!$G:$G,AS80)&amp;""),0)=0),IF(OR(INDEX('Reguler Class Availability'!$B:$B,AS80)&amp;""&lt;&gt;"",INDEX('Reguler Class Availability'!$I:$I,AS80)&amp;""&lt;&gt;""),"Tutup","Tidak dibuka"),IF(IFERROR(--(INDEX('Reguler Class Availability'!$G:$G,AS80)&amp;""),0)&gt;IFERROR(--(INDEX('Reguler Class Availability'!$F:$F,AS80)&amp;""),0),"Lebih",IF(IFERROR(--(INDEX('Reguler Class Availability'!$G:$G,AS80)&amp;""),0)=IFERROR(--(INDEX('Reguler Class Availability'!$F:$F,AS80)&amp;""),0),"Penuh",IF(IFERROR(--(INDEX('Reguler Class Availability'!$G:$G,AS80)&amp;""),0)=0,IF(INDEX('Reguler Class Availability'!$B:$B,AS80)&amp;""="","Kosong","Belum terisi"),IF(IFERROR(--(INDEX('Reguler Class Availability'!$G:$G,AS80)&amp;""),0)/IFERROR(--(INDEX('Reguler Class Availability'!$F:$F,AS80)&amp;""),0)&gt;=0.6,"Tinggi","Sebagian"))))))</f>
        <v>Sebagian</v>
      </c>
      <c r="BB80" s="0" t="str">
        <f aca="false">IF(AT80="","",IF(AND(IFERROR(--(INDEX('Reguler Class Availability'!$F:$F,AT80)&amp;""),0)=0,IFERROR(--(INDEX('Reguler Class Availability'!$G:$G,AT80)&amp;""),0)=0),IF(OR(INDEX('Reguler Class Availability'!$B:$B,AT80)&amp;""&lt;&gt;"",INDEX('Reguler Class Availability'!$I:$I,AT80)&amp;""&lt;&gt;""),"Tutup","Tidak dibuka"),IF(IFERROR(--(INDEX('Reguler Class Availability'!$G:$G,AT80)&amp;""),0)&gt;IFERROR(--(INDEX('Reguler Class Availability'!$F:$F,AT80)&amp;""),0),"Lebih",IF(IFERROR(--(INDEX('Reguler Class Availability'!$G:$G,AT80)&amp;""),0)=IFERROR(--(INDEX('Reguler Class Availability'!$F:$F,AT80)&amp;""),0),"Penuh",IF(IFERROR(--(INDEX('Reguler Class Availability'!$G:$G,AT80)&amp;""),0)=0,IF(INDEX('Reguler Class Availability'!$B:$B,AT80)&amp;""="","Kosong","Belum terisi"),IF(IFERROR(--(INDEX('Reguler Class Availability'!$G:$G,AT80)&amp;""),0)/IFERROR(--(INDEX('Reguler Class Availability'!$F:$F,AT80)&amp;""),0)&gt;=0.6,"Tinggi","Sebagian"))))))</f>
        <v>Sebagian</v>
      </c>
      <c r="BD80" s="30" t="s">
        <v>127</v>
      </c>
      <c r="BE80" s="30" t="n">
        <f aca="false">IF(COUNTIFS('Reguler Class Availability'!$L:$L,$B$4&amp;"|- Lane 2 - *|"&amp;BD80)&gt;0,1,0)</f>
        <v>0</v>
      </c>
      <c r="BF80" s="30" t="n">
        <f aca="false">BE80+BF79</f>
        <v>4</v>
      </c>
    </row>
    <row r="81" customFormat="false" ht="39.75" hidden="false" customHeight="true" outlineLevel="0" collapsed="false">
      <c r="A81" s="66" t="str">
        <f aca="false">IFERROR(INDEX($BD$182:$BD$241,MATCH(12,$BF$182:$BF$241,0)),"")</f>
        <v>17:15</v>
      </c>
      <c r="B81" s="67" t="str">
        <f aca="false">IF(AN81="","",IF(AV81="Tidak dibuka","–",IF(INDEX('Reguler Class Availability'!$B:$B,AN81)&amp;""="","Kosong",PROPER(INDEX('Reguler Class Availability'!$B:$B,AN81)&amp;""))&amp;"  "&amp;IFERROR(--(INDEX('Reguler Class Availability'!$G:$G,AN81)&amp;""),0)&amp;"/"&amp;IFERROR(--(INDEX('Reguler Class Availability'!$F:$F,AN81)&amp;""),0)&amp;IF(IFERROR(--(INDEX('Reguler Class Availability'!$F:$F,AN81)&amp;""),0)&gt;0,"  ("&amp;TEXT(IFERROR(--(INDEX('Reguler Class Availability'!$G:$G,AN81)&amp;""),0)/IFERROR(--(INDEX('Reguler Class Availability'!$F:$F,AN81)&amp;""),0),"0%")&amp;")","")&amp;CHAR(10)&amp;IF(INDEX('Reguler Class Availability'!$I:$I,AN81)&amp;""="","coach: –",PROPER(INDEX('Reguler Class Availability'!$I:$I,AN81)&amp;""))&amp;IF(INDEX('Reguler Class Availability'!$J:$J,AN81)&amp;""="","",CHAR(10)&amp;"asst: "&amp;PROPER(INDEX('Reguler Class Availability'!$J:$J,AN81)&amp;""))))</f>
        <v>Kids  2/4  (50%)
Angga</v>
      </c>
      <c r="C81" s="67" t="str">
        <f aca="false">IF(AO81="","",IF(AW81="Tidak dibuka","–",IF(INDEX('Reguler Class Availability'!$B:$B,AO81)&amp;""="","Kosong",PROPER(INDEX('Reguler Class Availability'!$B:$B,AO81)&amp;""))&amp;"  "&amp;IFERROR(--(INDEX('Reguler Class Availability'!$G:$G,AO81)&amp;""),0)&amp;"/"&amp;IFERROR(--(INDEX('Reguler Class Availability'!$F:$F,AO81)&amp;""),0)&amp;IF(IFERROR(--(INDEX('Reguler Class Availability'!$F:$F,AO81)&amp;""),0)&gt;0,"  ("&amp;TEXT(IFERROR(--(INDEX('Reguler Class Availability'!$G:$G,AO81)&amp;""),0)/IFERROR(--(INDEX('Reguler Class Availability'!$F:$F,AO81)&amp;""),0),"0%")&amp;")","")&amp;CHAR(10)&amp;IF(INDEX('Reguler Class Availability'!$I:$I,AO81)&amp;""="","coach: –",PROPER(INDEX('Reguler Class Availability'!$I:$I,AO81)&amp;""))&amp;IF(INDEX('Reguler Class Availability'!$J:$J,AO81)&amp;""="","",CHAR(10)&amp;"asst: "&amp;PROPER(INDEX('Reguler Class Availability'!$J:$J,AO81)&amp;""))))</f>
        <v>Kids  0/4  (0%)
coach: –</v>
      </c>
      <c r="D81" s="67" t="str">
        <f aca="false">IF(AP81="","",IF(AX81="Tidak dibuka","–",IF(INDEX('Reguler Class Availability'!$B:$B,AP81)&amp;""="","Kosong",PROPER(INDEX('Reguler Class Availability'!$B:$B,AP81)&amp;""))&amp;"  "&amp;IFERROR(--(INDEX('Reguler Class Availability'!$G:$G,AP81)&amp;""),0)&amp;"/"&amp;IFERROR(--(INDEX('Reguler Class Availability'!$F:$F,AP81)&amp;""),0)&amp;IF(IFERROR(--(INDEX('Reguler Class Availability'!$F:$F,AP81)&amp;""),0)&gt;0,"  ("&amp;TEXT(IFERROR(--(INDEX('Reguler Class Availability'!$G:$G,AP81)&amp;""),0)/IFERROR(--(INDEX('Reguler Class Availability'!$F:$F,AP81)&amp;""),0),"0%")&amp;")","")&amp;CHAR(10)&amp;IF(INDEX('Reguler Class Availability'!$I:$I,AP81)&amp;""="","coach: –",PROPER(INDEX('Reguler Class Availability'!$I:$I,AP81)&amp;""))&amp;IF(INDEX('Reguler Class Availability'!$J:$J,AP81)&amp;""="","",CHAR(10)&amp;"asst: "&amp;PROPER(INDEX('Reguler Class Availability'!$J:$J,AP81)&amp;""))))</f>
        <v>Kids  0/4  (0%)
coach: –</v>
      </c>
      <c r="E81" s="67" t="str">
        <f aca="false">IF(AQ81="","",IF(AY81="Tidak dibuka","–",IF(INDEX('Reguler Class Availability'!$B:$B,AQ81)&amp;""="","Kosong",PROPER(INDEX('Reguler Class Availability'!$B:$B,AQ81)&amp;""))&amp;"  "&amp;IFERROR(--(INDEX('Reguler Class Availability'!$G:$G,AQ81)&amp;""),0)&amp;"/"&amp;IFERROR(--(INDEX('Reguler Class Availability'!$F:$F,AQ81)&amp;""),0)&amp;IF(IFERROR(--(INDEX('Reguler Class Availability'!$F:$F,AQ81)&amp;""),0)&gt;0,"  ("&amp;TEXT(IFERROR(--(INDEX('Reguler Class Availability'!$G:$G,AQ81)&amp;""),0)/IFERROR(--(INDEX('Reguler Class Availability'!$F:$F,AQ81)&amp;""),0),"0%")&amp;")","")&amp;CHAR(10)&amp;IF(INDEX('Reguler Class Availability'!$I:$I,AQ81)&amp;""="","coach: –",PROPER(INDEX('Reguler Class Availability'!$I:$I,AQ81)&amp;""))&amp;IF(INDEX('Reguler Class Availability'!$J:$J,AQ81)&amp;""="","",CHAR(10)&amp;"asst: "&amp;PROPER(INDEX('Reguler Class Availability'!$J:$J,AQ81)&amp;""))))</f>
        <v>Kids  0/4  (0%)
coach: –</v>
      </c>
      <c r="F81" s="67" t="str">
        <f aca="false">IF(AR81="","",IF(AZ81="Tidak dibuka","–",IF(INDEX('Reguler Class Availability'!$B:$B,AR81)&amp;""="","Kosong",PROPER(INDEX('Reguler Class Availability'!$B:$B,AR81)&amp;""))&amp;"  "&amp;IFERROR(--(INDEX('Reguler Class Availability'!$G:$G,AR81)&amp;""),0)&amp;"/"&amp;IFERROR(--(INDEX('Reguler Class Availability'!$F:$F,AR81)&amp;""),0)&amp;IF(IFERROR(--(INDEX('Reguler Class Availability'!$F:$F,AR81)&amp;""),0)&gt;0,"  ("&amp;TEXT(IFERROR(--(INDEX('Reguler Class Availability'!$G:$G,AR81)&amp;""),0)/IFERROR(--(INDEX('Reguler Class Availability'!$F:$F,AR81)&amp;""),0),"0%")&amp;")","")&amp;CHAR(10)&amp;IF(INDEX('Reguler Class Availability'!$I:$I,AR81)&amp;""="","coach: –",PROPER(INDEX('Reguler Class Availability'!$I:$I,AR81)&amp;""))&amp;IF(INDEX('Reguler Class Availability'!$J:$J,AR81)&amp;""="","",CHAR(10)&amp;"asst: "&amp;PROPER(INDEX('Reguler Class Availability'!$J:$J,AR81)&amp;""))))</f>
        <v>Kids  3/4  (75%)
Indra</v>
      </c>
      <c r="G81" s="67" t="str">
        <f aca="false">IF(AS81="","",IF(BA81="Tidak dibuka","–",IF(INDEX('Reguler Class Availability'!$B:$B,AS81)&amp;""="","Kosong",PROPER(INDEX('Reguler Class Availability'!$B:$B,AS81)&amp;""))&amp;"  "&amp;IFERROR(--(INDEX('Reguler Class Availability'!$G:$G,AS81)&amp;""),0)&amp;"/"&amp;IFERROR(--(INDEX('Reguler Class Availability'!$F:$F,AS81)&amp;""),0)&amp;IF(IFERROR(--(INDEX('Reguler Class Availability'!$F:$F,AS81)&amp;""),0)&gt;0,"  ("&amp;TEXT(IFERROR(--(INDEX('Reguler Class Availability'!$G:$G,AS81)&amp;""),0)/IFERROR(--(INDEX('Reguler Class Availability'!$F:$F,AS81)&amp;""),0),"0%")&amp;")","")&amp;CHAR(10)&amp;IF(INDEX('Reguler Class Availability'!$I:$I,AS81)&amp;""="","coach: –",PROPER(INDEX('Reguler Class Availability'!$I:$I,AS81)&amp;""))&amp;IF(INDEX('Reguler Class Availability'!$J:$J,AS81)&amp;""="","",CHAR(10)&amp;"asst: "&amp;PROPER(INDEX('Reguler Class Availability'!$J:$J,AS81)&amp;""))))</f>
        <v>Kids  1/4  (25%)
Juan</v>
      </c>
      <c r="H81" s="67" t="str">
        <f aca="false">IF(AT81="","",IF(BB81="Tidak dibuka","–",IF(INDEX('Reguler Class Availability'!$B:$B,AT81)&amp;""="","Kosong",PROPER(INDEX('Reguler Class Availability'!$B:$B,AT81)&amp;""))&amp;"  "&amp;IFERROR(--(INDEX('Reguler Class Availability'!$G:$G,AT81)&amp;""),0)&amp;"/"&amp;IFERROR(--(INDEX('Reguler Class Availability'!$F:$F,AT81)&amp;""),0)&amp;IF(IFERROR(--(INDEX('Reguler Class Availability'!$F:$F,AT81)&amp;""),0)&gt;0,"  ("&amp;TEXT(IFERROR(--(INDEX('Reguler Class Availability'!$G:$G,AT81)&amp;""),0)/IFERROR(--(INDEX('Reguler Class Availability'!$F:$F,AT81)&amp;""),0),"0%")&amp;")","")&amp;CHAR(10)&amp;IF(INDEX('Reguler Class Availability'!$I:$I,AT81)&amp;""="","coach: –",PROPER(INDEX('Reguler Class Availability'!$I:$I,AT81)&amp;""))&amp;IF(INDEX('Reguler Class Availability'!$J:$J,AT81)&amp;""="","",CHAR(10)&amp;"asst: "&amp;PROPER(INDEX('Reguler Class Availability'!$J:$J,AT81)&amp;""))))</f>
        <v>Kids  0/4  (0%)
coach: –</v>
      </c>
      <c r="AN81" s="30" t="n">
        <f aca="false">IF($A81="","",IFERROR(MATCH($B$4&amp;"|- Lane 4 - "&amp;B$69&amp;"|"&amp;$A81,'Reguler Class Availability'!$L:$L,0),""))</f>
        <v>2687</v>
      </c>
      <c r="AO81" s="30" t="n">
        <f aca="false">IF($A81="","",IFERROR(MATCH($B$4&amp;"|- Lane 4 - "&amp;C$69&amp;"|"&amp;$A81,'Reguler Class Availability'!$L:$L,0),""))</f>
        <v>2699</v>
      </c>
      <c r="AP81" s="30" t="n">
        <f aca="false">IF($A81="","",IFERROR(MATCH($B$4&amp;"|- Lane 4 - "&amp;D$69&amp;"|"&amp;$A81,'Reguler Class Availability'!$L:$L,0),""))</f>
        <v>2711</v>
      </c>
      <c r="AQ81" s="30" t="n">
        <f aca="false">IF($A81="","",IFERROR(MATCH($B$4&amp;"|- Lane 4 - "&amp;E$69&amp;"|"&amp;$A81,'Reguler Class Availability'!$L:$L,0),""))</f>
        <v>2723</v>
      </c>
      <c r="AR81" s="30" t="n">
        <f aca="false">IF($A81="","",IFERROR(MATCH($B$4&amp;"|- Lane 4 - "&amp;F$69&amp;"|"&amp;$A81,'Reguler Class Availability'!$L:$L,0),""))</f>
        <v>2735</v>
      </c>
      <c r="AS81" s="30" t="n">
        <f aca="false">IF($A81="","",IFERROR(MATCH($B$4&amp;"|- Lane 4 - "&amp;G$69&amp;"|"&amp;$A81,'Reguler Class Availability'!$L:$L,0),""))</f>
        <v>2747</v>
      </c>
      <c r="AT81" s="30" t="n">
        <f aca="false">IF($A81="","",IFERROR(MATCH($B$4&amp;"|- Lane 4 - "&amp;H$69&amp;"|"&amp;$A81,'Reguler Class Availability'!$L:$L,0),""))</f>
        <v>2759</v>
      </c>
      <c r="AV81" s="0" t="str">
        <f aca="false">IF(AN81="","",IF(AND(IFERROR(--(INDEX('Reguler Class Availability'!$F:$F,AN81)&amp;""),0)=0,IFERROR(--(INDEX('Reguler Class Availability'!$G:$G,AN81)&amp;""),0)=0),IF(OR(INDEX('Reguler Class Availability'!$B:$B,AN81)&amp;""&lt;&gt;"",INDEX('Reguler Class Availability'!$I:$I,AN81)&amp;""&lt;&gt;""),"Tutup","Tidak dibuka"),IF(IFERROR(--(INDEX('Reguler Class Availability'!$G:$G,AN81)&amp;""),0)&gt;IFERROR(--(INDEX('Reguler Class Availability'!$F:$F,AN81)&amp;""),0),"Lebih",IF(IFERROR(--(INDEX('Reguler Class Availability'!$G:$G,AN81)&amp;""),0)=IFERROR(--(INDEX('Reguler Class Availability'!$F:$F,AN81)&amp;""),0),"Penuh",IF(IFERROR(--(INDEX('Reguler Class Availability'!$G:$G,AN81)&amp;""),0)=0,IF(INDEX('Reguler Class Availability'!$B:$B,AN81)&amp;""="","Kosong","Belum terisi"),IF(IFERROR(--(INDEX('Reguler Class Availability'!$G:$G,AN81)&amp;""),0)/IFERROR(--(INDEX('Reguler Class Availability'!$F:$F,AN81)&amp;""),0)&gt;=0.6,"Tinggi","Sebagian"))))))</f>
        <v>Sebagian</v>
      </c>
      <c r="AW81" s="0" t="str">
        <f aca="false">IF(AO81="","",IF(AND(IFERROR(--(INDEX('Reguler Class Availability'!$F:$F,AO81)&amp;""),0)=0,IFERROR(--(INDEX('Reguler Class Availability'!$G:$G,AO81)&amp;""),0)=0),IF(OR(INDEX('Reguler Class Availability'!$B:$B,AO81)&amp;""&lt;&gt;"",INDEX('Reguler Class Availability'!$I:$I,AO81)&amp;""&lt;&gt;""),"Tutup","Tidak dibuka"),IF(IFERROR(--(INDEX('Reguler Class Availability'!$G:$G,AO81)&amp;""),0)&gt;IFERROR(--(INDEX('Reguler Class Availability'!$F:$F,AO81)&amp;""),0),"Lebih",IF(IFERROR(--(INDEX('Reguler Class Availability'!$G:$G,AO81)&amp;""),0)=IFERROR(--(INDEX('Reguler Class Availability'!$F:$F,AO81)&amp;""),0),"Penuh",IF(IFERROR(--(INDEX('Reguler Class Availability'!$G:$G,AO81)&amp;""),0)=0,IF(INDEX('Reguler Class Availability'!$B:$B,AO81)&amp;""="","Kosong","Belum terisi"),IF(IFERROR(--(INDEX('Reguler Class Availability'!$G:$G,AO81)&amp;""),0)/IFERROR(--(INDEX('Reguler Class Availability'!$F:$F,AO81)&amp;""),0)&gt;=0.6,"Tinggi","Sebagian"))))))</f>
        <v>Belum terisi</v>
      </c>
      <c r="AX81" s="0" t="str">
        <f aca="false">IF(AP81="","",IF(AND(IFERROR(--(INDEX('Reguler Class Availability'!$F:$F,AP81)&amp;""),0)=0,IFERROR(--(INDEX('Reguler Class Availability'!$G:$G,AP81)&amp;""),0)=0),IF(OR(INDEX('Reguler Class Availability'!$B:$B,AP81)&amp;""&lt;&gt;"",INDEX('Reguler Class Availability'!$I:$I,AP81)&amp;""&lt;&gt;""),"Tutup","Tidak dibuka"),IF(IFERROR(--(INDEX('Reguler Class Availability'!$G:$G,AP81)&amp;""),0)&gt;IFERROR(--(INDEX('Reguler Class Availability'!$F:$F,AP81)&amp;""),0),"Lebih",IF(IFERROR(--(INDEX('Reguler Class Availability'!$G:$G,AP81)&amp;""),0)=IFERROR(--(INDEX('Reguler Class Availability'!$F:$F,AP81)&amp;""),0),"Penuh",IF(IFERROR(--(INDEX('Reguler Class Availability'!$G:$G,AP81)&amp;""),0)=0,IF(INDEX('Reguler Class Availability'!$B:$B,AP81)&amp;""="","Kosong","Belum terisi"),IF(IFERROR(--(INDEX('Reguler Class Availability'!$G:$G,AP81)&amp;""),0)/IFERROR(--(INDEX('Reguler Class Availability'!$F:$F,AP81)&amp;""),0)&gt;=0.6,"Tinggi","Sebagian"))))))</f>
        <v>Belum terisi</v>
      </c>
      <c r="AY81" s="0" t="str">
        <f aca="false">IF(AQ81="","",IF(AND(IFERROR(--(INDEX('Reguler Class Availability'!$F:$F,AQ81)&amp;""),0)=0,IFERROR(--(INDEX('Reguler Class Availability'!$G:$G,AQ81)&amp;""),0)=0),IF(OR(INDEX('Reguler Class Availability'!$B:$B,AQ81)&amp;""&lt;&gt;"",INDEX('Reguler Class Availability'!$I:$I,AQ81)&amp;""&lt;&gt;""),"Tutup","Tidak dibuka"),IF(IFERROR(--(INDEX('Reguler Class Availability'!$G:$G,AQ81)&amp;""),0)&gt;IFERROR(--(INDEX('Reguler Class Availability'!$F:$F,AQ81)&amp;""),0),"Lebih",IF(IFERROR(--(INDEX('Reguler Class Availability'!$G:$G,AQ81)&amp;""),0)=IFERROR(--(INDEX('Reguler Class Availability'!$F:$F,AQ81)&amp;""),0),"Penuh",IF(IFERROR(--(INDEX('Reguler Class Availability'!$G:$G,AQ81)&amp;""),0)=0,IF(INDEX('Reguler Class Availability'!$B:$B,AQ81)&amp;""="","Kosong","Belum terisi"),IF(IFERROR(--(INDEX('Reguler Class Availability'!$G:$G,AQ81)&amp;""),0)/IFERROR(--(INDEX('Reguler Class Availability'!$F:$F,AQ81)&amp;""),0)&gt;=0.6,"Tinggi","Sebagian"))))))</f>
        <v>Belum terisi</v>
      </c>
      <c r="AZ81" s="0" t="str">
        <f aca="false">IF(AR81="","",IF(AND(IFERROR(--(INDEX('Reguler Class Availability'!$F:$F,AR81)&amp;""),0)=0,IFERROR(--(INDEX('Reguler Class Availability'!$G:$G,AR81)&amp;""),0)=0),IF(OR(INDEX('Reguler Class Availability'!$B:$B,AR81)&amp;""&lt;&gt;"",INDEX('Reguler Class Availability'!$I:$I,AR81)&amp;""&lt;&gt;""),"Tutup","Tidak dibuka"),IF(IFERROR(--(INDEX('Reguler Class Availability'!$G:$G,AR81)&amp;""),0)&gt;IFERROR(--(INDEX('Reguler Class Availability'!$F:$F,AR81)&amp;""),0),"Lebih",IF(IFERROR(--(INDEX('Reguler Class Availability'!$G:$G,AR81)&amp;""),0)=IFERROR(--(INDEX('Reguler Class Availability'!$F:$F,AR81)&amp;""),0),"Penuh",IF(IFERROR(--(INDEX('Reguler Class Availability'!$G:$G,AR81)&amp;""),0)=0,IF(INDEX('Reguler Class Availability'!$B:$B,AR81)&amp;""="","Kosong","Belum terisi"),IF(IFERROR(--(INDEX('Reguler Class Availability'!$G:$G,AR81)&amp;""),0)/IFERROR(--(INDEX('Reguler Class Availability'!$F:$F,AR81)&amp;""),0)&gt;=0.6,"Tinggi","Sebagian"))))))</f>
        <v>Tinggi</v>
      </c>
      <c r="BA81" s="0" t="str">
        <f aca="false">IF(AS81="","",IF(AND(IFERROR(--(INDEX('Reguler Class Availability'!$F:$F,AS81)&amp;""),0)=0,IFERROR(--(INDEX('Reguler Class Availability'!$G:$G,AS81)&amp;""),0)=0),IF(OR(INDEX('Reguler Class Availability'!$B:$B,AS81)&amp;""&lt;&gt;"",INDEX('Reguler Class Availability'!$I:$I,AS81)&amp;""&lt;&gt;""),"Tutup","Tidak dibuka"),IF(IFERROR(--(INDEX('Reguler Class Availability'!$G:$G,AS81)&amp;""),0)&gt;IFERROR(--(INDEX('Reguler Class Availability'!$F:$F,AS81)&amp;""),0),"Lebih",IF(IFERROR(--(INDEX('Reguler Class Availability'!$G:$G,AS81)&amp;""),0)=IFERROR(--(INDEX('Reguler Class Availability'!$F:$F,AS81)&amp;""),0),"Penuh",IF(IFERROR(--(INDEX('Reguler Class Availability'!$G:$G,AS81)&amp;""),0)=0,IF(INDEX('Reguler Class Availability'!$B:$B,AS81)&amp;""="","Kosong","Belum terisi"),IF(IFERROR(--(INDEX('Reguler Class Availability'!$G:$G,AS81)&amp;""),0)/IFERROR(--(INDEX('Reguler Class Availability'!$F:$F,AS81)&amp;""),0)&gt;=0.6,"Tinggi","Sebagian"))))))</f>
        <v>Sebagian</v>
      </c>
      <c r="BB81" s="0" t="str">
        <f aca="false">IF(AT81="","",IF(AND(IFERROR(--(INDEX('Reguler Class Availability'!$F:$F,AT81)&amp;""),0)=0,IFERROR(--(INDEX('Reguler Class Availability'!$G:$G,AT81)&amp;""),0)=0),IF(OR(INDEX('Reguler Class Availability'!$B:$B,AT81)&amp;""&lt;&gt;"",INDEX('Reguler Class Availability'!$I:$I,AT81)&amp;""&lt;&gt;""),"Tutup","Tidak dibuka"),IF(IFERROR(--(INDEX('Reguler Class Availability'!$G:$G,AT81)&amp;""),0)&gt;IFERROR(--(INDEX('Reguler Class Availability'!$F:$F,AT81)&amp;""),0),"Lebih",IF(IFERROR(--(INDEX('Reguler Class Availability'!$G:$G,AT81)&amp;""),0)=IFERROR(--(INDEX('Reguler Class Availability'!$F:$F,AT81)&amp;""),0),"Penuh",IF(IFERROR(--(INDEX('Reguler Class Availability'!$G:$G,AT81)&amp;""),0)=0,IF(INDEX('Reguler Class Availability'!$B:$B,AT81)&amp;""="","Kosong","Belum terisi"),IF(IFERROR(--(INDEX('Reguler Class Availability'!$G:$G,AT81)&amp;""),0)/IFERROR(--(INDEX('Reguler Class Availability'!$F:$F,AT81)&amp;""),0)&gt;=0.6,"Tinggi","Sebagian"))))))</f>
        <v>Belum terisi</v>
      </c>
      <c r="BD81" s="30" t="s">
        <v>128</v>
      </c>
      <c r="BE81" s="30" t="n">
        <f aca="false">IF(COUNTIFS('Reguler Class Availability'!$L:$L,$B$4&amp;"|- Lane 2 - *|"&amp;BD81)&gt;0,1,0)</f>
        <v>0</v>
      </c>
      <c r="BF81" s="30" t="n">
        <f aca="false">BE81+BF80</f>
        <v>4</v>
      </c>
    </row>
    <row r="82" customFormat="false" ht="39.75" hidden="false" customHeight="true" outlineLevel="0" collapsed="false">
      <c r="A82" s="66" t="str">
        <f aca="false">IFERROR(INDEX($BD$182:$BD$241,MATCH(13,$BF$182:$BF$241,0)),"")</f>
        <v/>
      </c>
      <c r="B82" s="67" t="str">
        <f aca="false">IF(AN82="","",IF(AV82="Tidak dibuka","–",IF(INDEX('Reguler Class Availability'!$B:$B,AN82)&amp;""="","Kosong",PROPER(INDEX('Reguler Class Availability'!$B:$B,AN82)&amp;""))&amp;"  "&amp;IFERROR(--(INDEX('Reguler Class Availability'!$G:$G,AN82)&amp;""),0)&amp;"/"&amp;IFERROR(--(INDEX('Reguler Class Availability'!$F:$F,AN82)&amp;""),0)&amp;IF(IFERROR(--(INDEX('Reguler Class Availability'!$F:$F,AN82)&amp;""),0)&gt;0,"  ("&amp;TEXT(IFERROR(--(INDEX('Reguler Class Availability'!$G:$G,AN82)&amp;""),0)/IFERROR(--(INDEX('Reguler Class Availability'!$F:$F,AN82)&amp;""),0),"0%")&amp;")","")&amp;CHAR(10)&amp;IF(INDEX('Reguler Class Availability'!$I:$I,AN82)&amp;""="","coach: –",PROPER(INDEX('Reguler Class Availability'!$I:$I,AN82)&amp;""))&amp;IF(INDEX('Reguler Class Availability'!$J:$J,AN82)&amp;""="","",CHAR(10)&amp;"asst: "&amp;PROPER(INDEX('Reguler Class Availability'!$J:$J,AN82)&amp;""))))</f>
        <v/>
      </c>
      <c r="C82" s="67" t="str">
        <f aca="false">IF(AO82="","",IF(AW82="Tidak dibuka","–",IF(INDEX('Reguler Class Availability'!$B:$B,AO82)&amp;""="","Kosong",PROPER(INDEX('Reguler Class Availability'!$B:$B,AO82)&amp;""))&amp;"  "&amp;IFERROR(--(INDEX('Reguler Class Availability'!$G:$G,AO82)&amp;""),0)&amp;"/"&amp;IFERROR(--(INDEX('Reguler Class Availability'!$F:$F,AO82)&amp;""),0)&amp;IF(IFERROR(--(INDEX('Reguler Class Availability'!$F:$F,AO82)&amp;""),0)&gt;0,"  ("&amp;TEXT(IFERROR(--(INDEX('Reguler Class Availability'!$G:$G,AO82)&amp;""),0)/IFERROR(--(INDEX('Reguler Class Availability'!$F:$F,AO82)&amp;""),0),"0%")&amp;")","")&amp;CHAR(10)&amp;IF(INDEX('Reguler Class Availability'!$I:$I,AO82)&amp;""="","coach: –",PROPER(INDEX('Reguler Class Availability'!$I:$I,AO82)&amp;""))&amp;IF(INDEX('Reguler Class Availability'!$J:$J,AO82)&amp;""="","",CHAR(10)&amp;"asst: "&amp;PROPER(INDEX('Reguler Class Availability'!$J:$J,AO82)&amp;""))))</f>
        <v/>
      </c>
      <c r="D82" s="67" t="str">
        <f aca="false">IF(AP82="","",IF(AX82="Tidak dibuka","–",IF(INDEX('Reguler Class Availability'!$B:$B,AP82)&amp;""="","Kosong",PROPER(INDEX('Reguler Class Availability'!$B:$B,AP82)&amp;""))&amp;"  "&amp;IFERROR(--(INDEX('Reguler Class Availability'!$G:$G,AP82)&amp;""),0)&amp;"/"&amp;IFERROR(--(INDEX('Reguler Class Availability'!$F:$F,AP82)&amp;""),0)&amp;IF(IFERROR(--(INDEX('Reguler Class Availability'!$F:$F,AP82)&amp;""),0)&gt;0,"  ("&amp;TEXT(IFERROR(--(INDEX('Reguler Class Availability'!$G:$G,AP82)&amp;""),0)/IFERROR(--(INDEX('Reguler Class Availability'!$F:$F,AP82)&amp;""),0),"0%")&amp;")","")&amp;CHAR(10)&amp;IF(INDEX('Reguler Class Availability'!$I:$I,AP82)&amp;""="","coach: –",PROPER(INDEX('Reguler Class Availability'!$I:$I,AP82)&amp;""))&amp;IF(INDEX('Reguler Class Availability'!$J:$J,AP82)&amp;""="","",CHAR(10)&amp;"asst: "&amp;PROPER(INDEX('Reguler Class Availability'!$J:$J,AP82)&amp;""))))</f>
        <v/>
      </c>
      <c r="E82" s="67" t="str">
        <f aca="false">IF(AQ82="","",IF(AY82="Tidak dibuka","–",IF(INDEX('Reguler Class Availability'!$B:$B,AQ82)&amp;""="","Kosong",PROPER(INDEX('Reguler Class Availability'!$B:$B,AQ82)&amp;""))&amp;"  "&amp;IFERROR(--(INDEX('Reguler Class Availability'!$G:$G,AQ82)&amp;""),0)&amp;"/"&amp;IFERROR(--(INDEX('Reguler Class Availability'!$F:$F,AQ82)&amp;""),0)&amp;IF(IFERROR(--(INDEX('Reguler Class Availability'!$F:$F,AQ82)&amp;""),0)&gt;0,"  ("&amp;TEXT(IFERROR(--(INDEX('Reguler Class Availability'!$G:$G,AQ82)&amp;""),0)/IFERROR(--(INDEX('Reguler Class Availability'!$F:$F,AQ82)&amp;""),0),"0%")&amp;")","")&amp;CHAR(10)&amp;IF(INDEX('Reguler Class Availability'!$I:$I,AQ82)&amp;""="","coach: –",PROPER(INDEX('Reguler Class Availability'!$I:$I,AQ82)&amp;""))&amp;IF(INDEX('Reguler Class Availability'!$J:$J,AQ82)&amp;""="","",CHAR(10)&amp;"asst: "&amp;PROPER(INDEX('Reguler Class Availability'!$J:$J,AQ82)&amp;""))))</f>
        <v/>
      </c>
      <c r="F82" s="67" t="str">
        <f aca="false">IF(AR82="","",IF(AZ82="Tidak dibuka","–",IF(INDEX('Reguler Class Availability'!$B:$B,AR82)&amp;""="","Kosong",PROPER(INDEX('Reguler Class Availability'!$B:$B,AR82)&amp;""))&amp;"  "&amp;IFERROR(--(INDEX('Reguler Class Availability'!$G:$G,AR82)&amp;""),0)&amp;"/"&amp;IFERROR(--(INDEX('Reguler Class Availability'!$F:$F,AR82)&amp;""),0)&amp;IF(IFERROR(--(INDEX('Reguler Class Availability'!$F:$F,AR82)&amp;""),0)&gt;0,"  ("&amp;TEXT(IFERROR(--(INDEX('Reguler Class Availability'!$G:$G,AR82)&amp;""),0)/IFERROR(--(INDEX('Reguler Class Availability'!$F:$F,AR82)&amp;""),0),"0%")&amp;")","")&amp;CHAR(10)&amp;IF(INDEX('Reguler Class Availability'!$I:$I,AR82)&amp;""="","coach: –",PROPER(INDEX('Reguler Class Availability'!$I:$I,AR82)&amp;""))&amp;IF(INDEX('Reguler Class Availability'!$J:$J,AR82)&amp;""="","",CHAR(10)&amp;"asst: "&amp;PROPER(INDEX('Reguler Class Availability'!$J:$J,AR82)&amp;""))))</f>
        <v/>
      </c>
      <c r="G82" s="67" t="str">
        <f aca="false">IF(AS82="","",IF(BA82="Tidak dibuka","–",IF(INDEX('Reguler Class Availability'!$B:$B,AS82)&amp;""="","Kosong",PROPER(INDEX('Reguler Class Availability'!$B:$B,AS82)&amp;""))&amp;"  "&amp;IFERROR(--(INDEX('Reguler Class Availability'!$G:$G,AS82)&amp;""),0)&amp;"/"&amp;IFERROR(--(INDEX('Reguler Class Availability'!$F:$F,AS82)&amp;""),0)&amp;IF(IFERROR(--(INDEX('Reguler Class Availability'!$F:$F,AS82)&amp;""),0)&gt;0,"  ("&amp;TEXT(IFERROR(--(INDEX('Reguler Class Availability'!$G:$G,AS82)&amp;""),0)/IFERROR(--(INDEX('Reguler Class Availability'!$F:$F,AS82)&amp;""),0),"0%")&amp;")","")&amp;CHAR(10)&amp;IF(INDEX('Reguler Class Availability'!$I:$I,AS82)&amp;""="","coach: –",PROPER(INDEX('Reguler Class Availability'!$I:$I,AS82)&amp;""))&amp;IF(INDEX('Reguler Class Availability'!$J:$J,AS82)&amp;""="","",CHAR(10)&amp;"asst: "&amp;PROPER(INDEX('Reguler Class Availability'!$J:$J,AS82)&amp;""))))</f>
        <v/>
      </c>
      <c r="H82" s="67" t="str">
        <f aca="false">IF(AT82="","",IF(BB82="Tidak dibuka","–",IF(INDEX('Reguler Class Availability'!$B:$B,AT82)&amp;""="","Kosong",PROPER(INDEX('Reguler Class Availability'!$B:$B,AT82)&amp;""))&amp;"  "&amp;IFERROR(--(INDEX('Reguler Class Availability'!$G:$G,AT82)&amp;""),0)&amp;"/"&amp;IFERROR(--(INDEX('Reguler Class Availability'!$F:$F,AT82)&amp;""),0)&amp;IF(IFERROR(--(INDEX('Reguler Class Availability'!$F:$F,AT82)&amp;""),0)&gt;0,"  ("&amp;TEXT(IFERROR(--(INDEX('Reguler Class Availability'!$G:$G,AT82)&amp;""),0)/IFERROR(--(INDEX('Reguler Class Availability'!$F:$F,AT82)&amp;""),0),"0%")&amp;")","")&amp;CHAR(10)&amp;IF(INDEX('Reguler Class Availability'!$I:$I,AT82)&amp;""="","coach: –",PROPER(INDEX('Reguler Class Availability'!$I:$I,AT82)&amp;""))&amp;IF(INDEX('Reguler Class Availability'!$J:$J,AT82)&amp;""="","",CHAR(10)&amp;"asst: "&amp;PROPER(INDEX('Reguler Class Availability'!$J:$J,AT82)&amp;""))))</f>
        <v/>
      </c>
      <c r="AN82" s="0" t="str">
        <f aca="false">IF($A82="","",IFERROR(MATCH($B$4&amp;"|- Lane 4 - "&amp;B$69&amp;"|"&amp;$A82,'Reguler Class Availability'!$L:$L,0),""))</f>
        <v/>
      </c>
      <c r="AO82" s="0" t="str">
        <f aca="false">IF($A82="","",IFERROR(MATCH($B$4&amp;"|- Lane 4 - "&amp;C$69&amp;"|"&amp;$A82,'Reguler Class Availability'!$L:$L,0),""))</f>
        <v/>
      </c>
      <c r="AP82" s="0" t="str">
        <f aca="false">IF($A82="","",IFERROR(MATCH($B$4&amp;"|- Lane 4 - "&amp;D$69&amp;"|"&amp;$A82,'Reguler Class Availability'!$L:$L,0),""))</f>
        <v/>
      </c>
      <c r="AQ82" s="0" t="str">
        <f aca="false">IF($A82="","",IFERROR(MATCH($B$4&amp;"|- Lane 4 - "&amp;E$69&amp;"|"&amp;$A82,'Reguler Class Availability'!$L:$L,0),""))</f>
        <v/>
      </c>
      <c r="AR82" s="0" t="str">
        <f aca="false">IF($A82="","",IFERROR(MATCH($B$4&amp;"|- Lane 4 - "&amp;F$69&amp;"|"&amp;$A82,'Reguler Class Availability'!$L:$L,0),""))</f>
        <v/>
      </c>
      <c r="AS82" s="0" t="str">
        <f aca="false">IF($A82="","",IFERROR(MATCH($B$4&amp;"|- Lane 4 - "&amp;G$69&amp;"|"&amp;$A82,'Reguler Class Availability'!$L:$L,0),""))</f>
        <v/>
      </c>
      <c r="AT82" s="0" t="str">
        <f aca="false">IF($A82="","",IFERROR(MATCH($B$4&amp;"|- Lane 4 - "&amp;H$69&amp;"|"&amp;$A82,'Reguler Class Availability'!$L:$L,0),""))</f>
        <v/>
      </c>
      <c r="AV82" s="0" t="str">
        <f aca="false">IF(AN82="","",IF(AND(IFERROR(--(INDEX('Reguler Class Availability'!$F:$F,AN82)&amp;""),0)=0,IFERROR(--(INDEX('Reguler Class Availability'!$G:$G,AN82)&amp;""),0)=0),IF(OR(INDEX('Reguler Class Availability'!$B:$B,AN82)&amp;""&lt;&gt;"",INDEX('Reguler Class Availability'!$I:$I,AN82)&amp;""&lt;&gt;""),"Tutup","Tidak dibuka"),IF(IFERROR(--(INDEX('Reguler Class Availability'!$G:$G,AN82)&amp;""),0)&gt;IFERROR(--(INDEX('Reguler Class Availability'!$F:$F,AN82)&amp;""),0),"Lebih",IF(IFERROR(--(INDEX('Reguler Class Availability'!$G:$G,AN82)&amp;""),0)=IFERROR(--(INDEX('Reguler Class Availability'!$F:$F,AN82)&amp;""),0),"Penuh",IF(IFERROR(--(INDEX('Reguler Class Availability'!$G:$G,AN82)&amp;""),0)=0,IF(INDEX('Reguler Class Availability'!$B:$B,AN82)&amp;""="","Kosong","Belum terisi"),IF(IFERROR(--(INDEX('Reguler Class Availability'!$G:$G,AN82)&amp;""),0)/IFERROR(--(INDEX('Reguler Class Availability'!$F:$F,AN82)&amp;""),0)&gt;=0.6,"Tinggi","Sebagian"))))))</f>
        <v/>
      </c>
      <c r="AW82" s="0" t="str">
        <f aca="false">IF(AO82="","",IF(AND(IFERROR(--(INDEX('Reguler Class Availability'!$F:$F,AO82)&amp;""),0)=0,IFERROR(--(INDEX('Reguler Class Availability'!$G:$G,AO82)&amp;""),0)=0),IF(OR(INDEX('Reguler Class Availability'!$B:$B,AO82)&amp;""&lt;&gt;"",INDEX('Reguler Class Availability'!$I:$I,AO82)&amp;""&lt;&gt;""),"Tutup","Tidak dibuka"),IF(IFERROR(--(INDEX('Reguler Class Availability'!$G:$G,AO82)&amp;""),0)&gt;IFERROR(--(INDEX('Reguler Class Availability'!$F:$F,AO82)&amp;""),0),"Lebih",IF(IFERROR(--(INDEX('Reguler Class Availability'!$G:$G,AO82)&amp;""),0)=IFERROR(--(INDEX('Reguler Class Availability'!$F:$F,AO82)&amp;""),0),"Penuh",IF(IFERROR(--(INDEX('Reguler Class Availability'!$G:$G,AO82)&amp;""),0)=0,IF(INDEX('Reguler Class Availability'!$B:$B,AO82)&amp;""="","Kosong","Belum terisi"),IF(IFERROR(--(INDEX('Reguler Class Availability'!$G:$G,AO82)&amp;""),0)/IFERROR(--(INDEX('Reguler Class Availability'!$F:$F,AO82)&amp;""),0)&gt;=0.6,"Tinggi","Sebagian"))))))</f>
        <v/>
      </c>
      <c r="AX82" s="0" t="str">
        <f aca="false">IF(AP82="","",IF(AND(IFERROR(--(INDEX('Reguler Class Availability'!$F:$F,AP82)&amp;""),0)=0,IFERROR(--(INDEX('Reguler Class Availability'!$G:$G,AP82)&amp;""),0)=0),IF(OR(INDEX('Reguler Class Availability'!$B:$B,AP82)&amp;""&lt;&gt;"",INDEX('Reguler Class Availability'!$I:$I,AP82)&amp;""&lt;&gt;""),"Tutup","Tidak dibuka"),IF(IFERROR(--(INDEX('Reguler Class Availability'!$G:$G,AP82)&amp;""),0)&gt;IFERROR(--(INDEX('Reguler Class Availability'!$F:$F,AP82)&amp;""),0),"Lebih",IF(IFERROR(--(INDEX('Reguler Class Availability'!$G:$G,AP82)&amp;""),0)=IFERROR(--(INDEX('Reguler Class Availability'!$F:$F,AP82)&amp;""),0),"Penuh",IF(IFERROR(--(INDEX('Reguler Class Availability'!$G:$G,AP82)&amp;""),0)=0,IF(INDEX('Reguler Class Availability'!$B:$B,AP82)&amp;""="","Kosong","Belum terisi"),IF(IFERROR(--(INDEX('Reguler Class Availability'!$G:$G,AP82)&amp;""),0)/IFERROR(--(INDEX('Reguler Class Availability'!$F:$F,AP82)&amp;""),0)&gt;=0.6,"Tinggi","Sebagian"))))))</f>
        <v/>
      </c>
      <c r="AY82" s="0" t="str">
        <f aca="false">IF(AQ82="","",IF(AND(IFERROR(--(INDEX('Reguler Class Availability'!$F:$F,AQ82)&amp;""),0)=0,IFERROR(--(INDEX('Reguler Class Availability'!$G:$G,AQ82)&amp;""),0)=0),IF(OR(INDEX('Reguler Class Availability'!$B:$B,AQ82)&amp;""&lt;&gt;"",INDEX('Reguler Class Availability'!$I:$I,AQ82)&amp;""&lt;&gt;""),"Tutup","Tidak dibuka"),IF(IFERROR(--(INDEX('Reguler Class Availability'!$G:$G,AQ82)&amp;""),0)&gt;IFERROR(--(INDEX('Reguler Class Availability'!$F:$F,AQ82)&amp;""),0),"Lebih",IF(IFERROR(--(INDEX('Reguler Class Availability'!$G:$G,AQ82)&amp;""),0)=IFERROR(--(INDEX('Reguler Class Availability'!$F:$F,AQ82)&amp;""),0),"Penuh",IF(IFERROR(--(INDEX('Reguler Class Availability'!$G:$G,AQ82)&amp;""),0)=0,IF(INDEX('Reguler Class Availability'!$B:$B,AQ82)&amp;""="","Kosong","Belum terisi"),IF(IFERROR(--(INDEX('Reguler Class Availability'!$G:$G,AQ82)&amp;""),0)/IFERROR(--(INDEX('Reguler Class Availability'!$F:$F,AQ82)&amp;""),0)&gt;=0.6,"Tinggi","Sebagian"))))))</f>
        <v/>
      </c>
      <c r="AZ82" s="0" t="str">
        <f aca="false">IF(AR82="","",IF(AND(IFERROR(--(INDEX('Reguler Class Availability'!$F:$F,AR82)&amp;""),0)=0,IFERROR(--(INDEX('Reguler Class Availability'!$G:$G,AR82)&amp;""),0)=0),IF(OR(INDEX('Reguler Class Availability'!$B:$B,AR82)&amp;""&lt;&gt;"",INDEX('Reguler Class Availability'!$I:$I,AR82)&amp;""&lt;&gt;""),"Tutup","Tidak dibuka"),IF(IFERROR(--(INDEX('Reguler Class Availability'!$G:$G,AR82)&amp;""),0)&gt;IFERROR(--(INDEX('Reguler Class Availability'!$F:$F,AR82)&amp;""),0),"Lebih",IF(IFERROR(--(INDEX('Reguler Class Availability'!$G:$G,AR82)&amp;""),0)=IFERROR(--(INDEX('Reguler Class Availability'!$F:$F,AR82)&amp;""),0),"Penuh",IF(IFERROR(--(INDEX('Reguler Class Availability'!$G:$G,AR82)&amp;""),0)=0,IF(INDEX('Reguler Class Availability'!$B:$B,AR82)&amp;""="","Kosong","Belum terisi"),IF(IFERROR(--(INDEX('Reguler Class Availability'!$G:$G,AR82)&amp;""),0)/IFERROR(--(INDEX('Reguler Class Availability'!$F:$F,AR82)&amp;""),0)&gt;=0.6,"Tinggi","Sebagian"))))))</f>
        <v/>
      </c>
      <c r="BA82" s="0" t="str">
        <f aca="false">IF(AS82="","",IF(AND(IFERROR(--(INDEX('Reguler Class Availability'!$F:$F,AS82)&amp;""),0)=0,IFERROR(--(INDEX('Reguler Class Availability'!$G:$G,AS82)&amp;""),0)=0),IF(OR(INDEX('Reguler Class Availability'!$B:$B,AS82)&amp;""&lt;&gt;"",INDEX('Reguler Class Availability'!$I:$I,AS82)&amp;""&lt;&gt;""),"Tutup","Tidak dibuka"),IF(IFERROR(--(INDEX('Reguler Class Availability'!$G:$G,AS82)&amp;""),0)&gt;IFERROR(--(INDEX('Reguler Class Availability'!$F:$F,AS82)&amp;""),0),"Lebih",IF(IFERROR(--(INDEX('Reguler Class Availability'!$G:$G,AS82)&amp;""),0)=IFERROR(--(INDEX('Reguler Class Availability'!$F:$F,AS82)&amp;""),0),"Penuh",IF(IFERROR(--(INDEX('Reguler Class Availability'!$G:$G,AS82)&amp;""),0)=0,IF(INDEX('Reguler Class Availability'!$B:$B,AS82)&amp;""="","Kosong","Belum terisi"),IF(IFERROR(--(INDEX('Reguler Class Availability'!$G:$G,AS82)&amp;""),0)/IFERROR(--(INDEX('Reguler Class Availability'!$F:$F,AS82)&amp;""),0)&gt;=0.6,"Tinggi","Sebagian"))))))</f>
        <v/>
      </c>
      <c r="BB82" s="0" t="str">
        <f aca="false">IF(AT82="","",IF(AND(IFERROR(--(INDEX('Reguler Class Availability'!$F:$F,AT82)&amp;""),0)=0,IFERROR(--(INDEX('Reguler Class Availability'!$G:$G,AT82)&amp;""),0)=0),IF(OR(INDEX('Reguler Class Availability'!$B:$B,AT82)&amp;""&lt;&gt;"",INDEX('Reguler Class Availability'!$I:$I,AT82)&amp;""&lt;&gt;""),"Tutup","Tidak dibuka"),IF(IFERROR(--(INDEX('Reguler Class Availability'!$G:$G,AT82)&amp;""),0)&gt;IFERROR(--(INDEX('Reguler Class Availability'!$F:$F,AT82)&amp;""),0),"Lebih",IF(IFERROR(--(INDEX('Reguler Class Availability'!$G:$G,AT82)&amp;""),0)=IFERROR(--(INDEX('Reguler Class Availability'!$F:$F,AT82)&amp;""),0),"Penuh",IF(IFERROR(--(INDEX('Reguler Class Availability'!$G:$G,AT82)&amp;""),0)=0,IF(INDEX('Reguler Class Availability'!$B:$B,AT82)&amp;""="","Kosong","Belum terisi"),IF(IFERROR(--(INDEX('Reguler Class Availability'!$G:$G,AT82)&amp;""),0)/IFERROR(--(INDEX('Reguler Class Availability'!$F:$F,AT82)&amp;""),0)&gt;=0.6,"Tinggi","Sebagian"))))))</f>
        <v/>
      </c>
      <c r="BD82" s="30" t="s">
        <v>129</v>
      </c>
      <c r="BE82" s="30" t="n">
        <f aca="false">IF(COUNTIFS('Reguler Class Availability'!$L:$L,$B$4&amp;"|- Lane 2 - *|"&amp;BD82)&gt;0,1,0)</f>
        <v>1</v>
      </c>
      <c r="BF82" s="30" t="n">
        <f aca="false">BE82+BF81</f>
        <v>5</v>
      </c>
    </row>
    <row r="83" customFormat="false" ht="39.75" hidden="false" customHeight="true" outlineLevel="0" collapsed="false">
      <c r="A83" s="66" t="str">
        <f aca="false">IFERROR(INDEX($BD$182:$BD$241,MATCH(14,$BF$182:$BF$241,0)),"")</f>
        <v/>
      </c>
      <c r="B83" s="67" t="str">
        <f aca="false">IF(AN83="","",IF(AV83="Tidak dibuka","–",IF(INDEX('Reguler Class Availability'!$B:$B,AN83)&amp;""="","Kosong",PROPER(INDEX('Reguler Class Availability'!$B:$B,AN83)&amp;""))&amp;"  "&amp;IFERROR(--(INDEX('Reguler Class Availability'!$G:$G,AN83)&amp;""),0)&amp;"/"&amp;IFERROR(--(INDEX('Reguler Class Availability'!$F:$F,AN83)&amp;""),0)&amp;IF(IFERROR(--(INDEX('Reguler Class Availability'!$F:$F,AN83)&amp;""),0)&gt;0,"  ("&amp;TEXT(IFERROR(--(INDEX('Reguler Class Availability'!$G:$G,AN83)&amp;""),0)/IFERROR(--(INDEX('Reguler Class Availability'!$F:$F,AN83)&amp;""),0),"0%")&amp;")","")&amp;CHAR(10)&amp;IF(INDEX('Reguler Class Availability'!$I:$I,AN83)&amp;""="","coach: –",PROPER(INDEX('Reguler Class Availability'!$I:$I,AN83)&amp;""))&amp;IF(INDEX('Reguler Class Availability'!$J:$J,AN83)&amp;""="","",CHAR(10)&amp;"asst: "&amp;PROPER(INDEX('Reguler Class Availability'!$J:$J,AN83)&amp;""))))</f>
        <v/>
      </c>
      <c r="C83" s="67" t="str">
        <f aca="false">IF(AO83="","",IF(AW83="Tidak dibuka","–",IF(INDEX('Reguler Class Availability'!$B:$B,AO83)&amp;""="","Kosong",PROPER(INDEX('Reguler Class Availability'!$B:$B,AO83)&amp;""))&amp;"  "&amp;IFERROR(--(INDEX('Reguler Class Availability'!$G:$G,AO83)&amp;""),0)&amp;"/"&amp;IFERROR(--(INDEX('Reguler Class Availability'!$F:$F,AO83)&amp;""),0)&amp;IF(IFERROR(--(INDEX('Reguler Class Availability'!$F:$F,AO83)&amp;""),0)&gt;0,"  ("&amp;TEXT(IFERROR(--(INDEX('Reguler Class Availability'!$G:$G,AO83)&amp;""),0)/IFERROR(--(INDEX('Reguler Class Availability'!$F:$F,AO83)&amp;""),0),"0%")&amp;")","")&amp;CHAR(10)&amp;IF(INDEX('Reguler Class Availability'!$I:$I,AO83)&amp;""="","coach: –",PROPER(INDEX('Reguler Class Availability'!$I:$I,AO83)&amp;""))&amp;IF(INDEX('Reguler Class Availability'!$J:$J,AO83)&amp;""="","",CHAR(10)&amp;"asst: "&amp;PROPER(INDEX('Reguler Class Availability'!$J:$J,AO83)&amp;""))))</f>
        <v/>
      </c>
      <c r="D83" s="67" t="str">
        <f aca="false">IF(AP83="","",IF(AX83="Tidak dibuka","–",IF(INDEX('Reguler Class Availability'!$B:$B,AP83)&amp;""="","Kosong",PROPER(INDEX('Reguler Class Availability'!$B:$B,AP83)&amp;""))&amp;"  "&amp;IFERROR(--(INDEX('Reguler Class Availability'!$G:$G,AP83)&amp;""),0)&amp;"/"&amp;IFERROR(--(INDEX('Reguler Class Availability'!$F:$F,AP83)&amp;""),0)&amp;IF(IFERROR(--(INDEX('Reguler Class Availability'!$F:$F,AP83)&amp;""),0)&gt;0,"  ("&amp;TEXT(IFERROR(--(INDEX('Reguler Class Availability'!$G:$G,AP83)&amp;""),0)/IFERROR(--(INDEX('Reguler Class Availability'!$F:$F,AP83)&amp;""),0),"0%")&amp;")","")&amp;CHAR(10)&amp;IF(INDEX('Reguler Class Availability'!$I:$I,AP83)&amp;""="","coach: –",PROPER(INDEX('Reguler Class Availability'!$I:$I,AP83)&amp;""))&amp;IF(INDEX('Reguler Class Availability'!$J:$J,AP83)&amp;""="","",CHAR(10)&amp;"asst: "&amp;PROPER(INDEX('Reguler Class Availability'!$J:$J,AP83)&amp;""))))</f>
        <v/>
      </c>
      <c r="E83" s="67" t="str">
        <f aca="false">IF(AQ83="","",IF(AY83="Tidak dibuka","–",IF(INDEX('Reguler Class Availability'!$B:$B,AQ83)&amp;""="","Kosong",PROPER(INDEX('Reguler Class Availability'!$B:$B,AQ83)&amp;""))&amp;"  "&amp;IFERROR(--(INDEX('Reguler Class Availability'!$G:$G,AQ83)&amp;""),0)&amp;"/"&amp;IFERROR(--(INDEX('Reguler Class Availability'!$F:$F,AQ83)&amp;""),0)&amp;IF(IFERROR(--(INDEX('Reguler Class Availability'!$F:$F,AQ83)&amp;""),0)&gt;0,"  ("&amp;TEXT(IFERROR(--(INDEX('Reguler Class Availability'!$G:$G,AQ83)&amp;""),0)/IFERROR(--(INDEX('Reguler Class Availability'!$F:$F,AQ83)&amp;""),0),"0%")&amp;")","")&amp;CHAR(10)&amp;IF(INDEX('Reguler Class Availability'!$I:$I,AQ83)&amp;""="","coach: –",PROPER(INDEX('Reguler Class Availability'!$I:$I,AQ83)&amp;""))&amp;IF(INDEX('Reguler Class Availability'!$J:$J,AQ83)&amp;""="","",CHAR(10)&amp;"asst: "&amp;PROPER(INDEX('Reguler Class Availability'!$J:$J,AQ83)&amp;""))))</f>
        <v/>
      </c>
      <c r="F83" s="67" t="str">
        <f aca="false">IF(AR83="","",IF(AZ83="Tidak dibuka","–",IF(INDEX('Reguler Class Availability'!$B:$B,AR83)&amp;""="","Kosong",PROPER(INDEX('Reguler Class Availability'!$B:$B,AR83)&amp;""))&amp;"  "&amp;IFERROR(--(INDEX('Reguler Class Availability'!$G:$G,AR83)&amp;""),0)&amp;"/"&amp;IFERROR(--(INDEX('Reguler Class Availability'!$F:$F,AR83)&amp;""),0)&amp;IF(IFERROR(--(INDEX('Reguler Class Availability'!$F:$F,AR83)&amp;""),0)&gt;0,"  ("&amp;TEXT(IFERROR(--(INDEX('Reguler Class Availability'!$G:$G,AR83)&amp;""),0)/IFERROR(--(INDEX('Reguler Class Availability'!$F:$F,AR83)&amp;""),0),"0%")&amp;")","")&amp;CHAR(10)&amp;IF(INDEX('Reguler Class Availability'!$I:$I,AR83)&amp;""="","coach: –",PROPER(INDEX('Reguler Class Availability'!$I:$I,AR83)&amp;""))&amp;IF(INDEX('Reguler Class Availability'!$J:$J,AR83)&amp;""="","",CHAR(10)&amp;"asst: "&amp;PROPER(INDEX('Reguler Class Availability'!$J:$J,AR83)&amp;""))))</f>
        <v/>
      </c>
      <c r="G83" s="67" t="str">
        <f aca="false">IF(AS83="","",IF(BA83="Tidak dibuka","–",IF(INDEX('Reguler Class Availability'!$B:$B,AS83)&amp;""="","Kosong",PROPER(INDEX('Reguler Class Availability'!$B:$B,AS83)&amp;""))&amp;"  "&amp;IFERROR(--(INDEX('Reguler Class Availability'!$G:$G,AS83)&amp;""),0)&amp;"/"&amp;IFERROR(--(INDEX('Reguler Class Availability'!$F:$F,AS83)&amp;""),0)&amp;IF(IFERROR(--(INDEX('Reguler Class Availability'!$F:$F,AS83)&amp;""),0)&gt;0,"  ("&amp;TEXT(IFERROR(--(INDEX('Reguler Class Availability'!$G:$G,AS83)&amp;""),0)/IFERROR(--(INDEX('Reguler Class Availability'!$F:$F,AS83)&amp;""),0),"0%")&amp;")","")&amp;CHAR(10)&amp;IF(INDEX('Reguler Class Availability'!$I:$I,AS83)&amp;""="","coach: –",PROPER(INDEX('Reguler Class Availability'!$I:$I,AS83)&amp;""))&amp;IF(INDEX('Reguler Class Availability'!$J:$J,AS83)&amp;""="","",CHAR(10)&amp;"asst: "&amp;PROPER(INDEX('Reguler Class Availability'!$J:$J,AS83)&amp;""))))</f>
        <v/>
      </c>
      <c r="H83" s="67" t="str">
        <f aca="false">IF(AT83="","",IF(BB83="Tidak dibuka","–",IF(INDEX('Reguler Class Availability'!$B:$B,AT83)&amp;""="","Kosong",PROPER(INDEX('Reguler Class Availability'!$B:$B,AT83)&amp;""))&amp;"  "&amp;IFERROR(--(INDEX('Reguler Class Availability'!$G:$G,AT83)&amp;""),0)&amp;"/"&amp;IFERROR(--(INDEX('Reguler Class Availability'!$F:$F,AT83)&amp;""),0)&amp;IF(IFERROR(--(INDEX('Reguler Class Availability'!$F:$F,AT83)&amp;""),0)&gt;0,"  ("&amp;TEXT(IFERROR(--(INDEX('Reguler Class Availability'!$G:$G,AT83)&amp;""),0)/IFERROR(--(INDEX('Reguler Class Availability'!$F:$F,AT83)&amp;""),0),"0%")&amp;")","")&amp;CHAR(10)&amp;IF(INDEX('Reguler Class Availability'!$I:$I,AT83)&amp;""="","coach: –",PROPER(INDEX('Reguler Class Availability'!$I:$I,AT83)&amp;""))&amp;IF(INDEX('Reguler Class Availability'!$J:$J,AT83)&amp;""="","",CHAR(10)&amp;"asst: "&amp;PROPER(INDEX('Reguler Class Availability'!$J:$J,AT83)&amp;""))))</f>
        <v/>
      </c>
      <c r="AN83" s="0" t="str">
        <f aca="false">IF($A83="","",IFERROR(MATCH($B$4&amp;"|- Lane 4 - "&amp;B$69&amp;"|"&amp;$A83,'Reguler Class Availability'!$L:$L,0),""))</f>
        <v/>
      </c>
      <c r="AO83" s="0" t="str">
        <f aca="false">IF($A83="","",IFERROR(MATCH($B$4&amp;"|- Lane 4 - "&amp;C$69&amp;"|"&amp;$A83,'Reguler Class Availability'!$L:$L,0),""))</f>
        <v/>
      </c>
      <c r="AP83" s="0" t="str">
        <f aca="false">IF($A83="","",IFERROR(MATCH($B$4&amp;"|- Lane 4 - "&amp;D$69&amp;"|"&amp;$A83,'Reguler Class Availability'!$L:$L,0),""))</f>
        <v/>
      </c>
      <c r="AQ83" s="0" t="str">
        <f aca="false">IF($A83="","",IFERROR(MATCH($B$4&amp;"|- Lane 4 - "&amp;E$69&amp;"|"&amp;$A83,'Reguler Class Availability'!$L:$L,0),""))</f>
        <v/>
      </c>
      <c r="AR83" s="0" t="str">
        <f aca="false">IF($A83="","",IFERROR(MATCH($B$4&amp;"|- Lane 4 - "&amp;F$69&amp;"|"&amp;$A83,'Reguler Class Availability'!$L:$L,0),""))</f>
        <v/>
      </c>
      <c r="AS83" s="0" t="str">
        <f aca="false">IF($A83="","",IFERROR(MATCH($B$4&amp;"|- Lane 4 - "&amp;G$69&amp;"|"&amp;$A83,'Reguler Class Availability'!$L:$L,0),""))</f>
        <v/>
      </c>
      <c r="AT83" s="0" t="str">
        <f aca="false">IF($A83="","",IFERROR(MATCH($B$4&amp;"|- Lane 4 - "&amp;H$69&amp;"|"&amp;$A83,'Reguler Class Availability'!$L:$L,0),""))</f>
        <v/>
      </c>
      <c r="AV83" s="0" t="str">
        <f aca="false">IF(AN83="","",IF(AND(IFERROR(--(INDEX('Reguler Class Availability'!$F:$F,AN83)&amp;""),0)=0,IFERROR(--(INDEX('Reguler Class Availability'!$G:$G,AN83)&amp;""),0)=0),IF(OR(INDEX('Reguler Class Availability'!$B:$B,AN83)&amp;""&lt;&gt;"",INDEX('Reguler Class Availability'!$I:$I,AN83)&amp;""&lt;&gt;""),"Tutup","Tidak dibuka"),IF(IFERROR(--(INDEX('Reguler Class Availability'!$G:$G,AN83)&amp;""),0)&gt;IFERROR(--(INDEX('Reguler Class Availability'!$F:$F,AN83)&amp;""),0),"Lebih",IF(IFERROR(--(INDEX('Reguler Class Availability'!$G:$G,AN83)&amp;""),0)=IFERROR(--(INDEX('Reguler Class Availability'!$F:$F,AN83)&amp;""),0),"Penuh",IF(IFERROR(--(INDEX('Reguler Class Availability'!$G:$G,AN83)&amp;""),0)=0,IF(INDEX('Reguler Class Availability'!$B:$B,AN83)&amp;""="","Kosong","Belum terisi"),IF(IFERROR(--(INDEX('Reguler Class Availability'!$G:$G,AN83)&amp;""),0)/IFERROR(--(INDEX('Reguler Class Availability'!$F:$F,AN83)&amp;""),0)&gt;=0.6,"Tinggi","Sebagian"))))))</f>
        <v/>
      </c>
      <c r="AW83" s="0" t="str">
        <f aca="false">IF(AO83="","",IF(AND(IFERROR(--(INDEX('Reguler Class Availability'!$F:$F,AO83)&amp;""),0)=0,IFERROR(--(INDEX('Reguler Class Availability'!$G:$G,AO83)&amp;""),0)=0),IF(OR(INDEX('Reguler Class Availability'!$B:$B,AO83)&amp;""&lt;&gt;"",INDEX('Reguler Class Availability'!$I:$I,AO83)&amp;""&lt;&gt;""),"Tutup","Tidak dibuka"),IF(IFERROR(--(INDEX('Reguler Class Availability'!$G:$G,AO83)&amp;""),0)&gt;IFERROR(--(INDEX('Reguler Class Availability'!$F:$F,AO83)&amp;""),0),"Lebih",IF(IFERROR(--(INDEX('Reguler Class Availability'!$G:$G,AO83)&amp;""),0)=IFERROR(--(INDEX('Reguler Class Availability'!$F:$F,AO83)&amp;""),0),"Penuh",IF(IFERROR(--(INDEX('Reguler Class Availability'!$G:$G,AO83)&amp;""),0)=0,IF(INDEX('Reguler Class Availability'!$B:$B,AO83)&amp;""="","Kosong","Belum terisi"),IF(IFERROR(--(INDEX('Reguler Class Availability'!$G:$G,AO83)&amp;""),0)/IFERROR(--(INDEX('Reguler Class Availability'!$F:$F,AO83)&amp;""),0)&gt;=0.6,"Tinggi","Sebagian"))))))</f>
        <v/>
      </c>
      <c r="AX83" s="0" t="str">
        <f aca="false">IF(AP83="","",IF(AND(IFERROR(--(INDEX('Reguler Class Availability'!$F:$F,AP83)&amp;""),0)=0,IFERROR(--(INDEX('Reguler Class Availability'!$G:$G,AP83)&amp;""),0)=0),IF(OR(INDEX('Reguler Class Availability'!$B:$B,AP83)&amp;""&lt;&gt;"",INDEX('Reguler Class Availability'!$I:$I,AP83)&amp;""&lt;&gt;""),"Tutup","Tidak dibuka"),IF(IFERROR(--(INDEX('Reguler Class Availability'!$G:$G,AP83)&amp;""),0)&gt;IFERROR(--(INDEX('Reguler Class Availability'!$F:$F,AP83)&amp;""),0),"Lebih",IF(IFERROR(--(INDEX('Reguler Class Availability'!$G:$G,AP83)&amp;""),0)=IFERROR(--(INDEX('Reguler Class Availability'!$F:$F,AP83)&amp;""),0),"Penuh",IF(IFERROR(--(INDEX('Reguler Class Availability'!$G:$G,AP83)&amp;""),0)=0,IF(INDEX('Reguler Class Availability'!$B:$B,AP83)&amp;""="","Kosong","Belum terisi"),IF(IFERROR(--(INDEX('Reguler Class Availability'!$G:$G,AP83)&amp;""),0)/IFERROR(--(INDEX('Reguler Class Availability'!$F:$F,AP83)&amp;""),0)&gt;=0.6,"Tinggi","Sebagian"))))))</f>
        <v/>
      </c>
      <c r="AY83" s="0" t="str">
        <f aca="false">IF(AQ83="","",IF(AND(IFERROR(--(INDEX('Reguler Class Availability'!$F:$F,AQ83)&amp;""),0)=0,IFERROR(--(INDEX('Reguler Class Availability'!$G:$G,AQ83)&amp;""),0)=0),IF(OR(INDEX('Reguler Class Availability'!$B:$B,AQ83)&amp;""&lt;&gt;"",INDEX('Reguler Class Availability'!$I:$I,AQ83)&amp;""&lt;&gt;""),"Tutup","Tidak dibuka"),IF(IFERROR(--(INDEX('Reguler Class Availability'!$G:$G,AQ83)&amp;""),0)&gt;IFERROR(--(INDEX('Reguler Class Availability'!$F:$F,AQ83)&amp;""),0),"Lebih",IF(IFERROR(--(INDEX('Reguler Class Availability'!$G:$G,AQ83)&amp;""),0)=IFERROR(--(INDEX('Reguler Class Availability'!$F:$F,AQ83)&amp;""),0),"Penuh",IF(IFERROR(--(INDEX('Reguler Class Availability'!$G:$G,AQ83)&amp;""),0)=0,IF(INDEX('Reguler Class Availability'!$B:$B,AQ83)&amp;""="","Kosong","Belum terisi"),IF(IFERROR(--(INDEX('Reguler Class Availability'!$G:$G,AQ83)&amp;""),0)/IFERROR(--(INDEX('Reguler Class Availability'!$F:$F,AQ83)&amp;""),0)&gt;=0.6,"Tinggi","Sebagian"))))))</f>
        <v/>
      </c>
      <c r="AZ83" s="0" t="str">
        <f aca="false">IF(AR83="","",IF(AND(IFERROR(--(INDEX('Reguler Class Availability'!$F:$F,AR83)&amp;""),0)=0,IFERROR(--(INDEX('Reguler Class Availability'!$G:$G,AR83)&amp;""),0)=0),IF(OR(INDEX('Reguler Class Availability'!$B:$B,AR83)&amp;""&lt;&gt;"",INDEX('Reguler Class Availability'!$I:$I,AR83)&amp;""&lt;&gt;""),"Tutup","Tidak dibuka"),IF(IFERROR(--(INDEX('Reguler Class Availability'!$G:$G,AR83)&amp;""),0)&gt;IFERROR(--(INDEX('Reguler Class Availability'!$F:$F,AR83)&amp;""),0),"Lebih",IF(IFERROR(--(INDEX('Reguler Class Availability'!$G:$G,AR83)&amp;""),0)=IFERROR(--(INDEX('Reguler Class Availability'!$F:$F,AR83)&amp;""),0),"Penuh",IF(IFERROR(--(INDEX('Reguler Class Availability'!$G:$G,AR83)&amp;""),0)=0,IF(INDEX('Reguler Class Availability'!$B:$B,AR83)&amp;""="","Kosong","Belum terisi"),IF(IFERROR(--(INDEX('Reguler Class Availability'!$G:$G,AR83)&amp;""),0)/IFERROR(--(INDEX('Reguler Class Availability'!$F:$F,AR83)&amp;""),0)&gt;=0.6,"Tinggi","Sebagian"))))))</f>
        <v/>
      </c>
      <c r="BA83" s="0" t="str">
        <f aca="false">IF(AS83="","",IF(AND(IFERROR(--(INDEX('Reguler Class Availability'!$F:$F,AS83)&amp;""),0)=0,IFERROR(--(INDEX('Reguler Class Availability'!$G:$G,AS83)&amp;""),0)=0),IF(OR(INDEX('Reguler Class Availability'!$B:$B,AS83)&amp;""&lt;&gt;"",INDEX('Reguler Class Availability'!$I:$I,AS83)&amp;""&lt;&gt;""),"Tutup","Tidak dibuka"),IF(IFERROR(--(INDEX('Reguler Class Availability'!$G:$G,AS83)&amp;""),0)&gt;IFERROR(--(INDEX('Reguler Class Availability'!$F:$F,AS83)&amp;""),0),"Lebih",IF(IFERROR(--(INDEX('Reguler Class Availability'!$G:$G,AS83)&amp;""),0)=IFERROR(--(INDEX('Reguler Class Availability'!$F:$F,AS83)&amp;""),0),"Penuh",IF(IFERROR(--(INDEX('Reguler Class Availability'!$G:$G,AS83)&amp;""),0)=0,IF(INDEX('Reguler Class Availability'!$B:$B,AS83)&amp;""="","Kosong","Belum terisi"),IF(IFERROR(--(INDEX('Reguler Class Availability'!$G:$G,AS83)&amp;""),0)/IFERROR(--(INDEX('Reguler Class Availability'!$F:$F,AS83)&amp;""),0)&gt;=0.6,"Tinggi","Sebagian"))))))</f>
        <v/>
      </c>
      <c r="BB83" s="0" t="str">
        <f aca="false">IF(AT83="","",IF(AND(IFERROR(--(INDEX('Reguler Class Availability'!$F:$F,AT83)&amp;""),0)=0,IFERROR(--(INDEX('Reguler Class Availability'!$G:$G,AT83)&amp;""),0)=0),IF(OR(INDEX('Reguler Class Availability'!$B:$B,AT83)&amp;""&lt;&gt;"",INDEX('Reguler Class Availability'!$I:$I,AT83)&amp;""&lt;&gt;""),"Tutup","Tidak dibuka"),IF(IFERROR(--(INDEX('Reguler Class Availability'!$G:$G,AT83)&amp;""),0)&gt;IFERROR(--(INDEX('Reguler Class Availability'!$F:$F,AT83)&amp;""),0),"Lebih",IF(IFERROR(--(INDEX('Reguler Class Availability'!$G:$G,AT83)&amp;""),0)=IFERROR(--(INDEX('Reguler Class Availability'!$F:$F,AT83)&amp;""),0),"Penuh",IF(IFERROR(--(INDEX('Reguler Class Availability'!$G:$G,AT83)&amp;""),0)=0,IF(INDEX('Reguler Class Availability'!$B:$B,AT83)&amp;""="","Kosong","Belum terisi"),IF(IFERROR(--(INDEX('Reguler Class Availability'!$G:$G,AT83)&amp;""),0)/IFERROR(--(INDEX('Reguler Class Availability'!$F:$F,AT83)&amp;""),0)&gt;=0.6,"Tinggi","Sebagian"))))))</f>
        <v/>
      </c>
      <c r="BD83" s="30" t="s">
        <v>130</v>
      </c>
      <c r="BE83" s="30" t="n">
        <f aca="false">IF(COUNTIFS('Reguler Class Availability'!$L:$L,$B$4&amp;"|- Lane 2 - *|"&amp;BD83)&gt;0,1,0)</f>
        <v>0</v>
      </c>
      <c r="BF83" s="30" t="n">
        <f aca="false">BE83+BF82</f>
        <v>5</v>
      </c>
    </row>
    <row r="84" customFormat="false" ht="15" hidden="false" customHeight="false" outlineLevel="0" collapsed="false">
      <c r="A84" s="68" t="s">
        <v>137</v>
      </c>
      <c r="B84" s="69" t="str">
        <f aca="false">IFERROR(TEXT(SUMIFS('Reguler Class Availability'!$G:$G,'Reguler Class Availability'!$A:$A,$B$4,'Reguler Class Availability'!$C:$C,"- Lane 4 - "&amp;B$69,'Reguler Class Availability'!$F:$F,"&gt;0")/SUMIFS('Reguler Class Availability'!$F:$F,'Reguler Class Availability'!$A:$A,$B$4,'Reguler Class Availability'!$C:$C,"- Lane 4 - "&amp;B$69,'Reguler Class Availability'!$F:$F,"&gt;0"),"0%"),"–")</f>
        <v>6%</v>
      </c>
      <c r="C84" s="69" t="str">
        <f aca="false">IFERROR(TEXT(SUMIFS('Reguler Class Availability'!$G:$G,'Reguler Class Availability'!$A:$A,$B$4,'Reguler Class Availability'!$C:$C,"- Lane 4 - "&amp;C$69,'Reguler Class Availability'!$F:$F,"&gt;0")/SUMIFS('Reguler Class Availability'!$F:$F,'Reguler Class Availability'!$A:$A,$B$4,'Reguler Class Availability'!$C:$C,"- Lane 4 - "&amp;C$69,'Reguler Class Availability'!$F:$F,"&gt;0"),"0%"),"–")</f>
        <v>4%</v>
      </c>
      <c r="D84" s="69" t="str">
        <f aca="false">IFERROR(TEXT(SUMIFS('Reguler Class Availability'!$G:$G,'Reguler Class Availability'!$A:$A,$B$4,'Reguler Class Availability'!$C:$C,"- Lane 4 - "&amp;D$69,'Reguler Class Availability'!$F:$F,"&gt;0")/SUMIFS('Reguler Class Availability'!$F:$F,'Reguler Class Availability'!$A:$A,$B$4,'Reguler Class Availability'!$C:$C,"- Lane 4 - "&amp;D$69,'Reguler Class Availability'!$F:$F,"&gt;0"),"0%"),"–")</f>
        <v>6%</v>
      </c>
      <c r="E84" s="69" t="str">
        <f aca="false">IFERROR(TEXT(SUMIFS('Reguler Class Availability'!$G:$G,'Reguler Class Availability'!$A:$A,$B$4,'Reguler Class Availability'!$C:$C,"- Lane 4 - "&amp;E$69,'Reguler Class Availability'!$F:$F,"&gt;0")/SUMIFS('Reguler Class Availability'!$F:$F,'Reguler Class Availability'!$A:$A,$B$4,'Reguler Class Availability'!$C:$C,"- Lane 4 - "&amp;E$69,'Reguler Class Availability'!$F:$F,"&gt;0"),"0%"),"–")</f>
        <v>13%</v>
      </c>
      <c r="F84" s="69" t="str">
        <f aca="false">IFERROR(TEXT(SUMIFS('Reguler Class Availability'!$G:$G,'Reguler Class Availability'!$A:$A,$B$4,'Reguler Class Availability'!$C:$C,"- Lane 4 - "&amp;F$69,'Reguler Class Availability'!$F:$F,"&gt;0")/SUMIFS('Reguler Class Availability'!$F:$F,'Reguler Class Availability'!$A:$A,$B$4,'Reguler Class Availability'!$C:$C,"- Lane 4 - "&amp;F$69,'Reguler Class Availability'!$F:$F,"&gt;0"),"0%"),"–")</f>
        <v>38%</v>
      </c>
      <c r="G84" s="69" t="str">
        <f aca="false">IFERROR(TEXT(SUMIFS('Reguler Class Availability'!$G:$G,'Reguler Class Availability'!$A:$A,$B$4,'Reguler Class Availability'!$C:$C,"- Lane 4 - "&amp;G$69,'Reguler Class Availability'!$F:$F,"&gt;0")/SUMIFS('Reguler Class Availability'!$F:$F,'Reguler Class Availability'!$A:$A,$B$4,'Reguler Class Availability'!$C:$C,"- Lane 4 - "&amp;G$69,'Reguler Class Availability'!$F:$F,"&gt;0"),"0%"),"–")</f>
        <v>46%</v>
      </c>
      <c r="H84" s="69" t="str">
        <f aca="false">IFERROR(TEXT(SUMIFS('Reguler Class Availability'!$G:$G,'Reguler Class Availability'!$A:$A,$B$4,'Reguler Class Availability'!$C:$C,"- Lane 4 - "&amp;H$69,'Reguler Class Availability'!$F:$F,"&gt;0")/SUMIFS('Reguler Class Availability'!$F:$F,'Reguler Class Availability'!$A:$A,$B$4,'Reguler Class Availability'!$C:$C,"- Lane 4 - "&amp;H$69,'Reguler Class Availability'!$F:$F,"&gt;0"),"0%"),"–")</f>
        <v>13%</v>
      </c>
      <c r="BD84" s="30" t="s">
        <v>131</v>
      </c>
      <c r="BE84" s="30" t="n">
        <f aca="false">IF(COUNTIFS('Reguler Class Availability'!$L:$L,$B$4&amp;"|- Lane 2 - *|"&amp;BD84)&gt;0,1,0)</f>
        <v>0</v>
      </c>
      <c r="BF84" s="30" t="n">
        <f aca="false">BE84+BF83</f>
        <v>5</v>
      </c>
    </row>
    <row r="85" customFormat="false" ht="15" hidden="false" customHeight="false" outlineLevel="0" collapsed="false">
      <c r="BD85" s="0" t="s">
        <v>132</v>
      </c>
      <c r="BE85" s="0" t="n">
        <f aca="false">IF(COUNTIFS('Reguler Class Availability'!$L:$L,$B$4&amp;"|- Lane 2 - *|"&amp;BD85)&gt;0,1,0)</f>
        <v>1</v>
      </c>
      <c r="BF85" s="0" t="n">
        <f aca="false">BE85+BF84</f>
        <v>6</v>
      </c>
    </row>
    <row r="86" customFormat="false" ht="15" hidden="false" customHeight="false" outlineLevel="0" collapsed="false">
      <c r="A86" s="61" t="s">
        <v>173</v>
      </c>
      <c r="B86" s="62"/>
      <c r="C86" s="63" t="str">
        <f aca="false">"Utilisasi lane: "&amp;IFERROR(TEXT(SUMIFS('Reguler Class Availability'!$G:$G,'Reguler Class Availability'!$A:$A,$B$4,'Reguler Class Availability'!$C:$C,"- Lane 5 - *",'Reguler Class Availability'!$F:$F,"&gt;0")/SUMIFS('Reguler Class Availability'!$F:$F,'Reguler Class Availability'!$A:$A,$B$4,'Reguler Class Availability'!$C:$C,"- Lane 5 - *",'Reguler Class Availability'!$F:$F,"&gt;0"),"0%"),"–")&amp;"   ·   Belum terisi: "&amp;COUNTIF($AV$88:$BB$101,"Belum terisi")&amp;"   ·   Slot kosong: "&amp;COUNTIF($AV$88:$BB$101,"Kosong")</f>
        <v>Utilisasi lane: 0%   ·   Belum terisi: 0   ·   Slot kosong: 84</v>
      </c>
      <c r="D86" s="62"/>
      <c r="E86" s="62"/>
      <c r="F86" s="62"/>
      <c r="G86" s="62"/>
      <c r="H86" s="62"/>
      <c r="BD86" s="30" t="s">
        <v>133</v>
      </c>
      <c r="BE86" s="30" t="n">
        <f aca="false">IF(COUNTIFS('Reguler Class Availability'!$L:$L,$B$4&amp;"|- Lane 2 - *|"&amp;BD86)&gt;0,1,0)</f>
        <v>0</v>
      </c>
      <c r="BF86" s="30" t="n">
        <f aca="false">BE86+BF85</f>
        <v>6</v>
      </c>
    </row>
    <row r="87" customFormat="false" ht="15" hidden="false" customHeight="false" outlineLevel="0" collapsed="false">
      <c r="A87" s="64" t="s">
        <v>113</v>
      </c>
      <c r="B87" s="65" t="s">
        <v>114</v>
      </c>
      <c r="C87" s="65" t="s">
        <v>115</v>
      </c>
      <c r="D87" s="65" t="s">
        <v>116</v>
      </c>
      <c r="E87" s="65" t="s">
        <v>117</v>
      </c>
      <c r="F87" s="65" t="s">
        <v>118</v>
      </c>
      <c r="G87" s="65" t="s">
        <v>119</v>
      </c>
      <c r="H87" s="65" t="s">
        <v>80</v>
      </c>
      <c r="BD87" s="30" t="s">
        <v>134</v>
      </c>
      <c r="BE87" s="30" t="n">
        <f aca="false">IF(COUNTIFS('Reguler Class Availability'!$L:$L,$B$4&amp;"|- Lane 2 - *|"&amp;BD87)&gt;0,1,0)</f>
        <v>0</v>
      </c>
      <c r="BF87" s="30" t="n">
        <f aca="false">BE87+BF86</f>
        <v>6</v>
      </c>
    </row>
    <row r="88" customFormat="false" ht="39.75" hidden="false" customHeight="true" outlineLevel="0" collapsed="false">
      <c r="A88" s="66" t="str">
        <f aca="false">IFERROR(INDEX($BD$242:$BD$301,MATCH(1,$BF$242:$BF$301,0)),"")</f>
        <v>08:00</v>
      </c>
      <c r="B88" s="67" t="str">
        <f aca="false">IF(AN88="","",IF(AV88="Tidak dibuka","–",IF(INDEX('Reguler Class Availability'!$B:$B,AN88)&amp;""="","Kosong",PROPER(INDEX('Reguler Class Availability'!$B:$B,AN88)&amp;""))&amp;"  "&amp;IFERROR(--(INDEX('Reguler Class Availability'!$G:$G,AN88)&amp;""),0)&amp;"/"&amp;IFERROR(--(INDEX('Reguler Class Availability'!$F:$F,AN88)&amp;""),0)&amp;IF(IFERROR(--(INDEX('Reguler Class Availability'!$F:$F,AN88)&amp;""),0)&gt;0,"  ("&amp;TEXT(IFERROR(--(INDEX('Reguler Class Availability'!$G:$G,AN88)&amp;""),0)/IFERROR(--(INDEX('Reguler Class Availability'!$F:$F,AN88)&amp;""),0),"0%")&amp;")","")&amp;CHAR(10)&amp;IF(INDEX('Reguler Class Availability'!$I:$I,AN88)&amp;""="","coach: –",PROPER(INDEX('Reguler Class Availability'!$I:$I,AN88)&amp;""))&amp;IF(INDEX('Reguler Class Availability'!$J:$J,AN88)&amp;""="","",CHAR(10)&amp;"asst: "&amp;PROPER(INDEX('Reguler Class Availability'!$J:$J,AN88)&amp;""))))</f>
        <v>Kosong  0/4  (0%)
coach: –</v>
      </c>
      <c r="C88" s="67" t="str">
        <f aca="false">IF(AO88="","",IF(AW88="Tidak dibuka","–",IF(INDEX('Reguler Class Availability'!$B:$B,AO88)&amp;""="","Kosong",PROPER(INDEX('Reguler Class Availability'!$B:$B,AO88)&amp;""))&amp;"  "&amp;IFERROR(--(INDEX('Reguler Class Availability'!$G:$G,AO88)&amp;""),0)&amp;"/"&amp;IFERROR(--(INDEX('Reguler Class Availability'!$F:$F,AO88)&amp;""),0)&amp;IF(IFERROR(--(INDEX('Reguler Class Availability'!$F:$F,AO88)&amp;""),0)&gt;0,"  ("&amp;TEXT(IFERROR(--(INDEX('Reguler Class Availability'!$G:$G,AO88)&amp;""),0)/IFERROR(--(INDEX('Reguler Class Availability'!$F:$F,AO88)&amp;""),0),"0%")&amp;")","")&amp;CHAR(10)&amp;IF(INDEX('Reguler Class Availability'!$I:$I,AO88)&amp;""="","coach: –",PROPER(INDEX('Reguler Class Availability'!$I:$I,AO88)&amp;""))&amp;IF(INDEX('Reguler Class Availability'!$J:$J,AO88)&amp;""="","",CHAR(10)&amp;"asst: "&amp;PROPER(INDEX('Reguler Class Availability'!$J:$J,AO88)&amp;""))))</f>
        <v>Kosong  0/4  (0%)
coach: –</v>
      </c>
      <c r="D88" s="67" t="str">
        <f aca="false">IF(AP88="","",IF(AX88="Tidak dibuka","–",IF(INDEX('Reguler Class Availability'!$B:$B,AP88)&amp;""="","Kosong",PROPER(INDEX('Reguler Class Availability'!$B:$B,AP88)&amp;""))&amp;"  "&amp;IFERROR(--(INDEX('Reguler Class Availability'!$G:$G,AP88)&amp;""),0)&amp;"/"&amp;IFERROR(--(INDEX('Reguler Class Availability'!$F:$F,AP88)&amp;""),0)&amp;IF(IFERROR(--(INDEX('Reguler Class Availability'!$F:$F,AP88)&amp;""),0)&gt;0,"  ("&amp;TEXT(IFERROR(--(INDEX('Reguler Class Availability'!$G:$G,AP88)&amp;""),0)/IFERROR(--(INDEX('Reguler Class Availability'!$F:$F,AP88)&amp;""),0),"0%")&amp;")","")&amp;CHAR(10)&amp;IF(INDEX('Reguler Class Availability'!$I:$I,AP88)&amp;""="","coach: –",PROPER(INDEX('Reguler Class Availability'!$I:$I,AP88)&amp;""))&amp;IF(INDEX('Reguler Class Availability'!$J:$J,AP88)&amp;""="","",CHAR(10)&amp;"asst: "&amp;PROPER(INDEX('Reguler Class Availability'!$J:$J,AP88)&amp;""))))</f>
        <v>Kosong  0/4  (0%)
coach: –</v>
      </c>
      <c r="E88" s="67" t="str">
        <f aca="false">IF(AQ88="","",IF(AY88="Tidak dibuka","–",IF(INDEX('Reguler Class Availability'!$B:$B,AQ88)&amp;""="","Kosong",PROPER(INDEX('Reguler Class Availability'!$B:$B,AQ88)&amp;""))&amp;"  "&amp;IFERROR(--(INDEX('Reguler Class Availability'!$G:$G,AQ88)&amp;""),0)&amp;"/"&amp;IFERROR(--(INDEX('Reguler Class Availability'!$F:$F,AQ88)&amp;""),0)&amp;IF(IFERROR(--(INDEX('Reguler Class Availability'!$F:$F,AQ88)&amp;""),0)&gt;0,"  ("&amp;TEXT(IFERROR(--(INDEX('Reguler Class Availability'!$G:$G,AQ88)&amp;""),0)/IFERROR(--(INDEX('Reguler Class Availability'!$F:$F,AQ88)&amp;""),0),"0%")&amp;")","")&amp;CHAR(10)&amp;IF(INDEX('Reguler Class Availability'!$I:$I,AQ88)&amp;""="","coach: –",PROPER(INDEX('Reguler Class Availability'!$I:$I,AQ88)&amp;""))&amp;IF(INDEX('Reguler Class Availability'!$J:$J,AQ88)&amp;""="","",CHAR(10)&amp;"asst: "&amp;PROPER(INDEX('Reguler Class Availability'!$J:$J,AQ88)&amp;""))))</f>
        <v>Kosong  0/4  (0%)
coach: –</v>
      </c>
      <c r="F88" s="67" t="str">
        <f aca="false">IF(AR88="","",IF(AZ88="Tidak dibuka","–",IF(INDEX('Reguler Class Availability'!$B:$B,AR88)&amp;""="","Kosong",PROPER(INDEX('Reguler Class Availability'!$B:$B,AR88)&amp;""))&amp;"  "&amp;IFERROR(--(INDEX('Reguler Class Availability'!$G:$G,AR88)&amp;""),0)&amp;"/"&amp;IFERROR(--(INDEX('Reguler Class Availability'!$F:$F,AR88)&amp;""),0)&amp;IF(IFERROR(--(INDEX('Reguler Class Availability'!$F:$F,AR88)&amp;""),0)&gt;0,"  ("&amp;TEXT(IFERROR(--(INDEX('Reguler Class Availability'!$G:$G,AR88)&amp;""),0)/IFERROR(--(INDEX('Reguler Class Availability'!$F:$F,AR88)&amp;""),0),"0%")&amp;")","")&amp;CHAR(10)&amp;IF(INDEX('Reguler Class Availability'!$I:$I,AR88)&amp;""="","coach: –",PROPER(INDEX('Reguler Class Availability'!$I:$I,AR88)&amp;""))&amp;IF(INDEX('Reguler Class Availability'!$J:$J,AR88)&amp;""="","",CHAR(10)&amp;"asst: "&amp;PROPER(INDEX('Reguler Class Availability'!$J:$J,AR88)&amp;""))))</f>
        <v>Kosong  0/4  (0%)
coach: –</v>
      </c>
      <c r="G88" s="67" t="str">
        <f aca="false">IF(AS88="","",IF(BA88="Tidak dibuka","–",IF(INDEX('Reguler Class Availability'!$B:$B,AS88)&amp;""="","Kosong",PROPER(INDEX('Reguler Class Availability'!$B:$B,AS88)&amp;""))&amp;"  "&amp;IFERROR(--(INDEX('Reguler Class Availability'!$G:$G,AS88)&amp;""),0)&amp;"/"&amp;IFERROR(--(INDEX('Reguler Class Availability'!$F:$F,AS88)&amp;""),0)&amp;IF(IFERROR(--(INDEX('Reguler Class Availability'!$F:$F,AS88)&amp;""),0)&gt;0,"  ("&amp;TEXT(IFERROR(--(INDEX('Reguler Class Availability'!$G:$G,AS88)&amp;""),0)/IFERROR(--(INDEX('Reguler Class Availability'!$F:$F,AS88)&amp;""),0),"0%")&amp;")","")&amp;CHAR(10)&amp;IF(INDEX('Reguler Class Availability'!$I:$I,AS88)&amp;""="","coach: –",PROPER(INDEX('Reguler Class Availability'!$I:$I,AS88)&amp;""))&amp;IF(INDEX('Reguler Class Availability'!$J:$J,AS88)&amp;""="","",CHAR(10)&amp;"asst: "&amp;PROPER(INDEX('Reguler Class Availability'!$J:$J,AS88)&amp;""))))</f>
        <v>Kosong  0/4  (0%)
coach: –</v>
      </c>
      <c r="H88" s="67" t="str">
        <f aca="false">IF(AT88="","",IF(BB88="Tidak dibuka","–",IF(INDEX('Reguler Class Availability'!$B:$B,AT88)&amp;""="","Kosong",PROPER(INDEX('Reguler Class Availability'!$B:$B,AT88)&amp;""))&amp;"  "&amp;IFERROR(--(INDEX('Reguler Class Availability'!$G:$G,AT88)&amp;""),0)&amp;"/"&amp;IFERROR(--(INDEX('Reguler Class Availability'!$F:$F,AT88)&amp;""),0)&amp;IF(IFERROR(--(INDEX('Reguler Class Availability'!$F:$F,AT88)&amp;""),0)&gt;0,"  ("&amp;TEXT(IFERROR(--(INDEX('Reguler Class Availability'!$G:$G,AT88)&amp;""),0)/IFERROR(--(INDEX('Reguler Class Availability'!$F:$F,AT88)&amp;""),0),"0%")&amp;")","")&amp;CHAR(10)&amp;IF(INDEX('Reguler Class Availability'!$I:$I,AT88)&amp;""="","coach: –",PROPER(INDEX('Reguler Class Availability'!$I:$I,AT88)&amp;""))&amp;IF(INDEX('Reguler Class Availability'!$J:$J,AT88)&amp;""="","",CHAR(10)&amp;"asst: "&amp;PROPER(INDEX('Reguler Class Availability'!$J:$J,AT88)&amp;""))))</f>
        <v>Kosong  0/4  (0%)
coach: –</v>
      </c>
      <c r="AN88" s="30" t="n">
        <f aca="false">IF($A88="","",IFERROR(MATCH($B$4&amp;"|- Lane 5 - "&amp;B$87&amp;"|"&amp;$A88,'Reguler Class Availability'!$L:$L,0),""))</f>
        <v>2760</v>
      </c>
      <c r="AO88" s="30" t="n">
        <f aca="false">IF($A88="","",IFERROR(MATCH($B$4&amp;"|- Lane 5 - "&amp;C$87&amp;"|"&amp;$A88,'Reguler Class Availability'!$L:$L,0),""))</f>
        <v>2772</v>
      </c>
      <c r="AP88" s="30" t="n">
        <f aca="false">IF($A88="","",IFERROR(MATCH($B$4&amp;"|- Lane 5 - "&amp;D$87&amp;"|"&amp;$A88,'Reguler Class Availability'!$L:$L,0),""))</f>
        <v>2784</v>
      </c>
      <c r="AQ88" s="30" t="n">
        <f aca="false">IF($A88="","",IFERROR(MATCH($B$4&amp;"|- Lane 5 - "&amp;E$87&amp;"|"&amp;$A88,'Reguler Class Availability'!$L:$L,0),""))</f>
        <v>2796</v>
      </c>
      <c r="AR88" s="30" t="n">
        <f aca="false">IF($A88="","",IFERROR(MATCH($B$4&amp;"|- Lane 5 - "&amp;F$87&amp;"|"&amp;$A88,'Reguler Class Availability'!$L:$L,0),""))</f>
        <v>2808</v>
      </c>
      <c r="AS88" s="30" t="n">
        <f aca="false">IF($A88="","",IFERROR(MATCH($B$4&amp;"|- Lane 5 - "&amp;G$87&amp;"|"&amp;$A88,'Reguler Class Availability'!$L:$L,0),""))</f>
        <v>2820</v>
      </c>
      <c r="AT88" s="30" t="n">
        <f aca="false">IF($A88="","",IFERROR(MATCH($B$4&amp;"|- Lane 5 - "&amp;H$87&amp;"|"&amp;$A88,'Reguler Class Availability'!$L:$L,0),""))</f>
        <v>2832</v>
      </c>
      <c r="AV88" s="0" t="str">
        <f aca="false">IF(AN88="","",IF(AND(IFERROR(--(INDEX('Reguler Class Availability'!$F:$F,AN88)&amp;""),0)=0,IFERROR(--(INDEX('Reguler Class Availability'!$G:$G,AN88)&amp;""),0)=0),IF(OR(INDEX('Reguler Class Availability'!$B:$B,AN88)&amp;""&lt;&gt;"",INDEX('Reguler Class Availability'!$I:$I,AN88)&amp;""&lt;&gt;""),"Tutup","Tidak dibuka"),IF(IFERROR(--(INDEX('Reguler Class Availability'!$G:$G,AN88)&amp;""),0)&gt;IFERROR(--(INDEX('Reguler Class Availability'!$F:$F,AN88)&amp;""),0),"Lebih",IF(IFERROR(--(INDEX('Reguler Class Availability'!$G:$G,AN88)&amp;""),0)=IFERROR(--(INDEX('Reguler Class Availability'!$F:$F,AN88)&amp;""),0),"Penuh",IF(IFERROR(--(INDEX('Reguler Class Availability'!$G:$G,AN88)&amp;""),0)=0,IF(INDEX('Reguler Class Availability'!$B:$B,AN88)&amp;""="","Kosong","Belum terisi"),IF(IFERROR(--(INDEX('Reguler Class Availability'!$G:$G,AN88)&amp;""),0)/IFERROR(--(INDEX('Reguler Class Availability'!$F:$F,AN88)&amp;""),0)&gt;=0.6,"Tinggi","Sebagian"))))))</f>
        <v>Kosong</v>
      </c>
      <c r="AW88" s="0" t="str">
        <f aca="false">IF(AO88="","",IF(AND(IFERROR(--(INDEX('Reguler Class Availability'!$F:$F,AO88)&amp;""),0)=0,IFERROR(--(INDEX('Reguler Class Availability'!$G:$G,AO88)&amp;""),0)=0),IF(OR(INDEX('Reguler Class Availability'!$B:$B,AO88)&amp;""&lt;&gt;"",INDEX('Reguler Class Availability'!$I:$I,AO88)&amp;""&lt;&gt;""),"Tutup","Tidak dibuka"),IF(IFERROR(--(INDEX('Reguler Class Availability'!$G:$G,AO88)&amp;""),0)&gt;IFERROR(--(INDEX('Reguler Class Availability'!$F:$F,AO88)&amp;""),0),"Lebih",IF(IFERROR(--(INDEX('Reguler Class Availability'!$G:$G,AO88)&amp;""),0)=IFERROR(--(INDEX('Reguler Class Availability'!$F:$F,AO88)&amp;""),0),"Penuh",IF(IFERROR(--(INDEX('Reguler Class Availability'!$G:$G,AO88)&amp;""),0)=0,IF(INDEX('Reguler Class Availability'!$B:$B,AO88)&amp;""="","Kosong","Belum terisi"),IF(IFERROR(--(INDEX('Reguler Class Availability'!$G:$G,AO88)&amp;""),0)/IFERROR(--(INDEX('Reguler Class Availability'!$F:$F,AO88)&amp;""),0)&gt;=0.6,"Tinggi","Sebagian"))))))</f>
        <v>Kosong</v>
      </c>
      <c r="AX88" s="0" t="str">
        <f aca="false">IF(AP88="","",IF(AND(IFERROR(--(INDEX('Reguler Class Availability'!$F:$F,AP88)&amp;""),0)=0,IFERROR(--(INDEX('Reguler Class Availability'!$G:$G,AP88)&amp;""),0)=0),IF(OR(INDEX('Reguler Class Availability'!$B:$B,AP88)&amp;""&lt;&gt;"",INDEX('Reguler Class Availability'!$I:$I,AP88)&amp;""&lt;&gt;""),"Tutup","Tidak dibuka"),IF(IFERROR(--(INDEX('Reguler Class Availability'!$G:$G,AP88)&amp;""),0)&gt;IFERROR(--(INDEX('Reguler Class Availability'!$F:$F,AP88)&amp;""),0),"Lebih",IF(IFERROR(--(INDEX('Reguler Class Availability'!$G:$G,AP88)&amp;""),0)=IFERROR(--(INDEX('Reguler Class Availability'!$F:$F,AP88)&amp;""),0),"Penuh",IF(IFERROR(--(INDEX('Reguler Class Availability'!$G:$G,AP88)&amp;""),0)=0,IF(INDEX('Reguler Class Availability'!$B:$B,AP88)&amp;""="","Kosong","Belum terisi"),IF(IFERROR(--(INDEX('Reguler Class Availability'!$G:$G,AP88)&amp;""),0)/IFERROR(--(INDEX('Reguler Class Availability'!$F:$F,AP88)&amp;""),0)&gt;=0.6,"Tinggi","Sebagian"))))))</f>
        <v>Kosong</v>
      </c>
      <c r="AY88" s="0" t="str">
        <f aca="false">IF(AQ88="","",IF(AND(IFERROR(--(INDEX('Reguler Class Availability'!$F:$F,AQ88)&amp;""),0)=0,IFERROR(--(INDEX('Reguler Class Availability'!$G:$G,AQ88)&amp;""),0)=0),IF(OR(INDEX('Reguler Class Availability'!$B:$B,AQ88)&amp;""&lt;&gt;"",INDEX('Reguler Class Availability'!$I:$I,AQ88)&amp;""&lt;&gt;""),"Tutup","Tidak dibuka"),IF(IFERROR(--(INDEX('Reguler Class Availability'!$G:$G,AQ88)&amp;""),0)&gt;IFERROR(--(INDEX('Reguler Class Availability'!$F:$F,AQ88)&amp;""),0),"Lebih",IF(IFERROR(--(INDEX('Reguler Class Availability'!$G:$G,AQ88)&amp;""),0)=IFERROR(--(INDEX('Reguler Class Availability'!$F:$F,AQ88)&amp;""),0),"Penuh",IF(IFERROR(--(INDEX('Reguler Class Availability'!$G:$G,AQ88)&amp;""),0)=0,IF(INDEX('Reguler Class Availability'!$B:$B,AQ88)&amp;""="","Kosong","Belum terisi"),IF(IFERROR(--(INDEX('Reguler Class Availability'!$G:$G,AQ88)&amp;""),0)/IFERROR(--(INDEX('Reguler Class Availability'!$F:$F,AQ88)&amp;""),0)&gt;=0.6,"Tinggi","Sebagian"))))))</f>
        <v>Kosong</v>
      </c>
      <c r="AZ88" s="0" t="str">
        <f aca="false">IF(AR88="","",IF(AND(IFERROR(--(INDEX('Reguler Class Availability'!$F:$F,AR88)&amp;""),0)=0,IFERROR(--(INDEX('Reguler Class Availability'!$G:$G,AR88)&amp;""),0)=0),IF(OR(INDEX('Reguler Class Availability'!$B:$B,AR88)&amp;""&lt;&gt;"",INDEX('Reguler Class Availability'!$I:$I,AR88)&amp;""&lt;&gt;""),"Tutup","Tidak dibuka"),IF(IFERROR(--(INDEX('Reguler Class Availability'!$G:$G,AR88)&amp;""),0)&gt;IFERROR(--(INDEX('Reguler Class Availability'!$F:$F,AR88)&amp;""),0),"Lebih",IF(IFERROR(--(INDEX('Reguler Class Availability'!$G:$G,AR88)&amp;""),0)=IFERROR(--(INDEX('Reguler Class Availability'!$F:$F,AR88)&amp;""),0),"Penuh",IF(IFERROR(--(INDEX('Reguler Class Availability'!$G:$G,AR88)&amp;""),0)=0,IF(INDEX('Reguler Class Availability'!$B:$B,AR88)&amp;""="","Kosong","Belum terisi"),IF(IFERROR(--(INDEX('Reguler Class Availability'!$G:$G,AR88)&amp;""),0)/IFERROR(--(INDEX('Reguler Class Availability'!$F:$F,AR88)&amp;""),0)&gt;=0.6,"Tinggi","Sebagian"))))))</f>
        <v>Kosong</v>
      </c>
      <c r="BA88" s="0" t="str">
        <f aca="false">IF(AS88="","",IF(AND(IFERROR(--(INDEX('Reguler Class Availability'!$F:$F,AS88)&amp;""),0)=0,IFERROR(--(INDEX('Reguler Class Availability'!$G:$G,AS88)&amp;""),0)=0),IF(OR(INDEX('Reguler Class Availability'!$B:$B,AS88)&amp;""&lt;&gt;"",INDEX('Reguler Class Availability'!$I:$I,AS88)&amp;""&lt;&gt;""),"Tutup","Tidak dibuka"),IF(IFERROR(--(INDEX('Reguler Class Availability'!$G:$G,AS88)&amp;""),0)&gt;IFERROR(--(INDEX('Reguler Class Availability'!$F:$F,AS88)&amp;""),0),"Lebih",IF(IFERROR(--(INDEX('Reguler Class Availability'!$G:$G,AS88)&amp;""),0)=IFERROR(--(INDEX('Reguler Class Availability'!$F:$F,AS88)&amp;""),0),"Penuh",IF(IFERROR(--(INDEX('Reguler Class Availability'!$G:$G,AS88)&amp;""),0)=0,IF(INDEX('Reguler Class Availability'!$B:$B,AS88)&amp;""="","Kosong","Belum terisi"),IF(IFERROR(--(INDEX('Reguler Class Availability'!$G:$G,AS88)&amp;""),0)/IFERROR(--(INDEX('Reguler Class Availability'!$F:$F,AS88)&amp;""),0)&gt;=0.6,"Tinggi","Sebagian"))))))</f>
        <v>Kosong</v>
      </c>
      <c r="BB88" s="0" t="str">
        <f aca="false">IF(AT88="","",IF(AND(IFERROR(--(INDEX('Reguler Class Availability'!$F:$F,AT88)&amp;""),0)=0,IFERROR(--(INDEX('Reguler Class Availability'!$G:$G,AT88)&amp;""),0)=0),IF(OR(INDEX('Reguler Class Availability'!$B:$B,AT88)&amp;""&lt;&gt;"",INDEX('Reguler Class Availability'!$I:$I,AT88)&amp;""&lt;&gt;""),"Tutup","Tidak dibuka"),IF(IFERROR(--(INDEX('Reguler Class Availability'!$G:$G,AT88)&amp;""),0)&gt;IFERROR(--(INDEX('Reguler Class Availability'!$F:$F,AT88)&amp;""),0),"Lebih",IF(IFERROR(--(INDEX('Reguler Class Availability'!$G:$G,AT88)&amp;""),0)=IFERROR(--(INDEX('Reguler Class Availability'!$F:$F,AT88)&amp;""),0),"Penuh",IF(IFERROR(--(INDEX('Reguler Class Availability'!$G:$G,AT88)&amp;""),0)=0,IF(INDEX('Reguler Class Availability'!$B:$B,AT88)&amp;""="","Kosong","Belum terisi"),IF(IFERROR(--(INDEX('Reguler Class Availability'!$G:$G,AT88)&amp;""),0)/IFERROR(--(INDEX('Reguler Class Availability'!$F:$F,AT88)&amp;""),0)&gt;=0.6,"Tinggi","Sebagian"))))))</f>
        <v>Kosong</v>
      </c>
      <c r="BD88" s="30" t="s">
        <v>135</v>
      </c>
      <c r="BE88" s="30" t="n">
        <f aca="false">IF(COUNTIFS('Reguler Class Availability'!$L:$L,$B$4&amp;"|- Lane 2 - *|"&amp;BD88)&gt;0,1,0)</f>
        <v>0</v>
      </c>
      <c r="BF88" s="30" t="n">
        <f aca="false">BE88+BF87</f>
        <v>6</v>
      </c>
    </row>
    <row r="89" customFormat="false" ht="39.75" hidden="false" customHeight="true" outlineLevel="0" collapsed="false">
      <c r="A89" s="66" t="str">
        <f aca="false">IFERROR(INDEX($BD$242:$BD$301,MATCH(2,$BF$242:$BF$301,0)),"")</f>
        <v>08:45</v>
      </c>
      <c r="B89" s="67" t="str">
        <f aca="false">IF(AN89="","",IF(AV89="Tidak dibuka","–",IF(INDEX('Reguler Class Availability'!$B:$B,AN89)&amp;""="","Kosong",PROPER(INDEX('Reguler Class Availability'!$B:$B,AN89)&amp;""))&amp;"  "&amp;IFERROR(--(INDEX('Reguler Class Availability'!$G:$G,AN89)&amp;""),0)&amp;"/"&amp;IFERROR(--(INDEX('Reguler Class Availability'!$F:$F,AN89)&amp;""),0)&amp;IF(IFERROR(--(INDEX('Reguler Class Availability'!$F:$F,AN89)&amp;""),0)&gt;0,"  ("&amp;TEXT(IFERROR(--(INDEX('Reguler Class Availability'!$G:$G,AN89)&amp;""),0)/IFERROR(--(INDEX('Reguler Class Availability'!$F:$F,AN89)&amp;""),0),"0%")&amp;")","")&amp;CHAR(10)&amp;IF(INDEX('Reguler Class Availability'!$I:$I,AN89)&amp;""="","coach: –",PROPER(INDEX('Reguler Class Availability'!$I:$I,AN89)&amp;""))&amp;IF(INDEX('Reguler Class Availability'!$J:$J,AN89)&amp;""="","",CHAR(10)&amp;"asst: "&amp;PROPER(INDEX('Reguler Class Availability'!$J:$J,AN89)&amp;""))))</f>
        <v>Kosong  0/4  (0%)
coach: –</v>
      </c>
      <c r="C89" s="67" t="str">
        <f aca="false">IF(AO89="","",IF(AW89="Tidak dibuka","–",IF(INDEX('Reguler Class Availability'!$B:$B,AO89)&amp;""="","Kosong",PROPER(INDEX('Reguler Class Availability'!$B:$B,AO89)&amp;""))&amp;"  "&amp;IFERROR(--(INDEX('Reguler Class Availability'!$G:$G,AO89)&amp;""),0)&amp;"/"&amp;IFERROR(--(INDEX('Reguler Class Availability'!$F:$F,AO89)&amp;""),0)&amp;IF(IFERROR(--(INDEX('Reguler Class Availability'!$F:$F,AO89)&amp;""),0)&gt;0,"  ("&amp;TEXT(IFERROR(--(INDEX('Reguler Class Availability'!$G:$G,AO89)&amp;""),0)/IFERROR(--(INDEX('Reguler Class Availability'!$F:$F,AO89)&amp;""),0),"0%")&amp;")","")&amp;CHAR(10)&amp;IF(INDEX('Reguler Class Availability'!$I:$I,AO89)&amp;""="","coach: –",PROPER(INDEX('Reguler Class Availability'!$I:$I,AO89)&amp;""))&amp;IF(INDEX('Reguler Class Availability'!$J:$J,AO89)&amp;""="","",CHAR(10)&amp;"asst: "&amp;PROPER(INDEX('Reguler Class Availability'!$J:$J,AO89)&amp;""))))</f>
        <v>Kosong  0/4  (0%)
coach: –</v>
      </c>
      <c r="D89" s="67" t="str">
        <f aca="false">IF(AP89="","",IF(AX89="Tidak dibuka","–",IF(INDEX('Reguler Class Availability'!$B:$B,AP89)&amp;""="","Kosong",PROPER(INDEX('Reguler Class Availability'!$B:$B,AP89)&amp;""))&amp;"  "&amp;IFERROR(--(INDEX('Reguler Class Availability'!$G:$G,AP89)&amp;""),0)&amp;"/"&amp;IFERROR(--(INDEX('Reguler Class Availability'!$F:$F,AP89)&amp;""),0)&amp;IF(IFERROR(--(INDEX('Reguler Class Availability'!$F:$F,AP89)&amp;""),0)&gt;0,"  ("&amp;TEXT(IFERROR(--(INDEX('Reguler Class Availability'!$G:$G,AP89)&amp;""),0)/IFERROR(--(INDEX('Reguler Class Availability'!$F:$F,AP89)&amp;""),0),"0%")&amp;")","")&amp;CHAR(10)&amp;IF(INDEX('Reguler Class Availability'!$I:$I,AP89)&amp;""="","coach: –",PROPER(INDEX('Reguler Class Availability'!$I:$I,AP89)&amp;""))&amp;IF(INDEX('Reguler Class Availability'!$J:$J,AP89)&amp;""="","",CHAR(10)&amp;"asst: "&amp;PROPER(INDEX('Reguler Class Availability'!$J:$J,AP89)&amp;""))))</f>
        <v>Kosong  0/4  (0%)
coach: –</v>
      </c>
      <c r="E89" s="67" t="str">
        <f aca="false">IF(AQ89="","",IF(AY89="Tidak dibuka","–",IF(INDEX('Reguler Class Availability'!$B:$B,AQ89)&amp;""="","Kosong",PROPER(INDEX('Reguler Class Availability'!$B:$B,AQ89)&amp;""))&amp;"  "&amp;IFERROR(--(INDEX('Reguler Class Availability'!$G:$G,AQ89)&amp;""),0)&amp;"/"&amp;IFERROR(--(INDEX('Reguler Class Availability'!$F:$F,AQ89)&amp;""),0)&amp;IF(IFERROR(--(INDEX('Reguler Class Availability'!$F:$F,AQ89)&amp;""),0)&gt;0,"  ("&amp;TEXT(IFERROR(--(INDEX('Reguler Class Availability'!$G:$G,AQ89)&amp;""),0)/IFERROR(--(INDEX('Reguler Class Availability'!$F:$F,AQ89)&amp;""),0),"0%")&amp;")","")&amp;CHAR(10)&amp;IF(INDEX('Reguler Class Availability'!$I:$I,AQ89)&amp;""="","coach: –",PROPER(INDEX('Reguler Class Availability'!$I:$I,AQ89)&amp;""))&amp;IF(INDEX('Reguler Class Availability'!$J:$J,AQ89)&amp;""="","",CHAR(10)&amp;"asst: "&amp;PROPER(INDEX('Reguler Class Availability'!$J:$J,AQ89)&amp;""))))</f>
        <v>Kosong  0/4  (0%)
coach: –</v>
      </c>
      <c r="F89" s="67" t="str">
        <f aca="false">IF(AR89="","",IF(AZ89="Tidak dibuka","–",IF(INDEX('Reguler Class Availability'!$B:$B,AR89)&amp;""="","Kosong",PROPER(INDEX('Reguler Class Availability'!$B:$B,AR89)&amp;""))&amp;"  "&amp;IFERROR(--(INDEX('Reguler Class Availability'!$G:$G,AR89)&amp;""),0)&amp;"/"&amp;IFERROR(--(INDEX('Reguler Class Availability'!$F:$F,AR89)&amp;""),0)&amp;IF(IFERROR(--(INDEX('Reguler Class Availability'!$F:$F,AR89)&amp;""),0)&gt;0,"  ("&amp;TEXT(IFERROR(--(INDEX('Reguler Class Availability'!$G:$G,AR89)&amp;""),0)/IFERROR(--(INDEX('Reguler Class Availability'!$F:$F,AR89)&amp;""),0),"0%")&amp;")","")&amp;CHAR(10)&amp;IF(INDEX('Reguler Class Availability'!$I:$I,AR89)&amp;""="","coach: –",PROPER(INDEX('Reguler Class Availability'!$I:$I,AR89)&amp;""))&amp;IF(INDEX('Reguler Class Availability'!$J:$J,AR89)&amp;""="","",CHAR(10)&amp;"asst: "&amp;PROPER(INDEX('Reguler Class Availability'!$J:$J,AR89)&amp;""))))</f>
        <v>Kosong  0/4  (0%)
coach: –</v>
      </c>
      <c r="G89" s="67" t="str">
        <f aca="false">IF(AS89="","",IF(BA89="Tidak dibuka","–",IF(INDEX('Reguler Class Availability'!$B:$B,AS89)&amp;""="","Kosong",PROPER(INDEX('Reguler Class Availability'!$B:$B,AS89)&amp;""))&amp;"  "&amp;IFERROR(--(INDEX('Reguler Class Availability'!$G:$G,AS89)&amp;""),0)&amp;"/"&amp;IFERROR(--(INDEX('Reguler Class Availability'!$F:$F,AS89)&amp;""),0)&amp;IF(IFERROR(--(INDEX('Reguler Class Availability'!$F:$F,AS89)&amp;""),0)&gt;0,"  ("&amp;TEXT(IFERROR(--(INDEX('Reguler Class Availability'!$G:$G,AS89)&amp;""),0)/IFERROR(--(INDEX('Reguler Class Availability'!$F:$F,AS89)&amp;""),0),"0%")&amp;")","")&amp;CHAR(10)&amp;IF(INDEX('Reguler Class Availability'!$I:$I,AS89)&amp;""="","coach: –",PROPER(INDEX('Reguler Class Availability'!$I:$I,AS89)&amp;""))&amp;IF(INDEX('Reguler Class Availability'!$J:$J,AS89)&amp;""="","",CHAR(10)&amp;"asst: "&amp;PROPER(INDEX('Reguler Class Availability'!$J:$J,AS89)&amp;""))))</f>
        <v>Kosong  0/4  (0%)
coach: –</v>
      </c>
      <c r="H89" s="67" t="str">
        <f aca="false">IF(AT89="","",IF(BB89="Tidak dibuka","–",IF(INDEX('Reguler Class Availability'!$B:$B,AT89)&amp;""="","Kosong",PROPER(INDEX('Reguler Class Availability'!$B:$B,AT89)&amp;""))&amp;"  "&amp;IFERROR(--(INDEX('Reguler Class Availability'!$G:$G,AT89)&amp;""),0)&amp;"/"&amp;IFERROR(--(INDEX('Reguler Class Availability'!$F:$F,AT89)&amp;""),0)&amp;IF(IFERROR(--(INDEX('Reguler Class Availability'!$F:$F,AT89)&amp;""),0)&gt;0,"  ("&amp;TEXT(IFERROR(--(INDEX('Reguler Class Availability'!$G:$G,AT89)&amp;""),0)/IFERROR(--(INDEX('Reguler Class Availability'!$F:$F,AT89)&amp;""),0),"0%")&amp;")","")&amp;CHAR(10)&amp;IF(INDEX('Reguler Class Availability'!$I:$I,AT89)&amp;""="","coach: –",PROPER(INDEX('Reguler Class Availability'!$I:$I,AT89)&amp;""))&amp;IF(INDEX('Reguler Class Availability'!$J:$J,AT89)&amp;""="","",CHAR(10)&amp;"asst: "&amp;PROPER(INDEX('Reguler Class Availability'!$J:$J,AT89)&amp;""))))</f>
        <v>Kosong  0/4  (0%)
coach: –</v>
      </c>
      <c r="AN89" s="30" t="n">
        <f aca="false">IF($A89="","",IFERROR(MATCH($B$4&amp;"|- Lane 5 - "&amp;B$87&amp;"|"&amp;$A89,'Reguler Class Availability'!$L:$L,0),""))</f>
        <v>2761</v>
      </c>
      <c r="AO89" s="30" t="n">
        <f aca="false">IF($A89="","",IFERROR(MATCH($B$4&amp;"|- Lane 5 - "&amp;C$87&amp;"|"&amp;$A89,'Reguler Class Availability'!$L:$L,0),""))</f>
        <v>2773</v>
      </c>
      <c r="AP89" s="30" t="n">
        <f aca="false">IF($A89="","",IFERROR(MATCH($B$4&amp;"|- Lane 5 - "&amp;D$87&amp;"|"&amp;$A89,'Reguler Class Availability'!$L:$L,0),""))</f>
        <v>2785</v>
      </c>
      <c r="AQ89" s="30" t="n">
        <f aca="false">IF($A89="","",IFERROR(MATCH($B$4&amp;"|- Lane 5 - "&amp;E$87&amp;"|"&amp;$A89,'Reguler Class Availability'!$L:$L,0),""))</f>
        <v>2797</v>
      </c>
      <c r="AR89" s="30" t="n">
        <f aca="false">IF($A89="","",IFERROR(MATCH($B$4&amp;"|- Lane 5 - "&amp;F$87&amp;"|"&amp;$A89,'Reguler Class Availability'!$L:$L,0),""))</f>
        <v>2809</v>
      </c>
      <c r="AS89" s="30" t="n">
        <f aca="false">IF($A89="","",IFERROR(MATCH($B$4&amp;"|- Lane 5 - "&amp;G$87&amp;"|"&amp;$A89,'Reguler Class Availability'!$L:$L,0),""))</f>
        <v>2821</v>
      </c>
      <c r="AT89" s="30" t="n">
        <f aca="false">IF($A89="","",IFERROR(MATCH($B$4&amp;"|- Lane 5 - "&amp;H$87&amp;"|"&amp;$A89,'Reguler Class Availability'!$L:$L,0),""))</f>
        <v>2833</v>
      </c>
      <c r="AV89" s="0" t="str">
        <f aca="false">IF(AN89="","",IF(AND(IFERROR(--(INDEX('Reguler Class Availability'!$F:$F,AN89)&amp;""),0)=0,IFERROR(--(INDEX('Reguler Class Availability'!$G:$G,AN89)&amp;""),0)=0),IF(OR(INDEX('Reguler Class Availability'!$B:$B,AN89)&amp;""&lt;&gt;"",INDEX('Reguler Class Availability'!$I:$I,AN89)&amp;""&lt;&gt;""),"Tutup","Tidak dibuka"),IF(IFERROR(--(INDEX('Reguler Class Availability'!$G:$G,AN89)&amp;""),0)&gt;IFERROR(--(INDEX('Reguler Class Availability'!$F:$F,AN89)&amp;""),0),"Lebih",IF(IFERROR(--(INDEX('Reguler Class Availability'!$G:$G,AN89)&amp;""),0)=IFERROR(--(INDEX('Reguler Class Availability'!$F:$F,AN89)&amp;""),0),"Penuh",IF(IFERROR(--(INDEX('Reguler Class Availability'!$G:$G,AN89)&amp;""),0)=0,IF(INDEX('Reguler Class Availability'!$B:$B,AN89)&amp;""="","Kosong","Belum terisi"),IF(IFERROR(--(INDEX('Reguler Class Availability'!$G:$G,AN89)&amp;""),0)/IFERROR(--(INDEX('Reguler Class Availability'!$F:$F,AN89)&amp;""),0)&gt;=0.6,"Tinggi","Sebagian"))))))</f>
        <v>Kosong</v>
      </c>
      <c r="AW89" s="0" t="str">
        <f aca="false">IF(AO89="","",IF(AND(IFERROR(--(INDEX('Reguler Class Availability'!$F:$F,AO89)&amp;""),0)=0,IFERROR(--(INDEX('Reguler Class Availability'!$G:$G,AO89)&amp;""),0)=0),IF(OR(INDEX('Reguler Class Availability'!$B:$B,AO89)&amp;""&lt;&gt;"",INDEX('Reguler Class Availability'!$I:$I,AO89)&amp;""&lt;&gt;""),"Tutup","Tidak dibuka"),IF(IFERROR(--(INDEX('Reguler Class Availability'!$G:$G,AO89)&amp;""),0)&gt;IFERROR(--(INDEX('Reguler Class Availability'!$F:$F,AO89)&amp;""),0),"Lebih",IF(IFERROR(--(INDEX('Reguler Class Availability'!$G:$G,AO89)&amp;""),0)=IFERROR(--(INDEX('Reguler Class Availability'!$F:$F,AO89)&amp;""),0),"Penuh",IF(IFERROR(--(INDEX('Reguler Class Availability'!$G:$G,AO89)&amp;""),0)=0,IF(INDEX('Reguler Class Availability'!$B:$B,AO89)&amp;""="","Kosong","Belum terisi"),IF(IFERROR(--(INDEX('Reguler Class Availability'!$G:$G,AO89)&amp;""),0)/IFERROR(--(INDEX('Reguler Class Availability'!$F:$F,AO89)&amp;""),0)&gt;=0.6,"Tinggi","Sebagian"))))))</f>
        <v>Kosong</v>
      </c>
      <c r="AX89" s="0" t="str">
        <f aca="false">IF(AP89="","",IF(AND(IFERROR(--(INDEX('Reguler Class Availability'!$F:$F,AP89)&amp;""),0)=0,IFERROR(--(INDEX('Reguler Class Availability'!$G:$G,AP89)&amp;""),0)=0),IF(OR(INDEX('Reguler Class Availability'!$B:$B,AP89)&amp;""&lt;&gt;"",INDEX('Reguler Class Availability'!$I:$I,AP89)&amp;""&lt;&gt;""),"Tutup","Tidak dibuka"),IF(IFERROR(--(INDEX('Reguler Class Availability'!$G:$G,AP89)&amp;""),0)&gt;IFERROR(--(INDEX('Reguler Class Availability'!$F:$F,AP89)&amp;""),0),"Lebih",IF(IFERROR(--(INDEX('Reguler Class Availability'!$G:$G,AP89)&amp;""),0)=IFERROR(--(INDEX('Reguler Class Availability'!$F:$F,AP89)&amp;""),0),"Penuh",IF(IFERROR(--(INDEX('Reguler Class Availability'!$G:$G,AP89)&amp;""),0)=0,IF(INDEX('Reguler Class Availability'!$B:$B,AP89)&amp;""="","Kosong","Belum terisi"),IF(IFERROR(--(INDEX('Reguler Class Availability'!$G:$G,AP89)&amp;""),0)/IFERROR(--(INDEX('Reguler Class Availability'!$F:$F,AP89)&amp;""),0)&gt;=0.6,"Tinggi","Sebagian"))))))</f>
        <v>Kosong</v>
      </c>
      <c r="AY89" s="0" t="str">
        <f aca="false">IF(AQ89="","",IF(AND(IFERROR(--(INDEX('Reguler Class Availability'!$F:$F,AQ89)&amp;""),0)=0,IFERROR(--(INDEX('Reguler Class Availability'!$G:$G,AQ89)&amp;""),0)=0),IF(OR(INDEX('Reguler Class Availability'!$B:$B,AQ89)&amp;""&lt;&gt;"",INDEX('Reguler Class Availability'!$I:$I,AQ89)&amp;""&lt;&gt;""),"Tutup","Tidak dibuka"),IF(IFERROR(--(INDEX('Reguler Class Availability'!$G:$G,AQ89)&amp;""),0)&gt;IFERROR(--(INDEX('Reguler Class Availability'!$F:$F,AQ89)&amp;""),0),"Lebih",IF(IFERROR(--(INDEX('Reguler Class Availability'!$G:$G,AQ89)&amp;""),0)=IFERROR(--(INDEX('Reguler Class Availability'!$F:$F,AQ89)&amp;""),0),"Penuh",IF(IFERROR(--(INDEX('Reguler Class Availability'!$G:$G,AQ89)&amp;""),0)=0,IF(INDEX('Reguler Class Availability'!$B:$B,AQ89)&amp;""="","Kosong","Belum terisi"),IF(IFERROR(--(INDEX('Reguler Class Availability'!$G:$G,AQ89)&amp;""),0)/IFERROR(--(INDEX('Reguler Class Availability'!$F:$F,AQ89)&amp;""),0)&gt;=0.6,"Tinggi","Sebagian"))))))</f>
        <v>Kosong</v>
      </c>
      <c r="AZ89" s="0" t="str">
        <f aca="false">IF(AR89="","",IF(AND(IFERROR(--(INDEX('Reguler Class Availability'!$F:$F,AR89)&amp;""),0)=0,IFERROR(--(INDEX('Reguler Class Availability'!$G:$G,AR89)&amp;""),0)=0),IF(OR(INDEX('Reguler Class Availability'!$B:$B,AR89)&amp;""&lt;&gt;"",INDEX('Reguler Class Availability'!$I:$I,AR89)&amp;""&lt;&gt;""),"Tutup","Tidak dibuka"),IF(IFERROR(--(INDEX('Reguler Class Availability'!$G:$G,AR89)&amp;""),0)&gt;IFERROR(--(INDEX('Reguler Class Availability'!$F:$F,AR89)&amp;""),0),"Lebih",IF(IFERROR(--(INDEX('Reguler Class Availability'!$G:$G,AR89)&amp;""),0)=IFERROR(--(INDEX('Reguler Class Availability'!$F:$F,AR89)&amp;""),0),"Penuh",IF(IFERROR(--(INDEX('Reguler Class Availability'!$G:$G,AR89)&amp;""),0)=0,IF(INDEX('Reguler Class Availability'!$B:$B,AR89)&amp;""="","Kosong","Belum terisi"),IF(IFERROR(--(INDEX('Reguler Class Availability'!$G:$G,AR89)&amp;""),0)/IFERROR(--(INDEX('Reguler Class Availability'!$F:$F,AR89)&amp;""),0)&gt;=0.6,"Tinggi","Sebagian"))))))</f>
        <v>Kosong</v>
      </c>
      <c r="BA89" s="0" t="str">
        <f aca="false">IF(AS89="","",IF(AND(IFERROR(--(INDEX('Reguler Class Availability'!$F:$F,AS89)&amp;""),0)=0,IFERROR(--(INDEX('Reguler Class Availability'!$G:$G,AS89)&amp;""),0)=0),IF(OR(INDEX('Reguler Class Availability'!$B:$B,AS89)&amp;""&lt;&gt;"",INDEX('Reguler Class Availability'!$I:$I,AS89)&amp;""&lt;&gt;""),"Tutup","Tidak dibuka"),IF(IFERROR(--(INDEX('Reguler Class Availability'!$G:$G,AS89)&amp;""),0)&gt;IFERROR(--(INDEX('Reguler Class Availability'!$F:$F,AS89)&amp;""),0),"Lebih",IF(IFERROR(--(INDEX('Reguler Class Availability'!$G:$G,AS89)&amp;""),0)=IFERROR(--(INDEX('Reguler Class Availability'!$F:$F,AS89)&amp;""),0),"Penuh",IF(IFERROR(--(INDEX('Reguler Class Availability'!$G:$G,AS89)&amp;""),0)=0,IF(INDEX('Reguler Class Availability'!$B:$B,AS89)&amp;""="","Kosong","Belum terisi"),IF(IFERROR(--(INDEX('Reguler Class Availability'!$G:$G,AS89)&amp;""),0)/IFERROR(--(INDEX('Reguler Class Availability'!$F:$F,AS89)&amp;""),0)&gt;=0.6,"Tinggi","Sebagian"))))))</f>
        <v>Kosong</v>
      </c>
      <c r="BB89" s="0" t="str">
        <f aca="false">IF(AT89="","",IF(AND(IFERROR(--(INDEX('Reguler Class Availability'!$F:$F,AT89)&amp;""),0)=0,IFERROR(--(INDEX('Reguler Class Availability'!$G:$G,AT89)&amp;""),0)=0),IF(OR(INDEX('Reguler Class Availability'!$B:$B,AT89)&amp;""&lt;&gt;"",INDEX('Reguler Class Availability'!$I:$I,AT89)&amp;""&lt;&gt;""),"Tutup","Tidak dibuka"),IF(IFERROR(--(INDEX('Reguler Class Availability'!$G:$G,AT89)&amp;""),0)&gt;IFERROR(--(INDEX('Reguler Class Availability'!$F:$F,AT89)&amp;""),0),"Lebih",IF(IFERROR(--(INDEX('Reguler Class Availability'!$G:$G,AT89)&amp;""),0)=IFERROR(--(INDEX('Reguler Class Availability'!$F:$F,AT89)&amp;""),0),"Penuh",IF(IFERROR(--(INDEX('Reguler Class Availability'!$G:$G,AT89)&amp;""),0)=0,IF(INDEX('Reguler Class Availability'!$B:$B,AT89)&amp;""="","Kosong","Belum terisi"),IF(IFERROR(--(INDEX('Reguler Class Availability'!$G:$G,AT89)&amp;""),0)/IFERROR(--(INDEX('Reguler Class Availability'!$F:$F,AT89)&amp;""),0)&gt;=0.6,"Tinggi","Sebagian"))))))</f>
        <v>Kosong</v>
      </c>
      <c r="BD89" s="30" t="s">
        <v>136</v>
      </c>
      <c r="BE89" s="30" t="n">
        <f aca="false">IF(COUNTIFS('Reguler Class Availability'!$L:$L,$B$4&amp;"|- Lane 2 - *|"&amp;BD89)&gt;0,1,0)</f>
        <v>0</v>
      </c>
      <c r="BF89" s="30" t="n">
        <f aca="false">BE89+BF88</f>
        <v>6</v>
      </c>
    </row>
    <row r="90" customFormat="false" ht="39.75" hidden="false" customHeight="true" outlineLevel="0" collapsed="false">
      <c r="A90" s="66" t="str">
        <f aca="false">IFERROR(INDEX($BD$242:$BD$301,MATCH(3,$BF$242:$BF$301,0)),"")</f>
        <v>09:30</v>
      </c>
      <c r="B90" s="67" t="str">
        <f aca="false">IF(AN90="","",IF(AV90="Tidak dibuka","–",IF(INDEX('Reguler Class Availability'!$B:$B,AN90)&amp;""="","Kosong",PROPER(INDEX('Reguler Class Availability'!$B:$B,AN90)&amp;""))&amp;"  "&amp;IFERROR(--(INDEX('Reguler Class Availability'!$G:$G,AN90)&amp;""),0)&amp;"/"&amp;IFERROR(--(INDEX('Reguler Class Availability'!$F:$F,AN90)&amp;""),0)&amp;IF(IFERROR(--(INDEX('Reguler Class Availability'!$F:$F,AN90)&amp;""),0)&gt;0,"  ("&amp;TEXT(IFERROR(--(INDEX('Reguler Class Availability'!$G:$G,AN90)&amp;""),0)/IFERROR(--(INDEX('Reguler Class Availability'!$F:$F,AN90)&amp;""),0),"0%")&amp;")","")&amp;CHAR(10)&amp;IF(INDEX('Reguler Class Availability'!$I:$I,AN90)&amp;""="","coach: –",PROPER(INDEX('Reguler Class Availability'!$I:$I,AN90)&amp;""))&amp;IF(INDEX('Reguler Class Availability'!$J:$J,AN90)&amp;""="","",CHAR(10)&amp;"asst: "&amp;PROPER(INDEX('Reguler Class Availability'!$J:$J,AN90)&amp;""))))</f>
        <v>Kosong  0/4  (0%)
coach: –</v>
      </c>
      <c r="C90" s="67" t="str">
        <f aca="false">IF(AO90="","",IF(AW90="Tidak dibuka","–",IF(INDEX('Reguler Class Availability'!$B:$B,AO90)&amp;""="","Kosong",PROPER(INDEX('Reguler Class Availability'!$B:$B,AO90)&amp;""))&amp;"  "&amp;IFERROR(--(INDEX('Reguler Class Availability'!$G:$G,AO90)&amp;""),0)&amp;"/"&amp;IFERROR(--(INDEX('Reguler Class Availability'!$F:$F,AO90)&amp;""),0)&amp;IF(IFERROR(--(INDEX('Reguler Class Availability'!$F:$F,AO90)&amp;""),0)&gt;0,"  ("&amp;TEXT(IFERROR(--(INDEX('Reguler Class Availability'!$G:$G,AO90)&amp;""),0)/IFERROR(--(INDEX('Reguler Class Availability'!$F:$F,AO90)&amp;""),0),"0%")&amp;")","")&amp;CHAR(10)&amp;IF(INDEX('Reguler Class Availability'!$I:$I,AO90)&amp;""="","coach: –",PROPER(INDEX('Reguler Class Availability'!$I:$I,AO90)&amp;""))&amp;IF(INDEX('Reguler Class Availability'!$J:$J,AO90)&amp;""="","",CHAR(10)&amp;"asst: "&amp;PROPER(INDEX('Reguler Class Availability'!$J:$J,AO90)&amp;""))))</f>
        <v>Kosong  0/4  (0%)
coach: –</v>
      </c>
      <c r="D90" s="67" t="str">
        <f aca="false">IF(AP90="","",IF(AX90="Tidak dibuka","–",IF(INDEX('Reguler Class Availability'!$B:$B,AP90)&amp;""="","Kosong",PROPER(INDEX('Reguler Class Availability'!$B:$B,AP90)&amp;""))&amp;"  "&amp;IFERROR(--(INDEX('Reguler Class Availability'!$G:$G,AP90)&amp;""),0)&amp;"/"&amp;IFERROR(--(INDEX('Reguler Class Availability'!$F:$F,AP90)&amp;""),0)&amp;IF(IFERROR(--(INDEX('Reguler Class Availability'!$F:$F,AP90)&amp;""),0)&gt;0,"  ("&amp;TEXT(IFERROR(--(INDEX('Reguler Class Availability'!$G:$G,AP90)&amp;""),0)/IFERROR(--(INDEX('Reguler Class Availability'!$F:$F,AP90)&amp;""),0),"0%")&amp;")","")&amp;CHAR(10)&amp;IF(INDEX('Reguler Class Availability'!$I:$I,AP90)&amp;""="","coach: –",PROPER(INDEX('Reguler Class Availability'!$I:$I,AP90)&amp;""))&amp;IF(INDEX('Reguler Class Availability'!$J:$J,AP90)&amp;""="","",CHAR(10)&amp;"asst: "&amp;PROPER(INDEX('Reguler Class Availability'!$J:$J,AP90)&amp;""))))</f>
        <v>Kosong  0/4  (0%)
coach: –</v>
      </c>
      <c r="E90" s="67" t="str">
        <f aca="false">IF(AQ90="","",IF(AY90="Tidak dibuka","–",IF(INDEX('Reguler Class Availability'!$B:$B,AQ90)&amp;""="","Kosong",PROPER(INDEX('Reguler Class Availability'!$B:$B,AQ90)&amp;""))&amp;"  "&amp;IFERROR(--(INDEX('Reguler Class Availability'!$G:$G,AQ90)&amp;""),0)&amp;"/"&amp;IFERROR(--(INDEX('Reguler Class Availability'!$F:$F,AQ90)&amp;""),0)&amp;IF(IFERROR(--(INDEX('Reguler Class Availability'!$F:$F,AQ90)&amp;""),0)&gt;0,"  ("&amp;TEXT(IFERROR(--(INDEX('Reguler Class Availability'!$G:$G,AQ90)&amp;""),0)/IFERROR(--(INDEX('Reguler Class Availability'!$F:$F,AQ90)&amp;""),0),"0%")&amp;")","")&amp;CHAR(10)&amp;IF(INDEX('Reguler Class Availability'!$I:$I,AQ90)&amp;""="","coach: –",PROPER(INDEX('Reguler Class Availability'!$I:$I,AQ90)&amp;""))&amp;IF(INDEX('Reguler Class Availability'!$J:$J,AQ90)&amp;""="","",CHAR(10)&amp;"asst: "&amp;PROPER(INDEX('Reguler Class Availability'!$J:$J,AQ90)&amp;""))))</f>
        <v>Kosong  0/4  (0%)
coach: –</v>
      </c>
      <c r="F90" s="67" t="str">
        <f aca="false">IF(AR90="","",IF(AZ90="Tidak dibuka","–",IF(INDEX('Reguler Class Availability'!$B:$B,AR90)&amp;""="","Kosong",PROPER(INDEX('Reguler Class Availability'!$B:$B,AR90)&amp;""))&amp;"  "&amp;IFERROR(--(INDEX('Reguler Class Availability'!$G:$G,AR90)&amp;""),0)&amp;"/"&amp;IFERROR(--(INDEX('Reguler Class Availability'!$F:$F,AR90)&amp;""),0)&amp;IF(IFERROR(--(INDEX('Reguler Class Availability'!$F:$F,AR90)&amp;""),0)&gt;0,"  ("&amp;TEXT(IFERROR(--(INDEX('Reguler Class Availability'!$G:$G,AR90)&amp;""),0)/IFERROR(--(INDEX('Reguler Class Availability'!$F:$F,AR90)&amp;""),0),"0%")&amp;")","")&amp;CHAR(10)&amp;IF(INDEX('Reguler Class Availability'!$I:$I,AR90)&amp;""="","coach: –",PROPER(INDEX('Reguler Class Availability'!$I:$I,AR90)&amp;""))&amp;IF(INDEX('Reguler Class Availability'!$J:$J,AR90)&amp;""="","",CHAR(10)&amp;"asst: "&amp;PROPER(INDEX('Reguler Class Availability'!$J:$J,AR90)&amp;""))))</f>
        <v>Kosong  0/4  (0%)
coach: –</v>
      </c>
      <c r="G90" s="67" t="str">
        <f aca="false">IF(AS90="","",IF(BA90="Tidak dibuka","–",IF(INDEX('Reguler Class Availability'!$B:$B,AS90)&amp;""="","Kosong",PROPER(INDEX('Reguler Class Availability'!$B:$B,AS90)&amp;""))&amp;"  "&amp;IFERROR(--(INDEX('Reguler Class Availability'!$G:$G,AS90)&amp;""),0)&amp;"/"&amp;IFERROR(--(INDEX('Reguler Class Availability'!$F:$F,AS90)&amp;""),0)&amp;IF(IFERROR(--(INDEX('Reguler Class Availability'!$F:$F,AS90)&amp;""),0)&gt;0,"  ("&amp;TEXT(IFERROR(--(INDEX('Reguler Class Availability'!$G:$G,AS90)&amp;""),0)/IFERROR(--(INDEX('Reguler Class Availability'!$F:$F,AS90)&amp;""),0),"0%")&amp;")","")&amp;CHAR(10)&amp;IF(INDEX('Reguler Class Availability'!$I:$I,AS90)&amp;""="","coach: –",PROPER(INDEX('Reguler Class Availability'!$I:$I,AS90)&amp;""))&amp;IF(INDEX('Reguler Class Availability'!$J:$J,AS90)&amp;""="","",CHAR(10)&amp;"asst: "&amp;PROPER(INDEX('Reguler Class Availability'!$J:$J,AS90)&amp;""))))</f>
        <v>Kosong  0/4  (0%)
coach: –</v>
      </c>
      <c r="H90" s="67" t="str">
        <f aca="false">IF(AT90="","",IF(BB90="Tidak dibuka","–",IF(INDEX('Reguler Class Availability'!$B:$B,AT90)&amp;""="","Kosong",PROPER(INDEX('Reguler Class Availability'!$B:$B,AT90)&amp;""))&amp;"  "&amp;IFERROR(--(INDEX('Reguler Class Availability'!$G:$G,AT90)&amp;""),0)&amp;"/"&amp;IFERROR(--(INDEX('Reguler Class Availability'!$F:$F,AT90)&amp;""),0)&amp;IF(IFERROR(--(INDEX('Reguler Class Availability'!$F:$F,AT90)&amp;""),0)&gt;0,"  ("&amp;TEXT(IFERROR(--(INDEX('Reguler Class Availability'!$G:$G,AT90)&amp;""),0)/IFERROR(--(INDEX('Reguler Class Availability'!$F:$F,AT90)&amp;""),0),"0%")&amp;")","")&amp;CHAR(10)&amp;IF(INDEX('Reguler Class Availability'!$I:$I,AT90)&amp;""="","coach: –",PROPER(INDEX('Reguler Class Availability'!$I:$I,AT90)&amp;""))&amp;IF(INDEX('Reguler Class Availability'!$J:$J,AT90)&amp;""="","",CHAR(10)&amp;"asst: "&amp;PROPER(INDEX('Reguler Class Availability'!$J:$J,AT90)&amp;""))))</f>
        <v>Kosong  0/4  (0%)
coach: –</v>
      </c>
      <c r="AN90" s="30" t="n">
        <f aca="false">IF($A90="","",IFERROR(MATCH($B$4&amp;"|- Lane 5 - "&amp;B$87&amp;"|"&amp;$A90,'Reguler Class Availability'!$L:$L,0),""))</f>
        <v>2762</v>
      </c>
      <c r="AO90" s="30" t="n">
        <f aca="false">IF($A90="","",IFERROR(MATCH($B$4&amp;"|- Lane 5 - "&amp;C$87&amp;"|"&amp;$A90,'Reguler Class Availability'!$L:$L,0),""))</f>
        <v>2774</v>
      </c>
      <c r="AP90" s="30" t="n">
        <f aca="false">IF($A90="","",IFERROR(MATCH($B$4&amp;"|- Lane 5 - "&amp;D$87&amp;"|"&amp;$A90,'Reguler Class Availability'!$L:$L,0),""))</f>
        <v>2786</v>
      </c>
      <c r="AQ90" s="30" t="n">
        <f aca="false">IF($A90="","",IFERROR(MATCH($B$4&amp;"|- Lane 5 - "&amp;E$87&amp;"|"&amp;$A90,'Reguler Class Availability'!$L:$L,0),""))</f>
        <v>2798</v>
      </c>
      <c r="AR90" s="30" t="n">
        <f aca="false">IF($A90="","",IFERROR(MATCH($B$4&amp;"|- Lane 5 - "&amp;F$87&amp;"|"&amp;$A90,'Reguler Class Availability'!$L:$L,0),""))</f>
        <v>2810</v>
      </c>
      <c r="AS90" s="30" t="n">
        <f aca="false">IF($A90="","",IFERROR(MATCH($B$4&amp;"|- Lane 5 - "&amp;G$87&amp;"|"&amp;$A90,'Reguler Class Availability'!$L:$L,0),""))</f>
        <v>2822</v>
      </c>
      <c r="AT90" s="30" t="n">
        <f aca="false">IF($A90="","",IFERROR(MATCH($B$4&amp;"|- Lane 5 - "&amp;H$87&amp;"|"&amp;$A90,'Reguler Class Availability'!$L:$L,0),""))</f>
        <v>2834</v>
      </c>
      <c r="AV90" s="0" t="str">
        <f aca="false">IF(AN90="","",IF(AND(IFERROR(--(INDEX('Reguler Class Availability'!$F:$F,AN90)&amp;""),0)=0,IFERROR(--(INDEX('Reguler Class Availability'!$G:$G,AN90)&amp;""),0)=0),IF(OR(INDEX('Reguler Class Availability'!$B:$B,AN90)&amp;""&lt;&gt;"",INDEX('Reguler Class Availability'!$I:$I,AN90)&amp;""&lt;&gt;""),"Tutup","Tidak dibuka"),IF(IFERROR(--(INDEX('Reguler Class Availability'!$G:$G,AN90)&amp;""),0)&gt;IFERROR(--(INDEX('Reguler Class Availability'!$F:$F,AN90)&amp;""),0),"Lebih",IF(IFERROR(--(INDEX('Reguler Class Availability'!$G:$G,AN90)&amp;""),0)=IFERROR(--(INDEX('Reguler Class Availability'!$F:$F,AN90)&amp;""),0),"Penuh",IF(IFERROR(--(INDEX('Reguler Class Availability'!$G:$G,AN90)&amp;""),0)=0,IF(INDEX('Reguler Class Availability'!$B:$B,AN90)&amp;""="","Kosong","Belum terisi"),IF(IFERROR(--(INDEX('Reguler Class Availability'!$G:$G,AN90)&amp;""),0)/IFERROR(--(INDEX('Reguler Class Availability'!$F:$F,AN90)&amp;""),0)&gt;=0.6,"Tinggi","Sebagian"))))))</f>
        <v>Kosong</v>
      </c>
      <c r="AW90" s="0" t="str">
        <f aca="false">IF(AO90="","",IF(AND(IFERROR(--(INDEX('Reguler Class Availability'!$F:$F,AO90)&amp;""),0)=0,IFERROR(--(INDEX('Reguler Class Availability'!$G:$G,AO90)&amp;""),0)=0),IF(OR(INDEX('Reguler Class Availability'!$B:$B,AO90)&amp;""&lt;&gt;"",INDEX('Reguler Class Availability'!$I:$I,AO90)&amp;""&lt;&gt;""),"Tutup","Tidak dibuka"),IF(IFERROR(--(INDEX('Reguler Class Availability'!$G:$G,AO90)&amp;""),0)&gt;IFERROR(--(INDEX('Reguler Class Availability'!$F:$F,AO90)&amp;""),0),"Lebih",IF(IFERROR(--(INDEX('Reguler Class Availability'!$G:$G,AO90)&amp;""),0)=IFERROR(--(INDEX('Reguler Class Availability'!$F:$F,AO90)&amp;""),0),"Penuh",IF(IFERROR(--(INDEX('Reguler Class Availability'!$G:$G,AO90)&amp;""),0)=0,IF(INDEX('Reguler Class Availability'!$B:$B,AO90)&amp;""="","Kosong","Belum terisi"),IF(IFERROR(--(INDEX('Reguler Class Availability'!$G:$G,AO90)&amp;""),0)/IFERROR(--(INDEX('Reguler Class Availability'!$F:$F,AO90)&amp;""),0)&gt;=0.6,"Tinggi","Sebagian"))))))</f>
        <v>Kosong</v>
      </c>
      <c r="AX90" s="0" t="str">
        <f aca="false">IF(AP90="","",IF(AND(IFERROR(--(INDEX('Reguler Class Availability'!$F:$F,AP90)&amp;""),0)=0,IFERROR(--(INDEX('Reguler Class Availability'!$G:$G,AP90)&amp;""),0)=0),IF(OR(INDEX('Reguler Class Availability'!$B:$B,AP90)&amp;""&lt;&gt;"",INDEX('Reguler Class Availability'!$I:$I,AP90)&amp;""&lt;&gt;""),"Tutup","Tidak dibuka"),IF(IFERROR(--(INDEX('Reguler Class Availability'!$G:$G,AP90)&amp;""),0)&gt;IFERROR(--(INDEX('Reguler Class Availability'!$F:$F,AP90)&amp;""),0),"Lebih",IF(IFERROR(--(INDEX('Reguler Class Availability'!$G:$G,AP90)&amp;""),0)=IFERROR(--(INDEX('Reguler Class Availability'!$F:$F,AP90)&amp;""),0),"Penuh",IF(IFERROR(--(INDEX('Reguler Class Availability'!$G:$G,AP90)&amp;""),0)=0,IF(INDEX('Reguler Class Availability'!$B:$B,AP90)&amp;""="","Kosong","Belum terisi"),IF(IFERROR(--(INDEX('Reguler Class Availability'!$G:$G,AP90)&amp;""),0)/IFERROR(--(INDEX('Reguler Class Availability'!$F:$F,AP90)&amp;""),0)&gt;=0.6,"Tinggi","Sebagian"))))))</f>
        <v>Kosong</v>
      </c>
      <c r="AY90" s="0" t="str">
        <f aca="false">IF(AQ90="","",IF(AND(IFERROR(--(INDEX('Reguler Class Availability'!$F:$F,AQ90)&amp;""),0)=0,IFERROR(--(INDEX('Reguler Class Availability'!$G:$G,AQ90)&amp;""),0)=0),IF(OR(INDEX('Reguler Class Availability'!$B:$B,AQ90)&amp;""&lt;&gt;"",INDEX('Reguler Class Availability'!$I:$I,AQ90)&amp;""&lt;&gt;""),"Tutup","Tidak dibuka"),IF(IFERROR(--(INDEX('Reguler Class Availability'!$G:$G,AQ90)&amp;""),0)&gt;IFERROR(--(INDEX('Reguler Class Availability'!$F:$F,AQ90)&amp;""),0),"Lebih",IF(IFERROR(--(INDEX('Reguler Class Availability'!$G:$G,AQ90)&amp;""),0)=IFERROR(--(INDEX('Reguler Class Availability'!$F:$F,AQ90)&amp;""),0),"Penuh",IF(IFERROR(--(INDEX('Reguler Class Availability'!$G:$G,AQ90)&amp;""),0)=0,IF(INDEX('Reguler Class Availability'!$B:$B,AQ90)&amp;""="","Kosong","Belum terisi"),IF(IFERROR(--(INDEX('Reguler Class Availability'!$G:$G,AQ90)&amp;""),0)/IFERROR(--(INDEX('Reguler Class Availability'!$F:$F,AQ90)&amp;""),0)&gt;=0.6,"Tinggi","Sebagian"))))))</f>
        <v>Kosong</v>
      </c>
      <c r="AZ90" s="0" t="str">
        <f aca="false">IF(AR90="","",IF(AND(IFERROR(--(INDEX('Reguler Class Availability'!$F:$F,AR90)&amp;""),0)=0,IFERROR(--(INDEX('Reguler Class Availability'!$G:$G,AR90)&amp;""),0)=0),IF(OR(INDEX('Reguler Class Availability'!$B:$B,AR90)&amp;""&lt;&gt;"",INDEX('Reguler Class Availability'!$I:$I,AR90)&amp;""&lt;&gt;""),"Tutup","Tidak dibuka"),IF(IFERROR(--(INDEX('Reguler Class Availability'!$G:$G,AR90)&amp;""),0)&gt;IFERROR(--(INDEX('Reguler Class Availability'!$F:$F,AR90)&amp;""),0),"Lebih",IF(IFERROR(--(INDEX('Reguler Class Availability'!$G:$G,AR90)&amp;""),0)=IFERROR(--(INDEX('Reguler Class Availability'!$F:$F,AR90)&amp;""),0),"Penuh",IF(IFERROR(--(INDEX('Reguler Class Availability'!$G:$G,AR90)&amp;""),0)=0,IF(INDEX('Reguler Class Availability'!$B:$B,AR90)&amp;""="","Kosong","Belum terisi"),IF(IFERROR(--(INDEX('Reguler Class Availability'!$G:$G,AR90)&amp;""),0)/IFERROR(--(INDEX('Reguler Class Availability'!$F:$F,AR90)&amp;""),0)&gt;=0.6,"Tinggi","Sebagian"))))))</f>
        <v>Kosong</v>
      </c>
      <c r="BA90" s="0" t="str">
        <f aca="false">IF(AS90="","",IF(AND(IFERROR(--(INDEX('Reguler Class Availability'!$F:$F,AS90)&amp;""),0)=0,IFERROR(--(INDEX('Reguler Class Availability'!$G:$G,AS90)&amp;""),0)=0),IF(OR(INDEX('Reguler Class Availability'!$B:$B,AS90)&amp;""&lt;&gt;"",INDEX('Reguler Class Availability'!$I:$I,AS90)&amp;""&lt;&gt;""),"Tutup","Tidak dibuka"),IF(IFERROR(--(INDEX('Reguler Class Availability'!$G:$G,AS90)&amp;""),0)&gt;IFERROR(--(INDEX('Reguler Class Availability'!$F:$F,AS90)&amp;""),0),"Lebih",IF(IFERROR(--(INDEX('Reguler Class Availability'!$G:$G,AS90)&amp;""),0)=IFERROR(--(INDEX('Reguler Class Availability'!$F:$F,AS90)&amp;""),0),"Penuh",IF(IFERROR(--(INDEX('Reguler Class Availability'!$G:$G,AS90)&amp;""),0)=0,IF(INDEX('Reguler Class Availability'!$B:$B,AS90)&amp;""="","Kosong","Belum terisi"),IF(IFERROR(--(INDEX('Reguler Class Availability'!$G:$G,AS90)&amp;""),0)/IFERROR(--(INDEX('Reguler Class Availability'!$F:$F,AS90)&amp;""),0)&gt;=0.6,"Tinggi","Sebagian"))))))</f>
        <v>Kosong</v>
      </c>
      <c r="BB90" s="0" t="str">
        <f aca="false">IF(AT90="","",IF(AND(IFERROR(--(INDEX('Reguler Class Availability'!$F:$F,AT90)&amp;""),0)=0,IFERROR(--(INDEX('Reguler Class Availability'!$G:$G,AT90)&amp;""),0)=0),IF(OR(INDEX('Reguler Class Availability'!$B:$B,AT90)&amp;""&lt;&gt;"",INDEX('Reguler Class Availability'!$I:$I,AT90)&amp;""&lt;&gt;""),"Tutup","Tidak dibuka"),IF(IFERROR(--(INDEX('Reguler Class Availability'!$G:$G,AT90)&amp;""),0)&gt;IFERROR(--(INDEX('Reguler Class Availability'!$F:$F,AT90)&amp;""),0),"Lebih",IF(IFERROR(--(INDEX('Reguler Class Availability'!$G:$G,AT90)&amp;""),0)=IFERROR(--(INDEX('Reguler Class Availability'!$F:$F,AT90)&amp;""),0),"Penuh",IF(IFERROR(--(INDEX('Reguler Class Availability'!$G:$G,AT90)&amp;""),0)=0,IF(INDEX('Reguler Class Availability'!$B:$B,AT90)&amp;""="","Kosong","Belum terisi"),IF(IFERROR(--(INDEX('Reguler Class Availability'!$G:$G,AT90)&amp;""),0)/IFERROR(--(INDEX('Reguler Class Availability'!$F:$F,AT90)&amp;""),0)&gt;=0.6,"Tinggi","Sebagian"))))))</f>
        <v>Kosong</v>
      </c>
      <c r="BD90" s="30" t="s">
        <v>138</v>
      </c>
      <c r="BE90" s="30" t="n">
        <f aca="false">IF(COUNTIFS('Reguler Class Availability'!$L:$L,$B$4&amp;"|- Lane 2 - *|"&amp;BD90)&gt;0,1,0)</f>
        <v>0</v>
      </c>
      <c r="BF90" s="30" t="n">
        <f aca="false">BE90+BF89</f>
        <v>6</v>
      </c>
    </row>
    <row r="91" customFormat="false" ht="39.75" hidden="false" customHeight="true" outlineLevel="0" collapsed="false">
      <c r="A91" s="66" t="str">
        <f aca="false">IFERROR(INDEX($BD$242:$BD$301,MATCH(4,$BF$242:$BF$301,0)),"")</f>
        <v>10:15</v>
      </c>
      <c r="B91" s="67" t="str">
        <f aca="false">IF(AN91="","",IF(AV91="Tidak dibuka","–",IF(INDEX('Reguler Class Availability'!$B:$B,AN91)&amp;""="","Kosong",PROPER(INDEX('Reguler Class Availability'!$B:$B,AN91)&amp;""))&amp;"  "&amp;IFERROR(--(INDEX('Reguler Class Availability'!$G:$G,AN91)&amp;""),0)&amp;"/"&amp;IFERROR(--(INDEX('Reguler Class Availability'!$F:$F,AN91)&amp;""),0)&amp;IF(IFERROR(--(INDEX('Reguler Class Availability'!$F:$F,AN91)&amp;""),0)&gt;0,"  ("&amp;TEXT(IFERROR(--(INDEX('Reguler Class Availability'!$G:$G,AN91)&amp;""),0)/IFERROR(--(INDEX('Reguler Class Availability'!$F:$F,AN91)&amp;""),0),"0%")&amp;")","")&amp;CHAR(10)&amp;IF(INDEX('Reguler Class Availability'!$I:$I,AN91)&amp;""="","coach: –",PROPER(INDEX('Reguler Class Availability'!$I:$I,AN91)&amp;""))&amp;IF(INDEX('Reguler Class Availability'!$J:$J,AN91)&amp;""="","",CHAR(10)&amp;"asst: "&amp;PROPER(INDEX('Reguler Class Availability'!$J:$J,AN91)&amp;""))))</f>
        <v>Kosong  0/4  (0%)
coach: –</v>
      </c>
      <c r="C91" s="67" t="str">
        <f aca="false">IF(AO91="","",IF(AW91="Tidak dibuka","–",IF(INDEX('Reguler Class Availability'!$B:$B,AO91)&amp;""="","Kosong",PROPER(INDEX('Reguler Class Availability'!$B:$B,AO91)&amp;""))&amp;"  "&amp;IFERROR(--(INDEX('Reguler Class Availability'!$G:$G,AO91)&amp;""),0)&amp;"/"&amp;IFERROR(--(INDEX('Reguler Class Availability'!$F:$F,AO91)&amp;""),0)&amp;IF(IFERROR(--(INDEX('Reguler Class Availability'!$F:$F,AO91)&amp;""),0)&gt;0,"  ("&amp;TEXT(IFERROR(--(INDEX('Reguler Class Availability'!$G:$G,AO91)&amp;""),0)/IFERROR(--(INDEX('Reguler Class Availability'!$F:$F,AO91)&amp;""),0),"0%")&amp;")","")&amp;CHAR(10)&amp;IF(INDEX('Reguler Class Availability'!$I:$I,AO91)&amp;""="","coach: –",PROPER(INDEX('Reguler Class Availability'!$I:$I,AO91)&amp;""))&amp;IF(INDEX('Reguler Class Availability'!$J:$J,AO91)&amp;""="","",CHAR(10)&amp;"asst: "&amp;PROPER(INDEX('Reguler Class Availability'!$J:$J,AO91)&amp;""))))</f>
        <v>Kosong  0/4  (0%)
coach: –</v>
      </c>
      <c r="D91" s="67" t="str">
        <f aca="false">IF(AP91="","",IF(AX91="Tidak dibuka","–",IF(INDEX('Reguler Class Availability'!$B:$B,AP91)&amp;""="","Kosong",PROPER(INDEX('Reguler Class Availability'!$B:$B,AP91)&amp;""))&amp;"  "&amp;IFERROR(--(INDEX('Reguler Class Availability'!$G:$G,AP91)&amp;""),0)&amp;"/"&amp;IFERROR(--(INDEX('Reguler Class Availability'!$F:$F,AP91)&amp;""),0)&amp;IF(IFERROR(--(INDEX('Reguler Class Availability'!$F:$F,AP91)&amp;""),0)&gt;0,"  ("&amp;TEXT(IFERROR(--(INDEX('Reguler Class Availability'!$G:$G,AP91)&amp;""),0)/IFERROR(--(INDEX('Reguler Class Availability'!$F:$F,AP91)&amp;""),0),"0%")&amp;")","")&amp;CHAR(10)&amp;IF(INDEX('Reguler Class Availability'!$I:$I,AP91)&amp;""="","coach: –",PROPER(INDEX('Reguler Class Availability'!$I:$I,AP91)&amp;""))&amp;IF(INDEX('Reguler Class Availability'!$J:$J,AP91)&amp;""="","",CHAR(10)&amp;"asst: "&amp;PROPER(INDEX('Reguler Class Availability'!$J:$J,AP91)&amp;""))))</f>
        <v>Kosong  0/4  (0%)
coach: –</v>
      </c>
      <c r="E91" s="67" t="str">
        <f aca="false">IF(AQ91="","",IF(AY91="Tidak dibuka","–",IF(INDEX('Reguler Class Availability'!$B:$B,AQ91)&amp;""="","Kosong",PROPER(INDEX('Reguler Class Availability'!$B:$B,AQ91)&amp;""))&amp;"  "&amp;IFERROR(--(INDEX('Reguler Class Availability'!$G:$G,AQ91)&amp;""),0)&amp;"/"&amp;IFERROR(--(INDEX('Reguler Class Availability'!$F:$F,AQ91)&amp;""),0)&amp;IF(IFERROR(--(INDEX('Reguler Class Availability'!$F:$F,AQ91)&amp;""),0)&gt;0,"  ("&amp;TEXT(IFERROR(--(INDEX('Reguler Class Availability'!$G:$G,AQ91)&amp;""),0)/IFERROR(--(INDEX('Reguler Class Availability'!$F:$F,AQ91)&amp;""),0),"0%")&amp;")","")&amp;CHAR(10)&amp;IF(INDEX('Reguler Class Availability'!$I:$I,AQ91)&amp;""="","coach: –",PROPER(INDEX('Reguler Class Availability'!$I:$I,AQ91)&amp;""))&amp;IF(INDEX('Reguler Class Availability'!$J:$J,AQ91)&amp;""="","",CHAR(10)&amp;"asst: "&amp;PROPER(INDEX('Reguler Class Availability'!$J:$J,AQ91)&amp;""))))</f>
        <v>Kosong  0/4  (0%)
coach: –</v>
      </c>
      <c r="F91" s="67" t="str">
        <f aca="false">IF(AR91="","",IF(AZ91="Tidak dibuka","–",IF(INDEX('Reguler Class Availability'!$B:$B,AR91)&amp;""="","Kosong",PROPER(INDEX('Reguler Class Availability'!$B:$B,AR91)&amp;""))&amp;"  "&amp;IFERROR(--(INDEX('Reguler Class Availability'!$G:$G,AR91)&amp;""),0)&amp;"/"&amp;IFERROR(--(INDEX('Reguler Class Availability'!$F:$F,AR91)&amp;""),0)&amp;IF(IFERROR(--(INDEX('Reguler Class Availability'!$F:$F,AR91)&amp;""),0)&gt;0,"  ("&amp;TEXT(IFERROR(--(INDEX('Reguler Class Availability'!$G:$G,AR91)&amp;""),0)/IFERROR(--(INDEX('Reguler Class Availability'!$F:$F,AR91)&amp;""),0),"0%")&amp;")","")&amp;CHAR(10)&amp;IF(INDEX('Reguler Class Availability'!$I:$I,AR91)&amp;""="","coach: –",PROPER(INDEX('Reguler Class Availability'!$I:$I,AR91)&amp;""))&amp;IF(INDEX('Reguler Class Availability'!$J:$J,AR91)&amp;""="","",CHAR(10)&amp;"asst: "&amp;PROPER(INDEX('Reguler Class Availability'!$J:$J,AR91)&amp;""))))</f>
        <v>Kosong  0/4  (0%)
coach: –</v>
      </c>
      <c r="G91" s="67" t="str">
        <f aca="false">IF(AS91="","",IF(BA91="Tidak dibuka","–",IF(INDEX('Reguler Class Availability'!$B:$B,AS91)&amp;""="","Kosong",PROPER(INDEX('Reguler Class Availability'!$B:$B,AS91)&amp;""))&amp;"  "&amp;IFERROR(--(INDEX('Reguler Class Availability'!$G:$G,AS91)&amp;""),0)&amp;"/"&amp;IFERROR(--(INDEX('Reguler Class Availability'!$F:$F,AS91)&amp;""),0)&amp;IF(IFERROR(--(INDEX('Reguler Class Availability'!$F:$F,AS91)&amp;""),0)&gt;0,"  ("&amp;TEXT(IFERROR(--(INDEX('Reguler Class Availability'!$G:$G,AS91)&amp;""),0)/IFERROR(--(INDEX('Reguler Class Availability'!$F:$F,AS91)&amp;""),0),"0%")&amp;")","")&amp;CHAR(10)&amp;IF(INDEX('Reguler Class Availability'!$I:$I,AS91)&amp;""="","coach: –",PROPER(INDEX('Reguler Class Availability'!$I:$I,AS91)&amp;""))&amp;IF(INDEX('Reguler Class Availability'!$J:$J,AS91)&amp;""="","",CHAR(10)&amp;"asst: "&amp;PROPER(INDEX('Reguler Class Availability'!$J:$J,AS91)&amp;""))))</f>
        <v>Kosong  0/4  (0%)
coach: –</v>
      </c>
      <c r="H91" s="67" t="str">
        <f aca="false">IF(AT91="","",IF(BB91="Tidak dibuka","–",IF(INDEX('Reguler Class Availability'!$B:$B,AT91)&amp;""="","Kosong",PROPER(INDEX('Reguler Class Availability'!$B:$B,AT91)&amp;""))&amp;"  "&amp;IFERROR(--(INDEX('Reguler Class Availability'!$G:$G,AT91)&amp;""),0)&amp;"/"&amp;IFERROR(--(INDEX('Reguler Class Availability'!$F:$F,AT91)&amp;""),0)&amp;IF(IFERROR(--(INDEX('Reguler Class Availability'!$F:$F,AT91)&amp;""),0)&gt;0,"  ("&amp;TEXT(IFERROR(--(INDEX('Reguler Class Availability'!$G:$G,AT91)&amp;""),0)/IFERROR(--(INDEX('Reguler Class Availability'!$F:$F,AT91)&amp;""),0),"0%")&amp;")","")&amp;CHAR(10)&amp;IF(INDEX('Reguler Class Availability'!$I:$I,AT91)&amp;""="","coach: –",PROPER(INDEX('Reguler Class Availability'!$I:$I,AT91)&amp;""))&amp;IF(INDEX('Reguler Class Availability'!$J:$J,AT91)&amp;""="","",CHAR(10)&amp;"asst: "&amp;PROPER(INDEX('Reguler Class Availability'!$J:$J,AT91)&amp;""))))</f>
        <v>Kosong  0/4  (0%)
coach: –</v>
      </c>
      <c r="AN91" s="30" t="n">
        <f aca="false">IF($A91="","",IFERROR(MATCH($B$4&amp;"|- Lane 5 - "&amp;B$87&amp;"|"&amp;$A91,'Reguler Class Availability'!$L:$L,0),""))</f>
        <v>2763</v>
      </c>
      <c r="AO91" s="30" t="n">
        <f aca="false">IF($A91="","",IFERROR(MATCH($B$4&amp;"|- Lane 5 - "&amp;C$87&amp;"|"&amp;$A91,'Reguler Class Availability'!$L:$L,0),""))</f>
        <v>2775</v>
      </c>
      <c r="AP91" s="30" t="n">
        <f aca="false">IF($A91="","",IFERROR(MATCH($B$4&amp;"|- Lane 5 - "&amp;D$87&amp;"|"&amp;$A91,'Reguler Class Availability'!$L:$L,0),""))</f>
        <v>2787</v>
      </c>
      <c r="AQ91" s="30" t="n">
        <f aca="false">IF($A91="","",IFERROR(MATCH($B$4&amp;"|- Lane 5 - "&amp;E$87&amp;"|"&amp;$A91,'Reguler Class Availability'!$L:$L,0),""))</f>
        <v>2799</v>
      </c>
      <c r="AR91" s="30" t="n">
        <f aca="false">IF($A91="","",IFERROR(MATCH($B$4&amp;"|- Lane 5 - "&amp;F$87&amp;"|"&amp;$A91,'Reguler Class Availability'!$L:$L,0),""))</f>
        <v>2811</v>
      </c>
      <c r="AS91" s="30" t="n">
        <f aca="false">IF($A91="","",IFERROR(MATCH($B$4&amp;"|- Lane 5 - "&amp;G$87&amp;"|"&amp;$A91,'Reguler Class Availability'!$L:$L,0),""))</f>
        <v>2823</v>
      </c>
      <c r="AT91" s="30" t="n">
        <f aca="false">IF($A91="","",IFERROR(MATCH($B$4&amp;"|- Lane 5 - "&amp;H$87&amp;"|"&amp;$A91,'Reguler Class Availability'!$L:$L,0),""))</f>
        <v>2835</v>
      </c>
      <c r="AV91" s="0" t="str">
        <f aca="false">IF(AN91="","",IF(AND(IFERROR(--(INDEX('Reguler Class Availability'!$F:$F,AN91)&amp;""),0)=0,IFERROR(--(INDEX('Reguler Class Availability'!$G:$G,AN91)&amp;""),0)=0),IF(OR(INDEX('Reguler Class Availability'!$B:$B,AN91)&amp;""&lt;&gt;"",INDEX('Reguler Class Availability'!$I:$I,AN91)&amp;""&lt;&gt;""),"Tutup","Tidak dibuka"),IF(IFERROR(--(INDEX('Reguler Class Availability'!$G:$G,AN91)&amp;""),0)&gt;IFERROR(--(INDEX('Reguler Class Availability'!$F:$F,AN91)&amp;""),0),"Lebih",IF(IFERROR(--(INDEX('Reguler Class Availability'!$G:$G,AN91)&amp;""),0)=IFERROR(--(INDEX('Reguler Class Availability'!$F:$F,AN91)&amp;""),0),"Penuh",IF(IFERROR(--(INDEX('Reguler Class Availability'!$G:$G,AN91)&amp;""),0)=0,IF(INDEX('Reguler Class Availability'!$B:$B,AN91)&amp;""="","Kosong","Belum terisi"),IF(IFERROR(--(INDEX('Reguler Class Availability'!$G:$G,AN91)&amp;""),0)/IFERROR(--(INDEX('Reguler Class Availability'!$F:$F,AN91)&amp;""),0)&gt;=0.6,"Tinggi","Sebagian"))))))</f>
        <v>Kosong</v>
      </c>
      <c r="AW91" s="0" t="str">
        <f aca="false">IF(AO91="","",IF(AND(IFERROR(--(INDEX('Reguler Class Availability'!$F:$F,AO91)&amp;""),0)=0,IFERROR(--(INDEX('Reguler Class Availability'!$G:$G,AO91)&amp;""),0)=0),IF(OR(INDEX('Reguler Class Availability'!$B:$B,AO91)&amp;""&lt;&gt;"",INDEX('Reguler Class Availability'!$I:$I,AO91)&amp;""&lt;&gt;""),"Tutup","Tidak dibuka"),IF(IFERROR(--(INDEX('Reguler Class Availability'!$G:$G,AO91)&amp;""),0)&gt;IFERROR(--(INDEX('Reguler Class Availability'!$F:$F,AO91)&amp;""),0),"Lebih",IF(IFERROR(--(INDEX('Reguler Class Availability'!$G:$G,AO91)&amp;""),0)=IFERROR(--(INDEX('Reguler Class Availability'!$F:$F,AO91)&amp;""),0),"Penuh",IF(IFERROR(--(INDEX('Reguler Class Availability'!$G:$G,AO91)&amp;""),0)=0,IF(INDEX('Reguler Class Availability'!$B:$B,AO91)&amp;""="","Kosong","Belum terisi"),IF(IFERROR(--(INDEX('Reguler Class Availability'!$G:$G,AO91)&amp;""),0)/IFERROR(--(INDEX('Reguler Class Availability'!$F:$F,AO91)&amp;""),0)&gt;=0.6,"Tinggi","Sebagian"))))))</f>
        <v>Kosong</v>
      </c>
      <c r="AX91" s="0" t="str">
        <f aca="false">IF(AP91="","",IF(AND(IFERROR(--(INDEX('Reguler Class Availability'!$F:$F,AP91)&amp;""),0)=0,IFERROR(--(INDEX('Reguler Class Availability'!$G:$G,AP91)&amp;""),0)=0),IF(OR(INDEX('Reguler Class Availability'!$B:$B,AP91)&amp;""&lt;&gt;"",INDEX('Reguler Class Availability'!$I:$I,AP91)&amp;""&lt;&gt;""),"Tutup","Tidak dibuka"),IF(IFERROR(--(INDEX('Reguler Class Availability'!$G:$G,AP91)&amp;""),0)&gt;IFERROR(--(INDEX('Reguler Class Availability'!$F:$F,AP91)&amp;""),0),"Lebih",IF(IFERROR(--(INDEX('Reguler Class Availability'!$G:$G,AP91)&amp;""),0)=IFERROR(--(INDEX('Reguler Class Availability'!$F:$F,AP91)&amp;""),0),"Penuh",IF(IFERROR(--(INDEX('Reguler Class Availability'!$G:$G,AP91)&amp;""),0)=0,IF(INDEX('Reguler Class Availability'!$B:$B,AP91)&amp;""="","Kosong","Belum terisi"),IF(IFERROR(--(INDEX('Reguler Class Availability'!$G:$G,AP91)&amp;""),0)/IFERROR(--(INDEX('Reguler Class Availability'!$F:$F,AP91)&amp;""),0)&gt;=0.6,"Tinggi","Sebagian"))))))</f>
        <v>Kosong</v>
      </c>
      <c r="AY91" s="0" t="str">
        <f aca="false">IF(AQ91="","",IF(AND(IFERROR(--(INDEX('Reguler Class Availability'!$F:$F,AQ91)&amp;""),0)=0,IFERROR(--(INDEX('Reguler Class Availability'!$G:$G,AQ91)&amp;""),0)=0),IF(OR(INDEX('Reguler Class Availability'!$B:$B,AQ91)&amp;""&lt;&gt;"",INDEX('Reguler Class Availability'!$I:$I,AQ91)&amp;""&lt;&gt;""),"Tutup","Tidak dibuka"),IF(IFERROR(--(INDEX('Reguler Class Availability'!$G:$G,AQ91)&amp;""),0)&gt;IFERROR(--(INDEX('Reguler Class Availability'!$F:$F,AQ91)&amp;""),0),"Lebih",IF(IFERROR(--(INDEX('Reguler Class Availability'!$G:$G,AQ91)&amp;""),0)=IFERROR(--(INDEX('Reguler Class Availability'!$F:$F,AQ91)&amp;""),0),"Penuh",IF(IFERROR(--(INDEX('Reguler Class Availability'!$G:$G,AQ91)&amp;""),0)=0,IF(INDEX('Reguler Class Availability'!$B:$B,AQ91)&amp;""="","Kosong","Belum terisi"),IF(IFERROR(--(INDEX('Reguler Class Availability'!$G:$G,AQ91)&amp;""),0)/IFERROR(--(INDEX('Reguler Class Availability'!$F:$F,AQ91)&amp;""),0)&gt;=0.6,"Tinggi","Sebagian"))))))</f>
        <v>Kosong</v>
      </c>
      <c r="AZ91" s="0" t="str">
        <f aca="false">IF(AR91="","",IF(AND(IFERROR(--(INDEX('Reguler Class Availability'!$F:$F,AR91)&amp;""),0)=0,IFERROR(--(INDEX('Reguler Class Availability'!$G:$G,AR91)&amp;""),0)=0),IF(OR(INDEX('Reguler Class Availability'!$B:$B,AR91)&amp;""&lt;&gt;"",INDEX('Reguler Class Availability'!$I:$I,AR91)&amp;""&lt;&gt;""),"Tutup","Tidak dibuka"),IF(IFERROR(--(INDEX('Reguler Class Availability'!$G:$G,AR91)&amp;""),0)&gt;IFERROR(--(INDEX('Reguler Class Availability'!$F:$F,AR91)&amp;""),0),"Lebih",IF(IFERROR(--(INDEX('Reguler Class Availability'!$G:$G,AR91)&amp;""),0)=IFERROR(--(INDEX('Reguler Class Availability'!$F:$F,AR91)&amp;""),0),"Penuh",IF(IFERROR(--(INDEX('Reguler Class Availability'!$G:$G,AR91)&amp;""),0)=0,IF(INDEX('Reguler Class Availability'!$B:$B,AR91)&amp;""="","Kosong","Belum terisi"),IF(IFERROR(--(INDEX('Reguler Class Availability'!$G:$G,AR91)&amp;""),0)/IFERROR(--(INDEX('Reguler Class Availability'!$F:$F,AR91)&amp;""),0)&gt;=0.6,"Tinggi","Sebagian"))))))</f>
        <v>Kosong</v>
      </c>
      <c r="BA91" s="0" t="str">
        <f aca="false">IF(AS91="","",IF(AND(IFERROR(--(INDEX('Reguler Class Availability'!$F:$F,AS91)&amp;""),0)=0,IFERROR(--(INDEX('Reguler Class Availability'!$G:$G,AS91)&amp;""),0)=0),IF(OR(INDEX('Reguler Class Availability'!$B:$B,AS91)&amp;""&lt;&gt;"",INDEX('Reguler Class Availability'!$I:$I,AS91)&amp;""&lt;&gt;""),"Tutup","Tidak dibuka"),IF(IFERROR(--(INDEX('Reguler Class Availability'!$G:$G,AS91)&amp;""),0)&gt;IFERROR(--(INDEX('Reguler Class Availability'!$F:$F,AS91)&amp;""),0),"Lebih",IF(IFERROR(--(INDEX('Reguler Class Availability'!$G:$G,AS91)&amp;""),0)=IFERROR(--(INDEX('Reguler Class Availability'!$F:$F,AS91)&amp;""),0),"Penuh",IF(IFERROR(--(INDEX('Reguler Class Availability'!$G:$G,AS91)&amp;""),0)=0,IF(INDEX('Reguler Class Availability'!$B:$B,AS91)&amp;""="","Kosong","Belum terisi"),IF(IFERROR(--(INDEX('Reguler Class Availability'!$G:$G,AS91)&amp;""),0)/IFERROR(--(INDEX('Reguler Class Availability'!$F:$F,AS91)&amp;""),0)&gt;=0.6,"Tinggi","Sebagian"))))))</f>
        <v>Kosong</v>
      </c>
      <c r="BB91" s="0" t="str">
        <f aca="false">IF(AT91="","",IF(AND(IFERROR(--(INDEX('Reguler Class Availability'!$F:$F,AT91)&amp;""),0)=0,IFERROR(--(INDEX('Reguler Class Availability'!$G:$G,AT91)&amp;""),0)=0),IF(OR(INDEX('Reguler Class Availability'!$B:$B,AT91)&amp;""&lt;&gt;"",INDEX('Reguler Class Availability'!$I:$I,AT91)&amp;""&lt;&gt;""),"Tutup","Tidak dibuka"),IF(IFERROR(--(INDEX('Reguler Class Availability'!$G:$G,AT91)&amp;""),0)&gt;IFERROR(--(INDEX('Reguler Class Availability'!$F:$F,AT91)&amp;""),0),"Lebih",IF(IFERROR(--(INDEX('Reguler Class Availability'!$G:$G,AT91)&amp;""),0)=IFERROR(--(INDEX('Reguler Class Availability'!$F:$F,AT91)&amp;""),0),"Penuh",IF(IFERROR(--(INDEX('Reguler Class Availability'!$G:$G,AT91)&amp;""),0)=0,IF(INDEX('Reguler Class Availability'!$B:$B,AT91)&amp;""="","Kosong","Belum terisi"),IF(IFERROR(--(INDEX('Reguler Class Availability'!$G:$G,AT91)&amp;""),0)/IFERROR(--(INDEX('Reguler Class Availability'!$F:$F,AT91)&amp;""),0)&gt;=0.6,"Tinggi","Sebagian"))))))</f>
        <v>Kosong</v>
      </c>
      <c r="BD91" s="30" t="s">
        <v>139</v>
      </c>
      <c r="BE91" s="30" t="n">
        <f aca="false">IF(COUNTIFS('Reguler Class Availability'!$L:$L,$B$4&amp;"|- Lane 2 - *|"&amp;BD91)&gt;0,1,0)</f>
        <v>1</v>
      </c>
      <c r="BF91" s="30" t="n">
        <f aca="false">BE91+BF90</f>
        <v>7</v>
      </c>
    </row>
    <row r="92" customFormat="false" ht="39.75" hidden="false" customHeight="true" outlineLevel="0" collapsed="false">
      <c r="A92" s="66" t="str">
        <f aca="false">IFERROR(INDEX($BD$242:$BD$301,MATCH(5,$BF$242:$BF$301,0)),"")</f>
        <v>11:00</v>
      </c>
      <c r="B92" s="67" t="str">
        <f aca="false">IF(AN92="","",IF(AV92="Tidak dibuka","–",IF(INDEX('Reguler Class Availability'!$B:$B,AN92)&amp;""="","Kosong",PROPER(INDEX('Reguler Class Availability'!$B:$B,AN92)&amp;""))&amp;"  "&amp;IFERROR(--(INDEX('Reguler Class Availability'!$G:$G,AN92)&amp;""),0)&amp;"/"&amp;IFERROR(--(INDEX('Reguler Class Availability'!$F:$F,AN92)&amp;""),0)&amp;IF(IFERROR(--(INDEX('Reguler Class Availability'!$F:$F,AN92)&amp;""),0)&gt;0,"  ("&amp;TEXT(IFERROR(--(INDEX('Reguler Class Availability'!$G:$G,AN92)&amp;""),0)/IFERROR(--(INDEX('Reguler Class Availability'!$F:$F,AN92)&amp;""),0),"0%")&amp;")","")&amp;CHAR(10)&amp;IF(INDEX('Reguler Class Availability'!$I:$I,AN92)&amp;""="","coach: –",PROPER(INDEX('Reguler Class Availability'!$I:$I,AN92)&amp;""))&amp;IF(INDEX('Reguler Class Availability'!$J:$J,AN92)&amp;""="","",CHAR(10)&amp;"asst: "&amp;PROPER(INDEX('Reguler Class Availability'!$J:$J,AN92)&amp;""))))</f>
        <v>Kosong  0/4  (0%)
coach: –</v>
      </c>
      <c r="C92" s="67" t="str">
        <f aca="false">IF(AO92="","",IF(AW92="Tidak dibuka","–",IF(INDEX('Reguler Class Availability'!$B:$B,AO92)&amp;""="","Kosong",PROPER(INDEX('Reguler Class Availability'!$B:$B,AO92)&amp;""))&amp;"  "&amp;IFERROR(--(INDEX('Reguler Class Availability'!$G:$G,AO92)&amp;""),0)&amp;"/"&amp;IFERROR(--(INDEX('Reguler Class Availability'!$F:$F,AO92)&amp;""),0)&amp;IF(IFERROR(--(INDEX('Reguler Class Availability'!$F:$F,AO92)&amp;""),0)&gt;0,"  ("&amp;TEXT(IFERROR(--(INDEX('Reguler Class Availability'!$G:$G,AO92)&amp;""),0)/IFERROR(--(INDEX('Reguler Class Availability'!$F:$F,AO92)&amp;""),0),"0%")&amp;")","")&amp;CHAR(10)&amp;IF(INDEX('Reguler Class Availability'!$I:$I,AO92)&amp;""="","coach: –",PROPER(INDEX('Reguler Class Availability'!$I:$I,AO92)&amp;""))&amp;IF(INDEX('Reguler Class Availability'!$J:$J,AO92)&amp;""="","",CHAR(10)&amp;"asst: "&amp;PROPER(INDEX('Reguler Class Availability'!$J:$J,AO92)&amp;""))))</f>
        <v>Kosong  0/4  (0%)
coach: –</v>
      </c>
      <c r="D92" s="67" t="str">
        <f aca="false">IF(AP92="","",IF(AX92="Tidak dibuka","–",IF(INDEX('Reguler Class Availability'!$B:$B,AP92)&amp;""="","Kosong",PROPER(INDEX('Reguler Class Availability'!$B:$B,AP92)&amp;""))&amp;"  "&amp;IFERROR(--(INDEX('Reguler Class Availability'!$G:$G,AP92)&amp;""),0)&amp;"/"&amp;IFERROR(--(INDEX('Reguler Class Availability'!$F:$F,AP92)&amp;""),0)&amp;IF(IFERROR(--(INDEX('Reguler Class Availability'!$F:$F,AP92)&amp;""),0)&gt;0,"  ("&amp;TEXT(IFERROR(--(INDEX('Reguler Class Availability'!$G:$G,AP92)&amp;""),0)/IFERROR(--(INDEX('Reguler Class Availability'!$F:$F,AP92)&amp;""),0),"0%")&amp;")","")&amp;CHAR(10)&amp;IF(INDEX('Reguler Class Availability'!$I:$I,AP92)&amp;""="","coach: –",PROPER(INDEX('Reguler Class Availability'!$I:$I,AP92)&amp;""))&amp;IF(INDEX('Reguler Class Availability'!$J:$J,AP92)&amp;""="","",CHAR(10)&amp;"asst: "&amp;PROPER(INDEX('Reguler Class Availability'!$J:$J,AP92)&amp;""))))</f>
        <v>Kosong  0/4  (0%)
coach: –</v>
      </c>
      <c r="E92" s="67" t="str">
        <f aca="false">IF(AQ92="","",IF(AY92="Tidak dibuka","–",IF(INDEX('Reguler Class Availability'!$B:$B,AQ92)&amp;""="","Kosong",PROPER(INDEX('Reguler Class Availability'!$B:$B,AQ92)&amp;""))&amp;"  "&amp;IFERROR(--(INDEX('Reguler Class Availability'!$G:$G,AQ92)&amp;""),0)&amp;"/"&amp;IFERROR(--(INDEX('Reguler Class Availability'!$F:$F,AQ92)&amp;""),0)&amp;IF(IFERROR(--(INDEX('Reguler Class Availability'!$F:$F,AQ92)&amp;""),0)&gt;0,"  ("&amp;TEXT(IFERROR(--(INDEX('Reguler Class Availability'!$G:$G,AQ92)&amp;""),0)/IFERROR(--(INDEX('Reguler Class Availability'!$F:$F,AQ92)&amp;""),0),"0%")&amp;")","")&amp;CHAR(10)&amp;IF(INDEX('Reguler Class Availability'!$I:$I,AQ92)&amp;""="","coach: –",PROPER(INDEX('Reguler Class Availability'!$I:$I,AQ92)&amp;""))&amp;IF(INDEX('Reguler Class Availability'!$J:$J,AQ92)&amp;""="","",CHAR(10)&amp;"asst: "&amp;PROPER(INDEX('Reguler Class Availability'!$J:$J,AQ92)&amp;""))))</f>
        <v>Kosong  0/4  (0%)
coach: –</v>
      </c>
      <c r="F92" s="67" t="str">
        <f aca="false">IF(AR92="","",IF(AZ92="Tidak dibuka","–",IF(INDEX('Reguler Class Availability'!$B:$B,AR92)&amp;""="","Kosong",PROPER(INDEX('Reguler Class Availability'!$B:$B,AR92)&amp;""))&amp;"  "&amp;IFERROR(--(INDEX('Reguler Class Availability'!$G:$G,AR92)&amp;""),0)&amp;"/"&amp;IFERROR(--(INDEX('Reguler Class Availability'!$F:$F,AR92)&amp;""),0)&amp;IF(IFERROR(--(INDEX('Reguler Class Availability'!$F:$F,AR92)&amp;""),0)&gt;0,"  ("&amp;TEXT(IFERROR(--(INDEX('Reguler Class Availability'!$G:$G,AR92)&amp;""),0)/IFERROR(--(INDEX('Reguler Class Availability'!$F:$F,AR92)&amp;""),0),"0%")&amp;")","")&amp;CHAR(10)&amp;IF(INDEX('Reguler Class Availability'!$I:$I,AR92)&amp;""="","coach: –",PROPER(INDEX('Reguler Class Availability'!$I:$I,AR92)&amp;""))&amp;IF(INDEX('Reguler Class Availability'!$J:$J,AR92)&amp;""="","",CHAR(10)&amp;"asst: "&amp;PROPER(INDEX('Reguler Class Availability'!$J:$J,AR92)&amp;""))))</f>
        <v>Kosong  0/4  (0%)
coach: –</v>
      </c>
      <c r="G92" s="67" t="str">
        <f aca="false">IF(AS92="","",IF(BA92="Tidak dibuka","–",IF(INDEX('Reguler Class Availability'!$B:$B,AS92)&amp;""="","Kosong",PROPER(INDEX('Reguler Class Availability'!$B:$B,AS92)&amp;""))&amp;"  "&amp;IFERROR(--(INDEX('Reguler Class Availability'!$G:$G,AS92)&amp;""),0)&amp;"/"&amp;IFERROR(--(INDEX('Reguler Class Availability'!$F:$F,AS92)&amp;""),0)&amp;IF(IFERROR(--(INDEX('Reguler Class Availability'!$F:$F,AS92)&amp;""),0)&gt;0,"  ("&amp;TEXT(IFERROR(--(INDEX('Reguler Class Availability'!$G:$G,AS92)&amp;""),0)/IFERROR(--(INDEX('Reguler Class Availability'!$F:$F,AS92)&amp;""),0),"0%")&amp;")","")&amp;CHAR(10)&amp;IF(INDEX('Reguler Class Availability'!$I:$I,AS92)&amp;""="","coach: –",PROPER(INDEX('Reguler Class Availability'!$I:$I,AS92)&amp;""))&amp;IF(INDEX('Reguler Class Availability'!$J:$J,AS92)&amp;""="","",CHAR(10)&amp;"asst: "&amp;PROPER(INDEX('Reguler Class Availability'!$J:$J,AS92)&amp;""))))</f>
        <v>Kosong  0/4  (0%)
coach: –</v>
      </c>
      <c r="H92" s="67" t="str">
        <f aca="false">IF(AT92="","",IF(BB92="Tidak dibuka","–",IF(INDEX('Reguler Class Availability'!$B:$B,AT92)&amp;""="","Kosong",PROPER(INDEX('Reguler Class Availability'!$B:$B,AT92)&amp;""))&amp;"  "&amp;IFERROR(--(INDEX('Reguler Class Availability'!$G:$G,AT92)&amp;""),0)&amp;"/"&amp;IFERROR(--(INDEX('Reguler Class Availability'!$F:$F,AT92)&amp;""),0)&amp;IF(IFERROR(--(INDEX('Reguler Class Availability'!$F:$F,AT92)&amp;""),0)&gt;0,"  ("&amp;TEXT(IFERROR(--(INDEX('Reguler Class Availability'!$G:$G,AT92)&amp;""),0)/IFERROR(--(INDEX('Reguler Class Availability'!$F:$F,AT92)&amp;""),0),"0%")&amp;")","")&amp;CHAR(10)&amp;IF(INDEX('Reguler Class Availability'!$I:$I,AT92)&amp;""="","coach: –",PROPER(INDEX('Reguler Class Availability'!$I:$I,AT92)&amp;""))&amp;IF(INDEX('Reguler Class Availability'!$J:$J,AT92)&amp;""="","",CHAR(10)&amp;"asst: "&amp;PROPER(INDEX('Reguler Class Availability'!$J:$J,AT92)&amp;""))))</f>
        <v>Kosong  0/4  (0%)
coach: –</v>
      </c>
      <c r="AN92" s="30" t="n">
        <f aca="false">IF($A92="","",IFERROR(MATCH($B$4&amp;"|- Lane 5 - "&amp;B$87&amp;"|"&amp;$A92,'Reguler Class Availability'!$L:$L,0),""))</f>
        <v>2764</v>
      </c>
      <c r="AO92" s="30" t="n">
        <f aca="false">IF($A92="","",IFERROR(MATCH($B$4&amp;"|- Lane 5 - "&amp;C$87&amp;"|"&amp;$A92,'Reguler Class Availability'!$L:$L,0),""))</f>
        <v>2776</v>
      </c>
      <c r="AP92" s="30" t="n">
        <f aca="false">IF($A92="","",IFERROR(MATCH($B$4&amp;"|- Lane 5 - "&amp;D$87&amp;"|"&amp;$A92,'Reguler Class Availability'!$L:$L,0),""))</f>
        <v>2788</v>
      </c>
      <c r="AQ92" s="30" t="n">
        <f aca="false">IF($A92="","",IFERROR(MATCH($B$4&amp;"|- Lane 5 - "&amp;E$87&amp;"|"&amp;$A92,'Reguler Class Availability'!$L:$L,0),""))</f>
        <v>2800</v>
      </c>
      <c r="AR92" s="30" t="n">
        <f aca="false">IF($A92="","",IFERROR(MATCH($B$4&amp;"|- Lane 5 - "&amp;F$87&amp;"|"&amp;$A92,'Reguler Class Availability'!$L:$L,0),""))</f>
        <v>2812</v>
      </c>
      <c r="AS92" s="30" t="n">
        <f aca="false">IF($A92="","",IFERROR(MATCH($B$4&amp;"|- Lane 5 - "&amp;G$87&amp;"|"&amp;$A92,'Reguler Class Availability'!$L:$L,0),""))</f>
        <v>2824</v>
      </c>
      <c r="AT92" s="30" t="n">
        <f aca="false">IF($A92="","",IFERROR(MATCH($B$4&amp;"|- Lane 5 - "&amp;H$87&amp;"|"&amp;$A92,'Reguler Class Availability'!$L:$L,0),""))</f>
        <v>2836</v>
      </c>
      <c r="AV92" s="0" t="str">
        <f aca="false">IF(AN92="","",IF(AND(IFERROR(--(INDEX('Reguler Class Availability'!$F:$F,AN92)&amp;""),0)=0,IFERROR(--(INDEX('Reguler Class Availability'!$G:$G,AN92)&amp;""),0)=0),IF(OR(INDEX('Reguler Class Availability'!$B:$B,AN92)&amp;""&lt;&gt;"",INDEX('Reguler Class Availability'!$I:$I,AN92)&amp;""&lt;&gt;""),"Tutup","Tidak dibuka"),IF(IFERROR(--(INDEX('Reguler Class Availability'!$G:$G,AN92)&amp;""),0)&gt;IFERROR(--(INDEX('Reguler Class Availability'!$F:$F,AN92)&amp;""),0),"Lebih",IF(IFERROR(--(INDEX('Reguler Class Availability'!$G:$G,AN92)&amp;""),0)=IFERROR(--(INDEX('Reguler Class Availability'!$F:$F,AN92)&amp;""),0),"Penuh",IF(IFERROR(--(INDEX('Reguler Class Availability'!$G:$G,AN92)&amp;""),0)=0,IF(INDEX('Reguler Class Availability'!$B:$B,AN92)&amp;""="","Kosong","Belum terisi"),IF(IFERROR(--(INDEX('Reguler Class Availability'!$G:$G,AN92)&amp;""),0)/IFERROR(--(INDEX('Reguler Class Availability'!$F:$F,AN92)&amp;""),0)&gt;=0.6,"Tinggi","Sebagian"))))))</f>
        <v>Kosong</v>
      </c>
      <c r="AW92" s="0" t="str">
        <f aca="false">IF(AO92="","",IF(AND(IFERROR(--(INDEX('Reguler Class Availability'!$F:$F,AO92)&amp;""),0)=0,IFERROR(--(INDEX('Reguler Class Availability'!$G:$G,AO92)&amp;""),0)=0),IF(OR(INDEX('Reguler Class Availability'!$B:$B,AO92)&amp;""&lt;&gt;"",INDEX('Reguler Class Availability'!$I:$I,AO92)&amp;""&lt;&gt;""),"Tutup","Tidak dibuka"),IF(IFERROR(--(INDEX('Reguler Class Availability'!$G:$G,AO92)&amp;""),0)&gt;IFERROR(--(INDEX('Reguler Class Availability'!$F:$F,AO92)&amp;""),0),"Lebih",IF(IFERROR(--(INDEX('Reguler Class Availability'!$G:$G,AO92)&amp;""),0)=IFERROR(--(INDEX('Reguler Class Availability'!$F:$F,AO92)&amp;""),0),"Penuh",IF(IFERROR(--(INDEX('Reguler Class Availability'!$G:$G,AO92)&amp;""),0)=0,IF(INDEX('Reguler Class Availability'!$B:$B,AO92)&amp;""="","Kosong","Belum terisi"),IF(IFERROR(--(INDEX('Reguler Class Availability'!$G:$G,AO92)&amp;""),0)/IFERROR(--(INDEX('Reguler Class Availability'!$F:$F,AO92)&amp;""),0)&gt;=0.6,"Tinggi","Sebagian"))))))</f>
        <v>Kosong</v>
      </c>
      <c r="AX92" s="0" t="str">
        <f aca="false">IF(AP92="","",IF(AND(IFERROR(--(INDEX('Reguler Class Availability'!$F:$F,AP92)&amp;""),0)=0,IFERROR(--(INDEX('Reguler Class Availability'!$G:$G,AP92)&amp;""),0)=0),IF(OR(INDEX('Reguler Class Availability'!$B:$B,AP92)&amp;""&lt;&gt;"",INDEX('Reguler Class Availability'!$I:$I,AP92)&amp;""&lt;&gt;""),"Tutup","Tidak dibuka"),IF(IFERROR(--(INDEX('Reguler Class Availability'!$G:$G,AP92)&amp;""),0)&gt;IFERROR(--(INDEX('Reguler Class Availability'!$F:$F,AP92)&amp;""),0),"Lebih",IF(IFERROR(--(INDEX('Reguler Class Availability'!$G:$G,AP92)&amp;""),0)=IFERROR(--(INDEX('Reguler Class Availability'!$F:$F,AP92)&amp;""),0),"Penuh",IF(IFERROR(--(INDEX('Reguler Class Availability'!$G:$G,AP92)&amp;""),0)=0,IF(INDEX('Reguler Class Availability'!$B:$B,AP92)&amp;""="","Kosong","Belum terisi"),IF(IFERROR(--(INDEX('Reguler Class Availability'!$G:$G,AP92)&amp;""),0)/IFERROR(--(INDEX('Reguler Class Availability'!$F:$F,AP92)&amp;""),0)&gt;=0.6,"Tinggi","Sebagian"))))))</f>
        <v>Kosong</v>
      </c>
      <c r="AY92" s="0" t="str">
        <f aca="false">IF(AQ92="","",IF(AND(IFERROR(--(INDEX('Reguler Class Availability'!$F:$F,AQ92)&amp;""),0)=0,IFERROR(--(INDEX('Reguler Class Availability'!$G:$G,AQ92)&amp;""),0)=0),IF(OR(INDEX('Reguler Class Availability'!$B:$B,AQ92)&amp;""&lt;&gt;"",INDEX('Reguler Class Availability'!$I:$I,AQ92)&amp;""&lt;&gt;""),"Tutup","Tidak dibuka"),IF(IFERROR(--(INDEX('Reguler Class Availability'!$G:$G,AQ92)&amp;""),0)&gt;IFERROR(--(INDEX('Reguler Class Availability'!$F:$F,AQ92)&amp;""),0),"Lebih",IF(IFERROR(--(INDEX('Reguler Class Availability'!$G:$G,AQ92)&amp;""),0)=IFERROR(--(INDEX('Reguler Class Availability'!$F:$F,AQ92)&amp;""),0),"Penuh",IF(IFERROR(--(INDEX('Reguler Class Availability'!$G:$G,AQ92)&amp;""),0)=0,IF(INDEX('Reguler Class Availability'!$B:$B,AQ92)&amp;""="","Kosong","Belum terisi"),IF(IFERROR(--(INDEX('Reguler Class Availability'!$G:$G,AQ92)&amp;""),0)/IFERROR(--(INDEX('Reguler Class Availability'!$F:$F,AQ92)&amp;""),0)&gt;=0.6,"Tinggi","Sebagian"))))))</f>
        <v>Kosong</v>
      </c>
      <c r="AZ92" s="0" t="str">
        <f aca="false">IF(AR92="","",IF(AND(IFERROR(--(INDEX('Reguler Class Availability'!$F:$F,AR92)&amp;""),0)=0,IFERROR(--(INDEX('Reguler Class Availability'!$G:$G,AR92)&amp;""),0)=0),IF(OR(INDEX('Reguler Class Availability'!$B:$B,AR92)&amp;""&lt;&gt;"",INDEX('Reguler Class Availability'!$I:$I,AR92)&amp;""&lt;&gt;""),"Tutup","Tidak dibuka"),IF(IFERROR(--(INDEX('Reguler Class Availability'!$G:$G,AR92)&amp;""),0)&gt;IFERROR(--(INDEX('Reguler Class Availability'!$F:$F,AR92)&amp;""),0),"Lebih",IF(IFERROR(--(INDEX('Reguler Class Availability'!$G:$G,AR92)&amp;""),0)=IFERROR(--(INDEX('Reguler Class Availability'!$F:$F,AR92)&amp;""),0),"Penuh",IF(IFERROR(--(INDEX('Reguler Class Availability'!$G:$G,AR92)&amp;""),0)=0,IF(INDEX('Reguler Class Availability'!$B:$B,AR92)&amp;""="","Kosong","Belum terisi"),IF(IFERROR(--(INDEX('Reguler Class Availability'!$G:$G,AR92)&amp;""),0)/IFERROR(--(INDEX('Reguler Class Availability'!$F:$F,AR92)&amp;""),0)&gt;=0.6,"Tinggi","Sebagian"))))))</f>
        <v>Kosong</v>
      </c>
      <c r="BA92" s="0" t="str">
        <f aca="false">IF(AS92="","",IF(AND(IFERROR(--(INDEX('Reguler Class Availability'!$F:$F,AS92)&amp;""),0)=0,IFERROR(--(INDEX('Reguler Class Availability'!$G:$G,AS92)&amp;""),0)=0),IF(OR(INDEX('Reguler Class Availability'!$B:$B,AS92)&amp;""&lt;&gt;"",INDEX('Reguler Class Availability'!$I:$I,AS92)&amp;""&lt;&gt;""),"Tutup","Tidak dibuka"),IF(IFERROR(--(INDEX('Reguler Class Availability'!$G:$G,AS92)&amp;""),0)&gt;IFERROR(--(INDEX('Reguler Class Availability'!$F:$F,AS92)&amp;""),0),"Lebih",IF(IFERROR(--(INDEX('Reguler Class Availability'!$G:$G,AS92)&amp;""),0)=IFERROR(--(INDEX('Reguler Class Availability'!$F:$F,AS92)&amp;""),0),"Penuh",IF(IFERROR(--(INDEX('Reguler Class Availability'!$G:$G,AS92)&amp;""),0)=0,IF(INDEX('Reguler Class Availability'!$B:$B,AS92)&amp;""="","Kosong","Belum terisi"),IF(IFERROR(--(INDEX('Reguler Class Availability'!$G:$G,AS92)&amp;""),0)/IFERROR(--(INDEX('Reguler Class Availability'!$F:$F,AS92)&amp;""),0)&gt;=0.6,"Tinggi","Sebagian"))))))</f>
        <v>Kosong</v>
      </c>
      <c r="BB92" s="0" t="str">
        <f aca="false">IF(AT92="","",IF(AND(IFERROR(--(INDEX('Reguler Class Availability'!$F:$F,AT92)&amp;""),0)=0,IFERROR(--(INDEX('Reguler Class Availability'!$G:$G,AT92)&amp;""),0)=0),IF(OR(INDEX('Reguler Class Availability'!$B:$B,AT92)&amp;""&lt;&gt;"",INDEX('Reguler Class Availability'!$I:$I,AT92)&amp;""&lt;&gt;""),"Tutup","Tidak dibuka"),IF(IFERROR(--(INDEX('Reguler Class Availability'!$G:$G,AT92)&amp;""),0)&gt;IFERROR(--(INDEX('Reguler Class Availability'!$F:$F,AT92)&amp;""),0),"Lebih",IF(IFERROR(--(INDEX('Reguler Class Availability'!$G:$G,AT92)&amp;""),0)=IFERROR(--(INDEX('Reguler Class Availability'!$F:$F,AT92)&amp;""),0),"Penuh",IF(IFERROR(--(INDEX('Reguler Class Availability'!$G:$G,AT92)&amp;""),0)=0,IF(INDEX('Reguler Class Availability'!$B:$B,AT92)&amp;""="","Kosong","Belum terisi"),IF(IFERROR(--(INDEX('Reguler Class Availability'!$G:$G,AT92)&amp;""),0)/IFERROR(--(INDEX('Reguler Class Availability'!$F:$F,AT92)&amp;""),0)&gt;=0.6,"Tinggi","Sebagian"))))))</f>
        <v>Kosong</v>
      </c>
      <c r="BD92" s="30" t="s">
        <v>141</v>
      </c>
      <c r="BE92" s="30" t="n">
        <f aca="false">IF(COUNTIFS('Reguler Class Availability'!$L:$L,$B$4&amp;"|- Lane 2 - *|"&amp;BD92)&gt;0,1,0)</f>
        <v>0</v>
      </c>
      <c r="BF92" s="30" t="n">
        <f aca="false">BE92+BF91</f>
        <v>7</v>
      </c>
    </row>
    <row r="93" customFormat="false" ht="39.75" hidden="false" customHeight="true" outlineLevel="0" collapsed="false">
      <c r="A93" s="66" t="str">
        <f aca="false">IFERROR(INDEX($BD$242:$BD$301,MATCH(6,$BF$242:$BF$301,0)),"")</f>
        <v>11:45</v>
      </c>
      <c r="B93" s="67" t="str">
        <f aca="false">IF(AN93="","",IF(AV93="Tidak dibuka","–",IF(INDEX('Reguler Class Availability'!$B:$B,AN93)&amp;""="","Kosong",PROPER(INDEX('Reguler Class Availability'!$B:$B,AN93)&amp;""))&amp;"  "&amp;IFERROR(--(INDEX('Reguler Class Availability'!$G:$G,AN93)&amp;""),0)&amp;"/"&amp;IFERROR(--(INDEX('Reguler Class Availability'!$F:$F,AN93)&amp;""),0)&amp;IF(IFERROR(--(INDEX('Reguler Class Availability'!$F:$F,AN93)&amp;""),0)&gt;0,"  ("&amp;TEXT(IFERROR(--(INDEX('Reguler Class Availability'!$G:$G,AN93)&amp;""),0)/IFERROR(--(INDEX('Reguler Class Availability'!$F:$F,AN93)&amp;""),0),"0%")&amp;")","")&amp;CHAR(10)&amp;IF(INDEX('Reguler Class Availability'!$I:$I,AN93)&amp;""="","coach: –",PROPER(INDEX('Reguler Class Availability'!$I:$I,AN93)&amp;""))&amp;IF(INDEX('Reguler Class Availability'!$J:$J,AN93)&amp;""="","",CHAR(10)&amp;"asst: "&amp;PROPER(INDEX('Reguler Class Availability'!$J:$J,AN93)&amp;""))))</f>
        <v>Kosong  0/4  (0%)
coach: –</v>
      </c>
      <c r="C93" s="67" t="str">
        <f aca="false">IF(AO93="","",IF(AW93="Tidak dibuka","–",IF(INDEX('Reguler Class Availability'!$B:$B,AO93)&amp;""="","Kosong",PROPER(INDEX('Reguler Class Availability'!$B:$B,AO93)&amp;""))&amp;"  "&amp;IFERROR(--(INDEX('Reguler Class Availability'!$G:$G,AO93)&amp;""),0)&amp;"/"&amp;IFERROR(--(INDEX('Reguler Class Availability'!$F:$F,AO93)&amp;""),0)&amp;IF(IFERROR(--(INDEX('Reguler Class Availability'!$F:$F,AO93)&amp;""),0)&gt;0,"  ("&amp;TEXT(IFERROR(--(INDEX('Reguler Class Availability'!$G:$G,AO93)&amp;""),0)/IFERROR(--(INDEX('Reguler Class Availability'!$F:$F,AO93)&amp;""),0),"0%")&amp;")","")&amp;CHAR(10)&amp;IF(INDEX('Reguler Class Availability'!$I:$I,AO93)&amp;""="","coach: –",PROPER(INDEX('Reguler Class Availability'!$I:$I,AO93)&amp;""))&amp;IF(INDEX('Reguler Class Availability'!$J:$J,AO93)&amp;""="","",CHAR(10)&amp;"asst: "&amp;PROPER(INDEX('Reguler Class Availability'!$J:$J,AO93)&amp;""))))</f>
        <v>Kosong  0/4  (0%)
coach: –</v>
      </c>
      <c r="D93" s="67" t="str">
        <f aca="false">IF(AP93="","",IF(AX93="Tidak dibuka","–",IF(INDEX('Reguler Class Availability'!$B:$B,AP93)&amp;""="","Kosong",PROPER(INDEX('Reguler Class Availability'!$B:$B,AP93)&amp;""))&amp;"  "&amp;IFERROR(--(INDEX('Reguler Class Availability'!$G:$G,AP93)&amp;""),0)&amp;"/"&amp;IFERROR(--(INDEX('Reguler Class Availability'!$F:$F,AP93)&amp;""),0)&amp;IF(IFERROR(--(INDEX('Reguler Class Availability'!$F:$F,AP93)&amp;""),0)&gt;0,"  ("&amp;TEXT(IFERROR(--(INDEX('Reguler Class Availability'!$G:$G,AP93)&amp;""),0)/IFERROR(--(INDEX('Reguler Class Availability'!$F:$F,AP93)&amp;""),0),"0%")&amp;")","")&amp;CHAR(10)&amp;IF(INDEX('Reguler Class Availability'!$I:$I,AP93)&amp;""="","coach: –",PROPER(INDEX('Reguler Class Availability'!$I:$I,AP93)&amp;""))&amp;IF(INDEX('Reguler Class Availability'!$J:$J,AP93)&amp;""="","",CHAR(10)&amp;"asst: "&amp;PROPER(INDEX('Reguler Class Availability'!$J:$J,AP93)&amp;""))))</f>
        <v>Kosong  0/4  (0%)
coach: –</v>
      </c>
      <c r="E93" s="67" t="str">
        <f aca="false">IF(AQ93="","",IF(AY93="Tidak dibuka","–",IF(INDEX('Reguler Class Availability'!$B:$B,AQ93)&amp;""="","Kosong",PROPER(INDEX('Reguler Class Availability'!$B:$B,AQ93)&amp;""))&amp;"  "&amp;IFERROR(--(INDEX('Reguler Class Availability'!$G:$G,AQ93)&amp;""),0)&amp;"/"&amp;IFERROR(--(INDEX('Reguler Class Availability'!$F:$F,AQ93)&amp;""),0)&amp;IF(IFERROR(--(INDEX('Reguler Class Availability'!$F:$F,AQ93)&amp;""),0)&gt;0,"  ("&amp;TEXT(IFERROR(--(INDEX('Reguler Class Availability'!$G:$G,AQ93)&amp;""),0)/IFERROR(--(INDEX('Reguler Class Availability'!$F:$F,AQ93)&amp;""),0),"0%")&amp;")","")&amp;CHAR(10)&amp;IF(INDEX('Reguler Class Availability'!$I:$I,AQ93)&amp;""="","coach: –",PROPER(INDEX('Reguler Class Availability'!$I:$I,AQ93)&amp;""))&amp;IF(INDEX('Reguler Class Availability'!$J:$J,AQ93)&amp;""="","",CHAR(10)&amp;"asst: "&amp;PROPER(INDEX('Reguler Class Availability'!$J:$J,AQ93)&amp;""))))</f>
        <v>Kosong  0/4  (0%)
coach: –</v>
      </c>
      <c r="F93" s="67" t="str">
        <f aca="false">IF(AR93="","",IF(AZ93="Tidak dibuka","–",IF(INDEX('Reguler Class Availability'!$B:$B,AR93)&amp;""="","Kosong",PROPER(INDEX('Reguler Class Availability'!$B:$B,AR93)&amp;""))&amp;"  "&amp;IFERROR(--(INDEX('Reguler Class Availability'!$G:$G,AR93)&amp;""),0)&amp;"/"&amp;IFERROR(--(INDEX('Reguler Class Availability'!$F:$F,AR93)&amp;""),0)&amp;IF(IFERROR(--(INDEX('Reguler Class Availability'!$F:$F,AR93)&amp;""),0)&gt;0,"  ("&amp;TEXT(IFERROR(--(INDEX('Reguler Class Availability'!$G:$G,AR93)&amp;""),0)/IFERROR(--(INDEX('Reguler Class Availability'!$F:$F,AR93)&amp;""),0),"0%")&amp;")","")&amp;CHAR(10)&amp;IF(INDEX('Reguler Class Availability'!$I:$I,AR93)&amp;""="","coach: –",PROPER(INDEX('Reguler Class Availability'!$I:$I,AR93)&amp;""))&amp;IF(INDEX('Reguler Class Availability'!$J:$J,AR93)&amp;""="","",CHAR(10)&amp;"asst: "&amp;PROPER(INDEX('Reguler Class Availability'!$J:$J,AR93)&amp;""))))</f>
        <v>Kosong  0/4  (0%)
coach: –</v>
      </c>
      <c r="G93" s="67" t="str">
        <f aca="false">IF(AS93="","",IF(BA93="Tidak dibuka","–",IF(INDEX('Reguler Class Availability'!$B:$B,AS93)&amp;""="","Kosong",PROPER(INDEX('Reguler Class Availability'!$B:$B,AS93)&amp;""))&amp;"  "&amp;IFERROR(--(INDEX('Reguler Class Availability'!$G:$G,AS93)&amp;""),0)&amp;"/"&amp;IFERROR(--(INDEX('Reguler Class Availability'!$F:$F,AS93)&amp;""),0)&amp;IF(IFERROR(--(INDEX('Reguler Class Availability'!$F:$F,AS93)&amp;""),0)&gt;0,"  ("&amp;TEXT(IFERROR(--(INDEX('Reguler Class Availability'!$G:$G,AS93)&amp;""),0)/IFERROR(--(INDEX('Reguler Class Availability'!$F:$F,AS93)&amp;""),0),"0%")&amp;")","")&amp;CHAR(10)&amp;IF(INDEX('Reguler Class Availability'!$I:$I,AS93)&amp;""="","coach: –",PROPER(INDEX('Reguler Class Availability'!$I:$I,AS93)&amp;""))&amp;IF(INDEX('Reguler Class Availability'!$J:$J,AS93)&amp;""="","",CHAR(10)&amp;"asst: "&amp;PROPER(INDEX('Reguler Class Availability'!$J:$J,AS93)&amp;""))))</f>
        <v>Kosong  0/4  (0%)
coach: –</v>
      </c>
      <c r="H93" s="67" t="str">
        <f aca="false">IF(AT93="","",IF(BB93="Tidak dibuka","–",IF(INDEX('Reguler Class Availability'!$B:$B,AT93)&amp;""="","Kosong",PROPER(INDEX('Reguler Class Availability'!$B:$B,AT93)&amp;""))&amp;"  "&amp;IFERROR(--(INDEX('Reguler Class Availability'!$G:$G,AT93)&amp;""),0)&amp;"/"&amp;IFERROR(--(INDEX('Reguler Class Availability'!$F:$F,AT93)&amp;""),0)&amp;IF(IFERROR(--(INDEX('Reguler Class Availability'!$F:$F,AT93)&amp;""),0)&gt;0,"  ("&amp;TEXT(IFERROR(--(INDEX('Reguler Class Availability'!$G:$G,AT93)&amp;""),0)/IFERROR(--(INDEX('Reguler Class Availability'!$F:$F,AT93)&amp;""),0),"0%")&amp;")","")&amp;CHAR(10)&amp;IF(INDEX('Reguler Class Availability'!$I:$I,AT93)&amp;""="","coach: –",PROPER(INDEX('Reguler Class Availability'!$I:$I,AT93)&amp;""))&amp;IF(INDEX('Reguler Class Availability'!$J:$J,AT93)&amp;""="","",CHAR(10)&amp;"asst: "&amp;PROPER(INDEX('Reguler Class Availability'!$J:$J,AT93)&amp;""))))</f>
        <v>Kosong  0/4  (0%)
coach: –</v>
      </c>
      <c r="AN93" s="30" t="n">
        <f aca="false">IF($A93="","",IFERROR(MATCH($B$4&amp;"|- Lane 5 - "&amp;B$87&amp;"|"&amp;$A93,'Reguler Class Availability'!$L:$L,0),""))</f>
        <v>2765</v>
      </c>
      <c r="AO93" s="30" t="n">
        <f aca="false">IF($A93="","",IFERROR(MATCH($B$4&amp;"|- Lane 5 - "&amp;C$87&amp;"|"&amp;$A93,'Reguler Class Availability'!$L:$L,0),""))</f>
        <v>2777</v>
      </c>
      <c r="AP93" s="30" t="n">
        <f aca="false">IF($A93="","",IFERROR(MATCH($B$4&amp;"|- Lane 5 - "&amp;D$87&amp;"|"&amp;$A93,'Reguler Class Availability'!$L:$L,0),""))</f>
        <v>2789</v>
      </c>
      <c r="AQ93" s="30" t="n">
        <f aca="false">IF($A93="","",IFERROR(MATCH($B$4&amp;"|- Lane 5 - "&amp;E$87&amp;"|"&amp;$A93,'Reguler Class Availability'!$L:$L,0),""))</f>
        <v>2801</v>
      </c>
      <c r="AR93" s="30" t="n">
        <f aca="false">IF($A93="","",IFERROR(MATCH($B$4&amp;"|- Lane 5 - "&amp;F$87&amp;"|"&amp;$A93,'Reguler Class Availability'!$L:$L,0),""))</f>
        <v>2813</v>
      </c>
      <c r="AS93" s="30" t="n">
        <f aca="false">IF($A93="","",IFERROR(MATCH($B$4&amp;"|- Lane 5 - "&amp;G$87&amp;"|"&amp;$A93,'Reguler Class Availability'!$L:$L,0),""))</f>
        <v>2825</v>
      </c>
      <c r="AT93" s="30" t="n">
        <f aca="false">IF($A93="","",IFERROR(MATCH($B$4&amp;"|- Lane 5 - "&amp;H$87&amp;"|"&amp;$A93,'Reguler Class Availability'!$L:$L,0),""))</f>
        <v>2837</v>
      </c>
      <c r="AV93" s="0" t="str">
        <f aca="false">IF(AN93="","",IF(AND(IFERROR(--(INDEX('Reguler Class Availability'!$F:$F,AN93)&amp;""),0)=0,IFERROR(--(INDEX('Reguler Class Availability'!$G:$G,AN93)&amp;""),0)=0),IF(OR(INDEX('Reguler Class Availability'!$B:$B,AN93)&amp;""&lt;&gt;"",INDEX('Reguler Class Availability'!$I:$I,AN93)&amp;""&lt;&gt;""),"Tutup","Tidak dibuka"),IF(IFERROR(--(INDEX('Reguler Class Availability'!$G:$G,AN93)&amp;""),0)&gt;IFERROR(--(INDEX('Reguler Class Availability'!$F:$F,AN93)&amp;""),0),"Lebih",IF(IFERROR(--(INDEX('Reguler Class Availability'!$G:$G,AN93)&amp;""),0)=IFERROR(--(INDEX('Reguler Class Availability'!$F:$F,AN93)&amp;""),0),"Penuh",IF(IFERROR(--(INDEX('Reguler Class Availability'!$G:$G,AN93)&amp;""),0)=0,IF(INDEX('Reguler Class Availability'!$B:$B,AN93)&amp;""="","Kosong","Belum terisi"),IF(IFERROR(--(INDEX('Reguler Class Availability'!$G:$G,AN93)&amp;""),0)/IFERROR(--(INDEX('Reguler Class Availability'!$F:$F,AN93)&amp;""),0)&gt;=0.6,"Tinggi","Sebagian"))))))</f>
        <v>Kosong</v>
      </c>
      <c r="AW93" s="0" t="str">
        <f aca="false">IF(AO93="","",IF(AND(IFERROR(--(INDEX('Reguler Class Availability'!$F:$F,AO93)&amp;""),0)=0,IFERROR(--(INDEX('Reguler Class Availability'!$G:$G,AO93)&amp;""),0)=0),IF(OR(INDEX('Reguler Class Availability'!$B:$B,AO93)&amp;""&lt;&gt;"",INDEX('Reguler Class Availability'!$I:$I,AO93)&amp;""&lt;&gt;""),"Tutup","Tidak dibuka"),IF(IFERROR(--(INDEX('Reguler Class Availability'!$G:$G,AO93)&amp;""),0)&gt;IFERROR(--(INDEX('Reguler Class Availability'!$F:$F,AO93)&amp;""),0),"Lebih",IF(IFERROR(--(INDEX('Reguler Class Availability'!$G:$G,AO93)&amp;""),0)=IFERROR(--(INDEX('Reguler Class Availability'!$F:$F,AO93)&amp;""),0),"Penuh",IF(IFERROR(--(INDEX('Reguler Class Availability'!$G:$G,AO93)&amp;""),0)=0,IF(INDEX('Reguler Class Availability'!$B:$B,AO93)&amp;""="","Kosong","Belum terisi"),IF(IFERROR(--(INDEX('Reguler Class Availability'!$G:$G,AO93)&amp;""),0)/IFERROR(--(INDEX('Reguler Class Availability'!$F:$F,AO93)&amp;""),0)&gt;=0.6,"Tinggi","Sebagian"))))))</f>
        <v>Kosong</v>
      </c>
      <c r="AX93" s="0" t="str">
        <f aca="false">IF(AP93="","",IF(AND(IFERROR(--(INDEX('Reguler Class Availability'!$F:$F,AP93)&amp;""),0)=0,IFERROR(--(INDEX('Reguler Class Availability'!$G:$G,AP93)&amp;""),0)=0),IF(OR(INDEX('Reguler Class Availability'!$B:$B,AP93)&amp;""&lt;&gt;"",INDEX('Reguler Class Availability'!$I:$I,AP93)&amp;""&lt;&gt;""),"Tutup","Tidak dibuka"),IF(IFERROR(--(INDEX('Reguler Class Availability'!$G:$G,AP93)&amp;""),0)&gt;IFERROR(--(INDEX('Reguler Class Availability'!$F:$F,AP93)&amp;""),0),"Lebih",IF(IFERROR(--(INDEX('Reguler Class Availability'!$G:$G,AP93)&amp;""),0)=IFERROR(--(INDEX('Reguler Class Availability'!$F:$F,AP93)&amp;""),0),"Penuh",IF(IFERROR(--(INDEX('Reguler Class Availability'!$G:$G,AP93)&amp;""),0)=0,IF(INDEX('Reguler Class Availability'!$B:$B,AP93)&amp;""="","Kosong","Belum terisi"),IF(IFERROR(--(INDEX('Reguler Class Availability'!$G:$G,AP93)&amp;""),0)/IFERROR(--(INDEX('Reguler Class Availability'!$F:$F,AP93)&amp;""),0)&gt;=0.6,"Tinggi","Sebagian"))))))</f>
        <v>Kosong</v>
      </c>
      <c r="AY93" s="0" t="str">
        <f aca="false">IF(AQ93="","",IF(AND(IFERROR(--(INDEX('Reguler Class Availability'!$F:$F,AQ93)&amp;""),0)=0,IFERROR(--(INDEX('Reguler Class Availability'!$G:$G,AQ93)&amp;""),0)=0),IF(OR(INDEX('Reguler Class Availability'!$B:$B,AQ93)&amp;""&lt;&gt;"",INDEX('Reguler Class Availability'!$I:$I,AQ93)&amp;""&lt;&gt;""),"Tutup","Tidak dibuka"),IF(IFERROR(--(INDEX('Reguler Class Availability'!$G:$G,AQ93)&amp;""),0)&gt;IFERROR(--(INDEX('Reguler Class Availability'!$F:$F,AQ93)&amp;""),0),"Lebih",IF(IFERROR(--(INDEX('Reguler Class Availability'!$G:$G,AQ93)&amp;""),0)=IFERROR(--(INDEX('Reguler Class Availability'!$F:$F,AQ93)&amp;""),0),"Penuh",IF(IFERROR(--(INDEX('Reguler Class Availability'!$G:$G,AQ93)&amp;""),0)=0,IF(INDEX('Reguler Class Availability'!$B:$B,AQ93)&amp;""="","Kosong","Belum terisi"),IF(IFERROR(--(INDEX('Reguler Class Availability'!$G:$G,AQ93)&amp;""),0)/IFERROR(--(INDEX('Reguler Class Availability'!$F:$F,AQ93)&amp;""),0)&gt;=0.6,"Tinggi","Sebagian"))))))</f>
        <v>Kosong</v>
      </c>
      <c r="AZ93" s="0" t="str">
        <f aca="false">IF(AR93="","",IF(AND(IFERROR(--(INDEX('Reguler Class Availability'!$F:$F,AR93)&amp;""),0)=0,IFERROR(--(INDEX('Reguler Class Availability'!$G:$G,AR93)&amp;""),0)=0),IF(OR(INDEX('Reguler Class Availability'!$B:$B,AR93)&amp;""&lt;&gt;"",INDEX('Reguler Class Availability'!$I:$I,AR93)&amp;""&lt;&gt;""),"Tutup","Tidak dibuka"),IF(IFERROR(--(INDEX('Reguler Class Availability'!$G:$G,AR93)&amp;""),0)&gt;IFERROR(--(INDEX('Reguler Class Availability'!$F:$F,AR93)&amp;""),0),"Lebih",IF(IFERROR(--(INDEX('Reguler Class Availability'!$G:$G,AR93)&amp;""),0)=IFERROR(--(INDEX('Reguler Class Availability'!$F:$F,AR93)&amp;""),0),"Penuh",IF(IFERROR(--(INDEX('Reguler Class Availability'!$G:$G,AR93)&amp;""),0)=0,IF(INDEX('Reguler Class Availability'!$B:$B,AR93)&amp;""="","Kosong","Belum terisi"),IF(IFERROR(--(INDEX('Reguler Class Availability'!$G:$G,AR93)&amp;""),0)/IFERROR(--(INDEX('Reguler Class Availability'!$F:$F,AR93)&amp;""),0)&gt;=0.6,"Tinggi","Sebagian"))))))</f>
        <v>Kosong</v>
      </c>
      <c r="BA93" s="0" t="str">
        <f aca="false">IF(AS93="","",IF(AND(IFERROR(--(INDEX('Reguler Class Availability'!$F:$F,AS93)&amp;""),0)=0,IFERROR(--(INDEX('Reguler Class Availability'!$G:$G,AS93)&amp;""),0)=0),IF(OR(INDEX('Reguler Class Availability'!$B:$B,AS93)&amp;""&lt;&gt;"",INDEX('Reguler Class Availability'!$I:$I,AS93)&amp;""&lt;&gt;""),"Tutup","Tidak dibuka"),IF(IFERROR(--(INDEX('Reguler Class Availability'!$G:$G,AS93)&amp;""),0)&gt;IFERROR(--(INDEX('Reguler Class Availability'!$F:$F,AS93)&amp;""),0),"Lebih",IF(IFERROR(--(INDEX('Reguler Class Availability'!$G:$G,AS93)&amp;""),0)=IFERROR(--(INDEX('Reguler Class Availability'!$F:$F,AS93)&amp;""),0),"Penuh",IF(IFERROR(--(INDEX('Reguler Class Availability'!$G:$G,AS93)&amp;""),0)=0,IF(INDEX('Reguler Class Availability'!$B:$B,AS93)&amp;""="","Kosong","Belum terisi"),IF(IFERROR(--(INDEX('Reguler Class Availability'!$G:$G,AS93)&amp;""),0)/IFERROR(--(INDEX('Reguler Class Availability'!$F:$F,AS93)&amp;""),0)&gt;=0.6,"Tinggi","Sebagian"))))))</f>
        <v>Kosong</v>
      </c>
      <c r="BB93" s="0" t="str">
        <f aca="false">IF(AT93="","",IF(AND(IFERROR(--(INDEX('Reguler Class Availability'!$F:$F,AT93)&amp;""),0)=0,IFERROR(--(INDEX('Reguler Class Availability'!$G:$G,AT93)&amp;""),0)=0),IF(OR(INDEX('Reguler Class Availability'!$B:$B,AT93)&amp;""&lt;&gt;"",INDEX('Reguler Class Availability'!$I:$I,AT93)&amp;""&lt;&gt;""),"Tutup","Tidak dibuka"),IF(IFERROR(--(INDEX('Reguler Class Availability'!$G:$G,AT93)&amp;""),0)&gt;IFERROR(--(INDEX('Reguler Class Availability'!$F:$F,AT93)&amp;""),0),"Lebih",IF(IFERROR(--(INDEX('Reguler Class Availability'!$G:$G,AT93)&amp;""),0)=IFERROR(--(INDEX('Reguler Class Availability'!$F:$F,AT93)&amp;""),0),"Penuh",IF(IFERROR(--(INDEX('Reguler Class Availability'!$G:$G,AT93)&amp;""),0)=0,IF(INDEX('Reguler Class Availability'!$B:$B,AT93)&amp;""="","Kosong","Belum terisi"),IF(IFERROR(--(INDEX('Reguler Class Availability'!$G:$G,AT93)&amp;""),0)/IFERROR(--(INDEX('Reguler Class Availability'!$F:$F,AT93)&amp;""),0)&gt;=0.6,"Tinggi","Sebagian"))))))</f>
        <v>Kosong</v>
      </c>
      <c r="BD93" s="30" t="s">
        <v>142</v>
      </c>
      <c r="BE93" s="30" t="n">
        <f aca="false">IF(COUNTIFS('Reguler Class Availability'!$L:$L,$B$4&amp;"|- Lane 2 - *|"&amp;BD93)&gt;0,1,0)</f>
        <v>0</v>
      </c>
      <c r="BF93" s="30" t="n">
        <f aca="false">BE93+BF92</f>
        <v>7</v>
      </c>
    </row>
    <row r="94" customFormat="false" ht="39.75" hidden="false" customHeight="true" outlineLevel="0" collapsed="false">
      <c r="A94" s="66" t="str">
        <f aca="false">IFERROR(INDEX($BD$242:$BD$301,MATCH(7,$BF$242:$BF$301,0)),"")</f>
        <v>13:15</v>
      </c>
      <c r="B94" s="67" t="str">
        <f aca="false">IF(AN94="","",IF(AV94="Tidak dibuka","–",IF(INDEX('Reguler Class Availability'!$B:$B,AN94)&amp;""="","Kosong",PROPER(INDEX('Reguler Class Availability'!$B:$B,AN94)&amp;""))&amp;"  "&amp;IFERROR(--(INDEX('Reguler Class Availability'!$G:$G,AN94)&amp;""),0)&amp;"/"&amp;IFERROR(--(INDEX('Reguler Class Availability'!$F:$F,AN94)&amp;""),0)&amp;IF(IFERROR(--(INDEX('Reguler Class Availability'!$F:$F,AN94)&amp;""),0)&gt;0,"  ("&amp;TEXT(IFERROR(--(INDEX('Reguler Class Availability'!$G:$G,AN94)&amp;""),0)/IFERROR(--(INDEX('Reguler Class Availability'!$F:$F,AN94)&amp;""),0),"0%")&amp;")","")&amp;CHAR(10)&amp;IF(INDEX('Reguler Class Availability'!$I:$I,AN94)&amp;""="","coach: –",PROPER(INDEX('Reguler Class Availability'!$I:$I,AN94)&amp;""))&amp;IF(INDEX('Reguler Class Availability'!$J:$J,AN94)&amp;""="","",CHAR(10)&amp;"asst: "&amp;PROPER(INDEX('Reguler Class Availability'!$J:$J,AN94)&amp;""))))</f>
        <v>Kosong  0/4  (0%)
coach: –</v>
      </c>
      <c r="C94" s="67" t="str">
        <f aca="false">IF(AO94="","",IF(AW94="Tidak dibuka","–",IF(INDEX('Reguler Class Availability'!$B:$B,AO94)&amp;""="","Kosong",PROPER(INDEX('Reguler Class Availability'!$B:$B,AO94)&amp;""))&amp;"  "&amp;IFERROR(--(INDEX('Reguler Class Availability'!$G:$G,AO94)&amp;""),0)&amp;"/"&amp;IFERROR(--(INDEX('Reguler Class Availability'!$F:$F,AO94)&amp;""),0)&amp;IF(IFERROR(--(INDEX('Reguler Class Availability'!$F:$F,AO94)&amp;""),0)&gt;0,"  ("&amp;TEXT(IFERROR(--(INDEX('Reguler Class Availability'!$G:$G,AO94)&amp;""),0)/IFERROR(--(INDEX('Reguler Class Availability'!$F:$F,AO94)&amp;""),0),"0%")&amp;")","")&amp;CHAR(10)&amp;IF(INDEX('Reguler Class Availability'!$I:$I,AO94)&amp;""="","coach: –",PROPER(INDEX('Reguler Class Availability'!$I:$I,AO94)&amp;""))&amp;IF(INDEX('Reguler Class Availability'!$J:$J,AO94)&amp;""="","",CHAR(10)&amp;"asst: "&amp;PROPER(INDEX('Reguler Class Availability'!$J:$J,AO94)&amp;""))))</f>
        <v>Kosong  0/4  (0%)
coach: –</v>
      </c>
      <c r="D94" s="67" t="str">
        <f aca="false">IF(AP94="","",IF(AX94="Tidak dibuka","–",IF(INDEX('Reguler Class Availability'!$B:$B,AP94)&amp;""="","Kosong",PROPER(INDEX('Reguler Class Availability'!$B:$B,AP94)&amp;""))&amp;"  "&amp;IFERROR(--(INDEX('Reguler Class Availability'!$G:$G,AP94)&amp;""),0)&amp;"/"&amp;IFERROR(--(INDEX('Reguler Class Availability'!$F:$F,AP94)&amp;""),0)&amp;IF(IFERROR(--(INDEX('Reguler Class Availability'!$F:$F,AP94)&amp;""),0)&gt;0,"  ("&amp;TEXT(IFERROR(--(INDEX('Reguler Class Availability'!$G:$G,AP94)&amp;""),0)/IFERROR(--(INDEX('Reguler Class Availability'!$F:$F,AP94)&amp;""),0),"0%")&amp;")","")&amp;CHAR(10)&amp;IF(INDEX('Reguler Class Availability'!$I:$I,AP94)&amp;""="","coach: –",PROPER(INDEX('Reguler Class Availability'!$I:$I,AP94)&amp;""))&amp;IF(INDEX('Reguler Class Availability'!$J:$J,AP94)&amp;""="","",CHAR(10)&amp;"asst: "&amp;PROPER(INDEX('Reguler Class Availability'!$J:$J,AP94)&amp;""))))</f>
        <v>Kosong  0/4  (0%)
coach: –</v>
      </c>
      <c r="E94" s="67" t="str">
        <f aca="false">IF(AQ94="","",IF(AY94="Tidak dibuka","–",IF(INDEX('Reguler Class Availability'!$B:$B,AQ94)&amp;""="","Kosong",PROPER(INDEX('Reguler Class Availability'!$B:$B,AQ94)&amp;""))&amp;"  "&amp;IFERROR(--(INDEX('Reguler Class Availability'!$G:$G,AQ94)&amp;""),0)&amp;"/"&amp;IFERROR(--(INDEX('Reguler Class Availability'!$F:$F,AQ94)&amp;""),0)&amp;IF(IFERROR(--(INDEX('Reguler Class Availability'!$F:$F,AQ94)&amp;""),0)&gt;0,"  ("&amp;TEXT(IFERROR(--(INDEX('Reguler Class Availability'!$G:$G,AQ94)&amp;""),0)/IFERROR(--(INDEX('Reguler Class Availability'!$F:$F,AQ94)&amp;""),0),"0%")&amp;")","")&amp;CHAR(10)&amp;IF(INDEX('Reguler Class Availability'!$I:$I,AQ94)&amp;""="","coach: –",PROPER(INDEX('Reguler Class Availability'!$I:$I,AQ94)&amp;""))&amp;IF(INDEX('Reguler Class Availability'!$J:$J,AQ94)&amp;""="","",CHAR(10)&amp;"asst: "&amp;PROPER(INDEX('Reguler Class Availability'!$J:$J,AQ94)&amp;""))))</f>
        <v>Kosong  0/4  (0%)
coach: –</v>
      </c>
      <c r="F94" s="67" t="str">
        <f aca="false">IF(AR94="","",IF(AZ94="Tidak dibuka","–",IF(INDEX('Reguler Class Availability'!$B:$B,AR94)&amp;""="","Kosong",PROPER(INDEX('Reguler Class Availability'!$B:$B,AR94)&amp;""))&amp;"  "&amp;IFERROR(--(INDEX('Reguler Class Availability'!$G:$G,AR94)&amp;""),0)&amp;"/"&amp;IFERROR(--(INDEX('Reguler Class Availability'!$F:$F,AR94)&amp;""),0)&amp;IF(IFERROR(--(INDEX('Reguler Class Availability'!$F:$F,AR94)&amp;""),0)&gt;0,"  ("&amp;TEXT(IFERROR(--(INDEX('Reguler Class Availability'!$G:$G,AR94)&amp;""),0)/IFERROR(--(INDEX('Reguler Class Availability'!$F:$F,AR94)&amp;""),0),"0%")&amp;")","")&amp;CHAR(10)&amp;IF(INDEX('Reguler Class Availability'!$I:$I,AR94)&amp;""="","coach: –",PROPER(INDEX('Reguler Class Availability'!$I:$I,AR94)&amp;""))&amp;IF(INDEX('Reguler Class Availability'!$J:$J,AR94)&amp;""="","",CHAR(10)&amp;"asst: "&amp;PROPER(INDEX('Reguler Class Availability'!$J:$J,AR94)&amp;""))))</f>
        <v>Kosong  0/4  (0%)
coach: –</v>
      </c>
      <c r="G94" s="67" t="str">
        <f aca="false">IF(AS94="","",IF(BA94="Tidak dibuka","–",IF(INDEX('Reguler Class Availability'!$B:$B,AS94)&amp;""="","Kosong",PROPER(INDEX('Reguler Class Availability'!$B:$B,AS94)&amp;""))&amp;"  "&amp;IFERROR(--(INDEX('Reguler Class Availability'!$G:$G,AS94)&amp;""),0)&amp;"/"&amp;IFERROR(--(INDEX('Reguler Class Availability'!$F:$F,AS94)&amp;""),0)&amp;IF(IFERROR(--(INDEX('Reguler Class Availability'!$F:$F,AS94)&amp;""),0)&gt;0,"  ("&amp;TEXT(IFERROR(--(INDEX('Reguler Class Availability'!$G:$G,AS94)&amp;""),0)/IFERROR(--(INDEX('Reguler Class Availability'!$F:$F,AS94)&amp;""),0),"0%")&amp;")","")&amp;CHAR(10)&amp;IF(INDEX('Reguler Class Availability'!$I:$I,AS94)&amp;""="","coach: –",PROPER(INDEX('Reguler Class Availability'!$I:$I,AS94)&amp;""))&amp;IF(INDEX('Reguler Class Availability'!$J:$J,AS94)&amp;""="","",CHAR(10)&amp;"asst: "&amp;PROPER(INDEX('Reguler Class Availability'!$J:$J,AS94)&amp;""))))</f>
        <v>Kosong  0/4  (0%)
coach: –</v>
      </c>
      <c r="H94" s="67" t="str">
        <f aca="false">IF(AT94="","",IF(BB94="Tidak dibuka","–",IF(INDEX('Reguler Class Availability'!$B:$B,AT94)&amp;""="","Kosong",PROPER(INDEX('Reguler Class Availability'!$B:$B,AT94)&amp;""))&amp;"  "&amp;IFERROR(--(INDEX('Reguler Class Availability'!$G:$G,AT94)&amp;""),0)&amp;"/"&amp;IFERROR(--(INDEX('Reguler Class Availability'!$F:$F,AT94)&amp;""),0)&amp;IF(IFERROR(--(INDEX('Reguler Class Availability'!$F:$F,AT94)&amp;""),0)&gt;0,"  ("&amp;TEXT(IFERROR(--(INDEX('Reguler Class Availability'!$G:$G,AT94)&amp;""),0)/IFERROR(--(INDEX('Reguler Class Availability'!$F:$F,AT94)&amp;""),0),"0%")&amp;")","")&amp;CHAR(10)&amp;IF(INDEX('Reguler Class Availability'!$I:$I,AT94)&amp;""="","coach: –",PROPER(INDEX('Reguler Class Availability'!$I:$I,AT94)&amp;""))&amp;IF(INDEX('Reguler Class Availability'!$J:$J,AT94)&amp;""="","",CHAR(10)&amp;"asst: "&amp;PROPER(INDEX('Reguler Class Availability'!$J:$J,AT94)&amp;""))))</f>
        <v>Kosong  0/4  (0%)
coach: –</v>
      </c>
      <c r="AN94" s="30" t="n">
        <f aca="false">IF($A94="","",IFERROR(MATCH($B$4&amp;"|- Lane 5 - "&amp;B$87&amp;"|"&amp;$A94,'Reguler Class Availability'!$L:$L,0),""))</f>
        <v>2766</v>
      </c>
      <c r="AO94" s="30" t="n">
        <f aca="false">IF($A94="","",IFERROR(MATCH($B$4&amp;"|- Lane 5 - "&amp;C$87&amp;"|"&amp;$A94,'Reguler Class Availability'!$L:$L,0),""))</f>
        <v>2778</v>
      </c>
      <c r="AP94" s="30" t="n">
        <f aca="false">IF($A94="","",IFERROR(MATCH($B$4&amp;"|- Lane 5 - "&amp;D$87&amp;"|"&amp;$A94,'Reguler Class Availability'!$L:$L,0),""))</f>
        <v>2790</v>
      </c>
      <c r="AQ94" s="30" t="n">
        <f aca="false">IF($A94="","",IFERROR(MATCH($B$4&amp;"|- Lane 5 - "&amp;E$87&amp;"|"&amp;$A94,'Reguler Class Availability'!$L:$L,0),""))</f>
        <v>2802</v>
      </c>
      <c r="AR94" s="30" t="n">
        <f aca="false">IF($A94="","",IFERROR(MATCH($B$4&amp;"|- Lane 5 - "&amp;F$87&amp;"|"&amp;$A94,'Reguler Class Availability'!$L:$L,0),""))</f>
        <v>2814</v>
      </c>
      <c r="AS94" s="30" t="n">
        <f aca="false">IF($A94="","",IFERROR(MATCH($B$4&amp;"|- Lane 5 - "&amp;G$87&amp;"|"&amp;$A94,'Reguler Class Availability'!$L:$L,0),""))</f>
        <v>2826</v>
      </c>
      <c r="AT94" s="30" t="n">
        <f aca="false">IF($A94="","",IFERROR(MATCH($B$4&amp;"|- Lane 5 - "&amp;H$87&amp;"|"&amp;$A94,'Reguler Class Availability'!$L:$L,0),""))</f>
        <v>2838</v>
      </c>
      <c r="AV94" s="0" t="str">
        <f aca="false">IF(AN94="","",IF(AND(IFERROR(--(INDEX('Reguler Class Availability'!$F:$F,AN94)&amp;""),0)=0,IFERROR(--(INDEX('Reguler Class Availability'!$G:$G,AN94)&amp;""),0)=0),IF(OR(INDEX('Reguler Class Availability'!$B:$B,AN94)&amp;""&lt;&gt;"",INDEX('Reguler Class Availability'!$I:$I,AN94)&amp;""&lt;&gt;""),"Tutup","Tidak dibuka"),IF(IFERROR(--(INDEX('Reguler Class Availability'!$G:$G,AN94)&amp;""),0)&gt;IFERROR(--(INDEX('Reguler Class Availability'!$F:$F,AN94)&amp;""),0),"Lebih",IF(IFERROR(--(INDEX('Reguler Class Availability'!$G:$G,AN94)&amp;""),0)=IFERROR(--(INDEX('Reguler Class Availability'!$F:$F,AN94)&amp;""),0),"Penuh",IF(IFERROR(--(INDEX('Reguler Class Availability'!$G:$G,AN94)&amp;""),0)=0,IF(INDEX('Reguler Class Availability'!$B:$B,AN94)&amp;""="","Kosong","Belum terisi"),IF(IFERROR(--(INDEX('Reguler Class Availability'!$G:$G,AN94)&amp;""),0)/IFERROR(--(INDEX('Reguler Class Availability'!$F:$F,AN94)&amp;""),0)&gt;=0.6,"Tinggi","Sebagian"))))))</f>
        <v>Kosong</v>
      </c>
      <c r="AW94" s="0" t="str">
        <f aca="false">IF(AO94="","",IF(AND(IFERROR(--(INDEX('Reguler Class Availability'!$F:$F,AO94)&amp;""),0)=0,IFERROR(--(INDEX('Reguler Class Availability'!$G:$G,AO94)&amp;""),0)=0),IF(OR(INDEX('Reguler Class Availability'!$B:$B,AO94)&amp;""&lt;&gt;"",INDEX('Reguler Class Availability'!$I:$I,AO94)&amp;""&lt;&gt;""),"Tutup","Tidak dibuka"),IF(IFERROR(--(INDEX('Reguler Class Availability'!$G:$G,AO94)&amp;""),0)&gt;IFERROR(--(INDEX('Reguler Class Availability'!$F:$F,AO94)&amp;""),0),"Lebih",IF(IFERROR(--(INDEX('Reguler Class Availability'!$G:$G,AO94)&amp;""),0)=IFERROR(--(INDEX('Reguler Class Availability'!$F:$F,AO94)&amp;""),0),"Penuh",IF(IFERROR(--(INDEX('Reguler Class Availability'!$G:$G,AO94)&amp;""),0)=0,IF(INDEX('Reguler Class Availability'!$B:$B,AO94)&amp;""="","Kosong","Belum terisi"),IF(IFERROR(--(INDEX('Reguler Class Availability'!$G:$G,AO94)&amp;""),0)/IFERROR(--(INDEX('Reguler Class Availability'!$F:$F,AO94)&amp;""),0)&gt;=0.6,"Tinggi","Sebagian"))))))</f>
        <v>Kosong</v>
      </c>
      <c r="AX94" s="0" t="str">
        <f aca="false">IF(AP94="","",IF(AND(IFERROR(--(INDEX('Reguler Class Availability'!$F:$F,AP94)&amp;""),0)=0,IFERROR(--(INDEX('Reguler Class Availability'!$G:$G,AP94)&amp;""),0)=0),IF(OR(INDEX('Reguler Class Availability'!$B:$B,AP94)&amp;""&lt;&gt;"",INDEX('Reguler Class Availability'!$I:$I,AP94)&amp;""&lt;&gt;""),"Tutup","Tidak dibuka"),IF(IFERROR(--(INDEX('Reguler Class Availability'!$G:$G,AP94)&amp;""),0)&gt;IFERROR(--(INDEX('Reguler Class Availability'!$F:$F,AP94)&amp;""),0),"Lebih",IF(IFERROR(--(INDEX('Reguler Class Availability'!$G:$G,AP94)&amp;""),0)=IFERROR(--(INDEX('Reguler Class Availability'!$F:$F,AP94)&amp;""),0),"Penuh",IF(IFERROR(--(INDEX('Reguler Class Availability'!$G:$G,AP94)&amp;""),0)=0,IF(INDEX('Reguler Class Availability'!$B:$B,AP94)&amp;""="","Kosong","Belum terisi"),IF(IFERROR(--(INDEX('Reguler Class Availability'!$G:$G,AP94)&amp;""),0)/IFERROR(--(INDEX('Reguler Class Availability'!$F:$F,AP94)&amp;""),0)&gt;=0.6,"Tinggi","Sebagian"))))))</f>
        <v>Kosong</v>
      </c>
      <c r="AY94" s="0" t="str">
        <f aca="false">IF(AQ94="","",IF(AND(IFERROR(--(INDEX('Reguler Class Availability'!$F:$F,AQ94)&amp;""),0)=0,IFERROR(--(INDEX('Reguler Class Availability'!$G:$G,AQ94)&amp;""),0)=0),IF(OR(INDEX('Reguler Class Availability'!$B:$B,AQ94)&amp;""&lt;&gt;"",INDEX('Reguler Class Availability'!$I:$I,AQ94)&amp;""&lt;&gt;""),"Tutup","Tidak dibuka"),IF(IFERROR(--(INDEX('Reguler Class Availability'!$G:$G,AQ94)&amp;""),0)&gt;IFERROR(--(INDEX('Reguler Class Availability'!$F:$F,AQ94)&amp;""),0),"Lebih",IF(IFERROR(--(INDEX('Reguler Class Availability'!$G:$G,AQ94)&amp;""),0)=IFERROR(--(INDEX('Reguler Class Availability'!$F:$F,AQ94)&amp;""),0),"Penuh",IF(IFERROR(--(INDEX('Reguler Class Availability'!$G:$G,AQ94)&amp;""),0)=0,IF(INDEX('Reguler Class Availability'!$B:$B,AQ94)&amp;""="","Kosong","Belum terisi"),IF(IFERROR(--(INDEX('Reguler Class Availability'!$G:$G,AQ94)&amp;""),0)/IFERROR(--(INDEX('Reguler Class Availability'!$F:$F,AQ94)&amp;""),0)&gt;=0.6,"Tinggi","Sebagian"))))))</f>
        <v>Kosong</v>
      </c>
      <c r="AZ94" s="0" t="str">
        <f aca="false">IF(AR94="","",IF(AND(IFERROR(--(INDEX('Reguler Class Availability'!$F:$F,AR94)&amp;""),0)=0,IFERROR(--(INDEX('Reguler Class Availability'!$G:$G,AR94)&amp;""),0)=0),IF(OR(INDEX('Reguler Class Availability'!$B:$B,AR94)&amp;""&lt;&gt;"",INDEX('Reguler Class Availability'!$I:$I,AR94)&amp;""&lt;&gt;""),"Tutup","Tidak dibuka"),IF(IFERROR(--(INDEX('Reguler Class Availability'!$G:$G,AR94)&amp;""),0)&gt;IFERROR(--(INDEX('Reguler Class Availability'!$F:$F,AR94)&amp;""),0),"Lebih",IF(IFERROR(--(INDEX('Reguler Class Availability'!$G:$G,AR94)&amp;""),0)=IFERROR(--(INDEX('Reguler Class Availability'!$F:$F,AR94)&amp;""),0),"Penuh",IF(IFERROR(--(INDEX('Reguler Class Availability'!$G:$G,AR94)&amp;""),0)=0,IF(INDEX('Reguler Class Availability'!$B:$B,AR94)&amp;""="","Kosong","Belum terisi"),IF(IFERROR(--(INDEX('Reguler Class Availability'!$G:$G,AR94)&amp;""),0)/IFERROR(--(INDEX('Reguler Class Availability'!$F:$F,AR94)&amp;""),0)&gt;=0.6,"Tinggi","Sebagian"))))))</f>
        <v>Kosong</v>
      </c>
      <c r="BA94" s="0" t="str">
        <f aca="false">IF(AS94="","",IF(AND(IFERROR(--(INDEX('Reguler Class Availability'!$F:$F,AS94)&amp;""),0)=0,IFERROR(--(INDEX('Reguler Class Availability'!$G:$G,AS94)&amp;""),0)=0),IF(OR(INDEX('Reguler Class Availability'!$B:$B,AS94)&amp;""&lt;&gt;"",INDEX('Reguler Class Availability'!$I:$I,AS94)&amp;""&lt;&gt;""),"Tutup","Tidak dibuka"),IF(IFERROR(--(INDEX('Reguler Class Availability'!$G:$G,AS94)&amp;""),0)&gt;IFERROR(--(INDEX('Reguler Class Availability'!$F:$F,AS94)&amp;""),0),"Lebih",IF(IFERROR(--(INDEX('Reguler Class Availability'!$G:$G,AS94)&amp;""),0)=IFERROR(--(INDEX('Reguler Class Availability'!$F:$F,AS94)&amp;""),0),"Penuh",IF(IFERROR(--(INDEX('Reguler Class Availability'!$G:$G,AS94)&amp;""),0)=0,IF(INDEX('Reguler Class Availability'!$B:$B,AS94)&amp;""="","Kosong","Belum terisi"),IF(IFERROR(--(INDEX('Reguler Class Availability'!$G:$G,AS94)&amp;""),0)/IFERROR(--(INDEX('Reguler Class Availability'!$F:$F,AS94)&amp;""),0)&gt;=0.6,"Tinggi","Sebagian"))))))</f>
        <v>Kosong</v>
      </c>
      <c r="BB94" s="0" t="str">
        <f aca="false">IF(AT94="","",IF(AND(IFERROR(--(INDEX('Reguler Class Availability'!$F:$F,AT94)&amp;""),0)=0,IFERROR(--(INDEX('Reguler Class Availability'!$G:$G,AT94)&amp;""),0)=0),IF(OR(INDEX('Reguler Class Availability'!$B:$B,AT94)&amp;""&lt;&gt;"",INDEX('Reguler Class Availability'!$I:$I,AT94)&amp;""&lt;&gt;""),"Tutup","Tidak dibuka"),IF(IFERROR(--(INDEX('Reguler Class Availability'!$G:$G,AT94)&amp;""),0)&gt;IFERROR(--(INDEX('Reguler Class Availability'!$F:$F,AT94)&amp;""),0),"Lebih",IF(IFERROR(--(INDEX('Reguler Class Availability'!$G:$G,AT94)&amp;""),0)=IFERROR(--(INDEX('Reguler Class Availability'!$F:$F,AT94)&amp;""),0),"Penuh",IF(IFERROR(--(INDEX('Reguler Class Availability'!$G:$G,AT94)&amp;""),0)=0,IF(INDEX('Reguler Class Availability'!$B:$B,AT94)&amp;""="","Kosong","Belum terisi"),IF(IFERROR(--(INDEX('Reguler Class Availability'!$G:$G,AT94)&amp;""),0)/IFERROR(--(INDEX('Reguler Class Availability'!$F:$F,AT94)&amp;""),0)&gt;=0.6,"Tinggi","Sebagian"))))))</f>
        <v>Kosong</v>
      </c>
      <c r="BD94" s="30" t="s">
        <v>143</v>
      </c>
      <c r="BE94" s="30" t="n">
        <f aca="false">IF(COUNTIFS('Reguler Class Availability'!$L:$L,$B$4&amp;"|- Lane 2 - *|"&amp;BD94)&gt;0,1,0)</f>
        <v>1</v>
      </c>
      <c r="BF94" s="30" t="n">
        <f aca="false">BE94+BF93</f>
        <v>8</v>
      </c>
    </row>
    <row r="95" customFormat="false" ht="39.75" hidden="false" customHeight="true" outlineLevel="0" collapsed="false">
      <c r="A95" s="66" t="str">
        <f aca="false">IFERROR(INDEX($BD$242:$BD$301,MATCH(8,$BF$242:$BF$301,0)),"")</f>
        <v>14:00</v>
      </c>
      <c r="B95" s="67" t="str">
        <f aca="false">IF(AN95="","",IF(AV95="Tidak dibuka","–",IF(INDEX('Reguler Class Availability'!$B:$B,AN95)&amp;""="","Kosong",PROPER(INDEX('Reguler Class Availability'!$B:$B,AN95)&amp;""))&amp;"  "&amp;IFERROR(--(INDEX('Reguler Class Availability'!$G:$G,AN95)&amp;""),0)&amp;"/"&amp;IFERROR(--(INDEX('Reguler Class Availability'!$F:$F,AN95)&amp;""),0)&amp;IF(IFERROR(--(INDEX('Reguler Class Availability'!$F:$F,AN95)&amp;""),0)&gt;0,"  ("&amp;TEXT(IFERROR(--(INDEX('Reguler Class Availability'!$G:$G,AN95)&amp;""),0)/IFERROR(--(INDEX('Reguler Class Availability'!$F:$F,AN95)&amp;""),0),"0%")&amp;")","")&amp;CHAR(10)&amp;IF(INDEX('Reguler Class Availability'!$I:$I,AN95)&amp;""="","coach: –",PROPER(INDEX('Reguler Class Availability'!$I:$I,AN95)&amp;""))&amp;IF(INDEX('Reguler Class Availability'!$J:$J,AN95)&amp;""="","",CHAR(10)&amp;"asst: "&amp;PROPER(INDEX('Reguler Class Availability'!$J:$J,AN95)&amp;""))))</f>
        <v>Kosong  0/4  (0%)
coach: –</v>
      </c>
      <c r="C95" s="67" t="str">
        <f aca="false">IF(AO95="","",IF(AW95="Tidak dibuka","–",IF(INDEX('Reguler Class Availability'!$B:$B,AO95)&amp;""="","Kosong",PROPER(INDEX('Reguler Class Availability'!$B:$B,AO95)&amp;""))&amp;"  "&amp;IFERROR(--(INDEX('Reguler Class Availability'!$G:$G,AO95)&amp;""),0)&amp;"/"&amp;IFERROR(--(INDEX('Reguler Class Availability'!$F:$F,AO95)&amp;""),0)&amp;IF(IFERROR(--(INDEX('Reguler Class Availability'!$F:$F,AO95)&amp;""),0)&gt;0,"  ("&amp;TEXT(IFERROR(--(INDEX('Reguler Class Availability'!$G:$G,AO95)&amp;""),0)/IFERROR(--(INDEX('Reguler Class Availability'!$F:$F,AO95)&amp;""),0),"0%")&amp;")","")&amp;CHAR(10)&amp;IF(INDEX('Reguler Class Availability'!$I:$I,AO95)&amp;""="","coach: –",PROPER(INDEX('Reguler Class Availability'!$I:$I,AO95)&amp;""))&amp;IF(INDEX('Reguler Class Availability'!$J:$J,AO95)&amp;""="","",CHAR(10)&amp;"asst: "&amp;PROPER(INDEX('Reguler Class Availability'!$J:$J,AO95)&amp;""))))</f>
        <v>Kosong  0/4  (0%)
coach: –</v>
      </c>
      <c r="D95" s="67" t="str">
        <f aca="false">IF(AP95="","",IF(AX95="Tidak dibuka","–",IF(INDEX('Reguler Class Availability'!$B:$B,AP95)&amp;""="","Kosong",PROPER(INDEX('Reguler Class Availability'!$B:$B,AP95)&amp;""))&amp;"  "&amp;IFERROR(--(INDEX('Reguler Class Availability'!$G:$G,AP95)&amp;""),0)&amp;"/"&amp;IFERROR(--(INDEX('Reguler Class Availability'!$F:$F,AP95)&amp;""),0)&amp;IF(IFERROR(--(INDEX('Reguler Class Availability'!$F:$F,AP95)&amp;""),0)&gt;0,"  ("&amp;TEXT(IFERROR(--(INDEX('Reguler Class Availability'!$G:$G,AP95)&amp;""),0)/IFERROR(--(INDEX('Reguler Class Availability'!$F:$F,AP95)&amp;""),0),"0%")&amp;")","")&amp;CHAR(10)&amp;IF(INDEX('Reguler Class Availability'!$I:$I,AP95)&amp;""="","coach: –",PROPER(INDEX('Reguler Class Availability'!$I:$I,AP95)&amp;""))&amp;IF(INDEX('Reguler Class Availability'!$J:$J,AP95)&amp;""="","",CHAR(10)&amp;"asst: "&amp;PROPER(INDEX('Reguler Class Availability'!$J:$J,AP95)&amp;""))))</f>
        <v>Kosong  0/4  (0%)
coach: –</v>
      </c>
      <c r="E95" s="67" t="str">
        <f aca="false">IF(AQ95="","",IF(AY95="Tidak dibuka","–",IF(INDEX('Reguler Class Availability'!$B:$B,AQ95)&amp;""="","Kosong",PROPER(INDEX('Reguler Class Availability'!$B:$B,AQ95)&amp;""))&amp;"  "&amp;IFERROR(--(INDEX('Reguler Class Availability'!$G:$G,AQ95)&amp;""),0)&amp;"/"&amp;IFERROR(--(INDEX('Reguler Class Availability'!$F:$F,AQ95)&amp;""),0)&amp;IF(IFERROR(--(INDEX('Reguler Class Availability'!$F:$F,AQ95)&amp;""),0)&gt;0,"  ("&amp;TEXT(IFERROR(--(INDEX('Reguler Class Availability'!$G:$G,AQ95)&amp;""),0)/IFERROR(--(INDEX('Reguler Class Availability'!$F:$F,AQ95)&amp;""),0),"0%")&amp;")","")&amp;CHAR(10)&amp;IF(INDEX('Reguler Class Availability'!$I:$I,AQ95)&amp;""="","coach: –",PROPER(INDEX('Reguler Class Availability'!$I:$I,AQ95)&amp;""))&amp;IF(INDEX('Reguler Class Availability'!$J:$J,AQ95)&amp;""="","",CHAR(10)&amp;"asst: "&amp;PROPER(INDEX('Reguler Class Availability'!$J:$J,AQ95)&amp;""))))</f>
        <v>Kosong  0/4  (0%)
coach: –</v>
      </c>
      <c r="F95" s="67" t="str">
        <f aca="false">IF(AR95="","",IF(AZ95="Tidak dibuka","–",IF(INDEX('Reguler Class Availability'!$B:$B,AR95)&amp;""="","Kosong",PROPER(INDEX('Reguler Class Availability'!$B:$B,AR95)&amp;""))&amp;"  "&amp;IFERROR(--(INDEX('Reguler Class Availability'!$G:$G,AR95)&amp;""),0)&amp;"/"&amp;IFERROR(--(INDEX('Reguler Class Availability'!$F:$F,AR95)&amp;""),0)&amp;IF(IFERROR(--(INDEX('Reguler Class Availability'!$F:$F,AR95)&amp;""),0)&gt;0,"  ("&amp;TEXT(IFERROR(--(INDEX('Reguler Class Availability'!$G:$G,AR95)&amp;""),0)/IFERROR(--(INDEX('Reguler Class Availability'!$F:$F,AR95)&amp;""),0),"0%")&amp;")","")&amp;CHAR(10)&amp;IF(INDEX('Reguler Class Availability'!$I:$I,AR95)&amp;""="","coach: –",PROPER(INDEX('Reguler Class Availability'!$I:$I,AR95)&amp;""))&amp;IF(INDEX('Reguler Class Availability'!$J:$J,AR95)&amp;""="","",CHAR(10)&amp;"asst: "&amp;PROPER(INDEX('Reguler Class Availability'!$J:$J,AR95)&amp;""))))</f>
        <v>Kosong  0/4  (0%)
coach: –</v>
      </c>
      <c r="G95" s="67" t="str">
        <f aca="false">IF(AS95="","",IF(BA95="Tidak dibuka","–",IF(INDEX('Reguler Class Availability'!$B:$B,AS95)&amp;""="","Kosong",PROPER(INDEX('Reguler Class Availability'!$B:$B,AS95)&amp;""))&amp;"  "&amp;IFERROR(--(INDEX('Reguler Class Availability'!$G:$G,AS95)&amp;""),0)&amp;"/"&amp;IFERROR(--(INDEX('Reguler Class Availability'!$F:$F,AS95)&amp;""),0)&amp;IF(IFERROR(--(INDEX('Reguler Class Availability'!$F:$F,AS95)&amp;""),0)&gt;0,"  ("&amp;TEXT(IFERROR(--(INDEX('Reguler Class Availability'!$G:$G,AS95)&amp;""),0)/IFERROR(--(INDEX('Reguler Class Availability'!$F:$F,AS95)&amp;""),0),"0%")&amp;")","")&amp;CHAR(10)&amp;IF(INDEX('Reguler Class Availability'!$I:$I,AS95)&amp;""="","coach: –",PROPER(INDEX('Reguler Class Availability'!$I:$I,AS95)&amp;""))&amp;IF(INDEX('Reguler Class Availability'!$J:$J,AS95)&amp;""="","",CHAR(10)&amp;"asst: "&amp;PROPER(INDEX('Reguler Class Availability'!$J:$J,AS95)&amp;""))))</f>
        <v>Kosong  0/4  (0%)
coach: –</v>
      </c>
      <c r="H95" s="67" t="str">
        <f aca="false">IF(AT95="","",IF(BB95="Tidak dibuka","–",IF(INDEX('Reguler Class Availability'!$B:$B,AT95)&amp;""="","Kosong",PROPER(INDEX('Reguler Class Availability'!$B:$B,AT95)&amp;""))&amp;"  "&amp;IFERROR(--(INDEX('Reguler Class Availability'!$G:$G,AT95)&amp;""),0)&amp;"/"&amp;IFERROR(--(INDEX('Reguler Class Availability'!$F:$F,AT95)&amp;""),0)&amp;IF(IFERROR(--(INDEX('Reguler Class Availability'!$F:$F,AT95)&amp;""),0)&gt;0,"  ("&amp;TEXT(IFERROR(--(INDEX('Reguler Class Availability'!$G:$G,AT95)&amp;""),0)/IFERROR(--(INDEX('Reguler Class Availability'!$F:$F,AT95)&amp;""),0),"0%")&amp;")","")&amp;CHAR(10)&amp;IF(INDEX('Reguler Class Availability'!$I:$I,AT95)&amp;""="","coach: –",PROPER(INDEX('Reguler Class Availability'!$I:$I,AT95)&amp;""))&amp;IF(INDEX('Reguler Class Availability'!$J:$J,AT95)&amp;""="","",CHAR(10)&amp;"asst: "&amp;PROPER(INDEX('Reguler Class Availability'!$J:$J,AT95)&amp;""))))</f>
        <v>Kosong  0/4  (0%)
coach: –</v>
      </c>
      <c r="AN95" s="30" t="n">
        <f aca="false">IF($A95="","",IFERROR(MATCH($B$4&amp;"|- Lane 5 - "&amp;B$87&amp;"|"&amp;$A95,'Reguler Class Availability'!$L:$L,0),""))</f>
        <v>2767</v>
      </c>
      <c r="AO95" s="30" t="n">
        <f aca="false">IF($A95="","",IFERROR(MATCH($B$4&amp;"|- Lane 5 - "&amp;C$87&amp;"|"&amp;$A95,'Reguler Class Availability'!$L:$L,0),""))</f>
        <v>2779</v>
      </c>
      <c r="AP95" s="30" t="n">
        <f aca="false">IF($A95="","",IFERROR(MATCH($B$4&amp;"|- Lane 5 - "&amp;D$87&amp;"|"&amp;$A95,'Reguler Class Availability'!$L:$L,0),""))</f>
        <v>2791</v>
      </c>
      <c r="AQ95" s="30" t="n">
        <f aca="false">IF($A95="","",IFERROR(MATCH($B$4&amp;"|- Lane 5 - "&amp;E$87&amp;"|"&amp;$A95,'Reguler Class Availability'!$L:$L,0),""))</f>
        <v>2803</v>
      </c>
      <c r="AR95" s="30" t="n">
        <f aca="false">IF($A95="","",IFERROR(MATCH($B$4&amp;"|- Lane 5 - "&amp;F$87&amp;"|"&amp;$A95,'Reguler Class Availability'!$L:$L,0),""))</f>
        <v>2815</v>
      </c>
      <c r="AS95" s="30" t="n">
        <f aca="false">IF($A95="","",IFERROR(MATCH($B$4&amp;"|- Lane 5 - "&amp;G$87&amp;"|"&amp;$A95,'Reguler Class Availability'!$L:$L,0),""))</f>
        <v>2827</v>
      </c>
      <c r="AT95" s="30" t="n">
        <f aca="false">IF($A95="","",IFERROR(MATCH($B$4&amp;"|- Lane 5 - "&amp;H$87&amp;"|"&amp;$A95,'Reguler Class Availability'!$L:$L,0),""))</f>
        <v>2839</v>
      </c>
      <c r="AV95" s="0" t="str">
        <f aca="false">IF(AN95="","",IF(AND(IFERROR(--(INDEX('Reguler Class Availability'!$F:$F,AN95)&amp;""),0)=0,IFERROR(--(INDEX('Reguler Class Availability'!$G:$G,AN95)&amp;""),0)=0),IF(OR(INDEX('Reguler Class Availability'!$B:$B,AN95)&amp;""&lt;&gt;"",INDEX('Reguler Class Availability'!$I:$I,AN95)&amp;""&lt;&gt;""),"Tutup","Tidak dibuka"),IF(IFERROR(--(INDEX('Reguler Class Availability'!$G:$G,AN95)&amp;""),0)&gt;IFERROR(--(INDEX('Reguler Class Availability'!$F:$F,AN95)&amp;""),0),"Lebih",IF(IFERROR(--(INDEX('Reguler Class Availability'!$G:$G,AN95)&amp;""),0)=IFERROR(--(INDEX('Reguler Class Availability'!$F:$F,AN95)&amp;""),0),"Penuh",IF(IFERROR(--(INDEX('Reguler Class Availability'!$G:$G,AN95)&amp;""),0)=0,IF(INDEX('Reguler Class Availability'!$B:$B,AN95)&amp;""="","Kosong","Belum terisi"),IF(IFERROR(--(INDEX('Reguler Class Availability'!$G:$G,AN95)&amp;""),0)/IFERROR(--(INDEX('Reguler Class Availability'!$F:$F,AN95)&amp;""),0)&gt;=0.6,"Tinggi","Sebagian"))))))</f>
        <v>Kosong</v>
      </c>
      <c r="AW95" s="0" t="str">
        <f aca="false">IF(AO95="","",IF(AND(IFERROR(--(INDEX('Reguler Class Availability'!$F:$F,AO95)&amp;""),0)=0,IFERROR(--(INDEX('Reguler Class Availability'!$G:$G,AO95)&amp;""),0)=0),IF(OR(INDEX('Reguler Class Availability'!$B:$B,AO95)&amp;""&lt;&gt;"",INDEX('Reguler Class Availability'!$I:$I,AO95)&amp;""&lt;&gt;""),"Tutup","Tidak dibuka"),IF(IFERROR(--(INDEX('Reguler Class Availability'!$G:$G,AO95)&amp;""),0)&gt;IFERROR(--(INDEX('Reguler Class Availability'!$F:$F,AO95)&amp;""),0),"Lebih",IF(IFERROR(--(INDEX('Reguler Class Availability'!$G:$G,AO95)&amp;""),0)=IFERROR(--(INDEX('Reguler Class Availability'!$F:$F,AO95)&amp;""),0),"Penuh",IF(IFERROR(--(INDEX('Reguler Class Availability'!$G:$G,AO95)&amp;""),0)=0,IF(INDEX('Reguler Class Availability'!$B:$B,AO95)&amp;""="","Kosong","Belum terisi"),IF(IFERROR(--(INDEX('Reguler Class Availability'!$G:$G,AO95)&amp;""),0)/IFERROR(--(INDEX('Reguler Class Availability'!$F:$F,AO95)&amp;""),0)&gt;=0.6,"Tinggi","Sebagian"))))))</f>
        <v>Kosong</v>
      </c>
      <c r="AX95" s="0" t="str">
        <f aca="false">IF(AP95="","",IF(AND(IFERROR(--(INDEX('Reguler Class Availability'!$F:$F,AP95)&amp;""),0)=0,IFERROR(--(INDEX('Reguler Class Availability'!$G:$G,AP95)&amp;""),0)=0),IF(OR(INDEX('Reguler Class Availability'!$B:$B,AP95)&amp;""&lt;&gt;"",INDEX('Reguler Class Availability'!$I:$I,AP95)&amp;""&lt;&gt;""),"Tutup","Tidak dibuka"),IF(IFERROR(--(INDEX('Reguler Class Availability'!$G:$G,AP95)&amp;""),0)&gt;IFERROR(--(INDEX('Reguler Class Availability'!$F:$F,AP95)&amp;""),0),"Lebih",IF(IFERROR(--(INDEX('Reguler Class Availability'!$G:$G,AP95)&amp;""),0)=IFERROR(--(INDEX('Reguler Class Availability'!$F:$F,AP95)&amp;""),0),"Penuh",IF(IFERROR(--(INDEX('Reguler Class Availability'!$G:$G,AP95)&amp;""),0)=0,IF(INDEX('Reguler Class Availability'!$B:$B,AP95)&amp;""="","Kosong","Belum terisi"),IF(IFERROR(--(INDEX('Reguler Class Availability'!$G:$G,AP95)&amp;""),0)/IFERROR(--(INDEX('Reguler Class Availability'!$F:$F,AP95)&amp;""),0)&gt;=0.6,"Tinggi","Sebagian"))))))</f>
        <v>Kosong</v>
      </c>
      <c r="AY95" s="0" t="str">
        <f aca="false">IF(AQ95="","",IF(AND(IFERROR(--(INDEX('Reguler Class Availability'!$F:$F,AQ95)&amp;""),0)=0,IFERROR(--(INDEX('Reguler Class Availability'!$G:$G,AQ95)&amp;""),0)=0),IF(OR(INDEX('Reguler Class Availability'!$B:$B,AQ95)&amp;""&lt;&gt;"",INDEX('Reguler Class Availability'!$I:$I,AQ95)&amp;""&lt;&gt;""),"Tutup","Tidak dibuka"),IF(IFERROR(--(INDEX('Reguler Class Availability'!$G:$G,AQ95)&amp;""),0)&gt;IFERROR(--(INDEX('Reguler Class Availability'!$F:$F,AQ95)&amp;""),0),"Lebih",IF(IFERROR(--(INDEX('Reguler Class Availability'!$G:$G,AQ95)&amp;""),0)=IFERROR(--(INDEX('Reguler Class Availability'!$F:$F,AQ95)&amp;""),0),"Penuh",IF(IFERROR(--(INDEX('Reguler Class Availability'!$G:$G,AQ95)&amp;""),0)=0,IF(INDEX('Reguler Class Availability'!$B:$B,AQ95)&amp;""="","Kosong","Belum terisi"),IF(IFERROR(--(INDEX('Reguler Class Availability'!$G:$G,AQ95)&amp;""),0)/IFERROR(--(INDEX('Reguler Class Availability'!$F:$F,AQ95)&amp;""),0)&gt;=0.6,"Tinggi","Sebagian"))))))</f>
        <v>Kosong</v>
      </c>
      <c r="AZ95" s="0" t="str">
        <f aca="false">IF(AR95="","",IF(AND(IFERROR(--(INDEX('Reguler Class Availability'!$F:$F,AR95)&amp;""),0)=0,IFERROR(--(INDEX('Reguler Class Availability'!$G:$G,AR95)&amp;""),0)=0),IF(OR(INDEX('Reguler Class Availability'!$B:$B,AR95)&amp;""&lt;&gt;"",INDEX('Reguler Class Availability'!$I:$I,AR95)&amp;""&lt;&gt;""),"Tutup","Tidak dibuka"),IF(IFERROR(--(INDEX('Reguler Class Availability'!$G:$G,AR95)&amp;""),0)&gt;IFERROR(--(INDEX('Reguler Class Availability'!$F:$F,AR95)&amp;""),0),"Lebih",IF(IFERROR(--(INDEX('Reguler Class Availability'!$G:$G,AR95)&amp;""),0)=IFERROR(--(INDEX('Reguler Class Availability'!$F:$F,AR95)&amp;""),0),"Penuh",IF(IFERROR(--(INDEX('Reguler Class Availability'!$G:$G,AR95)&amp;""),0)=0,IF(INDEX('Reguler Class Availability'!$B:$B,AR95)&amp;""="","Kosong","Belum terisi"),IF(IFERROR(--(INDEX('Reguler Class Availability'!$G:$G,AR95)&amp;""),0)/IFERROR(--(INDEX('Reguler Class Availability'!$F:$F,AR95)&amp;""),0)&gt;=0.6,"Tinggi","Sebagian"))))))</f>
        <v>Kosong</v>
      </c>
      <c r="BA95" s="0" t="str">
        <f aca="false">IF(AS95="","",IF(AND(IFERROR(--(INDEX('Reguler Class Availability'!$F:$F,AS95)&amp;""),0)=0,IFERROR(--(INDEX('Reguler Class Availability'!$G:$G,AS95)&amp;""),0)=0),IF(OR(INDEX('Reguler Class Availability'!$B:$B,AS95)&amp;""&lt;&gt;"",INDEX('Reguler Class Availability'!$I:$I,AS95)&amp;""&lt;&gt;""),"Tutup","Tidak dibuka"),IF(IFERROR(--(INDEX('Reguler Class Availability'!$G:$G,AS95)&amp;""),0)&gt;IFERROR(--(INDEX('Reguler Class Availability'!$F:$F,AS95)&amp;""),0),"Lebih",IF(IFERROR(--(INDEX('Reguler Class Availability'!$G:$G,AS95)&amp;""),0)=IFERROR(--(INDEX('Reguler Class Availability'!$F:$F,AS95)&amp;""),0),"Penuh",IF(IFERROR(--(INDEX('Reguler Class Availability'!$G:$G,AS95)&amp;""),0)=0,IF(INDEX('Reguler Class Availability'!$B:$B,AS95)&amp;""="","Kosong","Belum terisi"),IF(IFERROR(--(INDEX('Reguler Class Availability'!$G:$G,AS95)&amp;""),0)/IFERROR(--(INDEX('Reguler Class Availability'!$F:$F,AS95)&amp;""),0)&gt;=0.6,"Tinggi","Sebagian"))))))</f>
        <v>Kosong</v>
      </c>
      <c r="BB95" s="0" t="str">
        <f aca="false">IF(AT95="","",IF(AND(IFERROR(--(INDEX('Reguler Class Availability'!$F:$F,AT95)&amp;""),0)=0,IFERROR(--(INDEX('Reguler Class Availability'!$G:$G,AT95)&amp;""),0)=0),IF(OR(INDEX('Reguler Class Availability'!$B:$B,AT95)&amp;""&lt;&gt;"",INDEX('Reguler Class Availability'!$I:$I,AT95)&amp;""&lt;&gt;""),"Tutup","Tidak dibuka"),IF(IFERROR(--(INDEX('Reguler Class Availability'!$G:$G,AT95)&amp;""),0)&gt;IFERROR(--(INDEX('Reguler Class Availability'!$F:$F,AT95)&amp;""),0),"Lebih",IF(IFERROR(--(INDEX('Reguler Class Availability'!$G:$G,AT95)&amp;""),0)=IFERROR(--(INDEX('Reguler Class Availability'!$F:$F,AT95)&amp;""),0),"Penuh",IF(IFERROR(--(INDEX('Reguler Class Availability'!$G:$G,AT95)&amp;""),0)=0,IF(INDEX('Reguler Class Availability'!$B:$B,AT95)&amp;""="","Kosong","Belum terisi"),IF(IFERROR(--(INDEX('Reguler Class Availability'!$G:$G,AT95)&amp;""),0)/IFERROR(--(INDEX('Reguler Class Availability'!$F:$F,AT95)&amp;""),0)&gt;=0.6,"Tinggi","Sebagian"))))))</f>
        <v>Kosong</v>
      </c>
      <c r="BD95" s="30" t="s">
        <v>144</v>
      </c>
      <c r="BE95" s="30" t="n">
        <f aca="false">IF(COUNTIFS('Reguler Class Availability'!$L:$L,$B$4&amp;"|- Lane 2 - *|"&amp;BD95)&gt;0,1,0)</f>
        <v>0</v>
      </c>
      <c r="BF95" s="30" t="n">
        <f aca="false">BE95+BF94</f>
        <v>8</v>
      </c>
    </row>
    <row r="96" customFormat="false" ht="39.75" hidden="false" customHeight="true" outlineLevel="0" collapsed="false">
      <c r="A96" s="66" t="str">
        <f aca="false">IFERROR(INDEX($BD$242:$BD$301,MATCH(9,$BF$242:$BF$301,0)),"")</f>
        <v>14:45</v>
      </c>
      <c r="B96" s="67" t="str">
        <f aca="false">IF(AN96="","",IF(AV96="Tidak dibuka","–",IF(INDEX('Reguler Class Availability'!$B:$B,AN96)&amp;""="","Kosong",PROPER(INDEX('Reguler Class Availability'!$B:$B,AN96)&amp;""))&amp;"  "&amp;IFERROR(--(INDEX('Reguler Class Availability'!$G:$G,AN96)&amp;""),0)&amp;"/"&amp;IFERROR(--(INDEX('Reguler Class Availability'!$F:$F,AN96)&amp;""),0)&amp;IF(IFERROR(--(INDEX('Reguler Class Availability'!$F:$F,AN96)&amp;""),0)&gt;0,"  ("&amp;TEXT(IFERROR(--(INDEX('Reguler Class Availability'!$G:$G,AN96)&amp;""),0)/IFERROR(--(INDEX('Reguler Class Availability'!$F:$F,AN96)&amp;""),0),"0%")&amp;")","")&amp;CHAR(10)&amp;IF(INDEX('Reguler Class Availability'!$I:$I,AN96)&amp;""="","coach: –",PROPER(INDEX('Reguler Class Availability'!$I:$I,AN96)&amp;""))&amp;IF(INDEX('Reguler Class Availability'!$J:$J,AN96)&amp;""="","",CHAR(10)&amp;"asst: "&amp;PROPER(INDEX('Reguler Class Availability'!$J:$J,AN96)&amp;""))))</f>
        <v>Kosong  0/4  (0%)
coach: –</v>
      </c>
      <c r="C96" s="67" t="str">
        <f aca="false">IF(AO96="","",IF(AW96="Tidak dibuka","–",IF(INDEX('Reguler Class Availability'!$B:$B,AO96)&amp;""="","Kosong",PROPER(INDEX('Reguler Class Availability'!$B:$B,AO96)&amp;""))&amp;"  "&amp;IFERROR(--(INDEX('Reguler Class Availability'!$G:$G,AO96)&amp;""),0)&amp;"/"&amp;IFERROR(--(INDEX('Reguler Class Availability'!$F:$F,AO96)&amp;""),0)&amp;IF(IFERROR(--(INDEX('Reguler Class Availability'!$F:$F,AO96)&amp;""),0)&gt;0,"  ("&amp;TEXT(IFERROR(--(INDEX('Reguler Class Availability'!$G:$G,AO96)&amp;""),0)/IFERROR(--(INDEX('Reguler Class Availability'!$F:$F,AO96)&amp;""),0),"0%")&amp;")","")&amp;CHAR(10)&amp;IF(INDEX('Reguler Class Availability'!$I:$I,AO96)&amp;""="","coach: –",PROPER(INDEX('Reguler Class Availability'!$I:$I,AO96)&amp;""))&amp;IF(INDEX('Reguler Class Availability'!$J:$J,AO96)&amp;""="","",CHAR(10)&amp;"asst: "&amp;PROPER(INDEX('Reguler Class Availability'!$J:$J,AO96)&amp;""))))</f>
        <v>Kosong  0/4  (0%)
coach: –</v>
      </c>
      <c r="D96" s="67" t="str">
        <f aca="false">IF(AP96="","",IF(AX96="Tidak dibuka","–",IF(INDEX('Reguler Class Availability'!$B:$B,AP96)&amp;""="","Kosong",PROPER(INDEX('Reguler Class Availability'!$B:$B,AP96)&amp;""))&amp;"  "&amp;IFERROR(--(INDEX('Reguler Class Availability'!$G:$G,AP96)&amp;""),0)&amp;"/"&amp;IFERROR(--(INDEX('Reguler Class Availability'!$F:$F,AP96)&amp;""),0)&amp;IF(IFERROR(--(INDEX('Reguler Class Availability'!$F:$F,AP96)&amp;""),0)&gt;0,"  ("&amp;TEXT(IFERROR(--(INDEX('Reguler Class Availability'!$G:$G,AP96)&amp;""),0)/IFERROR(--(INDEX('Reguler Class Availability'!$F:$F,AP96)&amp;""),0),"0%")&amp;")","")&amp;CHAR(10)&amp;IF(INDEX('Reguler Class Availability'!$I:$I,AP96)&amp;""="","coach: –",PROPER(INDEX('Reguler Class Availability'!$I:$I,AP96)&amp;""))&amp;IF(INDEX('Reguler Class Availability'!$J:$J,AP96)&amp;""="","",CHAR(10)&amp;"asst: "&amp;PROPER(INDEX('Reguler Class Availability'!$J:$J,AP96)&amp;""))))</f>
        <v>Kosong  0/4  (0%)
coach: –</v>
      </c>
      <c r="E96" s="67" t="str">
        <f aca="false">IF(AQ96="","",IF(AY96="Tidak dibuka","–",IF(INDEX('Reguler Class Availability'!$B:$B,AQ96)&amp;""="","Kosong",PROPER(INDEX('Reguler Class Availability'!$B:$B,AQ96)&amp;""))&amp;"  "&amp;IFERROR(--(INDEX('Reguler Class Availability'!$G:$G,AQ96)&amp;""),0)&amp;"/"&amp;IFERROR(--(INDEX('Reguler Class Availability'!$F:$F,AQ96)&amp;""),0)&amp;IF(IFERROR(--(INDEX('Reguler Class Availability'!$F:$F,AQ96)&amp;""),0)&gt;0,"  ("&amp;TEXT(IFERROR(--(INDEX('Reguler Class Availability'!$G:$G,AQ96)&amp;""),0)/IFERROR(--(INDEX('Reguler Class Availability'!$F:$F,AQ96)&amp;""),0),"0%")&amp;")","")&amp;CHAR(10)&amp;IF(INDEX('Reguler Class Availability'!$I:$I,AQ96)&amp;""="","coach: –",PROPER(INDEX('Reguler Class Availability'!$I:$I,AQ96)&amp;""))&amp;IF(INDEX('Reguler Class Availability'!$J:$J,AQ96)&amp;""="","",CHAR(10)&amp;"asst: "&amp;PROPER(INDEX('Reguler Class Availability'!$J:$J,AQ96)&amp;""))))</f>
        <v>Kosong  0/4  (0%)
coach: –</v>
      </c>
      <c r="F96" s="67" t="str">
        <f aca="false">IF(AR96="","",IF(AZ96="Tidak dibuka","–",IF(INDEX('Reguler Class Availability'!$B:$B,AR96)&amp;""="","Kosong",PROPER(INDEX('Reguler Class Availability'!$B:$B,AR96)&amp;""))&amp;"  "&amp;IFERROR(--(INDEX('Reguler Class Availability'!$G:$G,AR96)&amp;""),0)&amp;"/"&amp;IFERROR(--(INDEX('Reguler Class Availability'!$F:$F,AR96)&amp;""),0)&amp;IF(IFERROR(--(INDEX('Reguler Class Availability'!$F:$F,AR96)&amp;""),0)&gt;0,"  ("&amp;TEXT(IFERROR(--(INDEX('Reguler Class Availability'!$G:$G,AR96)&amp;""),0)/IFERROR(--(INDEX('Reguler Class Availability'!$F:$F,AR96)&amp;""),0),"0%")&amp;")","")&amp;CHAR(10)&amp;IF(INDEX('Reguler Class Availability'!$I:$I,AR96)&amp;""="","coach: –",PROPER(INDEX('Reguler Class Availability'!$I:$I,AR96)&amp;""))&amp;IF(INDEX('Reguler Class Availability'!$J:$J,AR96)&amp;""="","",CHAR(10)&amp;"asst: "&amp;PROPER(INDEX('Reguler Class Availability'!$J:$J,AR96)&amp;""))))</f>
        <v>Kosong  0/4  (0%)
coach: –</v>
      </c>
      <c r="G96" s="67" t="str">
        <f aca="false">IF(AS96="","",IF(BA96="Tidak dibuka","–",IF(INDEX('Reguler Class Availability'!$B:$B,AS96)&amp;""="","Kosong",PROPER(INDEX('Reguler Class Availability'!$B:$B,AS96)&amp;""))&amp;"  "&amp;IFERROR(--(INDEX('Reguler Class Availability'!$G:$G,AS96)&amp;""),0)&amp;"/"&amp;IFERROR(--(INDEX('Reguler Class Availability'!$F:$F,AS96)&amp;""),0)&amp;IF(IFERROR(--(INDEX('Reguler Class Availability'!$F:$F,AS96)&amp;""),0)&gt;0,"  ("&amp;TEXT(IFERROR(--(INDEX('Reguler Class Availability'!$G:$G,AS96)&amp;""),0)/IFERROR(--(INDEX('Reguler Class Availability'!$F:$F,AS96)&amp;""),0),"0%")&amp;")","")&amp;CHAR(10)&amp;IF(INDEX('Reguler Class Availability'!$I:$I,AS96)&amp;""="","coach: –",PROPER(INDEX('Reguler Class Availability'!$I:$I,AS96)&amp;""))&amp;IF(INDEX('Reguler Class Availability'!$J:$J,AS96)&amp;""="","",CHAR(10)&amp;"asst: "&amp;PROPER(INDEX('Reguler Class Availability'!$J:$J,AS96)&amp;""))))</f>
        <v>Kosong  0/4  (0%)
coach: –</v>
      </c>
      <c r="H96" s="67" t="str">
        <f aca="false">IF(AT96="","",IF(BB96="Tidak dibuka","–",IF(INDEX('Reguler Class Availability'!$B:$B,AT96)&amp;""="","Kosong",PROPER(INDEX('Reguler Class Availability'!$B:$B,AT96)&amp;""))&amp;"  "&amp;IFERROR(--(INDEX('Reguler Class Availability'!$G:$G,AT96)&amp;""),0)&amp;"/"&amp;IFERROR(--(INDEX('Reguler Class Availability'!$F:$F,AT96)&amp;""),0)&amp;IF(IFERROR(--(INDEX('Reguler Class Availability'!$F:$F,AT96)&amp;""),0)&gt;0,"  ("&amp;TEXT(IFERROR(--(INDEX('Reguler Class Availability'!$G:$G,AT96)&amp;""),0)/IFERROR(--(INDEX('Reguler Class Availability'!$F:$F,AT96)&amp;""),0),"0%")&amp;")","")&amp;CHAR(10)&amp;IF(INDEX('Reguler Class Availability'!$I:$I,AT96)&amp;""="","coach: –",PROPER(INDEX('Reguler Class Availability'!$I:$I,AT96)&amp;""))&amp;IF(INDEX('Reguler Class Availability'!$J:$J,AT96)&amp;""="","",CHAR(10)&amp;"asst: "&amp;PROPER(INDEX('Reguler Class Availability'!$J:$J,AT96)&amp;""))))</f>
        <v>Kosong  0/4  (0%)
coach: –</v>
      </c>
      <c r="AN96" s="30" t="n">
        <f aca="false">IF($A96="","",IFERROR(MATCH($B$4&amp;"|- Lane 5 - "&amp;B$87&amp;"|"&amp;$A96,'Reguler Class Availability'!$L:$L,0),""))</f>
        <v>2768</v>
      </c>
      <c r="AO96" s="30" t="n">
        <f aca="false">IF($A96="","",IFERROR(MATCH($B$4&amp;"|- Lane 5 - "&amp;C$87&amp;"|"&amp;$A96,'Reguler Class Availability'!$L:$L,0),""))</f>
        <v>2780</v>
      </c>
      <c r="AP96" s="30" t="n">
        <f aca="false">IF($A96="","",IFERROR(MATCH($B$4&amp;"|- Lane 5 - "&amp;D$87&amp;"|"&amp;$A96,'Reguler Class Availability'!$L:$L,0),""))</f>
        <v>2792</v>
      </c>
      <c r="AQ96" s="30" t="n">
        <f aca="false">IF($A96="","",IFERROR(MATCH($B$4&amp;"|- Lane 5 - "&amp;E$87&amp;"|"&amp;$A96,'Reguler Class Availability'!$L:$L,0),""))</f>
        <v>2804</v>
      </c>
      <c r="AR96" s="30" t="n">
        <f aca="false">IF($A96="","",IFERROR(MATCH($B$4&amp;"|- Lane 5 - "&amp;F$87&amp;"|"&amp;$A96,'Reguler Class Availability'!$L:$L,0),""))</f>
        <v>2816</v>
      </c>
      <c r="AS96" s="30" t="n">
        <f aca="false">IF($A96="","",IFERROR(MATCH($B$4&amp;"|- Lane 5 - "&amp;G$87&amp;"|"&amp;$A96,'Reguler Class Availability'!$L:$L,0),""))</f>
        <v>2828</v>
      </c>
      <c r="AT96" s="30" t="n">
        <f aca="false">IF($A96="","",IFERROR(MATCH($B$4&amp;"|- Lane 5 - "&amp;H$87&amp;"|"&amp;$A96,'Reguler Class Availability'!$L:$L,0),""))</f>
        <v>2840</v>
      </c>
      <c r="AV96" s="0" t="str">
        <f aca="false">IF(AN96="","",IF(AND(IFERROR(--(INDEX('Reguler Class Availability'!$F:$F,AN96)&amp;""),0)=0,IFERROR(--(INDEX('Reguler Class Availability'!$G:$G,AN96)&amp;""),0)=0),IF(OR(INDEX('Reguler Class Availability'!$B:$B,AN96)&amp;""&lt;&gt;"",INDEX('Reguler Class Availability'!$I:$I,AN96)&amp;""&lt;&gt;""),"Tutup","Tidak dibuka"),IF(IFERROR(--(INDEX('Reguler Class Availability'!$G:$G,AN96)&amp;""),0)&gt;IFERROR(--(INDEX('Reguler Class Availability'!$F:$F,AN96)&amp;""),0),"Lebih",IF(IFERROR(--(INDEX('Reguler Class Availability'!$G:$G,AN96)&amp;""),0)=IFERROR(--(INDEX('Reguler Class Availability'!$F:$F,AN96)&amp;""),0),"Penuh",IF(IFERROR(--(INDEX('Reguler Class Availability'!$G:$G,AN96)&amp;""),0)=0,IF(INDEX('Reguler Class Availability'!$B:$B,AN96)&amp;""="","Kosong","Belum terisi"),IF(IFERROR(--(INDEX('Reguler Class Availability'!$G:$G,AN96)&amp;""),0)/IFERROR(--(INDEX('Reguler Class Availability'!$F:$F,AN96)&amp;""),0)&gt;=0.6,"Tinggi","Sebagian"))))))</f>
        <v>Kosong</v>
      </c>
      <c r="AW96" s="0" t="str">
        <f aca="false">IF(AO96="","",IF(AND(IFERROR(--(INDEX('Reguler Class Availability'!$F:$F,AO96)&amp;""),0)=0,IFERROR(--(INDEX('Reguler Class Availability'!$G:$G,AO96)&amp;""),0)=0),IF(OR(INDEX('Reguler Class Availability'!$B:$B,AO96)&amp;""&lt;&gt;"",INDEX('Reguler Class Availability'!$I:$I,AO96)&amp;""&lt;&gt;""),"Tutup","Tidak dibuka"),IF(IFERROR(--(INDEX('Reguler Class Availability'!$G:$G,AO96)&amp;""),0)&gt;IFERROR(--(INDEX('Reguler Class Availability'!$F:$F,AO96)&amp;""),0),"Lebih",IF(IFERROR(--(INDEX('Reguler Class Availability'!$G:$G,AO96)&amp;""),0)=IFERROR(--(INDEX('Reguler Class Availability'!$F:$F,AO96)&amp;""),0),"Penuh",IF(IFERROR(--(INDEX('Reguler Class Availability'!$G:$G,AO96)&amp;""),0)=0,IF(INDEX('Reguler Class Availability'!$B:$B,AO96)&amp;""="","Kosong","Belum terisi"),IF(IFERROR(--(INDEX('Reguler Class Availability'!$G:$G,AO96)&amp;""),0)/IFERROR(--(INDEX('Reguler Class Availability'!$F:$F,AO96)&amp;""),0)&gt;=0.6,"Tinggi","Sebagian"))))))</f>
        <v>Kosong</v>
      </c>
      <c r="AX96" s="0" t="str">
        <f aca="false">IF(AP96="","",IF(AND(IFERROR(--(INDEX('Reguler Class Availability'!$F:$F,AP96)&amp;""),0)=0,IFERROR(--(INDEX('Reguler Class Availability'!$G:$G,AP96)&amp;""),0)=0),IF(OR(INDEX('Reguler Class Availability'!$B:$B,AP96)&amp;""&lt;&gt;"",INDEX('Reguler Class Availability'!$I:$I,AP96)&amp;""&lt;&gt;""),"Tutup","Tidak dibuka"),IF(IFERROR(--(INDEX('Reguler Class Availability'!$G:$G,AP96)&amp;""),0)&gt;IFERROR(--(INDEX('Reguler Class Availability'!$F:$F,AP96)&amp;""),0),"Lebih",IF(IFERROR(--(INDEX('Reguler Class Availability'!$G:$G,AP96)&amp;""),0)=IFERROR(--(INDEX('Reguler Class Availability'!$F:$F,AP96)&amp;""),0),"Penuh",IF(IFERROR(--(INDEX('Reguler Class Availability'!$G:$G,AP96)&amp;""),0)=0,IF(INDEX('Reguler Class Availability'!$B:$B,AP96)&amp;""="","Kosong","Belum terisi"),IF(IFERROR(--(INDEX('Reguler Class Availability'!$G:$G,AP96)&amp;""),0)/IFERROR(--(INDEX('Reguler Class Availability'!$F:$F,AP96)&amp;""),0)&gt;=0.6,"Tinggi","Sebagian"))))))</f>
        <v>Kosong</v>
      </c>
      <c r="AY96" s="0" t="str">
        <f aca="false">IF(AQ96="","",IF(AND(IFERROR(--(INDEX('Reguler Class Availability'!$F:$F,AQ96)&amp;""),0)=0,IFERROR(--(INDEX('Reguler Class Availability'!$G:$G,AQ96)&amp;""),0)=0),IF(OR(INDEX('Reguler Class Availability'!$B:$B,AQ96)&amp;""&lt;&gt;"",INDEX('Reguler Class Availability'!$I:$I,AQ96)&amp;""&lt;&gt;""),"Tutup","Tidak dibuka"),IF(IFERROR(--(INDEX('Reguler Class Availability'!$G:$G,AQ96)&amp;""),0)&gt;IFERROR(--(INDEX('Reguler Class Availability'!$F:$F,AQ96)&amp;""),0),"Lebih",IF(IFERROR(--(INDEX('Reguler Class Availability'!$G:$G,AQ96)&amp;""),0)=IFERROR(--(INDEX('Reguler Class Availability'!$F:$F,AQ96)&amp;""),0),"Penuh",IF(IFERROR(--(INDEX('Reguler Class Availability'!$G:$G,AQ96)&amp;""),0)=0,IF(INDEX('Reguler Class Availability'!$B:$B,AQ96)&amp;""="","Kosong","Belum terisi"),IF(IFERROR(--(INDEX('Reguler Class Availability'!$G:$G,AQ96)&amp;""),0)/IFERROR(--(INDEX('Reguler Class Availability'!$F:$F,AQ96)&amp;""),0)&gt;=0.6,"Tinggi","Sebagian"))))))</f>
        <v>Kosong</v>
      </c>
      <c r="AZ96" s="0" t="str">
        <f aca="false">IF(AR96="","",IF(AND(IFERROR(--(INDEX('Reguler Class Availability'!$F:$F,AR96)&amp;""),0)=0,IFERROR(--(INDEX('Reguler Class Availability'!$G:$G,AR96)&amp;""),0)=0),IF(OR(INDEX('Reguler Class Availability'!$B:$B,AR96)&amp;""&lt;&gt;"",INDEX('Reguler Class Availability'!$I:$I,AR96)&amp;""&lt;&gt;""),"Tutup","Tidak dibuka"),IF(IFERROR(--(INDEX('Reguler Class Availability'!$G:$G,AR96)&amp;""),0)&gt;IFERROR(--(INDEX('Reguler Class Availability'!$F:$F,AR96)&amp;""),0),"Lebih",IF(IFERROR(--(INDEX('Reguler Class Availability'!$G:$G,AR96)&amp;""),0)=IFERROR(--(INDEX('Reguler Class Availability'!$F:$F,AR96)&amp;""),0),"Penuh",IF(IFERROR(--(INDEX('Reguler Class Availability'!$G:$G,AR96)&amp;""),0)=0,IF(INDEX('Reguler Class Availability'!$B:$B,AR96)&amp;""="","Kosong","Belum terisi"),IF(IFERROR(--(INDEX('Reguler Class Availability'!$G:$G,AR96)&amp;""),0)/IFERROR(--(INDEX('Reguler Class Availability'!$F:$F,AR96)&amp;""),0)&gt;=0.6,"Tinggi","Sebagian"))))))</f>
        <v>Kosong</v>
      </c>
      <c r="BA96" s="0" t="str">
        <f aca="false">IF(AS96="","",IF(AND(IFERROR(--(INDEX('Reguler Class Availability'!$F:$F,AS96)&amp;""),0)=0,IFERROR(--(INDEX('Reguler Class Availability'!$G:$G,AS96)&amp;""),0)=0),IF(OR(INDEX('Reguler Class Availability'!$B:$B,AS96)&amp;""&lt;&gt;"",INDEX('Reguler Class Availability'!$I:$I,AS96)&amp;""&lt;&gt;""),"Tutup","Tidak dibuka"),IF(IFERROR(--(INDEX('Reguler Class Availability'!$G:$G,AS96)&amp;""),0)&gt;IFERROR(--(INDEX('Reguler Class Availability'!$F:$F,AS96)&amp;""),0),"Lebih",IF(IFERROR(--(INDEX('Reguler Class Availability'!$G:$G,AS96)&amp;""),0)=IFERROR(--(INDEX('Reguler Class Availability'!$F:$F,AS96)&amp;""),0),"Penuh",IF(IFERROR(--(INDEX('Reguler Class Availability'!$G:$G,AS96)&amp;""),0)=0,IF(INDEX('Reguler Class Availability'!$B:$B,AS96)&amp;""="","Kosong","Belum terisi"),IF(IFERROR(--(INDEX('Reguler Class Availability'!$G:$G,AS96)&amp;""),0)/IFERROR(--(INDEX('Reguler Class Availability'!$F:$F,AS96)&amp;""),0)&gt;=0.6,"Tinggi","Sebagian"))))))</f>
        <v>Kosong</v>
      </c>
      <c r="BB96" s="0" t="str">
        <f aca="false">IF(AT96="","",IF(AND(IFERROR(--(INDEX('Reguler Class Availability'!$F:$F,AT96)&amp;""),0)=0,IFERROR(--(INDEX('Reguler Class Availability'!$G:$G,AT96)&amp;""),0)=0),IF(OR(INDEX('Reguler Class Availability'!$B:$B,AT96)&amp;""&lt;&gt;"",INDEX('Reguler Class Availability'!$I:$I,AT96)&amp;""&lt;&gt;""),"Tutup","Tidak dibuka"),IF(IFERROR(--(INDEX('Reguler Class Availability'!$G:$G,AT96)&amp;""),0)&gt;IFERROR(--(INDEX('Reguler Class Availability'!$F:$F,AT96)&amp;""),0),"Lebih",IF(IFERROR(--(INDEX('Reguler Class Availability'!$G:$G,AT96)&amp;""),0)=IFERROR(--(INDEX('Reguler Class Availability'!$F:$F,AT96)&amp;""),0),"Penuh",IF(IFERROR(--(INDEX('Reguler Class Availability'!$G:$G,AT96)&amp;""),0)=0,IF(INDEX('Reguler Class Availability'!$B:$B,AT96)&amp;""="","Kosong","Belum terisi"),IF(IFERROR(--(INDEX('Reguler Class Availability'!$G:$G,AT96)&amp;""),0)/IFERROR(--(INDEX('Reguler Class Availability'!$F:$F,AT96)&amp;""),0)&gt;=0.6,"Tinggi","Sebagian"))))))</f>
        <v>Kosong</v>
      </c>
      <c r="BD96" s="30" t="s">
        <v>145</v>
      </c>
      <c r="BE96" s="30" t="n">
        <f aca="false">IF(COUNTIFS('Reguler Class Availability'!$L:$L,$B$4&amp;"|- Lane 2 - *|"&amp;BD96)&gt;0,1,0)</f>
        <v>0</v>
      </c>
      <c r="BF96" s="30" t="n">
        <f aca="false">BE96+BF95</f>
        <v>8</v>
      </c>
    </row>
    <row r="97" customFormat="false" ht="39.75" hidden="false" customHeight="true" outlineLevel="0" collapsed="false">
      <c r="A97" s="66" t="str">
        <f aca="false">IFERROR(INDEX($BD$242:$BD$301,MATCH(10,$BF$242:$BF$301,0)),"")</f>
        <v>15:30</v>
      </c>
      <c r="B97" s="67" t="str">
        <f aca="false">IF(AN97="","",IF(AV97="Tidak dibuka","–",IF(INDEX('Reguler Class Availability'!$B:$B,AN97)&amp;""="","Kosong",PROPER(INDEX('Reguler Class Availability'!$B:$B,AN97)&amp;""))&amp;"  "&amp;IFERROR(--(INDEX('Reguler Class Availability'!$G:$G,AN97)&amp;""),0)&amp;"/"&amp;IFERROR(--(INDEX('Reguler Class Availability'!$F:$F,AN97)&amp;""),0)&amp;IF(IFERROR(--(INDEX('Reguler Class Availability'!$F:$F,AN97)&amp;""),0)&gt;0,"  ("&amp;TEXT(IFERROR(--(INDEX('Reguler Class Availability'!$G:$G,AN97)&amp;""),0)/IFERROR(--(INDEX('Reguler Class Availability'!$F:$F,AN97)&amp;""),0),"0%")&amp;")","")&amp;CHAR(10)&amp;IF(INDEX('Reguler Class Availability'!$I:$I,AN97)&amp;""="","coach: –",PROPER(INDEX('Reguler Class Availability'!$I:$I,AN97)&amp;""))&amp;IF(INDEX('Reguler Class Availability'!$J:$J,AN97)&amp;""="","",CHAR(10)&amp;"asst: "&amp;PROPER(INDEX('Reguler Class Availability'!$J:$J,AN97)&amp;""))))</f>
        <v>Kosong  0/4  (0%)
coach: –</v>
      </c>
      <c r="C97" s="67" t="str">
        <f aca="false">IF(AO97="","",IF(AW97="Tidak dibuka","–",IF(INDEX('Reguler Class Availability'!$B:$B,AO97)&amp;""="","Kosong",PROPER(INDEX('Reguler Class Availability'!$B:$B,AO97)&amp;""))&amp;"  "&amp;IFERROR(--(INDEX('Reguler Class Availability'!$G:$G,AO97)&amp;""),0)&amp;"/"&amp;IFERROR(--(INDEX('Reguler Class Availability'!$F:$F,AO97)&amp;""),0)&amp;IF(IFERROR(--(INDEX('Reguler Class Availability'!$F:$F,AO97)&amp;""),0)&gt;0,"  ("&amp;TEXT(IFERROR(--(INDEX('Reguler Class Availability'!$G:$G,AO97)&amp;""),0)/IFERROR(--(INDEX('Reguler Class Availability'!$F:$F,AO97)&amp;""),0),"0%")&amp;")","")&amp;CHAR(10)&amp;IF(INDEX('Reguler Class Availability'!$I:$I,AO97)&amp;""="","coach: –",PROPER(INDEX('Reguler Class Availability'!$I:$I,AO97)&amp;""))&amp;IF(INDEX('Reguler Class Availability'!$J:$J,AO97)&amp;""="","",CHAR(10)&amp;"asst: "&amp;PROPER(INDEX('Reguler Class Availability'!$J:$J,AO97)&amp;""))))</f>
        <v>Kosong  0/4  (0%)
coach: –</v>
      </c>
      <c r="D97" s="67" t="str">
        <f aca="false">IF(AP97="","",IF(AX97="Tidak dibuka","–",IF(INDEX('Reguler Class Availability'!$B:$B,AP97)&amp;""="","Kosong",PROPER(INDEX('Reguler Class Availability'!$B:$B,AP97)&amp;""))&amp;"  "&amp;IFERROR(--(INDEX('Reguler Class Availability'!$G:$G,AP97)&amp;""),0)&amp;"/"&amp;IFERROR(--(INDEX('Reguler Class Availability'!$F:$F,AP97)&amp;""),0)&amp;IF(IFERROR(--(INDEX('Reguler Class Availability'!$F:$F,AP97)&amp;""),0)&gt;0,"  ("&amp;TEXT(IFERROR(--(INDEX('Reguler Class Availability'!$G:$G,AP97)&amp;""),0)/IFERROR(--(INDEX('Reguler Class Availability'!$F:$F,AP97)&amp;""),0),"0%")&amp;")","")&amp;CHAR(10)&amp;IF(INDEX('Reguler Class Availability'!$I:$I,AP97)&amp;""="","coach: –",PROPER(INDEX('Reguler Class Availability'!$I:$I,AP97)&amp;""))&amp;IF(INDEX('Reguler Class Availability'!$J:$J,AP97)&amp;""="","",CHAR(10)&amp;"asst: "&amp;PROPER(INDEX('Reguler Class Availability'!$J:$J,AP97)&amp;""))))</f>
        <v>Kosong  0/4  (0%)
coach: –</v>
      </c>
      <c r="E97" s="67" t="str">
        <f aca="false">IF(AQ97="","",IF(AY97="Tidak dibuka","–",IF(INDEX('Reguler Class Availability'!$B:$B,AQ97)&amp;""="","Kosong",PROPER(INDEX('Reguler Class Availability'!$B:$B,AQ97)&amp;""))&amp;"  "&amp;IFERROR(--(INDEX('Reguler Class Availability'!$G:$G,AQ97)&amp;""),0)&amp;"/"&amp;IFERROR(--(INDEX('Reguler Class Availability'!$F:$F,AQ97)&amp;""),0)&amp;IF(IFERROR(--(INDEX('Reguler Class Availability'!$F:$F,AQ97)&amp;""),0)&gt;0,"  ("&amp;TEXT(IFERROR(--(INDEX('Reguler Class Availability'!$G:$G,AQ97)&amp;""),0)/IFERROR(--(INDEX('Reguler Class Availability'!$F:$F,AQ97)&amp;""),0),"0%")&amp;")","")&amp;CHAR(10)&amp;IF(INDEX('Reguler Class Availability'!$I:$I,AQ97)&amp;""="","coach: –",PROPER(INDEX('Reguler Class Availability'!$I:$I,AQ97)&amp;""))&amp;IF(INDEX('Reguler Class Availability'!$J:$J,AQ97)&amp;""="","",CHAR(10)&amp;"asst: "&amp;PROPER(INDEX('Reguler Class Availability'!$J:$J,AQ97)&amp;""))))</f>
        <v>Kosong  0/4  (0%)
coach: –</v>
      </c>
      <c r="F97" s="67" t="str">
        <f aca="false">IF(AR97="","",IF(AZ97="Tidak dibuka","–",IF(INDEX('Reguler Class Availability'!$B:$B,AR97)&amp;""="","Kosong",PROPER(INDEX('Reguler Class Availability'!$B:$B,AR97)&amp;""))&amp;"  "&amp;IFERROR(--(INDEX('Reguler Class Availability'!$G:$G,AR97)&amp;""),0)&amp;"/"&amp;IFERROR(--(INDEX('Reguler Class Availability'!$F:$F,AR97)&amp;""),0)&amp;IF(IFERROR(--(INDEX('Reguler Class Availability'!$F:$F,AR97)&amp;""),0)&gt;0,"  ("&amp;TEXT(IFERROR(--(INDEX('Reguler Class Availability'!$G:$G,AR97)&amp;""),0)/IFERROR(--(INDEX('Reguler Class Availability'!$F:$F,AR97)&amp;""),0),"0%")&amp;")","")&amp;CHAR(10)&amp;IF(INDEX('Reguler Class Availability'!$I:$I,AR97)&amp;""="","coach: –",PROPER(INDEX('Reguler Class Availability'!$I:$I,AR97)&amp;""))&amp;IF(INDEX('Reguler Class Availability'!$J:$J,AR97)&amp;""="","",CHAR(10)&amp;"asst: "&amp;PROPER(INDEX('Reguler Class Availability'!$J:$J,AR97)&amp;""))))</f>
        <v>Kosong  0/4  (0%)
coach: –</v>
      </c>
      <c r="G97" s="67" t="str">
        <f aca="false">IF(AS97="","",IF(BA97="Tidak dibuka","–",IF(INDEX('Reguler Class Availability'!$B:$B,AS97)&amp;""="","Kosong",PROPER(INDEX('Reguler Class Availability'!$B:$B,AS97)&amp;""))&amp;"  "&amp;IFERROR(--(INDEX('Reguler Class Availability'!$G:$G,AS97)&amp;""),0)&amp;"/"&amp;IFERROR(--(INDEX('Reguler Class Availability'!$F:$F,AS97)&amp;""),0)&amp;IF(IFERROR(--(INDEX('Reguler Class Availability'!$F:$F,AS97)&amp;""),0)&gt;0,"  ("&amp;TEXT(IFERROR(--(INDEX('Reguler Class Availability'!$G:$G,AS97)&amp;""),0)/IFERROR(--(INDEX('Reguler Class Availability'!$F:$F,AS97)&amp;""),0),"0%")&amp;")","")&amp;CHAR(10)&amp;IF(INDEX('Reguler Class Availability'!$I:$I,AS97)&amp;""="","coach: –",PROPER(INDEX('Reguler Class Availability'!$I:$I,AS97)&amp;""))&amp;IF(INDEX('Reguler Class Availability'!$J:$J,AS97)&amp;""="","",CHAR(10)&amp;"asst: "&amp;PROPER(INDEX('Reguler Class Availability'!$J:$J,AS97)&amp;""))))</f>
        <v>Kosong  0/4  (0%)
coach: –</v>
      </c>
      <c r="H97" s="67" t="str">
        <f aca="false">IF(AT97="","",IF(BB97="Tidak dibuka","–",IF(INDEX('Reguler Class Availability'!$B:$B,AT97)&amp;""="","Kosong",PROPER(INDEX('Reguler Class Availability'!$B:$B,AT97)&amp;""))&amp;"  "&amp;IFERROR(--(INDEX('Reguler Class Availability'!$G:$G,AT97)&amp;""),0)&amp;"/"&amp;IFERROR(--(INDEX('Reguler Class Availability'!$F:$F,AT97)&amp;""),0)&amp;IF(IFERROR(--(INDEX('Reguler Class Availability'!$F:$F,AT97)&amp;""),0)&gt;0,"  ("&amp;TEXT(IFERROR(--(INDEX('Reguler Class Availability'!$G:$G,AT97)&amp;""),0)/IFERROR(--(INDEX('Reguler Class Availability'!$F:$F,AT97)&amp;""),0),"0%")&amp;")","")&amp;CHAR(10)&amp;IF(INDEX('Reguler Class Availability'!$I:$I,AT97)&amp;""="","coach: –",PROPER(INDEX('Reguler Class Availability'!$I:$I,AT97)&amp;""))&amp;IF(INDEX('Reguler Class Availability'!$J:$J,AT97)&amp;""="","",CHAR(10)&amp;"asst: "&amp;PROPER(INDEX('Reguler Class Availability'!$J:$J,AT97)&amp;""))))</f>
        <v>Kosong  0/4  (0%)
coach: –</v>
      </c>
      <c r="AN97" s="30" t="n">
        <f aca="false">IF($A97="","",IFERROR(MATCH($B$4&amp;"|- Lane 5 - "&amp;B$87&amp;"|"&amp;$A97,'Reguler Class Availability'!$L:$L,0),""))</f>
        <v>2769</v>
      </c>
      <c r="AO97" s="30" t="n">
        <f aca="false">IF($A97="","",IFERROR(MATCH($B$4&amp;"|- Lane 5 - "&amp;C$87&amp;"|"&amp;$A97,'Reguler Class Availability'!$L:$L,0),""))</f>
        <v>2781</v>
      </c>
      <c r="AP97" s="30" t="n">
        <f aca="false">IF($A97="","",IFERROR(MATCH($B$4&amp;"|- Lane 5 - "&amp;D$87&amp;"|"&amp;$A97,'Reguler Class Availability'!$L:$L,0),""))</f>
        <v>2793</v>
      </c>
      <c r="AQ97" s="30" t="n">
        <f aca="false">IF($A97="","",IFERROR(MATCH($B$4&amp;"|- Lane 5 - "&amp;E$87&amp;"|"&amp;$A97,'Reguler Class Availability'!$L:$L,0),""))</f>
        <v>2805</v>
      </c>
      <c r="AR97" s="30" t="n">
        <f aca="false">IF($A97="","",IFERROR(MATCH($B$4&amp;"|- Lane 5 - "&amp;F$87&amp;"|"&amp;$A97,'Reguler Class Availability'!$L:$L,0),""))</f>
        <v>2817</v>
      </c>
      <c r="AS97" s="30" t="n">
        <f aca="false">IF($A97="","",IFERROR(MATCH($B$4&amp;"|- Lane 5 - "&amp;G$87&amp;"|"&amp;$A97,'Reguler Class Availability'!$L:$L,0),""))</f>
        <v>2829</v>
      </c>
      <c r="AT97" s="30" t="n">
        <f aca="false">IF($A97="","",IFERROR(MATCH($B$4&amp;"|- Lane 5 - "&amp;H$87&amp;"|"&amp;$A97,'Reguler Class Availability'!$L:$L,0),""))</f>
        <v>2841</v>
      </c>
      <c r="AV97" s="0" t="str">
        <f aca="false">IF(AN97="","",IF(AND(IFERROR(--(INDEX('Reguler Class Availability'!$F:$F,AN97)&amp;""),0)=0,IFERROR(--(INDEX('Reguler Class Availability'!$G:$G,AN97)&amp;""),0)=0),IF(OR(INDEX('Reguler Class Availability'!$B:$B,AN97)&amp;""&lt;&gt;"",INDEX('Reguler Class Availability'!$I:$I,AN97)&amp;""&lt;&gt;""),"Tutup","Tidak dibuka"),IF(IFERROR(--(INDEX('Reguler Class Availability'!$G:$G,AN97)&amp;""),0)&gt;IFERROR(--(INDEX('Reguler Class Availability'!$F:$F,AN97)&amp;""),0),"Lebih",IF(IFERROR(--(INDEX('Reguler Class Availability'!$G:$G,AN97)&amp;""),0)=IFERROR(--(INDEX('Reguler Class Availability'!$F:$F,AN97)&amp;""),0),"Penuh",IF(IFERROR(--(INDEX('Reguler Class Availability'!$G:$G,AN97)&amp;""),0)=0,IF(INDEX('Reguler Class Availability'!$B:$B,AN97)&amp;""="","Kosong","Belum terisi"),IF(IFERROR(--(INDEX('Reguler Class Availability'!$G:$G,AN97)&amp;""),0)/IFERROR(--(INDEX('Reguler Class Availability'!$F:$F,AN97)&amp;""),0)&gt;=0.6,"Tinggi","Sebagian"))))))</f>
        <v>Kosong</v>
      </c>
      <c r="AW97" s="0" t="str">
        <f aca="false">IF(AO97="","",IF(AND(IFERROR(--(INDEX('Reguler Class Availability'!$F:$F,AO97)&amp;""),0)=0,IFERROR(--(INDEX('Reguler Class Availability'!$G:$G,AO97)&amp;""),0)=0),IF(OR(INDEX('Reguler Class Availability'!$B:$B,AO97)&amp;""&lt;&gt;"",INDEX('Reguler Class Availability'!$I:$I,AO97)&amp;""&lt;&gt;""),"Tutup","Tidak dibuka"),IF(IFERROR(--(INDEX('Reguler Class Availability'!$G:$G,AO97)&amp;""),0)&gt;IFERROR(--(INDEX('Reguler Class Availability'!$F:$F,AO97)&amp;""),0),"Lebih",IF(IFERROR(--(INDEX('Reguler Class Availability'!$G:$G,AO97)&amp;""),0)=IFERROR(--(INDEX('Reguler Class Availability'!$F:$F,AO97)&amp;""),0),"Penuh",IF(IFERROR(--(INDEX('Reguler Class Availability'!$G:$G,AO97)&amp;""),0)=0,IF(INDEX('Reguler Class Availability'!$B:$B,AO97)&amp;""="","Kosong","Belum terisi"),IF(IFERROR(--(INDEX('Reguler Class Availability'!$G:$G,AO97)&amp;""),0)/IFERROR(--(INDEX('Reguler Class Availability'!$F:$F,AO97)&amp;""),0)&gt;=0.6,"Tinggi","Sebagian"))))))</f>
        <v>Kosong</v>
      </c>
      <c r="AX97" s="0" t="str">
        <f aca="false">IF(AP97="","",IF(AND(IFERROR(--(INDEX('Reguler Class Availability'!$F:$F,AP97)&amp;""),0)=0,IFERROR(--(INDEX('Reguler Class Availability'!$G:$G,AP97)&amp;""),0)=0),IF(OR(INDEX('Reguler Class Availability'!$B:$B,AP97)&amp;""&lt;&gt;"",INDEX('Reguler Class Availability'!$I:$I,AP97)&amp;""&lt;&gt;""),"Tutup","Tidak dibuka"),IF(IFERROR(--(INDEX('Reguler Class Availability'!$G:$G,AP97)&amp;""),0)&gt;IFERROR(--(INDEX('Reguler Class Availability'!$F:$F,AP97)&amp;""),0),"Lebih",IF(IFERROR(--(INDEX('Reguler Class Availability'!$G:$G,AP97)&amp;""),0)=IFERROR(--(INDEX('Reguler Class Availability'!$F:$F,AP97)&amp;""),0),"Penuh",IF(IFERROR(--(INDEX('Reguler Class Availability'!$G:$G,AP97)&amp;""),0)=0,IF(INDEX('Reguler Class Availability'!$B:$B,AP97)&amp;""="","Kosong","Belum terisi"),IF(IFERROR(--(INDEX('Reguler Class Availability'!$G:$G,AP97)&amp;""),0)/IFERROR(--(INDEX('Reguler Class Availability'!$F:$F,AP97)&amp;""),0)&gt;=0.6,"Tinggi","Sebagian"))))))</f>
        <v>Kosong</v>
      </c>
      <c r="AY97" s="0" t="str">
        <f aca="false">IF(AQ97="","",IF(AND(IFERROR(--(INDEX('Reguler Class Availability'!$F:$F,AQ97)&amp;""),0)=0,IFERROR(--(INDEX('Reguler Class Availability'!$G:$G,AQ97)&amp;""),0)=0),IF(OR(INDEX('Reguler Class Availability'!$B:$B,AQ97)&amp;""&lt;&gt;"",INDEX('Reguler Class Availability'!$I:$I,AQ97)&amp;""&lt;&gt;""),"Tutup","Tidak dibuka"),IF(IFERROR(--(INDEX('Reguler Class Availability'!$G:$G,AQ97)&amp;""),0)&gt;IFERROR(--(INDEX('Reguler Class Availability'!$F:$F,AQ97)&amp;""),0),"Lebih",IF(IFERROR(--(INDEX('Reguler Class Availability'!$G:$G,AQ97)&amp;""),0)=IFERROR(--(INDEX('Reguler Class Availability'!$F:$F,AQ97)&amp;""),0),"Penuh",IF(IFERROR(--(INDEX('Reguler Class Availability'!$G:$G,AQ97)&amp;""),0)=0,IF(INDEX('Reguler Class Availability'!$B:$B,AQ97)&amp;""="","Kosong","Belum terisi"),IF(IFERROR(--(INDEX('Reguler Class Availability'!$G:$G,AQ97)&amp;""),0)/IFERROR(--(INDEX('Reguler Class Availability'!$F:$F,AQ97)&amp;""),0)&gt;=0.6,"Tinggi","Sebagian"))))))</f>
        <v>Kosong</v>
      </c>
      <c r="AZ97" s="0" t="str">
        <f aca="false">IF(AR97="","",IF(AND(IFERROR(--(INDEX('Reguler Class Availability'!$F:$F,AR97)&amp;""),0)=0,IFERROR(--(INDEX('Reguler Class Availability'!$G:$G,AR97)&amp;""),0)=0),IF(OR(INDEX('Reguler Class Availability'!$B:$B,AR97)&amp;""&lt;&gt;"",INDEX('Reguler Class Availability'!$I:$I,AR97)&amp;""&lt;&gt;""),"Tutup","Tidak dibuka"),IF(IFERROR(--(INDEX('Reguler Class Availability'!$G:$G,AR97)&amp;""),0)&gt;IFERROR(--(INDEX('Reguler Class Availability'!$F:$F,AR97)&amp;""),0),"Lebih",IF(IFERROR(--(INDEX('Reguler Class Availability'!$G:$G,AR97)&amp;""),0)=IFERROR(--(INDEX('Reguler Class Availability'!$F:$F,AR97)&amp;""),0),"Penuh",IF(IFERROR(--(INDEX('Reguler Class Availability'!$G:$G,AR97)&amp;""),0)=0,IF(INDEX('Reguler Class Availability'!$B:$B,AR97)&amp;""="","Kosong","Belum terisi"),IF(IFERROR(--(INDEX('Reguler Class Availability'!$G:$G,AR97)&amp;""),0)/IFERROR(--(INDEX('Reguler Class Availability'!$F:$F,AR97)&amp;""),0)&gt;=0.6,"Tinggi","Sebagian"))))))</f>
        <v>Kosong</v>
      </c>
      <c r="BA97" s="0" t="str">
        <f aca="false">IF(AS97="","",IF(AND(IFERROR(--(INDEX('Reguler Class Availability'!$F:$F,AS97)&amp;""),0)=0,IFERROR(--(INDEX('Reguler Class Availability'!$G:$G,AS97)&amp;""),0)=0),IF(OR(INDEX('Reguler Class Availability'!$B:$B,AS97)&amp;""&lt;&gt;"",INDEX('Reguler Class Availability'!$I:$I,AS97)&amp;""&lt;&gt;""),"Tutup","Tidak dibuka"),IF(IFERROR(--(INDEX('Reguler Class Availability'!$G:$G,AS97)&amp;""),0)&gt;IFERROR(--(INDEX('Reguler Class Availability'!$F:$F,AS97)&amp;""),0),"Lebih",IF(IFERROR(--(INDEX('Reguler Class Availability'!$G:$G,AS97)&amp;""),0)=IFERROR(--(INDEX('Reguler Class Availability'!$F:$F,AS97)&amp;""),0),"Penuh",IF(IFERROR(--(INDEX('Reguler Class Availability'!$G:$G,AS97)&amp;""),0)=0,IF(INDEX('Reguler Class Availability'!$B:$B,AS97)&amp;""="","Kosong","Belum terisi"),IF(IFERROR(--(INDEX('Reguler Class Availability'!$G:$G,AS97)&amp;""),0)/IFERROR(--(INDEX('Reguler Class Availability'!$F:$F,AS97)&amp;""),0)&gt;=0.6,"Tinggi","Sebagian"))))))</f>
        <v>Kosong</v>
      </c>
      <c r="BB97" s="0" t="str">
        <f aca="false">IF(AT97="","",IF(AND(IFERROR(--(INDEX('Reguler Class Availability'!$F:$F,AT97)&amp;""),0)=0,IFERROR(--(INDEX('Reguler Class Availability'!$G:$G,AT97)&amp;""),0)=0),IF(OR(INDEX('Reguler Class Availability'!$B:$B,AT97)&amp;""&lt;&gt;"",INDEX('Reguler Class Availability'!$I:$I,AT97)&amp;""&lt;&gt;""),"Tutup","Tidak dibuka"),IF(IFERROR(--(INDEX('Reguler Class Availability'!$G:$G,AT97)&amp;""),0)&gt;IFERROR(--(INDEX('Reguler Class Availability'!$F:$F,AT97)&amp;""),0),"Lebih",IF(IFERROR(--(INDEX('Reguler Class Availability'!$G:$G,AT97)&amp;""),0)=IFERROR(--(INDEX('Reguler Class Availability'!$F:$F,AT97)&amp;""),0),"Penuh",IF(IFERROR(--(INDEX('Reguler Class Availability'!$G:$G,AT97)&amp;""),0)=0,IF(INDEX('Reguler Class Availability'!$B:$B,AT97)&amp;""="","Kosong","Belum terisi"),IF(IFERROR(--(INDEX('Reguler Class Availability'!$G:$G,AT97)&amp;""),0)/IFERROR(--(INDEX('Reguler Class Availability'!$F:$F,AT97)&amp;""),0)&gt;=0.6,"Tinggi","Sebagian"))))))</f>
        <v>Kosong</v>
      </c>
      <c r="BD97" s="30" t="s">
        <v>146</v>
      </c>
      <c r="BE97" s="30" t="n">
        <f aca="false">IF(COUNTIFS('Reguler Class Availability'!$L:$L,$B$4&amp;"|- Lane 2 - *|"&amp;BD97)&gt;0,1,0)</f>
        <v>1</v>
      </c>
      <c r="BF97" s="30" t="n">
        <f aca="false">BE97+BF96</f>
        <v>9</v>
      </c>
    </row>
    <row r="98" customFormat="false" ht="39.75" hidden="false" customHeight="true" outlineLevel="0" collapsed="false">
      <c r="A98" s="66" t="str">
        <f aca="false">IFERROR(INDEX($BD$242:$BD$301,MATCH(11,$BF$242:$BF$301,0)),"")</f>
        <v>16:15</v>
      </c>
      <c r="B98" s="67" t="str">
        <f aca="false">IF(AN98="","",IF(AV98="Tidak dibuka","–",IF(INDEX('Reguler Class Availability'!$B:$B,AN98)&amp;""="","Kosong",PROPER(INDEX('Reguler Class Availability'!$B:$B,AN98)&amp;""))&amp;"  "&amp;IFERROR(--(INDEX('Reguler Class Availability'!$G:$G,AN98)&amp;""),0)&amp;"/"&amp;IFERROR(--(INDEX('Reguler Class Availability'!$F:$F,AN98)&amp;""),0)&amp;IF(IFERROR(--(INDEX('Reguler Class Availability'!$F:$F,AN98)&amp;""),0)&gt;0,"  ("&amp;TEXT(IFERROR(--(INDEX('Reguler Class Availability'!$G:$G,AN98)&amp;""),0)/IFERROR(--(INDEX('Reguler Class Availability'!$F:$F,AN98)&amp;""),0),"0%")&amp;")","")&amp;CHAR(10)&amp;IF(INDEX('Reguler Class Availability'!$I:$I,AN98)&amp;""="","coach: –",PROPER(INDEX('Reguler Class Availability'!$I:$I,AN98)&amp;""))&amp;IF(INDEX('Reguler Class Availability'!$J:$J,AN98)&amp;""="","",CHAR(10)&amp;"asst: "&amp;PROPER(INDEX('Reguler Class Availability'!$J:$J,AN98)&amp;""))))</f>
        <v>Kosong  0/4  (0%)
coach: –</v>
      </c>
      <c r="C98" s="67" t="str">
        <f aca="false">IF(AO98="","",IF(AW98="Tidak dibuka","–",IF(INDEX('Reguler Class Availability'!$B:$B,AO98)&amp;""="","Kosong",PROPER(INDEX('Reguler Class Availability'!$B:$B,AO98)&amp;""))&amp;"  "&amp;IFERROR(--(INDEX('Reguler Class Availability'!$G:$G,AO98)&amp;""),0)&amp;"/"&amp;IFERROR(--(INDEX('Reguler Class Availability'!$F:$F,AO98)&amp;""),0)&amp;IF(IFERROR(--(INDEX('Reguler Class Availability'!$F:$F,AO98)&amp;""),0)&gt;0,"  ("&amp;TEXT(IFERROR(--(INDEX('Reguler Class Availability'!$G:$G,AO98)&amp;""),0)/IFERROR(--(INDEX('Reguler Class Availability'!$F:$F,AO98)&amp;""),0),"0%")&amp;")","")&amp;CHAR(10)&amp;IF(INDEX('Reguler Class Availability'!$I:$I,AO98)&amp;""="","coach: –",PROPER(INDEX('Reguler Class Availability'!$I:$I,AO98)&amp;""))&amp;IF(INDEX('Reguler Class Availability'!$J:$J,AO98)&amp;""="","",CHAR(10)&amp;"asst: "&amp;PROPER(INDEX('Reguler Class Availability'!$J:$J,AO98)&amp;""))))</f>
        <v>Kosong  0/4  (0%)
coach: –</v>
      </c>
      <c r="D98" s="67" t="str">
        <f aca="false">IF(AP98="","",IF(AX98="Tidak dibuka","–",IF(INDEX('Reguler Class Availability'!$B:$B,AP98)&amp;""="","Kosong",PROPER(INDEX('Reguler Class Availability'!$B:$B,AP98)&amp;""))&amp;"  "&amp;IFERROR(--(INDEX('Reguler Class Availability'!$G:$G,AP98)&amp;""),0)&amp;"/"&amp;IFERROR(--(INDEX('Reguler Class Availability'!$F:$F,AP98)&amp;""),0)&amp;IF(IFERROR(--(INDEX('Reguler Class Availability'!$F:$F,AP98)&amp;""),0)&gt;0,"  ("&amp;TEXT(IFERROR(--(INDEX('Reguler Class Availability'!$G:$G,AP98)&amp;""),0)/IFERROR(--(INDEX('Reguler Class Availability'!$F:$F,AP98)&amp;""),0),"0%")&amp;")","")&amp;CHAR(10)&amp;IF(INDEX('Reguler Class Availability'!$I:$I,AP98)&amp;""="","coach: –",PROPER(INDEX('Reguler Class Availability'!$I:$I,AP98)&amp;""))&amp;IF(INDEX('Reguler Class Availability'!$J:$J,AP98)&amp;""="","",CHAR(10)&amp;"asst: "&amp;PROPER(INDEX('Reguler Class Availability'!$J:$J,AP98)&amp;""))))</f>
        <v>Kosong  0/4  (0%)
coach: –</v>
      </c>
      <c r="E98" s="67" t="str">
        <f aca="false">IF(AQ98="","",IF(AY98="Tidak dibuka","–",IF(INDEX('Reguler Class Availability'!$B:$B,AQ98)&amp;""="","Kosong",PROPER(INDEX('Reguler Class Availability'!$B:$B,AQ98)&amp;""))&amp;"  "&amp;IFERROR(--(INDEX('Reguler Class Availability'!$G:$G,AQ98)&amp;""),0)&amp;"/"&amp;IFERROR(--(INDEX('Reguler Class Availability'!$F:$F,AQ98)&amp;""),0)&amp;IF(IFERROR(--(INDEX('Reguler Class Availability'!$F:$F,AQ98)&amp;""),0)&gt;0,"  ("&amp;TEXT(IFERROR(--(INDEX('Reguler Class Availability'!$G:$G,AQ98)&amp;""),0)/IFERROR(--(INDEX('Reguler Class Availability'!$F:$F,AQ98)&amp;""),0),"0%")&amp;")","")&amp;CHAR(10)&amp;IF(INDEX('Reguler Class Availability'!$I:$I,AQ98)&amp;""="","coach: –",PROPER(INDEX('Reguler Class Availability'!$I:$I,AQ98)&amp;""))&amp;IF(INDEX('Reguler Class Availability'!$J:$J,AQ98)&amp;""="","",CHAR(10)&amp;"asst: "&amp;PROPER(INDEX('Reguler Class Availability'!$J:$J,AQ98)&amp;""))))</f>
        <v>Kosong  0/4  (0%)
coach: –</v>
      </c>
      <c r="F98" s="67" t="str">
        <f aca="false">IF(AR98="","",IF(AZ98="Tidak dibuka","–",IF(INDEX('Reguler Class Availability'!$B:$B,AR98)&amp;""="","Kosong",PROPER(INDEX('Reguler Class Availability'!$B:$B,AR98)&amp;""))&amp;"  "&amp;IFERROR(--(INDEX('Reguler Class Availability'!$G:$G,AR98)&amp;""),0)&amp;"/"&amp;IFERROR(--(INDEX('Reguler Class Availability'!$F:$F,AR98)&amp;""),0)&amp;IF(IFERROR(--(INDEX('Reguler Class Availability'!$F:$F,AR98)&amp;""),0)&gt;0,"  ("&amp;TEXT(IFERROR(--(INDEX('Reguler Class Availability'!$G:$G,AR98)&amp;""),0)/IFERROR(--(INDEX('Reguler Class Availability'!$F:$F,AR98)&amp;""),0),"0%")&amp;")","")&amp;CHAR(10)&amp;IF(INDEX('Reguler Class Availability'!$I:$I,AR98)&amp;""="","coach: –",PROPER(INDEX('Reguler Class Availability'!$I:$I,AR98)&amp;""))&amp;IF(INDEX('Reguler Class Availability'!$J:$J,AR98)&amp;""="","",CHAR(10)&amp;"asst: "&amp;PROPER(INDEX('Reguler Class Availability'!$J:$J,AR98)&amp;""))))</f>
        <v>Kosong  0/4  (0%)
coach: –</v>
      </c>
      <c r="G98" s="67" t="str">
        <f aca="false">IF(AS98="","",IF(BA98="Tidak dibuka","–",IF(INDEX('Reguler Class Availability'!$B:$B,AS98)&amp;""="","Kosong",PROPER(INDEX('Reguler Class Availability'!$B:$B,AS98)&amp;""))&amp;"  "&amp;IFERROR(--(INDEX('Reguler Class Availability'!$G:$G,AS98)&amp;""),0)&amp;"/"&amp;IFERROR(--(INDEX('Reguler Class Availability'!$F:$F,AS98)&amp;""),0)&amp;IF(IFERROR(--(INDEX('Reguler Class Availability'!$F:$F,AS98)&amp;""),0)&gt;0,"  ("&amp;TEXT(IFERROR(--(INDEX('Reguler Class Availability'!$G:$G,AS98)&amp;""),0)/IFERROR(--(INDEX('Reguler Class Availability'!$F:$F,AS98)&amp;""),0),"0%")&amp;")","")&amp;CHAR(10)&amp;IF(INDEX('Reguler Class Availability'!$I:$I,AS98)&amp;""="","coach: –",PROPER(INDEX('Reguler Class Availability'!$I:$I,AS98)&amp;""))&amp;IF(INDEX('Reguler Class Availability'!$J:$J,AS98)&amp;""="","",CHAR(10)&amp;"asst: "&amp;PROPER(INDEX('Reguler Class Availability'!$J:$J,AS98)&amp;""))))</f>
        <v>Kosong  0/4  (0%)
coach: –</v>
      </c>
      <c r="H98" s="67" t="str">
        <f aca="false">IF(AT98="","",IF(BB98="Tidak dibuka","–",IF(INDEX('Reguler Class Availability'!$B:$B,AT98)&amp;""="","Kosong",PROPER(INDEX('Reguler Class Availability'!$B:$B,AT98)&amp;""))&amp;"  "&amp;IFERROR(--(INDEX('Reguler Class Availability'!$G:$G,AT98)&amp;""),0)&amp;"/"&amp;IFERROR(--(INDEX('Reguler Class Availability'!$F:$F,AT98)&amp;""),0)&amp;IF(IFERROR(--(INDEX('Reguler Class Availability'!$F:$F,AT98)&amp;""),0)&gt;0,"  ("&amp;TEXT(IFERROR(--(INDEX('Reguler Class Availability'!$G:$G,AT98)&amp;""),0)/IFERROR(--(INDEX('Reguler Class Availability'!$F:$F,AT98)&amp;""),0),"0%")&amp;")","")&amp;CHAR(10)&amp;IF(INDEX('Reguler Class Availability'!$I:$I,AT98)&amp;""="","coach: –",PROPER(INDEX('Reguler Class Availability'!$I:$I,AT98)&amp;""))&amp;IF(INDEX('Reguler Class Availability'!$J:$J,AT98)&amp;""="","",CHAR(10)&amp;"asst: "&amp;PROPER(INDEX('Reguler Class Availability'!$J:$J,AT98)&amp;""))))</f>
        <v>Kosong  0/4  (0%)
coach: –</v>
      </c>
      <c r="AN98" s="30" t="n">
        <f aca="false">IF($A98="","",IFERROR(MATCH($B$4&amp;"|- Lane 5 - "&amp;B$87&amp;"|"&amp;$A98,'Reguler Class Availability'!$L:$L,0),""))</f>
        <v>2770</v>
      </c>
      <c r="AO98" s="30" t="n">
        <f aca="false">IF($A98="","",IFERROR(MATCH($B$4&amp;"|- Lane 5 - "&amp;C$87&amp;"|"&amp;$A98,'Reguler Class Availability'!$L:$L,0),""))</f>
        <v>2782</v>
      </c>
      <c r="AP98" s="30" t="n">
        <f aca="false">IF($A98="","",IFERROR(MATCH($B$4&amp;"|- Lane 5 - "&amp;D$87&amp;"|"&amp;$A98,'Reguler Class Availability'!$L:$L,0),""))</f>
        <v>2794</v>
      </c>
      <c r="AQ98" s="30" t="n">
        <f aca="false">IF($A98="","",IFERROR(MATCH($B$4&amp;"|- Lane 5 - "&amp;E$87&amp;"|"&amp;$A98,'Reguler Class Availability'!$L:$L,0),""))</f>
        <v>2806</v>
      </c>
      <c r="AR98" s="30" t="n">
        <f aca="false">IF($A98="","",IFERROR(MATCH($B$4&amp;"|- Lane 5 - "&amp;F$87&amp;"|"&amp;$A98,'Reguler Class Availability'!$L:$L,0),""))</f>
        <v>2818</v>
      </c>
      <c r="AS98" s="30" t="n">
        <f aca="false">IF($A98="","",IFERROR(MATCH($B$4&amp;"|- Lane 5 - "&amp;G$87&amp;"|"&amp;$A98,'Reguler Class Availability'!$L:$L,0),""))</f>
        <v>2830</v>
      </c>
      <c r="AT98" s="30" t="n">
        <f aca="false">IF($A98="","",IFERROR(MATCH($B$4&amp;"|- Lane 5 - "&amp;H$87&amp;"|"&amp;$A98,'Reguler Class Availability'!$L:$L,0),""))</f>
        <v>2842</v>
      </c>
      <c r="AV98" s="0" t="str">
        <f aca="false">IF(AN98="","",IF(AND(IFERROR(--(INDEX('Reguler Class Availability'!$F:$F,AN98)&amp;""),0)=0,IFERROR(--(INDEX('Reguler Class Availability'!$G:$G,AN98)&amp;""),0)=0),IF(OR(INDEX('Reguler Class Availability'!$B:$B,AN98)&amp;""&lt;&gt;"",INDEX('Reguler Class Availability'!$I:$I,AN98)&amp;""&lt;&gt;""),"Tutup","Tidak dibuka"),IF(IFERROR(--(INDEX('Reguler Class Availability'!$G:$G,AN98)&amp;""),0)&gt;IFERROR(--(INDEX('Reguler Class Availability'!$F:$F,AN98)&amp;""),0),"Lebih",IF(IFERROR(--(INDEX('Reguler Class Availability'!$G:$G,AN98)&amp;""),0)=IFERROR(--(INDEX('Reguler Class Availability'!$F:$F,AN98)&amp;""),0),"Penuh",IF(IFERROR(--(INDEX('Reguler Class Availability'!$G:$G,AN98)&amp;""),0)=0,IF(INDEX('Reguler Class Availability'!$B:$B,AN98)&amp;""="","Kosong","Belum terisi"),IF(IFERROR(--(INDEX('Reguler Class Availability'!$G:$G,AN98)&amp;""),0)/IFERROR(--(INDEX('Reguler Class Availability'!$F:$F,AN98)&amp;""),0)&gt;=0.6,"Tinggi","Sebagian"))))))</f>
        <v>Kosong</v>
      </c>
      <c r="AW98" s="0" t="str">
        <f aca="false">IF(AO98="","",IF(AND(IFERROR(--(INDEX('Reguler Class Availability'!$F:$F,AO98)&amp;""),0)=0,IFERROR(--(INDEX('Reguler Class Availability'!$G:$G,AO98)&amp;""),0)=0),IF(OR(INDEX('Reguler Class Availability'!$B:$B,AO98)&amp;""&lt;&gt;"",INDEX('Reguler Class Availability'!$I:$I,AO98)&amp;""&lt;&gt;""),"Tutup","Tidak dibuka"),IF(IFERROR(--(INDEX('Reguler Class Availability'!$G:$G,AO98)&amp;""),0)&gt;IFERROR(--(INDEX('Reguler Class Availability'!$F:$F,AO98)&amp;""),0),"Lebih",IF(IFERROR(--(INDEX('Reguler Class Availability'!$G:$G,AO98)&amp;""),0)=IFERROR(--(INDEX('Reguler Class Availability'!$F:$F,AO98)&amp;""),0),"Penuh",IF(IFERROR(--(INDEX('Reguler Class Availability'!$G:$G,AO98)&amp;""),0)=0,IF(INDEX('Reguler Class Availability'!$B:$B,AO98)&amp;""="","Kosong","Belum terisi"),IF(IFERROR(--(INDEX('Reguler Class Availability'!$G:$G,AO98)&amp;""),0)/IFERROR(--(INDEX('Reguler Class Availability'!$F:$F,AO98)&amp;""),0)&gt;=0.6,"Tinggi","Sebagian"))))))</f>
        <v>Kosong</v>
      </c>
      <c r="AX98" s="0" t="str">
        <f aca="false">IF(AP98="","",IF(AND(IFERROR(--(INDEX('Reguler Class Availability'!$F:$F,AP98)&amp;""),0)=0,IFERROR(--(INDEX('Reguler Class Availability'!$G:$G,AP98)&amp;""),0)=0),IF(OR(INDEX('Reguler Class Availability'!$B:$B,AP98)&amp;""&lt;&gt;"",INDEX('Reguler Class Availability'!$I:$I,AP98)&amp;""&lt;&gt;""),"Tutup","Tidak dibuka"),IF(IFERROR(--(INDEX('Reguler Class Availability'!$G:$G,AP98)&amp;""),0)&gt;IFERROR(--(INDEX('Reguler Class Availability'!$F:$F,AP98)&amp;""),0),"Lebih",IF(IFERROR(--(INDEX('Reguler Class Availability'!$G:$G,AP98)&amp;""),0)=IFERROR(--(INDEX('Reguler Class Availability'!$F:$F,AP98)&amp;""),0),"Penuh",IF(IFERROR(--(INDEX('Reguler Class Availability'!$G:$G,AP98)&amp;""),0)=0,IF(INDEX('Reguler Class Availability'!$B:$B,AP98)&amp;""="","Kosong","Belum terisi"),IF(IFERROR(--(INDEX('Reguler Class Availability'!$G:$G,AP98)&amp;""),0)/IFERROR(--(INDEX('Reguler Class Availability'!$F:$F,AP98)&amp;""),0)&gt;=0.6,"Tinggi","Sebagian"))))))</f>
        <v>Kosong</v>
      </c>
      <c r="AY98" s="0" t="str">
        <f aca="false">IF(AQ98="","",IF(AND(IFERROR(--(INDEX('Reguler Class Availability'!$F:$F,AQ98)&amp;""),0)=0,IFERROR(--(INDEX('Reguler Class Availability'!$G:$G,AQ98)&amp;""),0)=0),IF(OR(INDEX('Reguler Class Availability'!$B:$B,AQ98)&amp;""&lt;&gt;"",INDEX('Reguler Class Availability'!$I:$I,AQ98)&amp;""&lt;&gt;""),"Tutup","Tidak dibuka"),IF(IFERROR(--(INDEX('Reguler Class Availability'!$G:$G,AQ98)&amp;""),0)&gt;IFERROR(--(INDEX('Reguler Class Availability'!$F:$F,AQ98)&amp;""),0),"Lebih",IF(IFERROR(--(INDEX('Reguler Class Availability'!$G:$G,AQ98)&amp;""),0)=IFERROR(--(INDEX('Reguler Class Availability'!$F:$F,AQ98)&amp;""),0),"Penuh",IF(IFERROR(--(INDEX('Reguler Class Availability'!$G:$G,AQ98)&amp;""),0)=0,IF(INDEX('Reguler Class Availability'!$B:$B,AQ98)&amp;""="","Kosong","Belum terisi"),IF(IFERROR(--(INDEX('Reguler Class Availability'!$G:$G,AQ98)&amp;""),0)/IFERROR(--(INDEX('Reguler Class Availability'!$F:$F,AQ98)&amp;""),0)&gt;=0.6,"Tinggi","Sebagian"))))))</f>
        <v>Kosong</v>
      </c>
      <c r="AZ98" s="0" t="str">
        <f aca="false">IF(AR98="","",IF(AND(IFERROR(--(INDEX('Reguler Class Availability'!$F:$F,AR98)&amp;""),0)=0,IFERROR(--(INDEX('Reguler Class Availability'!$G:$G,AR98)&amp;""),0)=0),IF(OR(INDEX('Reguler Class Availability'!$B:$B,AR98)&amp;""&lt;&gt;"",INDEX('Reguler Class Availability'!$I:$I,AR98)&amp;""&lt;&gt;""),"Tutup","Tidak dibuka"),IF(IFERROR(--(INDEX('Reguler Class Availability'!$G:$G,AR98)&amp;""),0)&gt;IFERROR(--(INDEX('Reguler Class Availability'!$F:$F,AR98)&amp;""),0),"Lebih",IF(IFERROR(--(INDEX('Reguler Class Availability'!$G:$G,AR98)&amp;""),0)=IFERROR(--(INDEX('Reguler Class Availability'!$F:$F,AR98)&amp;""),0),"Penuh",IF(IFERROR(--(INDEX('Reguler Class Availability'!$G:$G,AR98)&amp;""),0)=0,IF(INDEX('Reguler Class Availability'!$B:$B,AR98)&amp;""="","Kosong","Belum terisi"),IF(IFERROR(--(INDEX('Reguler Class Availability'!$G:$G,AR98)&amp;""),0)/IFERROR(--(INDEX('Reguler Class Availability'!$F:$F,AR98)&amp;""),0)&gt;=0.6,"Tinggi","Sebagian"))))))</f>
        <v>Kosong</v>
      </c>
      <c r="BA98" s="0" t="str">
        <f aca="false">IF(AS98="","",IF(AND(IFERROR(--(INDEX('Reguler Class Availability'!$F:$F,AS98)&amp;""),0)=0,IFERROR(--(INDEX('Reguler Class Availability'!$G:$G,AS98)&amp;""),0)=0),IF(OR(INDEX('Reguler Class Availability'!$B:$B,AS98)&amp;""&lt;&gt;"",INDEX('Reguler Class Availability'!$I:$I,AS98)&amp;""&lt;&gt;""),"Tutup","Tidak dibuka"),IF(IFERROR(--(INDEX('Reguler Class Availability'!$G:$G,AS98)&amp;""),0)&gt;IFERROR(--(INDEX('Reguler Class Availability'!$F:$F,AS98)&amp;""),0),"Lebih",IF(IFERROR(--(INDEX('Reguler Class Availability'!$G:$G,AS98)&amp;""),0)=IFERROR(--(INDEX('Reguler Class Availability'!$F:$F,AS98)&amp;""),0),"Penuh",IF(IFERROR(--(INDEX('Reguler Class Availability'!$G:$G,AS98)&amp;""),0)=0,IF(INDEX('Reguler Class Availability'!$B:$B,AS98)&amp;""="","Kosong","Belum terisi"),IF(IFERROR(--(INDEX('Reguler Class Availability'!$G:$G,AS98)&amp;""),0)/IFERROR(--(INDEX('Reguler Class Availability'!$F:$F,AS98)&amp;""),0)&gt;=0.6,"Tinggi","Sebagian"))))))</f>
        <v>Kosong</v>
      </c>
      <c r="BB98" s="0" t="str">
        <f aca="false">IF(AT98="","",IF(AND(IFERROR(--(INDEX('Reguler Class Availability'!$F:$F,AT98)&amp;""),0)=0,IFERROR(--(INDEX('Reguler Class Availability'!$G:$G,AT98)&amp;""),0)=0),IF(OR(INDEX('Reguler Class Availability'!$B:$B,AT98)&amp;""&lt;&gt;"",INDEX('Reguler Class Availability'!$I:$I,AT98)&amp;""&lt;&gt;""),"Tutup","Tidak dibuka"),IF(IFERROR(--(INDEX('Reguler Class Availability'!$G:$G,AT98)&amp;""),0)&gt;IFERROR(--(INDEX('Reguler Class Availability'!$F:$F,AT98)&amp;""),0),"Lebih",IF(IFERROR(--(INDEX('Reguler Class Availability'!$G:$G,AT98)&amp;""),0)=IFERROR(--(INDEX('Reguler Class Availability'!$F:$F,AT98)&amp;""),0),"Penuh",IF(IFERROR(--(INDEX('Reguler Class Availability'!$G:$G,AT98)&amp;""),0)=0,IF(INDEX('Reguler Class Availability'!$B:$B,AT98)&amp;""="","Kosong","Belum terisi"),IF(IFERROR(--(INDEX('Reguler Class Availability'!$G:$G,AT98)&amp;""),0)/IFERROR(--(INDEX('Reguler Class Availability'!$F:$F,AT98)&amp;""),0)&gt;=0.6,"Tinggi","Sebagian"))))))</f>
        <v>Kosong</v>
      </c>
      <c r="BD98" s="30" t="s">
        <v>147</v>
      </c>
      <c r="BE98" s="30" t="n">
        <f aca="false">IF(COUNTIFS('Reguler Class Availability'!$L:$L,$B$4&amp;"|- Lane 2 - *|"&amp;BD98)&gt;0,1,0)</f>
        <v>0</v>
      </c>
      <c r="BF98" s="30" t="n">
        <f aca="false">BE98+BF97</f>
        <v>9</v>
      </c>
    </row>
    <row r="99" customFormat="false" ht="39.75" hidden="false" customHeight="true" outlineLevel="0" collapsed="false">
      <c r="A99" s="66" t="str">
        <f aca="false">IFERROR(INDEX($BD$242:$BD$301,MATCH(12,$BF$242:$BF$301,0)),"")</f>
        <v>17:00</v>
      </c>
      <c r="B99" s="67" t="str">
        <f aca="false">IF(AN99="","",IF(AV99="Tidak dibuka","–",IF(INDEX('Reguler Class Availability'!$B:$B,AN99)&amp;""="","Kosong",PROPER(INDEX('Reguler Class Availability'!$B:$B,AN99)&amp;""))&amp;"  "&amp;IFERROR(--(INDEX('Reguler Class Availability'!$G:$G,AN99)&amp;""),0)&amp;"/"&amp;IFERROR(--(INDEX('Reguler Class Availability'!$F:$F,AN99)&amp;""),0)&amp;IF(IFERROR(--(INDEX('Reguler Class Availability'!$F:$F,AN99)&amp;""),0)&gt;0,"  ("&amp;TEXT(IFERROR(--(INDEX('Reguler Class Availability'!$G:$G,AN99)&amp;""),0)/IFERROR(--(INDEX('Reguler Class Availability'!$F:$F,AN99)&amp;""),0),"0%")&amp;")","")&amp;CHAR(10)&amp;IF(INDEX('Reguler Class Availability'!$I:$I,AN99)&amp;""="","coach: –",PROPER(INDEX('Reguler Class Availability'!$I:$I,AN99)&amp;""))&amp;IF(INDEX('Reguler Class Availability'!$J:$J,AN99)&amp;""="","",CHAR(10)&amp;"asst: "&amp;PROPER(INDEX('Reguler Class Availability'!$J:$J,AN99)&amp;""))))</f>
        <v>Kosong  0/4  (0%)
coach: –</v>
      </c>
      <c r="C99" s="67" t="str">
        <f aca="false">IF(AO99="","",IF(AW99="Tidak dibuka","–",IF(INDEX('Reguler Class Availability'!$B:$B,AO99)&amp;""="","Kosong",PROPER(INDEX('Reguler Class Availability'!$B:$B,AO99)&amp;""))&amp;"  "&amp;IFERROR(--(INDEX('Reguler Class Availability'!$G:$G,AO99)&amp;""),0)&amp;"/"&amp;IFERROR(--(INDEX('Reguler Class Availability'!$F:$F,AO99)&amp;""),0)&amp;IF(IFERROR(--(INDEX('Reguler Class Availability'!$F:$F,AO99)&amp;""),0)&gt;0,"  ("&amp;TEXT(IFERROR(--(INDEX('Reguler Class Availability'!$G:$G,AO99)&amp;""),0)/IFERROR(--(INDEX('Reguler Class Availability'!$F:$F,AO99)&amp;""),0),"0%")&amp;")","")&amp;CHAR(10)&amp;IF(INDEX('Reguler Class Availability'!$I:$I,AO99)&amp;""="","coach: –",PROPER(INDEX('Reguler Class Availability'!$I:$I,AO99)&amp;""))&amp;IF(INDEX('Reguler Class Availability'!$J:$J,AO99)&amp;""="","",CHAR(10)&amp;"asst: "&amp;PROPER(INDEX('Reguler Class Availability'!$J:$J,AO99)&amp;""))))</f>
        <v>Kosong  0/4  (0%)
coach: –</v>
      </c>
      <c r="D99" s="67" t="str">
        <f aca="false">IF(AP99="","",IF(AX99="Tidak dibuka","–",IF(INDEX('Reguler Class Availability'!$B:$B,AP99)&amp;""="","Kosong",PROPER(INDEX('Reguler Class Availability'!$B:$B,AP99)&amp;""))&amp;"  "&amp;IFERROR(--(INDEX('Reguler Class Availability'!$G:$G,AP99)&amp;""),0)&amp;"/"&amp;IFERROR(--(INDEX('Reguler Class Availability'!$F:$F,AP99)&amp;""),0)&amp;IF(IFERROR(--(INDEX('Reguler Class Availability'!$F:$F,AP99)&amp;""),0)&gt;0,"  ("&amp;TEXT(IFERROR(--(INDEX('Reguler Class Availability'!$G:$G,AP99)&amp;""),0)/IFERROR(--(INDEX('Reguler Class Availability'!$F:$F,AP99)&amp;""),0),"0%")&amp;")","")&amp;CHAR(10)&amp;IF(INDEX('Reguler Class Availability'!$I:$I,AP99)&amp;""="","coach: –",PROPER(INDEX('Reguler Class Availability'!$I:$I,AP99)&amp;""))&amp;IF(INDEX('Reguler Class Availability'!$J:$J,AP99)&amp;""="","",CHAR(10)&amp;"asst: "&amp;PROPER(INDEX('Reguler Class Availability'!$J:$J,AP99)&amp;""))))</f>
        <v>Kosong  0/4  (0%)
coach: –</v>
      </c>
      <c r="E99" s="67" t="str">
        <f aca="false">IF(AQ99="","",IF(AY99="Tidak dibuka","–",IF(INDEX('Reguler Class Availability'!$B:$B,AQ99)&amp;""="","Kosong",PROPER(INDEX('Reguler Class Availability'!$B:$B,AQ99)&amp;""))&amp;"  "&amp;IFERROR(--(INDEX('Reguler Class Availability'!$G:$G,AQ99)&amp;""),0)&amp;"/"&amp;IFERROR(--(INDEX('Reguler Class Availability'!$F:$F,AQ99)&amp;""),0)&amp;IF(IFERROR(--(INDEX('Reguler Class Availability'!$F:$F,AQ99)&amp;""),0)&gt;0,"  ("&amp;TEXT(IFERROR(--(INDEX('Reguler Class Availability'!$G:$G,AQ99)&amp;""),0)/IFERROR(--(INDEX('Reguler Class Availability'!$F:$F,AQ99)&amp;""),0),"0%")&amp;")","")&amp;CHAR(10)&amp;IF(INDEX('Reguler Class Availability'!$I:$I,AQ99)&amp;""="","coach: –",PROPER(INDEX('Reguler Class Availability'!$I:$I,AQ99)&amp;""))&amp;IF(INDEX('Reguler Class Availability'!$J:$J,AQ99)&amp;""="","",CHAR(10)&amp;"asst: "&amp;PROPER(INDEX('Reguler Class Availability'!$J:$J,AQ99)&amp;""))))</f>
        <v>Kosong  0/4  (0%)
coach: –</v>
      </c>
      <c r="F99" s="67" t="str">
        <f aca="false">IF(AR99="","",IF(AZ99="Tidak dibuka","–",IF(INDEX('Reguler Class Availability'!$B:$B,AR99)&amp;""="","Kosong",PROPER(INDEX('Reguler Class Availability'!$B:$B,AR99)&amp;""))&amp;"  "&amp;IFERROR(--(INDEX('Reguler Class Availability'!$G:$G,AR99)&amp;""),0)&amp;"/"&amp;IFERROR(--(INDEX('Reguler Class Availability'!$F:$F,AR99)&amp;""),0)&amp;IF(IFERROR(--(INDEX('Reguler Class Availability'!$F:$F,AR99)&amp;""),0)&gt;0,"  ("&amp;TEXT(IFERROR(--(INDEX('Reguler Class Availability'!$G:$G,AR99)&amp;""),0)/IFERROR(--(INDEX('Reguler Class Availability'!$F:$F,AR99)&amp;""),0),"0%")&amp;")","")&amp;CHAR(10)&amp;IF(INDEX('Reguler Class Availability'!$I:$I,AR99)&amp;""="","coach: –",PROPER(INDEX('Reguler Class Availability'!$I:$I,AR99)&amp;""))&amp;IF(INDEX('Reguler Class Availability'!$J:$J,AR99)&amp;""="","",CHAR(10)&amp;"asst: "&amp;PROPER(INDEX('Reguler Class Availability'!$J:$J,AR99)&amp;""))))</f>
        <v>Kosong  0/4  (0%)
coach: –</v>
      </c>
      <c r="G99" s="67" t="str">
        <f aca="false">IF(AS99="","",IF(BA99="Tidak dibuka","–",IF(INDEX('Reguler Class Availability'!$B:$B,AS99)&amp;""="","Kosong",PROPER(INDEX('Reguler Class Availability'!$B:$B,AS99)&amp;""))&amp;"  "&amp;IFERROR(--(INDEX('Reguler Class Availability'!$G:$G,AS99)&amp;""),0)&amp;"/"&amp;IFERROR(--(INDEX('Reguler Class Availability'!$F:$F,AS99)&amp;""),0)&amp;IF(IFERROR(--(INDEX('Reguler Class Availability'!$F:$F,AS99)&amp;""),0)&gt;0,"  ("&amp;TEXT(IFERROR(--(INDEX('Reguler Class Availability'!$G:$G,AS99)&amp;""),0)/IFERROR(--(INDEX('Reguler Class Availability'!$F:$F,AS99)&amp;""),0),"0%")&amp;")","")&amp;CHAR(10)&amp;IF(INDEX('Reguler Class Availability'!$I:$I,AS99)&amp;""="","coach: –",PROPER(INDEX('Reguler Class Availability'!$I:$I,AS99)&amp;""))&amp;IF(INDEX('Reguler Class Availability'!$J:$J,AS99)&amp;""="","",CHAR(10)&amp;"asst: "&amp;PROPER(INDEX('Reguler Class Availability'!$J:$J,AS99)&amp;""))))</f>
        <v>Kosong  0/4  (0%)
coach: –</v>
      </c>
      <c r="H99" s="67" t="str">
        <f aca="false">IF(AT99="","",IF(BB99="Tidak dibuka","–",IF(INDEX('Reguler Class Availability'!$B:$B,AT99)&amp;""="","Kosong",PROPER(INDEX('Reguler Class Availability'!$B:$B,AT99)&amp;""))&amp;"  "&amp;IFERROR(--(INDEX('Reguler Class Availability'!$G:$G,AT99)&amp;""),0)&amp;"/"&amp;IFERROR(--(INDEX('Reguler Class Availability'!$F:$F,AT99)&amp;""),0)&amp;IF(IFERROR(--(INDEX('Reguler Class Availability'!$F:$F,AT99)&amp;""),0)&gt;0,"  ("&amp;TEXT(IFERROR(--(INDEX('Reguler Class Availability'!$G:$G,AT99)&amp;""),0)/IFERROR(--(INDEX('Reguler Class Availability'!$F:$F,AT99)&amp;""),0),"0%")&amp;")","")&amp;CHAR(10)&amp;IF(INDEX('Reguler Class Availability'!$I:$I,AT99)&amp;""="","coach: –",PROPER(INDEX('Reguler Class Availability'!$I:$I,AT99)&amp;""))&amp;IF(INDEX('Reguler Class Availability'!$J:$J,AT99)&amp;""="","",CHAR(10)&amp;"asst: "&amp;PROPER(INDEX('Reguler Class Availability'!$J:$J,AT99)&amp;""))))</f>
        <v>Kosong  0/4  (0%)
coach: –</v>
      </c>
      <c r="AN99" s="30" t="n">
        <f aca="false">IF($A99="","",IFERROR(MATCH($B$4&amp;"|- Lane 5 - "&amp;B$87&amp;"|"&amp;$A99,'Reguler Class Availability'!$L:$L,0),""))</f>
        <v>2771</v>
      </c>
      <c r="AO99" s="30" t="n">
        <f aca="false">IF($A99="","",IFERROR(MATCH($B$4&amp;"|- Lane 5 - "&amp;C$87&amp;"|"&amp;$A99,'Reguler Class Availability'!$L:$L,0),""))</f>
        <v>2783</v>
      </c>
      <c r="AP99" s="30" t="n">
        <f aca="false">IF($A99="","",IFERROR(MATCH($B$4&amp;"|- Lane 5 - "&amp;D$87&amp;"|"&amp;$A99,'Reguler Class Availability'!$L:$L,0),""))</f>
        <v>2795</v>
      </c>
      <c r="AQ99" s="30" t="n">
        <f aca="false">IF($A99="","",IFERROR(MATCH($B$4&amp;"|- Lane 5 - "&amp;E$87&amp;"|"&amp;$A99,'Reguler Class Availability'!$L:$L,0),""))</f>
        <v>2807</v>
      </c>
      <c r="AR99" s="30" t="n">
        <f aca="false">IF($A99="","",IFERROR(MATCH($B$4&amp;"|- Lane 5 - "&amp;F$87&amp;"|"&amp;$A99,'Reguler Class Availability'!$L:$L,0),""))</f>
        <v>2819</v>
      </c>
      <c r="AS99" s="30" t="n">
        <f aca="false">IF($A99="","",IFERROR(MATCH($B$4&amp;"|- Lane 5 - "&amp;G$87&amp;"|"&amp;$A99,'Reguler Class Availability'!$L:$L,0),""))</f>
        <v>2831</v>
      </c>
      <c r="AT99" s="30" t="n">
        <f aca="false">IF($A99="","",IFERROR(MATCH($B$4&amp;"|- Lane 5 - "&amp;H$87&amp;"|"&amp;$A99,'Reguler Class Availability'!$L:$L,0),""))</f>
        <v>2843</v>
      </c>
      <c r="AV99" s="0" t="str">
        <f aca="false">IF(AN99="","",IF(AND(IFERROR(--(INDEX('Reguler Class Availability'!$F:$F,AN99)&amp;""),0)=0,IFERROR(--(INDEX('Reguler Class Availability'!$G:$G,AN99)&amp;""),0)=0),IF(OR(INDEX('Reguler Class Availability'!$B:$B,AN99)&amp;""&lt;&gt;"",INDEX('Reguler Class Availability'!$I:$I,AN99)&amp;""&lt;&gt;""),"Tutup","Tidak dibuka"),IF(IFERROR(--(INDEX('Reguler Class Availability'!$G:$G,AN99)&amp;""),0)&gt;IFERROR(--(INDEX('Reguler Class Availability'!$F:$F,AN99)&amp;""),0),"Lebih",IF(IFERROR(--(INDEX('Reguler Class Availability'!$G:$G,AN99)&amp;""),0)=IFERROR(--(INDEX('Reguler Class Availability'!$F:$F,AN99)&amp;""),0),"Penuh",IF(IFERROR(--(INDEX('Reguler Class Availability'!$G:$G,AN99)&amp;""),0)=0,IF(INDEX('Reguler Class Availability'!$B:$B,AN99)&amp;""="","Kosong","Belum terisi"),IF(IFERROR(--(INDEX('Reguler Class Availability'!$G:$G,AN99)&amp;""),0)/IFERROR(--(INDEX('Reguler Class Availability'!$F:$F,AN99)&amp;""),0)&gt;=0.6,"Tinggi","Sebagian"))))))</f>
        <v>Kosong</v>
      </c>
      <c r="AW99" s="0" t="str">
        <f aca="false">IF(AO99="","",IF(AND(IFERROR(--(INDEX('Reguler Class Availability'!$F:$F,AO99)&amp;""),0)=0,IFERROR(--(INDEX('Reguler Class Availability'!$G:$G,AO99)&amp;""),0)=0),IF(OR(INDEX('Reguler Class Availability'!$B:$B,AO99)&amp;""&lt;&gt;"",INDEX('Reguler Class Availability'!$I:$I,AO99)&amp;""&lt;&gt;""),"Tutup","Tidak dibuka"),IF(IFERROR(--(INDEX('Reguler Class Availability'!$G:$G,AO99)&amp;""),0)&gt;IFERROR(--(INDEX('Reguler Class Availability'!$F:$F,AO99)&amp;""),0),"Lebih",IF(IFERROR(--(INDEX('Reguler Class Availability'!$G:$G,AO99)&amp;""),0)=IFERROR(--(INDEX('Reguler Class Availability'!$F:$F,AO99)&amp;""),0),"Penuh",IF(IFERROR(--(INDEX('Reguler Class Availability'!$G:$G,AO99)&amp;""),0)=0,IF(INDEX('Reguler Class Availability'!$B:$B,AO99)&amp;""="","Kosong","Belum terisi"),IF(IFERROR(--(INDEX('Reguler Class Availability'!$G:$G,AO99)&amp;""),0)/IFERROR(--(INDEX('Reguler Class Availability'!$F:$F,AO99)&amp;""),0)&gt;=0.6,"Tinggi","Sebagian"))))))</f>
        <v>Kosong</v>
      </c>
      <c r="AX99" s="0" t="str">
        <f aca="false">IF(AP99="","",IF(AND(IFERROR(--(INDEX('Reguler Class Availability'!$F:$F,AP99)&amp;""),0)=0,IFERROR(--(INDEX('Reguler Class Availability'!$G:$G,AP99)&amp;""),0)=0),IF(OR(INDEX('Reguler Class Availability'!$B:$B,AP99)&amp;""&lt;&gt;"",INDEX('Reguler Class Availability'!$I:$I,AP99)&amp;""&lt;&gt;""),"Tutup","Tidak dibuka"),IF(IFERROR(--(INDEX('Reguler Class Availability'!$G:$G,AP99)&amp;""),0)&gt;IFERROR(--(INDEX('Reguler Class Availability'!$F:$F,AP99)&amp;""),0),"Lebih",IF(IFERROR(--(INDEX('Reguler Class Availability'!$G:$G,AP99)&amp;""),0)=IFERROR(--(INDEX('Reguler Class Availability'!$F:$F,AP99)&amp;""),0),"Penuh",IF(IFERROR(--(INDEX('Reguler Class Availability'!$G:$G,AP99)&amp;""),0)=0,IF(INDEX('Reguler Class Availability'!$B:$B,AP99)&amp;""="","Kosong","Belum terisi"),IF(IFERROR(--(INDEX('Reguler Class Availability'!$G:$G,AP99)&amp;""),0)/IFERROR(--(INDEX('Reguler Class Availability'!$F:$F,AP99)&amp;""),0)&gt;=0.6,"Tinggi","Sebagian"))))))</f>
        <v>Kosong</v>
      </c>
      <c r="AY99" s="0" t="str">
        <f aca="false">IF(AQ99="","",IF(AND(IFERROR(--(INDEX('Reguler Class Availability'!$F:$F,AQ99)&amp;""),0)=0,IFERROR(--(INDEX('Reguler Class Availability'!$G:$G,AQ99)&amp;""),0)=0),IF(OR(INDEX('Reguler Class Availability'!$B:$B,AQ99)&amp;""&lt;&gt;"",INDEX('Reguler Class Availability'!$I:$I,AQ99)&amp;""&lt;&gt;""),"Tutup","Tidak dibuka"),IF(IFERROR(--(INDEX('Reguler Class Availability'!$G:$G,AQ99)&amp;""),0)&gt;IFERROR(--(INDEX('Reguler Class Availability'!$F:$F,AQ99)&amp;""),0),"Lebih",IF(IFERROR(--(INDEX('Reguler Class Availability'!$G:$G,AQ99)&amp;""),0)=IFERROR(--(INDEX('Reguler Class Availability'!$F:$F,AQ99)&amp;""),0),"Penuh",IF(IFERROR(--(INDEX('Reguler Class Availability'!$G:$G,AQ99)&amp;""),0)=0,IF(INDEX('Reguler Class Availability'!$B:$B,AQ99)&amp;""="","Kosong","Belum terisi"),IF(IFERROR(--(INDEX('Reguler Class Availability'!$G:$G,AQ99)&amp;""),0)/IFERROR(--(INDEX('Reguler Class Availability'!$F:$F,AQ99)&amp;""),0)&gt;=0.6,"Tinggi","Sebagian"))))))</f>
        <v>Kosong</v>
      </c>
      <c r="AZ99" s="0" t="str">
        <f aca="false">IF(AR99="","",IF(AND(IFERROR(--(INDEX('Reguler Class Availability'!$F:$F,AR99)&amp;""),0)=0,IFERROR(--(INDEX('Reguler Class Availability'!$G:$G,AR99)&amp;""),0)=0),IF(OR(INDEX('Reguler Class Availability'!$B:$B,AR99)&amp;""&lt;&gt;"",INDEX('Reguler Class Availability'!$I:$I,AR99)&amp;""&lt;&gt;""),"Tutup","Tidak dibuka"),IF(IFERROR(--(INDEX('Reguler Class Availability'!$G:$G,AR99)&amp;""),0)&gt;IFERROR(--(INDEX('Reguler Class Availability'!$F:$F,AR99)&amp;""),0),"Lebih",IF(IFERROR(--(INDEX('Reguler Class Availability'!$G:$G,AR99)&amp;""),0)=IFERROR(--(INDEX('Reguler Class Availability'!$F:$F,AR99)&amp;""),0),"Penuh",IF(IFERROR(--(INDEX('Reguler Class Availability'!$G:$G,AR99)&amp;""),0)=0,IF(INDEX('Reguler Class Availability'!$B:$B,AR99)&amp;""="","Kosong","Belum terisi"),IF(IFERROR(--(INDEX('Reguler Class Availability'!$G:$G,AR99)&amp;""),0)/IFERROR(--(INDEX('Reguler Class Availability'!$F:$F,AR99)&amp;""),0)&gt;=0.6,"Tinggi","Sebagian"))))))</f>
        <v>Kosong</v>
      </c>
      <c r="BA99" s="0" t="str">
        <f aca="false">IF(AS99="","",IF(AND(IFERROR(--(INDEX('Reguler Class Availability'!$F:$F,AS99)&amp;""),0)=0,IFERROR(--(INDEX('Reguler Class Availability'!$G:$G,AS99)&amp;""),0)=0),IF(OR(INDEX('Reguler Class Availability'!$B:$B,AS99)&amp;""&lt;&gt;"",INDEX('Reguler Class Availability'!$I:$I,AS99)&amp;""&lt;&gt;""),"Tutup","Tidak dibuka"),IF(IFERROR(--(INDEX('Reguler Class Availability'!$G:$G,AS99)&amp;""),0)&gt;IFERROR(--(INDEX('Reguler Class Availability'!$F:$F,AS99)&amp;""),0),"Lebih",IF(IFERROR(--(INDEX('Reguler Class Availability'!$G:$G,AS99)&amp;""),0)=IFERROR(--(INDEX('Reguler Class Availability'!$F:$F,AS99)&amp;""),0),"Penuh",IF(IFERROR(--(INDEX('Reguler Class Availability'!$G:$G,AS99)&amp;""),0)=0,IF(INDEX('Reguler Class Availability'!$B:$B,AS99)&amp;""="","Kosong","Belum terisi"),IF(IFERROR(--(INDEX('Reguler Class Availability'!$G:$G,AS99)&amp;""),0)/IFERROR(--(INDEX('Reguler Class Availability'!$F:$F,AS99)&amp;""),0)&gt;=0.6,"Tinggi","Sebagian"))))))</f>
        <v>Kosong</v>
      </c>
      <c r="BB99" s="0" t="str">
        <f aca="false">IF(AT99="","",IF(AND(IFERROR(--(INDEX('Reguler Class Availability'!$F:$F,AT99)&amp;""),0)=0,IFERROR(--(INDEX('Reguler Class Availability'!$G:$G,AT99)&amp;""),0)=0),IF(OR(INDEX('Reguler Class Availability'!$B:$B,AT99)&amp;""&lt;&gt;"",INDEX('Reguler Class Availability'!$I:$I,AT99)&amp;""&lt;&gt;""),"Tutup","Tidak dibuka"),IF(IFERROR(--(INDEX('Reguler Class Availability'!$G:$G,AT99)&amp;""),0)&gt;IFERROR(--(INDEX('Reguler Class Availability'!$F:$F,AT99)&amp;""),0),"Lebih",IF(IFERROR(--(INDEX('Reguler Class Availability'!$G:$G,AT99)&amp;""),0)=IFERROR(--(INDEX('Reguler Class Availability'!$F:$F,AT99)&amp;""),0),"Penuh",IF(IFERROR(--(INDEX('Reguler Class Availability'!$G:$G,AT99)&amp;""),0)=0,IF(INDEX('Reguler Class Availability'!$B:$B,AT99)&amp;""="","Kosong","Belum terisi"),IF(IFERROR(--(INDEX('Reguler Class Availability'!$G:$G,AT99)&amp;""),0)/IFERROR(--(INDEX('Reguler Class Availability'!$F:$F,AT99)&amp;""),0)&gt;=0.6,"Tinggi","Sebagian"))))))</f>
        <v>Kosong</v>
      </c>
      <c r="BD99" s="30" t="s">
        <v>148</v>
      </c>
      <c r="BE99" s="30" t="n">
        <f aca="false">IF(COUNTIFS('Reguler Class Availability'!$L:$L,$B$4&amp;"|- Lane 2 - *|"&amp;BD99)&gt;0,1,0)</f>
        <v>0</v>
      </c>
      <c r="BF99" s="30" t="n">
        <f aca="false">BE99+BF98</f>
        <v>9</v>
      </c>
    </row>
    <row r="100" customFormat="false" ht="39.75" hidden="false" customHeight="true" outlineLevel="0" collapsed="false">
      <c r="A100" s="66" t="str">
        <f aca="false">IFERROR(INDEX($BD$242:$BD$301,MATCH(13,$BF$242:$BF$301,0)),"")</f>
        <v/>
      </c>
      <c r="B100" s="67" t="str">
        <f aca="false">IF(AN100="","",IF(AV100="Tidak dibuka","–",IF(INDEX('Reguler Class Availability'!$B:$B,AN100)&amp;""="","Kosong",PROPER(INDEX('Reguler Class Availability'!$B:$B,AN100)&amp;""))&amp;"  "&amp;IFERROR(--(INDEX('Reguler Class Availability'!$G:$G,AN100)&amp;""),0)&amp;"/"&amp;IFERROR(--(INDEX('Reguler Class Availability'!$F:$F,AN100)&amp;""),0)&amp;IF(IFERROR(--(INDEX('Reguler Class Availability'!$F:$F,AN100)&amp;""),0)&gt;0,"  ("&amp;TEXT(IFERROR(--(INDEX('Reguler Class Availability'!$G:$G,AN100)&amp;""),0)/IFERROR(--(INDEX('Reguler Class Availability'!$F:$F,AN100)&amp;""),0),"0%")&amp;")","")&amp;CHAR(10)&amp;IF(INDEX('Reguler Class Availability'!$I:$I,AN100)&amp;""="","coach: –",PROPER(INDEX('Reguler Class Availability'!$I:$I,AN100)&amp;""))&amp;IF(INDEX('Reguler Class Availability'!$J:$J,AN100)&amp;""="","",CHAR(10)&amp;"asst: "&amp;PROPER(INDEX('Reguler Class Availability'!$J:$J,AN100)&amp;""))))</f>
        <v/>
      </c>
      <c r="C100" s="67" t="str">
        <f aca="false">IF(AO100="","",IF(AW100="Tidak dibuka","–",IF(INDEX('Reguler Class Availability'!$B:$B,AO100)&amp;""="","Kosong",PROPER(INDEX('Reguler Class Availability'!$B:$B,AO100)&amp;""))&amp;"  "&amp;IFERROR(--(INDEX('Reguler Class Availability'!$G:$G,AO100)&amp;""),0)&amp;"/"&amp;IFERROR(--(INDEX('Reguler Class Availability'!$F:$F,AO100)&amp;""),0)&amp;IF(IFERROR(--(INDEX('Reguler Class Availability'!$F:$F,AO100)&amp;""),0)&gt;0,"  ("&amp;TEXT(IFERROR(--(INDEX('Reguler Class Availability'!$G:$G,AO100)&amp;""),0)/IFERROR(--(INDEX('Reguler Class Availability'!$F:$F,AO100)&amp;""),0),"0%")&amp;")","")&amp;CHAR(10)&amp;IF(INDEX('Reguler Class Availability'!$I:$I,AO100)&amp;""="","coach: –",PROPER(INDEX('Reguler Class Availability'!$I:$I,AO100)&amp;""))&amp;IF(INDEX('Reguler Class Availability'!$J:$J,AO100)&amp;""="","",CHAR(10)&amp;"asst: "&amp;PROPER(INDEX('Reguler Class Availability'!$J:$J,AO100)&amp;""))))</f>
        <v/>
      </c>
      <c r="D100" s="67" t="str">
        <f aca="false">IF(AP100="","",IF(AX100="Tidak dibuka","–",IF(INDEX('Reguler Class Availability'!$B:$B,AP100)&amp;""="","Kosong",PROPER(INDEX('Reguler Class Availability'!$B:$B,AP100)&amp;""))&amp;"  "&amp;IFERROR(--(INDEX('Reguler Class Availability'!$G:$G,AP100)&amp;""),0)&amp;"/"&amp;IFERROR(--(INDEX('Reguler Class Availability'!$F:$F,AP100)&amp;""),0)&amp;IF(IFERROR(--(INDEX('Reguler Class Availability'!$F:$F,AP100)&amp;""),0)&gt;0,"  ("&amp;TEXT(IFERROR(--(INDEX('Reguler Class Availability'!$G:$G,AP100)&amp;""),0)/IFERROR(--(INDEX('Reguler Class Availability'!$F:$F,AP100)&amp;""),0),"0%")&amp;")","")&amp;CHAR(10)&amp;IF(INDEX('Reguler Class Availability'!$I:$I,AP100)&amp;""="","coach: –",PROPER(INDEX('Reguler Class Availability'!$I:$I,AP100)&amp;""))&amp;IF(INDEX('Reguler Class Availability'!$J:$J,AP100)&amp;""="","",CHAR(10)&amp;"asst: "&amp;PROPER(INDEX('Reguler Class Availability'!$J:$J,AP100)&amp;""))))</f>
        <v/>
      </c>
      <c r="E100" s="67" t="str">
        <f aca="false">IF(AQ100="","",IF(AY100="Tidak dibuka","–",IF(INDEX('Reguler Class Availability'!$B:$B,AQ100)&amp;""="","Kosong",PROPER(INDEX('Reguler Class Availability'!$B:$B,AQ100)&amp;""))&amp;"  "&amp;IFERROR(--(INDEX('Reguler Class Availability'!$G:$G,AQ100)&amp;""),0)&amp;"/"&amp;IFERROR(--(INDEX('Reguler Class Availability'!$F:$F,AQ100)&amp;""),0)&amp;IF(IFERROR(--(INDEX('Reguler Class Availability'!$F:$F,AQ100)&amp;""),0)&gt;0,"  ("&amp;TEXT(IFERROR(--(INDEX('Reguler Class Availability'!$G:$G,AQ100)&amp;""),0)/IFERROR(--(INDEX('Reguler Class Availability'!$F:$F,AQ100)&amp;""),0),"0%")&amp;")","")&amp;CHAR(10)&amp;IF(INDEX('Reguler Class Availability'!$I:$I,AQ100)&amp;""="","coach: –",PROPER(INDEX('Reguler Class Availability'!$I:$I,AQ100)&amp;""))&amp;IF(INDEX('Reguler Class Availability'!$J:$J,AQ100)&amp;""="","",CHAR(10)&amp;"asst: "&amp;PROPER(INDEX('Reguler Class Availability'!$J:$J,AQ100)&amp;""))))</f>
        <v/>
      </c>
      <c r="F100" s="67" t="str">
        <f aca="false">IF(AR100="","",IF(AZ100="Tidak dibuka","–",IF(INDEX('Reguler Class Availability'!$B:$B,AR100)&amp;""="","Kosong",PROPER(INDEX('Reguler Class Availability'!$B:$B,AR100)&amp;""))&amp;"  "&amp;IFERROR(--(INDEX('Reguler Class Availability'!$G:$G,AR100)&amp;""),0)&amp;"/"&amp;IFERROR(--(INDEX('Reguler Class Availability'!$F:$F,AR100)&amp;""),0)&amp;IF(IFERROR(--(INDEX('Reguler Class Availability'!$F:$F,AR100)&amp;""),0)&gt;0,"  ("&amp;TEXT(IFERROR(--(INDEX('Reguler Class Availability'!$G:$G,AR100)&amp;""),0)/IFERROR(--(INDEX('Reguler Class Availability'!$F:$F,AR100)&amp;""),0),"0%")&amp;")","")&amp;CHAR(10)&amp;IF(INDEX('Reguler Class Availability'!$I:$I,AR100)&amp;""="","coach: –",PROPER(INDEX('Reguler Class Availability'!$I:$I,AR100)&amp;""))&amp;IF(INDEX('Reguler Class Availability'!$J:$J,AR100)&amp;""="","",CHAR(10)&amp;"asst: "&amp;PROPER(INDEX('Reguler Class Availability'!$J:$J,AR100)&amp;""))))</f>
        <v/>
      </c>
      <c r="G100" s="67" t="str">
        <f aca="false">IF(AS100="","",IF(BA100="Tidak dibuka","–",IF(INDEX('Reguler Class Availability'!$B:$B,AS100)&amp;""="","Kosong",PROPER(INDEX('Reguler Class Availability'!$B:$B,AS100)&amp;""))&amp;"  "&amp;IFERROR(--(INDEX('Reguler Class Availability'!$G:$G,AS100)&amp;""),0)&amp;"/"&amp;IFERROR(--(INDEX('Reguler Class Availability'!$F:$F,AS100)&amp;""),0)&amp;IF(IFERROR(--(INDEX('Reguler Class Availability'!$F:$F,AS100)&amp;""),0)&gt;0,"  ("&amp;TEXT(IFERROR(--(INDEX('Reguler Class Availability'!$G:$G,AS100)&amp;""),0)/IFERROR(--(INDEX('Reguler Class Availability'!$F:$F,AS100)&amp;""),0),"0%")&amp;")","")&amp;CHAR(10)&amp;IF(INDEX('Reguler Class Availability'!$I:$I,AS100)&amp;""="","coach: –",PROPER(INDEX('Reguler Class Availability'!$I:$I,AS100)&amp;""))&amp;IF(INDEX('Reguler Class Availability'!$J:$J,AS100)&amp;""="","",CHAR(10)&amp;"asst: "&amp;PROPER(INDEX('Reguler Class Availability'!$J:$J,AS100)&amp;""))))</f>
        <v/>
      </c>
      <c r="H100" s="67" t="str">
        <f aca="false">IF(AT100="","",IF(BB100="Tidak dibuka","–",IF(INDEX('Reguler Class Availability'!$B:$B,AT100)&amp;""="","Kosong",PROPER(INDEX('Reguler Class Availability'!$B:$B,AT100)&amp;""))&amp;"  "&amp;IFERROR(--(INDEX('Reguler Class Availability'!$G:$G,AT100)&amp;""),0)&amp;"/"&amp;IFERROR(--(INDEX('Reguler Class Availability'!$F:$F,AT100)&amp;""),0)&amp;IF(IFERROR(--(INDEX('Reguler Class Availability'!$F:$F,AT100)&amp;""),0)&gt;0,"  ("&amp;TEXT(IFERROR(--(INDEX('Reguler Class Availability'!$G:$G,AT100)&amp;""),0)/IFERROR(--(INDEX('Reguler Class Availability'!$F:$F,AT100)&amp;""),0),"0%")&amp;")","")&amp;CHAR(10)&amp;IF(INDEX('Reguler Class Availability'!$I:$I,AT100)&amp;""="","coach: –",PROPER(INDEX('Reguler Class Availability'!$I:$I,AT100)&amp;""))&amp;IF(INDEX('Reguler Class Availability'!$J:$J,AT100)&amp;""="","",CHAR(10)&amp;"asst: "&amp;PROPER(INDEX('Reguler Class Availability'!$J:$J,AT100)&amp;""))))</f>
        <v/>
      </c>
      <c r="AN100" s="0" t="str">
        <f aca="false">IF($A100="","",IFERROR(MATCH($B$4&amp;"|- Lane 5 - "&amp;B$87&amp;"|"&amp;$A100,'Reguler Class Availability'!$L:$L,0),""))</f>
        <v/>
      </c>
      <c r="AO100" s="0" t="str">
        <f aca="false">IF($A100="","",IFERROR(MATCH($B$4&amp;"|- Lane 5 - "&amp;C$87&amp;"|"&amp;$A100,'Reguler Class Availability'!$L:$L,0),""))</f>
        <v/>
      </c>
      <c r="AP100" s="0" t="str">
        <f aca="false">IF($A100="","",IFERROR(MATCH($B$4&amp;"|- Lane 5 - "&amp;D$87&amp;"|"&amp;$A100,'Reguler Class Availability'!$L:$L,0),""))</f>
        <v/>
      </c>
      <c r="AQ100" s="0" t="str">
        <f aca="false">IF($A100="","",IFERROR(MATCH($B$4&amp;"|- Lane 5 - "&amp;E$87&amp;"|"&amp;$A100,'Reguler Class Availability'!$L:$L,0),""))</f>
        <v/>
      </c>
      <c r="AR100" s="0" t="str">
        <f aca="false">IF($A100="","",IFERROR(MATCH($B$4&amp;"|- Lane 5 - "&amp;F$87&amp;"|"&amp;$A100,'Reguler Class Availability'!$L:$L,0),""))</f>
        <v/>
      </c>
      <c r="AS100" s="0" t="str">
        <f aca="false">IF($A100="","",IFERROR(MATCH($B$4&amp;"|- Lane 5 - "&amp;G$87&amp;"|"&amp;$A100,'Reguler Class Availability'!$L:$L,0),""))</f>
        <v/>
      </c>
      <c r="AT100" s="0" t="str">
        <f aca="false">IF($A100="","",IFERROR(MATCH($B$4&amp;"|- Lane 5 - "&amp;H$87&amp;"|"&amp;$A100,'Reguler Class Availability'!$L:$L,0),""))</f>
        <v/>
      </c>
      <c r="AV100" s="0" t="str">
        <f aca="false">IF(AN100="","",IF(AND(IFERROR(--(INDEX('Reguler Class Availability'!$F:$F,AN100)&amp;""),0)=0,IFERROR(--(INDEX('Reguler Class Availability'!$G:$G,AN100)&amp;""),0)=0),IF(OR(INDEX('Reguler Class Availability'!$B:$B,AN100)&amp;""&lt;&gt;"",INDEX('Reguler Class Availability'!$I:$I,AN100)&amp;""&lt;&gt;""),"Tutup","Tidak dibuka"),IF(IFERROR(--(INDEX('Reguler Class Availability'!$G:$G,AN100)&amp;""),0)&gt;IFERROR(--(INDEX('Reguler Class Availability'!$F:$F,AN100)&amp;""),0),"Lebih",IF(IFERROR(--(INDEX('Reguler Class Availability'!$G:$G,AN100)&amp;""),0)=IFERROR(--(INDEX('Reguler Class Availability'!$F:$F,AN100)&amp;""),0),"Penuh",IF(IFERROR(--(INDEX('Reguler Class Availability'!$G:$G,AN100)&amp;""),0)=0,IF(INDEX('Reguler Class Availability'!$B:$B,AN100)&amp;""="","Kosong","Belum terisi"),IF(IFERROR(--(INDEX('Reguler Class Availability'!$G:$G,AN100)&amp;""),0)/IFERROR(--(INDEX('Reguler Class Availability'!$F:$F,AN100)&amp;""),0)&gt;=0.6,"Tinggi","Sebagian"))))))</f>
        <v/>
      </c>
      <c r="AW100" s="0" t="str">
        <f aca="false">IF(AO100="","",IF(AND(IFERROR(--(INDEX('Reguler Class Availability'!$F:$F,AO100)&amp;""),0)=0,IFERROR(--(INDEX('Reguler Class Availability'!$G:$G,AO100)&amp;""),0)=0),IF(OR(INDEX('Reguler Class Availability'!$B:$B,AO100)&amp;""&lt;&gt;"",INDEX('Reguler Class Availability'!$I:$I,AO100)&amp;""&lt;&gt;""),"Tutup","Tidak dibuka"),IF(IFERROR(--(INDEX('Reguler Class Availability'!$G:$G,AO100)&amp;""),0)&gt;IFERROR(--(INDEX('Reguler Class Availability'!$F:$F,AO100)&amp;""),0),"Lebih",IF(IFERROR(--(INDEX('Reguler Class Availability'!$G:$G,AO100)&amp;""),0)=IFERROR(--(INDEX('Reguler Class Availability'!$F:$F,AO100)&amp;""),0),"Penuh",IF(IFERROR(--(INDEX('Reguler Class Availability'!$G:$G,AO100)&amp;""),0)=0,IF(INDEX('Reguler Class Availability'!$B:$B,AO100)&amp;""="","Kosong","Belum terisi"),IF(IFERROR(--(INDEX('Reguler Class Availability'!$G:$G,AO100)&amp;""),0)/IFERROR(--(INDEX('Reguler Class Availability'!$F:$F,AO100)&amp;""),0)&gt;=0.6,"Tinggi","Sebagian"))))))</f>
        <v/>
      </c>
      <c r="AX100" s="0" t="str">
        <f aca="false">IF(AP100="","",IF(AND(IFERROR(--(INDEX('Reguler Class Availability'!$F:$F,AP100)&amp;""),0)=0,IFERROR(--(INDEX('Reguler Class Availability'!$G:$G,AP100)&amp;""),0)=0),IF(OR(INDEX('Reguler Class Availability'!$B:$B,AP100)&amp;""&lt;&gt;"",INDEX('Reguler Class Availability'!$I:$I,AP100)&amp;""&lt;&gt;""),"Tutup","Tidak dibuka"),IF(IFERROR(--(INDEX('Reguler Class Availability'!$G:$G,AP100)&amp;""),0)&gt;IFERROR(--(INDEX('Reguler Class Availability'!$F:$F,AP100)&amp;""),0),"Lebih",IF(IFERROR(--(INDEX('Reguler Class Availability'!$G:$G,AP100)&amp;""),0)=IFERROR(--(INDEX('Reguler Class Availability'!$F:$F,AP100)&amp;""),0),"Penuh",IF(IFERROR(--(INDEX('Reguler Class Availability'!$G:$G,AP100)&amp;""),0)=0,IF(INDEX('Reguler Class Availability'!$B:$B,AP100)&amp;""="","Kosong","Belum terisi"),IF(IFERROR(--(INDEX('Reguler Class Availability'!$G:$G,AP100)&amp;""),0)/IFERROR(--(INDEX('Reguler Class Availability'!$F:$F,AP100)&amp;""),0)&gt;=0.6,"Tinggi","Sebagian"))))))</f>
        <v/>
      </c>
      <c r="AY100" s="0" t="str">
        <f aca="false">IF(AQ100="","",IF(AND(IFERROR(--(INDEX('Reguler Class Availability'!$F:$F,AQ100)&amp;""),0)=0,IFERROR(--(INDEX('Reguler Class Availability'!$G:$G,AQ100)&amp;""),0)=0),IF(OR(INDEX('Reguler Class Availability'!$B:$B,AQ100)&amp;""&lt;&gt;"",INDEX('Reguler Class Availability'!$I:$I,AQ100)&amp;""&lt;&gt;""),"Tutup","Tidak dibuka"),IF(IFERROR(--(INDEX('Reguler Class Availability'!$G:$G,AQ100)&amp;""),0)&gt;IFERROR(--(INDEX('Reguler Class Availability'!$F:$F,AQ100)&amp;""),0),"Lebih",IF(IFERROR(--(INDEX('Reguler Class Availability'!$G:$G,AQ100)&amp;""),0)=IFERROR(--(INDEX('Reguler Class Availability'!$F:$F,AQ100)&amp;""),0),"Penuh",IF(IFERROR(--(INDEX('Reguler Class Availability'!$G:$G,AQ100)&amp;""),0)=0,IF(INDEX('Reguler Class Availability'!$B:$B,AQ100)&amp;""="","Kosong","Belum terisi"),IF(IFERROR(--(INDEX('Reguler Class Availability'!$G:$G,AQ100)&amp;""),0)/IFERROR(--(INDEX('Reguler Class Availability'!$F:$F,AQ100)&amp;""),0)&gt;=0.6,"Tinggi","Sebagian"))))))</f>
        <v/>
      </c>
      <c r="AZ100" s="0" t="str">
        <f aca="false">IF(AR100="","",IF(AND(IFERROR(--(INDEX('Reguler Class Availability'!$F:$F,AR100)&amp;""),0)=0,IFERROR(--(INDEX('Reguler Class Availability'!$G:$G,AR100)&amp;""),0)=0),IF(OR(INDEX('Reguler Class Availability'!$B:$B,AR100)&amp;""&lt;&gt;"",INDEX('Reguler Class Availability'!$I:$I,AR100)&amp;""&lt;&gt;""),"Tutup","Tidak dibuka"),IF(IFERROR(--(INDEX('Reguler Class Availability'!$G:$G,AR100)&amp;""),0)&gt;IFERROR(--(INDEX('Reguler Class Availability'!$F:$F,AR100)&amp;""),0),"Lebih",IF(IFERROR(--(INDEX('Reguler Class Availability'!$G:$G,AR100)&amp;""),0)=IFERROR(--(INDEX('Reguler Class Availability'!$F:$F,AR100)&amp;""),0),"Penuh",IF(IFERROR(--(INDEX('Reguler Class Availability'!$G:$G,AR100)&amp;""),0)=0,IF(INDEX('Reguler Class Availability'!$B:$B,AR100)&amp;""="","Kosong","Belum terisi"),IF(IFERROR(--(INDEX('Reguler Class Availability'!$G:$G,AR100)&amp;""),0)/IFERROR(--(INDEX('Reguler Class Availability'!$F:$F,AR100)&amp;""),0)&gt;=0.6,"Tinggi","Sebagian"))))))</f>
        <v/>
      </c>
      <c r="BA100" s="0" t="str">
        <f aca="false">IF(AS100="","",IF(AND(IFERROR(--(INDEX('Reguler Class Availability'!$F:$F,AS100)&amp;""),0)=0,IFERROR(--(INDEX('Reguler Class Availability'!$G:$G,AS100)&amp;""),0)=0),IF(OR(INDEX('Reguler Class Availability'!$B:$B,AS100)&amp;""&lt;&gt;"",INDEX('Reguler Class Availability'!$I:$I,AS100)&amp;""&lt;&gt;""),"Tutup","Tidak dibuka"),IF(IFERROR(--(INDEX('Reguler Class Availability'!$G:$G,AS100)&amp;""),0)&gt;IFERROR(--(INDEX('Reguler Class Availability'!$F:$F,AS100)&amp;""),0),"Lebih",IF(IFERROR(--(INDEX('Reguler Class Availability'!$G:$G,AS100)&amp;""),0)=IFERROR(--(INDEX('Reguler Class Availability'!$F:$F,AS100)&amp;""),0),"Penuh",IF(IFERROR(--(INDEX('Reguler Class Availability'!$G:$G,AS100)&amp;""),0)=0,IF(INDEX('Reguler Class Availability'!$B:$B,AS100)&amp;""="","Kosong","Belum terisi"),IF(IFERROR(--(INDEX('Reguler Class Availability'!$G:$G,AS100)&amp;""),0)/IFERROR(--(INDEX('Reguler Class Availability'!$F:$F,AS100)&amp;""),0)&gt;=0.6,"Tinggi","Sebagian"))))))</f>
        <v/>
      </c>
      <c r="BB100" s="0" t="str">
        <f aca="false">IF(AT100="","",IF(AND(IFERROR(--(INDEX('Reguler Class Availability'!$F:$F,AT100)&amp;""),0)=0,IFERROR(--(INDEX('Reguler Class Availability'!$G:$G,AT100)&amp;""),0)=0),IF(OR(INDEX('Reguler Class Availability'!$B:$B,AT100)&amp;""&lt;&gt;"",INDEX('Reguler Class Availability'!$I:$I,AT100)&amp;""&lt;&gt;""),"Tutup","Tidak dibuka"),IF(IFERROR(--(INDEX('Reguler Class Availability'!$G:$G,AT100)&amp;""),0)&gt;IFERROR(--(INDEX('Reguler Class Availability'!$F:$F,AT100)&amp;""),0),"Lebih",IF(IFERROR(--(INDEX('Reguler Class Availability'!$G:$G,AT100)&amp;""),0)=IFERROR(--(INDEX('Reguler Class Availability'!$F:$F,AT100)&amp;""),0),"Penuh",IF(IFERROR(--(INDEX('Reguler Class Availability'!$G:$G,AT100)&amp;""),0)=0,IF(INDEX('Reguler Class Availability'!$B:$B,AT100)&amp;""="","Kosong","Belum terisi"),IF(IFERROR(--(INDEX('Reguler Class Availability'!$G:$G,AT100)&amp;""),0)/IFERROR(--(INDEX('Reguler Class Availability'!$F:$F,AT100)&amp;""),0)&gt;=0.6,"Tinggi","Sebagian"))))))</f>
        <v/>
      </c>
      <c r="BD100" s="30" t="s">
        <v>149</v>
      </c>
      <c r="BE100" s="30" t="n">
        <f aca="false">IF(COUNTIFS('Reguler Class Availability'!$L:$L,$B$4&amp;"|- Lane 2 - *|"&amp;BD100)&gt;0,1,0)</f>
        <v>1</v>
      </c>
      <c r="BF100" s="30" t="n">
        <f aca="false">BE100+BF99</f>
        <v>10</v>
      </c>
    </row>
    <row r="101" customFormat="false" ht="39.75" hidden="false" customHeight="true" outlineLevel="0" collapsed="false">
      <c r="A101" s="66" t="str">
        <f aca="false">IFERROR(INDEX($BD$242:$BD$301,MATCH(14,$BF$242:$BF$301,0)),"")</f>
        <v/>
      </c>
      <c r="B101" s="67" t="str">
        <f aca="false">IF(AN101="","",IF(AV101="Tidak dibuka","–",IF(INDEX('Reguler Class Availability'!$B:$B,AN101)&amp;""="","Kosong",PROPER(INDEX('Reguler Class Availability'!$B:$B,AN101)&amp;""))&amp;"  "&amp;IFERROR(--(INDEX('Reguler Class Availability'!$G:$G,AN101)&amp;""),0)&amp;"/"&amp;IFERROR(--(INDEX('Reguler Class Availability'!$F:$F,AN101)&amp;""),0)&amp;IF(IFERROR(--(INDEX('Reguler Class Availability'!$F:$F,AN101)&amp;""),0)&gt;0,"  ("&amp;TEXT(IFERROR(--(INDEX('Reguler Class Availability'!$G:$G,AN101)&amp;""),0)/IFERROR(--(INDEX('Reguler Class Availability'!$F:$F,AN101)&amp;""),0),"0%")&amp;")","")&amp;CHAR(10)&amp;IF(INDEX('Reguler Class Availability'!$I:$I,AN101)&amp;""="","coach: –",PROPER(INDEX('Reguler Class Availability'!$I:$I,AN101)&amp;""))&amp;IF(INDEX('Reguler Class Availability'!$J:$J,AN101)&amp;""="","",CHAR(10)&amp;"asst: "&amp;PROPER(INDEX('Reguler Class Availability'!$J:$J,AN101)&amp;""))))</f>
        <v/>
      </c>
      <c r="C101" s="67" t="str">
        <f aca="false">IF(AO101="","",IF(AW101="Tidak dibuka","–",IF(INDEX('Reguler Class Availability'!$B:$B,AO101)&amp;""="","Kosong",PROPER(INDEX('Reguler Class Availability'!$B:$B,AO101)&amp;""))&amp;"  "&amp;IFERROR(--(INDEX('Reguler Class Availability'!$G:$G,AO101)&amp;""),0)&amp;"/"&amp;IFERROR(--(INDEX('Reguler Class Availability'!$F:$F,AO101)&amp;""),0)&amp;IF(IFERROR(--(INDEX('Reguler Class Availability'!$F:$F,AO101)&amp;""),0)&gt;0,"  ("&amp;TEXT(IFERROR(--(INDEX('Reguler Class Availability'!$G:$G,AO101)&amp;""),0)/IFERROR(--(INDEX('Reguler Class Availability'!$F:$F,AO101)&amp;""),0),"0%")&amp;")","")&amp;CHAR(10)&amp;IF(INDEX('Reguler Class Availability'!$I:$I,AO101)&amp;""="","coach: –",PROPER(INDEX('Reguler Class Availability'!$I:$I,AO101)&amp;""))&amp;IF(INDEX('Reguler Class Availability'!$J:$J,AO101)&amp;""="","",CHAR(10)&amp;"asst: "&amp;PROPER(INDEX('Reguler Class Availability'!$J:$J,AO101)&amp;""))))</f>
        <v/>
      </c>
      <c r="D101" s="67" t="str">
        <f aca="false">IF(AP101="","",IF(AX101="Tidak dibuka","–",IF(INDEX('Reguler Class Availability'!$B:$B,AP101)&amp;""="","Kosong",PROPER(INDEX('Reguler Class Availability'!$B:$B,AP101)&amp;""))&amp;"  "&amp;IFERROR(--(INDEX('Reguler Class Availability'!$G:$G,AP101)&amp;""),0)&amp;"/"&amp;IFERROR(--(INDEX('Reguler Class Availability'!$F:$F,AP101)&amp;""),0)&amp;IF(IFERROR(--(INDEX('Reguler Class Availability'!$F:$F,AP101)&amp;""),0)&gt;0,"  ("&amp;TEXT(IFERROR(--(INDEX('Reguler Class Availability'!$G:$G,AP101)&amp;""),0)/IFERROR(--(INDEX('Reguler Class Availability'!$F:$F,AP101)&amp;""),0),"0%")&amp;")","")&amp;CHAR(10)&amp;IF(INDEX('Reguler Class Availability'!$I:$I,AP101)&amp;""="","coach: –",PROPER(INDEX('Reguler Class Availability'!$I:$I,AP101)&amp;""))&amp;IF(INDEX('Reguler Class Availability'!$J:$J,AP101)&amp;""="","",CHAR(10)&amp;"asst: "&amp;PROPER(INDEX('Reguler Class Availability'!$J:$J,AP101)&amp;""))))</f>
        <v/>
      </c>
      <c r="E101" s="67" t="str">
        <f aca="false">IF(AQ101="","",IF(AY101="Tidak dibuka","–",IF(INDEX('Reguler Class Availability'!$B:$B,AQ101)&amp;""="","Kosong",PROPER(INDEX('Reguler Class Availability'!$B:$B,AQ101)&amp;""))&amp;"  "&amp;IFERROR(--(INDEX('Reguler Class Availability'!$G:$G,AQ101)&amp;""),0)&amp;"/"&amp;IFERROR(--(INDEX('Reguler Class Availability'!$F:$F,AQ101)&amp;""),0)&amp;IF(IFERROR(--(INDEX('Reguler Class Availability'!$F:$F,AQ101)&amp;""),0)&gt;0,"  ("&amp;TEXT(IFERROR(--(INDEX('Reguler Class Availability'!$G:$G,AQ101)&amp;""),0)/IFERROR(--(INDEX('Reguler Class Availability'!$F:$F,AQ101)&amp;""),0),"0%")&amp;")","")&amp;CHAR(10)&amp;IF(INDEX('Reguler Class Availability'!$I:$I,AQ101)&amp;""="","coach: –",PROPER(INDEX('Reguler Class Availability'!$I:$I,AQ101)&amp;""))&amp;IF(INDEX('Reguler Class Availability'!$J:$J,AQ101)&amp;""="","",CHAR(10)&amp;"asst: "&amp;PROPER(INDEX('Reguler Class Availability'!$J:$J,AQ101)&amp;""))))</f>
        <v/>
      </c>
      <c r="F101" s="67" t="str">
        <f aca="false">IF(AR101="","",IF(AZ101="Tidak dibuka","–",IF(INDEX('Reguler Class Availability'!$B:$B,AR101)&amp;""="","Kosong",PROPER(INDEX('Reguler Class Availability'!$B:$B,AR101)&amp;""))&amp;"  "&amp;IFERROR(--(INDEX('Reguler Class Availability'!$G:$G,AR101)&amp;""),0)&amp;"/"&amp;IFERROR(--(INDEX('Reguler Class Availability'!$F:$F,AR101)&amp;""),0)&amp;IF(IFERROR(--(INDEX('Reguler Class Availability'!$F:$F,AR101)&amp;""),0)&gt;0,"  ("&amp;TEXT(IFERROR(--(INDEX('Reguler Class Availability'!$G:$G,AR101)&amp;""),0)/IFERROR(--(INDEX('Reguler Class Availability'!$F:$F,AR101)&amp;""),0),"0%")&amp;")","")&amp;CHAR(10)&amp;IF(INDEX('Reguler Class Availability'!$I:$I,AR101)&amp;""="","coach: –",PROPER(INDEX('Reguler Class Availability'!$I:$I,AR101)&amp;""))&amp;IF(INDEX('Reguler Class Availability'!$J:$J,AR101)&amp;""="","",CHAR(10)&amp;"asst: "&amp;PROPER(INDEX('Reguler Class Availability'!$J:$J,AR101)&amp;""))))</f>
        <v/>
      </c>
      <c r="G101" s="67" t="str">
        <f aca="false">IF(AS101="","",IF(BA101="Tidak dibuka","–",IF(INDEX('Reguler Class Availability'!$B:$B,AS101)&amp;""="","Kosong",PROPER(INDEX('Reguler Class Availability'!$B:$B,AS101)&amp;""))&amp;"  "&amp;IFERROR(--(INDEX('Reguler Class Availability'!$G:$G,AS101)&amp;""),0)&amp;"/"&amp;IFERROR(--(INDEX('Reguler Class Availability'!$F:$F,AS101)&amp;""),0)&amp;IF(IFERROR(--(INDEX('Reguler Class Availability'!$F:$F,AS101)&amp;""),0)&gt;0,"  ("&amp;TEXT(IFERROR(--(INDEX('Reguler Class Availability'!$G:$G,AS101)&amp;""),0)/IFERROR(--(INDEX('Reguler Class Availability'!$F:$F,AS101)&amp;""),0),"0%")&amp;")","")&amp;CHAR(10)&amp;IF(INDEX('Reguler Class Availability'!$I:$I,AS101)&amp;""="","coach: –",PROPER(INDEX('Reguler Class Availability'!$I:$I,AS101)&amp;""))&amp;IF(INDEX('Reguler Class Availability'!$J:$J,AS101)&amp;""="","",CHAR(10)&amp;"asst: "&amp;PROPER(INDEX('Reguler Class Availability'!$J:$J,AS101)&amp;""))))</f>
        <v/>
      </c>
      <c r="H101" s="67" t="str">
        <f aca="false">IF(AT101="","",IF(BB101="Tidak dibuka","–",IF(INDEX('Reguler Class Availability'!$B:$B,AT101)&amp;""="","Kosong",PROPER(INDEX('Reguler Class Availability'!$B:$B,AT101)&amp;""))&amp;"  "&amp;IFERROR(--(INDEX('Reguler Class Availability'!$G:$G,AT101)&amp;""),0)&amp;"/"&amp;IFERROR(--(INDEX('Reguler Class Availability'!$F:$F,AT101)&amp;""),0)&amp;IF(IFERROR(--(INDEX('Reguler Class Availability'!$F:$F,AT101)&amp;""),0)&gt;0,"  ("&amp;TEXT(IFERROR(--(INDEX('Reguler Class Availability'!$G:$G,AT101)&amp;""),0)/IFERROR(--(INDEX('Reguler Class Availability'!$F:$F,AT101)&amp;""),0),"0%")&amp;")","")&amp;CHAR(10)&amp;IF(INDEX('Reguler Class Availability'!$I:$I,AT101)&amp;""="","coach: –",PROPER(INDEX('Reguler Class Availability'!$I:$I,AT101)&amp;""))&amp;IF(INDEX('Reguler Class Availability'!$J:$J,AT101)&amp;""="","",CHAR(10)&amp;"asst: "&amp;PROPER(INDEX('Reguler Class Availability'!$J:$J,AT101)&amp;""))))</f>
        <v/>
      </c>
      <c r="AN101" s="0" t="str">
        <f aca="false">IF($A101="","",IFERROR(MATCH($B$4&amp;"|- Lane 5 - "&amp;B$87&amp;"|"&amp;$A101,'Reguler Class Availability'!$L:$L,0),""))</f>
        <v/>
      </c>
      <c r="AO101" s="0" t="str">
        <f aca="false">IF($A101="","",IFERROR(MATCH($B$4&amp;"|- Lane 5 - "&amp;C$87&amp;"|"&amp;$A101,'Reguler Class Availability'!$L:$L,0),""))</f>
        <v/>
      </c>
      <c r="AP101" s="0" t="str">
        <f aca="false">IF($A101="","",IFERROR(MATCH($B$4&amp;"|- Lane 5 - "&amp;D$87&amp;"|"&amp;$A101,'Reguler Class Availability'!$L:$L,0),""))</f>
        <v/>
      </c>
      <c r="AQ101" s="0" t="str">
        <f aca="false">IF($A101="","",IFERROR(MATCH($B$4&amp;"|- Lane 5 - "&amp;E$87&amp;"|"&amp;$A101,'Reguler Class Availability'!$L:$L,0),""))</f>
        <v/>
      </c>
      <c r="AR101" s="0" t="str">
        <f aca="false">IF($A101="","",IFERROR(MATCH($B$4&amp;"|- Lane 5 - "&amp;F$87&amp;"|"&amp;$A101,'Reguler Class Availability'!$L:$L,0),""))</f>
        <v/>
      </c>
      <c r="AS101" s="0" t="str">
        <f aca="false">IF($A101="","",IFERROR(MATCH($B$4&amp;"|- Lane 5 - "&amp;G$87&amp;"|"&amp;$A101,'Reguler Class Availability'!$L:$L,0),""))</f>
        <v/>
      </c>
      <c r="AT101" s="0" t="str">
        <f aca="false">IF($A101="","",IFERROR(MATCH($B$4&amp;"|- Lane 5 - "&amp;H$87&amp;"|"&amp;$A101,'Reguler Class Availability'!$L:$L,0),""))</f>
        <v/>
      </c>
      <c r="AV101" s="0" t="str">
        <f aca="false">IF(AN101="","",IF(AND(IFERROR(--(INDEX('Reguler Class Availability'!$F:$F,AN101)&amp;""),0)=0,IFERROR(--(INDEX('Reguler Class Availability'!$G:$G,AN101)&amp;""),0)=0),IF(OR(INDEX('Reguler Class Availability'!$B:$B,AN101)&amp;""&lt;&gt;"",INDEX('Reguler Class Availability'!$I:$I,AN101)&amp;""&lt;&gt;""),"Tutup","Tidak dibuka"),IF(IFERROR(--(INDEX('Reguler Class Availability'!$G:$G,AN101)&amp;""),0)&gt;IFERROR(--(INDEX('Reguler Class Availability'!$F:$F,AN101)&amp;""),0),"Lebih",IF(IFERROR(--(INDEX('Reguler Class Availability'!$G:$G,AN101)&amp;""),0)=IFERROR(--(INDEX('Reguler Class Availability'!$F:$F,AN101)&amp;""),0),"Penuh",IF(IFERROR(--(INDEX('Reguler Class Availability'!$G:$G,AN101)&amp;""),0)=0,IF(INDEX('Reguler Class Availability'!$B:$B,AN101)&amp;""="","Kosong","Belum terisi"),IF(IFERROR(--(INDEX('Reguler Class Availability'!$G:$G,AN101)&amp;""),0)/IFERROR(--(INDEX('Reguler Class Availability'!$F:$F,AN101)&amp;""),0)&gt;=0.6,"Tinggi","Sebagian"))))))</f>
        <v/>
      </c>
      <c r="AW101" s="0" t="str">
        <f aca="false">IF(AO101="","",IF(AND(IFERROR(--(INDEX('Reguler Class Availability'!$F:$F,AO101)&amp;""),0)=0,IFERROR(--(INDEX('Reguler Class Availability'!$G:$G,AO101)&amp;""),0)=0),IF(OR(INDEX('Reguler Class Availability'!$B:$B,AO101)&amp;""&lt;&gt;"",INDEX('Reguler Class Availability'!$I:$I,AO101)&amp;""&lt;&gt;""),"Tutup","Tidak dibuka"),IF(IFERROR(--(INDEX('Reguler Class Availability'!$G:$G,AO101)&amp;""),0)&gt;IFERROR(--(INDEX('Reguler Class Availability'!$F:$F,AO101)&amp;""),0),"Lebih",IF(IFERROR(--(INDEX('Reguler Class Availability'!$G:$G,AO101)&amp;""),0)=IFERROR(--(INDEX('Reguler Class Availability'!$F:$F,AO101)&amp;""),0),"Penuh",IF(IFERROR(--(INDEX('Reguler Class Availability'!$G:$G,AO101)&amp;""),0)=0,IF(INDEX('Reguler Class Availability'!$B:$B,AO101)&amp;""="","Kosong","Belum terisi"),IF(IFERROR(--(INDEX('Reguler Class Availability'!$G:$G,AO101)&amp;""),0)/IFERROR(--(INDEX('Reguler Class Availability'!$F:$F,AO101)&amp;""),0)&gt;=0.6,"Tinggi","Sebagian"))))))</f>
        <v/>
      </c>
      <c r="AX101" s="0" t="str">
        <f aca="false">IF(AP101="","",IF(AND(IFERROR(--(INDEX('Reguler Class Availability'!$F:$F,AP101)&amp;""),0)=0,IFERROR(--(INDEX('Reguler Class Availability'!$G:$G,AP101)&amp;""),0)=0),IF(OR(INDEX('Reguler Class Availability'!$B:$B,AP101)&amp;""&lt;&gt;"",INDEX('Reguler Class Availability'!$I:$I,AP101)&amp;""&lt;&gt;""),"Tutup","Tidak dibuka"),IF(IFERROR(--(INDEX('Reguler Class Availability'!$G:$G,AP101)&amp;""),0)&gt;IFERROR(--(INDEX('Reguler Class Availability'!$F:$F,AP101)&amp;""),0),"Lebih",IF(IFERROR(--(INDEX('Reguler Class Availability'!$G:$G,AP101)&amp;""),0)=IFERROR(--(INDEX('Reguler Class Availability'!$F:$F,AP101)&amp;""),0),"Penuh",IF(IFERROR(--(INDEX('Reguler Class Availability'!$G:$G,AP101)&amp;""),0)=0,IF(INDEX('Reguler Class Availability'!$B:$B,AP101)&amp;""="","Kosong","Belum terisi"),IF(IFERROR(--(INDEX('Reguler Class Availability'!$G:$G,AP101)&amp;""),0)/IFERROR(--(INDEX('Reguler Class Availability'!$F:$F,AP101)&amp;""),0)&gt;=0.6,"Tinggi","Sebagian"))))))</f>
        <v/>
      </c>
      <c r="AY101" s="0" t="str">
        <f aca="false">IF(AQ101="","",IF(AND(IFERROR(--(INDEX('Reguler Class Availability'!$F:$F,AQ101)&amp;""),0)=0,IFERROR(--(INDEX('Reguler Class Availability'!$G:$G,AQ101)&amp;""),0)=0),IF(OR(INDEX('Reguler Class Availability'!$B:$B,AQ101)&amp;""&lt;&gt;"",INDEX('Reguler Class Availability'!$I:$I,AQ101)&amp;""&lt;&gt;""),"Tutup","Tidak dibuka"),IF(IFERROR(--(INDEX('Reguler Class Availability'!$G:$G,AQ101)&amp;""),0)&gt;IFERROR(--(INDEX('Reguler Class Availability'!$F:$F,AQ101)&amp;""),0),"Lebih",IF(IFERROR(--(INDEX('Reguler Class Availability'!$G:$G,AQ101)&amp;""),0)=IFERROR(--(INDEX('Reguler Class Availability'!$F:$F,AQ101)&amp;""),0),"Penuh",IF(IFERROR(--(INDEX('Reguler Class Availability'!$G:$G,AQ101)&amp;""),0)=0,IF(INDEX('Reguler Class Availability'!$B:$B,AQ101)&amp;""="","Kosong","Belum terisi"),IF(IFERROR(--(INDEX('Reguler Class Availability'!$G:$G,AQ101)&amp;""),0)/IFERROR(--(INDEX('Reguler Class Availability'!$F:$F,AQ101)&amp;""),0)&gt;=0.6,"Tinggi","Sebagian"))))))</f>
        <v/>
      </c>
      <c r="AZ101" s="0" t="str">
        <f aca="false">IF(AR101="","",IF(AND(IFERROR(--(INDEX('Reguler Class Availability'!$F:$F,AR101)&amp;""),0)=0,IFERROR(--(INDEX('Reguler Class Availability'!$G:$G,AR101)&amp;""),0)=0),IF(OR(INDEX('Reguler Class Availability'!$B:$B,AR101)&amp;""&lt;&gt;"",INDEX('Reguler Class Availability'!$I:$I,AR101)&amp;""&lt;&gt;""),"Tutup","Tidak dibuka"),IF(IFERROR(--(INDEX('Reguler Class Availability'!$G:$G,AR101)&amp;""),0)&gt;IFERROR(--(INDEX('Reguler Class Availability'!$F:$F,AR101)&amp;""),0),"Lebih",IF(IFERROR(--(INDEX('Reguler Class Availability'!$G:$G,AR101)&amp;""),0)=IFERROR(--(INDEX('Reguler Class Availability'!$F:$F,AR101)&amp;""),0),"Penuh",IF(IFERROR(--(INDEX('Reguler Class Availability'!$G:$G,AR101)&amp;""),0)=0,IF(INDEX('Reguler Class Availability'!$B:$B,AR101)&amp;""="","Kosong","Belum terisi"),IF(IFERROR(--(INDEX('Reguler Class Availability'!$G:$G,AR101)&amp;""),0)/IFERROR(--(INDEX('Reguler Class Availability'!$F:$F,AR101)&amp;""),0)&gt;=0.6,"Tinggi","Sebagian"))))))</f>
        <v/>
      </c>
      <c r="BA101" s="0" t="str">
        <f aca="false">IF(AS101="","",IF(AND(IFERROR(--(INDEX('Reguler Class Availability'!$F:$F,AS101)&amp;""),0)=0,IFERROR(--(INDEX('Reguler Class Availability'!$G:$G,AS101)&amp;""),0)=0),IF(OR(INDEX('Reguler Class Availability'!$B:$B,AS101)&amp;""&lt;&gt;"",INDEX('Reguler Class Availability'!$I:$I,AS101)&amp;""&lt;&gt;""),"Tutup","Tidak dibuka"),IF(IFERROR(--(INDEX('Reguler Class Availability'!$G:$G,AS101)&amp;""),0)&gt;IFERROR(--(INDEX('Reguler Class Availability'!$F:$F,AS101)&amp;""),0),"Lebih",IF(IFERROR(--(INDEX('Reguler Class Availability'!$G:$G,AS101)&amp;""),0)=IFERROR(--(INDEX('Reguler Class Availability'!$F:$F,AS101)&amp;""),0),"Penuh",IF(IFERROR(--(INDEX('Reguler Class Availability'!$G:$G,AS101)&amp;""),0)=0,IF(INDEX('Reguler Class Availability'!$B:$B,AS101)&amp;""="","Kosong","Belum terisi"),IF(IFERROR(--(INDEX('Reguler Class Availability'!$G:$G,AS101)&amp;""),0)/IFERROR(--(INDEX('Reguler Class Availability'!$F:$F,AS101)&amp;""),0)&gt;=0.6,"Tinggi","Sebagian"))))))</f>
        <v/>
      </c>
      <c r="BB101" s="0" t="str">
        <f aca="false">IF(AT101="","",IF(AND(IFERROR(--(INDEX('Reguler Class Availability'!$F:$F,AT101)&amp;""),0)=0,IFERROR(--(INDEX('Reguler Class Availability'!$G:$G,AT101)&amp;""),0)=0),IF(OR(INDEX('Reguler Class Availability'!$B:$B,AT101)&amp;""&lt;&gt;"",INDEX('Reguler Class Availability'!$I:$I,AT101)&amp;""&lt;&gt;""),"Tutup","Tidak dibuka"),IF(IFERROR(--(INDEX('Reguler Class Availability'!$G:$G,AT101)&amp;""),0)&gt;IFERROR(--(INDEX('Reguler Class Availability'!$F:$F,AT101)&amp;""),0),"Lebih",IF(IFERROR(--(INDEX('Reguler Class Availability'!$G:$G,AT101)&amp;""),0)=IFERROR(--(INDEX('Reguler Class Availability'!$F:$F,AT101)&amp;""),0),"Penuh",IF(IFERROR(--(INDEX('Reguler Class Availability'!$G:$G,AT101)&amp;""),0)=0,IF(INDEX('Reguler Class Availability'!$B:$B,AT101)&amp;""="","Kosong","Belum terisi"),IF(IFERROR(--(INDEX('Reguler Class Availability'!$G:$G,AT101)&amp;""),0)/IFERROR(--(INDEX('Reguler Class Availability'!$F:$F,AT101)&amp;""),0)&gt;=0.6,"Tinggi","Sebagian"))))))</f>
        <v/>
      </c>
      <c r="BD101" s="30" t="s">
        <v>150</v>
      </c>
      <c r="BE101" s="30" t="n">
        <f aca="false">IF(COUNTIFS('Reguler Class Availability'!$L:$L,$B$4&amp;"|- Lane 2 - *|"&amp;BD101)&gt;0,1,0)</f>
        <v>0</v>
      </c>
      <c r="BF101" s="30" t="n">
        <f aca="false">BE101+BF100</f>
        <v>10</v>
      </c>
    </row>
    <row r="102" customFormat="false" ht="15" hidden="false" customHeight="false" outlineLevel="0" collapsed="false">
      <c r="A102" s="68" t="s">
        <v>137</v>
      </c>
      <c r="B102" s="69" t="str">
        <f aca="false">IFERROR(TEXT(SUMIFS('Reguler Class Availability'!$G:$G,'Reguler Class Availability'!$A:$A,$B$4,'Reguler Class Availability'!$C:$C,"- Lane 5 - "&amp;B$87,'Reguler Class Availability'!$F:$F,"&gt;0")/SUMIFS('Reguler Class Availability'!$F:$F,'Reguler Class Availability'!$A:$A,$B$4,'Reguler Class Availability'!$C:$C,"- Lane 5 - "&amp;B$87,'Reguler Class Availability'!$F:$F,"&gt;0"),"0%"),"–")</f>
        <v>0%</v>
      </c>
      <c r="C102" s="69" t="str">
        <f aca="false">IFERROR(TEXT(SUMIFS('Reguler Class Availability'!$G:$G,'Reguler Class Availability'!$A:$A,$B$4,'Reguler Class Availability'!$C:$C,"- Lane 5 - "&amp;C$87,'Reguler Class Availability'!$F:$F,"&gt;0")/SUMIFS('Reguler Class Availability'!$F:$F,'Reguler Class Availability'!$A:$A,$B$4,'Reguler Class Availability'!$C:$C,"- Lane 5 - "&amp;C$87,'Reguler Class Availability'!$F:$F,"&gt;0"),"0%"),"–")</f>
        <v>0%</v>
      </c>
      <c r="D102" s="69" t="str">
        <f aca="false">IFERROR(TEXT(SUMIFS('Reguler Class Availability'!$G:$G,'Reguler Class Availability'!$A:$A,$B$4,'Reguler Class Availability'!$C:$C,"- Lane 5 - "&amp;D$87,'Reguler Class Availability'!$F:$F,"&gt;0")/SUMIFS('Reguler Class Availability'!$F:$F,'Reguler Class Availability'!$A:$A,$B$4,'Reguler Class Availability'!$C:$C,"- Lane 5 - "&amp;D$87,'Reguler Class Availability'!$F:$F,"&gt;0"),"0%"),"–")</f>
        <v>0%</v>
      </c>
      <c r="E102" s="69" t="str">
        <f aca="false">IFERROR(TEXT(SUMIFS('Reguler Class Availability'!$G:$G,'Reguler Class Availability'!$A:$A,$B$4,'Reguler Class Availability'!$C:$C,"- Lane 5 - "&amp;E$87,'Reguler Class Availability'!$F:$F,"&gt;0")/SUMIFS('Reguler Class Availability'!$F:$F,'Reguler Class Availability'!$A:$A,$B$4,'Reguler Class Availability'!$C:$C,"- Lane 5 - "&amp;E$87,'Reguler Class Availability'!$F:$F,"&gt;0"),"0%"),"–")</f>
        <v>0%</v>
      </c>
      <c r="F102" s="69" t="str">
        <f aca="false">IFERROR(TEXT(SUMIFS('Reguler Class Availability'!$G:$G,'Reguler Class Availability'!$A:$A,$B$4,'Reguler Class Availability'!$C:$C,"- Lane 5 - "&amp;F$87,'Reguler Class Availability'!$F:$F,"&gt;0")/SUMIFS('Reguler Class Availability'!$F:$F,'Reguler Class Availability'!$A:$A,$B$4,'Reguler Class Availability'!$C:$C,"- Lane 5 - "&amp;F$87,'Reguler Class Availability'!$F:$F,"&gt;0"),"0%"),"–")</f>
        <v>0%</v>
      </c>
      <c r="G102" s="69" t="str">
        <f aca="false">IFERROR(TEXT(SUMIFS('Reguler Class Availability'!$G:$G,'Reguler Class Availability'!$A:$A,$B$4,'Reguler Class Availability'!$C:$C,"- Lane 5 - "&amp;G$87,'Reguler Class Availability'!$F:$F,"&gt;0")/SUMIFS('Reguler Class Availability'!$F:$F,'Reguler Class Availability'!$A:$A,$B$4,'Reguler Class Availability'!$C:$C,"- Lane 5 - "&amp;G$87,'Reguler Class Availability'!$F:$F,"&gt;0"),"0%"),"–")</f>
        <v>0%</v>
      </c>
      <c r="H102" s="69" t="str">
        <f aca="false">IFERROR(TEXT(SUMIFS('Reguler Class Availability'!$G:$G,'Reguler Class Availability'!$A:$A,$B$4,'Reguler Class Availability'!$C:$C,"- Lane 5 - "&amp;H$87,'Reguler Class Availability'!$F:$F,"&gt;0")/SUMIFS('Reguler Class Availability'!$F:$F,'Reguler Class Availability'!$A:$A,$B$4,'Reguler Class Availability'!$C:$C,"- Lane 5 - "&amp;H$87,'Reguler Class Availability'!$F:$F,"&gt;0"),"0%"),"–")</f>
        <v>0%</v>
      </c>
      <c r="BD102" s="30" t="s">
        <v>151</v>
      </c>
      <c r="BE102" s="30" t="n">
        <f aca="false">IF(COUNTIFS('Reguler Class Availability'!$L:$L,$B$4&amp;"|- Lane 2 - *|"&amp;BD102)&gt;0,1,0)</f>
        <v>0</v>
      </c>
      <c r="BF102" s="30" t="n">
        <f aca="false">BE102+BF101</f>
        <v>10</v>
      </c>
    </row>
    <row r="103" customFormat="false" ht="15" hidden="false" customHeight="false" outlineLevel="0" collapsed="false">
      <c r="BD103" s="0" t="s">
        <v>152</v>
      </c>
      <c r="BE103" s="0" t="n">
        <f aca="false">IF(COUNTIFS('Reguler Class Availability'!$L:$L,$B$4&amp;"|- Lane 2 - *|"&amp;BD103)&gt;0,1,0)</f>
        <v>1</v>
      </c>
      <c r="BF103" s="0" t="n">
        <f aca="false">BE103+BF102</f>
        <v>11</v>
      </c>
    </row>
    <row r="104" customFormat="false" ht="15" hidden="false" customHeight="false" outlineLevel="0" collapsed="false">
      <c r="A104" s="61" t="s">
        <v>174</v>
      </c>
      <c r="B104" s="62"/>
      <c r="C104" s="63" t="str">
        <f aca="false">"Utilisasi lane: "&amp;IFERROR(TEXT(SUMIFS('Reguler Class Availability'!$G:$G,'Reguler Class Availability'!$A:$A,$B$4,'Reguler Class Availability'!$C:$C,"- Lane 6 - *",'Reguler Class Availability'!$F:$F,"&gt;0")/SUMIFS('Reguler Class Availability'!$F:$F,'Reguler Class Availability'!$A:$A,$B$4,'Reguler Class Availability'!$C:$C,"- Lane 6 - *",'Reguler Class Availability'!$F:$F,"&gt;0"),"0%"),"–")&amp;"   ·   Belum terisi: "&amp;COUNTIF($AV$106:$BB$119,"Belum terisi")&amp;"   ·   Slot kosong: "&amp;COUNTIF($AV$106:$BB$119,"Kosong")</f>
        <v>Utilisasi lane: –   ·   Belum terisi: 0   ·   Slot kosong: 0</v>
      </c>
      <c r="D104" s="62"/>
      <c r="E104" s="62"/>
      <c r="F104" s="62"/>
      <c r="G104" s="62"/>
      <c r="H104" s="62"/>
      <c r="BD104" s="30" t="s">
        <v>153</v>
      </c>
      <c r="BE104" s="30" t="n">
        <f aca="false">IF(COUNTIFS('Reguler Class Availability'!$L:$L,$B$4&amp;"|- Lane 2 - *|"&amp;BD104)&gt;0,1,0)</f>
        <v>0</v>
      </c>
      <c r="BF104" s="30" t="n">
        <f aca="false">BE104+BF103</f>
        <v>11</v>
      </c>
    </row>
    <row r="105" customFormat="false" ht="15" hidden="false" customHeight="false" outlineLevel="0" collapsed="false">
      <c r="A105" s="64" t="s">
        <v>113</v>
      </c>
      <c r="B105" s="65" t="s">
        <v>114</v>
      </c>
      <c r="C105" s="65" t="s">
        <v>115</v>
      </c>
      <c r="D105" s="65" t="s">
        <v>116</v>
      </c>
      <c r="E105" s="65" t="s">
        <v>117</v>
      </c>
      <c r="F105" s="65" t="s">
        <v>118</v>
      </c>
      <c r="G105" s="65" t="s">
        <v>119</v>
      </c>
      <c r="H105" s="65" t="s">
        <v>80</v>
      </c>
      <c r="BD105" s="30" t="s">
        <v>154</v>
      </c>
      <c r="BE105" s="30" t="n">
        <f aca="false">IF(COUNTIFS('Reguler Class Availability'!$L:$L,$B$4&amp;"|- Lane 2 - *|"&amp;BD105)&gt;0,1,0)</f>
        <v>0</v>
      </c>
      <c r="BF105" s="30" t="n">
        <f aca="false">BE105+BF104</f>
        <v>11</v>
      </c>
    </row>
    <row r="106" customFormat="false" ht="39.75" hidden="false" customHeight="true" outlineLevel="0" collapsed="false">
      <c r="A106" s="66" t="str">
        <f aca="false">IFERROR(INDEX($BD$302:$BD$361,MATCH(1,$BF$302:$BF$361,0)),"")</f>
        <v>08:00</v>
      </c>
      <c r="B106" s="67" t="str">
        <f aca="false">IF(AN106="","",IF(AV106="Tidak dibuka","–",IF(INDEX('Reguler Class Availability'!$B:$B,AN106)&amp;""="","Kosong",PROPER(INDEX('Reguler Class Availability'!$B:$B,AN106)&amp;""))&amp;"  "&amp;IFERROR(--(INDEX('Reguler Class Availability'!$G:$G,AN106)&amp;""),0)&amp;"/"&amp;IFERROR(--(INDEX('Reguler Class Availability'!$F:$F,AN106)&amp;""),0)&amp;IF(IFERROR(--(INDEX('Reguler Class Availability'!$F:$F,AN106)&amp;""),0)&gt;0,"  ("&amp;TEXT(IFERROR(--(INDEX('Reguler Class Availability'!$G:$G,AN106)&amp;""),0)/IFERROR(--(INDEX('Reguler Class Availability'!$F:$F,AN106)&amp;""),0),"0%")&amp;")","")&amp;CHAR(10)&amp;IF(INDEX('Reguler Class Availability'!$I:$I,AN106)&amp;""="","coach: –",PROPER(INDEX('Reguler Class Availability'!$I:$I,AN106)&amp;""))&amp;IF(INDEX('Reguler Class Availability'!$J:$J,AN106)&amp;""="","",CHAR(10)&amp;"asst: "&amp;PROPER(INDEX('Reguler Class Availability'!$J:$J,AN106)&amp;""))))</f>
        <v>–</v>
      </c>
      <c r="C106" s="67" t="str">
        <f aca="false">IF(AO106="","",IF(AW106="Tidak dibuka","–",IF(INDEX('Reguler Class Availability'!$B:$B,AO106)&amp;""="","Kosong",PROPER(INDEX('Reguler Class Availability'!$B:$B,AO106)&amp;""))&amp;"  "&amp;IFERROR(--(INDEX('Reguler Class Availability'!$G:$G,AO106)&amp;""),0)&amp;"/"&amp;IFERROR(--(INDEX('Reguler Class Availability'!$F:$F,AO106)&amp;""),0)&amp;IF(IFERROR(--(INDEX('Reguler Class Availability'!$F:$F,AO106)&amp;""),0)&gt;0,"  ("&amp;TEXT(IFERROR(--(INDEX('Reguler Class Availability'!$G:$G,AO106)&amp;""),0)/IFERROR(--(INDEX('Reguler Class Availability'!$F:$F,AO106)&amp;""),0),"0%")&amp;")","")&amp;CHAR(10)&amp;IF(INDEX('Reguler Class Availability'!$I:$I,AO106)&amp;""="","coach: –",PROPER(INDEX('Reguler Class Availability'!$I:$I,AO106)&amp;""))&amp;IF(INDEX('Reguler Class Availability'!$J:$J,AO106)&amp;""="","",CHAR(10)&amp;"asst: "&amp;PROPER(INDEX('Reguler Class Availability'!$J:$J,AO106)&amp;""))))</f>
        <v>–</v>
      </c>
      <c r="D106" s="67" t="str">
        <f aca="false">IF(AP106="","",IF(AX106="Tidak dibuka","–",IF(INDEX('Reguler Class Availability'!$B:$B,AP106)&amp;""="","Kosong",PROPER(INDEX('Reguler Class Availability'!$B:$B,AP106)&amp;""))&amp;"  "&amp;IFERROR(--(INDEX('Reguler Class Availability'!$G:$G,AP106)&amp;""),0)&amp;"/"&amp;IFERROR(--(INDEX('Reguler Class Availability'!$F:$F,AP106)&amp;""),0)&amp;IF(IFERROR(--(INDEX('Reguler Class Availability'!$F:$F,AP106)&amp;""),0)&gt;0,"  ("&amp;TEXT(IFERROR(--(INDEX('Reguler Class Availability'!$G:$G,AP106)&amp;""),0)/IFERROR(--(INDEX('Reguler Class Availability'!$F:$F,AP106)&amp;""),0),"0%")&amp;")","")&amp;CHAR(10)&amp;IF(INDEX('Reguler Class Availability'!$I:$I,AP106)&amp;""="","coach: –",PROPER(INDEX('Reguler Class Availability'!$I:$I,AP106)&amp;""))&amp;IF(INDEX('Reguler Class Availability'!$J:$J,AP106)&amp;""="","",CHAR(10)&amp;"asst: "&amp;PROPER(INDEX('Reguler Class Availability'!$J:$J,AP106)&amp;""))))</f>
        <v>–</v>
      </c>
      <c r="E106" s="67" t="str">
        <f aca="false">IF(AQ106="","",IF(AY106="Tidak dibuka","–",IF(INDEX('Reguler Class Availability'!$B:$B,AQ106)&amp;""="","Kosong",PROPER(INDEX('Reguler Class Availability'!$B:$B,AQ106)&amp;""))&amp;"  "&amp;IFERROR(--(INDEX('Reguler Class Availability'!$G:$G,AQ106)&amp;""),0)&amp;"/"&amp;IFERROR(--(INDEX('Reguler Class Availability'!$F:$F,AQ106)&amp;""),0)&amp;IF(IFERROR(--(INDEX('Reguler Class Availability'!$F:$F,AQ106)&amp;""),0)&gt;0,"  ("&amp;TEXT(IFERROR(--(INDEX('Reguler Class Availability'!$G:$G,AQ106)&amp;""),0)/IFERROR(--(INDEX('Reguler Class Availability'!$F:$F,AQ106)&amp;""),0),"0%")&amp;")","")&amp;CHAR(10)&amp;IF(INDEX('Reguler Class Availability'!$I:$I,AQ106)&amp;""="","coach: –",PROPER(INDEX('Reguler Class Availability'!$I:$I,AQ106)&amp;""))&amp;IF(INDEX('Reguler Class Availability'!$J:$J,AQ106)&amp;""="","",CHAR(10)&amp;"asst: "&amp;PROPER(INDEX('Reguler Class Availability'!$J:$J,AQ106)&amp;""))))</f>
        <v>–</v>
      </c>
      <c r="F106" s="67" t="str">
        <f aca="false">IF(AR106="","",IF(AZ106="Tidak dibuka","–",IF(INDEX('Reguler Class Availability'!$B:$B,AR106)&amp;""="","Kosong",PROPER(INDEX('Reguler Class Availability'!$B:$B,AR106)&amp;""))&amp;"  "&amp;IFERROR(--(INDEX('Reguler Class Availability'!$G:$G,AR106)&amp;""),0)&amp;"/"&amp;IFERROR(--(INDEX('Reguler Class Availability'!$F:$F,AR106)&amp;""),0)&amp;IF(IFERROR(--(INDEX('Reguler Class Availability'!$F:$F,AR106)&amp;""),0)&gt;0,"  ("&amp;TEXT(IFERROR(--(INDEX('Reguler Class Availability'!$G:$G,AR106)&amp;""),0)/IFERROR(--(INDEX('Reguler Class Availability'!$F:$F,AR106)&amp;""),0),"0%")&amp;")","")&amp;CHAR(10)&amp;IF(INDEX('Reguler Class Availability'!$I:$I,AR106)&amp;""="","coach: –",PROPER(INDEX('Reguler Class Availability'!$I:$I,AR106)&amp;""))&amp;IF(INDEX('Reguler Class Availability'!$J:$J,AR106)&amp;""="","",CHAR(10)&amp;"asst: "&amp;PROPER(INDEX('Reguler Class Availability'!$J:$J,AR106)&amp;""))))</f>
        <v>–</v>
      </c>
      <c r="G106" s="67" t="str">
        <f aca="false">IF(AS106="","",IF(BA106="Tidak dibuka","–",IF(INDEX('Reguler Class Availability'!$B:$B,AS106)&amp;""="","Kosong",PROPER(INDEX('Reguler Class Availability'!$B:$B,AS106)&amp;""))&amp;"  "&amp;IFERROR(--(INDEX('Reguler Class Availability'!$G:$G,AS106)&amp;""),0)&amp;"/"&amp;IFERROR(--(INDEX('Reguler Class Availability'!$F:$F,AS106)&amp;""),0)&amp;IF(IFERROR(--(INDEX('Reguler Class Availability'!$F:$F,AS106)&amp;""),0)&gt;0,"  ("&amp;TEXT(IFERROR(--(INDEX('Reguler Class Availability'!$G:$G,AS106)&amp;""),0)/IFERROR(--(INDEX('Reguler Class Availability'!$F:$F,AS106)&amp;""),0),"0%")&amp;")","")&amp;CHAR(10)&amp;IF(INDEX('Reguler Class Availability'!$I:$I,AS106)&amp;""="","coach: –",PROPER(INDEX('Reguler Class Availability'!$I:$I,AS106)&amp;""))&amp;IF(INDEX('Reguler Class Availability'!$J:$J,AS106)&amp;""="","",CHAR(10)&amp;"asst: "&amp;PROPER(INDEX('Reguler Class Availability'!$J:$J,AS106)&amp;""))))</f>
        <v>–</v>
      </c>
      <c r="H106" s="67" t="str">
        <f aca="false">IF(AT106="","",IF(BB106="Tidak dibuka","–",IF(INDEX('Reguler Class Availability'!$B:$B,AT106)&amp;""="","Kosong",PROPER(INDEX('Reguler Class Availability'!$B:$B,AT106)&amp;""))&amp;"  "&amp;IFERROR(--(INDEX('Reguler Class Availability'!$G:$G,AT106)&amp;""),0)&amp;"/"&amp;IFERROR(--(INDEX('Reguler Class Availability'!$F:$F,AT106)&amp;""),0)&amp;IF(IFERROR(--(INDEX('Reguler Class Availability'!$F:$F,AT106)&amp;""),0)&gt;0,"  ("&amp;TEXT(IFERROR(--(INDEX('Reguler Class Availability'!$G:$G,AT106)&amp;""),0)/IFERROR(--(INDEX('Reguler Class Availability'!$F:$F,AT106)&amp;""),0),"0%")&amp;")","")&amp;CHAR(10)&amp;IF(INDEX('Reguler Class Availability'!$I:$I,AT106)&amp;""="","coach: –",PROPER(INDEX('Reguler Class Availability'!$I:$I,AT106)&amp;""))&amp;IF(INDEX('Reguler Class Availability'!$J:$J,AT106)&amp;""="","",CHAR(10)&amp;"asst: "&amp;PROPER(INDEX('Reguler Class Availability'!$J:$J,AT106)&amp;""))))</f>
        <v>–</v>
      </c>
      <c r="AN106" s="30" t="n">
        <f aca="false">IF($A106="","",IFERROR(MATCH($B$4&amp;"|- Lane 6 - "&amp;B$105&amp;"|"&amp;$A106,'Reguler Class Availability'!$L:$L,0),""))</f>
        <v>2844</v>
      </c>
      <c r="AO106" s="30" t="n">
        <f aca="false">IF($A106="","",IFERROR(MATCH($B$4&amp;"|- Lane 6 - "&amp;C$105&amp;"|"&amp;$A106,'Reguler Class Availability'!$L:$L,0),""))</f>
        <v>2856</v>
      </c>
      <c r="AP106" s="30" t="n">
        <f aca="false">IF($A106="","",IFERROR(MATCH($B$4&amp;"|- Lane 6 - "&amp;D$105&amp;"|"&amp;$A106,'Reguler Class Availability'!$L:$L,0),""))</f>
        <v>2868</v>
      </c>
      <c r="AQ106" s="30" t="n">
        <f aca="false">IF($A106="","",IFERROR(MATCH($B$4&amp;"|- Lane 6 - "&amp;E$105&amp;"|"&amp;$A106,'Reguler Class Availability'!$L:$L,0),""))</f>
        <v>2880</v>
      </c>
      <c r="AR106" s="30" t="n">
        <f aca="false">IF($A106="","",IFERROR(MATCH($B$4&amp;"|- Lane 6 - "&amp;F$105&amp;"|"&amp;$A106,'Reguler Class Availability'!$L:$L,0),""))</f>
        <v>2892</v>
      </c>
      <c r="AS106" s="30" t="n">
        <f aca="false">IF($A106="","",IFERROR(MATCH($B$4&amp;"|- Lane 6 - "&amp;G$105&amp;"|"&amp;$A106,'Reguler Class Availability'!$L:$L,0),""))</f>
        <v>2904</v>
      </c>
      <c r="AT106" s="30" t="n">
        <f aca="false">IF($A106="","",IFERROR(MATCH($B$4&amp;"|- Lane 6 - "&amp;H$105&amp;"|"&amp;$A106,'Reguler Class Availability'!$L:$L,0),""))</f>
        <v>2916</v>
      </c>
      <c r="AV106" s="0" t="str">
        <f aca="false">IF(AN106="","",IF(AND(IFERROR(--(INDEX('Reguler Class Availability'!$F:$F,AN106)&amp;""),0)=0,IFERROR(--(INDEX('Reguler Class Availability'!$G:$G,AN106)&amp;""),0)=0),IF(OR(INDEX('Reguler Class Availability'!$B:$B,AN106)&amp;""&lt;&gt;"",INDEX('Reguler Class Availability'!$I:$I,AN106)&amp;""&lt;&gt;""),"Tutup","Tidak dibuka"),IF(IFERROR(--(INDEX('Reguler Class Availability'!$G:$G,AN106)&amp;""),0)&gt;IFERROR(--(INDEX('Reguler Class Availability'!$F:$F,AN106)&amp;""),0),"Lebih",IF(IFERROR(--(INDEX('Reguler Class Availability'!$G:$G,AN106)&amp;""),0)=IFERROR(--(INDEX('Reguler Class Availability'!$F:$F,AN106)&amp;""),0),"Penuh",IF(IFERROR(--(INDEX('Reguler Class Availability'!$G:$G,AN106)&amp;""),0)=0,IF(INDEX('Reguler Class Availability'!$B:$B,AN106)&amp;""="","Kosong","Belum terisi"),IF(IFERROR(--(INDEX('Reguler Class Availability'!$G:$G,AN106)&amp;""),0)/IFERROR(--(INDEX('Reguler Class Availability'!$F:$F,AN106)&amp;""),0)&gt;=0.6,"Tinggi","Sebagian"))))))</f>
        <v>Tidak dibuka</v>
      </c>
      <c r="AW106" s="0" t="str">
        <f aca="false">IF(AO106="","",IF(AND(IFERROR(--(INDEX('Reguler Class Availability'!$F:$F,AO106)&amp;""),0)=0,IFERROR(--(INDEX('Reguler Class Availability'!$G:$G,AO106)&amp;""),0)=0),IF(OR(INDEX('Reguler Class Availability'!$B:$B,AO106)&amp;""&lt;&gt;"",INDEX('Reguler Class Availability'!$I:$I,AO106)&amp;""&lt;&gt;""),"Tutup","Tidak dibuka"),IF(IFERROR(--(INDEX('Reguler Class Availability'!$G:$G,AO106)&amp;""),0)&gt;IFERROR(--(INDEX('Reguler Class Availability'!$F:$F,AO106)&amp;""),0),"Lebih",IF(IFERROR(--(INDEX('Reguler Class Availability'!$G:$G,AO106)&amp;""),0)=IFERROR(--(INDEX('Reguler Class Availability'!$F:$F,AO106)&amp;""),0),"Penuh",IF(IFERROR(--(INDEX('Reguler Class Availability'!$G:$G,AO106)&amp;""),0)=0,IF(INDEX('Reguler Class Availability'!$B:$B,AO106)&amp;""="","Kosong","Belum terisi"),IF(IFERROR(--(INDEX('Reguler Class Availability'!$G:$G,AO106)&amp;""),0)/IFERROR(--(INDEX('Reguler Class Availability'!$F:$F,AO106)&amp;""),0)&gt;=0.6,"Tinggi","Sebagian"))))))</f>
        <v>Tidak dibuka</v>
      </c>
      <c r="AX106" s="0" t="str">
        <f aca="false">IF(AP106="","",IF(AND(IFERROR(--(INDEX('Reguler Class Availability'!$F:$F,AP106)&amp;""),0)=0,IFERROR(--(INDEX('Reguler Class Availability'!$G:$G,AP106)&amp;""),0)=0),IF(OR(INDEX('Reguler Class Availability'!$B:$B,AP106)&amp;""&lt;&gt;"",INDEX('Reguler Class Availability'!$I:$I,AP106)&amp;""&lt;&gt;""),"Tutup","Tidak dibuka"),IF(IFERROR(--(INDEX('Reguler Class Availability'!$G:$G,AP106)&amp;""),0)&gt;IFERROR(--(INDEX('Reguler Class Availability'!$F:$F,AP106)&amp;""),0),"Lebih",IF(IFERROR(--(INDEX('Reguler Class Availability'!$G:$G,AP106)&amp;""),0)=IFERROR(--(INDEX('Reguler Class Availability'!$F:$F,AP106)&amp;""),0),"Penuh",IF(IFERROR(--(INDEX('Reguler Class Availability'!$G:$G,AP106)&amp;""),0)=0,IF(INDEX('Reguler Class Availability'!$B:$B,AP106)&amp;""="","Kosong","Belum terisi"),IF(IFERROR(--(INDEX('Reguler Class Availability'!$G:$G,AP106)&amp;""),0)/IFERROR(--(INDEX('Reguler Class Availability'!$F:$F,AP106)&amp;""),0)&gt;=0.6,"Tinggi","Sebagian"))))))</f>
        <v>Tidak dibuka</v>
      </c>
      <c r="AY106" s="0" t="str">
        <f aca="false">IF(AQ106="","",IF(AND(IFERROR(--(INDEX('Reguler Class Availability'!$F:$F,AQ106)&amp;""),0)=0,IFERROR(--(INDEX('Reguler Class Availability'!$G:$G,AQ106)&amp;""),0)=0),IF(OR(INDEX('Reguler Class Availability'!$B:$B,AQ106)&amp;""&lt;&gt;"",INDEX('Reguler Class Availability'!$I:$I,AQ106)&amp;""&lt;&gt;""),"Tutup","Tidak dibuka"),IF(IFERROR(--(INDEX('Reguler Class Availability'!$G:$G,AQ106)&amp;""),0)&gt;IFERROR(--(INDEX('Reguler Class Availability'!$F:$F,AQ106)&amp;""),0),"Lebih",IF(IFERROR(--(INDEX('Reguler Class Availability'!$G:$G,AQ106)&amp;""),0)=IFERROR(--(INDEX('Reguler Class Availability'!$F:$F,AQ106)&amp;""),0),"Penuh",IF(IFERROR(--(INDEX('Reguler Class Availability'!$G:$G,AQ106)&amp;""),0)=0,IF(INDEX('Reguler Class Availability'!$B:$B,AQ106)&amp;""="","Kosong","Belum terisi"),IF(IFERROR(--(INDEX('Reguler Class Availability'!$G:$G,AQ106)&amp;""),0)/IFERROR(--(INDEX('Reguler Class Availability'!$F:$F,AQ106)&amp;""),0)&gt;=0.6,"Tinggi","Sebagian"))))))</f>
        <v>Tidak dibuka</v>
      </c>
      <c r="AZ106" s="0" t="str">
        <f aca="false">IF(AR106="","",IF(AND(IFERROR(--(INDEX('Reguler Class Availability'!$F:$F,AR106)&amp;""),0)=0,IFERROR(--(INDEX('Reguler Class Availability'!$G:$G,AR106)&amp;""),0)=0),IF(OR(INDEX('Reguler Class Availability'!$B:$B,AR106)&amp;""&lt;&gt;"",INDEX('Reguler Class Availability'!$I:$I,AR106)&amp;""&lt;&gt;""),"Tutup","Tidak dibuka"),IF(IFERROR(--(INDEX('Reguler Class Availability'!$G:$G,AR106)&amp;""),0)&gt;IFERROR(--(INDEX('Reguler Class Availability'!$F:$F,AR106)&amp;""),0),"Lebih",IF(IFERROR(--(INDEX('Reguler Class Availability'!$G:$G,AR106)&amp;""),0)=IFERROR(--(INDEX('Reguler Class Availability'!$F:$F,AR106)&amp;""),0),"Penuh",IF(IFERROR(--(INDEX('Reguler Class Availability'!$G:$G,AR106)&amp;""),0)=0,IF(INDEX('Reguler Class Availability'!$B:$B,AR106)&amp;""="","Kosong","Belum terisi"),IF(IFERROR(--(INDEX('Reguler Class Availability'!$G:$G,AR106)&amp;""),0)/IFERROR(--(INDEX('Reguler Class Availability'!$F:$F,AR106)&amp;""),0)&gt;=0.6,"Tinggi","Sebagian"))))))</f>
        <v>Tidak dibuka</v>
      </c>
      <c r="BA106" s="0" t="str">
        <f aca="false">IF(AS106="","",IF(AND(IFERROR(--(INDEX('Reguler Class Availability'!$F:$F,AS106)&amp;""),0)=0,IFERROR(--(INDEX('Reguler Class Availability'!$G:$G,AS106)&amp;""),0)=0),IF(OR(INDEX('Reguler Class Availability'!$B:$B,AS106)&amp;""&lt;&gt;"",INDEX('Reguler Class Availability'!$I:$I,AS106)&amp;""&lt;&gt;""),"Tutup","Tidak dibuka"),IF(IFERROR(--(INDEX('Reguler Class Availability'!$G:$G,AS106)&amp;""),0)&gt;IFERROR(--(INDEX('Reguler Class Availability'!$F:$F,AS106)&amp;""),0),"Lebih",IF(IFERROR(--(INDEX('Reguler Class Availability'!$G:$G,AS106)&amp;""),0)=IFERROR(--(INDEX('Reguler Class Availability'!$F:$F,AS106)&amp;""),0),"Penuh",IF(IFERROR(--(INDEX('Reguler Class Availability'!$G:$G,AS106)&amp;""),0)=0,IF(INDEX('Reguler Class Availability'!$B:$B,AS106)&amp;""="","Kosong","Belum terisi"),IF(IFERROR(--(INDEX('Reguler Class Availability'!$G:$G,AS106)&amp;""),0)/IFERROR(--(INDEX('Reguler Class Availability'!$F:$F,AS106)&amp;""),0)&gt;=0.6,"Tinggi","Sebagian"))))))</f>
        <v>Tidak dibuka</v>
      </c>
      <c r="BB106" s="0" t="str">
        <f aca="false">IF(AT106="","",IF(AND(IFERROR(--(INDEX('Reguler Class Availability'!$F:$F,AT106)&amp;""),0)=0,IFERROR(--(INDEX('Reguler Class Availability'!$G:$G,AT106)&amp;""),0)=0),IF(OR(INDEX('Reguler Class Availability'!$B:$B,AT106)&amp;""&lt;&gt;"",INDEX('Reguler Class Availability'!$I:$I,AT106)&amp;""&lt;&gt;""),"Tutup","Tidak dibuka"),IF(IFERROR(--(INDEX('Reguler Class Availability'!$G:$G,AT106)&amp;""),0)&gt;IFERROR(--(INDEX('Reguler Class Availability'!$F:$F,AT106)&amp;""),0),"Lebih",IF(IFERROR(--(INDEX('Reguler Class Availability'!$G:$G,AT106)&amp;""),0)=IFERROR(--(INDEX('Reguler Class Availability'!$F:$F,AT106)&amp;""),0),"Penuh",IF(IFERROR(--(INDEX('Reguler Class Availability'!$G:$G,AT106)&amp;""),0)=0,IF(INDEX('Reguler Class Availability'!$B:$B,AT106)&amp;""="","Kosong","Belum terisi"),IF(IFERROR(--(INDEX('Reguler Class Availability'!$G:$G,AT106)&amp;""),0)/IFERROR(--(INDEX('Reguler Class Availability'!$F:$F,AT106)&amp;""),0)&gt;=0.6,"Tinggi","Sebagian"))))))</f>
        <v>Tidak dibuka</v>
      </c>
      <c r="BD106" s="30" t="s">
        <v>155</v>
      </c>
      <c r="BE106" s="30" t="n">
        <f aca="false">IF(COUNTIFS('Reguler Class Availability'!$L:$L,$B$4&amp;"|- Lane 2 - *|"&amp;BD106)&gt;0,1,0)</f>
        <v>1</v>
      </c>
      <c r="BF106" s="30" t="n">
        <f aca="false">BE106+BF105</f>
        <v>12</v>
      </c>
    </row>
    <row r="107" customFormat="false" ht="39.75" hidden="false" customHeight="true" outlineLevel="0" collapsed="false">
      <c r="A107" s="66" t="str">
        <f aca="false">IFERROR(INDEX($BD$302:$BD$361,MATCH(2,$BF$302:$BF$361,0)),"")</f>
        <v>08:45</v>
      </c>
      <c r="B107" s="67" t="str">
        <f aca="false">IF(AN107="","",IF(AV107="Tidak dibuka","–",IF(INDEX('Reguler Class Availability'!$B:$B,AN107)&amp;""="","Kosong",PROPER(INDEX('Reguler Class Availability'!$B:$B,AN107)&amp;""))&amp;"  "&amp;IFERROR(--(INDEX('Reguler Class Availability'!$G:$G,AN107)&amp;""),0)&amp;"/"&amp;IFERROR(--(INDEX('Reguler Class Availability'!$F:$F,AN107)&amp;""),0)&amp;IF(IFERROR(--(INDEX('Reguler Class Availability'!$F:$F,AN107)&amp;""),0)&gt;0,"  ("&amp;TEXT(IFERROR(--(INDEX('Reguler Class Availability'!$G:$G,AN107)&amp;""),0)/IFERROR(--(INDEX('Reguler Class Availability'!$F:$F,AN107)&amp;""),0),"0%")&amp;")","")&amp;CHAR(10)&amp;IF(INDEX('Reguler Class Availability'!$I:$I,AN107)&amp;""="","coach: –",PROPER(INDEX('Reguler Class Availability'!$I:$I,AN107)&amp;""))&amp;IF(INDEX('Reguler Class Availability'!$J:$J,AN107)&amp;""="","",CHAR(10)&amp;"asst: "&amp;PROPER(INDEX('Reguler Class Availability'!$J:$J,AN107)&amp;""))))</f>
        <v>–</v>
      </c>
      <c r="C107" s="67" t="str">
        <f aca="false">IF(AO107="","",IF(AW107="Tidak dibuka","–",IF(INDEX('Reguler Class Availability'!$B:$B,AO107)&amp;""="","Kosong",PROPER(INDEX('Reguler Class Availability'!$B:$B,AO107)&amp;""))&amp;"  "&amp;IFERROR(--(INDEX('Reguler Class Availability'!$G:$G,AO107)&amp;""),0)&amp;"/"&amp;IFERROR(--(INDEX('Reguler Class Availability'!$F:$F,AO107)&amp;""),0)&amp;IF(IFERROR(--(INDEX('Reguler Class Availability'!$F:$F,AO107)&amp;""),0)&gt;0,"  ("&amp;TEXT(IFERROR(--(INDEX('Reguler Class Availability'!$G:$G,AO107)&amp;""),0)/IFERROR(--(INDEX('Reguler Class Availability'!$F:$F,AO107)&amp;""),0),"0%")&amp;")","")&amp;CHAR(10)&amp;IF(INDEX('Reguler Class Availability'!$I:$I,AO107)&amp;""="","coach: –",PROPER(INDEX('Reguler Class Availability'!$I:$I,AO107)&amp;""))&amp;IF(INDEX('Reguler Class Availability'!$J:$J,AO107)&amp;""="","",CHAR(10)&amp;"asst: "&amp;PROPER(INDEX('Reguler Class Availability'!$J:$J,AO107)&amp;""))))</f>
        <v>–</v>
      </c>
      <c r="D107" s="67" t="str">
        <f aca="false">IF(AP107="","",IF(AX107="Tidak dibuka","–",IF(INDEX('Reguler Class Availability'!$B:$B,AP107)&amp;""="","Kosong",PROPER(INDEX('Reguler Class Availability'!$B:$B,AP107)&amp;""))&amp;"  "&amp;IFERROR(--(INDEX('Reguler Class Availability'!$G:$G,AP107)&amp;""),0)&amp;"/"&amp;IFERROR(--(INDEX('Reguler Class Availability'!$F:$F,AP107)&amp;""),0)&amp;IF(IFERROR(--(INDEX('Reguler Class Availability'!$F:$F,AP107)&amp;""),0)&gt;0,"  ("&amp;TEXT(IFERROR(--(INDEX('Reguler Class Availability'!$G:$G,AP107)&amp;""),0)/IFERROR(--(INDEX('Reguler Class Availability'!$F:$F,AP107)&amp;""),0),"0%")&amp;")","")&amp;CHAR(10)&amp;IF(INDEX('Reguler Class Availability'!$I:$I,AP107)&amp;""="","coach: –",PROPER(INDEX('Reguler Class Availability'!$I:$I,AP107)&amp;""))&amp;IF(INDEX('Reguler Class Availability'!$J:$J,AP107)&amp;""="","",CHAR(10)&amp;"asst: "&amp;PROPER(INDEX('Reguler Class Availability'!$J:$J,AP107)&amp;""))))</f>
        <v>–</v>
      </c>
      <c r="E107" s="67" t="str">
        <f aca="false">IF(AQ107="","",IF(AY107="Tidak dibuka","–",IF(INDEX('Reguler Class Availability'!$B:$B,AQ107)&amp;""="","Kosong",PROPER(INDEX('Reguler Class Availability'!$B:$B,AQ107)&amp;""))&amp;"  "&amp;IFERROR(--(INDEX('Reguler Class Availability'!$G:$G,AQ107)&amp;""),0)&amp;"/"&amp;IFERROR(--(INDEX('Reguler Class Availability'!$F:$F,AQ107)&amp;""),0)&amp;IF(IFERROR(--(INDEX('Reguler Class Availability'!$F:$F,AQ107)&amp;""),0)&gt;0,"  ("&amp;TEXT(IFERROR(--(INDEX('Reguler Class Availability'!$G:$G,AQ107)&amp;""),0)/IFERROR(--(INDEX('Reguler Class Availability'!$F:$F,AQ107)&amp;""),0),"0%")&amp;")","")&amp;CHAR(10)&amp;IF(INDEX('Reguler Class Availability'!$I:$I,AQ107)&amp;""="","coach: –",PROPER(INDEX('Reguler Class Availability'!$I:$I,AQ107)&amp;""))&amp;IF(INDEX('Reguler Class Availability'!$J:$J,AQ107)&amp;""="","",CHAR(10)&amp;"asst: "&amp;PROPER(INDEX('Reguler Class Availability'!$J:$J,AQ107)&amp;""))))</f>
        <v>–</v>
      </c>
      <c r="F107" s="67" t="str">
        <f aca="false">IF(AR107="","",IF(AZ107="Tidak dibuka","–",IF(INDEX('Reguler Class Availability'!$B:$B,AR107)&amp;""="","Kosong",PROPER(INDEX('Reguler Class Availability'!$B:$B,AR107)&amp;""))&amp;"  "&amp;IFERROR(--(INDEX('Reguler Class Availability'!$G:$G,AR107)&amp;""),0)&amp;"/"&amp;IFERROR(--(INDEX('Reguler Class Availability'!$F:$F,AR107)&amp;""),0)&amp;IF(IFERROR(--(INDEX('Reguler Class Availability'!$F:$F,AR107)&amp;""),0)&gt;0,"  ("&amp;TEXT(IFERROR(--(INDEX('Reguler Class Availability'!$G:$G,AR107)&amp;""),0)/IFERROR(--(INDEX('Reguler Class Availability'!$F:$F,AR107)&amp;""),0),"0%")&amp;")","")&amp;CHAR(10)&amp;IF(INDEX('Reguler Class Availability'!$I:$I,AR107)&amp;""="","coach: –",PROPER(INDEX('Reguler Class Availability'!$I:$I,AR107)&amp;""))&amp;IF(INDEX('Reguler Class Availability'!$J:$J,AR107)&amp;""="","",CHAR(10)&amp;"asst: "&amp;PROPER(INDEX('Reguler Class Availability'!$J:$J,AR107)&amp;""))))</f>
        <v>–</v>
      </c>
      <c r="G107" s="67" t="str">
        <f aca="false">IF(AS107="","",IF(BA107="Tidak dibuka","–",IF(INDEX('Reguler Class Availability'!$B:$B,AS107)&amp;""="","Kosong",PROPER(INDEX('Reguler Class Availability'!$B:$B,AS107)&amp;""))&amp;"  "&amp;IFERROR(--(INDEX('Reguler Class Availability'!$G:$G,AS107)&amp;""),0)&amp;"/"&amp;IFERROR(--(INDEX('Reguler Class Availability'!$F:$F,AS107)&amp;""),0)&amp;IF(IFERROR(--(INDEX('Reguler Class Availability'!$F:$F,AS107)&amp;""),0)&gt;0,"  ("&amp;TEXT(IFERROR(--(INDEX('Reguler Class Availability'!$G:$G,AS107)&amp;""),0)/IFERROR(--(INDEX('Reguler Class Availability'!$F:$F,AS107)&amp;""),0),"0%")&amp;")","")&amp;CHAR(10)&amp;IF(INDEX('Reguler Class Availability'!$I:$I,AS107)&amp;""="","coach: –",PROPER(INDEX('Reguler Class Availability'!$I:$I,AS107)&amp;""))&amp;IF(INDEX('Reguler Class Availability'!$J:$J,AS107)&amp;""="","",CHAR(10)&amp;"asst: "&amp;PROPER(INDEX('Reguler Class Availability'!$J:$J,AS107)&amp;""))))</f>
        <v>–</v>
      </c>
      <c r="H107" s="67" t="str">
        <f aca="false">IF(AT107="","",IF(BB107="Tidak dibuka","–",IF(INDEX('Reguler Class Availability'!$B:$B,AT107)&amp;""="","Kosong",PROPER(INDEX('Reguler Class Availability'!$B:$B,AT107)&amp;""))&amp;"  "&amp;IFERROR(--(INDEX('Reguler Class Availability'!$G:$G,AT107)&amp;""),0)&amp;"/"&amp;IFERROR(--(INDEX('Reguler Class Availability'!$F:$F,AT107)&amp;""),0)&amp;IF(IFERROR(--(INDEX('Reguler Class Availability'!$F:$F,AT107)&amp;""),0)&gt;0,"  ("&amp;TEXT(IFERROR(--(INDEX('Reguler Class Availability'!$G:$G,AT107)&amp;""),0)/IFERROR(--(INDEX('Reguler Class Availability'!$F:$F,AT107)&amp;""),0),"0%")&amp;")","")&amp;CHAR(10)&amp;IF(INDEX('Reguler Class Availability'!$I:$I,AT107)&amp;""="","coach: –",PROPER(INDEX('Reguler Class Availability'!$I:$I,AT107)&amp;""))&amp;IF(INDEX('Reguler Class Availability'!$J:$J,AT107)&amp;""="","",CHAR(10)&amp;"asst: "&amp;PROPER(INDEX('Reguler Class Availability'!$J:$J,AT107)&amp;""))))</f>
        <v>–</v>
      </c>
      <c r="AN107" s="30" t="n">
        <f aca="false">IF($A107="","",IFERROR(MATCH($B$4&amp;"|- Lane 6 - "&amp;B$105&amp;"|"&amp;$A107,'Reguler Class Availability'!$L:$L,0),""))</f>
        <v>2845</v>
      </c>
      <c r="AO107" s="30" t="n">
        <f aca="false">IF($A107="","",IFERROR(MATCH($B$4&amp;"|- Lane 6 - "&amp;C$105&amp;"|"&amp;$A107,'Reguler Class Availability'!$L:$L,0),""))</f>
        <v>2857</v>
      </c>
      <c r="AP107" s="30" t="n">
        <f aca="false">IF($A107="","",IFERROR(MATCH($B$4&amp;"|- Lane 6 - "&amp;D$105&amp;"|"&amp;$A107,'Reguler Class Availability'!$L:$L,0),""))</f>
        <v>2869</v>
      </c>
      <c r="AQ107" s="30" t="n">
        <f aca="false">IF($A107="","",IFERROR(MATCH($B$4&amp;"|- Lane 6 - "&amp;E$105&amp;"|"&amp;$A107,'Reguler Class Availability'!$L:$L,0),""))</f>
        <v>2881</v>
      </c>
      <c r="AR107" s="30" t="n">
        <f aca="false">IF($A107="","",IFERROR(MATCH($B$4&amp;"|- Lane 6 - "&amp;F$105&amp;"|"&amp;$A107,'Reguler Class Availability'!$L:$L,0),""))</f>
        <v>2893</v>
      </c>
      <c r="AS107" s="30" t="n">
        <f aca="false">IF($A107="","",IFERROR(MATCH($B$4&amp;"|- Lane 6 - "&amp;G$105&amp;"|"&amp;$A107,'Reguler Class Availability'!$L:$L,0),""))</f>
        <v>2905</v>
      </c>
      <c r="AT107" s="30" t="n">
        <f aca="false">IF($A107="","",IFERROR(MATCH($B$4&amp;"|- Lane 6 - "&amp;H$105&amp;"|"&amp;$A107,'Reguler Class Availability'!$L:$L,0),""))</f>
        <v>2917</v>
      </c>
      <c r="AV107" s="0" t="str">
        <f aca="false">IF(AN107="","",IF(AND(IFERROR(--(INDEX('Reguler Class Availability'!$F:$F,AN107)&amp;""),0)=0,IFERROR(--(INDEX('Reguler Class Availability'!$G:$G,AN107)&amp;""),0)=0),IF(OR(INDEX('Reguler Class Availability'!$B:$B,AN107)&amp;""&lt;&gt;"",INDEX('Reguler Class Availability'!$I:$I,AN107)&amp;""&lt;&gt;""),"Tutup","Tidak dibuka"),IF(IFERROR(--(INDEX('Reguler Class Availability'!$G:$G,AN107)&amp;""),0)&gt;IFERROR(--(INDEX('Reguler Class Availability'!$F:$F,AN107)&amp;""),0),"Lebih",IF(IFERROR(--(INDEX('Reguler Class Availability'!$G:$G,AN107)&amp;""),0)=IFERROR(--(INDEX('Reguler Class Availability'!$F:$F,AN107)&amp;""),0),"Penuh",IF(IFERROR(--(INDEX('Reguler Class Availability'!$G:$G,AN107)&amp;""),0)=0,IF(INDEX('Reguler Class Availability'!$B:$B,AN107)&amp;""="","Kosong","Belum terisi"),IF(IFERROR(--(INDEX('Reguler Class Availability'!$G:$G,AN107)&amp;""),0)/IFERROR(--(INDEX('Reguler Class Availability'!$F:$F,AN107)&amp;""),0)&gt;=0.6,"Tinggi","Sebagian"))))))</f>
        <v>Tidak dibuka</v>
      </c>
      <c r="AW107" s="0" t="str">
        <f aca="false">IF(AO107="","",IF(AND(IFERROR(--(INDEX('Reguler Class Availability'!$F:$F,AO107)&amp;""),0)=0,IFERROR(--(INDEX('Reguler Class Availability'!$G:$G,AO107)&amp;""),0)=0),IF(OR(INDEX('Reguler Class Availability'!$B:$B,AO107)&amp;""&lt;&gt;"",INDEX('Reguler Class Availability'!$I:$I,AO107)&amp;""&lt;&gt;""),"Tutup","Tidak dibuka"),IF(IFERROR(--(INDEX('Reguler Class Availability'!$G:$G,AO107)&amp;""),0)&gt;IFERROR(--(INDEX('Reguler Class Availability'!$F:$F,AO107)&amp;""),0),"Lebih",IF(IFERROR(--(INDEX('Reguler Class Availability'!$G:$G,AO107)&amp;""),0)=IFERROR(--(INDEX('Reguler Class Availability'!$F:$F,AO107)&amp;""),0),"Penuh",IF(IFERROR(--(INDEX('Reguler Class Availability'!$G:$G,AO107)&amp;""),0)=0,IF(INDEX('Reguler Class Availability'!$B:$B,AO107)&amp;""="","Kosong","Belum terisi"),IF(IFERROR(--(INDEX('Reguler Class Availability'!$G:$G,AO107)&amp;""),0)/IFERROR(--(INDEX('Reguler Class Availability'!$F:$F,AO107)&amp;""),0)&gt;=0.6,"Tinggi","Sebagian"))))))</f>
        <v>Tidak dibuka</v>
      </c>
      <c r="AX107" s="0" t="str">
        <f aca="false">IF(AP107="","",IF(AND(IFERROR(--(INDEX('Reguler Class Availability'!$F:$F,AP107)&amp;""),0)=0,IFERROR(--(INDEX('Reguler Class Availability'!$G:$G,AP107)&amp;""),0)=0),IF(OR(INDEX('Reguler Class Availability'!$B:$B,AP107)&amp;""&lt;&gt;"",INDEX('Reguler Class Availability'!$I:$I,AP107)&amp;""&lt;&gt;""),"Tutup","Tidak dibuka"),IF(IFERROR(--(INDEX('Reguler Class Availability'!$G:$G,AP107)&amp;""),0)&gt;IFERROR(--(INDEX('Reguler Class Availability'!$F:$F,AP107)&amp;""),0),"Lebih",IF(IFERROR(--(INDEX('Reguler Class Availability'!$G:$G,AP107)&amp;""),0)=IFERROR(--(INDEX('Reguler Class Availability'!$F:$F,AP107)&amp;""),0),"Penuh",IF(IFERROR(--(INDEX('Reguler Class Availability'!$G:$G,AP107)&amp;""),0)=0,IF(INDEX('Reguler Class Availability'!$B:$B,AP107)&amp;""="","Kosong","Belum terisi"),IF(IFERROR(--(INDEX('Reguler Class Availability'!$G:$G,AP107)&amp;""),0)/IFERROR(--(INDEX('Reguler Class Availability'!$F:$F,AP107)&amp;""),0)&gt;=0.6,"Tinggi","Sebagian"))))))</f>
        <v>Tidak dibuka</v>
      </c>
      <c r="AY107" s="0" t="str">
        <f aca="false">IF(AQ107="","",IF(AND(IFERROR(--(INDEX('Reguler Class Availability'!$F:$F,AQ107)&amp;""),0)=0,IFERROR(--(INDEX('Reguler Class Availability'!$G:$G,AQ107)&amp;""),0)=0),IF(OR(INDEX('Reguler Class Availability'!$B:$B,AQ107)&amp;""&lt;&gt;"",INDEX('Reguler Class Availability'!$I:$I,AQ107)&amp;""&lt;&gt;""),"Tutup","Tidak dibuka"),IF(IFERROR(--(INDEX('Reguler Class Availability'!$G:$G,AQ107)&amp;""),0)&gt;IFERROR(--(INDEX('Reguler Class Availability'!$F:$F,AQ107)&amp;""),0),"Lebih",IF(IFERROR(--(INDEX('Reguler Class Availability'!$G:$G,AQ107)&amp;""),0)=IFERROR(--(INDEX('Reguler Class Availability'!$F:$F,AQ107)&amp;""),0),"Penuh",IF(IFERROR(--(INDEX('Reguler Class Availability'!$G:$G,AQ107)&amp;""),0)=0,IF(INDEX('Reguler Class Availability'!$B:$B,AQ107)&amp;""="","Kosong","Belum terisi"),IF(IFERROR(--(INDEX('Reguler Class Availability'!$G:$G,AQ107)&amp;""),0)/IFERROR(--(INDEX('Reguler Class Availability'!$F:$F,AQ107)&amp;""),0)&gt;=0.6,"Tinggi","Sebagian"))))))</f>
        <v>Tidak dibuka</v>
      </c>
      <c r="AZ107" s="0" t="str">
        <f aca="false">IF(AR107="","",IF(AND(IFERROR(--(INDEX('Reguler Class Availability'!$F:$F,AR107)&amp;""),0)=0,IFERROR(--(INDEX('Reguler Class Availability'!$G:$G,AR107)&amp;""),0)=0),IF(OR(INDEX('Reguler Class Availability'!$B:$B,AR107)&amp;""&lt;&gt;"",INDEX('Reguler Class Availability'!$I:$I,AR107)&amp;""&lt;&gt;""),"Tutup","Tidak dibuka"),IF(IFERROR(--(INDEX('Reguler Class Availability'!$G:$G,AR107)&amp;""),0)&gt;IFERROR(--(INDEX('Reguler Class Availability'!$F:$F,AR107)&amp;""),0),"Lebih",IF(IFERROR(--(INDEX('Reguler Class Availability'!$G:$G,AR107)&amp;""),0)=IFERROR(--(INDEX('Reguler Class Availability'!$F:$F,AR107)&amp;""),0),"Penuh",IF(IFERROR(--(INDEX('Reguler Class Availability'!$G:$G,AR107)&amp;""),0)=0,IF(INDEX('Reguler Class Availability'!$B:$B,AR107)&amp;""="","Kosong","Belum terisi"),IF(IFERROR(--(INDEX('Reguler Class Availability'!$G:$G,AR107)&amp;""),0)/IFERROR(--(INDEX('Reguler Class Availability'!$F:$F,AR107)&amp;""),0)&gt;=0.6,"Tinggi","Sebagian"))))))</f>
        <v>Tidak dibuka</v>
      </c>
      <c r="BA107" s="0" t="str">
        <f aca="false">IF(AS107="","",IF(AND(IFERROR(--(INDEX('Reguler Class Availability'!$F:$F,AS107)&amp;""),0)=0,IFERROR(--(INDEX('Reguler Class Availability'!$G:$G,AS107)&amp;""),0)=0),IF(OR(INDEX('Reguler Class Availability'!$B:$B,AS107)&amp;""&lt;&gt;"",INDEX('Reguler Class Availability'!$I:$I,AS107)&amp;""&lt;&gt;""),"Tutup","Tidak dibuka"),IF(IFERROR(--(INDEX('Reguler Class Availability'!$G:$G,AS107)&amp;""),0)&gt;IFERROR(--(INDEX('Reguler Class Availability'!$F:$F,AS107)&amp;""),0),"Lebih",IF(IFERROR(--(INDEX('Reguler Class Availability'!$G:$G,AS107)&amp;""),0)=IFERROR(--(INDEX('Reguler Class Availability'!$F:$F,AS107)&amp;""),0),"Penuh",IF(IFERROR(--(INDEX('Reguler Class Availability'!$G:$G,AS107)&amp;""),0)=0,IF(INDEX('Reguler Class Availability'!$B:$B,AS107)&amp;""="","Kosong","Belum terisi"),IF(IFERROR(--(INDEX('Reguler Class Availability'!$G:$G,AS107)&amp;""),0)/IFERROR(--(INDEX('Reguler Class Availability'!$F:$F,AS107)&amp;""),0)&gt;=0.6,"Tinggi","Sebagian"))))))</f>
        <v>Tidak dibuka</v>
      </c>
      <c r="BB107" s="0" t="str">
        <f aca="false">IF(AT107="","",IF(AND(IFERROR(--(INDEX('Reguler Class Availability'!$F:$F,AT107)&amp;""),0)=0,IFERROR(--(INDEX('Reguler Class Availability'!$G:$G,AT107)&amp;""),0)=0),IF(OR(INDEX('Reguler Class Availability'!$B:$B,AT107)&amp;""&lt;&gt;"",INDEX('Reguler Class Availability'!$I:$I,AT107)&amp;""&lt;&gt;""),"Tutup","Tidak dibuka"),IF(IFERROR(--(INDEX('Reguler Class Availability'!$G:$G,AT107)&amp;""),0)&gt;IFERROR(--(INDEX('Reguler Class Availability'!$F:$F,AT107)&amp;""),0),"Lebih",IF(IFERROR(--(INDEX('Reguler Class Availability'!$G:$G,AT107)&amp;""),0)=IFERROR(--(INDEX('Reguler Class Availability'!$F:$F,AT107)&amp;""),0),"Penuh",IF(IFERROR(--(INDEX('Reguler Class Availability'!$G:$G,AT107)&amp;""),0)=0,IF(INDEX('Reguler Class Availability'!$B:$B,AT107)&amp;""="","Kosong","Belum terisi"),IF(IFERROR(--(INDEX('Reguler Class Availability'!$G:$G,AT107)&amp;""),0)/IFERROR(--(INDEX('Reguler Class Availability'!$F:$F,AT107)&amp;""),0)&gt;=0.6,"Tinggi","Sebagian"))))))</f>
        <v>Tidak dibuka</v>
      </c>
      <c r="BD107" s="30" t="s">
        <v>156</v>
      </c>
      <c r="BE107" s="30" t="n">
        <f aca="false">IF(COUNTIFS('Reguler Class Availability'!$L:$L,$B$4&amp;"|- Lane 2 - *|"&amp;BD107)&gt;0,1,0)</f>
        <v>0</v>
      </c>
      <c r="BF107" s="30" t="n">
        <f aca="false">BE107+BF106</f>
        <v>12</v>
      </c>
    </row>
    <row r="108" customFormat="false" ht="39.75" hidden="false" customHeight="true" outlineLevel="0" collapsed="false">
      <c r="A108" s="66" t="str">
        <f aca="false">IFERROR(INDEX($BD$302:$BD$361,MATCH(3,$BF$302:$BF$361,0)),"")</f>
        <v>09:30</v>
      </c>
      <c r="B108" s="67" t="str">
        <f aca="false">IF(AN108="","",IF(AV108="Tidak dibuka","–",IF(INDEX('Reguler Class Availability'!$B:$B,AN108)&amp;""="","Kosong",PROPER(INDEX('Reguler Class Availability'!$B:$B,AN108)&amp;""))&amp;"  "&amp;IFERROR(--(INDEX('Reguler Class Availability'!$G:$G,AN108)&amp;""),0)&amp;"/"&amp;IFERROR(--(INDEX('Reguler Class Availability'!$F:$F,AN108)&amp;""),0)&amp;IF(IFERROR(--(INDEX('Reguler Class Availability'!$F:$F,AN108)&amp;""),0)&gt;0,"  ("&amp;TEXT(IFERROR(--(INDEX('Reguler Class Availability'!$G:$G,AN108)&amp;""),0)/IFERROR(--(INDEX('Reguler Class Availability'!$F:$F,AN108)&amp;""),0),"0%")&amp;")","")&amp;CHAR(10)&amp;IF(INDEX('Reguler Class Availability'!$I:$I,AN108)&amp;""="","coach: –",PROPER(INDEX('Reguler Class Availability'!$I:$I,AN108)&amp;""))&amp;IF(INDEX('Reguler Class Availability'!$J:$J,AN108)&amp;""="","",CHAR(10)&amp;"asst: "&amp;PROPER(INDEX('Reguler Class Availability'!$J:$J,AN108)&amp;""))))</f>
        <v>–</v>
      </c>
      <c r="C108" s="67" t="str">
        <f aca="false">IF(AO108="","",IF(AW108="Tidak dibuka","–",IF(INDEX('Reguler Class Availability'!$B:$B,AO108)&amp;""="","Kosong",PROPER(INDEX('Reguler Class Availability'!$B:$B,AO108)&amp;""))&amp;"  "&amp;IFERROR(--(INDEX('Reguler Class Availability'!$G:$G,AO108)&amp;""),0)&amp;"/"&amp;IFERROR(--(INDEX('Reguler Class Availability'!$F:$F,AO108)&amp;""),0)&amp;IF(IFERROR(--(INDEX('Reguler Class Availability'!$F:$F,AO108)&amp;""),0)&gt;0,"  ("&amp;TEXT(IFERROR(--(INDEX('Reguler Class Availability'!$G:$G,AO108)&amp;""),0)/IFERROR(--(INDEX('Reguler Class Availability'!$F:$F,AO108)&amp;""),0),"0%")&amp;")","")&amp;CHAR(10)&amp;IF(INDEX('Reguler Class Availability'!$I:$I,AO108)&amp;""="","coach: –",PROPER(INDEX('Reguler Class Availability'!$I:$I,AO108)&amp;""))&amp;IF(INDEX('Reguler Class Availability'!$J:$J,AO108)&amp;""="","",CHAR(10)&amp;"asst: "&amp;PROPER(INDEX('Reguler Class Availability'!$J:$J,AO108)&amp;""))))</f>
        <v>–</v>
      </c>
      <c r="D108" s="67" t="str">
        <f aca="false">IF(AP108="","",IF(AX108="Tidak dibuka","–",IF(INDEX('Reguler Class Availability'!$B:$B,AP108)&amp;""="","Kosong",PROPER(INDEX('Reguler Class Availability'!$B:$B,AP108)&amp;""))&amp;"  "&amp;IFERROR(--(INDEX('Reguler Class Availability'!$G:$G,AP108)&amp;""),0)&amp;"/"&amp;IFERROR(--(INDEX('Reguler Class Availability'!$F:$F,AP108)&amp;""),0)&amp;IF(IFERROR(--(INDEX('Reguler Class Availability'!$F:$F,AP108)&amp;""),0)&gt;0,"  ("&amp;TEXT(IFERROR(--(INDEX('Reguler Class Availability'!$G:$G,AP108)&amp;""),0)/IFERROR(--(INDEX('Reguler Class Availability'!$F:$F,AP108)&amp;""),0),"0%")&amp;")","")&amp;CHAR(10)&amp;IF(INDEX('Reguler Class Availability'!$I:$I,AP108)&amp;""="","coach: –",PROPER(INDEX('Reguler Class Availability'!$I:$I,AP108)&amp;""))&amp;IF(INDEX('Reguler Class Availability'!$J:$J,AP108)&amp;""="","",CHAR(10)&amp;"asst: "&amp;PROPER(INDEX('Reguler Class Availability'!$J:$J,AP108)&amp;""))))</f>
        <v>–</v>
      </c>
      <c r="E108" s="67" t="str">
        <f aca="false">IF(AQ108="","",IF(AY108="Tidak dibuka","–",IF(INDEX('Reguler Class Availability'!$B:$B,AQ108)&amp;""="","Kosong",PROPER(INDEX('Reguler Class Availability'!$B:$B,AQ108)&amp;""))&amp;"  "&amp;IFERROR(--(INDEX('Reguler Class Availability'!$G:$G,AQ108)&amp;""),0)&amp;"/"&amp;IFERROR(--(INDEX('Reguler Class Availability'!$F:$F,AQ108)&amp;""),0)&amp;IF(IFERROR(--(INDEX('Reguler Class Availability'!$F:$F,AQ108)&amp;""),0)&gt;0,"  ("&amp;TEXT(IFERROR(--(INDEX('Reguler Class Availability'!$G:$G,AQ108)&amp;""),0)/IFERROR(--(INDEX('Reguler Class Availability'!$F:$F,AQ108)&amp;""),0),"0%")&amp;")","")&amp;CHAR(10)&amp;IF(INDEX('Reguler Class Availability'!$I:$I,AQ108)&amp;""="","coach: –",PROPER(INDEX('Reguler Class Availability'!$I:$I,AQ108)&amp;""))&amp;IF(INDEX('Reguler Class Availability'!$J:$J,AQ108)&amp;""="","",CHAR(10)&amp;"asst: "&amp;PROPER(INDEX('Reguler Class Availability'!$J:$J,AQ108)&amp;""))))</f>
        <v>–</v>
      </c>
      <c r="F108" s="67" t="str">
        <f aca="false">IF(AR108="","",IF(AZ108="Tidak dibuka","–",IF(INDEX('Reguler Class Availability'!$B:$B,AR108)&amp;""="","Kosong",PROPER(INDEX('Reguler Class Availability'!$B:$B,AR108)&amp;""))&amp;"  "&amp;IFERROR(--(INDEX('Reguler Class Availability'!$G:$G,AR108)&amp;""),0)&amp;"/"&amp;IFERROR(--(INDEX('Reguler Class Availability'!$F:$F,AR108)&amp;""),0)&amp;IF(IFERROR(--(INDEX('Reguler Class Availability'!$F:$F,AR108)&amp;""),0)&gt;0,"  ("&amp;TEXT(IFERROR(--(INDEX('Reguler Class Availability'!$G:$G,AR108)&amp;""),0)/IFERROR(--(INDEX('Reguler Class Availability'!$F:$F,AR108)&amp;""),0),"0%")&amp;")","")&amp;CHAR(10)&amp;IF(INDEX('Reguler Class Availability'!$I:$I,AR108)&amp;""="","coach: –",PROPER(INDEX('Reguler Class Availability'!$I:$I,AR108)&amp;""))&amp;IF(INDEX('Reguler Class Availability'!$J:$J,AR108)&amp;""="","",CHAR(10)&amp;"asst: "&amp;PROPER(INDEX('Reguler Class Availability'!$J:$J,AR108)&amp;""))))</f>
        <v>–</v>
      </c>
      <c r="G108" s="67" t="str">
        <f aca="false">IF(AS108="","",IF(BA108="Tidak dibuka","–",IF(INDEX('Reguler Class Availability'!$B:$B,AS108)&amp;""="","Kosong",PROPER(INDEX('Reguler Class Availability'!$B:$B,AS108)&amp;""))&amp;"  "&amp;IFERROR(--(INDEX('Reguler Class Availability'!$G:$G,AS108)&amp;""),0)&amp;"/"&amp;IFERROR(--(INDEX('Reguler Class Availability'!$F:$F,AS108)&amp;""),0)&amp;IF(IFERROR(--(INDEX('Reguler Class Availability'!$F:$F,AS108)&amp;""),0)&gt;0,"  ("&amp;TEXT(IFERROR(--(INDEX('Reguler Class Availability'!$G:$G,AS108)&amp;""),0)/IFERROR(--(INDEX('Reguler Class Availability'!$F:$F,AS108)&amp;""),0),"0%")&amp;")","")&amp;CHAR(10)&amp;IF(INDEX('Reguler Class Availability'!$I:$I,AS108)&amp;""="","coach: –",PROPER(INDEX('Reguler Class Availability'!$I:$I,AS108)&amp;""))&amp;IF(INDEX('Reguler Class Availability'!$J:$J,AS108)&amp;""="","",CHAR(10)&amp;"asst: "&amp;PROPER(INDEX('Reguler Class Availability'!$J:$J,AS108)&amp;""))))</f>
        <v>–</v>
      </c>
      <c r="H108" s="67" t="str">
        <f aca="false">IF(AT108="","",IF(BB108="Tidak dibuka","–",IF(INDEX('Reguler Class Availability'!$B:$B,AT108)&amp;""="","Kosong",PROPER(INDEX('Reguler Class Availability'!$B:$B,AT108)&amp;""))&amp;"  "&amp;IFERROR(--(INDEX('Reguler Class Availability'!$G:$G,AT108)&amp;""),0)&amp;"/"&amp;IFERROR(--(INDEX('Reguler Class Availability'!$F:$F,AT108)&amp;""),0)&amp;IF(IFERROR(--(INDEX('Reguler Class Availability'!$F:$F,AT108)&amp;""),0)&gt;0,"  ("&amp;TEXT(IFERROR(--(INDEX('Reguler Class Availability'!$G:$G,AT108)&amp;""),0)/IFERROR(--(INDEX('Reguler Class Availability'!$F:$F,AT108)&amp;""),0),"0%")&amp;")","")&amp;CHAR(10)&amp;IF(INDEX('Reguler Class Availability'!$I:$I,AT108)&amp;""="","coach: –",PROPER(INDEX('Reguler Class Availability'!$I:$I,AT108)&amp;""))&amp;IF(INDEX('Reguler Class Availability'!$J:$J,AT108)&amp;""="","",CHAR(10)&amp;"asst: "&amp;PROPER(INDEX('Reguler Class Availability'!$J:$J,AT108)&amp;""))))</f>
        <v>–</v>
      </c>
      <c r="AN108" s="30" t="n">
        <f aca="false">IF($A108="","",IFERROR(MATCH($B$4&amp;"|- Lane 6 - "&amp;B$105&amp;"|"&amp;$A108,'Reguler Class Availability'!$L:$L,0),""))</f>
        <v>2846</v>
      </c>
      <c r="AO108" s="30" t="n">
        <f aca="false">IF($A108="","",IFERROR(MATCH($B$4&amp;"|- Lane 6 - "&amp;C$105&amp;"|"&amp;$A108,'Reguler Class Availability'!$L:$L,0),""))</f>
        <v>2858</v>
      </c>
      <c r="AP108" s="30" t="n">
        <f aca="false">IF($A108="","",IFERROR(MATCH($B$4&amp;"|- Lane 6 - "&amp;D$105&amp;"|"&amp;$A108,'Reguler Class Availability'!$L:$L,0),""))</f>
        <v>2870</v>
      </c>
      <c r="AQ108" s="30" t="n">
        <f aca="false">IF($A108="","",IFERROR(MATCH($B$4&amp;"|- Lane 6 - "&amp;E$105&amp;"|"&amp;$A108,'Reguler Class Availability'!$L:$L,0),""))</f>
        <v>2882</v>
      </c>
      <c r="AR108" s="30" t="n">
        <f aca="false">IF($A108="","",IFERROR(MATCH($B$4&amp;"|- Lane 6 - "&amp;F$105&amp;"|"&amp;$A108,'Reguler Class Availability'!$L:$L,0),""))</f>
        <v>2894</v>
      </c>
      <c r="AS108" s="30" t="n">
        <f aca="false">IF($A108="","",IFERROR(MATCH($B$4&amp;"|- Lane 6 - "&amp;G$105&amp;"|"&amp;$A108,'Reguler Class Availability'!$L:$L,0),""))</f>
        <v>2906</v>
      </c>
      <c r="AT108" s="30" t="n">
        <f aca="false">IF($A108="","",IFERROR(MATCH($B$4&amp;"|- Lane 6 - "&amp;H$105&amp;"|"&amp;$A108,'Reguler Class Availability'!$L:$L,0),""))</f>
        <v>2918</v>
      </c>
      <c r="AV108" s="0" t="str">
        <f aca="false">IF(AN108="","",IF(AND(IFERROR(--(INDEX('Reguler Class Availability'!$F:$F,AN108)&amp;""),0)=0,IFERROR(--(INDEX('Reguler Class Availability'!$G:$G,AN108)&amp;""),0)=0),IF(OR(INDEX('Reguler Class Availability'!$B:$B,AN108)&amp;""&lt;&gt;"",INDEX('Reguler Class Availability'!$I:$I,AN108)&amp;""&lt;&gt;""),"Tutup","Tidak dibuka"),IF(IFERROR(--(INDEX('Reguler Class Availability'!$G:$G,AN108)&amp;""),0)&gt;IFERROR(--(INDEX('Reguler Class Availability'!$F:$F,AN108)&amp;""),0),"Lebih",IF(IFERROR(--(INDEX('Reguler Class Availability'!$G:$G,AN108)&amp;""),0)=IFERROR(--(INDEX('Reguler Class Availability'!$F:$F,AN108)&amp;""),0),"Penuh",IF(IFERROR(--(INDEX('Reguler Class Availability'!$G:$G,AN108)&amp;""),0)=0,IF(INDEX('Reguler Class Availability'!$B:$B,AN108)&amp;""="","Kosong","Belum terisi"),IF(IFERROR(--(INDEX('Reguler Class Availability'!$G:$G,AN108)&amp;""),0)/IFERROR(--(INDEX('Reguler Class Availability'!$F:$F,AN108)&amp;""),0)&gt;=0.6,"Tinggi","Sebagian"))))))</f>
        <v>Tidak dibuka</v>
      </c>
      <c r="AW108" s="0" t="str">
        <f aca="false">IF(AO108="","",IF(AND(IFERROR(--(INDEX('Reguler Class Availability'!$F:$F,AO108)&amp;""),0)=0,IFERROR(--(INDEX('Reguler Class Availability'!$G:$G,AO108)&amp;""),0)=0),IF(OR(INDEX('Reguler Class Availability'!$B:$B,AO108)&amp;""&lt;&gt;"",INDEX('Reguler Class Availability'!$I:$I,AO108)&amp;""&lt;&gt;""),"Tutup","Tidak dibuka"),IF(IFERROR(--(INDEX('Reguler Class Availability'!$G:$G,AO108)&amp;""),0)&gt;IFERROR(--(INDEX('Reguler Class Availability'!$F:$F,AO108)&amp;""),0),"Lebih",IF(IFERROR(--(INDEX('Reguler Class Availability'!$G:$G,AO108)&amp;""),0)=IFERROR(--(INDEX('Reguler Class Availability'!$F:$F,AO108)&amp;""),0),"Penuh",IF(IFERROR(--(INDEX('Reguler Class Availability'!$G:$G,AO108)&amp;""),0)=0,IF(INDEX('Reguler Class Availability'!$B:$B,AO108)&amp;""="","Kosong","Belum terisi"),IF(IFERROR(--(INDEX('Reguler Class Availability'!$G:$G,AO108)&amp;""),0)/IFERROR(--(INDEX('Reguler Class Availability'!$F:$F,AO108)&amp;""),0)&gt;=0.6,"Tinggi","Sebagian"))))))</f>
        <v>Tidak dibuka</v>
      </c>
      <c r="AX108" s="0" t="str">
        <f aca="false">IF(AP108="","",IF(AND(IFERROR(--(INDEX('Reguler Class Availability'!$F:$F,AP108)&amp;""),0)=0,IFERROR(--(INDEX('Reguler Class Availability'!$G:$G,AP108)&amp;""),0)=0),IF(OR(INDEX('Reguler Class Availability'!$B:$B,AP108)&amp;""&lt;&gt;"",INDEX('Reguler Class Availability'!$I:$I,AP108)&amp;""&lt;&gt;""),"Tutup","Tidak dibuka"),IF(IFERROR(--(INDEX('Reguler Class Availability'!$G:$G,AP108)&amp;""),0)&gt;IFERROR(--(INDEX('Reguler Class Availability'!$F:$F,AP108)&amp;""),0),"Lebih",IF(IFERROR(--(INDEX('Reguler Class Availability'!$G:$G,AP108)&amp;""),0)=IFERROR(--(INDEX('Reguler Class Availability'!$F:$F,AP108)&amp;""),0),"Penuh",IF(IFERROR(--(INDEX('Reguler Class Availability'!$G:$G,AP108)&amp;""),0)=0,IF(INDEX('Reguler Class Availability'!$B:$B,AP108)&amp;""="","Kosong","Belum terisi"),IF(IFERROR(--(INDEX('Reguler Class Availability'!$G:$G,AP108)&amp;""),0)/IFERROR(--(INDEX('Reguler Class Availability'!$F:$F,AP108)&amp;""),0)&gt;=0.6,"Tinggi","Sebagian"))))))</f>
        <v>Tidak dibuka</v>
      </c>
      <c r="AY108" s="0" t="str">
        <f aca="false">IF(AQ108="","",IF(AND(IFERROR(--(INDEX('Reguler Class Availability'!$F:$F,AQ108)&amp;""),0)=0,IFERROR(--(INDEX('Reguler Class Availability'!$G:$G,AQ108)&amp;""),0)=0),IF(OR(INDEX('Reguler Class Availability'!$B:$B,AQ108)&amp;""&lt;&gt;"",INDEX('Reguler Class Availability'!$I:$I,AQ108)&amp;""&lt;&gt;""),"Tutup","Tidak dibuka"),IF(IFERROR(--(INDEX('Reguler Class Availability'!$G:$G,AQ108)&amp;""),0)&gt;IFERROR(--(INDEX('Reguler Class Availability'!$F:$F,AQ108)&amp;""),0),"Lebih",IF(IFERROR(--(INDEX('Reguler Class Availability'!$G:$G,AQ108)&amp;""),0)=IFERROR(--(INDEX('Reguler Class Availability'!$F:$F,AQ108)&amp;""),0),"Penuh",IF(IFERROR(--(INDEX('Reguler Class Availability'!$G:$G,AQ108)&amp;""),0)=0,IF(INDEX('Reguler Class Availability'!$B:$B,AQ108)&amp;""="","Kosong","Belum terisi"),IF(IFERROR(--(INDEX('Reguler Class Availability'!$G:$G,AQ108)&amp;""),0)/IFERROR(--(INDEX('Reguler Class Availability'!$F:$F,AQ108)&amp;""),0)&gt;=0.6,"Tinggi","Sebagian"))))))</f>
        <v>Tidak dibuka</v>
      </c>
      <c r="AZ108" s="0" t="str">
        <f aca="false">IF(AR108="","",IF(AND(IFERROR(--(INDEX('Reguler Class Availability'!$F:$F,AR108)&amp;""),0)=0,IFERROR(--(INDEX('Reguler Class Availability'!$G:$G,AR108)&amp;""),0)=0),IF(OR(INDEX('Reguler Class Availability'!$B:$B,AR108)&amp;""&lt;&gt;"",INDEX('Reguler Class Availability'!$I:$I,AR108)&amp;""&lt;&gt;""),"Tutup","Tidak dibuka"),IF(IFERROR(--(INDEX('Reguler Class Availability'!$G:$G,AR108)&amp;""),0)&gt;IFERROR(--(INDEX('Reguler Class Availability'!$F:$F,AR108)&amp;""),0),"Lebih",IF(IFERROR(--(INDEX('Reguler Class Availability'!$G:$G,AR108)&amp;""),0)=IFERROR(--(INDEX('Reguler Class Availability'!$F:$F,AR108)&amp;""),0),"Penuh",IF(IFERROR(--(INDEX('Reguler Class Availability'!$G:$G,AR108)&amp;""),0)=0,IF(INDEX('Reguler Class Availability'!$B:$B,AR108)&amp;""="","Kosong","Belum terisi"),IF(IFERROR(--(INDEX('Reguler Class Availability'!$G:$G,AR108)&amp;""),0)/IFERROR(--(INDEX('Reguler Class Availability'!$F:$F,AR108)&amp;""),0)&gt;=0.6,"Tinggi","Sebagian"))))))</f>
        <v>Tidak dibuka</v>
      </c>
      <c r="BA108" s="0" t="str">
        <f aca="false">IF(AS108="","",IF(AND(IFERROR(--(INDEX('Reguler Class Availability'!$F:$F,AS108)&amp;""),0)=0,IFERROR(--(INDEX('Reguler Class Availability'!$G:$G,AS108)&amp;""),0)=0),IF(OR(INDEX('Reguler Class Availability'!$B:$B,AS108)&amp;""&lt;&gt;"",INDEX('Reguler Class Availability'!$I:$I,AS108)&amp;""&lt;&gt;""),"Tutup","Tidak dibuka"),IF(IFERROR(--(INDEX('Reguler Class Availability'!$G:$G,AS108)&amp;""),0)&gt;IFERROR(--(INDEX('Reguler Class Availability'!$F:$F,AS108)&amp;""),0),"Lebih",IF(IFERROR(--(INDEX('Reguler Class Availability'!$G:$G,AS108)&amp;""),0)=IFERROR(--(INDEX('Reguler Class Availability'!$F:$F,AS108)&amp;""),0),"Penuh",IF(IFERROR(--(INDEX('Reguler Class Availability'!$G:$G,AS108)&amp;""),0)=0,IF(INDEX('Reguler Class Availability'!$B:$B,AS108)&amp;""="","Kosong","Belum terisi"),IF(IFERROR(--(INDEX('Reguler Class Availability'!$G:$G,AS108)&amp;""),0)/IFERROR(--(INDEX('Reguler Class Availability'!$F:$F,AS108)&amp;""),0)&gt;=0.6,"Tinggi","Sebagian"))))))</f>
        <v>Tidak dibuka</v>
      </c>
      <c r="BB108" s="0" t="str">
        <f aca="false">IF(AT108="","",IF(AND(IFERROR(--(INDEX('Reguler Class Availability'!$F:$F,AT108)&amp;""),0)=0,IFERROR(--(INDEX('Reguler Class Availability'!$G:$G,AT108)&amp;""),0)=0),IF(OR(INDEX('Reguler Class Availability'!$B:$B,AT108)&amp;""&lt;&gt;"",INDEX('Reguler Class Availability'!$I:$I,AT108)&amp;""&lt;&gt;""),"Tutup","Tidak dibuka"),IF(IFERROR(--(INDEX('Reguler Class Availability'!$G:$G,AT108)&amp;""),0)&gt;IFERROR(--(INDEX('Reguler Class Availability'!$F:$F,AT108)&amp;""),0),"Lebih",IF(IFERROR(--(INDEX('Reguler Class Availability'!$G:$G,AT108)&amp;""),0)=IFERROR(--(INDEX('Reguler Class Availability'!$F:$F,AT108)&amp;""),0),"Penuh",IF(IFERROR(--(INDEX('Reguler Class Availability'!$G:$G,AT108)&amp;""),0)=0,IF(INDEX('Reguler Class Availability'!$B:$B,AT108)&amp;""="","Kosong","Belum terisi"),IF(IFERROR(--(INDEX('Reguler Class Availability'!$G:$G,AT108)&amp;""),0)/IFERROR(--(INDEX('Reguler Class Availability'!$F:$F,AT108)&amp;""),0)&gt;=0.6,"Tinggi","Sebagian"))))))</f>
        <v>Tidak dibuka</v>
      </c>
      <c r="BD108" s="30" t="s">
        <v>157</v>
      </c>
      <c r="BE108" s="30" t="n">
        <f aca="false">IF(COUNTIFS('Reguler Class Availability'!$L:$L,$B$4&amp;"|- Lane 2 - *|"&amp;BD108)&gt;0,1,0)</f>
        <v>0</v>
      </c>
      <c r="BF108" s="30" t="n">
        <f aca="false">BE108+BF107</f>
        <v>12</v>
      </c>
    </row>
    <row r="109" customFormat="false" ht="39.75" hidden="false" customHeight="true" outlineLevel="0" collapsed="false">
      <c r="A109" s="66" t="str">
        <f aca="false">IFERROR(INDEX($BD$302:$BD$361,MATCH(4,$BF$302:$BF$361,0)),"")</f>
        <v>10:15</v>
      </c>
      <c r="B109" s="67" t="str">
        <f aca="false">IF(AN109="","",IF(AV109="Tidak dibuka","–",IF(INDEX('Reguler Class Availability'!$B:$B,AN109)&amp;""="","Kosong",PROPER(INDEX('Reguler Class Availability'!$B:$B,AN109)&amp;""))&amp;"  "&amp;IFERROR(--(INDEX('Reguler Class Availability'!$G:$G,AN109)&amp;""),0)&amp;"/"&amp;IFERROR(--(INDEX('Reguler Class Availability'!$F:$F,AN109)&amp;""),0)&amp;IF(IFERROR(--(INDEX('Reguler Class Availability'!$F:$F,AN109)&amp;""),0)&gt;0,"  ("&amp;TEXT(IFERROR(--(INDEX('Reguler Class Availability'!$G:$G,AN109)&amp;""),0)/IFERROR(--(INDEX('Reguler Class Availability'!$F:$F,AN109)&amp;""),0),"0%")&amp;")","")&amp;CHAR(10)&amp;IF(INDEX('Reguler Class Availability'!$I:$I,AN109)&amp;""="","coach: –",PROPER(INDEX('Reguler Class Availability'!$I:$I,AN109)&amp;""))&amp;IF(INDEX('Reguler Class Availability'!$J:$J,AN109)&amp;""="","",CHAR(10)&amp;"asst: "&amp;PROPER(INDEX('Reguler Class Availability'!$J:$J,AN109)&amp;""))))</f>
        <v>–</v>
      </c>
      <c r="C109" s="67" t="str">
        <f aca="false">IF(AO109="","",IF(AW109="Tidak dibuka","–",IF(INDEX('Reguler Class Availability'!$B:$B,AO109)&amp;""="","Kosong",PROPER(INDEX('Reguler Class Availability'!$B:$B,AO109)&amp;""))&amp;"  "&amp;IFERROR(--(INDEX('Reguler Class Availability'!$G:$G,AO109)&amp;""),0)&amp;"/"&amp;IFERROR(--(INDEX('Reguler Class Availability'!$F:$F,AO109)&amp;""),0)&amp;IF(IFERROR(--(INDEX('Reguler Class Availability'!$F:$F,AO109)&amp;""),0)&gt;0,"  ("&amp;TEXT(IFERROR(--(INDEX('Reguler Class Availability'!$G:$G,AO109)&amp;""),0)/IFERROR(--(INDEX('Reguler Class Availability'!$F:$F,AO109)&amp;""),0),"0%")&amp;")","")&amp;CHAR(10)&amp;IF(INDEX('Reguler Class Availability'!$I:$I,AO109)&amp;""="","coach: –",PROPER(INDEX('Reguler Class Availability'!$I:$I,AO109)&amp;""))&amp;IF(INDEX('Reguler Class Availability'!$J:$J,AO109)&amp;""="","",CHAR(10)&amp;"asst: "&amp;PROPER(INDEX('Reguler Class Availability'!$J:$J,AO109)&amp;""))))</f>
        <v>–</v>
      </c>
      <c r="D109" s="67" t="str">
        <f aca="false">IF(AP109="","",IF(AX109="Tidak dibuka","–",IF(INDEX('Reguler Class Availability'!$B:$B,AP109)&amp;""="","Kosong",PROPER(INDEX('Reguler Class Availability'!$B:$B,AP109)&amp;""))&amp;"  "&amp;IFERROR(--(INDEX('Reguler Class Availability'!$G:$G,AP109)&amp;""),0)&amp;"/"&amp;IFERROR(--(INDEX('Reguler Class Availability'!$F:$F,AP109)&amp;""),0)&amp;IF(IFERROR(--(INDEX('Reguler Class Availability'!$F:$F,AP109)&amp;""),0)&gt;0,"  ("&amp;TEXT(IFERROR(--(INDEX('Reguler Class Availability'!$G:$G,AP109)&amp;""),0)/IFERROR(--(INDEX('Reguler Class Availability'!$F:$F,AP109)&amp;""),0),"0%")&amp;")","")&amp;CHAR(10)&amp;IF(INDEX('Reguler Class Availability'!$I:$I,AP109)&amp;""="","coach: –",PROPER(INDEX('Reguler Class Availability'!$I:$I,AP109)&amp;""))&amp;IF(INDEX('Reguler Class Availability'!$J:$J,AP109)&amp;""="","",CHAR(10)&amp;"asst: "&amp;PROPER(INDEX('Reguler Class Availability'!$J:$J,AP109)&amp;""))))</f>
        <v>–</v>
      </c>
      <c r="E109" s="67" t="str">
        <f aca="false">IF(AQ109="","",IF(AY109="Tidak dibuka","–",IF(INDEX('Reguler Class Availability'!$B:$B,AQ109)&amp;""="","Kosong",PROPER(INDEX('Reguler Class Availability'!$B:$B,AQ109)&amp;""))&amp;"  "&amp;IFERROR(--(INDEX('Reguler Class Availability'!$G:$G,AQ109)&amp;""),0)&amp;"/"&amp;IFERROR(--(INDEX('Reguler Class Availability'!$F:$F,AQ109)&amp;""),0)&amp;IF(IFERROR(--(INDEX('Reguler Class Availability'!$F:$F,AQ109)&amp;""),0)&gt;0,"  ("&amp;TEXT(IFERROR(--(INDEX('Reguler Class Availability'!$G:$G,AQ109)&amp;""),0)/IFERROR(--(INDEX('Reguler Class Availability'!$F:$F,AQ109)&amp;""),0),"0%")&amp;")","")&amp;CHAR(10)&amp;IF(INDEX('Reguler Class Availability'!$I:$I,AQ109)&amp;""="","coach: –",PROPER(INDEX('Reguler Class Availability'!$I:$I,AQ109)&amp;""))&amp;IF(INDEX('Reguler Class Availability'!$J:$J,AQ109)&amp;""="","",CHAR(10)&amp;"asst: "&amp;PROPER(INDEX('Reguler Class Availability'!$J:$J,AQ109)&amp;""))))</f>
        <v>–</v>
      </c>
      <c r="F109" s="67" t="str">
        <f aca="false">IF(AR109="","",IF(AZ109="Tidak dibuka","–",IF(INDEX('Reguler Class Availability'!$B:$B,AR109)&amp;""="","Kosong",PROPER(INDEX('Reguler Class Availability'!$B:$B,AR109)&amp;""))&amp;"  "&amp;IFERROR(--(INDEX('Reguler Class Availability'!$G:$G,AR109)&amp;""),0)&amp;"/"&amp;IFERROR(--(INDEX('Reguler Class Availability'!$F:$F,AR109)&amp;""),0)&amp;IF(IFERROR(--(INDEX('Reguler Class Availability'!$F:$F,AR109)&amp;""),0)&gt;0,"  ("&amp;TEXT(IFERROR(--(INDEX('Reguler Class Availability'!$G:$G,AR109)&amp;""),0)/IFERROR(--(INDEX('Reguler Class Availability'!$F:$F,AR109)&amp;""),0),"0%")&amp;")","")&amp;CHAR(10)&amp;IF(INDEX('Reguler Class Availability'!$I:$I,AR109)&amp;""="","coach: –",PROPER(INDEX('Reguler Class Availability'!$I:$I,AR109)&amp;""))&amp;IF(INDEX('Reguler Class Availability'!$J:$J,AR109)&amp;""="","",CHAR(10)&amp;"asst: "&amp;PROPER(INDEX('Reguler Class Availability'!$J:$J,AR109)&amp;""))))</f>
        <v>–</v>
      </c>
      <c r="G109" s="67" t="str">
        <f aca="false">IF(AS109="","",IF(BA109="Tidak dibuka","–",IF(INDEX('Reguler Class Availability'!$B:$B,AS109)&amp;""="","Kosong",PROPER(INDEX('Reguler Class Availability'!$B:$B,AS109)&amp;""))&amp;"  "&amp;IFERROR(--(INDEX('Reguler Class Availability'!$G:$G,AS109)&amp;""),0)&amp;"/"&amp;IFERROR(--(INDEX('Reguler Class Availability'!$F:$F,AS109)&amp;""),0)&amp;IF(IFERROR(--(INDEX('Reguler Class Availability'!$F:$F,AS109)&amp;""),0)&gt;0,"  ("&amp;TEXT(IFERROR(--(INDEX('Reguler Class Availability'!$G:$G,AS109)&amp;""),0)/IFERROR(--(INDEX('Reguler Class Availability'!$F:$F,AS109)&amp;""),0),"0%")&amp;")","")&amp;CHAR(10)&amp;IF(INDEX('Reguler Class Availability'!$I:$I,AS109)&amp;""="","coach: –",PROPER(INDEX('Reguler Class Availability'!$I:$I,AS109)&amp;""))&amp;IF(INDEX('Reguler Class Availability'!$J:$J,AS109)&amp;""="","",CHAR(10)&amp;"asst: "&amp;PROPER(INDEX('Reguler Class Availability'!$J:$J,AS109)&amp;""))))</f>
        <v>–</v>
      </c>
      <c r="H109" s="67" t="str">
        <f aca="false">IF(AT109="","",IF(BB109="Tidak dibuka","–",IF(INDEX('Reguler Class Availability'!$B:$B,AT109)&amp;""="","Kosong",PROPER(INDEX('Reguler Class Availability'!$B:$B,AT109)&amp;""))&amp;"  "&amp;IFERROR(--(INDEX('Reguler Class Availability'!$G:$G,AT109)&amp;""),0)&amp;"/"&amp;IFERROR(--(INDEX('Reguler Class Availability'!$F:$F,AT109)&amp;""),0)&amp;IF(IFERROR(--(INDEX('Reguler Class Availability'!$F:$F,AT109)&amp;""),0)&gt;0,"  ("&amp;TEXT(IFERROR(--(INDEX('Reguler Class Availability'!$G:$G,AT109)&amp;""),0)/IFERROR(--(INDEX('Reguler Class Availability'!$F:$F,AT109)&amp;""),0),"0%")&amp;")","")&amp;CHAR(10)&amp;IF(INDEX('Reguler Class Availability'!$I:$I,AT109)&amp;""="","coach: –",PROPER(INDEX('Reguler Class Availability'!$I:$I,AT109)&amp;""))&amp;IF(INDEX('Reguler Class Availability'!$J:$J,AT109)&amp;""="","",CHAR(10)&amp;"asst: "&amp;PROPER(INDEX('Reguler Class Availability'!$J:$J,AT109)&amp;""))))</f>
        <v>–</v>
      </c>
      <c r="AN109" s="30" t="n">
        <f aca="false">IF($A109="","",IFERROR(MATCH($B$4&amp;"|- Lane 6 - "&amp;B$105&amp;"|"&amp;$A109,'Reguler Class Availability'!$L:$L,0),""))</f>
        <v>2847</v>
      </c>
      <c r="AO109" s="30" t="n">
        <f aca="false">IF($A109="","",IFERROR(MATCH($B$4&amp;"|- Lane 6 - "&amp;C$105&amp;"|"&amp;$A109,'Reguler Class Availability'!$L:$L,0),""))</f>
        <v>2859</v>
      </c>
      <c r="AP109" s="30" t="n">
        <f aca="false">IF($A109="","",IFERROR(MATCH($B$4&amp;"|- Lane 6 - "&amp;D$105&amp;"|"&amp;$A109,'Reguler Class Availability'!$L:$L,0),""))</f>
        <v>2871</v>
      </c>
      <c r="AQ109" s="30" t="n">
        <f aca="false">IF($A109="","",IFERROR(MATCH($B$4&amp;"|- Lane 6 - "&amp;E$105&amp;"|"&amp;$A109,'Reguler Class Availability'!$L:$L,0),""))</f>
        <v>2883</v>
      </c>
      <c r="AR109" s="30" t="n">
        <f aca="false">IF($A109="","",IFERROR(MATCH($B$4&amp;"|- Lane 6 - "&amp;F$105&amp;"|"&amp;$A109,'Reguler Class Availability'!$L:$L,0),""))</f>
        <v>2895</v>
      </c>
      <c r="AS109" s="30" t="n">
        <f aca="false">IF($A109="","",IFERROR(MATCH($B$4&amp;"|- Lane 6 - "&amp;G$105&amp;"|"&amp;$A109,'Reguler Class Availability'!$L:$L,0),""))</f>
        <v>2907</v>
      </c>
      <c r="AT109" s="30" t="n">
        <f aca="false">IF($A109="","",IFERROR(MATCH($B$4&amp;"|- Lane 6 - "&amp;H$105&amp;"|"&amp;$A109,'Reguler Class Availability'!$L:$L,0),""))</f>
        <v>2919</v>
      </c>
      <c r="AV109" s="0" t="str">
        <f aca="false">IF(AN109="","",IF(AND(IFERROR(--(INDEX('Reguler Class Availability'!$F:$F,AN109)&amp;""),0)=0,IFERROR(--(INDEX('Reguler Class Availability'!$G:$G,AN109)&amp;""),0)=0),IF(OR(INDEX('Reguler Class Availability'!$B:$B,AN109)&amp;""&lt;&gt;"",INDEX('Reguler Class Availability'!$I:$I,AN109)&amp;""&lt;&gt;""),"Tutup","Tidak dibuka"),IF(IFERROR(--(INDEX('Reguler Class Availability'!$G:$G,AN109)&amp;""),0)&gt;IFERROR(--(INDEX('Reguler Class Availability'!$F:$F,AN109)&amp;""),0),"Lebih",IF(IFERROR(--(INDEX('Reguler Class Availability'!$G:$G,AN109)&amp;""),0)=IFERROR(--(INDEX('Reguler Class Availability'!$F:$F,AN109)&amp;""),0),"Penuh",IF(IFERROR(--(INDEX('Reguler Class Availability'!$G:$G,AN109)&amp;""),0)=0,IF(INDEX('Reguler Class Availability'!$B:$B,AN109)&amp;""="","Kosong","Belum terisi"),IF(IFERROR(--(INDEX('Reguler Class Availability'!$G:$G,AN109)&amp;""),0)/IFERROR(--(INDEX('Reguler Class Availability'!$F:$F,AN109)&amp;""),0)&gt;=0.6,"Tinggi","Sebagian"))))))</f>
        <v>Tidak dibuka</v>
      </c>
      <c r="AW109" s="0" t="str">
        <f aca="false">IF(AO109="","",IF(AND(IFERROR(--(INDEX('Reguler Class Availability'!$F:$F,AO109)&amp;""),0)=0,IFERROR(--(INDEX('Reguler Class Availability'!$G:$G,AO109)&amp;""),0)=0),IF(OR(INDEX('Reguler Class Availability'!$B:$B,AO109)&amp;""&lt;&gt;"",INDEX('Reguler Class Availability'!$I:$I,AO109)&amp;""&lt;&gt;""),"Tutup","Tidak dibuka"),IF(IFERROR(--(INDEX('Reguler Class Availability'!$G:$G,AO109)&amp;""),0)&gt;IFERROR(--(INDEX('Reguler Class Availability'!$F:$F,AO109)&amp;""),0),"Lebih",IF(IFERROR(--(INDEX('Reguler Class Availability'!$G:$G,AO109)&amp;""),0)=IFERROR(--(INDEX('Reguler Class Availability'!$F:$F,AO109)&amp;""),0),"Penuh",IF(IFERROR(--(INDEX('Reguler Class Availability'!$G:$G,AO109)&amp;""),0)=0,IF(INDEX('Reguler Class Availability'!$B:$B,AO109)&amp;""="","Kosong","Belum terisi"),IF(IFERROR(--(INDEX('Reguler Class Availability'!$G:$G,AO109)&amp;""),0)/IFERROR(--(INDEX('Reguler Class Availability'!$F:$F,AO109)&amp;""),0)&gt;=0.6,"Tinggi","Sebagian"))))))</f>
        <v>Tidak dibuka</v>
      </c>
      <c r="AX109" s="0" t="str">
        <f aca="false">IF(AP109="","",IF(AND(IFERROR(--(INDEX('Reguler Class Availability'!$F:$F,AP109)&amp;""),0)=0,IFERROR(--(INDEX('Reguler Class Availability'!$G:$G,AP109)&amp;""),0)=0),IF(OR(INDEX('Reguler Class Availability'!$B:$B,AP109)&amp;""&lt;&gt;"",INDEX('Reguler Class Availability'!$I:$I,AP109)&amp;""&lt;&gt;""),"Tutup","Tidak dibuka"),IF(IFERROR(--(INDEX('Reguler Class Availability'!$G:$G,AP109)&amp;""),0)&gt;IFERROR(--(INDEX('Reguler Class Availability'!$F:$F,AP109)&amp;""),0),"Lebih",IF(IFERROR(--(INDEX('Reguler Class Availability'!$G:$G,AP109)&amp;""),0)=IFERROR(--(INDEX('Reguler Class Availability'!$F:$F,AP109)&amp;""),0),"Penuh",IF(IFERROR(--(INDEX('Reguler Class Availability'!$G:$G,AP109)&amp;""),0)=0,IF(INDEX('Reguler Class Availability'!$B:$B,AP109)&amp;""="","Kosong","Belum terisi"),IF(IFERROR(--(INDEX('Reguler Class Availability'!$G:$G,AP109)&amp;""),0)/IFERROR(--(INDEX('Reguler Class Availability'!$F:$F,AP109)&amp;""),0)&gt;=0.6,"Tinggi","Sebagian"))))))</f>
        <v>Tidak dibuka</v>
      </c>
      <c r="AY109" s="0" t="str">
        <f aca="false">IF(AQ109="","",IF(AND(IFERROR(--(INDEX('Reguler Class Availability'!$F:$F,AQ109)&amp;""),0)=0,IFERROR(--(INDEX('Reguler Class Availability'!$G:$G,AQ109)&amp;""),0)=0),IF(OR(INDEX('Reguler Class Availability'!$B:$B,AQ109)&amp;""&lt;&gt;"",INDEX('Reguler Class Availability'!$I:$I,AQ109)&amp;""&lt;&gt;""),"Tutup","Tidak dibuka"),IF(IFERROR(--(INDEX('Reguler Class Availability'!$G:$G,AQ109)&amp;""),0)&gt;IFERROR(--(INDEX('Reguler Class Availability'!$F:$F,AQ109)&amp;""),0),"Lebih",IF(IFERROR(--(INDEX('Reguler Class Availability'!$G:$G,AQ109)&amp;""),0)=IFERROR(--(INDEX('Reguler Class Availability'!$F:$F,AQ109)&amp;""),0),"Penuh",IF(IFERROR(--(INDEX('Reguler Class Availability'!$G:$G,AQ109)&amp;""),0)=0,IF(INDEX('Reguler Class Availability'!$B:$B,AQ109)&amp;""="","Kosong","Belum terisi"),IF(IFERROR(--(INDEX('Reguler Class Availability'!$G:$G,AQ109)&amp;""),0)/IFERROR(--(INDEX('Reguler Class Availability'!$F:$F,AQ109)&amp;""),0)&gt;=0.6,"Tinggi","Sebagian"))))))</f>
        <v>Tidak dibuka</v>
      </c>
      <c r="AZ109" s="0" t="str">
        <f aca="false">IF(AR109="","",IF(AND(IFERROR(--(INDEX('Reguler Class Availability'!$F:$F,AR109)&amp;""),0)=0,IFERROR(--(INDEX('Reguler Class Availability'!$G:$G,AR109)&amp;""),0)=0),IF(OR(INDEX('Reguler Class Availability'!$B:$B,AR109)&amp;""&lt;&gt;"",INDEX('Reguler Class Availability'!$I:$I,AR109)&amp;""&lt;&gt;""),"Tutup","Tidak dibuka"),IF(IFERROR(--(INDEX('Reguler Class Availability'!$G:$G,AR109)&amp;""),0)&gt;IFERROR(--(INDEX('Reguler Class Availability'!$F:$F,AR109)&amp;""),0),"Lebih",IF(IFERROR(--(INDEX('Reguler Class Availability'!$G:$G,AR109)&amp;""),0)=IFERROR(--(INDEX('Reguler Class Availability'!$F:$F,AR109)&amp;""),0),"Penuh",IF(IFERROR(--(INDEX('Reguler Class Availability'!$G:$G,AR109)&amp;""),0)=0,IF(INDEX('Reguler Class Availability'!$B:$B,AR109)&amp;""="","Kosong","Belum terisi"),IF(IFERROR(--(INDEX('Reguler Class Availability'!$G:$G,AR109)&amp;""),0)/IFERROR(--(INDEX('Reguler Class Availability'!$F:$F,AR109)&amp;""),0)&gt;=0.6,"Tinggi","Sebagian"))))))</f>
        <v>Tidak dibuka</v>
      </c>
      <c r="BA109" s="0" t="str">
        <f aca="false">IF(AS109="","",IF(AND(IFERROR(--(INDEX('Reguler Class Availability'!$F:$F,AS109)&amp;""),0)=0,IFERROR(--(INDEX('Reguler Class Availability'!$G:$G,AS109)&amp;""),0)=0),IF(OR(INDEX('Reguler Class Availability'!$B:$B,AS109)&amp;""&lt;&gt;"",INDEX('Reguler Class Availability'!$I:$I,AS109)&amp;""&lt;&gt;""),"Tutup","Tidak dibuka"),IF(IFERROR(--(INDEX('Reguler Class Availability'!$G:$G,AS109)&amp;""),0)&gt;IFERROR(--(INDEX('Reguler Class Availability'!$F:$F,AS109)&amp;""),0),"Lebih",IF(IFERROR(--(INDEX('Reguler Class Availability'!$G:$G,AS109)&amp;""),0)=IFERROR(--(INDEX('Reguler Class Availability'!$F:$F,AS109)&amp;""),0),"Penuh",IF(IFERROR(--(INDEX('Reguler Class Availability'!$G:$G,AS109)&amp;""),0)=0,IF(INDEX('Reguler Class Availability'!$B:$B,AS109)&amp;""="","Kosong","Belum terisi"),IF(IFERROR(--(INDEX('Reguler Class Availability'!$G:$G,AS109)&amp;""),0)/IFERROR(--(INDEX('Reguler Class Availability'!$F:$F,AS109)&amp;""),0)&gt;=0.6,"Tinggi","Sebagian"))))))</f>
        <v>Tidak dibuka</v>
      </c>
      <c r="BB109" s="0" t="str">
        <f aca="false">IF(AT109="","",IF(AND(IFERROR(--(INDEX('Reguler Class Availability'!$F:$F,AT109)&amp;""),0)=0,IFERROR(--(INDEX('Reguler Class Availability'!$G:$G,AT109)&amp;""),0)=0),IF(OR(INDEX('Reguler Class Availability'!$B:$B,AT109)&amp;""&lt;&gt;"",INDEX('Reguler Class Availability'!$I:$I,AT109)&amp;""&lt;&gt;""),"Tutup","Tidak dibuka"),IF(IFERROR(--(INDEX('Reguler Class Availability'!$G:$G,AT109)&amp;""),0)&gt;IFERROR(--(INDEX('Reguler Class Availability'!$F:$F,AT109)&amp;""),0),"Lebih",IF(IFERROR(--(INDEX('Reguler Class Availability'!$G:$G,AT109)&amp;""),0)=IFERROR(--(INDEX('Reguler Class Availability'!$F:$F,AT109)&amp;""),0),"Penuh",IF(IFERROR(--(INDEX('Reguler Class Availability'!$G:$G,AT109)&amp;""),0)=0,IF(INDEX('Reguler Class Availability'!$B:$B,AT109)&amp;""="","Kosong","Belum terisi"),IF(IFERROR(--(INDEX('Reguler Class Availability'!$G:$G,AT109)&amp;""),0)/IFERROR(--(INDEX('Reguler Class Availability'!$F:$F,AT109)&amp;""),0)&gt;=0.6,"Tinggi","Sebagian"))))))</f>
        <v>Tidak dibuka</v>
      </c>
      <c r="BD109" s="30" t="s">
        <v>158</v>
      </c>
      <c r="BE109" s="30" t="n">
        <f aca="false">IF(COUNTIFS('Reguler Class Availability'!$L:$L,$B$4&amp;"|- Lane 2 - *|"&amp;BD109)&gt;0,1,0)</f>
        <v>0</v>
      </c>
      <c r="BF109" s="30" t="n">
        <f aca="false">BE109+BF108</f>
        <v>12</v>
      </c>
    </row>
    <row r="110" customFormat="false" ht="39.75" hidden="false" customHeight="true" outlineLevel="0" collapsed="false">
      <c r="A110" s="66" t="str">
        <f aca="false">IFERROR(INDEX($BD$302:$BD$361,MATCH(5,$BF$302:$BF$361,0)),"")</f>
        <v>11:00</v>
      </c>
      <c r="B110" s="67" t="str">
        <f aca="false">IF(AN110="","",IF(AV110="Tidak dibuka","–",IF(INDEX('Reguler Class Availability'!$B:$B,AN110)&amp;""="","Kosong",PROPER(INDEX('Reguler Class Availability'!$B:$B,AN110)&amp;""))&amp;"  "&amp;IFERROR(--(INDEX('Reguler Class Availability'!$G:$G,AN110)&amp;""),0)&amp;"/"&amp;IFERROR(--(INDEX('Reguler Class Availability'!$F:$F,AN110)&amp;""),0)&amp;IF(IFERROR(--(INDEX('Reguler Class Availability'!$F:$F,AN110)&amp;""),0)&gt;0,"  ("&amp;TEXT(IFERROR(--(INDEX('Reguler Class Availability'!$G:$G,AN110)&amp;""),0)/IFERROR(--(INDEX('Reguler Class Availability'!$F:$F,AN110)&amp;""),0),"0%")&amp;")","")&amp;CHAR(10)&amp;IF(INDEX('Reguler Class Availability'!$I:$I,AN110)&amp;""="","coach: –",PROPER(INDEX('Reguler Class Availability'!$I:$I,AN110)&amp;""))&amp;IF(INDEX('Reguler Class Availability'!$J:$J,AN110)&amp;""="","",CHAR(10)&amp;"asst: "&amp;PROPER(INDEX('Reguler Class Availability'!$J:$J,AN110)&amp;""))))</f>
        <v>–</v>
      </c>
      <c r="C110" s="67" t="str">
        <f aca="false">IF(AO110="","",IF(AW110="Tidak dibuka","–",IF(INDEX('Reguler Class Availability'!$B:$B,AO110)&amp;""="","Kosong",PROPER(INDEX('Reguler Class Availability'!$B:$B,AO110)&amp;""))&amp;"  "&amp;IFERROR(--(INDEX('Reguler Class Availability'!$G:$G,AO110)&amp;""),0)&amp;"/"&amp;IFERROR(--(INDEX('Reguler Class Availability'!$F:$F,AO110)&amp;""),0)&amp;IF(IFERROR(--(INDEX('Reguler Class Availability'!$F:$F,AO110)&amp;""),0)&gt;0,"  ("&amp;TEXT(IFERROR(--(INDEX('Reguler Class Availability'!$G:$G,AO110)&amp;""),0)/IFERROR(--(INDEX('Reguler Class Availability'!$F:$F,AO110)&amp;""),0),"0%")&amp;")","")&amp;CHAR(10)&amp;IF(INDEX('Reguler Class Availability'!$I:$I,AO110)&amp;""="","coach: –",PROPER(INDEX('Reguler Class Availability'!$I:$I,AO110)&amp;""))&amp;IF(INDEX('Reguler Class Availability'!$J:$J,AO110)&amp;""="","",CHAR(10)&amp;"asst: "&amp;PROPER(INDEX('Reguler Class Availability'!$J:$J,AO110)&amp;""))))</f>
        <v>–</v>
      </c>
      <c r="D110" s="67" t="str">
        <f aca="false">IF(AP110="","",IF(AX110="Tidak dibuka","–",IF(INDEX('Reguler Class Availability'!$B:$B,AP110)&amp;""="","Kosong",PROPER(INDEX('Reguler Class Availability'!$B:$B,AP110)&amp;""))&amp;"  "&amp;IFERROR(--(INDEX('Reguler Class Availability'!$G:$G,AP110)&amp;""),0)&amp;"/"&amp;IFERROR(--(INDEX('Reguler Class Availability'!$F:$F,AP110)&amp;""),0)&amp;IF(IFERROR(--(INDEX('Reguler Class Availability'!$F:$F,AP110)&amp;""),0)&gt;0,"  ("&amp;TEXT(IFERROR(--(INDEX('Reguler Class Availability'!$G:$G,AP110)&amp;""),0)/IFERROR(--(INDEX('Reguler Class Availability'!$F:$F,AP110)&amp;""),0),"0%")&amp;")","")&amp;CHAR(10)&amp;IF(INDEX('Reguler Class Availability'!$I:$I,AP110)&amp;""="","coach: –",PROPER(INDEX('Reguler Class Availability'!$I:$I,AP110)&amp;""))&amp;IF(INDEX('Reguler Class Availability'!$J:$J,AP110)&amp;""="","",CHAR(10)&amp;"asst: "&amp;PROPER(INDEX('Reguler Class Availability'!$J:$J,AP110)&amp;""))))</f>
        <v>–</v>
      </c>
      <c r="E110" s="67" t="str">
        <f aca="false">IF(AQ110="","",IF(AY110="Tidak dibuka","–",IF(INDEX('Reguler Class Availability'!$B:$B,AQ110)&amp;""="","Kosong",PROPER(INDEX('Reguler Class Availability'!$B:$B,AQ110)&amp;""))&amp;"  "&amp;IFERROR(--(INDEX('Reguler Class Availability'!$G:$G,AQ110)&amp;""),0)&amp;"/"&amp;IFERROR(--(INDEX('Reguler Class Availability'!$F:$F,AQ110)&amp;""),0)&amp;IF(IFERROR(--(INDEX('Reguler Class Availability'!$F:$F,AQ110)&amp;""),0)&gt;0,"  ("&amp;TEXT(IFERROR(--(INDEX('Reguler Class Availability'!$G:$G,AQ110)&amp;""),0)/IFERROR(--(INDEX('Reguler Class Availability'!$F:$F,AQ110)&amp;""),0),"0%")&amp;")","")&amp;CHAR(10)&amp;IF(INDEX('Reguler Class Availability'!$I:$I,AQ110)&amp;""="","coach: –",PROPER(INDEX('Reguler Class Availability'!$I:$I,AQ110)&amp;""))&amp;IF(INDEX('Reguler Class Availability'!$J:$J,AQ110)&amp;""="","",CHAR(10)&amp;"asst: "&amp;PROPER(INDEX('Reguler Class Availability'!$J:$J,AQ110)&amp;""))))</f>
        <v>–</v>
      </c>
      <c r="F110" s="67" t="str">
        <f aca="false">IF(AR110="","",IF(AZ110="Tidak dibuka","–",IF(INDEX('Reguler Class Availability'!$B:$B,AR110)&amp;""="","Kosong",PROPER(INDEX('Reguler Class Availability'!$B:$B,AR110)&amp;""))&amp;"  "&amp;IFERROR(--(INDEX('Reguler Class Availability'!$G:$G,AR110)&amp;""),0)&amp;"/"&amp;IFERROR(--(INDEX('Reguler Class Availability'!$F:$F,AR110)&amp;""),0)&amp;IF(IFERROR(--(INDEX('Reguler Class Availability'!$F:$F,AR110)&amp;""),0)&gt;0,"  ("&amp;TEXT(IFERROR(--(INDEX('Reguler Class Availability'!$G:$G,AR110)&amp;""),0)/IFERROR(--(INDEX('Reguler Class Availability'!$F:$F,AR110)&amp;""),0),"0%")&amp;")","")&amp;CHAR(10)&amp;IF(INDEX('Reguler Class Availability'!$I:$I,AR110)&amp;""="","coach: –",PROPER(INDEX('Reguler Class Availability'!$I:$I,AR110)&amp;""))&amp;IF(INDEX('Reguler Class Availability'!$J:$J,AR110)&amp;""="","",CHAR(10)&amp;"asst: "&amp;PROPER(INDEX('Reguler Class Availability'!$J:$J,AR110)&amp;""))))</f>
        <v>–</v>
      </c>
      <c r="G110" s="67" t="str">
        <f aca="false">IF(AS110="","",IF(BA110="Tidak dibuka","–",IF(INDEX('Reguler Class Availability'!$B:$B,AS110)&amp;""="","Kosong",PROPER(INDEX('Reguler Class Availability'!$B:$B,AS110)&amp;""))&amp;"  "&amp;IFERROR(--(INDEX('Reguler Class Availability'!$G:$G,AS110)&amp;""),0)&amp;"/"&amp;IFERROR(--(INDEX('Reguler Class Availability'!$F:$F,AS110)&amp;""),0)&amp;IF(IFERROR(--(INDEX('Reguler Class Availability'!$F:$F,AS110)&amp;""),0)&gt;0,"  ("&amp;TEXT(IFERROR(--(INDEX('Reguler Class Availability'!$G:$G,AS110)&amp;""),0)/IFERROR(--(INDEX('Reguler Class Availability'!$F:$F,AS110)&amp;""),0),"0%")&amp;")","")&amp;CHAR(10)&amp;IF(INDEX('Reguler Class Availability'!$I:$I,AS110)&amp;""="","coach: –",PROPER(INDEX('Reguler Class Availability'!$I:$I,AS110)&amp;""))&amp;IF(INDEX('Reguler Class Availability'!$J:$J,AS110)&amp;""="","",CHAR(10)&amp;"asst: "&amp;PROPER(INDEX('Reguler Class Availability'!$J:$J,AS110)&amp;""))))</f>
        <v>–</v>
      </c>
      <c r="H110" s="67" t="str">
        <f aca="false">IF(AT110="","",IF(BB110="Tidak dibuka","–",IF(INDEX('Reguler Class Availability'!$B:$B,AT110)&amp;""="","Kosong",PROPER(INDEX('Reguler Class Availability'!$B:$B,AT110)&amp;""))&amp;"  "&amp;IFERROR(--(INDEX('Reguler Class Availability'!$G:$G,AT110)&amp;""),0)&amp;"/"&amp;IFERROR(--(INDEX('Reguler Class Availability'!$F:$F,AT110)&amp;""),0)&amp;IF(IFERROR(--(INDEX('Reguler Class Availability'!$F:$F,AT110)&amp;""),0)&gt;0,"  ("&amp;TEXT(IFERROR(--(INDEX('Reguler Class Availability'!$G:$G,AT110)&amp;""),0)/IFERROR(--(INDEX('Reguler Class Availability'!$F:$F,AT110)&amp;""),0),"0%")&amp;")","")&amp;CHAR(10)&amp;IF(INDEX('Reguler Class Availability'!$I:$I,AT110)&amp;""="","coach: –",PROPER(INDEX('Reguler Class Availability'!$I:$I,AT110)&amp;""))&amp;IF(INDEX('Reguler Class Availability'!$J:$J,AT110)&amp;""="","",CHAR(10)&amp;"asst: "&amp;PROPER(INDEX('Reguler Class Availability'!$J:$J,AT110)&amp;""))))</f>
        <v>–</v>
      </c>
      <c r="AN110" s="30" t="n">
        <f aca="false">IF($A110="","",IFERROR(MATCH($B$4&amp;"|- Lane 6 - "&amp;B$105&amp;"|"&amp;$A110,'Reguler Class Availability'!$L:$L,0),""))</f>
        <v>2848</v>
      </c>
      <c r="AO110" s="30" t="n">
        <f aca="false">IF($A110="","",IFERROR(MATCH($B$4&amp;"|- Lane 6 - "&amp;C$105&amp;"|"&amp;$A110,'Reguler Class Availability'!$L:$L,0),""))</f>
        <v>2860</v>
      </c>
      <c r="AP110" s="30" t="n">
        <f aca="false">IF($A110="","",IFERROR(MATCH($B$4&amp;"|- Lane 6 - "&amp;D$105&amp;"|"&amp;$A110,'Reguler Class Availability'!$L:$L,0),""))</f>
        <v>2872</v>
      </c>
      <c r="AQ110" s="30" t="n">
        <f aca="false">IF($A110="","",IFERROR(MATCH($B$4&amp;"|- Lane 6 - "&amp;E$105&amp;"|"&amp;$A110,'Reguler Class Availability'!$L:$L,0),""))</f>
        <v>2884</v>
      </c>
      <c r="AR110" s="30" t="n">
        <f aca="false">IF($A110="","",IFERROR(MATCH($B$4&amp;"|- Lane 6 - "&amp;F$105&amp;"|"&amp;$A110,'Reguler Class Availability'!$L:$L,0),""))</f>
        <v>2896</v>
      </c>
      <c r="AS110" s="30" t="n">
        <f aca="false">IF($A110="","",IFERROR(MATCH($B$4&amp;"|- Lane 6 - "&amp;G$105&amp;"|"&amp;$A110,'Reguler Class Availability'!$L:$L,0),""))</f>
        <v>2908</v>
      </c>
      <c r="AT110" s="30" t="n">
        <f aca="false">IF($A110="","",IFERROR(MATCH($B$4&amp;"|- Lane 6 - "&amp;H$105&amp;"|"&amp;$A110,'Reguler Class Availability'!$L:$L,0),""))</f>
        <v>2920</v>
      </c>
      <c r="AV110" s="0" t="str">
        <f aca="false">IF(AN110="","",IF(AND(IFERROR(--(INDEX('Reguler Class Availability'!$F:$F,AN110)&amp;""),0)=0,IFERROR(--(INDEX('Reguler Class Availability'!$G:$G,AN110)&amp;""),0)=0),IF(OR(INDEX('Reguler Class Availability'!$B:$B,AN110)&amp;""&lt;&gt;"",INDEX('Reguler Class Availability'!$I:$I,AN110)&amp;""&lt;&gt;""),"Tutup","Tidak dibuka"),IF(IFERROR(--(INDEX('Reguler Class Availability'!$G:$G,AN110)&amp;""),0)&gt;IFERROR(--(INDEX('Reguler Class Availability'!$F:$F,AN110)&amp;""),0),"Lebih",IF(IFERROR(--(INDEX('Reguler Class Availability'!$G:$G,AN110)&amp;""),0)=IFERROR(--(INDEX('Reguler Class Availability'!$F:$F,AN110)&amp;""),0),"Penuh",IF(IFERROR(--(INDEX('Reguler Class Availability'!$G:$G,AN110)&amp;""),0)=0,IF(INDEX('Reguler Class Availability'!$B:$B,AN110)&amp;""="","Kosong","Belum terisi"),IF(IFERROR(--(INDEX('Reguler Class Availability'!$G:$G,AN110)&amp;""),0)/IFERROR(--(INDEX('Reguler Class Availability'!$F:$F,AN110)&amp;""),0)&gt;=0.6,"Tinggi","Sebagian"))))))</f>
        <v>Tidak dibuka</v>
      </c>
      <c r="AW110" s="0" t="str">
        <f aca="false">IF(AO110="","",IF(AND(IFERROR(--(INDEX('Reguler Class Availability'!$F:$F,AO110)&amp;""),0)=0,IFERROR(--(INDEX('Reguler Class Availability'!$G:$G,AO110)&amp;""),0)=0),IF(OR(INDEX('Reguler Class Availability'!$B:$B,AO110)&amp;""&lt;&gt;"",INDEX('Reguler Class Availability'!$I:$I,AO110)&amp;""&lt;&gt;""),"Tutup","Tidak dibuka"),IF(IFERROR(--(INDEX('Reguler Class Availability'!$G:$G,AO110)&amp;""),0)&gt;IFERROR(--(INDEX('Reguler Class Availability'!$F:$F,AO110)&amp;""),0),"Lebih",IF(IFERROR(--(INDEX('Reguler Class Availability'!$G:$G,AO110)&amp;""),0)=IFERROR(--(INDEX('Reguler Class Availability'!$F:$F,AO110)&amp;""),0),"Penuh",IF(IFERROR(--(INDEX('Reguler Class Availability'!$G:$G,AO110)&amp;""),0)=0,IF(INDEX('Reguler Class Availability'!$B:$B,AO110)&amp;""="","Kosong","Belum terisi"),IF(IFERROR(--(INDEX('Reguler Class Availability'!$G:$G,AO110)&amp;""),0)/IFERROR(--(INDEX('Reguler Class Availability'!$F:$F,AO110)&amp;""),0)&gt;=0.6,"Tinggi","Sebagian"))))))</f>
        <v>Tidak dibuka</v>
      </c>
      <c r="AX110" s="0" t="str">
        <f aca="false">IF(AP110="","",IF(AND(IFERROR(--(INDEX('Reguler Class Availability'!$F:$F,AP110)&amp;""),0)=0,IFERROR(--(INDEX('Reguler Class Availability'!$G:$G,AP110)&amp;""),0)=0),IF(OR(INDEX('Reguler Class Availability'!$B:$B,AP110)&amp;""&lt;&gt;"",INDEX('Reguler Class Availability'!$I:$I,AP110)&amp;""&lt;&gt;""),"Tutup","Tidak dibuka"),IF(IFERROR(--(INDEX('Reguler Class Availability'!$G:$G,AP110)&amp;""),0)&gt;IFERROR(--(INDEX('Reguler Class Availability'!$F:$F,AP110)&amp;""),0),"Lebih",IF(IFERROR(--(INDEX('Reguler Class Availability'!$G:$G,AP110)&amp;""),0)=IFERROR(--(INDEX('Reguler Class Availability'!$F:$F,AP110)&amp;""),0),"Penuh",IF(IFERROR(--(INDEX('Reguler Class Availability'!$G:$G,AP110)&amp;""),0)=0,IF(INDEX('Reguler Class Availability'!$B:$B,AP110)&amp;""="","Kosong","Belum terisi"),IF(IFERROR(--(INDEX('Reguler Class Availability'!$G:$G,AP110)&amp;""),0)/IFERROR(--(INDEX('Reguler Class Availability'!$F:$F,AP110)&amp;""),0)&gt;=0.6,"Tinggi","Sebagian"))))))</f>
        <v>Tidak dibuka</v>
      </c>
      <c r="AY110" s="0" t="str">
        <f aca="false">IF(AQ110="","",IF(AND(IFERROR(--(INDEX('Reguler Class Availability'!$F:$F,AQ110)&amp;""),0)=0,IFERROR(--(INDEX('Reguler Class Availability'!$G:$G,AQ110)&amp;""),0)=0),IF(OR(INDEX('Reguler Class Availability'!$B:$B,AQ110)&amp;""&lt;&gt;"",INDEX('Reguler Class Availability'!$I:$I,AQ110)&amp;""&lt;&gt;""),"Tutup","Tidak dibuka"),IF(IFERROR(--(INDEX('Reguler Class Availability'!$G:$G,AQ110)&amp;""),0)&gt;IFERROR(--(INDEX('Reguler Class Availability'!$F:$F,AQ110)&amp;""),0),"Lebih",IF(IFERROR(--(INDEX('Reguler Class Availability'!$G:$G,AQ110)&amp;""),0)=IFERROR(--(INDEX('Reguler Class Availability'!$F:$F,AQ110)&amp;""),0),"Penuh",IF(IFERROR(--(INDEX('Reguler Class Availability'!$G:$G,AQ110)&amp;""),0)=0,IF(INDEX('Reguler Class Availability'!$B:$B,AQ110)&amp;""="","Kosong","Belum terisi"),IF(IFERROR(--(INDEX('Reguler Class Availability'!$G:$G,AQ110)&amp;""),0)/IFERROR(--(INDEX('Reguler Class Availability'!$F:$F,AQ110)&amp;""),0)&gt;=0.6,"Tinggi","Sebagian"))))))</f>
        <v>Tidak dibuka</v>
      </c>
      <c r="AZ110" s="0" t="str">
        <f aca="false">IF(AR110="","",IF(AND(IFERROR(--(INDEX('Reguler Class Availability'!$F:$F,AR110)&amp;""),0)=0,IFERROR(--(INDEX('Reguler Class Availability'!$G:$G,AR110)&amp;""),0)=0),IF(OR(INDEX('Reguler Class Availability'!$B:$B,AR110)&amp;""&lt;&gt;"",INDEX('Reguler Class Availability'!$I:$I,AR110)&amp;""&lt;&gt;""),"Tutup","Tidak dibuka"),IF(IFERROR(--(INDEX('Reguler Class Availability'!$G:$G,AR110)&amp;""),0)&gt;IFERROR(--(INDEX('Reguler Class Availability'!$F:$F,AR110)&amp;""),0),"Lebih",IF(IFERROR(--(INDEX('Reguler Class Availability'!$G:$G,AR110)&amp;""),0)=IFERROR(--(INDEX('Reguler Class Availability'!$F:$F,AR110)&amp;""),0),"Penuh",IF(IFERROR(--(INDEX('Reguler Class Availability'!$G:$G,AR110)&amp;""),0)=0,IF(INDEX('Reguler Class Availability'!$B:$B,AR110)&amp;""="","Kosong","Belum terisi"),IF(IFERROR(--(INDEX('Reguler Class Availability'!$G:$G,AR110)&amp;""),0)/IFERROR(--(INDEX('Reguler Class Availability'!$F:$F,AR110)&amp;""),0)&gt;=0.6,"Tinggi","Sebagian"))))))</f>
        <v>Tidak dibuka</v>
      </c>
      <c r="BA110" s="0" t="str">
        <f aca="false">IF(AS110="","",IF(AND(IFERROR(--(INDEX('Reguler Class Availability'!$F:$F,AS110)&amp;""),0)=0,IFERROR(--(INDEX('Reguler Class Availability'!$G:$G,AS110)&amp;""),0)=0),IF(OR(INDEX('Reguler Class Availability'!$B:$B,AS110)&amp;""&lt;&gt;"",INDEX('Reguler Class Availability'!$I:$I,AS110)&amp;""&lt;&gt;""),"Tutup","Tidak dibuka"),IF(IFERROR(--(INDEX('Reguler Class Availability'!$G:$G,AS110)&amp;""),0)&gt;IFERROR(--(INDEX('Reguler Class Availability'!$F:$F,AS110)&amp;""),0),"Lebih",IF(IFERROR(--(INDEX('Reguler Class Availability'!$G:$G,AS110)&amp;""),0)=IFERROR(--(INDEX('Reguler Class Availability'!$F:$F,AS110)&amp;""),0),"Penuh",IF(IFERROR(--(INDEX('Reguler Class Availability'!$G:$G,AS110)&amp;""),0)=0,IF(INDEX('Reguler Class Availability'!$B:$B,AS110)&amp;""="","Kosong","Belum terisi"),IF(IFERROR(--(INDEX('Reguler Class Availability'!$G:$G,AS110)&amp;""),0)/IFERROR(--(INDEX('Reguler Class Availability'!$F:$F,AS110)&amp;""),0)&gt;=0.6,"Tinggi","Sebagian"))))))</f>
        <v>Tidak dibuka</v>
      </c>
      <c r="BB110" s="0" t="str">
        <f aca="false">IF(AT110="","",IF(AND(IFERROR(--(INDEX('Reguler Class Availability'!$F:$F,AT110)&amp;""),0)=0,IFERROR(--(INDEX('Reguler Class Availability'!$G:$G,AT110)&amp;""),0)=0),IF(OR(INDEX('Reguler Class Availability'!$B:$B,AT110)&amp;""&lt;&gt;"",INDEX('Reguler Class Availability'!$I:$I,AT110)&amp;""&lt;&gt;""),"Tutup","Tidak dibuka"),IF(IFERROR(--(INDEX('Reguler Class Availability'!$G:$G,AT110)&amp;""),0)&gt;IFERROR(--(INDEX('Reguler Class Availability'!$F:$F,AT110)&amp;""),0),"Lebih",IF(IFERROR(--(INDEX('Reguler Class Availability'!$G:$G,AT110)&amp;""),0)=IFERROR(--(INDEX('Reguler Class Availability'!$F:$F,AT110)&amp;""),0),"Penuh",IF(IFERROR(--(INDEX('Reguler Class Availability'!$G:$G,AT110)&amp;""),0)=0,IF(INDEX('Reguler Class Availability'!$B:$B,AT110)&amp;""="","Kosong","Belum terisi"),IF(IFERROR(--(INDEX('Reguler Class Availability'!$G:$G,AT110)&amp;""),0)/IFERROR(--(INDEX('Reguler Class Availability'!$F:$F,AT110)&amp;""),0)&gt;=0.6,"Tinggi","Sebagian"))))))</f>
        <v>Tidak dibuka</v>
      </c>
      <c r="BD110" s="30" t="s">
        <v>160</v>
      </c>
      <c r="BE110" s="30" t="n">
        <f aca="false">IF(COUNTIFS('Reguler Class Availability'!$L:$L,$B$4&amp;"|- Lane 2 - *|"&amp;BD110)&gt;0,1,0)</f>
        <v>0</v>
      </c>
      <c r="BF110" s="30" t="n">
        <f aca="false">BE110+BF109</f>
        <v>12</v>
      </c>
    </row>
    <row r="111" customFormat="false" ht="39.75" hidden="false" customHeight="true" outlineLevel="0" collapsed="false">
      <c r="A111" s="66" t="str">
        <f aca="false">IFERROR(INDEX($BD$302:$BD$361,MATCH(6,$BF$302:$BF$361,0)),"")</f>
        <v>11:45</v>
      </c>
      <c r="B111" s="67" t="str">
        <f aca="false">IF(AN111="","",IF(AV111="Tidak dibuka","–",IF(INDEX('Reguler Class Availability'!$B:$B,AN111)&amp;""="","Kosong",PROPER(INDEX('Reguler Class Availability'!$B:$B,AN111)&amp;""))&amp;"  "&amp;IFERROR(--(INDEX('Reguler Class Availability'!$G:$G,AN111)&amp;""),0)&amp;"/"&amp;IFERROR(--(INDEX('Reguler Class Availability'!$F:$F,AN111)&amp;""),0)&amp;IF(IFERROR(--(INDEX('Reguler Class Availability'!$F:$F,AN111)&amp;""),0)&gt;0,"  ("&amp;TEXT(IFERROR(--(INDEX('Reguler Class Availability'!$G:$G,AN111)&amp;""),0)/IFERROR(--(INDEX('Reguler Class Availability'!$F:$F,AN111)&amp;""),0),"0%")&amp;")","")&amp;CHAR(10)&amp;IF(INDEX('Reguler Class Availability'!$I:$I,AN111)&amp;""="","coach: –",PROPER(INDEX('Reguler Class Availability'!$I:$I,AN111)&amp;""))&amp;IF(INDEX('Reguler Class Availability'!$J:$J,AN111)&amp;""="","",CHAR(10)&amp;"asst: "&amp;PROPER(INDEX('Reguler Class Availability'!$J:$J,AN111)&amp;""))))</f>
        <v>–</v>
      </c>
      <c r="C111" s="67" t="str">
        <f aca="false">IF(AO111="","",IF(AW111="Tidak dibuka","–",IF(INDEX('Reguler Class Availability'!$B:$B,AO111)&amp;""="","Kosong",PROPER(INDEX('Reguler Class Availability'!$B:$B,AO111)&amp;""))&amp;"  "&amp;IFERROR(--(INDEX('Reguler Class Availability'!$G:$G,AO111)&amp;""),0)&amp;"/"&amp;IFERROR(--(INDEX('Reguler Class Availability'!$F:$F,AO111)&amp;""),0)&amp;IF(IFERROR(--(INDEX('Reguler Class Availability'!$F:$F,AO111)&amp;""),0)&gt;0,"  ("&amp;TEXT(IFERROR(--(INDEX('Reguler Class Availability'!$G:$G,AO111)&amp;""),0)/IFERROR(--(INDEX('Reguler Class Availability'!$F:$F,AO111)&amp;""),0),"0%")&amp;")","")&amp;CHAR(10)&amp;IF(INDEX('Reguler Class Availability'!$I:$I,AO111)&amp;""="","coach: –",PROPER(INDEX('Reguler Class Availability'!$I:$I,AO111)&amp;""))&amp;IF(INDEX('Reguler Class Availability'!$J:$J,AO111)&amp;""="","",CHAR(10)&amp;"asst: "&amp;PROPER(INDEX('Reguler Class Availability'!$J:$J,AO111)&amp;""))))</f>
        <v>–</v>
      </c>
      <c r="D111" s="67" t="str">
        <f aca="false">IF(AP111="","",IF(AX111="Tidak dibuka","–",IF(INDEX('Reguler Class Availability'!$B:$B,AP111)&amp;""="","Kosong",PROPER(INDEX('Reguler Class Availability'!$B:$B,AP111)&amp;""))&amp;"  "&amp;IFERROR(--(INDEX('Reguler Class Availability'!$G:$G,AP111)&amp;""),0)&amp;"/"&amp;IFERROR(--(INDEX('Reguler Class Availability'!$F:$F,AP111)&amp;""),0)&amp;IF(IFERROR(--(INDEX('Reguler Class Availability'!$F:$F,AP111)&amp;""),0)&gt;0,"  ("&amp;TEXT(IFERROR(--(INDEX('Reguler Class Availability'!$G:$G,AP111)&amp;""),0)/IFERROR(--(INDEX('Reguler Class Availability'!$F:$F,AP111)&amp;""),0),"0%")&amp;")","")&amp;CHAR(10)&amp;IF(INDEX('Reguler Class Availability'!$I:$I,AP111)&amp;""="","coach: –",PROPER(INDEX('Reguler Class Availability'!$I:$I,AP111)&amp;""))&amp;IF(INDEX('Reguler Class Availability'!$J:$J,AP111)&amp;""="","",CHAR(10)&amp;"asst: "&amp;PROPER(INDEX('Reguler Class Availability'!$J:$J,AP111)&amp;""))))</f>
        <v>–</v>
      </c>
      <c r="E111" s="67" t="str">
        <f aca="false">IF(AQ111="","",IF(AY111="Tidak dibuka","–",IF(INDEX('Reguler Class Availability'!$B:$B,AQ111)&amp;""="","Kosong",PROPER(INDEX('Reguler Class Availability'!$B:$B,AQ111)&amp;""))&amp;"  "&amp;IFERROR(--(INDEX('Reguler Class Availability'!$G:$G,AQ111)&amp;""),0)&amp;"/"&amp;IFERROR(--(INDEX('Reguler Class Availability'!$F:$F,AQ111)&amp;""),0)&amp;IF(IFERROR(--(INDEX('Reguler Class Availability'!$F:$F,AQ111)&amp;""),0)&gt;0,"  ("&amp;TEXT(IFERROR(--(INDEX('Reguler Class Availability'!$G:$G,AQ111)&amp;""),0)/IFERROR(--(INDEX('Reguler Class Availability'!$F:$F,AQ111)&amp;""),0),"0%")&amp;")","")&amp;CHAR(10)&amp;IF(INDEX('Reguler Class Availability'!$I:$I,AQ111)&amp;""="","coach: –",PROPER(INDEX('Reguler Class Availability'!$I:$I,AQ111)&amp;""))&amp;IF(INDEX('Reguler Class Availability'!$J:$J,AQ111)&amp;""="","",CHAR(10)&amp;"asst: "&amp;PROPER(INDEX('Reguler Class Availability'!$J:$J,AQ111)&amp;""))))</f>
        <v>–</v>
      </c>
      <c r="F111" s="67" t="str">
        <f aca="false">IF(AR111="","",IF(AZ111="Tidak dibuka","–",IF(INDEX('Reguler Class Availability'!$B:$B,AR111)&amp;""="","Kosong",PROPER(INDEX('Reguler Class Availability'!$B:$B,AR111)&amp;""))&amp;"  "&amp;IFERROR(--(INDEX('Reguler Class Availability'!$G:$G,AR111)&amp;""),0)&amp;"/"&amp;IFERROR(--(INDEX('Reguler Class Availability'!$F:$F,AR111)&amp;""),0)&amp;IF(IFERROR(--(INDEX('Reguler Class Availability'!$F:$F,AR111)&amp;""),0)&gt;0,"  ("&amp;TEXT(IFERROR(--(INDEX('Reguler Class Availability'!$G:$G,AR111)&amp;""),0)/IFERROR(--(INDEX('Reguler Class Availability'!$F:$F,AR111)&amp;""),0),"0%")&amp;")","")&amp;CHAR(10)&amp;IF(INDEX('Reguler Class Availability'!$I:$I,AR111)&amp;""="","coach: –",PROPER(INDEX('Reguler Class Availability'!$I:$I,AR111)&amp;""))&amp;IF(INDEX('Reguler Class Availability'!$J:$J,AR111)&amp;""="","",CHAR(10)&amp;"asst: "&amp;PROPER(INDEX('Reguler Class Availability'!$J:$J,AR111)&amp;""))))</f>
        <v>–</v>
      </c>
      <c r="G111" s="67" t="str">
        <f aca="false">IF(AS111="","",IF(BA111="Tidak dibuka","–",IF(INDEX('Reguler Class Availability'!$B:$B,AS111)&amp;""="","Kosong",PROPER(INDEX('Reguler Class Availability'!$B:$B,AS111)&amp;""))&amp;"  "&amp;IFERROR(--(INDEX('Reguler Class Availability'!$G:$G,AS111)&amp;""),0)&amp;"/"&amp;IFERROR(--(INDEX('Reguler Class Availability'!$F:$F,AS111)&amp;""),0)&amp;IF(IFERROR(--(INDEX('Reguler Class Availability'!$F:$F,AS111)&amp;""),0)&gt;0,"  ("&amp;TEXT(IFERROR(--(INDEX('Reguler Class Availability'!$G:$G,AS111)&amp;""),0)/IFERROR(--(INDEX('Reguler Class Availability'!$F:$F,AS111)&amp;""),0),"0%")&amp;")","")&amp;CHAR(10)&amp;IF(INDEX('Reguler Class Availability'!$I:$I,AS111)&amp;""="","coach: –",PROPER(INDEX('Reguler Class Availability'!$I:$I,AS111)&amp;""))&amp;IF(INDEX('Reguler Class Availability'!$J:$J,AS111)&amp;""="","",CHAR(10)&amp;"asst: "&amp;PROPER(INDEX('Reguler Class Availability'!$J:$J,AS111)&amp;""))))</f>
        <v>–</v>
      </c>
      <c r="H111" s="67" t="str">
        <f aca="false">IF(AT111="","",IF(BB111="Tidak dibuka","–",IF(INDEX('Reguler Class Availability'!$B:$B,AT111)&amp;""="","Kosong",PROPER(INDEX('Reguler Class Availability'!$B:$B,AT111)&amp;""))&amp;"  "&amp;IFERROR(--(INDEX('Reguler Class Availability'!$G:$G,AT111)&amp;""),0)&amp;"/"&amp;IFERROR(--(INDEX('Reguler Class Availability'!$F:$F,AT111)&amp;""),0)&amp;IF(IFERROR(--(INDEX('Reguler Class Availability'!$F:$F,AT111)&amp;""),0)&gt;0,"  ("&amp;TEXT(IFERROR(--(INDEX('Reguler Class Availability'!$G:$G,AT111)&amp;""),0)/IFERROR(--(INDEX('Reguler Class Availability'!$F:$F,AT111)&amp;""),0),"0%")&amp;")","")&amp;CHAR(10)&amp;IF(INDEX('Reguler Class Availability'!$I:$I,AT111)&amp;""="","coach: –",PROPER(INDEX('Reguler Class Availability'!$I:$I,AT111)&amp;""))&amp;IF(INDEX('Reguler Class Availability'!$J:$J,AT111)&amp;""="","",CHAR(10)&amp;"asst: "&amp;PROPER(INDEX('Reguler Class Availability'!$J:$J,AT111)&amp;""))))</f>
        <v>–</v>
      </c>
      <c r="AN111" s="30" t="n">
        <f aca="false">IF($A111="","",IFERROR(MATCH($B$4&amp;"|- Lane 6 - "&amp;B$105&amp;"|"&amp;$A111,'Reguler Class Availability'!$L:$L,0),""))</f>
        <v>2849</v>
      </c>
      <c r="AO111" s="30" t="n">
        <f aca="false">IF($A111="","",IFERROR(MATCH($B$4&amp;"|- Lane 6 - "&amp;C$105&amp;"|"&amp;$A111,'Reguler Class Availability'!$L:$L,0),""))</f>
        <v>2861</v>
      </c>
      <c r="AP111" s="30" t="n">
        <f aca="false">IF($A111="","",IFERROR(MATCH($B$4&amp;"|- Lane 6 - "&amp;D$105&amp;"|"&amp;$A111,'Reguler Class Availability'!$L:$L,0),""))</f>
        <v>2873</v>
      </c>
      <c r="AQ111" s="30" t="n">
        <f aca="false">IF($A111="","",IFERROR(MATCH($B$4&amp;"|- Lane 6 - "&amp;E$105&amp;"|"&amp;$A111,'Reguler Class Availability'!$L:$L,0),""))</f>
        <v>2885</v>
      </c>
      <c r="AR111" s="30" t="n">
        <f aca="false">IF($A111="","",IFERROR(MATCH($B$4&amp;"|- Lane 6 - "&amp;F$105&amp;"|"&amp;$A111,'Reguler Class Availability'!$L:$L,0),""))</f>
        <v>2897</v>
      </c>
      <c r="AS111" s="30" t="n">
        <f aca="false">IF($A111="","",IFERROR(MATCH($B$4&amp;"|- Lane 6 - "&amp;G$105&amp;"|"&amp;$A111,'Reguler Class Availability'!$L:$L,0),""))</f>
        <v>2909</v>
      </c>
      <c r="AT111" s="30" t="n">
        <f aca="false">IF($A111="","",IFERROR(MATCH($B$4&amp;"|- Lane 6 - "&amp;H$105&amp;"|"&amp;$A111,'Reguler Class Availability'!$L:$L,0),""))</f>
        <v>2921</v>
      </c>
      <c r="AV111" s="0" t="str">
        <f aca="false">IF(AN111="","",IF(AND(IFERROR(--(INDEX('Reguler Class Availability'!$F:$F,AN111)&amp;""),0)=0,IFERROR(--(INDEX('Reguler Class Availability'!$G:$G,AN111)&amp;""),0)=0),IF(OR(INDEX('Reguler Class Availability'!$B:$B,AN111)&amp;""&lt;&gt;"",INDEX('Reguler Class Availability'!$I:$I,AN111)&amp;""&lt;&gt;""),"Tutup","Tidak dibuka"),IF(IFERROR(--(INDEX('Reguler Class Availability'!$G:$G,AN111)&amp;""),0)&gt;IFERROR(--(INDEX('Reguler Class Availability'!$F:$F,AN111)&amp;""),0),"Lebih",IF(IFERROR(--(INDEX('Reguler Class Availability'!$G:$G,AN111)&amp;""),0)=IFERROR(--(INDEX('Reguler Class Availability'!$F:$F,AN111)&amp;""),0),"Penuh",IF(IFERROR(--(INDEX('Reguler Class Availability'!$G:$G,AN111)&amp;""),0)=0,IF(INDEX('Reguler Class Availability'!$B:$B,AN111)&amp;""="","Kosong","Belum terisi"),IF(IFERROR(--(INDEX('Reguler Class Availability'!$G:$G,AN111)&amp;""),0)/IFERROR(--(INDEX('Reguler Class Availability'!$F:$F,AN111)&amp;""),0)&gt;=0.6,"Tinggi","Sebagian"))))))</f>
        <v>Tidak dibuka</v>
      </c>
      <c r="AW111" s="0" t="str">
        <f aca="false">IF(AO111="","",IF(AND(IFERROR(--(INDEX('Reguler Class Availability'!$F:$F,AO111)&amp;""),0)=0,IFERROR(--(INDEX('Reguler Class Availability'!$G:$G,AO111)&amp;""),0)=0),IF(OR(INDEX('Reguler Class Availability'!$B:$B,AO111)&amp;""&lt;&gt;"",INDEX('Reguler Class Availability'!$I:$I,AO111)&amp;""&lt;&gt;""),"Tutup","Tidak dibuka"),IF(IFERROR(--(INDEX('Reguler Class Availability'!$G:$G,AO111)&amp;""),0)&gt;IFERROR(--(INDEX('Reguler Class Availability'!$F:$F,AO111)&amp;""),0),"Lebih",IF(IFERROR(--(INDEX('Reguler Class Availability'!$G:$G,AO111)&amp;""),0)=IFERROR(--(INDEX('Reguler Class Availability'!$F:$F,AO111)&amp;""),0),"Penuh",IF(IFERROR(--(INDEX('Reguler Class Availability'!$G:$G,AO111)&amp;""),0)=0,IF(INDEX('Reguler Class Availability'!$B:$B,AO111)&amp;""="","Kosong","Belum terisi"),IF(IFERROR(--(INDEX('Reguler Class Availability'!$G:$G,AO111)&amp;""),0)/IFERROR(--(INDEX('Reguler Class Availability'!$F:$F,AO111)&amp;""),0)&gt;=0.6,"Tinggi","Sebagian"))))))</f>
        <v>Tidak dibuka</v>
      </c>
      <c r="AX111" s="0" t="str">
        <f aca="false">IF(AP111="","",IF(AND(IFERROR(--(INDEX('Reguler Class Availability'!$F:$F,AP111)&amp;""),0)=0,IFERROR(--(INDEX('Reguler Class Availability'!$G:$G,AP111)&amp;""),0)=0),IF(OR(INDEX('Reguler Class Availability'!$B:$B,AP111)&amp;""&lt;&gt;"",INDEX('Reguler Class Availability'!$I:$I,AP111)&amp;""&lt;&gt;""),"Tutup","Tidak dibuka"),IF(IFERROR(--(INDEX('Reguler Class Availability'!$G:$G,AP111)&amp;""),0)&gt;IFERROR(--(INDEX('Reguler Class Availability'!$F:$F,AP111)&amp;""),0),"Lebih",IF(IFERROR(--(INDEX('Reguler Class Availability'!$G:$G,AP111)&amp;""),0)=IFERROR(--(INDEX('Reguler Class Availability'!$F:$F,AP111)&amp;""),0),"Penuh",IF(IFERROR(--(INDEX('Reguler Class Availability'!$G:$G,AP111)&amp;""),0)=0,IF(INDEX('Reguler Class Availability'!$B:$B,AP111)&amp;""="","Kosong","Belum terisi"),IF(IFERROR(--(INDEX('Reguler Class Availability'!$G:$G,AP111)&amp;""),0)/IFERROR(--(INDEX('Reguler Class Availability'!$F:$F,AP111)&amp;""),0)&gt;=0.6,"Tinggi","Sebagian"))))))</f>
        <v>Tidak dibuka</v>
      </c>
      <c r="AY111" s="0" t="str">
        <f aca="false">IF(AQ111="","",IF(AND(IFERROR(--(INDEX('Reguler Class Availability'!$F:$F,AQ111)&amp;""),0)=0,IFERROR(--(INDEX('Reguler Class Availability'!$G:$G,AQ111)&amp;""),0)=0),IF(OR(INDEX('Reguler Class Availability'!$B:$B,AQ111)&amp;""&lt;&gt;"",INDEX('Reguler Class Availability'!$I:$I,AQ111)&amp;""&lt;&gt;""),"Tutup","Tidak dibuka"),IF(IFERROR(--(INDEX('Reguler Class Availability'!$G:$G,AQ111)&amp;""),0)&gt;IFERROR(--(INDEX('Reguler Class Availability'!$F:$F,AQ111)&amp;""),0),"Lebih",IF(IFERROR(--(INDEX('Reguler Class Availability'!$G:$G,AQ111)&amp;""),0)=IFERROR(--(INDEX('Reguler Class Availability'!$F:$F,AQ111)&amp;""),0),"Penuh",IF(IFERROR(--(INDEX('Reguler Class Availability'!$G:$G,AQ111)&amp;""),0)=0,IF(INDEX('Reguler Class Availability'!$B:$B,AQ111)&amp;""="","Kosong","Belum terisi"),IF(IFERROR(--(INDEX('Reguler Class Availability'!$G:$G,AQ111)&amp;""),0)/IFERROR(--(INDEX('Reguler Class Availability'!$F:$F,AQ111)&amp;""),0)&gt;=0.6,"Tinggi","Sebagian"))))))</f>
        <v>Tidak dibuka</v>
      </c>
      <c r="AZ111" s="0" t="str">
        <f aca="false">IF(AR111="","",IF(AND(IFERROR(--(INDEX('Reguler Class Availability'!$F:$F,AR111)&amp;""),0)=0,IFERROR(--(INDEX('Reguler Class Availability'!$G:$G,AR111)&amp;""),0)=0),IF(OR(INDEX('Reguler Class Availability'!$B:$B,AR111)&amp;""&lt;&gt;"",INDEX('Reguler Class Availability'!$I:$I,AR111)&amp;""&lt;&gt;""),"Tutup","Tidak dibuka"),IF(IFERROR(--(INDEX('Reguler Class Availability'!$G:$G,AR111)&amp;""),0)&gt;IFERROR(--(INDEX('Reguler Class Availability'!$F:$F,AR111)&amp;""),0),"Lebih",IF(IFERROR(--(INDEX('Reguler Class Availability'!$G:$G,AR111)&amp;""),0)=IFERROR(--(INDEX('Reguler Class Availability'!$F:$F,AR111)&amp;""),0),"Penuh",IF(IFERROR(--(INDEX('Reguler Class Availability'!$G:$G,AR111)&amp;""),0)=0,IF(INDEX('Reguler Class Availability'!$B:$B,AR111)&amp;""="","Kosong","Belum terisi"),IF(IFERROR(--(INDEX('Reguler Class Availability'!$G:$G,AR111)&amp;""),0)/IFERROR(--(INDEX('Reguler Class Availability'!$F:$F,AR111)&amp;""),0)&gt;=0.6,"Tinggi","Sebagian"))))))</f>
        <v>Tidak dibuka</v>
      </c>
      <c r="BA111" s="0" t="str">
        <f aca="false">IF(AS111="","",IF(AND(IFERROR(--(INDEX('Reguler Class Availability'!$F:$F,AS111)&amp;""),0)=0,IFERROR(--(INDEX('Reguler Class Availability'!$G:$G,AS111)&amp;""),0)=0),IF(OR(INDEX('Reguler Class Availability'!$B:$B,AS111)&amp;""&lt;&gt;"",INDEX('Reguler Class Availability'!$I:$I,AS111)&amp;""&lt;&gt;""),"Tutup","Tidak dibuka"),IF(IFERROR(--(INDEX('Reguler Class Availability'!$G:$G,AS111)&amp;""),0)&gt;IFERROR(--(INDEX('Reguler Class Availability'!$F:$F,AS111)&amp;""),0),"Lebih",IF(IFERROR(--(INDEX('Reguler Class Availability'!$G:$G,AS111)&amp;""),0)=IFERROR(--(INDEX('Reguler Class Availability'!$F:$F,AS111)&amp;""),0),"Penuh",IF(IFERROR(--(INDEX('Reguler Class Availability'!$G:$G,AS111)&amp;""),0)=0,IF(INDEX('Reguler Class Availability'!$B:$B,AS111)&amp;""="","Kosong","Belum terisi"),IF(IFERROR(--(INDEX('Reguler Class Availability'!$G:$G,AS111)&amp;""),0)/IFERROR(--(INDEX('Reguler Class Availability'!$F:$F,AS111)&amp;""),0)&gt;=0.6,"Tinggi","Sebagian"))))))</f>
        <v>Tidak dibuka</v>
      </c>
      <c r="BB111" s="0" t="str">
        <f aca="false">IF(AT111="","",IF(AND(IFERROR(--(INDEX('Reguler Class Availability'!$F:$F,AT111)&amp;""),0)=0,IFERROR(--(INDEX('Reguler Class Availability'!$G:$G,AT111)&amp;""),0)=0),IF(OR(INDEX('Reguler Class Availability'!$B:$B,AT111)&amp;""&lt;&gt;"",INDEX('Reguler Class Availability'!$I:$I,AT111)&amp;""&lt;&gt;""),"Tutup","Tidak dibuka"),IF(IFERROR(--(INDEX('Reguler Class Availability'!$G:$G,AT111)&amp;""),0)&gt;IFERROR(--(INDEX('Reguler Class Availability'!$F:$F,AT111)&amp;""),0),"Lebih",IF(IFERROR(--(INDEX('Reguler Class Availability'!$G:$G,AT111)&amp;""),0)=IFERROR(--(INDEX('Reguler Class Availability'!$F:$F,AT111)&amp;""),0),"Penuh",IF(IFERROR(--(INDEX('Reguler Class Availability'!$G:$G,AT111)&amp;""),0)=0,IF(INDEX('Reguler Class Availability'!$B:$B,AT111)&amp;""="","Kosong","Belum terisi"),IF(IFERROR(--(INDEX('Reguler Class Availability'!$G:$G,AT111)&amp;""),0)/IFERROR(--(INDEX('Reguler Class Availability'!$F:$F,AT111)&amp;""),0)&gt;=0.6,"Tinggi","Sebagian"))))))</f>
        <v>Tidak dibuka</v>
      </c>
      <c r="BD111" s="30" t="s">
        <v>161</v>
      </c>
      <c r="BE111" s="30" t="n">
        <f aca="false">IF(COUNTIFS('Reguler Class Availability'!$L:$L,$B$4&amp;"|- Lane 2 - *|"&amp;BD111)&gt;0,1,0)</f>
        <v>0</v>
      </c>
      <c r="BF111" s="30" t="n">
        <f aca="false">BE111+BF110</f>
        <v>12</v>
      </c>
    </row>
    <row r="112" customFormat="false" ht="39.75" hidden="false" customHeight="true" outlineLevel="0" collapsed="false">
      <c r="A112" s="66" t="str">
        <f aca="false">IFERROR(INDEX($BD$302:$BD$361,MATCH(7,$BF$302:$BF$361,0)),"")</f>
        <v>13:15</v>
      </c>
      <c r="B112" s="67" t="str">
        <f aca="false">IF(AN112="","",IF(AV112="Tidak dibuka","–",IF(INDEX('Reguler Class Availability'!$B:$B,AN112)&amp;""="","Kosong",PROPER(INDEX('Reguler Class Availability'!$B:$B,AN112)&amp;""))&amp;"  "&amp;IFERROR(--(INDEX('Reguler Class Availability'!$G:$G,AN112)&amp;""),0)&amp;"/"&amp;IFERROR(--(INDEX('Reguler Class Availability'!$F:$F,AN112)&amp;""),0)&amp;IF(IFERROR(--(INDEX('Reguler Class Availability'!$F:$F,AN112)&amp;""),0)&gt;0,"  ("&amp;TEXT(IFERROR(--(INDEX('Reguler Class Availability'!$G:$G,AN112)&amp;""),0)/IFERROR(--(INDEX('Reguler Class Availability'!$F:$F,AN112)&amp;""),0),"0%")&amp;")","")&amp;CHAR(10)&amp;IF(INDEX('Reguler Class Availability'!$I:$I,AN112)&amp;""="","coach: –",PROPER(INDEX('Reguler Class Availability'!$I:$I,AN112)&amp;""))&amp;IF(INDEX('Reguler Class Availability'!$J:$J,AN112)&amp;""="","",CHAR(10)&amp;"asst: "&amp;PROPER(INDEX('Reguler Class Availability'!$J:$J,AN112)&amp;""))))</f>
        <v>–</v>
      </c>
      <c r="C112" s="67" t="str">
        <f aca="false">IF(AO112="","",IF(AW112="Tidak dibuka","–",IF(INDEX('Reguler Class Availability'!$B:$B,AO112)&amp;""="","Kosong",PROPER(INDEX('Reguler Class Availability'!$B:$B,AO112)&amp;""))&amp;"  "&amp;IFERROR(--(INDEX('Reguler Class Availability'!$G:$G,AO112)&amp;""),0)&amp;"/"&amp;IFERROR(--(INDEX('Reguler Class Availability'!$F:$F,AO112)&amp;""),0)&amp;IF(IFERROR(--(INDEX('Reguler Class Availability'!$F:$F,AO112)&amp;""),0)&gt;0,"  ("&amp;TEXT(IFERROR(--(INDEX('Reguler Class Availability'!$G:$G,AO112)&amp;""),0)/IFERROR(--(INDEX('Reguler Class Availability'!$F:$F,AO112)&amp;""),0),"0%")&amp;")","")&amp;CHAR(10)&amp;IF(INDEX('Reguler Class Availability'!$I:$I,AO112)&amp;""="","coach: –",PROPER(INDEX('Reguler Class Availability'!$I:$I,AO112)&amp;""))&amp;IF(INDEX('Reguler Class Availability'!$J:$J,AO112)&amp;""="","",CHAR(10)&amp;"asst: "&amp;PROPER(INDEX('Reguler Class Availability'!$J:$J,AO112)&amp;""))))</f>
        <v>–</v>
      </c>
      <c r="D112" s="67" t="str">
        <f aca="false">IF(AP112="","",IF(AX112="Tidak dibuka","–",IF(INDEX('Reguler Class Availability'!$B:$B,AP112)&amp;""="","Kosong",PROPER(INDEX('Reguler Class Availability'!$B:$B,AP112)&amp;""))&amp;"  "&amp;IFERROR(--(INDEX('Reguler Class Availability'!$G:$G,AP112)&amp;""),0)&amp;"/"&amp;IFERROR(--(INDEX('Reguler Class Availability'!$F:$F,AP112)&amp;""),0)&amp;IF(IFERROR(--(INDEX('Reguler Class Availability'!$F:$F,AP112)&amp;""),0)&gt;0,"  ("&amp;TEXT(IFERROR(--(INDEX('Reguler Class Availability'!$G:$G,AP112)&amp;""),0)/IFERROR(--(INDEX('Reguler Class Availability'!$F:$F,AP112)&amp;""),0),"0%")&amp;")","")&amp;CHAR(10)&amp;IF(INDEX('Reguler Class Availability'!$I:$I,AP112)&amp;""="","coach: –",PROPER(INDEX('Reguler Class Availability'!$I:$I,AP112)&amp;""))&amp;IF(INDEX('Reguler Class Availability'!$J:$J,AP112)&amp;""="","",CHAR(10)&amp;"asst: "&amp;PROPER(INDEX('Reguler Class Availability'!$J:$J,AP112)&amp;""))))</f>
        <v>–</v>
      </c>
      <c r="E112" s="67" t="str">
        <f aca="false">IF(AQ112="","",IF(AY112="Tidak dibuka","–",IF(INDEX('Reguler Class Availability'!$B:$B,AQ112)&amp;""="","Kosong",PROPER(INDEX('Reguler Class Availability'!$B:$B,AQ112)&amp;""))&amp;"  "&amp;IFERROR(--(INDEX('Reguler Class Availability'!$G:$G,AQ112)&amp;""),0)&amp;"/"&amp;IFERROR(--(INDEX('Reguler Class Availability'!$F:$F,AQ112)&amp;""),0)&amp;IF(IFERROR(--(INDEX('Reguler Class Availability'!$F:$F,AQ112)&amp;""),0)&gt;0,"  ("&amp;TEXT(IFERROR(--(INDEX('Reguler Class Availability'!$G:$G,AQ112)&amp;""),0)/IFERROR(--(INDEX('Reguler Class Availability'!$F:$F,AQ112)&amp;""),0),"0%")&amp;")","")&amp;CHAR(10)&amp;IF(INDEX('Reguler Class Availability'!$I:$I,AQ112)&amp;""="","coach: –",PROPER(INDEX('Reguler Class Availability'!$I:$I,AQ112)&amp;""))&amp;IF(INDEX('Reguler Class Availability'!$J:$J,AQ112)&amp;""="","",CHAR(10)&amp;"asst: "&amp;PROPER(INDEX('Reguler Class Availability'!$J:$J,AQ112)&amp;""))))</f>
        <v>–</v>
      </c>
      <c r="F112" s="67" t="str">
        <f aca="false">IF(AR112="","",IF(AZ112="Tidak dibuka","–",IF(INDEX('Reguler Class Availability'!$B:$B,AR112)&amp;""="","Kosong",PROPER(INDEX('Reguler Class Availability'!$B:$B,AR112)&amp;""))&amp;"  "&amp;IFERROR(--(INDEX('Reguler Class Availability'!$G:$G,AR112)&amp;""),0)&amp;"/"&amp;IFERROR(--(INDEX('Reguler Class Availability'!$F:$F,AR112)&amp;""),0)&amp;IF(IFERROR(--(INDEX('Reguler Class Availability'!$F:$F,AR112)&amp;""),0)&gt;0,"  ("&amp;TEXT(IFERROR(--(INDEX('Reguler Class Availability'!$G:$G,AR112)&amp;""),0)/IFERROR(--(INDEX('Reguler Class Availability'!$F:$F,AR112)&amp;""),0),"0%")&amp;")","")&amp;CHAR(10)&amp;IF(INDEX('Reguler Class Availability'!$I:$I,AR112)&amp;""="","coach: –",PROPER(INDEX('Reguler Class Availability'!$I:$I,AR112)&amp;""))&amp;IF(INDEX('Reguler Class Availability'!$J:$J,AR112)&amp;""="","",CHAR(10)&amp;"asst: "&amp;PROPER(INDEX('Reguler Class Availability'!$J:$J,AR112)&amp;""))))</f>
        <v>–</v>
      </c>
      <c r="G112" s="67" t="str">
        <f aca="false">IF(AS112="","",IF(BA112="Tidak dibuka","–",IF(INDEX('Reguler Class Availability'!$B:$B,AS112)&amp;""="","Kosong",PROPER(INDEX('Reguler Class Availability'!$B:$B,AS112)&amp;""))&amp;"  "&amp;IFERROR(--(INDEX('Reguler Class Availability'!$G:$G,AS112)&amp;""),0)&amp;"/"&amp;IFERROR(--(INDEX('Reguler Class Availability'!$F:$F,AS112)&amp;""),0)&amp;IF(IFERROR(--(INDEX('Reguler Class Availability'!$F:$F,AS112)&amp;""),0)&gt;0,"  ("&amp;TEXT(IFERROR(--(INDEX('Reguler Class Availability'!$G:$G,AS112)&amp;""),0)/IFERROR(--(INDEX('Reguler Class Availability'!$F:$F,AS112)&amp;""),0),"0%")&amp;")","")&amp;CHAR(10)&amp;IF(INDEX('Reguler Class Availability'!$I:$I,AS112)&amp;""="","coach: –",PROPER(INDEX('Reguler Class Availability'!$I:$I,AS112)&amp;""))&amp;IF(INDEX('Reguler Class Availability'!$J:$J,AS112)&amp;""="","",CHAR(10)&amp;"asst: "&amp;PROPER(INDEX('Reguler Class Availability'!$J:$J,AS112)&amp;""))))</f>
        <v>–</v>
      </c>
      <c r="H112" s="67" t="str">
        <f aca="false">IF(AT112="","",IF(BB112="Tidak dibuka","–",IF(INDEX('Reguler Class Availability'!$B:$B,AT112)&amp;""="","Kosong",PROPER(INDEX('Reguler Class Availability'!$B:$B,AT112)&amp;""))&amp;"  "&amp;IFERROR(--(INDEX('Reguler Class Availability'!$G:$G,AT112)&amp;""),0)&amp;"/"&amp;IFERROR(--(INDEX('Reguler Class Availability'!$F:$F,AT112)&amp;""),0)&amp;IF(IFERROR(--(INDEX('Reguler Class Availability'!$F:$F,AT112)&amp;""),0)&gt;0,"  ("&amp;TEXT(IFERROR(--(INDEX('Reguler Class Availability'!$G:$G,AT112)&amp;""),0)/IFERROR(--(INDEX('Reguler Class Availability'!$F:$F,AT112)&amp;""),0),"0%")&amp;")","")&amp;CHAR(10)&amp;IF(INDEX('Reguler Class Availability'!$I:$I,AT112)&amp;""="","coach: –",PROPER(INDEX('Reguler Class Availability'!$I:$I,AT112)&amp;""))&amp;IF(INDEX('Reguler Class Availability'!$J:$J,AT112)&amp;""="","",CHAR(10)&amp;"asst: "&amp;PROPER(INDEX('Reguler Class Availability'!$J:$J,AT112)&amp;""))))</f>
        <v>–</v>
      </c>
      <c r="AN112" s="30" t="n">
        <f aca="false">IF($A112="","",IFERROR(MATCH($B$4&amp;"|- Lane 6 - "&amp;B$105&amp;"|"&amp;$A112,'Reguler Class Availability'!$L:$L,0),""))</f>
        <v>2850</v>
      </c>
      <c r="AO112" s="30" t="n">
        <f aca="false">IF($A112="","",IFERROR(MATCH($B$4&amp;"|- Lane 6 - "&amp;C$105&amp;"|"&amp;$A112,'Reguler Class Availability'!$L:$L,0),""))</f>
        <v>2862</v>
      </c>
      <c r="AP112" s="30" t="n">
        <f aca="false">IF($A112="","",IFERROR(MATCH($B$4&amp;"|- Lane 6 - "&amp;D$105&amp;"|"&amp;$A112,'Reguler Class Availability'!$L:$L,0),""))</f>
        <v>2874</v>
      </c>
      <c r="AQ112" s="30" t="n">
        <f aca="false">IF($A112="","",IFERROR(MATCH($B$4&amp;"|- Lane 6 - "&amp;E$105&amp;"|"&amp;$A112,'Reguler Class Availability'!$L:$L,0),""))</f>
        <v>2886</v>
      </c>
      <c r="AR112" s="30" t="n">
        <f aca="false">IF($A112="","",IFERROR(MATCH($B$4&amp;"|- Lane 6 - "&amp;F$105&amp;"|"&amp;$A112,'Reguler Class Availability'!$L:$L,0),""))</f>
        <v>2898</v>
      </c>
      <c r="AS112" s="30" t="n">
        <f aca="false">IF($A112="","",IFERROR(MATCH($B$4&amp;"|- Lane 6 - "&amp;G$105&amp;"|"&amp;$A112,'Reguler Class Availability'!$L:$L,0),""))</f>
        <v>2910</v>
      </c>
      <c r="AT112" s="30" t="n">
        <f aca="false">IF($A112="","",IFERROR(MATCH($B$4&amp;"|- Lane 6 - "&amp;H$105&amp;"|"&amp;$A112,'Reguler Class Availability'!$L:$L,0),""))</f>
        <v>2922</v>
      </c>
      <c r="AV112" s="0" t="str">
        <f aca="false">IF(AN112="","",IF(AND(IFERROR(--(INDEX('Reguler Class Availability'!$F:$F,AN112)&amp;""),0)=0,IFERROR(--(INDEX('Reguler Class Availability'!$G:$G,AN112)&amp;""),0)=0),IF(OR(INDEX('Reguler Class Availability'!$B:$B,AN112)&amp;""&lt;&gt;"",INDEX('Reguler Class Availability'!$I:$I,AN112)&amp;""&lt;&gt;""),"Tutup","Tidak dibuka"),IF(IFERROR(--(INDEX('Reguler Class Availability'!$G:$G,AN112)&amp;""),0)&gt;IFERROR(--(INDEX('Reguler Class Availability'!$F:$F,AN112)&amp;""),0),"Lebih",IF(IFERROR(--(INDEX('Reguler Class Availability'!$G:$G,AN112)&amp;""),0)=IFERROR(--(INDEX('Reguler Class Availability'!$F:$F,AN112)&amp;""),0),"Penuh",IF(IFERROR(--(INDEX('Reguler Class Availability'!$G:$G,AN112)&amp;""),0)=0,IF(INDEX('Reguler Class Availability'!$B:$B,AN112)&amp;""="","Kosong","Belum terisi"),IF(IFERROR(--(INDEX('Reguler Class Availability'!$G:$G,AN112)&amp;""),0)/IFERROR(--(INDEX('Reguler Class Availability'!$F:$F,AN112)&amp;""),0)&gt;=0.6,"Tinggi","Sebagian"))))))</f>
        <v>Tidak dibuka</v>
      </c>
      <c r="AW112" s="0" t="str">
        <f aca="false">IF(AO112="","",IF(AND(IFERROR(--(INDEX('Reguler Class Availability'!$F:$F,AO112)&amp;""),0)=0,IFERROR(--(INDEX('Reguler Class Availability'!$G:$G,AO112)&amp;""),0)=0),IF(OR(INDEX('Reguler Class Availability'!$B:$B,AO112)&amp;""&lt;&gt;"",INDEX('Reguler Class Availability'!$I:$I,AO112)&amp;""&lt;&gt;""),"Tutup","Tidak dibuka"),IF(IFERROR(--(INDEX('Reguler Class Availability'!$G:$G,AO112)&amp;""),0)&gt;IFERROR(--(INDEX('Reguler Class Availability'!$F:$F,AO112)&amp;""),0),"Lebih",IF(IFERROR(--(INDEX('Reguler Class Availability'!$G:$G,AO112)&amp;""),0)=IFERROR(--(INDEX('Reguler Class Availability'!$F:$F,AO112)&amp;""),0),"Penuh",IF(IFERROR(--(INDEX('Reguler Class Availability'!$G:$G,AO112)&amp;""),0)=0,IF(INDEX('Reguler Class Availability'!$B:$B,AO112)&amp;""="","Kosong","Belum terisi"),IF(IFERROR(--(INDEX('Reguler Class Availability'!$G:$G,AO112)&amp;""),0)/IFERROR(--(INDEX('Reguler Class Availability'!$F:$F,AO112)&amp;""),0)&gt;=0.6,"Tinggi","Sebagian"))))))</f>
        <v>Tidak dibuka</v>
      </c>
      <c r="AX112" s="0" t="str">
        <f aca="false">IF(AP112="","",IF(AND(IFERROR(--(INDEX('Reguler Class Availability'!$F:$F,AP112)&amp;""),0)=0,IFERROR(--(INDEX('Reguler Class Availability'!$G:$G,AP112)&amp;""),0)=0),IF(OR(INDEX('Reguler Class Availability'!$B:$B,AP112)&amp;""&lt;&gt;"",INDEX('Reguler Class Availability'!$I:$I,AP112)&amp;""&lt;&gt;""),"Tutup","Tidak dibuka"),IF(IFERROR(--(INDEX('Reguler Class Availability'!$G:$G,AP112)&amp;""),0)&gt;IFERROR(--(INDEX('Reguler Class Availability'!$F:$F,AP112)&amp;""),0),"Lebih",IF(IFERROR(--(INDEX('Reguler Class Availability'!$G:$G,AP112)&amp;""),0)=IFERROR(--(INDEX('Reguler Class Availability'!$F:$F,AP112)&amp;""),0),"Penuh",IF(IFERROR(--(INDEX('Reguler Class Availability'!$G:$G,AP112)&amp;""),0)=0,IF(INDEX('Reguler Class Availability'!$B:$B,AP112)&amp;""="","Kosong","Belum terisi"),IF(IFERROR(--(INDEX('Reguler Class Availability'!$G:$G,AP112)&amp;""),0)/IFERROR(--(INDEX('Reguler Class Availability'!$F:$F,AP112)&amp;""),0)&gt;=0.6,"Tinggi","Sebagian"))))))</f>
        <v>Tidak dibuka</v>
      </c>
      <c r="AY112" s="0" t="str">
        <f aca="false">IF(AQ112="","",IF(AND(IFERROR(--(INDEX('Reguler Class Availability'!$F:$F,AQ112)&amp;""),0)=0,IFERROR(--(INDEX('Reguler Class Availability'!$G:$G,AQ112)&amp;""),0)=0),IF(OR(INDEX('Reguler Class Availability'!$B:$B,AQ112)&amp;""&lt;&gt;"",INDEX('Reguler Class Availability'!$I:$I,AQ112)&amp;""&lt;&gt;""),"Tutup","Tidak dibuka"),IF(IFERROR(--(INDEX('Reguler Class Availability'!$G:$G,AQ112)&amp;""),0)&gt;IFERROR(--(INDEX('Reguler Class Availability'!$F:$F,AQ112)&amp;""),0),"Lebih",IF(IFERROR(--(INDEX('Reguler Class Availability'!$G:$G,AQ112)&amp;""),0)=IFERROR(--(INDEX('Reguler Class Availability'!$F:$F,AQ112)&amp;""),0),"Penuh",IF(IFERROR(--(INDEX('Reguler Class Availability'!$G:$G,AQ112)&amp;""),0)=0,IF(INDEX('Reguler Class Availability'!$B:$B,AQ112)&amp;""="","Kosong","Belum terisi"),IF(IFERROR(--(INDEX('Reguler Class Availability'!$G:$G,AQ112)&amp;""),0)/IFERROR(--(INDEX('Reguler Class Availability'!$F:$F,AQ112)&amp;""),0)&gt;=0.6,"Tinggi","Sebagian"))))))</f>
        <v>Tidak dibuka</v>
      </c>
      <c r="AZ112" s="0" t="str">
        <f aca="false">IF(AR112="","",IF(AND(IFERROR(--(INDEX('Reguler Class Availability'!$F:$F,AR112)&amp;""),0)=0,IFERROR(--(INDEX('Reguler Class Availability'!$G:$G,AR112)&amp;""),0)=0),IF(OR(INDEX('Reguler Class Availability'!$B:$B,AR112)&amp;""&lt;&gt;"",INDEX('Reguler Class Availability'!$I:$I,AR112)&amp;""&lt;&gt;""),"Tutup","Tidak dibuka"),IF(IFERROR(--(INDEX('Reguler Class Availability'!$G:$G,AR112)&amp;""),0)&gt;IFERROR(--(INDEX('Reguler Class Availability'!$F:$F,AR112)&amp;""),0),"Lebih",IF(IFERROR(--(INDEX('Reguler Class Availability'!$G:$G,AR112)&amp;""),0)=IFERROR(--(INDEX('Reguler Class Availability'!$F:$F,AR112)&amp;""),0),"Penuh",IF(IFERROR(--(INDEX('Reguler Class Availability'!$G:$G,AR112)&amp;""),0)=0,IF(INDEX('Reguler Class Availability'!$B:$B,AR112)&amp;""="","Kosong","Belum terisi"),IF(IFERROR(--(INDEX('Reguler Class Availability'!$G:$G,AR112)&amp;""),0)/IFERROR(--(INDEX('Reguler Class Availability'!$F:$F,AR112)&amp;""),0)&gt;=0.6,"Tinggi","Sebagian"))))))</f>
        <v>Tidak dibuka</v>
      </c>
      <c r="BA112" s="0" t="str">
        <f aca="false">IF(AS112="","",IF(AND(IFERROR(--(INDEX('Reguler Class Availability'!$F:$F,AS112)&amp;""),0)=0,IFERROR(--(INDEX('Reguler Class Availability'!$G:$G,AS112)&amp;""),0)=0),IF(OR(INDEX('Reguler Class Availability'!$B:$B,AS112)&amp;""&lt;&gt;"",INDEX('Reguler Class Availability'!$I:$I,AS112)&amp;""&lt;&gt;""),"Tutup","Tidak dibuka"),IF(IFERROR(--(INDEX('Reguler Class Availability'!$G:$G,AS112)&amp;""),0)&gt;IFERROR(--(INDEX('Reguler Class Availability'!$F:$F,AS112)&amp;""),0),"Lebih",IF(IFERROR(--(INDEX('Reguler Class Availability'!$G:$G,AS112)&amp;""),0)=IFERROR(--(INDEX('Reguler Class Availability'!$F:$F,AS112)&amp;""),0),"Penuh",IF(IFERROR(--(INDEX('Reguler Class Availability'!$G:$G,AS112)&amp;""),0)=0,IF(INDEX('Reguler Class Availability'!$B:$B,AS112)&amp;""="","Kosong","Belum terisi"),IF(IFERROR(--(INDEX('Reguler Class Availability'!$G:$G,AS112)&amp;""),0)/IFERROR(--(INDEX('Reguler Class Availability'!$F:$F,AS112)&amp;""),0)&gt;=0.6,"Tinggi","Sebagian"))))))</f>
        <v>Tidak dibuka</v>
      </c>
      <c r="BB112" s="0" t="str">
        <f aca="false">IF(AT112="","",IF(AND(IFERROR(--(INDEX('Reguler Class Availability'!$F:$F,AT112)&amp;""),0)=0,IFERROR(--(INDEX('Reguler Class Availability'!$G:$G,AT112)&amp;""),0)=0),IF(OR(INDEX('Reguler Class Availability'!$B:$B,AT112)&amp;""&lt;&gt;"",INDEX('Reguler Class Availability'!$I:$I,AT112)&amp;""&lt;&gt;""),"Tutup","Tidak dibuka"),IF(IFERROR(--(INDEX('Reguler Class Availability'!$G:$G,AT112)&amp;""),0)&gt;IFERROR(--(INDEX('Reguler Class Availability'!$F:$F,AT112)&amp;""),0),"Lebih",IF(IFERROR(--(INDEX('Reguler Class Availability'!$G:$G,AT112)&amp;""),0)=IFERROR(--(INDEX('Reguler Class Availability'!$F:$F,AT112)&amp;""),0),"Penuh",IF(IFERROR(--(INDEX('Reguler Class Availability'!$G:$G,AT112)&amp;""),0)=0,IF(INDEX('Reguler Class Availability'!$B:$B,AT112)&amp;""="","Kosong","Belum terisi"),IF(IFERROR(--(INDEX('Reguler Class Availability'!$G:$G,AT112)&amp;""),0)/IFERROR(--(INDEX('Reguler Class Availability'!$F:$F,AT112)&amp;""),0)&gt;=0.6,"Tinggi","Sebagian"))))))</f>
        <v>Tidak dibuka</v>
      </c>
      <c r="BD112" s="30" t="s">
        <v>162</v>
      </c>
      <c r="BE112" s="30" t="n">
        <f aca="false">IF(COUNTIFS('Reguler Class Availability'!$L:$L,$B$4&amp;"|- Lane 2 - *|"&amp;BD112)&gt;0,1,0)</f>
        <v>0</v>
      </c>
      <c r="BF112" s="30" t="n">
        <f aca="false">BE112+BF111</f>
        <v>12</v>
      </c>
    </row>
    <row r="113" customFormat="false" ht="39.75" hidden="false" customHeight="true" outlineLevel="0" collapsed="false">
      <c r="A113" s="66" t="str">
        <f aca="false">IFERROR(INDEX($BD$302:$BD$361,MATCH(8,$BF$302:$BF$361,0)),"")</f>
        <v>14:00</v>
      </c>
      <c r="B113" s="67" t="str">
        <f aca="false">IF(AN113="","",IF(AV113="Tidak dibuka","–",IF(INDEX('Reguler Class Availability'!$B:$B,AN113)&amp;""="","Kosong",PROPER(INDEX('Reguler Class Availability'!$B:$B,AN113)&amp;""))&amp;"  "&amp;IFERROR(--(INDEX('Reguler Class Availability'!$G:$G,AN113)&amp;""),0)&amp;"/"&amp;IFERROR(--(INDEX('Reguler Class Availability'!$F:$F,AN113)&amp;""),0)&amp;IF(IFERROR(--(INDEX('Reguler Class Availability'!$F:$F,AN113)&amp;""),0)&gt;0,"  ("&amp;TEXT(IFERROR(--(INDEX('Reguler Class Availability'!$G:$G,AN113)&amp;""),0)/IFERROR(--(INDEX('Reguler Class Availability'!$F:$F,AN113)&amp;""),0),"0%")&amp;")","")&amp;CHAR(10)&amp;IF(INDEX('Reguler Class Availability'!$I:$I,AN113)&amp;""="","coach: –",PROPER(INDEX('Reguler Class Availability'!$I:$I,AN113)&amp;""))&amp;IF(INDEX('Reguler Class Availability'!$J:$J,AN113)&amp;""="","",CHAR(10)&amp;"asst: "&amp;PROPER(INDEX('Reguler Class Availability'!$J:$J,AN113)&amp;""))))</f>
        <v>–</v>
      </c>
      <c r="C113" s="67" t="str">
        <f aca="false">IF(AO113="","",IF(AW113="Tidak dibuka","–",IF(INDEX('Reguler Class Availability'!$B:$B,AO113)&amp;""="","Kosong",PROPER(INDEX('Reguler Class Availability'!$B:$B,AO113)&amp;""))&amp;"  "&amp;IFERROR(--(INDEX('Reguler Class Availability'!$G:$G,AO113)&amp;""),0)&amp;"/"&amp;IFERROR(--(INDEX('Reguler Class Availability'!$F:$F,AO113)&amp;""),0)&amp;IF(IFERROR(--(INDEX('Reguler Class Availability'!$F:$F,AO113)&amp;""),0)&gt;0,"  ("&amp;TEXT(IFERROR(--(INDEX('Reguler Class Availability'!$G:$G,AO113)&amp;""),0)/IFERROR(--(INDEX('Reguler Class Availability'!$F:$F,AO113)&amp;""),0),"0%")&amp;")","")&amp;CHAR(10)&amp;IF(INDEX('Reguler Class Availability'!$I:$I,AO113)&amp;""="","coach: –",PROPER(INDEX('Reguler Class Availability'!$I:$I,AO113)&amp;""))&amp;IF(INDEX('Reguler Class Availability'!$J:$J,AO113)&amp;""="","",CHAR(10)&amp;"asst: "&amp;PROPER(INDEX('Reguler Class Availability'!$J:$J,AO113)&amp;""))))</f>
        <v>–</v>
      </c>
      <c r="D113" s="67" t="str">
        <f aca="false">IF(AP113="","",IF(AX113="Tidak dibuka","–",IF(INDEX('Reguler Class Availability'!$B:$B,AP113)&amp;""="","Kosong",PROPER(INDEX('Reguler Class Availability'!$B:$B,AP113)&amp;""))&amp;"  "&amp;IFERROR(--(INDEX('Reguler Class Availability'!$G:$G,AP113)&amp;""),0)&amp;"/"&amp;IFERROR(--(INDEX('Reguler Class Availability'!$F:$F,AP113)&amp;""),0)&amp;IF(IFERROR(--(INDEX('Reguler Class Availability'!$F:$F,AP113)&amp;""),0)&gt;0,"  ("&amp;TEXT(IFERROR(--(INDEX('Reguler Class Availability'!$G:$G,AP113)&amp;""),0)/IFERROR(--(INDEX('Reguler Class Availability'!$F:$F,AP113)&amp;""),0),"0%")&amp;")","")&amp;CHAR(10)&amp;IF(INDEX('Reguler Class Availability'!$I:$I,AP113)&amp;""="","coach: –",PROPER(INDEX('Reguler Class Availability'!$I:$I,AP113)&amp;""))&amp;IF(INDEX('Reguler Class Availability'!$J:$J,AP113)&amp;""="","",CHAR(10)&amp;"asst: "&amp;PROPER(INDEX('Reguler Class Availability'!$J:$J,AP113)&amp;""))))</f>
        <v>–</v>
      </c>
      <c r="E113" s="67" t="str">
        <f aca="false">IF(AQ113="","",IF(AY113="Tidak dibuka","–",IF(INDEX('Reguler Class Availability'!$B:$B,AQ113)&amp;""="","Kosong",PROPER(INDEX('Reguler Class Availability'!$B:$B,AQ113)&amp;""))&amp;"  "&amp;IFERROR(--(INDEX('Reguler Class Availability'!$G:$G,AQ113)&amp;""),0)&amp;"/"&amp;IFERROR(--(INDEX('Reguler Class Availability'!$F:$F,AQ113)&amp;""),0)&amp;IF(IFERROR(--(INDEX('Reguler Class Availability'!$F:$F,AQ113)&amp;""),0)&gt;0,"  ("&amp;TEXT(IFERROR(--(INDEX('Reguler Class Availability'!$G:$G,AQ113)&amp;""),0)/IFERROR(--(INDEX('Reguler Class Availability'!$F:$F,AQ113)&amp;""),0),"0%")&amp;")","")&amp;CHAR(10)&amp;IF(INDEX('Reguler Class Availability'!$I:$I,AQ113)&amp;""="","coach: –",PROPER(INDEX('Reguler Class Availability'!$I:$I,AQ113)&amp;""))&amp;IF(INDEX('Reguler Class Availability'!$J:$J,AQ113)&amp;""="","",CHAR(10)&amp;"asst: "&amp;PROPER(INDEX('Reguler Class Availability'!$J:$J,AQ113)&amp;""))))</f>
        <v>–</v>
      </c>
      <c r="F113" s="67" t="str">
        <f aca="false">IF(AR113="","",IF(AZ113="Tidak dibuka","–",IF(INDEX('Reguler Class Availability'!$B:$B,AR113)&amp;""="","Kosong",PROPER(INDEX('Reguler Class Availability'!$B:$B,AR113)&amp;""))&amp;"  "&amp;IFERROR(--(INDEX('Reguler Class Availability'!$G:$G,AR113)&amp;""),0)&amp;"/"&amp;IFERROR(--(INDEX('Reguler Class Availability'!$F:$F,AR113)&amp;""),0)&amp;IF(IFERROR(--(INDEX('Reguler Class Availability'!$F:$F,AR113)&amp;""),0)&gt;0,"  ("&amp;TEXT(IFERROR(--(INDEX('Reguler Class Availability'!$G:$G,AR113)&amp;""),0)/IFERROR(--(INDEX('Reguler Class Availability'!$F:$F,AR113)&amp;""),0),"0%")&amp;")","")&amp;CHAR(10)&amp;IF(INDEX('Reguler Class Availability'!$I:$I,AR113)&amp;""="","coach: –",PROPER(INDEX('Reguler Class Availability'!$I:$I,AR113)&amp;""))&amp;IF(INDEX('Reguler Class Availability'!$J:$J,AR113)&amp;""="","",CHAR(10)&amp;"asst: "&amp;PROPER(INDEX('Reguler Class Availability'!$J:$J,AR113)&amp;""))))</f>
        <v>–</v>
      </c>
      <c r="G113" s="67" t="str">
        <f aca="false">IF(AS113="","",IF(BA113="Tidak dibuka","–",IF(INDEX('Reguler Class Availability'!$B:$B,AS113)&amp;""="","Kosong",PROPER(INDEX('Reguler Class Availability'!$B:$B,AS113)&amp;""))&amp;"  "&amp;IFERROR(--(INDEX('Reguler Class Availability'!$G:$G,AS113)&amp;""),0)&amp;"/"&amp;IFERROR(--(INDEX('Reguler Class Availability'!$F:$F,AS113)&amp;""),0)&amp;IF(IFERROR(--(INDEX('Reguler Class Availability'!$F:$F,AS113)&amp;""),0)&gt;0,"  ("&amp;TEXT(IFERROR(--(INDEX('Reguler Class Availability'!$G:$G,AS113)&amp;""),0)/IFERROR(--(INDEX('Reguler Class Availability'!$F:$F,AS113)&amp;""),0),"0%")&amp;")","")&amp;CHAR(10)&amp;IF(INDEX('Reguler Class Availability'!$I:$I,AS113)&amp;""="","coach: –",PROPER(INDEX('Reguler Class Availability'!$I:$I,AS113)&amp;""))&amp;IF(INDEX('Reguler Class Availability'!$J:$J,AS113)&amp;""="","",CHAR(10)&amp;"asst: "&amp;PROPER(INDEX('Reguler Class Availability'!$J:$J,AS113)&amp;""))))</f>
        <v>–</v>
      </c>
      <c r="H113" s="67" t="str">
        <f aca="false">IF(AT113="","",IF(BB113="Tidak dibuka","–",IF(INDEX('Reguler Class Availability'!$B:$B,AT113)&amp;""="","Kosong",PROPER(INDEX('Reguler Class Availability'!$B:$B,AT113)&amp;""))&amp;"  "&amp;IFERROR(--(INDEX('Reguler Class Availability'!$G:$G,AT113)&amp;""),0)&amp;"/"&amp;IFERROR(--(INDEX('Reguler Class Availability'!$F:$F,AT113)&amp;""),0)&amp;IF(IFERROR(--(INDEX('Reguler Class Availability'!$F:$F,AT113)&amp;""),0)&gt;0,"  ("&amp;TEXT(IFERROR(--(INDEX('Reguler Class Availability'!$G:$G,AT113)&amp;""),0)/IFERROR(--(INDEX('Reguler Class Availability'!$F:$F,AT113)&amp;""),0),"0%")&amp;")","")&amp;CHAR(10)&amp;IF(INDEX('Reguler Class Availability'!$I:$I,AT113)&amp;""="","coach: –",PROPER(INDEX('Reguler Class Availability'!$I:$I,AT113)&amp;""))&amp;IF(INDEX('Reguler Class Availability'!$J:$J,AT113)&amp;""="","",CHAR(10)&amp;"asst: "&amp;PROPER(INDEX('Reguler Class Availability'!$J:$J,AT113)&amp;""))))</f>
        <v>–</v>
      </c>
      <c r="AN113" s="30" t="n">
        <f aca="false">IF($A113="","",IFERROR(MATCH($B$4&amp;"|- Lane 6 - "&amp;B$105&amp;"|"&amp;$A113,'Reguler Class Availability'!$L:$L,0),""))</f>
        <v>2851</v>
      </c>
      <c r="AO113" s="30" t="n">
        <f aca="false">IF($A113="","",IFERROR(MATCH($B$4&amp;"|- Lane 6 - "&amp;C$105&amp;"|"&amp;$A113,'Reguler Class Availability'!$L:$L,0),""))</f>
        <v>2863</v>
      </c>
      <c r="AP113" s="30" t="n">
        <f aca="false">IF($A113="","",IFERROR(MATCH($B$4&amp;"|- Lane 6 - "&amp;D$105&amp;"|"&amp;$A113,'Reguler Class Availability'!$L:$L,0),""))</f>
        <v>2875</v>
      </c>
      <c r="AQ113" s="30" t="n">
        <f aca="false">IF($A113="","",IFERROR(MATCH($B$4&amp;"|- Lane 6 - "&amp;E$105&amp;"|"&amp;$A113,'Reguler Class Availability'!$L:$L,0),""))</f>
        <v>2887</v>
      </c>
      <c r="AR113" s="30" t="n">
        <f aca="false">IF($A113="","",IFERROR(MATCH($B$4&amp;"|- Lane 6 - "&amp;F$105&amp;"|"&amp;$A113,'Reguler Class Availability'!$L:$L,0),""))</f>
        <v>2899</v>
      </c>
      <c r="AS113" s="30" t="n">
        <f aca="false">IF($A113="","",IFERROR(MATCH($B$4&amp;"|- Lane 6 - "&amp;G$105&amp;"|"&amp;$A113,'Reguler Class Availability'!$L:$L,0),""))</f>
        <v>2911</v>
      </c>
      <c r="AT113" s="30" t="n">
        <f aca="false">IF($A113="","",IFERROR(MATCH($B$4&amp;"|- Lane 6 - "&amp;H$105&amp;"|"&amp;$A113,'Reguler Class Availability'!$L:$L,0),""))</f>
        <v>2923</v>
      </c>
      <c r="AV113" s="0" t="str">
        <f aca="false">IF(AN113="","",IF(AND(IFERROR(--(INDEX('Reguler Class Availability'!$F:$F,AN113)&amp;""),0)=0,IFERROR(--(INDEX('Reguler Class Availability'!$G:$G,AN113)&amp;""),0)=0),IF(OR(INDEX('Reguler Class Availability'!$B:$B,AN113)&amp;""&lt;&gt;"",INDEX('Reguler Class Availability'!$I:$I,AN113)&amp;""&lt;&gt;""),"Tutup","Tidak dibuka"),IF(IFERROR(--(INDEX('Reguler Class Availability'!$G:$G,AN113)&amp;""),0)&gt;IFERROR(--(INDEX('Reguler Class Availability'!$F:$F,AN113)&amp;""),0),"Lebih",IF(IFERROR(--(INDEX('Reguler Class Availability'!$G:$G,AN113)&amp;""),0)=IFERROR(--(INDEX('Reguler Class Availability'!$F:$F,AN113)&amp;""),0),"Penuh",IF(IFERROR(--(INDEX('Reguler Class Availability'!$G:$G,AN113)&amp;""),0)=0,IF(INDEX('Reguler Class Availability'!$B:$B,AN113)&amp;""="","Kosong","Belum terisi"),IF(IFERROR(--(INDEX('Reguler Class Availability'!$G:$G,AN113)&amp;""),0)/IFERROR(--(INDEX('Reguler Class Availability'!$F:$F,AN113)&amp;""),0)&gt;=0.6,"Tinggi","Sebagian"))))))</f>
        <v>Tidak dibuka</v>
      </c>
      <c r="AW113" s="0" t="str">
        <f aca="false">IF(AO113="","",IF(AND(IFERROR(--(INDEX('Reguler Class Availability'!$F:$F,AO113)&amp;""),0)=0,IFERROR(--(INDEX('Reguler Class Availability'!$G:$G,AO113)&amp;""),0)=0),IF(OR(INDEX('Reguler Class Availability'!$B:$B,AO113)&amp;""&lt;&gt;"",INDEX('Reguler Class Availability'!$I:$I,AO113)&amp;""&lt;&gt;""),"Tutup","Tidak dibuka"),IF(IFERROR(--(INDEX('Reguler Class Availability'!$G:$G,AO113)&amp;""),0)&gt;IFERROR(--(INDEX('Reguler Class Availability'!$F:$F,AO113)&amp;""),0),"Lebih",IF(IFERROR(--(INDEX('Reguler Class Availability'!$G:$G,AO113)&amp;""),0)=IFERROR(--(INDEX('Reguler Class Availability'!$F:$F,AO113)&amp;""),0),"Penuh",IF(IFERROR(--(INDEX('Reguler Class Availability'!$G:$G,AO113)&amp;""),0)=0,IF(INDEX('Reguler Class Availability'!$B:$B,AO113)&amp;""="","Kosong","Belum terisi"),IF(IFERROR(--(INDEX('Reguler Class Availability'!$G:$G,AO113)&amp;""),0)/IFERROR(--(INDEX('Reguler Class Availability'!$F:$F,AO113)&amp;""),0)&gt;=0.6,"Tinggi","Sebagian"))))))</f>
        <v>Tidak dibuka</v>
      </c>
      <c r="AX113" s="0" t="str">
        <f aca="false">IF(AP113="","",IF(AND(IFERROR(--(INDEX('Reguler Class Availability'!$F:$F,AP113)&amp;""),0)=0,IFERROR(--(INDEX('Reguler Class Availability'!$G:$G,AP113)&amp;""),0)=0),IF(OR(INDEX('Reguler Class Availability'!$B:$B,AP113)&amp;""&lt;&gt;"",INDEX('Reguler Class Availability'!$I:$I,AP113)&amp;""&lt;&gt;""),"Tutup","Tidak dibuka"),IF(IFERROR(--(INDEX('Reguler Class Availability'!$G:$G,AP113)&amp;""),0)&gt;IFERROR(--(INDEX('Reguler Class Availability'!$F:$F,AP113)&amp;""),0),"Lebih",IF(IFERROR(--(INDEX('Reguler Class Availability'!$G:$G,AP113)&amp;""),0)=IFERROR(--(INDEX('Reguler Class Availability'!$F:$F,AP113)&amp;""),0),"Penuh",IF(IFERROR(--(INDEX('Reguler Class Availability'!$G:$G,AP113)&amp;""),0)=0,IF(INDEX('Reguler Class Availability'!$B:$B,AP113)&amp;""="","Kosong","Belum terisi"),IF(IFERROR(--(INDEX('Reguler Class Availability'!$G:$G,AP113)&amp;""),0)/IFERROR(--(INDEX('Reguler Class Availability'!$F:$F,AP113)&amp;""),0)&gt;=0.6,"Tinggi","Sebagian"))))))</f>
        <v>Tidak dibuka</v>
      </c>
      <c r="AY113" s="0" t="str">
        <f aca="false">IF(AQ113="","",IF(AND(IFERROR(--(INDEX('Reguler Class Availability'!$F:$F,AQ113)&amp;""),0)=0,IFERROR(--(INDEX('Reguler Class Availability'!$G:$G,AQ113)&amp;""),0)=0),IF(OR(INDEX('Reguler Class Availability'!$B:$B,AQ113)&amp;""&lt;&gt;"",INDEX('Reguler Class Availability'!$I:$I,AQ113)&amp;""&lt;&gt;""),"Tutup","Tidak dibuka"),IF(IFERROR(--(INDEX('Reguler Class Availability'!$G:$G,AQ113)&amp;""),0)&gt;IFERROR(--(INDEX('Reguler Class Availability'!$F:$F,AQ113)&amp;""),0),"Lebih",IF(IFERROR(--(INDEX('Reguler Class Availability'!$G:$G,AQ113)&amp;""),0)=IFERROR(--(INDEX('Reguler Class Availability'!$F:$F,AQ113)&amp;""),0),"Penuh",IF(IFERROR(--(INDEX('Reguler Class Availability'!$G:$G,AQ113)&amp;""),0)=0,IF(INDEX('Reguler Class Availability'!$B:$B,AQ113)&amp;""="","Kosong","Belum terisi"),IF(IFERROR(--(INDEX('Reguler Class Availability'!$G:$G,AQ113)&amp;""),0)/IFERROR(--(INDEX('Reguler Class Availability'!$F:$F,AQ113)&amp;""),0)&gt;=0.6,"Tinggi","Sebagian"))))))</f>
        <v>Tidak dibuka</v>
      </c>
      <c r="AZ113" s="0" t="str">
        <f aca="false">IF(AR113="","",IF(AND(IFERROR(--(INDEX('Reguler Class Availability'!$F:$F,AR113)&amp;""),0)=0,IFERROR(--(INDEX('Reguler Class Availability'!$G:$G,AR113)&amp;""),0)=0),IF(OR(INDEX('Reguler Class Availability'!$B:$B,AR113)&amp;""&lt;&gt;"",INDEX('Reguler Class Availability'!$I:$I,AR113)&amp;""&lt;&gt;""),"Tutup","Tidak dibuka"),IF(IFERROR(--(INDEX('Reguler Class Availability'!$G:$G,AR113)&amp;""),0)&gt;IFERROR(--(INDEX('Reguler Class Availability'!$F:$F,AR113)&amp;""),0),"Lebih",IF(IFERROR(--(INDEX('Reguler Class Availability'!$G:$G,AR113)&amp;""),0)=IFERROR(--(INDEX('Reguler Class Availability'!$F:$F,AR113)&amp;""),0),"Penuh",IF(IFERROR(--(INDEX('Reguler Class Availability'!$G:$G,AR113)&amp;""),0)=0,IF(INDEX('Reguler Class Availability'!$B:$B,AR113)&amp;""="","Kosong","Belum terisi"),IF(IFERROR(--(INDEX('Reguler Class Availability'!$G:$G,AR113)&amp;""),0)/IFERROR(--(INDEX('Reguler Class Availability'!$F:$F,AR113)&amp;""),0)&gt;=0.6,"Tinggi","Sebagian"))))))</f>
        <v>Tidak dibuka</v>
      </c>
      <c r="BA113" s="0" t="str">
        <f aca="false">IF(AS113="","",IF(AND(IFERROR(--(INDEX('Reguler Class Availability'!$F:$F,AS113)&amp;""),0)=0,IFERROR(--(INDEX('Reguler Class Availability'!$G:$G,AS113)&amp;""),0)=0),IF(OR(INDEX('Reguler Class Availability'!$B:$B,AS113)&amp;""&lt;&gt;"",INDEX('Reguler Class Availability'!$I:$I,AS113)&amp;""&lt;&gt;""),"Tutup","Tidak dibuka"),IF(IFERROR(--(INDEX('Reguler Class Availability'!$G:$G,AS113)&amp;""),0)&gt;IFERROR(--(INDEX('Reguler Class Availability'!$F:$F,AS113)&amp;""),0),"Lebih",IF(IFERROR(--(INDEX('Reguler Class Availability'!$G:$G,AS113)&amp;""),0)=IFERROR(--(INDEX('Reguler Class Availability'!$F:$F,AS113)&amp;""),0),"Penuh",IF(IFERROR(--(INDEX('Reguler Class Availability'!$G:$G,AS113)&amp;""),0)=0,IF(INDEX('Reguler Class Availability'!$B:$B,AS113)&amp;""="","Kosong","Belum terisi"),IF(IFERROR(--(INDEX('Reguler Class Availability'!$G:$G,AS113)&amp;""),0)/IFERROR(--(INDEX('Reguler Class Availability'!$F:$F,AS113)&amp;""),0)&gt;=0.6,"Tinggi","Sebagian"))))))</f>
        <v>Tidak dibuka</v>
      </c>
      <c r="BB113" s="0" t="str">
        <f aca="false">IF(AT113="","",IF(AND(IFERROR(--(INDEX('Reguler Class Availability'!$F:$F,AT113)&amp;""),0)=0,IFERROR(--(INDEX('Reguler Class Availability'!$G:$G,AT113)&amp;""),0)=0),IF(OR(INDEX('Reguler Class Availability'!$B:$B,AT113)&amp;""&lt;&gt;"",INDEX('Reguler Class Availability'!$I:$I,AT113)&amp;""&lt;&gt;""),"Tutup","Tidak dibuka"),IF(IFERROR(--(INDEX('Reguler Class Availability'!$G:$G,AT113)&amp;""),0)&gt;IFERROR(--(INDEX('Reguler Class Availability'!$F:$F,AT113)&amp;""),0),"Lebih",IF(IFERROR(--(INDEX('Reguler Class Availability'!$G:$G,AT113)&amp;""),0)=IFERROR(--(INDEX('Reguler Class Availability'!$F:$F,AT113)&amp;""),0),"Penuh",IF(IFERROR(--(INDEX('Reguler Class Availability'!$G:$G,AT113)&amp;""),0)=0,IF(INDEX('Reguler Class Availability'!$B:$B,AT113)&amp;""="","Kosong","Belum terisi"),IF(IFERROR(--(INDEX('Reguler Class Availability'!$G:$G,AT113)&amp;""),0)/IFERROR(--(INDEX('Reguler Class Availability'!$F:$F,AT113)&amp;""),0)&gt;=0.6,"Tinggi","Sebagian"))))))</f>
        <v>Tidak dibuka</v>
      </c>
      <c r="BD113" s="30" t="s">
        <v>163</v>
      </c>
      <c r="BE113" s="30" t="n">
        <f aca="false">IF(COUNTIFS('Reguler Class Availability'!$L:$L,$B$4&amp;"|- Lane 2 - *|"&amp;BD113)&gt;0,1,0)</f>
        <v>0</v>
      </c>
      <c r="BF113" s="30" t="n">
        <f aca="false">BE113+BF112</f>
        <v>12</v>
      </c>
    </row>
    <row r="114" customFormat="false" ht="39.75" hidden="false" customHeight="true" outlineLevel="0" collapsed="false">
      <c r="A114" s="66" t="str">
        <f aca="false">IFERROR(INDEX($BD$302:$BD$361,MATCH(9,$BF$302:$BF$361,0)),"")</f>
        <v>14:45</v>
      </c>
      <c r="B114" s="67" t="str">
        <f aca="false">IF(AN114="","",IF(AV114="Tidak dibuka","–",IF(INDEX('Reguler Class Availability'!$B:$B,AN114)&amp;""="","Kosong",PROPER(INDEX('Reguler Class Availability'!$B:$B,AN114)&amp;""))&amp;"  "&amp;IFERROR(--(INDEX('Reguler Class Availability'!$G:$G,AN114)&amp;""),0)&amp;"/"&amp;IFERROR(--(INDEX('Reguler Class Availability'!$F:$F,AN114)&amp;""),0)&amp;IF(IFERROR(--(INDEX('Reguler Class Availability'!$F:$F,AN114)&amp;""),0)&gt;0,"  ("&amp;TEXT(IFERROR(--(INDEX('Reguler Class Availability'!$G:$G,AN114)&amp;""),0)/IFERROR(--(INDEX('Reguler Class Availability'!$F:$F,AN114)&amp;""),0),"0%")&amp;")","")&amp;CHAR(10)&amp;IF(INDEX('Reguler Class Availability'!$I:$I,AN114)&amp;""="","coach: –",PROPER(INDEX('Reguler Class Availability'!$I:$I,AN114)&amp;""))&amp;IF(INDEX('Reguler Class Availability'!$J:$J,AN114)&amp;""="","",CHAR(10)&amp;"asst: "&amp;PROPER(INDEX('Reguler Class Availability'!$J:$J,AN114)&amp;""))))</f>
        <v>–</v>
      </c>
      <c r="C114" s="67" t="str">
        <f aca="false">IF(AO114="","",IF(AW114="Tidak dibuka","–",IF(INDEX('Reguler Class Availability'!$B:$B,AO114)&amp;""="","Kosong",PROPER(INDEX('Reguler Class Availability'!$B:$B,AO114)&amp;""))&amp;"  "&amp;IFERROR(--(INDEX('Reguler Class Availability'!$G:$G,AO114)&amp;""),0)&amp;"/"&amp;IFERROR(--(INDEX('Reguler Class Availability'!$F:$F,AO114)&amp;""),0)&amp;IF(IFERROR(--(INDEX('Reguler Class Availability'!$F:$F,AO114)&amp;""),0)&gt;0,"  ("&amp;TEXT(IFERROR(--(INDEX('Reguler Class Availability'!$G:$G,AO114)&amp;""),0)/IFERROR(--(INDEX('Reguler Class Availability'!$F:$F,AO114)&amp;""),0),"0%")&amp;")","")&amp;CHAR(10)&amp;IF(INDEX('Reguler Class Availability'!$I:$I,AO114)&amp;""="","coach: –",PROPER(INDEX('Reguler Class Availability'!$I:$I,AO114)&amp;""))&amp;IF(INDEX('Reguler Class Availability'!$J:$J,AO114)&amp;""="","",CHAR(10)&amp;"asst: "&amp;PROPER(INDEX('Reguler Class Availability'!$J:$J,AO114)&amp;""))))</f>
        <v>–</v>
      </c>
      <c r="D114" s="67" t="str">
        <f aca="false">IF(AP114="","",IF(AX114="Tidak dibuka","–",IF(INDEX('Reguler Class Availability'!$B:$B,AP114)&amp;""="","Kosong",PROPER(INDEX('Reguler Class Availability'!$B:$B,AP114)&amp;""))&amp;"  "&amp;IFERROR(--(INDEX('Reguler Class Availability'!$G:$G,AP114)&amp;""),0)&amp;"/"&amp;IFERROR(--(INDEX('Reguler Class Availability'!$F:$F,AP114)&amp;""),0)&amp;IF(IFERROR(--(INDEX('Reguler Class Availability'!$F:$F,AP114)&amp;""),0)&gt;0,"  ("&amp;TEXT(IFERROR(--(INDEX('Reguler Class Availability'!$G:$G,AP114)&amp;""),0)/IFERROR(--(INDEX('Reguler Class Availability'!$F:$F,AP114)&amp;""),0),"0%")&amp;")","")&amp;CHAR(10)&amp;IF(INDEX('Reguler Class Availability'!$I:$I,AP114)&amp;""="","coach: –",PROPER(INDEX('Reguler Class Availability'!$I:$I,AP114)&amp;""))&amp;IF(INDEX('Reguler Class Availability'!$J:$J,AP114)&amp;""="","",CHAR(10)&amp;"asst: "&amp;PROPER(INDEX('Reguler Class Availability'!$J:$J,AP114)&amp;""))))</f>
        <v>–</v>
      </c>
      <c r="E114" s="67" t="str">
        <f aca="false">IF(AQ114="","",IF(AY114="Tidak dibuka","–",IF(INDEX('Reguler Class Availability'!$B:$B,AQ114)&amp;""="","Kosong",PROPER(INDEX('Reguler Class Availability'!$B:$B,AQ114)&amp;""))&amp;"  "&amp;IFERROR(--(INDEX('Reguler Class Availability'!$G:$G,AQ114)&amp;""),0)&amp;"/"&amp;IFERROR(--(INDEX('Reguler Class Availability'!$F:$F,AQ114)&amp;""),0)&amp;IF(IFERROR(--(INDEX('Reguler Class Availability'!$F:$F,AQ114)&amp;""),0)&gt;0,"  ("&amp;TEXT(IFERROR(--(INDEX('Reguler Class Availability'!$G:$G,AQ114)&amp;""),0)/IFERROR(--(INDEX('Reguler Class Availability'!$F:$F,AQ114)&amp;""),0),"0%")&amp;")","")&amp;CHAR(10)&amp;IF(INDEX('Reguler Class Availability'!$I:$I,AQ114)&amp;""="","coach: –",PROPER(INDEX('Reguler Class Availability'!$I:$I,AQ114)&amp;""))&amp;IF(INDEX('Reguler Class Availability'!$J:$J,AQ114)&amp;""="","",CHAR(10)&amp;"asst: "&amp;PROPER(INDEX('Reguler Class Availability'!$J:$J,AQ114)&amp;""))))</f>
        <v>–</v>
      </c>
      <c r="F114" s="67" t="str">
        <f aca="false">IF(AR114="","",IF(AZ114="Tidak dibuka","–",IF(INDEX('Reguler Class Availability'!$B:$B,AR114)&amp;""="","Kosong",PROPER(INDEX('Reguler Class Availability'!$B:$B,AR114)&amp;""))&amp;"  "&amp;IFERROR(--(INDEX('Reguler Class Availability'!$G:$G,AR114)&amp;""),0)&amp;"/"&amp;IFERROR(--(INDEX('Reguler Class Availability'!$F:$F,AR114)&amp;""),0)&amp;IF(IFERROR(--(INDEX('Reguler Class Availability'!$F:$F,AR114)&amp;""),0)&gt;0,"  ("&amp;TEXT(IFERROR(--(INDEX('Reguler Class Availability'!$G:$G,AR114)&amp;""),0)/IFERROR(--(INDEX('Reguler Class Availability'!$F:$F,AR114)&amp;""),0),"0%")&amp;")","")&amp;CHAR(10)&amp;IF(INDEX('Reguler Class Availability'!$I:$I,AR114)&amp;""="","coach: –",PROPER(INDEX('Reguler Class Availability'!$I:$I,AR114)&amp;""))&amp;IF(INDEX('Reguler Class Availability'!$J:$J,AR114)&amp;""="","",CHAR(10)&amp;"asst: "&amp;PROPER(INDEX('Reguler Class Availability'!$J:$J,AR114)&amp;""))))</f>
        <v>–</v>
      </c>
      <c r="G114" s="67" t="str">
        <f aca="false">IF(AS114="","",IF(BA114="Tidak dibuka","–",IF(INDEX('Reguler Class Availability'!$B:$B,AS114)&amp;""="","Kosong",PROPER(INDEX('Reguler Class Availability'!$B:$B,AS114)&amp;""))&amp;"  "&amp;IFERROR(--(INDEX('Reguler Class Availability'!$G:$G,AS114)&amp;""),0)&amp;"/"&amp;IFERROR(--(INDEX('Reguler Class Availability'!$F:$F,AS114)&amp;""),0)&amp;IF(IFERROR(--(INDEX('Reguler Class Availability'!$F:$F,AS114)&amp;""),0)&gt;0,"  ("&amp;TEXT(IFERROR(--(INDEX('Reguler Class Availability'!$G:$G,AS114)&amp;""),0)/IFERROR(--(INDEX('Reguler Class Availability'!$F:$F,AS114)&amp;""),0),"0%")&amp;")","")&amp;CHAR(10)&amp;IF(INDEX('Reguler Class Availability'!$I:$I,AS114)&amp;""="","coach: –",PROPER(INDEX('Reguler Class Availability'!$I:$I,AS114)&amp;""))&amp;IF(INDEX('Reguler Class Availability'!$J:$J,AS114)&amp;""="","",CHAR(10)&amp;"asst: "&amp;PROPER(INDEX('Reguler Class Availability'!$J:$J,AS114)&amp;""))))</f>
        <v>–</v>
      </c>
      <c r="H114" s="67" t="str">
        <f aca="false">IF(AT114="","",IF(BB114="Tidak dibuka","–",IF(INDEX('Reguler Class Availability'!$B:$B,AT114)&amp;""="","Kosong",PROPER(INDEX('Reguler Class Availability'!$B:$B,AT114)&amp;""))&amp;"  "&amp;IFERROR(--(INDEX('Reguler Class Availability'!$G:$G,AT114)&amp;""),0)&amp;"/"&amp;IFERROR(--(INDEX('Reguler Class Availability'!$F:$F,AT114)&amp;""),0)&amp;IF(IFERROR(--(INDEX('Reguler Class Availability'!$F:$F,AT114)&amp;""),0)&gt;0,"  ("&amp;TEXT(IFERROR(--(INDEX('Reguler Class Availability'!$G:$G,AT114)&amp;""),0)/IFERROR(--(INDEX('Reguler Class Availability'!$F:$F,AT114)&amp;""),0),"0%")&amp;")","")&amp;CHAR(10)&amp;IF(INDEX('Reguler Class Availability'!$I:$I,AT114)&amp;""="","coach: –",PROPER(INDEX('Reguler Class Availability'!$I:$I,AT114)&amp;""))&amp;IF(INDEX('Reguler Class Availability'!$J:$J,AT114)&amp;""="","",CHAR(10)&amp;"asst: "&amp;PROPER(INDEX('Reguler Class Availability'!$J:$J,AT114)&amp;""))))</f>
        <v>–</v>
      </c>
      <c r="AN114" s="30" t="n">
        <f aca="false">IF($A114="","",IFERROR(MATCH($B$4&amp;"|- Lane 6 - "&amp;B$105&amp;"|"&amp;$A114,'Reguler Class Availability'!$L:$L,0),""))</f>
        <v>2852</v>
      </c>
      <c r="AO114" s="30" t="n">
        <f aca="false">IF($A114="","",IFERROR(MATCH($B$4&amp;"|- Lane 6 - "&amp;C$105&amp;"|"&amp;$A114,'Reguler Class Availability'!$L:$L,0),""))</f>
        <v>2864</v>
      </c>
      <c r="AP114" s="30" t="n">
        <f aca="false">IF($A114="","",IFERROR(MATCH($B$4&amp;"|- Lane 6 - "&amp;D$105&amp;"|"&amp;$A114,'Reguler Class Availability'!$L:$L,0),""))</f>
        <v>2876</v>
      </c>
      <c r="AQ114" s="30" t="n">
        <f aca="false">IF($A114="","",IFERROR(MATCH($B$4&amp;"|- Lane 6 - "&amp;E$105&amp;"|"&amp;$A114,'Reguler Class Availability'!$L:$L,0),""))</f>
        <v>2888</v>
      </c>
      <c r="AR114" s="30" t="n">
        <f aca="false">IF($A114="","",IFERROR(MATCH($B$4&amp;"|- Lane 6 - "&amp;F$105&amp;"|"&amp;$A114,'Reguler Class Availability'!$L:$L,0),""))</f>
        <v>2900</v>
      </c>
      <c r="AS114" s="30" t="n">
        <f aca="false">IF($A114="","",IFERROR(MATCH($B$4&amp;"|- Lane 6 - "&amp;G$105&amp;"|"&amp;$A114,'Reguler Class Availability'!$L:$L,0),""))</f>
        <v>2912</v>
      </c>
      <c r="AT114" s="30" t="n">
        <f aca="false">IF($A114="","",IFERROR(MATCH($B$4&amp;"|- Lane 6 - "&amp;H$105&amp;"|"&amp;$A114,'Reguler Class Availability'!$L:$L,0),""))</f>
        <v>2924</v>
      </c>
      <c r="AV114" s="0" t="str">
        <f aca="false">IF(AN114="","",IF(AND(IFERROR(--(INDEX('Reguler Class Availability'!$F:$F,AN114)&amp;""),0)=0,IFERROR(--(INDEX('Reguler Class Availability'!$G:$G,AN114)&amp;""),0)=0),IF(OR(INDEX('Reguler Class Availability'!$B:$B,AN114)&amp;""&lt;&gt;"",INDEX('Reguler Class Availability'!$I:$I,AN114)&amp;""&lt;&gt;""),"Tutup","Tidak dibuka"),IF(IFERROR(--(INDEX('Reguler Class Availability'!$G:$G,AN114)&amp;""),0)&gt;IFERROR(--(INDEX('Reguler Class Availability'!$F:$F,AN114)&amp;""),0),"Lebih",IF(IFERROR(--(INDEX('Reguler Class Availability'!$G:$G,AN114)&amp;""),0)=IFERROR(--(INDEX('Reguler Class Availability'!$F:$F,AN114)&amp;""),0),"Penuh",IF(IFERROR(--(INDEX('Reguler Class Availability'!$G:$G,AN114)&amp;""),0)=0,IF(INDEX('Reguler Class Availability'!$B:$B,AN114)&amp;""="","Kosong","Belum terisi"),IF(IFERROR(--(INDEX('Reguler Class Availability'!$G:$G,AN114)&amp;""),0)/IFERROR(--(INDEX('Reguler Class Availability'!$F:$F,AN114)&amp;""),0)&gt;=0.6,"Tinggi","Sebagian"))))))</f>
        <v>Tidak dibuka</v>
      </c>
      <c r="AW114" s="0" t="str">
        <f aca="false">IF(AO114="","",IF(AND(IFERROR(--(INDEX('Reguler Class Availability'!$F:$F,AO114)&amp;""),0)=0,IFERROR(--(INDEX('Reguler Class Availability'!$G:$G,AO114)&amp;""),0)=0),IF(OR(INDEX('Reguler Class Availability'!$B:$B,AO114)&amp;""&lt;&gt;"",INDEX('Reguler Class Availability'!$I:$I,AO114)&amp;""&lt;&gt;""),"Tutup","Tidak dibuka"),IF(IFERROR(--(INDEX('Reguler Class Availability'!$G:$G,AO114)&amp;""),0)&gt;IFERROR(--(INDEX('Reguler Class Availability'!$F:$F,AO114)&amp;""),0),"Lebih",IF(IFERROR(--(INDEX('Reguler Class Availability'!$G:$G,AO114)&amp;""),0)=IFERROR(--(INDEX('Reguler Class Availability'!$F:$F,AO114)&amp;""),0),"Penuh",IF(IFERROR(--(INDEX('Reguler Class Availability'!$G:$G,AO114)&amp;""),0)=0,IF(INDEX('Reguler Class Availability'!$B:$B,AO114)&amp;""="","Kosong","Belum terisi"),IF(IFERROR(--(INDEX('Reguler Class Availability'!$G:$G,AO114)&amp;""),0)/IFERROR(--(INDEX('Reguler Class Availability'!$F:$F,AO114)&amp;""),0)&gt;=0.6,"Tinggi","Sebagian"))))))</f>
        <v>Tidak dibuka</v>
      </c>
      <c r="AX114" s="0" t="str">
        <f aca="false">IF(AP114="","",IF(AND(IFERROR(--(INDEX('Reguler Class Availability'!$F:$F,AP114)&amp;""),0)=0,IFERROR(--(INDEX('Reguler Class Availability'!$G:$G,AP114)&amp;""),0)=0),IF(OR(INDEX('Reguler Class Availability'!$B:$B,AP114)&amp;""&lt;&gt;"",INDEX('Reguler Class Availability'!$I:$I,AP114)&amp;""&lt;&gt;""),"Tutup","Tidak dibuka"),IF(IFERROR(--(INDEX('Reguler Class Availability'!$G:$G,AP114)&amp;""),0)&gt;IFERROR(--(INDEX('Reguler Class Availability'!$F:$F,AP114)&amp;""),0),"Lebih",IF(IFERROR(--(INDEX('Reguler Class Availability'!$G:$G,AP114)&amp;""),0)=IFERROR(--(INDEX('Reguler Class Availability'!$F:$F,AP114)&amp;""),0),"Penuh",IF(IFERROR(--(INDEX('Reguler Class Availability'!$G:$G,AP114)&amp;""),0)=0,IF(INDEX('Reguler Class Availability'!$B:$B,AP114)&amp;""="","Kosong","Belum terisi"),IF(IFERROR(--(INDEX('Reguler Class Availability'!$G:$G,AP114)&amp;""),0)/IFERROR(--(INDEX('Reguler Class Availability'!$F:$F,AP114)&amp;""),0)&gt;=0.6,"Tinggi","Sebagian"))))))</f>
        <v>Tidak dibuka</v>
      </c>
      <c r="AY114" s="0" t="str">
        <f aca="false">IF(AQ114="","",IF(AND(IFERROR(--(INDEX('Reguler Class Availability'!$F:$F,AQ114)&amp;""),0)=0,IFERROR(--(INDEX('Reguler Class Availability'!$G:$G,AQ114)&amp;""),0)=0),IF(OR(INDEX('Reguler Class Availability'!$B:$B,AQ114)&amp;""&lt;&gt;"",INDEX('Reguler Class Availability'!$I:$I,AQ114)&amp;""&lt;&gt;""),"Tutup","Tidak dibuka"),IF(IFERROR(--(INDEX('Reguler Class Availability'!$G:$G,AQ114)&amp;""),0)&gt;IFERROR(--(INDEX('Reguler Class Availability'!$F:$F,AQ114)&amp;""),0),"Lebih",IF(IFERROR(--(INDEX('Reguler Class Availability'!$G:$G,AQ114)&amp;""),0)=IFERROR(--(INDEX('Reguler Class Availability'!$F:$F,AQ114)&amp;""),0),"Penuh",IF(IFERROR(--(INDEX('Reguler Class Availability'!$G:$G,AQ114)&amp;""),0)=0,IF(INDEX('Reguler Class Availability'!$B:$B,AQ114)&amp;""="","Kosong","Belum terisi"),IF(IFERROR(--(INDEX('Reguler Class Availability'!$G:$G,AQ114)&amp;""),0)/IFERROR(--(INDEX('Reguler Class Availability'!$F:$F,AQ114)&amp;""),0)&gt;=0.6,"Tinggi","Sebagian"))))))</f>
        <v>Tidak dibuka</v>
      </c>
      <c r="AZ114" s="0" t="str">
        <f aca="false">IF(AR114="","",IF(AND(IFERROR(--(INDEX('Reguler Class Availability'!$F:$F,AR114)&amp;""),0)=0,IFERROR(--(INDEX('Reguler Class Availability'!$G:$G,AR114)&amp;""),0)=0),IF(OR(INDEX('Reguler Class Availability'!$B:$B,AR114)&amp;""&lt;&gt;"",INDEX('Reguler Class Availability'!$I:$I,AR114)&amp;""&lt;&gt;""),"Tutup","Tidak dibuka"),IF(IFERROR(--(INDEX('Reguler Class Availability'!$G:$G,AR114)&amp;""),0)&gt;IFERROR(--(INDEX('Reguler Class Availability'!$F:$F,AR114)&amp;""),0),"Lebih",IF(IFERROR(--(INDEX('Reguler Class Availability'!$G:$G,AR114)&amp;""),0)=IFERROR(--(INDEX('Reguler Class Availability'!$F:$F,AR114)&amp;""),0),"Penuh",IF(IFERROR(--(INDEX('Reguler Class Availability'!$G:$G,AR114)&amp;""),0)=0,IF(INDEX('Reguler Class Availability'!$B:$B,AR114)&amp;""="","Kosong","Belum terisi"),IF(IFERROR(--(INDEX('Reguler Class Availability'!$G:$G,AR114)&amp;""),0)/IFERROR(--(INDEX('Reguler Class Availability'!$F:$F,AR114)&amp;""),0)&gt;=0.6,"Tinggi","Sebagian"))))))</f>
        <v>Tidak dibuka</v>
      </c>
      <c r="BA114" s="0" t="str">
        <f aca="false">IF(AS114="","",IF(AND(IFERROR(--(INDEX('Reguler Class Availability'!$F:$F,AS114)&amp;""),0)=0,IFERROR(--(INDEX('Reguler Class Availability'!$G:$G,AS114)&amp;""),0)=0),IF(OR(INDEX('Reguler Class Availability'!$B:$B,AS114)&amp;""&lt;&gt;"",INDEX('Reguler Class Availability'!$I:$I,AS114)&amp;""&lt;&gt;""),"Tutup","Tidak dibuka"),IF(IFERROR(--(INDEX('Reguler Class Availability'!$G:$G,AS114)&amp;""),0)&gt;IFERROR(--(INDEX('Reguler Class Availability'!$F:$F,AS114)&amp;""),0),"Lebih",IF(IFERROR(--(INDEX('Reguler Class Availability'!$G:$G,AS114)&amp;""),0)=IFERROR(--(INDEX('Reguler Class Availability'!$F:$F,AS114)&amp;""),0),"Penuh",IF(IFERROR(--(INDEX('Reguler Class Availability'!$G:$G,AS114)&amp;""),0)=0,IF(INDEX('Reguler Class Availability'!$B:$B,AS114)&amp;""="","Kosong","Belum terisi"),IF(IFERROR(--(INDEX('Reguler Class Availability'!$G:$G,AS114)&amp;""),0)/IFERROR(--(INDEX('Reguler Class Availability'!$F:$F,AS114)&amp;""),0)&gt;=0.6,"Tinggi","Sebagian"))))))</f>
        <v>Tidak dibuka</v>
      </c>
      <c r="BB114" s="0" t="str">
        <f aca="false">IF(AT114="","",IF(AND(IFERROR(--(INDEX('Reguler Class Availability'!$F:$F,AT114)&amp;""),0)=0,IFERROR(--(INDEX('Reguler Class Availability'!$G:$G,AT114)&amp;""),0)=0),IF(OR(INDEX('Reguler Class Availability'!$B:$B,AT114)&amp;""&lt;&gt;"",INDEX('Reguler Class Availability'!$I:$I,AT114)&amp;""&lt;&gt;""),"Tutup","Tidak dibuka"),IF(IFERROR(--(INDEX('Reguler Class Availability'!$G:$G,AT114)&amp;""),0)&gt;IFERROR(--(INDEX('Reguler Class Availability'!$F:$F,AT114)&amp;""),0),"Lebih",IF(IFERROR(--(INDEX('Reguler Class Availability'!$G:$G,AT114)&amp;""),0)=IFERROR(--(INDEX('Reguler Class Availability'!$F:$F,AT114)&amp;""),0),"Penuh",IF(IFERROR(--(INDEX('Reguler Class Availability'!$G:$G,AT114)&amp;""),0)=0,IF(INDEX('Reguler Class Availability'!$B:$B,AT114)&amp;""="","Kosong","Belum terisi"),IF(IFERROR(--(INDEX('Reguler Class Availability'!$G:$G,AT114)&amp;""),0)/IFERROR(--(INDEX('Reguler Class Availability'!$F:$F,AT114)&amp;""),0)&gt;=0.6,"Tinggi","Sebagian"))))))</f>
        <v>Tidak dibuka</v>
      </c>
      <c r="BD114" s="30" t="s">
        <v>164</v>
      </c>
      <c r="BE114" s="30" t="n">
        <f aca="false">IF(COUNTIFS('Reguler Class Availability'!$L:$L,$B$4&amp;"|- Lane 2 - *|"&amp;BD114)&gt;0,1,0)</f>
        <v>0</v>
      </c>
      <c r="BF114" s="30" t="n">
        <f aca="false">BE114+BF113</f>
        <v>12</v>
      </c>
    </row>
    <row r="115" customFormat="false" ht="39.75" hidden="false" customHeight="true" outlineLevel="0" collapsed="false">
      <c r="A115" s="66" t="str">
        <f aca="false">IFERROR(INDEX($BD$302:$BD$361,MATCH(10,$BF$302:$BF$361,0)),"")</f>
        <v>15:30</v>
      </c>
      <c r="B115" s="67" t="str">
        <f aca="false">IF(AN115="","",IF(AV115="Tidak dibuka","–",IF(INDEX('Reguler Class Availability'!$B:$B,AN115)&amp;""="","Kosong",PROPER(INDEX('Reguler Class Availability'!$B:$B,AN115)&amp;""))&amp;"  "&amp;IFERROR(--(INDEX('Reguler Class Availability'!$G:$G,AN115)&amp;""),0)&amp;"/"&amp;IFERROR(--(INDEX('Reguler Class Availability'!$F:$F,AN115)&amp;""),0)&amp;IF(IFERROR(--(INDEX('Reguler Class Availability'!$F:$F,AN115)&amp;""),0)&gt;0,"  ("&amp;TEXT(IFERROR(--(INDEX('Reguler Class Availability'!$G:$G,AN115)&amp;""),0)/IFERROR(--(INDEX('Reguler Class Availability'!$F:$F,AN115)&amp;""),0),"0%")&amp;")","")&amp;CHAR(10)&amp;IF(INDEX('Reguler Class Availability'!$I:$I,AN115)&amp;""="","coach: –",PROPER(INDEX('Reguler Class Availability'!$I:$I,AN115)&amp;""))&amp;IF(INDEX('Reguler Class Availability'!$J:$J,AN115)&amp;""="","",CHAR(10)&amp;"asst: "&amp;PROPER(INDEX('Reguler Class Availability'!$J:$J,AN115)&amp;""))))</f>
        <v>–</v>
      </c>
      <c r="C115" s="67" t="str">
        <f aca="false">IF(AO115="","",IF(AW115="Tidak dibuka","–",IF(INDEX('Reguler Class Availability'!$B:$B,AO115)&amp;""="","Kosong",PROPER(INDEX('Reguler Class Availability'!$B:$B,AO115)&amp;""))&amp;"  "&amp;IFERROR(--(INDEX('Reguler Class Availability'!$G:$G,AO115)&amp;""),0)&amp;"/"&amp;IFERROR(--(INDEX('Reguler Class Availability'!$F:$F,AO115)&amp;""),0)&amp;IF(IFERROR(--(INDEX('Reguler Class Availability'!$F:$F,AO115)&amp;""),0)&gt;0,"  ("&amp;TEXT(IFERROR(--(INDEX('Reguler Class Availability'!$G:$G,AO115)&amp;""),0)/IFERROR(--(INDEX('Reguler Class Availability'!$F:$F,AO115)&amp;""),0),"0%")&amp;")","")&amp;CHAR(10)&amp;IF(INDEX('Reguler Class Availability'!$I:$I,AO115)&amp;""="","coach: –",PROPER(INDEX('Reguler Class Availability'!$I:$I,AO115)&amp;""))&amp;IF(INDEX('Reguler Class Availability'!$J:$J,AO115)&amp;""="","",CHAR(10)&amp;"asst: "&amp;PROPER(INDEX('Reguler Class Availability'!$J:$J,AO115)&amp;""))))</f>
        <v>–</v>
      </c>
      <c r="D115" s="67" t="str">
        <f aca="false">IF(AP115="","",IF(AX115="Tidak dibuka","–",IF(INDEX('Reguler Class Availability'!$B:$B,AP115)&amp;""="","Kosong",PROPER(INDEX('Reguler Class Availability'!$B:$B,AP115)&amp;""))&amp;"  "&amp;IFERROR(--(INDEX('Reguler Class Availability'!$G:$G,AP115)&amp;""),0)&amp;"/"&amp;IFERROR(--(INDEX('Reguler Class Availability'!$F:$F,AP115)&amp;""),0)&amp;IF(IFERROR(--(INDEX('Reguler Class Availability'!$F:$F,AP115)&amp;""),0)&gt;0,"  ("&amp;TEXT(IFERROR(--(INDEX('Reguler Class Availability'!$G:$G,AP115)&amp;""),0)/IFERROR(--(INDEX('Reguler Class Availability'!$F:$F,AP115)&amp;""),0),"0%")&amp;")","")&amp;CHAR(10)&amp;IF(INDEX('Reguler Class Availability'!$I:$I,AP115)&amp;""="","coach: –",PROPER(INDEX('Reguler Class Availability'!$I:$I,AP115)&amp;""))&amp;IF(INDEX('Reguler Class Availability'!$J:$J,AP115)&amp;""="","",CHAR(10)&amp;"asst: "&amp;PROPER(INDEX('Reguler Class Availability'!$J:$J,AP115)&amp;""))))</f>
        <v>–</v>
      </c>
      <c r="E115" s="67" t="str">
        <f aca="false">IF(AQ115="","",IF(AY115="Tidak dibuka","–",IF(INDEX('Reguler Class Availability'!$B:$B,AQ115)&amp;""="","Kosong",PROPER(INDEX('Reguler Class Availability'!$B:$B,AQ115)&amp;""))&amp;"  "&amp;IFERROR(--(INDEX('Reguler Class Availability'!$G:$G,AQ115)&amp;""),0)&amp;"/"&amp;IFERROR(--(INDEX('Reguler Class Availability'!$F:$F,AQ115)&amp;""),0)&amp;IF(IFERROR(--(INDEX('Reguler Class Availability'!$F:$F,AQ115)&amp;""),0)&gt;0,"  ("&amp;TEXT(IFERROR(--(INDEX('Reguler Class Availability'!$G:$G,AQ115)&amp;""),0)/IFERROR(--(INDEX('Reguler Class Availability'!$F:$F,AQ115)&amp;""),0),"0%")&amp;")","")&amp;CHAR(10)&amp;IF(INDEX('Reguler Class Availability'!$I:$I,AQ115)&amp;""="","coach: –",PROPER(INDEX('Reguler Class Availability'!$I:$I,AQ115)&amp;""))&amp;IF(INDEX('Reguler Class Availability'!$J:$J,AQ115)&amp;""="","",CHAR(10)&amp;"asst: "&amp;PROPER(INDEX('Reguler Class Availability'!$J:$J,AQ115)&amp;""))))</f>
        <v>–</v>
      </c>
      <c r="F115" s="67" t="str">
        <f aca="false">IF(AR115="","",IF(AZ115="Tidak dibuka","–",IF(INDEX('Reguler Class Availability'!$B:$B,AR115)&amp;""="","Kosong",PROPER(INDEX('Reguler Class Availability'!$B:$B,AR115)&amp;""))&amp;"  "&amp;IFERROR(--(INDEX('Reguler Class Availability'!$G:$G,AR115)&amp;""),0)&amp;"/"&amp;IFERROR(--(INDEX('Reguler Class Availability'!$F:$F,AR115)&amp;""),0)&amp;IF(IFERROR(--(INDEX('Reguler Class Availability'!$F:$F,AR115)&amp;""),0)&gt;0,"  ("&amp;TEXT(IFERROR(--(INDEX('Reguler Class Availability'!$G:$G,AR115)&amp;""),0)/IFERROR(--(INDEX('Reguler Class Availability'!$F:$F,AR115)&amp;""),0),"0%")&amp;")","")&amp;CHAR(10)&amp;IF(INDEX('Reguler Class Availability'!$I:$I,AR115)&amp;""="","coach: –",PROPER(INDEX('Reguler Class Availability'!$I:$I,AR115)&amp;""))&amp;IF(INDEX('Reguler Class Availability'!$J:$J,AR115)&amp;""="","",CHAR(10)&amp;"asst: "&amp;PROPER(INDEX('Reguler Class Availability'!$J:$J,AR115)&amp;""))))</f>
        <v>–</v>
      </c>
      <c r="G115" s="67" t="str">
        <f aca="false">IF(AS115="","",IF(BA115="Tidak dibuka","–",IF(INDEX('Reguler Class Availability'!$B:$B,AS115)&amp;""="","Kosong",PROPER(INDEX('Reguler Class Availability'!$B:$B,AS115)&amp;""))&amp;"  "&amp;IFERROR(--(INDEX('Reguler Class Availability'!$G:$G,AS115)&amp;""),0)&amp;"/"&amp;IFERROR(--(INDEX('Reguler Class Availability'!$F:$F,AS115)&amp;""),0)&amp;IF(IFERROR(--(INDEX('Reguler Class Availability'!$F:$F,AS115)&amp;""),0)&gt;0,"  ("&amp;TEXT(IFERROR(--(INDEX('Reguler Class Availability'!$G:$G,AS115)&amp;""),0)/IFERROR(--(INDEX('Reguler Class Availability'!$F:$F,AS115)&amp;""),0),"0%")&amp;")","")&amp;CHAR(10)&amp;IF(INDEX('Reguler Class Availability'!$I:$I,AS115)&amp;""="","coach: –",PROPER(INDEX('Reguler Class Availability'!$I:$I,AS115)&amp;""))&amp;IF(INDEX('Reguler Class Availability'!$J:$J,AS115)&amp;""="","",CHAR(10)&amp;"asst: "&amp;PROPER(INDEX('Reguler Class Availability'!$J:$J,AS115)&amp;""))))</f>
        <v>–</v>
      </c>
      <c r="H115" s="67" t="str">
        <f aca="false">IF(AT115="","",IF(BB115="Tidak dibuka","–",IF(INDEX('Reguler Class Availability'!$B:$B,AT115)&amp;""="","Kosong",PROPER(INDEX('Reguler Class Availability'!$B:$B,AT115)&amp;""))&amp;"  "&amp;IFERROR(--(INDEX('Reguler Class Availability'!$G:$G,AT115)&amp;""),0)&amp;"/"&amp;IFERROR(--(INDEX('Reguler Class Availability'!$F:$F,AT115)&amp;""),0)&amp;IF(IFERROR(--(INDEX('Reguler Class Availability'!$F:$F,AT115)&amp;""),0)&gt;0,"  ("&amp;TEXT(IFERROR(--(INDEX('Reguler Class Availability'!$G:$G,AT115)&amp;""),0)/IFERROR(--(INDEX('Reguler Class Availability'!$F:$F,AT115)&amp;""),0),"0%")&amp;")","")&amp;CHAR(10)&amp;IF(INDEX('Reguler Class Availability'!$I:$I,AT115)&amp;""="","coach: –",PROPER(INDEX('Reguler Class Availability'!$I:$I,AT115)&amp;""))&amp;IF(INDEX('Reguler Class Availability'!$J:$J,AT115)&amp;""="","",CHAR(10)&amp;"asst: "&amp;PROPER(INDEX('Reguler Class Availability'!$J:$J,AT115)&amp;""))))</f>
        <v>–</v>
      </c>
      <c r="AN115" s="30" t="n">
        <f aca="false">IF($A115="","",IFERROR(MATCH($B$4&amp;"|- Lane 6 - "&amp;B$105&amp;"|"&amp;$A115,'Reguler Class Availability'!$L:$L,0),""))</f>
        <v>2853</v>
      </c>
      <c r="AO115" s="30" t="n">
        <f aca="false">IF($A115="","",IFERROR(MATCH($B$4&amp;"|- Lane 6 - "&amp;C$105&amp;"|"&amp;$A115,'Reguler Class Availability'!$L:$L,0),""))</f>
        <v>2865</v>
      </c>
      <c r="AP115" s="30" t="n">
        <f aca="false">IF($A115="","",IFERROR(MATCH($B$4&amp;"|- Lane 6 - "&amp;D$105&amp;"|"&amp;$A115,'Reguler Class Availability'!$L:$L,0),""))</f>
        <v>2877</v>
      </c>
      <c r="AQ115" s="30" t="n">
        <f aca="false">IF($A115="","",IFERROR(MATCH($B$4&amp;"|- Lane 6 - "&amp;E$105&amp;"|"&amp;$A115,'Reguler Class Availability'!$L:$L,0),""))</f>
        <v>2889</v>
      </c>
      <c r="AR115" s="30" t="n">
        <f aca="false">IF($A115="","",IFERROR(MATCH($B$4&amp;"|- Lane 6 - "&amp;F$105&amp;"|"&amp;$A115,'Reguler Class Availability'!$L:$L,0),""))</f>
        <v>2901</v>
      </c>
      <c r="AS115" s="30" t="n">
        <f aca="false">IF($A115="","",IFERROR(MATCH($B$4&amp;"|- Lane 6 - "&amp;G$105&amp;"|"&amp;$A115,'Reguler Class Availability'!$L:$L,0),""))</f>
        <v>2913</v>
      </c>
      <c r="AT115" s="30" t="n">
        <f aca="false">IF($A115="","",IFERROR(MATCH($B$4&amp;"|- Lane 6 - "&amp;H$105&amp;"|"&amp;$A115,'Reguler Class Availability'!$L:$L,0),""))</f>
        <v>2925</v>
      </c>
      <c r="AV115" s="0" t="str">
        <f aca="false">IF(AN115="","",IF(AND(IFERROR(--(INDEX('Reguler Class Availability'!$F:$F,AN115)&amp;""),0)=0,IFERROR(--(INDEX('Reguler Class Availability'!$G:$G,AN115)&amp;""),0)=0),IF(OR(INDEX('Reguler Class Availability'!$B:$B,AN115)&amp;""&lt;&gt;"",INDEX('Reguler Class Availability'!$I:$I,AN115)&amp;""&lt;&gt;""),"Tutup","Tidak dibuka"),IF(IFERROR(--(INDEX('Reguler Class Availability'!$G:$G,AN115)&amp;""),0)&gt;IFERROR(--(INDEX('Reguler Class Availability'!$F:$F,AN115)&amp;""),0),"Lebih",IF(IFERROR(--(INDEX('Reguler Class Availability'!$G:$G,AN115)&amp;""),0)=IFERROR(--(INDEX('Reguler Class Availability'!$F:$F,AN115)&amp;""),0),"Penuh",IF(IFERROR(--(INDEX('Reguler Class Availability'!$G:$G,AN115)&amp;""),0)=0,IF(INDEX('Reguler Class Availability'!$B:$B,AN115)&amp;""="","Kosong","Belum terisi"),IF(IFERROR(--(INDEX('Reguler Class Availability'!$G:$G,AN115)&amp;""),0)/IFERROR(--(INDEX('Reguler Class Availability'!$F:$F,AN115)&amp;""),0)&gt;=0.6,"Tinggi","Sebagian"))))))</f>
        <v>Tidak dibuka</v>
      </c>
      <c r="AW115" s="0" t="str">
        <f aca="false">IF(AO115="","",IF(AND(IFERROR(--(INDEX('Reguler Class Availability'!$F:$F,AO115)&amp;""),0)=0,IFERROR(--(INDEX('Reguler Class Availability'!$G:$G,AO115)&amp;""),0)=0),IF(OR(INDEX('Reguler Class Availability'!$B:$B,AO115)&amp;""&lt;&gt;"",INDEX('Reguler Class Availability'!$I:$I,AO115)&amp;""&lt;&gt;""),"Tutup","Tidak dibuka"),IF(IFERROR(--(INDEX('Reguler Class Availability'!$G:$G,AO115)&amp;""),0)&gt;IFERROR(--(INDEX('Reguler Class Availability'!$F:$F,AO115)&amp;""),0),"Lebih",IF(IFERROR(--(INDEX('Reguler Class Availability'!$G:$G,AO115)&amp;""),0)=IFERROR(--(INDEX('Reguler Class Availability'!$F:$F,AO115)&amp;""),0),"Penuh",IF(IFERROR(--(INDEX('Reguler Class Availability'!$G:$G,AO115)&amp;""),0)=0,IF(INDEX('Reguler Class Availability'!$B:$B,AO115)&amp;""="","Kosong","Belum terisi"),IF(IFERROR(--(INDEX('Reguler Class Availability'!$G:$G,AO115)&amp;""),0)/IFERROR(--(INDEX('Reguler Class Availability'!$F:$F,AO115)&amp;""),0)&gt;=0.6,"Tinggi","Sebagian"))))))</f>
        <v>Tidak dibuka</v>
      </c>
      <c r="AX115" s="0" t="str">
        <f aca="false">IF(AP115="","",IF(AND(IFERROR(--(INDEX('Reguler Class Availability'!$F:$F,AP115)&amp;""),0)=0,IFERROR(--(INDEX('Reguler Class Availability'!$G:$G,AP115)&amp;""),0)=0),IF(OR(INDEX('Reguler Class Availability'!$B:$B,AP115)&amp;""&lt;&gt;"",INDEX('Reguler Class Availability'!$I:$I,AP115)&amp;""&lt;&gt;""),"Tutup","Tidak dibuka"),IF(IFERROR(--(INDEX('Reguler Class Availability'!$G:$G,AP115)&amp;""),0)&gt;IFERROR(--(INDEX('Reguler Class Availability'!$F:$F,AP115)&amp;""),0),"Lebih",IF(IFERROR(--(INDEX('Reguler Class Availability'!$G:$G,AP115)&amp;""),0)=IFERROR(--(INDEX('Reguler Class Availability'!$F:$F,AP115)&amp;""),0),"Penuh",IF(IFERROR(--(INDEX('Reguler Class Availability'!$G:$G,AP115)&amp;""),0)=0,IF(INDEX('Reguler Class Availability'!$B:$B,AP115)&amp;""="","Kosong","Belum terisi"),IF(IFERROR(--(INDEX('Reguler Class Availability'!$G:$G,AP115)&amp;""),0)/IFERROR(--(INDEX('Reguler Class Availability'!$F:$F,AP115)&amp;""),0)&gt;=0.6,"Tinggi","Sebagian"))))))</f>
        <v>Tidak dibuka</v>
      </c>
      <c r="AY115" s="0" t="str">
        <f aca="false">IF(AQ115="","",IF(AND(IFERROR(--(INDEX('Reguler Class Availability'!$F:$F,AQ115)&amp;""),0)=0,IFERROR(--(INDEX('Reguler Class Availability'!$G:$G,AQ115)&amp;""),0)=0),IF(OR(INDEX('Reguler Class Availability'!$B:$B,AQ115)&amp;""&lt;&gt;"",INDEX('Reguler Class Availability'!$I:$I,AQ115)&amp;""&lt;&gt;""),"Tutup","Tidak dibuka"),IF(IFERROR(--(INDEX('Reguler Class Availability'!$G:$G,AQ115)&amp;""),0)&gt;IFERROR(--(INDEX('Reguler Class Availability'!$F:$F,AQ115)&amp;""),0),"Lebih",IF(IFERROR(--(INDEX('Reguler Class Availability'!$G:$G,AQ115)&amp;""),0)=IFERROR(--(INDEX('Reguler Class Availability'!$F:$F,AQ115)&amp;""),0),"Penuh",IF(IFERROR(--(INDEX('Reguler Class Availability'!$G:$G,AQ115)&amp;""),0)=0,IF(INDEX('Reguler Class Availability'!$B:$B,AQ115)&amp;""="","Kosong","Belum terisi"),IF(IFERROR(--(INDEX('Reguler Class Availability'!$G:$G,AQ115)&amp;""),0)/IFERROR(--(INDEX('Reguler Class Availability'!$F:$F,AQ115)&amp;""),0)&gt;=0.6,"Tinggi","Sebagian"))))))</f>
        <v>Tidak dibuka</v>
      </c>
      <c r="AZ115" s="0" t="str">
        <f aca="false">IF(AR115="","",IF(AND(IFERROR(--(INDEX('Reguler Class Availability'!$F:$F,AR115)&amp;""),0)=0,IFERROR(--(INDEX('Reguler Class Availability'!$G:$G,AR115)&amp;""),0)=0),IF(OR(INDEX('Reguler Class Availability'!$B:$B,AR115)&amp;""&lt;&gt;"",INDEX('Reguler Class Availability'!$I:$I,AR115)&amp;""&lt;&gt;""),"Tutup","Tidak dibuka"),IF(IFERROR(--(INDEX('Reguler Class Availability'!$G:$G,AR115)&amp;""),0)&gt;IFERROR(--(INDEX('Reguler Class Availability'!$F:$F,AR115)&amp;""),0),"Lebih",IF(IFERROR(--(INDEX('Reguler Class Availability'!$G:$G,AR115)&amp;""),0)=IFERROR(--(INDEX('Reguler Class Availability'!$F:$F,AR115)&amp;""),0),"Penuh",IF(IFERROR(--(INDEX('Reguler Class Availability'!$G:$G,AR115)&amp;""),0)=0,IF(INDEX('Reguler Class Availability'!$B:$B,AR115)&amp;""="","Kosong","Belum terisi"),IF(IFERROR(--(INDEX('Reguler Class Availability'!$G:$G,AR115)&amp;""),0)/IFERROR(--(INDEX('Reguler Class Availability'!$F:$F,AR115)&amp;""),0)&gt;=0.6,"Tinggi","Sebagian"))))))</f>
        <v>Tidak dibuka</v>
      </c>
      <c r="BA115" s="0" t="str">
        <f aca="false">IF(AS115="","",IF(AND(IFERROR(--(INDEX('Reguler Class Availability'!$F:$F,AS115)&amp;""),0)=0,IFERROR(--(INDEX('Reguler Class Availability'!$G:$G,AS115)&amp;""),0)=0),IF(OR(INDEX('Reguler Class Availability'!$B:$B,AS115)&amp;""&lt;&gt;"",INDEX('Reguler Class Availability'!$I:$I,AS115)&amp;""&lt;&gt;""),"Tutup","Tidak dibuka"),IF(IFERROR(--(INDEX('Reguler Class Availability'!$G:$G,AS115)&amp;""),0)&gt;IFERROR(--(INDEX('Reguler Class Availability'!$F:$F,AS115)&amp;""),0),"Lebih",IF(IFERROR(--(INDEX('Reguler Class Availability'!$G:$G,AS115)&amp;""),0)=IFERROR(--(INDEX('Reguler Class Availability'!$F:$F,AS115)&amp;""),0),"Penuh",IF(IFERROR(--(INDEX('Reguler Class Availability'!$G:$G,AS115)&amp;""),0)=0,IF(INDEX('Reguler Class Availability'!$B:$B,AS115)&amp;""="","Kosong","Belum terisi"),IF(IFERROR(--(INDEX('Reguler Class Availability'!$G:$G,AS115)&amp;""),0)/IFERROR(--(INDEX('Reguler Class Availability'!$F:$F,AS115)&amp;""),0)&gt;=0.6,"Tinggi","Sebagian"))))))</f>
        <v>Tidak dibuka</v>
      </c>
      <c r="BB115" s="0" t="str">
        <f aca="false">IF(AT115="","",IF(AND(IFERROR(--(INDEX('Reguler Class Availability'!$F:$F,AT115)&amp;""),0)=0,IFERROR(--(INDEX('Reguler Class Availability'!$G:$G,AT115)&amp;""),0)=0),IF(OR(INDEX('Reguler Class Availability'!$B:$B,AT115)&amp;""&lt;&gt;"",INDEX('Reguler Class Availability'!$I:$I,AT115)&amp;""&lt;&gt;""),"Tutup","Tidak dibuka"),IF(IFERROR(--(INDEX('Reguler Class Availability'!$G:$G,AT115)&amp;""),0)&gt;IFERROR(--(INDEX('Reguler Class Availability'!$F:$F,AT115)&amp;""),0),"Lebih",IF(IFERROR(--(INDEX('Reguler Class Availability'!$G:$G,AT115)&amp;""),0)=IFERROR(--(INDEX('Reguler Class Availability'!$F:$F,AT115)&amp;""),0),"Penuh",IF(IFERROR(--(INDEX('Reguler Class Availability'!$G:$G,AT115)&amp;""),0)=0,IF(INDEX('Reguler Class Availability'!$B:$B,AT115)&amp;""="","Kosong","Belum terisi"),IF(IFERROR(--(INDEX('Reguler Class Availability'!$G:$G,AT115)&amp;""),0)/IFERROR(--(INDEX('Reguler Class Availability'!$F:$F,AT115)&amp;""),0)&gt;=0.6,"Tinggi","Sebagian"))))))</f>
        <v>Tidak dibuka</v>
      </c>
      <c r="BD115" s="30" t="s">
        <v>165</v>
      </c>
      <c r="BE115" s="30" t="n">
        <f aca="false">IF(COUNTIFS('Reguler Class Availability'!$L:$L,$B$4&amp;"|- Lane 2 - *|"&amp;BD115)&gt;0,1,0)</f>
        <v>0</v>
      </c>
      <c r="BF115" s="30" t="n">
        <f aca="false">BE115+BF114</f>
        <v>12</v>
      </c>
    </row>
    <row r="116" customFormat="false" ht="39.75" hidden="false" customHeight="true" outlineLevel="0" collapsed="false">
      <c r="A116" s="66" t="str">
        <f aca="false">IFERROR(INDEX($BD$302:$BD$361,MATCH(11,$BF$302:$BF$361,0)),"")</f>
        <v>16:15</v>
      </c>
      <c r="B116" s="67" t="str">
        <f aca="false">IF(AN116="","",IF(AV116="Tidak dibuka","–",IF(INDEX('Reguler Class Availability'!$B:$B,AN116)&amp;""="","Kosong",PROPER(INDEX('Reguler Class Availability'!$B:$B,AN116)&amp;""))&amp;"  "&amp;IFERROR(--(INDEX('Reguler Class Availability'!$G:$G,AN116)&amp;""),0)&amp;"/"&amp;IFERROR(--(INDEX('Reguler Class Availability'!$F:$F,AN116)&amp;""),0)&amp;IF(IFERROR(--(INDEX('Reguler Class Availability'!$F:$F,AN116)&amp;""),0)&gt;0,"  ("&amp;TEXT(IFERROR(--(INDEX('Reguler Class Availability'!$G:$G,AN116)&amp;""),0)/IFERROR(--(INDEX('Reguler Class Availability'!$F:$F,AN116)&amp;""),0),"0%")&amp;")","")&amp;CHAR(10)&amp;IF(INDEX('Reguler Class Availability'!$I:$I,AN116)&amp;""="","coach: –",PROPER(INDEX('Reguler Class Availability'!$I:$I,AN116)&amp;""))&amp;IF(INDEX('Reguler Class Availability'!$J:$J,AN116)&amp;""="","",CHAR(10)&amp;"asst: "&amp;PROPER(INDEX('Reguler Class Availability'!$J:$J,AN116)&amp;""))))</f>
        <v>–</v>
      </c>
      <c r="C116" s="67" t="str">
        <f aca="false">IF(AO116="","",IF(AW116="Tidak dibuka","–",IF(INDEX('Reguler Class Availability'!$B:$B,AO116)&amp;""="","Kosong",PROPER(INDEX('Reguler Class Availability'!$B:$B,AO116)&amp;""))&amp;"  "&amp;IFERROR(--(INDEX('Reguler Class Availability'!$G:$G,AO116)&amp;""),0)&amp;"/"&amp;IFERROR(--(INDEX('Reguler Class Availability'!$F:$F,AO116)&amp;""),0)&amp;IF(IFERROR(--(INDEX('Reguler Class Availability'!$F:$F,AO116)&amp;""),0)&gt;0,"  ("&amp;TEXT(IFERROR(--(INDEX('Reguler Class Availability'!$G:$G,AO116)&amp;""),0)/IFERROR(--(INDEX('Reguler Class Availability'!$F:$F,AO116)&amp;""),0),"0%")&amp;")","")&amp;CHAR(10)&amp;IF(INDEX('Reguler Class Availability'!$I:$I,AO116)&amp;""="","coach: –",PROPER(INDEX('Reguler Class Availability'!$I:$I,AO116)&amp;""))&amp;IF(INDEX('Reguler Class Availability'!$J:$J,AO116)&amp;""="","",CHAR(10)&amp;"asst: "&amp;PROPER(INDEX('Reguler Class Availability'!$J:$J,AO116)&amp;""))))</f>
        <v>–</v>
      </c>
      <c r="D116" s="67" t="str">
        <f aca="false">IF(AP116="","",IF(AX116="Tidak dibuka","–",IF(INDEX('Reguler Class Availability'!$B:$B,AP116)&amp;""="","Kosong",PROPER(INDEX('Reguler Class Availability'!$B:$B,AP116)&amp;""))&amp;"  "&amp;IFERROR(--(INDEX('Reguler Class Availability'!$G:$G,AP116)&amp;""),0)&amp;"/"&amp;IFERROR(--(INDEX('Reguler Class Availability'!$F:$F,AP116)&amp;""),0)&amp;IF(IFERROR(--(INDEX('Reguler Class Availability'!$F:$F,AP116)&amp;""),0)&gt;0,"  ("&amp;TEXT(IFERROR(--(INDEX('Reguler Class Availability'!$G:$G,AP116)&amp;""),0)/IFERROR(--(INDEX('Reguler Class Availability'!$F:$F,AP116)&amp;""),0),"0%")&amp;")","")&amp;CHAR(10)&amp;IF(INDEX('Reguler Class Availability'!$I:$I,AP116)&amp;""="","coach: –",PROPER(INDEX('Reguler Class Availability'!$I:$I,AP116)&amp;""))&amp;IF(INDEX('Reguler Class Availability'!$J:$J,AP116)&amp;""="","",CHAR(10)&amp;"asst: "&amp;PROPER(INDEX('Reguler Class Availability'!$J:$J,AP116)&amp;""))))</f>
        <v>–</v>
      </c>
      <c r="E116" s="67" t="str">
        <f aca="false">IF(AQ116="","",IF(AY116="Tidak dibuka","–",IF(INDEX('Reguler Class Availability'!$B:$B,AQ116)&amp;""="","Kosong",PROPER(INDEX('Reguler Class Availability'!$B:$B,AQ116)&amp;""))&amp;"  "&amp;IFERROR(--(INDEX('Reguler Class Availability'!$G:$G,AQ116)&amp;""),0)&amp;"/"&amp;IFERROR(--(INDEX('Reguler Class Availability'!$F:$F,AQ116)&amp;""),0)&amp;IF(IFERROR(--(INDEX('Reguler Class Availability'!$F:$F,AQ116)&amp;""),0)&gt;0,"  ("&amp;TEXT(IFERROR(--(INDEX('Reguler Class Availability'!$G:$G,AQ116)&amp;""),0)/IFERROR(--(INDEX('Reguler Class Availability'!$F:$F,AQ116)&amp;""),0),"0%")&amp;")","")&amp;CHAR(10)&amp;IF(INDEX('Reguler Class Availability'!$I:$I,AQ116)&amp;""="","coach: –",PROPER(INDEX('Reguler Class Availability'!$I:$I,AQ116)&amp;""))&amp;IF(INDEX('Reguler Class Availability'!$J:$J,AQ116)&amp;""="","",CHAR(10)&amp;"asst: "&amp;PROPER(INDEX('Reguler Class Availability'!$J:$J,AQ116)&amp;""))))</f>
        <v>–</v>
      </c>
      <c r="F116" s="67" t="str">
        <f aca="false">IF(AR116="","",IF(AZ116="Tidak dibuka","–",IF(INDEX('Reguler Class Availability'!$B:$B,AR116)&amp;""="","Kosong",PROPER(INDEX('Reguler Class Availability'!$B:$B,AR116)&amp;""))&amp;"  "&amp;IFERROR(--(INDEX('Reguler Class Availability'!$G:$G,AR116)&amp;""),0)&amp;"/"&amp;IFERROR(--(INDEX('Reguler Class Availability'!$F:$F,AR116)&amp;""),0)&amp;IF(IFERROR(--(INDEX('Reguler Class Availability'!$F:$F,AR116)&amp;""),0)&gt;0,"  ("&amp;TEXT(IFERROR(--(INDEX('Reguler Class Availability'!$G:$G,AR116)&amp;""),0)/IFERROR(--(INDEX('Reguler Class Availability'!$F:$F,AR116)&amp;""),0),"0%")&amp;")","")&amp;CHAR(10)&amp;IF(INDEX('Reguler Class Availability'!$I:$I,AR116)&amp;""="","coach: –",PROPER(INDEX('Reguler Class Availability'!$I:$I,AR116)&amp;""))&amp;IF(INDEX('Reguler Class Availability'!$J:$J,AR116)&amp;""="","",CHAR(10)&amp;"asst: "&amp;PROPER(INDEX('Reguler Class Availability'!$J:$J,AR116)&amp;""))))</f>
        <v>–</v>
      </c>
      <c r="G116" s="67" t="str">
        <f aca="false">IF(AS116="","",IF(BA116="Tidak dibuka","–",IF(INDEX('Reguler Class Availability'!$B:$B,AS116)&amp;""="","Kosong",PROPER(INDEX('Reguler Class Availability'!$B:$B,AS116)&amp;""))&amp;"  "&amp;IFERROR(--(INDEX('Reguler Class Availability'!$G:$G,AS116)&amp;""),0)&amp;"/"&amp;IFERROR(--(INDEX('Reguler Class Availability'!$F:$F,AS116)&amp;""),0)&amp;IF(IFERROR(--(INDEX('Reguler Class Availability'!$F:$F,AS116)&amp;""),0)&gt;0,"  ("&amp;TEXT(IFERROR(--(INDEX('Reguler Class Availability'!$G:$G,AS116)&amp;""),0)/IFERROR(--(INDEX('Reguler Class Availability'!$F:$F,AS116)&amp;""),0),"0%")&amp;")","")&amp;CHAR(10)&amp;IF(INDEX('Reguler Class Availability'!$I:$I,AS116)&amp;""="","coach: –",PROPER(INDEX('Reguler Class Availability'!$I:$I,AS116)&amp;""))&amp;IF(INDEX('Reguler Class Availability'!$J:$J,AS116)&amp;""="","",CHAR(10)&amp;"asst: "&amp;PROPER(INDEX('Reguler Class Availability'!$J:$J,AS116)&amp;""))))</f>
        <v>–</v>
      </c>
      <c r="H116" s="67" t="str">
        <f aca="false">IF(AT116="","",IF(BB116="Tidak dibuka","–",IF(INDEX('Reguler Class Availability'!$B:$B,AT116)&amp;""="","Kosong",PROPER(INDEX('Reguler Class Availability'!$B:$B,AT116)&amp;""))&amp;"  "&amp;IFERROR(--(INDEX('Reguler Class Availability'!$G:$G,AT116)&amp;""),0)&amp;"/"&amp;IFERROR(--(INDEX('Reguler Class Availability'!$F:$F,AT116)&amp;""),0)&amp;IF(IFERROR(--(INDEX('Reguler Class Availability'!$F:$F,AT116)&amp;""),0)&gt;0,"  ("&amp;TEXT(IFERROR(--(INDEX('Reguler Class Availability'!$G:$G,AT116)&amp;""),0)/IFERROR(--(INDEX('Reguler Class Availability'!$F:$F,AT116)&amp;""),0),"0%")&amp;")","")&amp;CHAR(10)&amp;IF(INDEX('Reguler Class Availability'!$I:$I,AT116)&amp;""="","coach: –",PROPER(INDEX('Reguler Class Availability'!$I:$I,AT116)&amp;""))&amp;IF(INDEX('Reguler Class Availability'!$J:$J,AT116)&amp;""="","",CHAR(10)&amp;"asst: "&amp;PROPER(INDEX('Reguler Class Availability'!$J:$J,AT116)&amp;""))))</f>
        <v>Kosong  0/0
Gita</v>
      </c>
      <c r="AN116" s="30" t="n">
        <f aca="false">IF($A116="","",IFERROR(MATCH($B$4&amp;"|- Lane 6 - "&amp;B$105&amp;"|"&amp;$A116,'Reguler Class Availability'!$L:$L,0),""))</f>
        <v>2854</v>
      </c>
      <c r="AO116" s="30" t="n">
        <f aca="false">IF($A116="","",IFERROR(MATCH($B$4&amp;"|- Lane 6 - "&amp;C$105&amp;"|"&amp;$A116,'Reguler Class Availability'!$L:$L,0),""))</f>
        <v>2866</v>
      </c>
      <c r="AP116" s="30" t="n">
        <f aca="false">IF($A116="","",IFERROR(MATCH($B$4&amp;"|- Lane 6 - "&amp;D$105&amp;"|"&amp;$A116,'Reguler Class Availability'!$L:$L,0),""))</f>
        <v>2878</v>
      </c>
      <c r="AQ116" s="30" t="n">
        <f aca="false">IF($A116="","",IFERROR(MATCH($B$4&amp;"|- Lane 6 - "&amp;E$105&amp;"|"&amp;$A116,'Reguler Class Availability'!$L:$L,0),""))</f>
        <v>2890</v>
      </c>
      <c r="AR116" s="30" t="n">
        <f aca="false">IF($A116="","",IFERROR(MATCH($B$4&amp;"|- Lane 6 - "&amp;F$105&amp;"|"&amp;$A116,'Reguler Class Availability'!$L:$L,0),""))</f>
        <v>2902</v>
      </c>
      <c r="AS116" s="30" t="n">
        <f aca="false">IF($A116="","",IFERROR(MATCH($B$4&amp;"|- Lane 6 - "&amp;G$105&amp;"|"&amp;$A116,'Reguler Class Availability'!$L:$L,0),""))</f>
        <v>2914</v>
      </c>
      <c r="AT116" s="30" t="n">
        <f aca="false">IF($A116="","",IFERROR(MATCH($B$4&amp;"|- Lane 6 - "&amp;H$105&amp;"|"&amp;$A116,'Reguler Class Availability'!$L:$L,0),""))</f>
        <v>2926</v>
      </c>
      <c r="AV116" s="0" t="str">
        <f aca="false">IF(AN116="","",IF(AND(IFERROR(--(INDEX('Reguler Class Availability'!$F:$F,AN116)&amp;""),0)=0,IFERROR(--(INDEX('Reguler Class Availability'!$G:$G,AN116)&amp;""),0)=0),IF(OR(INDEX('Reguler Class Availability'!$B:$B,AN116)&amp;""&lt;&gt;"",INDEX('Reguler Class Availability'!$I:$I,AN116)&amp;""&lt;&gt;""),"Tutup","Tidak dibuka"),IF(IFERROR(--(INDEX('Reguler Class Availability'!$G:$G,AN116)&amp;""),0)&gt;IFERROR(--(INDEX('Reguler Class Availability'!$F:$F,AN116)&amp;""),0),"Lebih",IF(IFERROR(--(INDEX('Reguler Class Availability'!$G:$G,AN116)&amp;""),0)=IFERROR(--(INDEX('Reguler Class Availability'!$F:$F,AN116)&amp;""),0),"Penuh",IF(IFERROR(--(INDEX('Reguler Class Availability'!$G:$G,AN116)&amp;""),0)=0,IF(INDEX('Reguler Class Availability'!$B:$B,AN116)&amp;""="","Kosong","Belum terisi"),IF(IFERROR(--(INDEX('Reguler Class Availability'!$G:$G,AN116)&amp;""),0)/IFERROR(--(INDEX('Reguler Class Availability'!$F:$F,AN116)&amp;""),0)&gt;=0.6,"Tinggi","Sebagian"))))))</f>
        <v>Tidak dibuka</v>
      </c>
      <c r="AW116" s="0" t="str">
        <f aca="false">IF(AO116="","",IF(AND(IFERROR(--(INDEX('Reguler Class Availability'!$F:$F,AO116)&amp;""),0)=0,IFERROR(--(INDEX('Reguler Class Availability'!$G:$G,AO116)&amp;""),0)=0),IF(OR(INDEX('Reguler Class Availability'!$B:$B,AO116)&amp;""&lt;&gt;"",INDEX('Reguler Class Availability'!$I:$I,AO116)&amp;""&lt;&gt;""),"Tutup","Tidak dibuka"),IF(IFERROR(--(INDEX('Reguler Class Availability'!$G:$G,AO116)&amp;""),0)&gt;IFERROR(--(INDEX('Reguler Class Availability'!$F:$F,AO116)&amp;""),0),"Lebih",IF(IFERROR(--(INDEX('Reguler Class Availability'!$G:$G,AO116)&amp;""),0)=IFERROR(--(INDEX('Reguler Class Availability'!$F:$F,AO116)&amp;""),0),"Penuh",IF(IFERROR(--(INDEX('Reguler Class Availability'!$G:$G,AO116)&amp;""),0)=0,IF(INDEX('Reguler Class Availability'!$B:$B,AO116)&amp;""="","Kosong","Belum terisi"),IF(IFERROR(--(INDEX('Reguler Class Availability'!$G:$G,AO116)&amp;""),0)/IFERROR(--(INDEX('Reguler Class Availability'!$F:$F,AO116)&amp;""),0)&gt;=0.6,"Tinggi","Sebagian"))))))</f>
        <v>Tidak dibuka</v>
      </c>
      <c r="AX116" s="0" t="str">
        <f aca="false">IF(AP116="","",IF(AND(IFERROR(--(INDEX('Reguler Class Availability'!$F:$F,AP116)&amp;""),0)=0,IFERROR(--(INDEX('Reguler Class Availability'!$G:$G,AP116)&amp;""),0)=0),IF(OR(INDEX('Reguler Class Availability'!$B:$B,AP116)&amp;""&lt;&gt;"",INDEX('Reguler Class Availability'!$I:$I,AP116)&amp;""&lt;&gt;""),"Tutup","Tidak dibuka"),IF(IFERROR(--(INDEX('Reguler Class Availability'!$G:$G,AP116)&amp;""),0)&gt;IFERROR(--(INDEX('Reguler Class Availability'!$F:$F,AP116)&amp;""),0),"Lebih",IF(IFERROR(--(INDEX('Reguler Class Availability'!$G:$G,AP116)&amp;""),0)=IFERROR(--(INDEX('Reguler Class Availability'!$F:$F,AP116)&amp;""),0),"Penuh",IF(IFERROR(--(INDEX('Reguler Class Availability'!$G:$G,AP116)&amp;""),0)=0,IF(INDEX('Reguler Class Availability'!$B:$B,AP116)&amp;""="","Kosong","Belum terisi"),IF(IFERROR(--(INDEX('Reguler Class Availability'!$G:$G,AP116)&amp;""),0)/IFERROR(--(INDEX('Reguler Class Availability'!$F:$F,AP116)&amp;""),0)&gt;=0.6,"Tinggi","Sebagian"))))))</f>
        <v>Tidak dibuka</v>
      </c>
      <c r="AY116" s="0" t="str">
        <f aca="false">IF(AQ116="","",IF(AND(IFERROR(--(INDEX('Reguler Class Availability'!$F:$F,AQ116)&amp;""),0)=0,IFERROR(--(INDEX('Reguler Class Availability'!$G:$G,AQ116)&amp;""),0)=0),IF(OR(INDEX('Reguler Class Availability'!$B:$B,AQ116)&amp;""&lt;&gt;"",INDEX('Reguler Class Availability'!$I:$I,AQ116)&amp;""&lt;&gt;""),"Tutup","Tidak dibuka"),IF(IFERROR(--(INDEX('Reguler Class Availability'!$G:$G,AQ116)&amp;""),0)&gt;IFERROR(--(INDEX('Reguler Class Availability'!$F:$F,AQ116)&amp;""),0),"Lebih",IF(IFERROR(--(INDEX('Reguler Class Availability'!$G:$G,AQ116)&amp;""),0)=IFERROR(--(INDEX('Reguler Class Availability'!$F:$F,AQ116)&amp;""),0),"Penuh",IF(IFERROR(--(INDEX('Reguler Class Availability'!$G:$G,AQ116)&amp;""),0)=0,IF(INDEX('Reguler Class Availability'!$B:$B,AQ116)&amp;""="","Kosong","Belum terisi"),IF(IFERROR(--(INDEX('Reguler Class Availability'!$G:$G,AQ116)&amp;""),0)/IFERROR(--(INDEX('Reguler Class Availability'!$F:$F,AQ116)&amp;""),0)&gt;=0.6,"Tinggi","Sebagian"))))))</f>
        <v>Tidak dibuka</v>
      </c>
      <c r="AZ116" s="0" t="str">
        <f aca="false">IF(AR116="","",IF(AND(IFERROR(--(INDEX('Reguler Class Availability'!$F:$F,AR116)&amp;""),0)=0,IFERROR(--(INDEX('Reguler Class Availability'!$G:$G,AR116)&amp;""),0)=0),IF(OR(INDEX('Reguler Class Availability'!$B:$B,AR116)&amp;""&lt;&gt;"",INDEX('Reguler Class Availability'!$I:$I,AR116)&amp;""&lt;&gt;""),"Tutup","Tidak dibuka"),IF(IFERROR(--(INDEX('Reguler Class Availability'!$G:$G,AR116)&amp;""),0)&gt;IFERROR(--(INDEX('Reguler Class Availability'!$F:$F,AR116)&amp;""),0),"Lebih",IF(IFERROR(--(INDEX('Reguler Class Availability'!$G:$G,AR116)&amp;""),0)=IFERROR(--(INDEX('Reguler Class Availability'!$F:$F,AR116)&amp;""),0),"Penuh",IF(IFERROR(--(INDEX('Reguler Class Availability'!$G:$G,AR116)&amp;""),0)=0,IF(INDEX('Reguler Class Availability'!$B:$B,AR116)&amp;""="","Kosong","Belum terisi"),IF(IFERROR(--(INDEX('Reguler Class Availability'!$G:$G,AR116)&amp;""),0)/IFERROR(--(INDEX('Reguler Class Availability'!$F:$F,AR116)&amp;""),0)&gt;=0.6,"Tinggi","Sebagian"))))))</f>
        <v>Tidak dibuka</v>
      </c>
      <c r="BA116" s="0" t="str">
        <f aca="false">IF(AS116="","",IF(AND(IFERROR(--(INDEX('Reguler Class Availability'!$F:$F,AS116)&amp;""),0)=0,IFERROR(--(INDEX('Reguler Class Availability'!$G:$G,AS116)&amp;""),0)=0),IF(OR(INDEX('Reguler Class Availability'!$B:$B,AS116)&amp;""&lt;&gt;"",INDEX('Reguler Class Availability'!$I:$I,AS116)&amp;""&lt;&gt;""),"Tutup","Tidak dibuka"),IF(IFERROR(--(INDEX('Reguler Class Availability'!$G:$G,AS116)&amp;""),0)&gt;IFERROR(--(INDEX('Reguler Class Availability'!$F:$F,AS116)&amp;""),0),"Lebih",IF(IFERROR(--(INDEX('Reguler Class Availability'!$G:$G,AS116)&amp;""),0)=IFERROR(--(INDEX('Reguler Class Availability'!$F:$F,AS116)&amp;""),0),"Penuh",IF(IFERROR(--(INDEX('Reguler Class Availability'!$G:$G,AS116)&amp;""),0)=0,IF(INDEX('Reguler Class Availability'!$B:$B,AS116)&amp;""="","Kosong","Belum terisi"),IF(IFERROR(--(INDEX('Reguler Class Availability'!$G:$G,AS116)&amp;""),0)/IFERROR(--(INDEX('Reguler Class Availability'!$F:$F,AS116)&amp;""),0)&gt;=0.6,"Tinggi","Sebagian"))))))</f>
        <v>Tidak dibuka</v>
      </c>
      <c r="BB116" s="0" t="str">
        <f aca="false">IF(AT116="","",IF(AND(IFERROR(--(INDEX('Reguler Class Availability'!$F:$F,AT116)&amp;""),0)=0,IFERROR(--(INDEX('Reguler Class Availability'!$G:$G,AT116)&amp;""),0)=0),IF(OR(INDEX('Reguler Class Availability'!$B:$B,AT116)&amp;""&lt;&gt;"",INDEX('Reguler Class Availability'!$I:$I,AT116)&amp;""&lt;&gt;""),"Tutup","Tidak dibuka"),IF(IFERROR(--(INDEX('Reguler Class Availability'!$G:$G,AT116)&amp;""),0)&gt;IFERROR(--(INDEX('Reguler Class Availability'!$F:$F,AT116)&amp;""),0),"Lebih",IF(IFERROR(--(INDEX('Reguler Class Availability'!$G:$G,AT116)&amp;""),0)=IFERROR(--(INDEX('Reguler Class Availability'!$F:$F,AT116)&amp;""),0),"Penuh",IF(IFERROR(--(INDEX('Reguler Class Availability'!$G:$G,AT116)&amp;""),0)=0,IF(INDEX('Reguler Class Availability'!$B:$B,AT116)&amp;""="","Kosong","Belum terisi"),IF(IFERROR(--(INDEX('Reguler Class Availability'!$G:$G,AT116)&amp;""),0)/IFERROR(--(INDEX('Reguler Class Availability'!$F:$F,AT116)&amp;""),0)&gt;=0.6,"Tinggi","Sebagian"))))))</f>
        <v>Tutup</v>
      </c>
      <c r="BD116" s="30" t="s">
        <v>166</v>
      </c>
      <c r="BE116" s="30" t="n">
        <f aca="false">IF(COUNTIFS('Reguler Class Availability'!$L:$L,$B$4&amp;"|- Lane 2 - *|"&amp;BD116)&gt;0,1,0)</f>
        <v>0</v>
      </c>
      <c r="BF116" s="30" t="n">
        <f aca="false">BE116+BF115</f>
        <v>12</v>
      </c>
    </row>
    <row r="117" customFormat="false" ht="39.75" hidden="false" customHeight="true" outlineLevel="0" collapsed="false">
      <c r="A117" s="66" t="str">
        <f aca="false">IFERROR(INDEX($BD$302:$BD$361,MATCH(12,$BF$302:$BF$361,0)),"")</f>
        <v>17:00</v>
      </c>
      <c r="B117" s="67" t="str">
        <f aca="false">IF(AN117="","",IF(AV117="Tidak dibuka","–",IF(INDEX('Reguler Class Availability'!$B:$B,AN117)&amp;""="","Kosong",PROPER(INDEX('Reguler Class Availability'!$B:$B,AN117)&amp;""))&amp;"  "&amp;IFERROR(--(INDEX('Reguler Class Availability'!$G:$G,AN117)&amp;""),0)&amp;"/"&amp;IFERROR(--(INDEX('Reguler Class Availability'!$F:$F,AN117)&amp;""),0)&amp;IF(IFERROR(--(INDEX('Reguler Class Availability'!$F:$F,AN117)&amp;""),0)&gt;0,"  ("&amp;TEXT(IFERROR(--(INDEX('Reguler Class Availability'!$G:$G,AN117)&amp;""),0)/IFERROR(--(INDEX('Reguler Class Availability'!$F:$F,AN117)&amp;""),0),"0%")&amp;")","")&amp;CHAR(10)&amp;IF(INDEX('Reguler Class Availability'!$I:$I,AN117)&amp;""="","coach: –",PROPER(INDEX('Reguler Class Availability'!$I:$I,AN117)&amp;""))&amp;IF(INDEX('Reguler Class Availability'!$J:$J,AN117)&amp;""="","",CHAR(10)&amp;"asst: "&amp;PROPER(INDEX('Reguler Class Availability'!$J:$J,AN117)&amp;""))))</f>
        <v>–</v>
      </c>
      <c r="C117" s="67" t="str">
        <f aca="false">IF(AO117="","",IF(AW117="Tidak dibuka","–",IF(INDEX('Reguler Class Availability'!$B:$B,AO117)&amp;""="","Kosong",PROPER(INDEX('Reguler Class Availability'!$B:$B,AO117)&amp;""))&amp;"  "&amp;IFERROR(--(INDEX('Reguler Class Availability'!$G:$G,AO117)&amp;""),0)&amp;"/"&amp;IFERROR(--(INDEX('Reguler Class Availability'!$F:$F,AO117)&amp;""),0)&amp;IF(IFERROR(--(INDEX('Reguler Class Availability'!$F:$F,AO117)&amp;""),0)&gt;0,"  ("&amp;TEXT(IFERROR(--(INDEX('Reguler Class Availability'!$G:$G,AO117)&amp;""),0)/IFERROR(--(INDEX('Reguler Class Availability'!$F:$F,AO117)&amp;""),0),"0%")&amp;")","")&amp;CHAR(10)&amp;IF(INDEX('Reguler Class Availability'!$I:$I,AO117)&amp;""="","coach: –",PROPER(INDEX('Reguler Class Availability'!$I:$I,AO117)&amp;""))&amp;IF(INDEX('Reguler Class Availability'!$J:$J,AO117)&amp;""="","",CHAR(10)&amp;"asst: "&amp;PROPER(INDEX('Reguler Class Availability'!$J:$J,AO117)&amp;""))))</f>
        <v>–</v>
      </c>
      <c r="D117" s="67" t="str">
        <f aca="false">IF(AP117="","",IF(AX117="Tidak dibuka","–",IF(INDEX('Reguler Class Availability'!$B:$B,AP117)&amp;""="","Kosong",PROPER(INDEX('Reguler Class Availability'!$B:$B,AP117)&amp;""))&amp;"  "&amp;IFERROR(--(INDEX('Reguler Class Availability'!$G:$G,AP117)&amp;""),0)&amp;"/"&amp;IFERROR(--(INDEX('Reguler Class Availability'!$F:$F,AP117)&amp;""),0)&amp;IF(IFERROR(--(INDEX('Reguler Class Availability'!$F:$F,AP117)&amp;""),0)&gt;0,"  ("&amp;TEXT(IFERROR(--(INDEX('Reguler Class Availability'!$G:$G,AP117)&amp;""),0)/IFERROR(--(INDEX('Reguler Class Availability'!$F:$F,AP117)&amp;""),0),"0%")&amp;")","")&amp;CHAR(10)&amp;IF(INDEX('Reguler Class Availability'!$I:$I,AP117)&amp;""="","coach: –",PROPER(INDEX('Reguler Class Availability'!$I:$I,AP117)&amp;""))&amp;IF(INDEX('Reguler Class Availability'!$J:$J,AP117)&amp;""="","",CHAR(10)&amp;"asst: "&amp;PROPER(INDEX('Reguler Class Availability'!$J:$J,AP117)&amp;""))))</f>
        <v>–</v>
      </c>
      <c r="E117" s="67" t="str">
        <f aca="false">IF(AQ117="","",IF(AY117="Tidak dibuka","–",IF(INDEX('Reguler Class Availability'!$B:$B,AQ117)&amp;""="","Kosong",PROPER(INDEX('Reguler Class Availability'!$B:$B,AQ117)&amp;""))&amp;"  "&amp;IFERROR(--(INDEX('Reguler Class Availability'!$G:$G,AQ117)&amp;""),0)&amp;"/"&amp;IFERROR(--(INDEX('Reguler Class Availability'!$F:$F,AQ117)&amp;""),0)&amp;IF(IFERROR(--(INDEX('Reguler Class Availability'!$F:$F,AQ117)&amp;""),0)&gt;0,"  ("&amp;TEXT(IFERROR(--(INDEX('Reguler Class Availability'!$G:$G,AQ117)&amp;""),0)/IFERROR(--(INDEX('Reguler Class Availability'!$F:$F,AQ117)&amp;""),0),"0%")&amp;")","")&amp;CHAR(10)&amp;IF(INDEX('Reguler Class Availability'!$I:$I,AQ117)&amp;""="","coach: –",PROPER(INDEX('Reguler Class Availability'!$I:$I,AQ117)&amp;""))&amp;IF(INDEX('Reguler Class Availability'!$J:$J,AQ117)&amp;""="","",CHAR(10)&amp;"asst: "&amp;PROPER(INDEX('Reguler Class Availability'!$J:$J,AQ117)&amp;""))))</f>
        <v>–</v>
      </c>
      <c r="F117" s="67" t="str">
        <f aca="false">IF(AR117="","",IF(AZ117="Tidak dibuka","–",IF(INDEX('Reguler Class Availability'!$B:$B,AR117)&amp;""="","Kosong",PROPER(INDEX('Reguler Class Availability'!$B:$B,AR117)&amp;""))&amp;"  "&amp;IFERROR(--(INDEX('Reguler Class Availability'!$G:$G,AR117)&amp;""),0)&amp;"/"&amp;IFERROR(--(INDEX('Reguler Class Availability'!$F:$F,AR117)&amp;""),0)&amp;IF(IFERROR(--(INDEX('Reguler Class Availability'!$F:$F,AR117)&amp;""),0)&gt;0,"  ("&amp;TEXT(IFERROR(--(INDEX('Reguler Class Availability'!$G:$G,AR117)&amp;""),0)/IFERROR(--(INDEX('Reguler Class Availability'!$F:$F,AR117)&amp;""),0),"0%")&amp;")","")&amp;CHAR(10)&amp;IF(INDEX('Reguler Class Availability'!$I:$I,AR117)&amp;""="","coach: –",PROPER(INDEX('Reguler Class Availability'!$I:$I,AR117)&amp;""))&amp;IF(INDEX('Reguler Class Availability'!$J:$J,AR117)&amp;""="","",CHAR(10)&amp;"asst: "&amp;PROPER(INDEX('Reguler Class Availability'!$J:$J,AR117)&amp;""))))</f>
        <v>–</v>
      </c>
      <c r="G117" s="67" t="str">
        <f aca="false">IF(AS117="","",IF(BA117="Tidak dibuka","–",IF(INDEX('Reguler Class Availability'!$B:$B,AS117)&amp;""="","Kosong",PROPER(INDEX('Reguler Class Availability'!$B:$B,AS117)&amp;""))&amp;"  "&amp;IFERROR(--(INDEX('Reguler Class Availability'!$G:$G,AS117)&amp;""),0)&amp;"/"&amp;IFERROR(--(INDEX('Reguler Class Availability'!$F:$F,AS117)&amp;""),0)&amp;IF(IFERROR(--(INDEX('Reguler Class Availability'!$F:$F,AS117)&amp;""),0)&gt;0,"  ("&amp;TEXT(IFERROR(--(INDEX('Reguler Class Availability'!$G:$G,AS117)&amp;""),0)/IFERROR(--(INDEX('Reguler Class Availability'!$F:$F,AS117)&amp;""),0),"0%")&amp;")","")&amp;CHAR(10)&amp;IF(INDEX('Reguler Class Availability'!$I:$I,AS117)&amp;""="","coach: –",PROPER(INDEX('Reguler Class Availability'!$I:$I,AS117)&amp;""))&amp;IF(INDEX('Reguler Class Availability'!$J:$J,AS117)&amp;""="","",CHAR(10)&amp;"asst: "&amp;PROPER(INDEX('Reguler Class Availability'!$J:$J,AS117)&amp;""))))</f>
        <v>–</v>
      </c>
      <c r="H117" s="67" t="str">
        <f aca="false">IF(AT117="","",IF(BB117="Tidak dibuka","–",IF(INDEX('Reguler Class Availability'!$B:$B,AT117)&amp;""="","Kosong",PROPER(INDEX('Reguler Class Availability'!$B:$B,AT117)&amp;""))&amp;"  "&amp;IFERROR(--(INDEX('Reguler Class Availability'!$G:$G,AT117)&amp;""),0)&amp;"/"&amp;IFERROR(--(INDEX('Reguler Class Availability'!$F:$F,AT117)&amp;""),0)&amp;IF(IFERROR(--(INDEX('Reguler Class Availability'!$F:$F,AT117)&amp;""),0)&gt;0,"  ("&amp;TEXT(IFERROR(--(INDEX('Reguler Class Availability'!$G:$G,AT117)&amp;""),0)/IFERROR(--(INDEX('Reguler Class Availability'!$F:$F,AT117)&amp;""),0),"0%")&amp;")","")&amp;CHAR(10)&amp;IF(INDEX('Reguler Class Availability'!$I:$I,AT117)&amp;""="","coach: –",PROPER(INDEX('Reguler Class Availability'!$I:$I,AT117)&amp;""))&amp;IF(INDEX('Reguler Class Availability'!$J:$J,AT117)&amp;""="","",CHAR(10)&amp;"asst: "&amp;PROPER(INDEX('Reguler Class Availability'!$J:$J,AT117)&amp;""))))</f>
        <v>–</v>
      </c>
      <c r="AN117" s="30" t="n">
        <f aca="false">IF($A117="","",IFERROR(MATCH($B$4&amp;"|- Lane 6 - "&amp;B$105&amp;"|"&amp;$A117,'Reguler Class Availability'!$L:$L,0),""))</f>
        <v>2855</v>
      </c>
      <c r="AO117" s="30" t="n">
        <f aca="false">IF($A117="","",IFERROR(MATCH($B$4&amp;"|- Lane 6 - "&amp;C$105&amp;"|"&amp;$A117,'Reguler Class Availability'!$L:$L,0),""))</f>
        <v>2867</v>
      </c>
      <c r="AP117" s="30" t="n">
        <f aca="false">IF($A117="","",IFERROR(MATCH($B$4&amp;"|- Lane 6 - "&amp;D$105&amp;"|"&amp;$A117,'Reguler Class Availability'!$L:$L,0),""))</f>
        <v>2879</v>
      </c>
      <c r="AQ117" s="30" t="n">
        <f aca="false">IF($A117="","",IFERROR(MATCH($B$4&amp;"|- Lane 6 - "&amp;E$105&amp;"|"&amp;$A117,'Reguler Class Availability'!$L:$L,0),""))</f>
        <v>2891</v>
      </c>
      <c r="AR117" s="30" t="n">
        <f aca="false">IF($A117="","",IFERROR(MATCH($B$4&amp;"|- Lane 6 - "&amp;F$105&amp;"|"&amp;$A117,'Reguler Class Availability'!$L:$L,0),""))</f>
        <v>2903</v>
      </c>
      <c r="AS117" s="30" t="n">
        <f aca="false">IF($A117="","",IFERROR(MATCH($B$4&amp;"|- Lane 6 - "&amp;G$105&amp;"|"&amp;$A117,'Reguler Class Availability'!$L:$L,0),""))</f>
        <v>2915</v>
      </c>
      <c r="AT117" s="30" t="n">
        <f aca="false">IF($A117="","",IFERROR(MATCH($B$4&amp;"|- Lane 6 - "&amp;H$105&amp;"|"&amp;$A117,'Reguler Class Availability'!$L:$L,0),""))</f>
        <v>2927</v>
      </c>
      <c r="AV117" s="0" t="str">
        <f aca="false">IF(AN117="","",IF(AND(IFERROR(--(INDEX('Reguler Class Availability'!$F:$F,AN117)&amp;""),0)=0,IFERROR(--(INDEX('Reguler Class Availability'!$G:$G,AN117)&amp;""),0)=0),IF(OR(INDEX('Reguler Class Availability'!$B:$B,AN117)&amp;""&lt;&gt;"",INDEX('Reguler Class Availability'!$I:$I,AN117)&amp;""&lt;&gt;""),"Tutup","Tidak dibuka"),IF(IFERROR(--(INDEX('Reguler Class Availability'!$G:$G,AN117)&amp;""),0)&gt;IFERROR(--(INDEX('Reguler Class Availability'!$F:$F,AN117)&amp;""),0),"Lebih",IF(IFERROR(--(INDEX('Reguler Class Availability'!$G:$G,AN117)&amp;""),0)=IFERROR(--(INDEX('Reguler Class Availability'!$F:$F,AN117)&amp;""),0),"Penuh",IF(IFERROR(--(INDEX('Reguler Class Availability'!$G:$G,AN117)&amp;""),0)=0,IF(INDEX('Reguler Class Availability'!$B:$B,AN117)&amp;""="","Kosong","Belum terisi"),IF(IFERROR(--(INDEX('Reguler Class Availability'!$G:$G,AN117)&amp;""),0)/IFERROR(--(INDEX('Reguler Class Availability'!$F:$F,AN117)&amp;""),0)&gt;=0.6,"Tinggi","Sebagian"))))))</f>
        <v>Tidak dibuka</v>
      </c>
      <c r="AW117" s="0" t="str">
        <f aca="false">IF(AO117="","",IF(AND(IFERROR(--(INDEX('Reguler Class Availability'!$F:$F,AO117)&amp;""),0)=0,IFERROR(--(INDEX('Reguler Class Availability'!$G:$G,AO117)&amp;""),0)=0),IF(OR(INDEX('Reguler Class Availability'!$B:$B,AO117)&amp;""&lt;&gt;"",INDEX('Reguler Class Availability'!$I:$I,AO117)&amp;""&lt;&gt;""),"Tutup","Tidak dibuka"),IF(IFERROR(--(INDEX('Reguler Class Availability'!$G:$G,AO117)&amp;""),0)&gt;IFERROR(--(INDEX('Reguler Class Availability'!$F:$F,AO117)&amp;""),0),"Lebih",IF(IFERROR(--(INDEX('Reguler Class Availability'!$G:$G,AO117)&amp;""),0)=IFERROR(--(INDEX('Reguler Class Availability'!$F:$F,AO117)&amp;""),0),"Penuh",IF(IFERROR(--(INDEX('Reguler Class Availability'!$G:$G,AO117)&amp;""),0)=0,IF(INDEX('Reguler Class Availability'!$B:$B,AO117)&amp;""="","Kosong","Belum terisi"),IF(IFERROR(--(INDEX('Reguler Class Availability'!$G:$G,AO117)&amp;""),0)/IFERROR(--(INDEX('Reguler Class Availability'!$F:$F,AO117)&amp;""),0)&gt;=0.6,"Tinggi","Sebagian"))))))</f>
        <v>Tidak dibuka</v>
      </c>
      <c r="AX117" s="0" t="str">
        <f aca="false">IF(AP117="","",IF(AND(IFERROR(--(INDEX('Reguler Class Availability'!$F:$F,AP117)&amp;""),0)=0,IFERROR(--(INDEX('Reguler Class Availability'!$G:$G,AP117)&amp;""),0)=0),IF(OR(INDEX('Reguler Class Availability'!$B:$B,AP117)&amp;""&lt;&gt;"",INDEX('Reguler Class Availability'!$I:$I,AP117)&amp;""&lt;&gt;""),"Tutup","Tidak dibuka"),IF(IFERROR(--(INDEX('Reguler Class Availability'!$G:$G,AP117)&amp;""),0)&gt;IFERROR(--(INDEX('Reguler Class Availability'!$F:$F,AP117)&amp;""),0),"Lebih",IF(IFERROR(--(INDEX('Reguler Class Availability'!$G:$G,AP117)&amp;""),0)=IFERROR(--(INDEX('Reguler Class Availability'!$F:$F,AP117)&amp;""),0),"Penuh",IF(IFERROR(--(INDEX('Reguler Class Availability'!$G:$G,AP117)&amp;""),0)=0,IF(INDEX('Reguler Class Availability'!$B:$B,AP117)&amp;""="","Kosong","Belum terisi"),IF(IFERROR(--(INDEX('Reguler Class Availability'!$G:$G,AP117)&amp;""),0)/IFERROR(--(INDEX('Reguler Class Availability'!$F:$F,AP117)&amp;""),0)&gt;=0.6,"Tinggi","Sebagian"))))))</f>
        <v>Tidak dibuka</v>
      </c>
      <c r="AY117" s="0" t="str">
        <f aca="false">IF(AQ117="","",IF(AND(IFERROR(--(INDEX('Reguler Class Availability'!$F:$F,AQ117)&amp;""),0)=0,IFERROR(--(INDEX('Reguler Class Availability'!$G:$G,AQ117)&amp;""),0)=0),IF(OR(INDEX('Reguler Class Availability'!$B:$B,AQ117)&amp;""&lt;&gt;"",INDEX('Reguler Class Availability'!$I:$I,AQ117)&amp;""&lt;&gt;""),"Tutup","Tidak dibuka"),IF(IFERROR(--(INDEX('Reguler Class Availability'!$G:$G,AQ117)&amp;""),0)&gt;IFERROR(--(INDEX('Reguler Class Availability'!$F:$F,AQ117)&amp;""),0),"Lebih",IF(IFERROR(--(INDEX('Reguler Class Availability'!$G:$G,AQ117)&amp;""),0)=IFERROR(--(INDEX('Reguler Class Availability'!$F:$F,AQ117)&amp;""),0),"Penuh",IF(IFERROR(--(INDEX('Reguler Class Availability'!$G:$G,AQ117)&amp;""),0)=0,IF(INDEX('Reguler Class Availability'!$B:$B,AQ117)&amp;""="","Kosong","Belum terisi"),IF(IFERROR(--(INDEX('Reguler Class Availability'!$G:$G,AQ117)&amp;""),0)/IFERROR(--(INDEX('Reguler Class Availability'!$F:$F,AQ117)&amp;""),0)&gt;=0.6,"Tinggi","Sebagian"))))))</f>
        <v>Tidak dibuka</v>
      </c>
      <c r="AZ117" s="0" t="str">
        <f aca="false">IF(AR117="","",IF(AND(IFERROR(--(INDEX('Reguler Class Availability'!$F:$F,AR117)&amp;""),0)=0,IFERROR(--(INDEX('Reguler Class Availability'!$G:$G,AR117)&amp;""),0)=0),IF(OR(INDEX('Reguler Class Availability'!$B:$B,AR117)&amp;""&lt;&gt;"",INDEX('Reguler Class Availability'!$I:$I,AR117)&amp;""&lt;&gt;""),"Tutup","Tidak dibuka"),IF(IFERROR(--(INDEX('Reguler Class Availability'!$G:$G,AR117)&amp;""),0)&gt;IFERROR(--(INDEX('Reguler Class Availability'!$F:$F,AR117)&amp;""),0),"Lebih",IF(IFERROR(--(INDEX('Reguler Class Availability'!$G:$G,AR117)&amp;""),0)=IFERROR(--(INDEX('Reguler Class Availability'!$F:$F,AR117)&amp;""),0),"Penuh",IF(IFERROR(--(INDEX('Reguler Class Availability'!$G:$G,AR117)&amp;""),0)=0,IF(INDEX('Reguler Class Availability'!$B:$B,AR117)&amp;""="","Kosong","Belum terisi"),IF(IFERROR(--(INDEX('Reguler Class Availability'!$G:$G,AR117)&amp;""),0)/IFERROR(--(INDEX('Reguler Class Availability'!$F:$F,AR117)&amp;""),0)&gt;=0.6,"Tinggi","Sebagian"))))))</f>
        <v>Tidak dibuka</v>
      </c>
      <c r="BA117" s="0" t="str">
        <f aca="false">IF(AS117="","",IF(AND(IFERROR(--(INDEX('Reguler Class Availability'!$F:$F,AS117)&amp;""),0)=0,IFERROR(--(INDEX('Reguler Class Availability'!$G:$G,AS117)&amp;""),0)=0),IF(OR(INDEX('Reguler Class Availability'!$B:$B,AS117)&amp;""&lt;&gt;"",INDEX('Reguler Class Availability'!$I:$I,AS117)&amp;""&lt;&gt;""),"Tutup","Tidak dibuka"),IF(IFERROR(--(INDEX('Reguler Class Availability'!$G:$G,AS117)&amp;""),0)&gt;IFERROR(--(INDEX('Reguler Class Availability'!$F:$F,AS117)&amp;""),0),"Lebih",IF(IFERROR(--(INDEX('Reguler Class Availability'!$G:$G,AS117)&amp;""),0)=IFERROR(--(INDEX('Reguler Class Availability'!$F:$F,AS117)&amp;""),0),"Penuh",IF(IFERROR(--(INDEX('Reguler Class Availability'!$G:$G,AS117)&amp;""),0)=0,IF(INDEX('Reguler Class Availability'!$B:$B,AS117)&amp;""="","Kosong","Belum terisi"),IF(IFERROR(--(INDEX('Reguler Class Availability'!$G:$G,AS117)&amp;""),0)/IFERROR(--(INDEX('Reguler Class Availability'!$F:$F,AS117)&amp;""),0)&gt;=0.6,"Tinggi","Sebagian"))))))</f>
        <v>Tidak dibuka</v>
      </c>
      <c r="BB117" s="0" t="str">
        <f aca="false">IF(AT117="","",IF(AND(IFERROR(--(INDEX('Reguler Class Availability'!$F:$F,AT117)&amp;""),0)=0,IFERROR(--(INDEX('Reguler Class Availability'!$G:$G,AT117)&amp;""),0)=0),IF(OR(INDEX('Reguler Class Availability'!$B:$B,AT117)&amp;""&lt;&gt;"",INDEX('Reguler Class Availability'!$I:$I,AT117)&amp;""&lt;&gt;""),"Tutup","Tidak dibuka"),IF(IFERROR(--(INDEX('Reguler Class Availability'!$G:$G,AT117)&amp;""),0)&gt;IFERROR(--(INDEX('Reguler Class Availability'!$F:$F,AT117)&amp;""),0),"Lebih",IF(IFERROR(--(INDEX('Reguler Class Availability'!$G:$G,AT117)&amp;""),0)=IFERROR(--(INDEX('Reguler Class Availability'!$F:$F,AT117)&amp;""),0),"Penuh",IF(IFERROR(--(INDEX('Reguler Class Availability'!$G:$G,AT117)&amp;""),0)=0,IF(INDEX('Reguler Class Availability'!$B:$B,AT117)&amp;""="","Kosong","Belum terisi"),IF(IFERROR(--(INDEX('Reguler Class Availability'!$G:$G,AT117)&amp;""),0)/IFERROR(--(INDEX('Reguler Class Availability'!$F:$F,AT117)&amp;""),0)&gt;=0.6,"Tinggi","Sebagian"))))))</f>
        <v>Tidak dibuka</v>
      </c>
      <c r="BD117" s="30" t="s">
        <v>167</v>
      </c>
      <c r="BE117" s="30" t="n">
        <f aca="false">IF(COUNTIFS('Reguler Class Availability'!$L:$L,$B$4&amp;"|- Lane 2 - *|"&amp;BD117)&gt;0,1,0)</f>
        <v>0</v>
      </c>
      <c r="BF117" s="30" t="n">
        <f aca="false">BE117+BF116</f>
        <v>12</v>
      </c>
    </row>
    <row r="118" customFormat="false" ht="39.75" hidden="false" customHeight="true" outlineLevel="0" collapsed="false">
      <c r="A118" s="66" t="str">
        <f aca="false">IFERROR(INDEX($BD$302:$BD$361,MATCH(13,$BF$302:$BF$361,0)),"")</f>
        <v/>
      </c>
      <c r="B118" s="67" t="str">
        <f aca="false">IF(AN118="","",IF(AV118="Tidak dibuka","–",IF(INDEX('Reguler Class Availability'!$B:$B,AN118)&amp;""="","Kosong",PROPER(INDEX('Reguler Class Availability'!$B:$B,AN118)&amp;""))&amp;"  "&amp;IFERROR(--(INDEX('Reguler Class Availability'!$G:$G,AN118)&amp;""),0)&amp;"/"&amp;IFERROR(--(INDEX('Reguler Class Availability'!$F:$F,AN118)&amp;""),0)&amp;IF(IFERROR(--(INDEX('Reguler Class Availability'!$F:$F,AN118)&amp;""),0)&gt;0,"  ("&amp;TEXT(IFERROR(--(INDEX('Reguler Class Availability'!$G:$G,AN118)&amp;""),0)/IFERROR(--(INDEX('Reguler Class Availability'!$F:$F,AN118)&amp;""),0),"0%")&amp;")","")&amp;CHAR(10)&amp;IF(INDEX('Reguler Class Availability'!$I:$I,AN118)&amp;""="","coach: –",PROPER(INDEX('Reguler Class Availability'!$I:$I,AN118)&amp;""))&amp;IF(INDEX('Reguler Class Availability'!$J:$J,AN118)&amp;""="","",CHAR(10)&amp;"asst: "&amp;PROPER(INDEX('Reguler Class Availability'!$J:$J,AN118)&amp;""))))</f>
        <v/>
      </c>
      <c r="C118" s="67" t="str">
        <f aca="false">IF(AO118="","",IF(AW118="Tidak dibuka","–",IF(INDEX('Reguler Class Availability'!$B:$B,AO118)&amp;""="","Kosong",PROPER(INDEX('Reguler Class Availability'!$B:$B,AO118)&amp;""))&amp;"  "&amp;IFERROR(--(INDEX('Reguler Class Availability'!$G:$G,AO118)&amp;""),0)&amp;"/"&amp;IFERROR(--(INDEX('Reguler Class Availability'!$F:$F,AO118)&amp;""),0)&amp;IF(IFERROR(--(INDEX('Reguler Class Availability'!$F:$F,AO118)&amp;""),0)&gt;0,"  ("&amp;TEXT(IFERROR(--(INDEX('Reguler Class Availability'!$G:$G,AO118)&amp;""),0)/IFERROR(--(INDEX('Reguler Class Availability'!$F:$F,AO118)&amp;""),0),"0%")&amp;")","")&amp;CHAR(10)&amp;IF(INDEX('Reguler Class Availability'!$I:$I,AO118)&amp;""="","coach: –",PROPER(INDEX('Reguler Class Availability'!$I:$I,AO118)&amp;""))&amp;IF(INDEX('Reguler Class Availability'!$J:$J,AO118)&amp;""="","",CHAR(10)&amp;"asst: "&amp;PROPER(INDEX('Reguler Class Availability'!$J:$J,AO118)&amp;""))))</f>
        <v/>
      </c>
      <c r="D118" s="67" t="str">
        <f aca="false">IF(AP118="","",IF(AX118="Tidak dibuka","–",IF(INDEX('Reguler Class Availability'!$B:$B,AP118)&amp;""="","Kosong",PROPER(INDEX('Reguler Class Availability'!$B:$B,AP118)&amp;""))&amp;"  "&amp;IFERROR(--(INDEX('Reguler Class Availability'!$G:$G,AP118)&amp;""),0)&amp;"/"&amp;IFERROR(--(INDEX('Reguler Class Availability'!$F:$F,AP118)&amp;""),0)&amp;IF(IFERROR(--(INDEX('Reguler Class Availability'!$F:$F,AP118)&amp;""),0)&gt;0,"  ("&amp;TEXT(IFERROR(--(INDEX('Reguler Class Availability'!$G:$G,AP118)&amp;""),0)/IFERROR(--(INDEX('Reguler Class Availability'!$F:$F,AP118)&amp;""),0),"0%")&amp;")","")&amp;CHAR(10)&amp;IF(INDEX('Reguler Class Availability'!$I:$I,AP118)&amp;""="","coach: –",PROPER(INDEX('Reguler Class Availability'!$I:$I,AP118)&amp;""))&amp;IF(INDEX('Reguler Class Availability'!$J:$J,AP118)&amp;""="","",CHAR(10)&amp;"asst: "&amp;PROPER(INDEX('Reguler Class Availability'!$J:$J,AP118)&amp;""))))</f>
        <v/>
      </c>
      <c r="E118" s="67" t="str">
        <f aca="false">IF(AQ118="","",IF(AY118="Tidak dibuka","–",IF(INDEX('Reguler Class Availability'!$B:$B,AQ118)&amp;""="","Kosong",PROPER(INDEX('Reguler Class Availability'!$B:$B,AQ118)&amp;""))&amp;"  "&amp;IFERROR(--(INDEX('Reguler Class Availability'!$G:$G,AQ118)&amp;""),0)&amp;"/"&amp;IFERROR(--(INDEX('Reguler Class Availability'!$F:$F,AQ118)&amp;""),0)&amp;IF(IFERROR(--(INDEX('Reguler Class Availability'!$F:$F,AQ118)&amp;""),0)&gt;0,"  ("&amp;TEXT(IFERROR(--(INDEX('Reguler Class Availability'!$G:$G,AQ118)&amp;""),0)/IFERROR(--(INDEX('Reguler Class Availability'!$F:$F,AQ118)&amp;""),0),"0%")&amp;")","")&amp;CHAR(10)&amp;IF(INDEX('Reguler Class Availability'!$I:$I,AQ118)&amp;""="","coach: –",PROPER(INDEX('Reguler Class Availability'!$I:$I,AQ118)&amp;""))&amp;IF(INDEX('Reguler Class Availability'!$J:$J,AQ118)&amp;""="","",CHAR(10)&amp;"asst: "&amp;PROPER(INDEX('Reguler Class Availability'!$J:$J,AQ118)&amp;""))))</f>
        <v/>
      </c>
      <c r="F118" s="67" t="str">
        <f aca="false">IF(AR118="","",IF(AZ118="Tidak dibuka","–",IF(INDEX('Reguler Class Availability'!$B:$B,AR118)&amp;""="","Kosong",PROPER(INDEX('Reguler Class Availability'!$B:$B,AR118)&amp;""))&amp;"  "&amp;IFERROR(--(INDEX('Reguler Class Availability'!$G:$G,AR118)&amp;""),0)&amp;"/"&amp;IFERROR(--(INDEX('Reguler Class Availability'!$F:$F,AR118)&amp;""),0)&amp;IF(IFERROR(--(INDEX('Reguler Class Availability'!$F:$F,AR118)&amp;""),0)&gt;0,"  ("&amp;TEXT(IFERROR(--(INDEX('Reguler Class Availability'!$G:$G,AR118)&amp;""),0)/IFERROR(--(INDEX('Reguler Class Availability'!$F:$F,AR118)&amp;""),0),"0%")&amp;")","")&amp;CHAR(10)&amp;IF(INDEX('Reguler Class Availability'!$I:$I,AR118)&amp;""="","coach: –",PROPER(INDEX('Reguler Class Availability'!$I:$I,AR118)&amp;""))&amp;IF(INDEX('Reguler Class Availability'!$J:$J,AR118)&amp;""="","",CHAR(10)&amp;"asst: "&amp;PROPER(INDEX('Reguler Class Availability'!$J:$J,AR118)&amp;""))))</f>
        <v/>
      </c>
      <c r="G118" s="67" t="str">
        <f aca="false">IF(AS118="","",IF(BA118="Tidak dibuka","–",IF(INDEX('Reguler Class Availability'!$B:$B,AS118)&amp;""="","Kosong",PROPER(INDEX('Reguler Class Availability'!$B:$B,AS118)&amp;""))&amp;"  "&amp;IFERROR(--(INDEX('Reguler Class Availability'!$G:$G,AS118)&amp;""),0)&amp;"/"&amp;IFERROR(--(INDEX('Reguler Class Availability'!$F:$F,AS118)&amp;""),0)&amp;IF(IFERROR(--(INDEX('Reguler Class Availability'!$F:$F,AS118)&amp;""),0)&gt;0,"  ("&amp;TEXT(IFERROR(--(INDEX('Reguler Class Availability'!$G:$G,AS118)&amp;""),0)/IFERROR(--(INDEX('Reguler Class Availability'!$F:$F,AS118)&amp;""),0),"0%")&amp;")","")&amp;CHAR(10)&amp;IF(INDEX('Reguler Class Availability'!$I:$I,AS118)&amp;""="","coach: –",PROPER(INDEX('Reguler Class Availability'!$I:$I,AS118)&amp;""))&amp;IF(INDEX('Reguler Class Availability'!$J:$J,AS118)&amp;""="","",CHAR(10)&amp;"asst: "&amp;PROPER(INDEX('Reguler Class Availability'!$J:$J,AS118)&amp;""))))</f>
        <v/>
      </c>
      <c r="H118" s="67" t="str">
        <f aca="false">IF(AT118="","",IF(BB118="Tidak dibuka","–",IF(INDEX('Reguler Class Availability'!$B:$B,AT118)&amp;""="","Kosong",PROPER(INDEX('Reguler Class Availability'!$B:$B,AT118)&amp;""))&amp;"  "&amp;IFERROR(--(INDEX('Reguler Class Availability'!$G:$G,AT118)&amp;""),0)&amp;"/"&amp;IFERROR(--(INDEX('Reguler Class Availability'!$F:$F,AT118)&amp;""),0)&amp;IF(IFERROR(--(INDEX('Reguler Class Availability'!$F:$F,AT118)&amp;""),0)&gt;0,"  ("&amp;TEXT(IFERROR(--(INDEX('Reguler Class Availability'!$G:$G,AT118)&amp;""),0)/IFERROR(--(INDEX('Reguler Class Availability'!$F:$F,AT118)&amp;""),0),"0%")&amp;")","")&amp;CHAR(10)&amp;IF(INDEX('Reguler Class Availability'!$I:$I,AT118)&amp;""="","coach: –",PROPER(INDEX('Reguler Class Availability'!$I:$I,AT118)&amp;""))&amp;IF(INDEX('Reguler Class Availability'!$J:$J,AT118)&amp;""="","",CHAR(10)&amp;"asst: "&amp;PROPER(INDEX('Reguler Class Availability'!$J:$J,AT118)&amp;""))))</f>
        <v/>
      </c>
      <c r="AN118" s="0" t="str">
        <f aca="false">IF($A118="","",IFERROR(MATCH($B$4&amp;"|- Lane 6 - "&amp;B$105&amp;"|"&amp;$A118,'Reguler Class Availability'!$L:$L,0),""))</f>
        <v/>
      </c>
      <c r="AO118" s="0" t="str">
        <f aca="false">IF($A118="","",IFERROR(MATCH($B$4&amp;"|- Lane 6 - "&amp;C$105&amp;"|"&amp;$A118,'Reguler Class Availability'!$L:$L,0),""))</f>
        <v/>
      </c>
      <c r="AP118" s="0" t="str">
        <f aca="false">IF($A118="","",IFERROR(MATCH($B$4&amp;"|- Lane 6 - "&amp;D$105&amp;"|"&amp;$A118,'Reguler Class Availability'!$L:$L,0),""))</f>
        <v/>
      </c>
      <c r="AQ118" s="0" t="str">
        <f aca="false">IF($A118="","",IFERROR(MATCH($B$4&amp;"|- Lane 6 - "&amp;E$105&amp;"|"&amp;$A118,'Reguler Class Availability'!$L:$L,0),""))</f>
        <v/>
      </c>
      <c r="AR118" s="0" t="str">
        <f aca="false">IF($A118="","",IFERROR(MATCH($B$4&amp;"|- Lane 6 - "&amp;F$105&amp;"|"&amp;$A118,'Reguler Class Availability'!$L:$L,0),""))</f>
        <v/>
      </c>
      <c r="AS118" s="0" t="str">
        <f aca="false">IF($A118="","",IFERROR(MATCH($B$4&amp;"|- Lane 6 - "&amp;G$105&amp;"|"&amp;$A118,'Reguler Class Availability'!$L:$L,0),""))</f>
        <v/>
      </c>
      <c r="AT118" s="0" t="str">
        <f aca="false">IF($A118="","",IFERROR(MATCH($B$4&amp;"|- Lane 6 - "&amp;H$105&amp;"|"&amp;$A118,'Reguler Class Availability'!$L:$L,0),""))</f>
        <v/>
      </c>
      <c r="AV118" s="0" t="str">
        <f aca="false">IF(AN118="","",IF(AND(IFERROR(--(INDEX('Reguler Class Availability'!$F:$F,AN118)&amp;""),0)=0,IFERROR(--(INDEX('Reguler Class Availability'!$G:$G,AN118)&amp;""),0)=0),IF(OR(INDEX('Reguler Class Availability'!$B:$B,AN118)&amp;""&lt;&gt;"",INDEX('Reguler Class Availability'!$I:$I,AN118)&amp;""&lt;&gt;""),"Tutup","Tidak dibuka"),IF(IFERROR(--(INDEX('Reguler Class Availability'!$G:$G,AN118)&amp;""),0)&gt;IFERROR(--(INDEX('Reguler Class Availability'!$F:$F,AN118)&amp;""),0),"Lebih",IF(IFERROR(--(INDEX('Reguler Class Availability'!$G:$G,AN118)&amp;""),0)=IFERROR(--(INDEX('Reguler Class Availability'!$F:$F,AN118)&amp;""),0),"Penuh",IF(IFERROR(--(INDEX('Reguler Class Availability'!$G:$G,AN118)&amp;""),0)=0,IF(INDEX('Reguler Class Availability'!$B:$B,AN118)&amp;""="","Kosong","Belum terisi"),IF(IFERROR(--(INDEX('Reguler Class Availability'!$G:$G,AN118)&amp;""),0)/IFERROR(--(INDEX('Reguler Class Availability'!$F:$F,AN118)&amp;""),0)&gt;=0.6,"Tinggi","Sebagian"))))))</f>
        <v/>
      </c>
      <c r="AW118" s="0" t="str">
        <f aca="false">IF(AO118="","",IF(AND(IFERROR(--(INDEX('Reguler Class Availability'!$F:$F,AO118)&amp;""),0)=0,IFERROR(--(INDEX('Reguler Class Availability'!$G:$G,AO118)&amp;""),0)=0),IF(OR(INDEX('Reguler Class Availability'!$B:$B,AO118)&amp;""&lt;&gt;"",INDEX('Reguler Class Availability'!$I:$I,AO118)&amp;""&lt;&gt;""),"Tutup","Tidak dibuka"),IF(IFERROR(--(INDEX('Reguler Class Availability'!$G:$G,AO118)&amp;""),0)&gt;IFERROR(--(INDEX('Reguler Class Availability'!$F:$F,AO118)&amp;""),0),"Lebih",IF(IFERROR(--(INDEX('Reguler Class Availability'!$G:$G,AO118)&amp;""),0)=IFERROR(--(INDEX('Reguler Class Availability'!$F:$F,AO118)&amp;""),0),"Penuh",IF(IFERROR(--(INDEX('Reguler Class Availability'!$G:$G,AO118)&amp;""),0)=0,IF(INDEX('Reguler Class Availability'!$B:$B,AO118)&amp;""="","Kosong","Belum terisi"),IF(IFERROR(--(INDEX('Reguler Class Availability'!$G:$G,AO118)&amp;""),0)/IFERROR(--(INDEX('Reguler Class Availability'!$F:$F,AO118)&amp;""),0)&gt;=0.6,"Tinggi","Sebagian"))))))</f>
        <v/>
      </c>
      <c r="AX118" s="0" t="str">
        <f aca="false">IF(AP118="","",IF(AND(IFERROR(--(INDEX('Reguler Class Availability'!$F:$F,AP118)&amp;""),0)=0,IFERROR(--(INDEX('Reguler Class Availability'!$G:$G,AP118)&amp;""),0)=0),IF(OR(INDEX('Reguler Class Availability'!$B:$B,AP118)&amp;""&lt;&gt;"",INDEX('Reguler Class Availability'!$I:$I,AP118)&amp;""&lt;&gt;""),"Tutup","Tidak dibuka"),IF(IFERROR(--(INDEX('Reguler Class Availability'!$G:$G,AP118)&amp;""),0)&gt;IFERROR(--(INDEX('Reguler Class Availability'!$F:$F,AP118)&amp;""),0),"Lebih",IF(IFERROR(--(INDEX('Reguler Class Availability'!$G:$G,AP118)&amp;""),0)=IFERROR(--(INDEX('Reguler Class Availability'!$F:$F,AP118)&amp;""),0),"Penuh",IF(IFERROR(--(INDEX('Reguler Class Availability'!$G:$G,AP118)&amp;""),0)=0,IF(INDEX('Reguler Class Availability'!$B:$B,AP118)&amp;""="","Kosong","Belum terisi"),IF(IFERROR(--(INDEX('Reguler Class Availability'!$G:$G,AP118)&amp;""),0)/IFERROR(--(INDEX('Reguler Class Availability'!$F:$F,AP118)&amp;""),0)&gt;=0.6,"Tinggi","Sebagian"))))))</f>
        <v/>
      </c>
      <c r="AY118" s="0" t="str">
        <f aca="false">IF(AQ118="","",IF(AND(IFERROR(--(INDEX('Reguler Class Availability'!$F:$F,AQ118)&amp;""),0)=0,IFERROR(--(INDEX('Reguler Class Availability'!$G:$G,AQ118)&amp;""),0)=0),IF(OR(INDEX('Reguler Class Availability'!$B:$B,AQ118)&amp;""&lt;&gt;"",INDEX('Reguler Class Availability'!$I:$I,AQ118)&amp;""&lt;&gt;""),"Tutup","Tidak dibuka"),IF(IFERROR(--(INDEX('Reguler Class Availability'!$G:$G,AQ118)&amp;""),0)&gt;IFERROR(--(INDEX('Reguler Class Availability'!$F:$F,AQ118)&amp;""),0),"Lebih",IF(IFERROR(--(INDEX('Reguler Class Availability'!$G:$G,AQ118)&amp;""),0)=IFERROR(--(INDEX('Reguler Class Availability'!$F:$F,AQ118)&amp;""),0),"Penuh",IF(IFERROR(--(INDEX('Reguler Class Availability'!$G:$G,AQ118)&amp;""),0)=0,IF(INDEX('Reguler Class Availability'!$B:$B,AQ118)&amp;""="","Kosong","Belum terisi"),IF(IFERROR(--(INDEX('Reguler Class Availability'!$G:$G,AQ118)&amp;""),0)/IFERROR(--(INDEX('Reguler Class Availability'!$F:$F,AQ118)&amp;""),0)&gt;=0.6,"Tinggi","Sebagian"))))))</f>
        <v/>
      </c>
      <c r="AZ118" s="0" t="str">
        <f aca="false">IF(AR118="","",IF(AND(IFERROR(--(INDEX('Reguler Class Availability'!$F:$F,AR118)&amp;""),0)=0,IFERROR(--(INDEX('Reguler Class Availability'!$G:$G,AR118)&amp;""),0)=0),IF(OR(INDEX('Reguler Class Availability'!$B:$B,AR118)&amp;""&lt;&gt;"",INDEX('Reguler Class Availability'!$I:$I,AR118)&amp;""&lt;&gt;""),"Tutup","Tidak dibuka"),IF(IFERROR(--(INDEX('Reguler Class Availability'!$G:$G,AR118)&amp;""),0)&gt;IFERROR(--(INDEX('Reguler Class Availability'!$F:$F,AR118)&amp;""),0),"Lebih",IF(IFERROR(--(INDEX('Reguler Class Availability'!$G:$G,AR118)&amp;""),0)=IFERROR(--(INDEX('Reguler Class Availability'!$F:$F,AR118)&amp;""),0),"Penuh",IF(IFERROR(--(INDEX('Reguler Class Availability'!$G:$G,AR118)&amp;""),0)=0,IF(INDEX('Reguler Class Availability'!$B:$B,AR118)&amp;""="","Kosong","Belum terisi"),IF(IFERROR(--(INDEX('Reguler Class Availability'!$G:$G,AR118)&amp;""),0)/IFERROR(--(INDEX('Reguler Class Availability'!$F:$F,AR118)&amp;""),0)&gt;=0.6,"Tinggi","Sebagian"))))))</f>
        <v/>
      </c>
      <c r="BA118" s="0" t="str">
        <f aca="false">IF(AS118="","",IF(AND(IFERROR(--(INDEX('Reguler Class Availability'!$F:$F,AS118)&amp;""),0)=0,IFERROR(--(INDEX('Reguler Class Availability'!$G:$G,AS118)&amp;""),0)=0),IF(OR(INDEX('Reguler Class Availability'!$B:$B,AS118)&amp;""&lt;&gt;"",INDEX('Reguler Class Availability'!$I:$I,AS118)&amp;""&lt;&gt;""),"Tutup","Tidak dibuka"),IF(IFERROR(--(INDEX('Reguler Class Availability'!$G:$G,AS118)&amp;""),0)&gt;IFERROR(--(INDEX('Reguler Class Availability'!$F:$F,AS118)&amp;""),0),"Lebih",IF(IFERROR(--(INDEX('Reguler Class Availability'!$G:$G,AS118)&amp;""),0)=IFERROR(--(INDEX('Reguler Class Availability'!$F:$F,AS118)&amp;""),0),"Penuh",IF(IFERROR(--(INDEX('Reguler Class Availability'!$G:$G,AS118)&amp;""),0)=0,IF(INDEX('Reguler Class Availability'!$B:$B,AS118)&amp;""="","Kosong","Belum terisi"),IF(IFERROR(--(INDEX('Reguler Class Availability'!$G:$G,AS118)&amp;""),0)/IFERROR(--(INDEX('Reguler Class Availability'!$F:$F,AS118)&amp;""),0)&gt;=0.6,"Tinggi","Sebagian"))))))</f>
        <v/>
      </c>
      <c r="BB118" s="0" t="str">
        <f aca="false">IF(AT118="","",IF(AND(IFERROR(--(INDEX('Reguler Class Availability'!$F:$F,AT118)&amp;""),0)=0,IFERROR(--(INDEX('Reguler Class Availability'!$G:$G,AT118)&amp;""),0)=0),IF(OR(INDEX('Reguler Class Availability'!$B:$B,AT118)&amp;""&lt;&gt;"",INDEX('Reguler Class Availability'!$I:$I,AT118)&amp;""&lt;&gt;""),"Tutup","Tidak dibuka"),IF(IFERROR(--(INDEX('Reguler Class Availability'!$G:$G,AT118)&amp;""),0)&gt;IFERROR(--(INDEX('Reguler Class Availability'!$F:$F,AT118)&amp;""),0),"Lebih",IF(IFERROR(--(INDEX('Reguler Class Availability'!$G:$G,AT118)&amp;""),0)=IFERROR(--(INDEX('Reguler Class Availability'!$F:$F,AT118)&amp;""),0),"Penuh",IF(IFERROR(--(INDEX('Reguler Class Availability'!$G:$G,AT118)&amp;""),0)=0,IF(INDEX('Reguler Class Availability'!$B:$B,AT118)&amp;""="","Kosong","Belum terisi"),IF(IFERROR(--(INDEX('Reguler Class Availability'!$G:$G,AT118)&amp;""),0)/IFERROR(--(INDEX('Reguler Class Availability'!$F:$F,AT118)&amp;""),0)&gt;=0.6,"Tinggi","Sebagian"))))))</f>
        <v/>
      </c>
      <c r="BD118" s="30" t="s">
        <v>168</v>
      </c>
      <c r="BE118" s="30" t="n">
        <f aca="false">IF(COUNTIFS('Reguler Class Availability'!$L:$L,$B$4&amp;"|- Lane 2 - *|"&amp;BD118)&gt;0,1,0)</f>
        <v>0</v>
      </c>
      <c r="BF118" s="30" t="n">
        <f aca="false">BE118+BF117</f>
        <v>12</v>
      </c>
    </row>
    <row r="119" customFormat="false" ht="39.75" hidden="false" customHeight="true" outlineLevel="0" collapsed="false">
      <c r="A119" s="66" t="str">
        <f aca="false">IFERROR(INDEX($BD$302:$BD$361,MATCH(14,$BF$302:$BF$361,0)),"")</f>
        <v/>
      </c>
      <c r="B119" s="67" t="str">
        <f aca="false">IF(AN119="","",IF(AV119="Tidak dibuka","–",IF(INDEX('Reguler Class Availability'!$B:$B,AN119)&amp;""="","Kosong",PROPER(INDEX('Reguler Class Availability'!$B:$B,AN119)&amp;""))&amp;"  "&amp;IFERROR(--(INDEX('Reguler Class Availability'!$G:$G,AN119)&amp;""),0)&amp;"/"&amp;IFERROR(--(INDEX('Reguler Class Availability'!$F:$F,AN119)&amp;""),0)&amp;IF(IFERROR(--(INDEX('Reguler Class Availability'!$F:$F,AN119)&amp;""),0)&gt;0,"  ("&amp;TEXT(IFERROR(--(INDEX('Reguler Class Availability'!$G:$G,AN119)&amp;""),0)/IFERROR(--(INDEX('Reguler Class Availability'!$F:$F,AN119)&amp;""),0),"0%")&amp;")","")&amp;CHAR(10)&amp;IF(INDEX('Reguler Class Availability'!$I:$I,AN119)&amp;""="","coach: –",PROPER(INDEX('Reguler Class Availability'!$I:$I,AN119)&amp;""))&amp;IF(INDEX('Reguler Class Availability'!$J:$J,AN119)&amp;""="","",CHAR(10)&amp;"asst: "&amp;PROPER(INDEX('Reguler Class Availability'!$J:$J,AN119)&amp;""))))</f>
        <v/>
      </c>
      <c r="C119" s="67" t="str">
        <f aca="false">IF(AO119="","",IF(AW119="Tidak dibuka","–",IF(INDEX('Reguler Class Availability'!$B:$B,AO119)&amp;""="","Kosong",PROPER(INDEX('Reguler Class Availability'!$B:$B,AO119)&amp;""))&amp;"  "&amp;IFERROR(--(INDEX('Reguler Class Availability'!$G:$G,AO119)&amp;""),0)&amp;"/"&amp;IFERROR(--(INDEX('Reguler Class Availability'!$F:$F,AO119)&amp;""),0)&amp;IF(IFERROR(--(INDEX('Reguler Class Availability'!$F:$F,AO119)&amp;""),0)&gt;0,"  ("&amp;TEXT(IFERROR(--(INDEX('Reguler Class Availability'!$G:$G,AO119)&amp;""),0)/IFERROR(--(INDEX('Reguler Class Availability'!$F:$F,AO119)&amp;""),0),"0%")&amp;")","")&amp;CHAR(10)&amp;IF(INDEX('Reguler Class Availability'!$I:$I,AO119)&amp;""="","coach: –",PROPER(INDEX('Reguler Class Availability'!$I:$I,AO119)&amp;""))&amp;IF(INDEX('Reguler Class Availability'!$J:$J,AO119)&amp;""="","",CHAR(10)&amp;"asst: "&amp;PROPER(INDEX('Reguler Class Availability'!$J:$J,AO119)&amp;""))))</f>
        <v/>
      </c>
      <c r="D119" s="67" t="str">
        <f aca="false">IF(AP119="","",IF(AX119="Tidak dibuka","–",IF(INDEX('Reguler Class Availability'!$B:$B,AP119)&amp;""="","Kosong",PROPER(INDEX('Reguler Class Availability'!$B:$B,AP119)&amp;""))&amp;"  "&amp;IFERROR(--(INDEX('Reguler Class Availability'!$G:$G,AP119)&amp;""),0)&amp;"/"&amp;IFERROR(--(INDEX('Reguler Class Availability'!$F:$F,AP119)&amp;""),0)&amp;IF(IFERROR(--(INDEX('Reguler Class Availability'!$F:$F,AP119)&amp;""),0)&gt;0,"  ("&amp;TEXT(IFERROR(--(INDEX('Reguler Class Availability'!$G:$G,AP119)&amp;""),0)/IFERROR(--(INDEX('Reguler Class Availability'!$F:$F,AP119)&amp;""),0),"0%")&amp;")","")&amp;CHAR(10)&amp;IF(INDEX('Reguler Class Availability'!$I:$I,AP119)&amp;""="","coach: –",PROPER(INDEX('Reguler Class Availability'!$I:$I,AP119)&amp;""))&amp;IF(INDEX('Reguler Class Availability'!$J:$J,AP119)&amp;""="","",CHAR(10)&amp;"asst: "&amp;PROPER(INDEX('Reguler Class Availability'!$J:$J,AP119)&amp;""))))</f>
        <v/>
      </c>
      <c r="E119" s="67" t="str">
        <f aca="false">IF(AQ119="","",IF(AY119="Tidak dibuka","–",IF(INDEX('Reguler Class Availability'!$B:$B,AQ119)&amp;""="","Kosong",PROPER(INDEX('Reguler Class Availability'!$B:$B,AQ119)&amp;""))&amp;"  "&amp;IFERROR(--(INDEX('Reguler Class Availability'!$G:$G,AQ119)&amp;""),0)&amp;"/"&amp;IFERROR(--(INDEX('Reguler Class Availability'!$F:$F,AQ119)&amp;""),0)&amp;IF(IFERROR(--(INDEX('Reguler Class Availability'!$F:$F,AQ119)&amp;""),0)&gt;0,"  ("&amp;TEXT(IFERROR(--(INDEX('Reguler Class Availability'!$G:$G,AQ119)&amp;""),0)/IFERROR(--(INDEX('Reguler Class Availability'!$F:$F,AQ119)&amp;""),0),"0%")&amp;")","")&amp;CHAR(10)&amp;IF(INDEX('Reguler Class Availability'!$I:$I,AQ119)&amp;""="","coach: –",PROPER(INDEX('Reguler Class Availability'!$I:$I,AQ119)&amp;""))&amp;IF(INDEX('Reguler Class Availability'!$J:$J,AQ119)&amp;""="","",CHAR(10)&amp;"asst: "&amp;PROPER(INDEX('Reguler Class Availability'!$J:$J,AQ119)&amp;""))))</f>
        <v/>
      </c>
      <c r="F119" s="67" t="str">
        <f aca="false">IF(AR119="","",IF(AZ119="Tidak dibuka","–",IF(INDEX('Reguler Class Availability'!$B:$B,AR119)&amp;""="","Kosong",PROPER(INDEX('Reguler Class Availability'!$B:$B,AR119)&amp;""))&amp;"  "&amp;IFERROR(--(INDEX('Reguler Class Availability'!$G:$G,AR119)&amp;""),0)&amp;"/"&amp;IFERROR(--(INDEX('Reguler Class Availability'!$F:$F,AR119)&amp;""),0)&amp;IF(IFERROR(--(INDEX('Reguler Class Availability'!$F:$F,AR119)&amp;""),0)&gt;0,"  ("&amp;TEXT(IFERROR(--(INDEX('Reguler Class Availability'!$G:$G,AR119)&amp;""),0)/IFERROR(--(INDEX('Reguler Class Availability'!$F:$F,AR119)&amp;""),0),"0%")&amp;")","")&amp;CHAR(10)&amp;IF(INDEX('Reguler Class Availability'!$I:$I,AR119)&amp;""="","coach: –",PROPER(INDEX('Reguler Class Availability'!$I:$I,AR119)&amp;""))&amp;IF(INDEX('Reguler Class Availability'!$J:$J,AR119)&amp;""="","",CHAR(10)&amp;"asst: "&amp;PROPER(INDEX('Reguler Class Availability'!$J:$J,AR119)&amp;""))))</f>
        <v/>
      </c>
      <c r="G119" s="67" t="str">
        <f aca="false">IF(AS119="","",IF(BA119="Tidak dibuka","–",IF(INDEX('Reguler Class Availability'!$B:$B,AS119)&amp;""="","Kosong",PROPER(INDEX('Reguler Class Availability'!$B:$B,AS119)&amp;""))&amp;"  "&amp;IFERROR(--(INDEX('Reguler Class Availability'!$G:$G,AS119)&amp;""),0)&amp;"/"&amp;IFERROR(--(INDEX('Reguler Class Availability'!$F:$F,AS119)&amp;""),0)&amp;IF(IFERROR(--(INDEX('Reguler Class Availability'!$F:$F,AS119)&amp;""),0)&gt;0,"  ("&amp;TEXT(IFERROR(--(INDEX('Reguler Class Availability'!$G:$G,AS119)&amp;""),0)/IFERROR(--(INDEX('Reguler Class Availability'!$F:$F,AS119)&amp;""),0),"0%")&amp;")","")&amp;CHAR(10)&amp;IF(INDEX('Reguler Class Availability'!$I:$I,AS119)&amp;""="","coach: –",PROPER(INDEX('Reguler Class Availability'!$I:$I,AS119)&amp;""))&amp;IF(INDEX('Reguler Class Availability'!$J:$J,AS119)&amp;""="","",CHAR(10)&amp;"asst: "&amp;PROPER(INDEX('Reguler Class Availability'!$J:$J,AS119)&amp;""))))</f>
        <v/>
      </c>
      <c r="H119" s="67" t="str">
        <f aca="false">IF(AT119="","",IF(BB119="Tidak dibuka","–",IF(INDEX('Reguler Class Availability'!$B:$B,AT119)&amp;""="","Kosong",PROPER(INDEX('Reguler Class Availability'!$B:$B,AT119)&amp;""))&amp;"  "&amp;IFERROR(--(INDEX('Reguler Class Availability'!$G:$G,AT119)&amp;""),0)&amp;"/"&amp;IFERROR(--(INDEX('Reguler Class Availability'!$F:$F,AT119)&amp;""),0)&amp;IF(IFERROR(--(INDEX('Reguler Class Availability'!$F:$F,AT119)&amp;""),0)&gt;0,"  ("&amp;TEXT(IFERROR(--(INDEX('Reguler Class Availability'!$G:$G,AT119)&amp;""),0)/IFERROR(--(INDEX('Reguler Class Availability'!$F:$F,AT119)&amp;""),0),"0%")&amp;")","")&amp;CHAR(10)&amp;IF(INDEX('Reguler Class Availability'!$I:$I,AT119)&amp;""="","coach: –",PROPER(INDEX('Reguler Class Availability'!$I:$I,AT119)&amp;""))&amp;IF(INDEX('Reguler Class Availability'!$J:$J,AT119)&amp;""="","",CHAR(10)&amp;"asst: "&amp;PROPER(INDEX('Reguler Class Availability'!$J:$J,AT119)&amp;""))))</f>
        <v/>
      </c>
      <c r="AN119" s="0" t="str">
        <f aca="false">IF($A119="","",IFERROR(MATCH($B$4&amp;"|- Lane 6 - "&amp;B$105&amp;"|"&amp;$A119,'Reguler Class Availability'!$L:$L,0),""))</f>
        <v/>
      </c>
      <c r="AO119" s="0" t="str">
        <f aca="false">IF($A119="","",IFERROR(MATCH($B$4&amp;"|- Lane 6 - "&amp;C$105&amp;"|"&amp;$A119,'Reguler Class Availability'!$L:$L,0),""))</f>
        <v/>
      </c>
      <c r="AP119" s="0" t="str">
        <f aca="false">IF($A119="","",IFERROR(MATCH($B$4&amp;"|- Lane 6 - "&amp;D$105&amp;"|"&amp;$A119,'Reguler Class Availability'!$L:$L,0),""))</f>
        <v/>
      </c>
      <c r="AQ119" s="0" t="str">
        <f aca="false">IF($A119="","",IFERROR(MATCH($B$4&amp;"|- Lane 6 - "&amp;E$105&amp;"|"&amp;$A119,'Reguler Class Availability'!$L:$L,0),""))</f>
        <v/>
      </c>
      <c r="AR119" s="0" t="str">
        <f aca="false">IF($A119="","",IFERROR(MATCH($B$4&amp;"|- Lane 6 - "&amp;F$105&amp;"|"&amp;$A119,'Reguler Class Availability'!$L:$L,0),""))</f>
        <v/>
      </c>
      <c r="AS119" s="0" t="str">
        <f aca="false">IF($A119="","",IFERROR(MATCH($B$4&amp;"|- Lane 6 - "&amp;G$105&amp;"|"&amp;$A119,'Reguler Class Availability'!$L:$L,0),""))</f>
        <v/>
      </c>
      <c r="AT119" s="0" t="str">
        <f aca="false">IF($A119="","",IFERROR(MATCH($B$4&amp;"|- Lane 6 - "&amp;H$105&amp;"|"&amp;$A119,'Reguler Class Availability'!$L:$L,0),""))</f>
        <v/>
      </c>
      <c r="AV119" s="0" t="str">
        <f aca="false">IF(AN119="","",IF(AND(IFERROR(--(INDEX('Reguler Class Availability'!$F:$F,AN119)&amp;""),0)=0,IFERROR(--(INDEX('Reguler Class Availability'!$G:$G,AN119)&amp;""),0)=0),IF(OR(INDEX('Reguler Class Availability'!$B:$B,AN119)&amp;""&lt;&gt;"",INDEX('Reguler Class Availability'!$I:$I,AN119)&amp;""&lt;&gt;""),"Tutup","Tidak dibuka"),IF(IFERROR(--(INDEX('Reguler Class Availability'!$G:$G,AN119)&amp;""),0)&gt;IFERROR(--(INDEX('Reguler Class Availability'!$F:$F,AN119)&amp;""),0),"Lebih",IF(IFERROR(--(INDEX('Reguler Class Availability'!$G:$G,AN119)&amp;""),0)=IFERROR(--(INDEX('Reguler Class Availability'!$F:$F,AN119)&amp;""),0),"Penuh",IF(IFERROR(--(INDEX('Reguler Class Availability'!$G:$G,AN119)&amp;""),0)=0,IF(INDEX('Reguler Class Availability'!$B:$B,AN119)&amp;""="","Kosong","Belum terisi"),IF(IFERROR(--(INDEX('Reguler Class Availability'!$G:$G,AN119)&amp;""),0)/IFERROR(--(INDEX('Reguler Class Availability'!$F:$F,AN119)&amp;""),0)&gt;=0.6,"Tinggi","Sebagian"))))))</f>
        <v/>
      </c>
      <c r="AW119" s="0" t="str">
        <f aca="false">IF(AO119="","",IF(AND(IFERROR(--(INDEX('Reguler Class Availability'!$F:$F,AO119)&amp;""),0)=0,IFERROR(--(INDEX('Reguler Class Availability'!$G:$G,AO119)&amp;""),0)=0),IF(OR(INDEX('Reguler Class Availability'!$B:$B,AO119)&amp;""&lt;&gt;"",INDEX('Reguler Class Availability'!$I:$I,AO119)&amp;""&lt;&gt;""),"Tutup","Tidak dibuka"),IF(IFERROR(--(INDEX('Reguler Class Availability'!$G:$G,AO119)&amp;""),0)&gt;IFERROR(--(INDEX('Reguler Class Availability'!$F:$F,AO119)&amp;""),0),"Lebih",IF(IFERROR(--(INDEX('Reguler Class Availability'!$G:$G,AO119)&amp;""),0)=IFERROR(--(INDEX('Reguler Class Availability'!$F:$F,AO119)&amp;""),0),"Penuh",IF(IFERROR(--(INDEX('Reguler Class Availability'!$G:$G,AO119)&amp;""),0)=0,IF(INDEX('Reguler Class Availability'!$B:$B,AO119)&amp;""="","Kosong","Belum terisi"),IF(IFERROR(--(INDEX('Reguler Class Availability'!$G:$G,AO119)&amp;""),0)/IFERROR(--(INDEX('Reguler Class Availability'!$F:$F,AO119)&amp;""),0)&gt;=0.6,"Tinggi","Sebagian"))))))</f>
        <v/>
      </c>
      <c r="AX119" s="0" t="str">
        <f aca="false">IF(AP119="","",IF(AND(IFERROR(--(INDEX('Reguler Class Availability'!$F:$F,AP119)&amp;""),0)=0,IFERROR(--(INDEX('Reguler Class Availability'!$G:$G,AP119)&amp;""),0)=0),IF(OR(INDEX('Reguler Class Availability'!$B:$B,AP119)&amp;""&lt;&gt;"",INDEX('Reguler Class Availability'!$I:$I,AP119)&amp;""&lt;&gt;""),"Tutup","Tidak dibuka"),IF(IFERROR(--(INDEX('Reguler Class Availability'!$G:$G,AP119)&amp;""),0)&gt;IFERROR(--(INDEX('Reguler Class Availability'!$F:$F,AP119)&amp;""),0),"Lebih",IF(IFERROR(--(INDEX('Reguler Class Availability'!$G:$G,AP119)&amp;""),0)=IFERROR(--(INDEX('Reguler Class Availability'!$F:$F,AP119)&amp;""),0),"Penuh",IF(IFERROR(--(INDEX('Reguler Class Availability'!$G:$G,AP119)&amp;""),0)=0,IF(INDEX('Reguler Class Availability'!$B:$B,AP119)&amp;""="","Kosong","Belum terisi"),IF(IFERROR(--(INDEX('Reguler Class Availability'!$G:$G,AP119)&amp;""),0)/IFERROR(--(INDEX('Reguler Class Availability'!$F:$F,AP119)&amp;""),0)&gt;=0.6,"Tinggi","Sebagian"))))))</f>
        <v/>
      </c>
      <c r="AY119" s="0" t="str">
        <f aca="false">IF(AQ119="","",IF(AND(IFERROR(--(INDEX('Reguler Class Availability'!$F:$F,AQ119)&amp;""),0)=0,IFERROR(--(INDEX('Reguler Class Availability'!$G:$G,AQ119)&amp;""),0)=0),IF(OR(INDEX('Reguler Class Availability'!$B:$B,AQ119)&amp;""&lt;&gt;"",INDEX('Reguler Class Availability'!$I:$I,AQ119)&amp;""&lt;&gt;""),"Tutup","Tidak dibuka"),IF(IFERROR(--(INDEX('Reguler Class Availability'!$G:$G,AQ119)&amp;""),0)&gt;IFERROR(--(INDEX('Reguler Class Availability'!$F:$F,AQ119)&amp;""),0),"Lebih",IF(IFERROR(--(INDEX('Reguler Class Availability'!$G:$G,AQ119)&amp;""),0)=IFERROR(--(INDEX('Reguler Class Availability'!$F:$F,AQ119)&amp;""),0),"Penuh",IF(IFERROR(--(INDEX('Reguler Class Availability'!$G:$G,AQ119)&amp;""),0)=0,IF(INDEX('Reguler Class Availability'!$B:$B,AQ119)&amp;""="","Kosong","Belum terisi"),IF(IFERROR(--(INDEX('Reguler Class Availability'!$G:$G,AQ119)&amp;""),0)/IFERROR(--(INDEX('Reguler Class Availability'!$F:$F,AQ119)&amp;""),0)&gt;=0.6,"Tinggi","Sebagian"))))))</f>
        <v/>
      </c>
      <c r="AZ119" s="0" t="str">
        <f aca="false">IF(AR119="","",IF(AND(IFERROR(--(INDEX('Reguler Class Availability'!$F:$F,AR119)&amp;""),0)=0,IFERROR(--(INDEX('Reguler Class Availability'!$G:$G,AR119)&amp;""),0)=0),IF(OR(INDEX('Reguler Class Availability'!$B:$B,AR119)&amp;""&lt;&gt;"",INDEX('Reguler Class Availability'!$I:$I,AR119)&amp;""&lt;&gt;""),"Tutup","Tidak dibuka"),IF(IFERROR(--(INDEX('Reguler Class Availability'!$G:$G,AR119)&amp;""),0)&gt;IFERROR(--(INDEX('Reguler Class Availability'!$F:$F,AR119)&amp;""),0),"Lebih",IF(IFERROR(--(INDEX('Reguler Class Availability'!$G:$G,AR119)&amp;""),0)=IFERROR(--(INDEX('Reguler Class Availability'!$F:$F,AR119)&amp;""),0),"Penuh",IF(IFERROR(--(INDEX('Reguler Class Availability'!$G:$G,AR119)&amp;""),0)=0,IF(INDEX('Reguler Class Availability'!$B:$B,AR119)&amp;""="","Kosong","Belum terisi"),IF(IFERROR(--(INDEX('Reguler Class Availability'!$G:$G,AR119)&amp;""),0)/IFERROR(--(INDEX('Reguler Class Availability'!$F:$F,AR119)&amp;""),0)&gt;=0.6,"Tinggi","Sebagian"))))))</f>
        <v/>
      </c>
      <c r="BA119" s="0" t="str">
        <f aca="false">IF(AS119="","",IF(AND(IFERROR(--(INDEX('Reguler Class Availability'!$F:$F,AS119)&amp;""),0)=0,IFERROR(--(INDEX('Reguler Class Availability'!$G:$G,AS119)&amp;""),0)=0),IF(OR(INDEX('Reguler Class Availability'!$B:$B,AS119)&amp;""&lt;&gt;"",INDEX('Reguler Class Availability'!$I:$I,AS119)&amp;""&lt;&gt;""),"Tutup","Tidak dibuka"),IF(IFERROR(--(INDEX('Reguler Class Availability'!$G:$G,AS119)&amp;""),0)&gt;IFERROR(--(INDEX('Reguler Class Availability'!$F:$F,AS119)&amp;""),0),"Lebih",IF(IFERROR(--(INDEX('Reguler Class Availability'!$G:$G,AS119)&amp;""),0)=IFERROR(--(INDEX('Reguler Class Availability'!$F:$F,AS119)&amp;""),0),"Penuh",IF(IFERROR(--(INDEX('Reguler Class Availability'!$G:$G,AS119)&amp;""),0)=0,IF(INDEX('Reguler Class Availability'!$B:$B,AS119)&amp;""="","Kosong","Belum terisi"),IF(IFERROR(--(INDEX('Reguler Class Availability'!$G:$G,AS119)&amp;""),0)/IFERROR(--(INDEX('Reguler Class Availability'!$F:$F,AS119)&amp;""),0)&gt;=0.6,"Tinggi","Sebagian"))))))</f>
        <v/>
      </c>
      <c r="BB119" s="0" t="str">
        <f aca="false">IF(AT119="","",IF(AND(IFERROR(--(INDEX('Reguler Class Availability'!$F:$F,AT119)&amp;""),0)=0,IFERROR(--(INDEX('Reguler Class Availability'!$G:$G,AT119)&amp;""),0)=0),IF(OR(INDEX('Reguler Class Availability'!$B:$B,AT119)&amp;""&lt;&gt;"",INDEX('Reguler Class Availability'!$I:$I,AT119)&amp;""&lt;&gt;""),"Tutup","Tidak dibuka"),IF(IFERROR(--(INDEX('Reguler Class Availability'!$G:$G,AT119)&amp;""),0)&gt;IFERROR(--(INDEX('Reguler Class Availability'!$F:$F,AT119)&amp;""),0),"Lebih",IF(IFERROR(--(INDEX('Reguler Class Availability'!$G:$G,AT119)&amp;""),0)=IFERROR(--(INDEX('Reguler Class Availability'!$F:$F,AT119)&amp;""),0),"Penuh",IF(IFERROR(--(INDEX('Reguler Class Availability'!$G:$G,AT119)&amp;""),0)=0,IF(INDEX('Reguler Class Availability'!$B:$B,AT119)&amp;""="","Kosong","Belum terisi"),IF(IFERROR(--(INDEX('Reguler Class Availability'!$G:$G,AT119)&amp;""),0)/IFERROR(--(INDEX('Reguler Class Availability'!$F:$F,AT119)&amp;""),0)&gt;=0.6,"Tinggi","Sebagian"))))))</f>
        <v/>
      </c>
      <c r="BD119" s="30" t="s">
        <v>169</v>
      </c>
      <c r="BE119" s="30" t="n">
        <f aca="false">IF(COUNTIFS('Reguler Class Availability'!$L:$L,$B$4&amp;"|- Lane 2 - *|"&amp;BD119)&gt;0,1,0)</f>
        <v>0</v>
      </c>
      <c r="BF119" s="30" t="n">
        <f aca="false">BE119+BF118</f>
        <v>12</v>
      </c>
    </row>
    <row r="120" customFormat="false" ht="15" hidden="false" customHeight="false" outlineLevel="0" collapsed="false">
      <c r="A120" s="68" t="s">
        <v>137</v>
      </c>
      <c r="B120" s="69" t="str">
        <f aca="false">IFERROR(TEXT(SUMIFS('Reguler Class Availability'!$G:$G,'Reguler Class Availability'!$A:$A,$B$4,'Reguler Class Availability'!$C:$C,"- Lane 6 - "&amp;B$105,'Reguler Class Availability'!$F:$F,"&gt;0")/SUMIFS('Reguler Class Availability'!$F:$F,'Reguler Class Availability'!$A:$A,$B$4,'Reguler Class Availability'!$C:$C,"- Lane 6 - "&amp;B$105,'Reguler Class Availability'!$F:$F,"&gt;0"),"0%"),"–")</f>
        <v>–</v>
      </c>
      <c r="C120" s="69" t="str">
        <f aca="false">IFERROR(TEXT(SUMIFS('Reguler Class Availability'!$G:$G,'Reguler Class Availability'!$A:$A,$B$4,'Reguler Class Availability'!$C:$C,"- Lane 6 - "&amp;C$105,'Reguler Class Availability'!$F:$F,"&gt;0")/SUMIFS('Reguler Class Availability'!$F:$F,'Reguler Class Availability'!$A:$A,$B$4,'Reguler Class Availability'!$C:$C,"- Lane 6 - "&amp;C$105,'Reguler Class Availability'!$F:$F,"&gt;0"),"0%"),"–")</f>
        <v>–</v>
      </c>
      <c r="D120" s="69" t="str">
        <f aca="false">IFERROR(TEXT(SUMIFS('Reguler Class Availability'!$G:$G,'Reguler Class Availability'!$A:$A,$B$4,'Reguler Class Availability'!$C:$C,"- Lane 6 - "&amp;D$105,'Reguler Class Availability'!$F:$F,"&gt;0")/SUMIFS('Reguler Class Availability'!$F:$F,'Reguler Class Availability'!$A:$A,$B$4,'Reguler Class Availability'!$C:$C,"- Lane 6 - "&amp;D$105,'Reguler Class Availability'!$F:$F,"&gt;0"),"0%"),"–")</f>
        <v>–</v>
      </c>
      <c r="E120" s="69" t="str">
        <f aca="false">IFERROR(TEXT(SUMIFS('Reguler Class Availability'!$G:$G,'Reguler Class Availability'!$A:$A,$B$4,'Reguler Class Availability'!$C:$C,"- Lane 6 - "&amp;E$105,'Reguler Class Availability'!$F:$F,"&gt;0")/SUMIFS('Reguler Class Availability'!$F:$F,'Reguler Class Availability'!$A:$A,$B$4,'Reguler Class Availability'!$C:$C,"- Lane 6 - "&amp;E$105,'Reguler Class Availability'!$F:$F,"&gt;0"),"0%"),"–")</f>
        <v>–</v>
      </c>
      <c r="F120" s="69" t="str">
        <f aca="false">IFERROR(TEXT(SUMIFS('Reguler Class Availability'!$G:$G,'Reguler Class Availability'!$A:$A,$B$4,'Reguler Class Availability'!$C:$C,"- Lane 6 - "&amp;F$105,'Reguler Class Availability'!$F:$F,"&gt;0")/SUMIFS('Reguler Class Availability'!$F:$F,'Reguler Class Availability'!$A:$A,$B$4,'Reguler Class Availability'!$C:$C,"- Lane 6 - "&amp;F$105,'Reguler Class Availability'!$F:$F,"&gt;0"),"0%"),"–")</f>
        <v>–</v>
      </c>
      <c r="G120" s="69" t="str">
        <f aca="false">IFERROR(TEXT(SUMIFS('Reguler Class Availability'!$G:$G,'Reguler Class Availability'!$A:$A,$B$4,'Reguler Class Availability'!$C:$C,"- Lane 6 - "&amp;G$105,'Reguler Class Availability'!$F:$F,"&gt;0")/SUMIFS('Reguler Class Availability'!$F:$F,'Reguler Class Availability'!$A:$A,$B$4,'Reguler Class Availability'!$C:$C,"- Lane 6 - "&amp;G$105,'Reguler Class Availability'!$F:$F,"&gt;0"),"0%"),"–")</f>
        <v>–</v>
      </c>
      <c r="H120" s="69" t="str">
        <f aca="false">IFERROR(TEXT(SUMIFS('Reguler Class Availability'!$G:$G,'Reguler Class Availability'!$A:$A,$B$4,'Reguler Class Availability'!$C:$C,"- Lane 6 - "&amp;H$105,'Reguler Class Availability'!$F:$F,"&gt;0")/SUMIFS('Reguler Class Availability'!$F:$F,'Reguler Class Availability'!$A:$A,$B$4,'Reguler Class Availability'!$C:$C,"- Lane 6 - "&amp;H$105,'Reguler Class Availability'!$F:$F,"&gt;0"),"0%"),"–")</f>
        <v>–</v>
      </c>
      <c r="BD120" s="30" t="s">
        <v>170</v>
      </c>
      <c r="BE120" s="30" t="n">
        <f aca="false">IF(COUNTIFS('Reguler Class Availability'!$L:$L,$B$4&amp;"|- Lane 2 - *|"&amp;BD120)&gt;0,1,0)</f>
        <v>0</v>
      </c>
      <c r="BF120" s="30" t="n">
        <f aca="false">BE120+BF119</f>
        <v>12</v>
      </c>
    </row>
    <row r="121" customFormat="false" ht="15" hidden="false" customHeight="false" outlineLevel="0" collapsed="false">
      <c r="BD121" s="0" t="s">
        <v>171</v>
      </c>
      <c r="BE121" s="0" t="n">
        <f aca="false">IF(COUNTIFS('Reguler Class Availability'!$L:$L,$B$4&amp;"|- Lane 2 - *|"&amp;BD121)&gt;0,1,0)</f>
        <v>0</v>
      </c>
      <c r="BF121" s="0" t="n">
        <f aca="false">BE121+BF120</f>
        <v>12</v>
      </c>
    </row>
    <row r="122" customFormat="false" ht="15" hidden="false" customHeight="false" outlineLevel="0" collapsed="false">
      <c r="A122" s="70" t="s">
        <v>175</v>
      </c>
      <c r="BD122" s="30" t="s">
        <v>78</v>
      </c>
      <c r="BE122" s="30" t="n">
        <f aca="false">IF(COUNTIFS('Reguler Class Availability'!$L:$L,$B$4&amp;"|- Lane 3 - *|"&amp;BD122)&gt;0,1,0)</f>
        <v>0</v>
      </c>
      <c r="BF122" s="30" t="n">
        <f aca="false">BE122</f>
        <v>0</v>
      </c>
    </row>
    <row r="123" customFormat="false" ht="15" hidden="false" customHeight="false" outlineLevel="0" collapsed="false">
      <c r="BD123" s="0" t="s">
        <v>79</v>
      </c>
      <c r="BE123" s="0" t="n">
        <f aca="false">IF(COUNTIFS('Reguler Class Availability'!$L:$L,$B$4&amp;"|- Lane 3 - *|"&amp;BD123)&gt;0,1,0)</f>
        <v>0</v>
      </c>
      <c r="BF123" s="0" t="n">
        <f aca="false">BE123+BF122</f>
        <v>0</v>
      </c>
    </row>
    <row r="124" customFormat="false" ht="16.15" hidden="false" customHeight="false" outlineLevel="0" collapsed="false">
      <c r="A124" s="71" t="s">
        <v>176</v>
      </c>
      <c r="B124" s="72"/>
      <c r="C124" s="72"/>
      <c r="D124" s="72"/>
      <c r="E124" s="72"/>
      <c r="F124" s="72"/>
      <c r="G124" s="72"/>
      <c r="H124" s="72"/>
      <c r="I124" s="72"/>
      <c r="J124" s="72"/>
      <c r="K124" s="72"/>
      <c r="L124" s="72"/>
      <c r="M124" s="72"/>
      <c r="N124" s="72"/>
      <c r="BD124" s="30" t="s">
        <v>84</v>
      </c>
      <c r="BE124" s="30" t="n">
        <f aca="false">IF(COUNTIFS('Reguler Class Availability'!$L:$L,$B$4&amp;"|- Lane 3 - *|"&amp;BD124)&gt;0,1,0)</f>
        <v>0</v>
      </c>
      <c r="BF124" s="30" t="n">
        <f aca="false">BE124+BF123</f>
        <v>0</v>
      </c>
    </row>
    <row r="125" customFormat="false" ht="15" hidden="false" customHeight="false" outlineLevel="0" collapsed="false">
      <c r="A125" s="73" t="s">
        <v>177</v>
      </c>
      <c r="BD125" s="30" t="s">
        <v>85</v>
      </c>
      <c r="BE125" s="30" t="n">
        <f aca="false">IF(COUNTIFS('Reguler Class Availability'!$L:$L,$B$4&amp;"|- Lane 3 - *|"&amp;BD125)&gt;0,1,0)</f>
        <v>0</v>
      </c>
      <c r="BF125" s="30" t="n">
        <f aca="false">BE125+BF124</f>
        <v>0</v>
      </c>
    </row>
    <row r="126" customFormat="false" ht="31.5" hidden="false" customHeight="true" outlineLevel="0" collapsed="false">
      <c r="A126" s="74" t="s">
        <v>178</v>
      </c>
      <c r="B126" s="74" t="s">
        <v>179</v>
      </c>
      <c r="C126" s="74" t="s">
        <v>113</v>
      </c>
      <c r="D126" s="74" t="s">
        <v>180</v>
      </c>
      <c r="E126" s="74" t="s">
        <v>36</v>
      </c>
      <c r="F126" s="74" t="s">
        <v>181</v>
      </c>
      <c r="G126" s="74" t="s">
        <v>57</v>
      </c>
      <c r="H126" s="74" t="s">
        <v>182</v>
      </c>
      <c r="I126" s="74" t="s">
        <v>183</v>
      </c>
      <c r="J126" s="74" t="s">
        <v>184</v>
      </c>
      <c r="K126" s="75" t="s">
        <v>39</v>
      </c>
      <c r="L126" s="75" t="s">
        <v>41</v>
      </c>
      <c r="M126" s="75" t="s">
        <v>43</v>
      </c>
      <c r="N126" s="75" t="s">
        <v>45</v>
      </c>
      <c r="O126" s="75" t="s">
        <v>46</v>
      </c>
      <c r="BD126" s="30" t="s">
        <v>89</v>
      </c>
      <c r="BE126" s="30" t="n">
        <f aca="false">IF(COUNTIFS('Reguler Class Availability'!$L:$L,$B$4&amp;"|- Lane 3 - *|"&amp;BD126)&gt;0,1,0)</f>
        <v>0</v>
      </c>
      <c r="BF126" s="30" t="n">
        <f aca="false">BE126+BF125</f>
        <v>0</v>
      </c>
    </row>
    <row r="127" customFormat="false" ht="27.75" hidden="false" customHeight="true" outlineLevel="0" collapsed="false">
      <c r="A127" s="76" t="n">
        <v>1</v>
      </c>
      <c r="B127" s="77" t="s">
        <v>114</v>
      </c>
      <c r="C127" s="76" t="s">
        <v>91</v>
      </c>
      <c r="D127" s="76" t="n">
        <v>1</v>
      </c>
      <c r="E127" s="77" t="str">
        <f aca="false">IF($Q127="","Tidak ada di data",IF(AND(IFERROR(--(INDEX('Reguler Class Availability'!$F:$F,$Q127)&amp;""),0)=0,IFERROR(--(INDEX('Reguler Class Availability'!$G:$G,$Q127)&amp;""),0)=0),"Tutup",IF(IFERROR(--(INDEX('Reguler Class Availability'!$G:$G,$Q127)&amp;""),0)&gt;IFERROR(--(INDEX('Reguler Class Availability'!$F:$F,$Q127)&amp;""),0),"Lebih",IF(IFERROR(--(INDEX('Reguler Class Availability'!$G:$G,$Q127)&amp;""),0)=IFERROR(--(INDEX('Reguler Class Availability'!$F:$F,$Q127)&amp;""),0),"Penuh",IF(IFERROR(--(INDEX('Reguler Class Availability'!$G:$G,$Q127)&amp;""),0)=0,IF(INDEX('Reguler Class Availability'!$B:$B,$Q127)&amp;""="","Kosong","Belum terisi"),IF(IFERROR(--(INDEX('Reguler Class Availability'!$G:$G,$Q127)&amp;""),0)/IFERROR(--(INDEX('Reguler Class Availability'!$F:$F,$Q127)&amp;""),0)&gt;=0.6,"Tinggi","Sebagian"))))))</f>
        <v>Belum terisi</v>
      </c>
      <c r="F127" s="77" t="str">
        <f aca="false">IF($Q127="","",PROPER(INDEX('Reguler Class Availability'!$B:$B,$Q127)&amp;""))</f>
        <v>Star</v>
      </c>
      <c r="G127" s="76" t="n">
        <f aca="false">IF($Q127="","",IFERROR(--(INDEX('Reguler Class Availability'!$F:$F,$Q127)&amp;""),0))</f>
        <v>8</v>
      </c>
      <c r="H127" s="77" t="str">
        <f aca="false">IF($Q127="","",PROPER(INDEX('Reguler Class Availability'!$I:$I,$Q127)&amp;"")&amp;IF(INDEX('Reguler Class Availability'!$J:$J,$Q127)&amp;""="",""," + asst "&amp;PROPER(INDEX('Reguler Class Availability'!$J:$J,$Q127)&amp;"")))</f>
        <v/>
      </c>
      <c r="I127" s="77" t="s">
        <v>513</v>
      </c>
      <c r="J127" s="77" t="s">
        <v>186</v>
      </c>
      <c r="K127" s="78"/>
      <c r="L127" s="78"/>
      <c r="M127" s="78"/>
      <c r="N127" s="79"/>
      <c r="O127" s="78"/>
      <c r="Q127" s="30" t="n">
        <f aca="false">IFERROR(MATCH($B$4&amp;"|- Lane "&amp;D127&amp;" - "&amp;B127&amp;"|"&amp;C127,'Reguler Class Availability'!$L:$L,0),"")</f>
        <v>2494</v>
      </c>
      <c r="BD127" s="30" t="s">
        <v>90</v>
      </c>
      <c r="BE127" s="30" t="n">
        <f aca="false">IF(COUNTIFS('Reguler Class Availability'!$L:$L,$B$4&amp;"|- Lane 3 - *|"&amp;BD127)&gt;0,1,0)</f>
        <v>0</v>
      </c>
      <c r="BF127" s="30" t="n">
        <f aca="false">BE127+BF126</f>
        <v>0</v>
      </c>
    </row>
    <row r="128" customFormat="false" ht="27.75" hidden="false" customHeight="true" outlineLevel="0" collapsed="false">
      <c r="A128" s="76" t="n">
        <v>2</v>
      </c>
      <c r="B128" s="77" t="s">
        <v>114</v>
      </c>
      <c r="C128" s="76" t="s">
        <v>105</v>
      </c>
      <c r="D128" s="76" t="n">
        <v>1</v>
      </c>
      <c r="E128" s="77" t="str">
        <f aca="false">IF($Q128="","Tidak ada di data",IF(AND(IFERROR(--(INDEX('Reguler Class Availability'!$F:$F,$Q128)&amp;""),0)=0,IFERROR(--(INDEX('Reguler Class Availability'!$G:$G,$Q128)&amp;""),0)=0),"Tutup",IF(IFERROR(--(INDEX('Reguler Class Availability'!$G:$G,$Q128)&amp;""),0)&gt;IFERROR(--(INDEX('Reguler Class Availability'!$F:$F,$Q128)&amp;""),0),"Lebih",IF(IFERROR(--(INDEX('Reguler Class Availability'!$G:$G,$Q128)&amp;""),0)=IFERROR(--(INDEX('Reguler Class Availability'!$F:$F,$Q128)&amp;""),0),"Penuh",IF(IFERROR(--(INDEX('Reguler Class Availability'!$G:$G,$Q128)&amp;""),0)=0,IF(INDEX('Reguler Class Availability'!$B:$B,$Q128)&amp;""="","Kosong","Belum terisi"),IF(IFERROR(--(INDEX('Reguler Class Availability'!$G:$G,$Q128)&amp;""),0)/IFERROR(--(INDEX('Reguler Class Availability'!$F:$F,$Q128)&amp;""),0)&gt;=0.6,"Tinggi","Sebagian"))))))</f>
        <v>Belum terisi</v>
      </c>
      <c r="F128" s="77" t="str">
        <f aca="false">IF($Q128="","",PROPER(INDEX('Reguler Class Availability'!$B:$B,$Q128)&amp;""))</f>
        <v>Baby</v>
      </c>
      <c r="G128" s="76" t="n">
        <f aca="false">IF($Q128="","",IFERROR(--(INDEX('Reguler Class Availability'!$F:$F,$Q128)&amp;""),0))</f>
        <v>5</v>
      </c>
      <c r="H128" s="77" t="str">
        <f aca="false">IF($Q128="","",PROPER(INDEX('Reguler Class Availability'!$I:$I,$Q128)&amp;"")&amp;IF(INDEX('Reguler Class Availability'!$J:$J,$Q128)&amp;""="",""," + asst "&amp;PROPER(INDEX('Reguler Class Availability'!$J:$J,$Q128)&amp;"")))</f>
        <v/>
      </c>
      <c r="I128" s="77" t="s">
        <v>513</v>
      </c>
      <c r="J128" s="77" t="s">
        <v>188</v>
      </c>
      <c r="K128" s="78"/>
      <c r="L128" s="78"/>
      <c r="M128" s="78"/>
      <c r="N128" s="79"/>
      <c r="O128" s="78"/>
      <c r="Q128" s="30" t="n">
        <f aca="false">IFERROR(MATCH($B$4&amp;"|- Lane "&amp;D128&amp;" - "&amp;B128&amp;"|"&amp;C128,'Reguler Class Availability'!$L:$L,0),"")</f>
        <v>2410</v>
      </c>
      <c r="BD128" s="30" t="s">
        <v>91</v>
      </c>
      <c r="BE128" s="30" t="n">
        <f aca="false">IF(COUNTIFS('Reguler Class Availability'!$L:$L,$B$4&amp;"|- Lane 3 - *|"&amp;BD128)&gt;0,1,0)</f>
        <v>0</v>
      </c>
      <c r="BF128" s="30" t="n">
        <f aca="false">BE128+BF127</f>
        <v>0</v>
      </c>
    </row>
    <row r="129" customFormat="false" ht="27.75" hidden="false" customHeight="true" outlineLevel="0" collapsed="false">
      <c r="A129" s="76" t="n">
        <v>3</v>
      </c>
      <c r="B129" s="77" t="s">
        <v>114</v>
      </c>
      <c r="C129" s="76" t="s">
        <v>105</v>
      </c>
      <c r="D129" s="76" t="n">
        <v>2</v>
      </c>
      <c r="E129" s="77" t="str">
        <f aca="false">IF($Q129="","Tidak ada di data",IF(AND(IFERROR(--(INDEX('Reguler Class Availability'!$F:$F,$Q129)&amp;""),0)=0,IFERROR(--(INDEX('Reguler Class Availability'!$G:$G,$Q129)&amp;""),0)=0),"Tutup",IF(IFERROR(--(INDEX('Reguler Class Availability'!$G:$G,$Q129)&amp;""),0)&gt;IFERROR(--(INDEX('Reguler Class Availability'!$F:$F,$Q129)&amp;""),0),"Lebih",IF(IFERROR(--(INDEX('Reguler Class Availability'!$G:$G,$Q129)&amp;""),0)=IFERROR(--(INDEX('Reguler Class Availability'!$F:$F,$Q129)&amp;""),0),"Penuh",IF(IFERROR(--(INDEX('Reguler Class Availability'!$G:$G,$Q129)&amp;""),0)=0,IF(INDEX('Reguler Class Availability'!$B:$B,$Q129)&amp;""="","Kosong","Belum terisi"),IF(IFERROR(--(INDEX('Reguler Class Availability'!$G:$G,$Q129)&amp;""),0)/IFERROR(--(INDEX('Reguler Class Availability'!$F:$F,$Q129)&amp;""),0)&gt;=0.6,"Tinggi","Sebagian"))))))</f>
        <v>Belum terisi</v>
      </c>
      <c r="F129" s="77" t="str">
        <f aca="false">IF($Q129="","",PROPER(INDEX('Reguler Class Availability'!$B:$B,$Q129)&amp;""))</f>
        <v>Tiny</v>
      </c>
      <c r="G129" s="76" t="n">
        <f aca="false">IF($Q129="","",IFERROR(--(INDEX('Reguler Class Availability'!$F:$F,$Q129)&amp;""),0))</f>
        <v>5</v>
      </c>
      <c r="H129" s="77" t="str">
        <f aca="false">IF($Q129="","",PROPER(INDEX('Reguler Class Availability'!$I:$I,$Q129)&amp;"")&amp;IF(INDEX('Reguler Class Availability'!$J:$J,$Q129)&amp;""="",""," + asst "&amp;PROPER(INDEX('Reguler Class Availability'!$J:$J,$Q129)&amp;"")))</f>
        <v/>
      </c>
      <c r="I129" s="77" t="s">
        <v>513</v>
      </c>
      <c r="J129" s="77" t="s">
        <v>188</v>
      </c>
      <c r="K129" s="78"/>
      <c r="L129" s="78"/>
      <c r="M129" s="78"/>
      <c r="N129" s="79"/>
      <c r="O129" s="78"/>
      <c r="Q129" s="30" t="n">
        <f aca="false">IFERROR(MATCH($B$4&amp;"|- Lane "&amp;D129&amp;" - "&amp;B129&amp;"|"&amp;C129,'Reguler Class Availability'!$L:$L,0),"")</f>
        <v>2508</v>
      </c>
      <c r="BD129" s="30" t="s">
        <v>98</v>
      </c>
      <c r="BE129" s="30" t="n">
        <f aca="false">IF(COUNTIFS('Reguler Class Availability'!$L:$L,$B$4&amp;"|- Lane 3 - *|"&amp;BD129)&gt;0,1,0)</f>
        <v>0</v>
      </c>
      <c r="BF129" s="30" t="n">
        <f aca="false">BE129+BF128</f>
        <v>0</v>
      </c>
    </row>
    <row r="130" customFormat="false" ht="27.75" hidden="false" customHeight="true" outlineLevel="0" collapsed="false">
      <c r="A130" s="76" t="n">
        <v>4</v>
      </c>
      <c r="B130" s="77" t="s">
        <v>114</v>
      </c>
      <c r="C130" s="76" t="s">
        <v>105</v>
      </c>
      <c r="D130" s="76" t="n">
        <v>5</v>
      </c>
      <c r="E130" s="77" t="str">
        <f aca="false">IF($Q130="","Tidak ada di data",IF(AND(IFERROR(--(INDEX('Reguler Class Availability'!$F:$F,$Q130)&amp;""),0)=0,IFERROR(--(INDEX('Reguler Class Availability'!$G:$G,$Q130)&amp;""),0)=0),"Tutup",IF(IFERROR(--(INDEX('Reguler Class Availability'!$G:$G,$Q130)&amp;""),0)&gt;IFERROR(--(INDEX('Reguler Class Availability'!$F:$F,$Q130)&amp;""),0),"Lebih",IF(IFERROR(--(INDEX('Reguler Class Availability'!$G:$G,$Q130)&amp;""),0)=IFERROR(--(INDEX('Reguler Class Availability'!$F:$F,$Q130)&amp;""),0),"Penuh",IF(IFERROR(--(INDEX('Reguler Class Availability'!$G:$G,$Q130)&amp;""),0)=0,IF(INDEX('Reguler Class Availability'!$B:$B,$Q130)&amp;""="","Kosong","Belum terisi"),IF(IFERROR(--(INDEX('Reguler Class Availability'!$G:$G,$Q130)&amp;""),0)/IFERROR(--(INDEX('Reguler Class Availability'!$F:$F,$Q130)&amp;""),0)&gt;=0.6,"Tinggi","Sebagian"))))))</f>
        <v>Kosong</v>
      </c>
      <c r="F130" s="77" t="str">
        <f aca="false">IF($Q130="","",PROPER(INDEX('Reguler Class Availability'!$B:$B,$Q130)&amp;""))</f>
        <v/>
      </c>
      <c r="G130" s="76" t="n">
        <f aca="false">IF($Q130="","",IFERROR(--(INDEX('Reguler Class Availability'!$F:$F,$Q130)&amp;""),0))</f>
        <v>4</v>
      </c>
      <c r="H130" s="77" t="str">
        <f aca="false">IF($Q130="","",PROPER(INDEX('Reguler Class Availability'!$I:$I,$Q130)&amp;"")&amp;IF(INDEX('Reguler Class Availability'!$J:$J,$Q130)&amp;""="",""," + asst "&amp;PROPER(INDEX('Reguler Class Availability'!$J:$J,$Q130)&amp;"")))</f>
        <v/>
      </c>
      <c r="I130" s="77" t="s">
        <v>513</v>
      </c>
      <c r="J130" s="77" t="s">
        <v>188</v>
      </c>
      <c r="K130" s="78"/>
      <c r="L130" s="78"/>
      <c r="M130" s="78"/>
      <c r="N130" s="79"/>
      <c r="O130" s="78"/>
      <c r="Q130" s="30" t="n">
        <f aca="false">IFERROR(MATCH($B$4&amp;"|- Lane "&amp;D130&amp;" - "&amp;B130&amp;"|"&amp;C130,'Reguler Class Availability'!$L:$L,0),"")</f>
        <v>2760</v>
      </c>
      <c r="BD130" s="30" t="s">
        <v>105</v>
      </c>
      <c r="BE130" s="30" t="n">
        <f aca="false">IF(COUNTIFS('Reguler Class Availability'!$L:$L,$B$4&amp;"|- Lane 3 - *|"&amp;BD130)&gt;0,1,0)</f>
        <v>0</v>
      </c>
      <c r="BF130" s="30" t="n">
        <f aca="false">BE130+BF129</f>
        <v>0</v>
      </c>
    </row>
    <row r="131" customFormat="false" ht="27.75" hidden="false" customHeight="true" outlineLevel="0" collapsed="false">
      <c r="A131" s="76" t="n">
        <v>5</v>
      </c>
      <c r="B131" s="77" t="s">
        <v>114</v>
      </c>
      <c r="C131" s="76" t="s">
        <v>110</v>
      </c>
      <c r="D131" s="76" t="n">
        <v>3</v>
      </c>
      <c r="E131" s="77" t="str">
        <f aca="false">IF($Q131="","Tidak ada di data",IF(AND(IFERROR(--(INDEX('Reguler Class Availability'!$F:$F,$Q131)&amp;""),0)=0,IFERROR(--(INDEX('Reguler Class Availability'!$G:$G,$Q131)&amp;""),0)=0),"Tutup",IF(IFERROR(--(INDEX('Reguler Class Availability'!$G:$G,$Q131)&amp;""),0)&gt;IFERROR(--(INDEX('Reguler Class Availability'!$F:$F,$Q131)&amp;""),0),"Lebih",IF(IFERROR(--(INDEX('Reguler Class Availability'!$G:$G,$Q131)&amp;""),0)=IFERROR(--(INDEX('Reguler Class Availability'!$F:$F,$Q131)&amp;""),0),"Penuh",IF(IFERROR(--(INDEX('Reguler Class Availability'!$G:$G,$Q131)&amp;""),0)=0,IF(INDEX('Reguler Class Availability'!$B:$B,$Q131)&amp;""="","Kosong","Belum terisi"),IF(IFERROR(--(INDEX('Reguler Class Availability'!$G:$G,$Q131)&amp;""),0)/IFERROR(--(INDEX('Reguler Class Availability'!$F:$F,$Q131)&amp;""),0)&gt;=0.6,"Tinggi","Sebagian"))))))</f>
        <v>Belum terisi</v>
      </c>
      <c r="F131" s="77" t="str">
        <f aca="false">IF($Q131="","",PROPER(INDEX('Reguler Class Availability'!$B:$B,$Q131)&amp;""))</f>
        <v>Little</v>
      </c>
      <c r="G131" s="76" t="n">
        <f aca="false">IF($Q131="","",IFERROR(--(INDEX('Reguler Class Availability'!$F:$F,$Q131)&amp;""),0))</f>
        <v>4</v>
      </c>
      <c r="H131" s="77" t="str">
        <f aca="false">IF($Q131="","",PROPER(INDEX('Reguler Class Availability'!$I:$I,$Q131)&amp;"")&amp;IF(INDEX('Reguler Class Availability'!$J:$J,$Q131)&amp;""="",""," + asst "&amp;PROPER(INDEX('Reguler Class Availability'!$J:$J,$Q131)&amp;"")))</f>
        <v/>
      </c>
      <c r="I131" s="77" t="s">
        <v>513</v>
      </c>
      <c r="J131" s="77" t="s">
        <v>188</v>
      </c>
      <c r="K131" s="78"/>
      <c r="L131" s="78"/>
      <c r="M131" s="78"/>
      <c r="N131" s="79"/>
      <c r="O131" s="78"/>
      <c r="Q131" s="30" t="n">
        <f aca="false">IFERROR(MATCH($B$4&amp;"|- Lane "&amp;D131&amp;" - "&amp;B131&amp;"|"&amp;C131,'Reguler Class Availability'!$L:$L,0),"")</f>
        <v>2592</v>
      </c>
      <c r="BD131" s="30" t="s">
        <v>110</v>
      </c>
      <c r="BE131" s="30" t="n">
        <f aca="false">IF(COUNTIFS('Reguler Class Availability'!$L:$L,$B$4&amp;"|- Lane 3 - *|"&amp;BD131)&gt;0,1,0)</f>
        <v>1</v>
      </c>
      <c r="BF131" s="30" t="n">
        <f aca="false">BE131+BF130</f>
        <v>1</v>
      </c>
    </row>
    <row r="132" customFormat="false" ht="27.75" hidden="false" customHeight="true" outlineLevel="0" collapsed="false">
      <c r="A132" s="76" t="n">
        <v>6</v>
      </c>
      <c r="B132" s="77" t="s">
        <v>114</v>
      </c>
      <c r="C132" s="76" t="s">
        <v>110</v>
      </c>
      <c r="D132" s="76" t="n">
        <v>4</v>
      </c>
      <c r="E132" s="77" t="str">
        <f aca="false">IF($Q132="","Tidak ada di data",IF(AND(IFERROR(--(INDEX('Reguler Class Availability'!$F:$F,$Q132)&amp;""),0)=0,IFERROR(--(INDEX('Reguler Class Availability'!$G:$G,$Q132)&amp;""),0)=0),"Tutup",IF(IFERROR(--(INDEX('Reguler Class Availability'!$G:$G,$Q132)&amp;""),0)&gt;IFERROR(--(INDEX('Reguler Class Availability'!$F:$F,$Q132)&amp;""),0),"Lebih",IF(IFERROR(--(INDEX('Reguler Class Availability'!$G:$G,$Q132)&amp;""),0)=IFERROR(--(INDEX('Reguler Class Availability'!$F:$F,$Q132)&amp;""),0),"Penuh",IF(IFERROR(--(INDEX('Reguler Class Availability'!$G:$G,$Q132)&amp;""),0)=0,IF(INDEX('Reguler Class Availability'!$B:$B,$Q132)&amp;""="","Kosong","Belum terisi"),IF(IFERROR(--(INDEX('Reguler Class Availability'!$G:$G,$Q132)&amp;""),0)/IFERROR(--(INDEX('Reguler Class Availability'!$F:$F,$Q132)&amp;""),0)&gt;=0.6,"Tinggi","Sebagian"))))))</f>
        <v>Belum terisi</v>
      </c>
      <c r="F132" s="77" t="str">
        <f aca="false">IF($Q132="","",PROPER(INDEX('Reguler Class Availability'!$B:$B,$Q132)&amp;""))</f>
        <v>Kids</v>
      </c>
      <c r="G132" s="76" t="n">
        <f aca="false">IF($Q132="","",IFERROR(--(INDEX('Reguler Class Availability'!$F:$F,$Q132)&amp;""),0))</f>
        <v>4</v>
      </c>
      <c r="H132" s="77" t="str">
        <f aca="false">IF($Q132="","",PROPER(INDEX('Reguler Class Availability'!$I:$I,$Q132)&amp;"")&amp;IF(INDEX('Reguler Class Availability'!$J:$J,$Q132)&amp;""="",""," + asst "&amp;PROPER(INDEX('Reguler Class Availability'!$J:$J,$Q132)&amp;"")))</f>
        <v/>
      </c>
      <c r="I132" s="77" t="s">
        <v>513</v>
      </c>
      <c r="J132" s="77" t="s">
        <v>188</v>
      </c>
      <c r="K132" s="78"/>
      <c r="L132" s="78"/>
      <c r="M132" s="78"/>
      <c r="N132" s="79"/>
      <c r="O132" s="78"/>
      <c r="Q132" s="30" t="n">
        <f aca="false">IFERROR(MATCH($B$4&amp;"|- Lane "&amp;D132&amp;" - "&amp;B132&amp;"|"&amp;C132,'Reguler Class Availability'!$L:$L,0),"")</f>
        <v>2676</v>
      </c>
      <c r="BD132" s="30" t="s">
        <v>112</v>
      </c>
      <c r="BE132" s="30" t="n">
        <f aca="false">IF(COUNTIFS('Reguler Class Availability'!$L:$L,$B$4&amp;"|- Lane 3 - *|"&amp;BD132)&gt;0,1,0)</f>
        <v>0</v>
      </c>
      <c r="BF132" s="30" t="n">
        <f aca="false">BE132+BF131</f>
        <v>1</v>
      </c>
    </row>
    <row r="133" customFormat="false" ht="27.75" hidden="false" customHeight="true" outlineLevel="0" collapsed="false">
      <c r="A133" s="76" t="n">
        <v>7</v>
      </c>
      <c r="B133" s="77" t="s">
        <v>114</v>
      </c>
      <c r="C133" s="76" t="s">
        <v>120</v>
      </c>
      <c r="D133" s="76" t="n">
        <v>1</v>
      </c>
      <c r="E133" s="77" t="str">
        <f aca="false">IF($Q133="","Tidak ada di data",IF(AND(IFERROR(--(INDEX('Reguler Class Availability'!$F:$F,$Q133)&amp;""),0)=0,IFERROR(--(INDEX('Reguler Class Availability'!$G:$G,$Q133)&amp;""),0)=0),"Tutup",IF(IFERROR(--(INDEX('Reguler Class Availability'!$G:$G,$Q133)&amp;""),0)&gt;IFERROR(--(INDEX('Reguler Class Availability'!$F:$F,$Q133)&amp;""),0),"Lebih",IF(IFERROR(--(INDEX('Reguler Class Availability'!$G:$G,$Q133)&amp;""),0)=IFERROR(--(INDEX('Reguler Class Availability'!$F:$F,$Q133)&amp;""),0),"Penuh",IF(IFERROR(--(INDEX('Reguler Class Availability'!$G:$G,$Q133)&amp;""),0)=0,IF(INDEX('Reguler Class Availability'!$B:$B,$Q133)&amp;""="","Kosong","Belum terisi"),IF(IFERROR(--(INDEX('Reguler Class Availability'!$G:$G,$Q133)&amp;""),0)/IFERROR(--(INDEX('Reguler Class Availability'!$F:$F,$Q133)&amp;""),0)&gt;=0.6,"Tinggi","Sebagian"))))))</f>
        <v>Belum terisi</v>
      </c>
      <c r="F133" s="77" t="str">
        <f aca="false">IF($Q133="","",PROPER(INDEX('Reguler Class Availability'!$B:$B,$Q133)&amp;""))</f>
        <v>Baby</v>
      </c>
      <c r="G133" s="76" t="n">
        <f aca="false">IF($Q133="","",IFERROR(--(INDEX('Reguler Class Availability'!$F:$F,$Q133)&amp;""),0))</f>
        <v>5</v>
      </c>
      <c r="H133" s="77" t="str">
        <f aca="false">IF($Q133="","",PROPER(INDEX('Reguler Class Availability'!$I:$I,$Q133)&amp;"")&amp;IF(INDEX('Reguler Class Availability'!$J:$J,$Q133)&amp;""="",""," + asst "&amp;PROPER(INDEX('Reguler Class Availability'!$J:$J,$Q133)&amp;"")))</f>
        <v/>
      </c>
      <c r="I133" s="77" t="s">
        <v>513</v>
      </c>
      <c r="J133" s="77" t="s">
        <v>188</v>
      </c>
      <c r="K133" s="78"/>
      <c r="L133" s="78"/>
      <c r="M133" s="78"/>
      <c r="N133" s="79"/>
      <c r="O133" s="78"/>
      <c r="Q133" s="30" t="n">
        <f aca="false">IFERROR(MATCH($B$4&amp;"|- Lane "&amp;D133&amp;" - "&amp;B133&amp;"|"&amp;C133,'Reguler Class Availability'!$L:$L,0),"")</f>
        <v>2411</v>
      </c>
      <c r="BD133" s="30" t="s">
        <v>120</v>
      </c>
      <c r="BE133" s="30" t="n">
        <f aca="false">IF(COUNTIFS('Reguler Class Availability'!$L:$L,$B$4&amp;"|- Lane 3 - *|"&amp;BD133)&gt;0,1,0)</f>
        <v>0</v>
      </c>
      <c r="BF133" s="30" t="n">
        <f aca="false">BE133+BF132</f>
        <v>1</v>
      </c>
    </row>
    <row r="134" customFormat="false" ht="27.75" hidden="false" customHeight="true" outlineLevel="0" collapsed="false">
      <c r="A134" s="76" t="n">
        <v>8</v>
      </c>
      <c r="B134" s="77" t="s">
        <v>114</v>
      </c>
      <c r="C134" s="76" t="s">
        <v>120</v>
      </c>
      <c r="D134" s="76" t="n">
        <v>2</v>
      </c>
      <c r="E134" s="77" t="str">
        <f aca="false">IF($Q134="","Tidak ada di data",IF(AND(IFERROR(--(INDEX('Reguler Class Availability'!$F:$F,$Q134)&amp;""),0)=0,IFERROR(--(INDEX('Reguler Class Availability'!$G:$G,$Q134)&amp;""),0)=0),"Tutup",IF(IFERROR(--(INDEX('Reguler Class Availability'!$G:$G,$Q134)&amp;""),0)&gt;IFERROR(--(INDEX('Reguler Class Availability'!$F:$F,$Q134)&amp;""),0),"Lebih",IF(IFERROR(--(INDEX('Reguler Class Availability'!$G:$G,$Q134)&amp;""),0)=IFERROR(--(INDEX('Reguler Class Availability'!$F:$F,$Q134)&amp;""),0),"Penuh",IF(IFERROR(--(INDEX('Reguler Class Availability'!$G:$G,$Q134)&amp;""),0)=0,IF(INDEX('Reguler Class Availability'!$B:$B,$Q134)&amp;""="","Kosong","Belum terisi"),IF(IFERROR(--(INDEX('Reguler Class Availability'!$G:$G,$Q134)&amp;""),0)/IFERROR(--(INDEX('Reguler Class Availability'!$F:$F,$Q134)&amp;""),0)&gt;=0.6,"Tinggi","Sebagian"))))))</f>
        <v>Belum terisi</v>
      </c>
      <c r="F134" s="77" t="str">
        <f aca="false">IF($Q134="","",PROPER(INDEX('Reguler Class Availability'!$B:$B,$Q134)&amp;""))</f>
        <v>Tiny</v>
      </c>
      <c r="G134" s="76" t="n">
        <f aca="false">IF($Q134="","",IFERROR(--(INDEX('Reguler Class Availability'!$F:$F,$Q134)&amp;""),0))</f>
        <v>5</v>
      </c>
      <c r="H134" s="77" t="str">
        <f aca="false">IF($Q134="","",PROPER(INDEX('Reguler Class Availability'!$I:$I,$Q134)&amp;"")&amp;IF(INDEX('Reguler Class Availability'!$J:$J,$Q134)&amp;""="",""," + asst "&amp;PROPER(INDEX('Reguler Class Availability'!$J:$J,$Q134)&amp;"")))</f>
        <v/>
      </c>
      <c r="I134" s="77" t="s">
        <v>513</v>
      </c>
      <c r="J134" s="77" t="s">
        <v>188</v>
      </c>
      <c r="K134" s="78"/>
      <c r="L134" s="78"/>
      <c r="M134" s="78"/>
      <c r="N134" s="79"/>
      <c r="O134" s="78"/>
      <c r="Q134" s="30" t="n">
        <f aca="false">IFERROR(MATCH($B$4&amp;"|- Lane "&amp;D134&amp;" - "&amp;B134&amp;"|"&amp;C134,'Reguler Class Availability'!$L:$L,0),"")</f>
        <v>2509</v>
      </c>
      <c r="BD134" s="30" t="s">
        <v>121</v>
      </c>
      <c r="BE134" s="30" t="n">
        <f aca="false">IF(COUNTIFS('Reguler Class Availability'!$L:$L,$B$4&amp;"|- Lane 3 - *|"&amp;BD134)&gt;0,1,0)</f>
        <v>1</v>
      </c>
      <c r="BF134" s="30" t="n">
        <f aca="false">BE134+BF133</f>
        <v>2</v>
      </c>
    </row>
    <row r="135" customFormat="false" ht="27.75" hidden="false" customHeight="true" outlineLevel="0" collapsed="false">
      <c r="A135" s="76" t="n">
        <v>9</v>
      </c>
      <c r="B135" s="77" t="s">
        <v>114</v>
      </c>
      <c r="C135" s="76" t="s">
        <v>120</v>
      </c>
      <c r="D135" s="76" t="n">
        <v>5</v>
      </c>
      <c r="E135" s="77" t="str">
        <f aca="false">IF($Q135="","Tidak ada di data",IF(AND(IFERROR(--(INDEX('Reguler Class Availability'!$F:$F,$Q135)&amp;""),0)=0,IFERROR(--(INDEX('Reguler Class Availability'!$G:$G,$Q135)&amp;""),0)=0),"Tutup",IF(IFERROR(--(INDEX('Reguler Class Availability'!$G:$G,$Q135)&amp;""),0)&gt;IFERROR(--(INDEX('Reguler Class Availability'!$F:$F,$Q135)&amp;""),0),"Lebih",IF(IFERROR(--(INDEX('Reguler Class Availability'!$G:$G,$Q135)&amp;""),0)=IFERROR(--(INDEX('Reguler Class Availability'!$F:$F,$Q135)&amp;""),0),"Penuh",IF(IFERROR(--(INDEX('Reguler Class Availability'!$G:$G,$Q135)&amp;""),0)=0,IF(INDEX('Reguler Class Availability'!$B:$B,$Q135)&amp;""="","Kosong","Belum terisi"),IF(IFERROR(--(INDEX('Reguler Class Availability'!$G:$G,$Q135)&amp;""),0)/IFERROR(--(INDEX('Reguler Class Availability'!$F:$F,$Q135)&amp;""),0)&gt;=0.6,"Tinggi","Sebagian"))))))</f>
        <v>Kosong</v>
      </c>
      <c r="F135" s="77" t="str">
        <f aca="false">IF($Q135="","",PROPER(INDEX('Reguler Class Availability'!$B:$B,$Q135)&amp;""))</f>
        <v/>
      </c>
      <c r="G135" s="76" t="n">
        <f aca="false">IF($Q135="","",IFERROR(--(INDEX('Reguler Class Availability'!$F:$F,$Q135)&amp;""),0))</f>
        <v>4</v>
      </c>
      <c r="H135" s="77" t="str">
        <f aca="false">IF($Q135="","",PROPER(INDEX('Reguler Class Availability'!$I:$I,$Q135)&amp;"")&amp;IF(INDEX('Reguler Class Availability'!$J:$J,$Q135)&amp;""="",""," + asst "&amp;PROPER(INDEX('Reguler Class Availability'!$J:$J,$Q135)&amp;"")))</f>
        <v/>
      </c>
      <c r="I135" s="77" t="s">
        <v>513</v>
      </c>
      <c r="J135" s="77" t="s">
        <v>188</v>
      </c>
      <c r="K135" s="78"/>
      <c r="L135" s="78"/>
      <c r="M135" s="78"/>
      <c r="N135" s="79"/>
      <c r="O135" s="78"/>
      <c r="Q135" s="30" t="n">
        <f aca="false">IFERROR(MATCH($B$4&amp;"|- Lane "&amp;D135&amp;" - "&amp;B135&amp;"|"&amp;C135,'Reguler Class Availability'!$L:$L,0),"")</f>
        <v>2761</v>
      </c>
      <c r="BD135" s="30" t="s">
        <v>122</v>
      </c>
      <c r="BE135" s="30" t="n">
        <f aca="false">IF(COUNTIFS('Reguler Class Availability'!$L:$L,$B$4&amp;"|- Lane 3 - *|"&amp;BD135)&gt;0,1,0)</f>
        <v>0</v>
      </c>
      <c r="BF135" s="30" t="n">
        <f aca="false">BE135+BF134</f>
        <v>2</v>
      </c>
    </row>
    <row r="136" customFormat="false" ht="27.75" hidden="false" customHeight="true" outlineLevel="0" collapsed="false">
      <c r="A136" s="76" t="n">
        <v>10</v>
      </c>
      <c r="B136" s="77" t="s">
        <v>114</v>
      </c>
      <c r="C136" s="76" t="s">
        <v>121</v>
      </c>
      <c r="D136" s="76" t="n">
        <v>3</v>
      </c>
      <c r="E136" s="77" t="str">
        <f aca="false">IF($Q136="","Tidak ada di data",IF(AND(IFERROR(--(INDEX('Reguler Class Availability'!$F:$F,$Q136)&amp;""),0)=0,IFERROR(--(INDEX('Reguler Class Availability'!$G:$G,$Q136)&amp;""),0)=0),"Tutup",IF(IFERROR(--(INDEX('Reguler Class Availability'!$G:$G,$Q136)&amp;""),0)&gt;IFERROR(--(INDEX('Reguler Class Availability'!$F:$F,$Q136)&amp;""),0),"Lebih",IF(IFERROR(--(INDEX('Reguler Class Availability'!$G:$G,$Q136)&amp;""),0)=IFERROR(--(INDEX('Reguler Class Availability'!$F:$F,$Q136)&amp;""),0),"Penuh",IF(IFERROR(--(INDEX('Reguler Class Availability'!$G:$G,$Q136)&amp;""),0)=0,IF(INDEX('Reguler Class Availability'!$B:$B,$Q136)&amp;""="","Kosong","Belum terisi"),IF(IFERROR(--(INDEX('Reguler Class Availability'!$G:$G,$Q136)&amp;""),0)/IFERROR(--(INDEX('Reguler Class Availability'!$F:$F,$Q136)&amp;""),0)&gt;=0.6,"Tinggi","Sebagian"))))))</f>
        <v>Belum terisi</v>
      </c>
      <c r="F136" s="77" t="str">
        <f aca="false">IF($Q136="","",PROPER(INDEX('Reguler Class Availability'!$B:$B,$Q136)&amp;""))</f>
        <v>Little</v>
      </c>
      <c r="G136" s="76" t="n">
        <f aca="false">IF($Q136="","",IFERROR(--(INDEX('Reguler Class Availability'!$F:$F,$Q136)&amp;""),0))</f>
        <v>4</v>
      </c>
      <c r="H136" s="77" t="str">
        <f aca="false">IF($Q136="","",PROPER(INDEX('Reguler Class Availability'!$I:$I,$Q136)&amp;"")&amp;IF(INDEX('Reguler Class Availability'!$J:$J,$Q136)&amp;""="",""," + asst "&amp;PROPER(INDEX('Reguler Class Availability'!$J:$J,$Q136)&amp;"")))</f>
        <v/>
      </c>
      <c r="I136" s="77" t="s">
        <v>513</v>
      </c>
      <c r="J136" s="77" t="s">
        <v>188</v>
      </c>
      <c r="K136" s="78"/>
      <c r="L136" s="78"/>
      <c r="M136" s="78"/>
      <c r="N136" s="79"/>
      <c r="O136" s="78"/>
      <c r="Q136" s="30" t="n">
        <f aca="false">IFERROR(MATCH($B$4&amp;"|- Lane "&amp;D136&amp;" - "&amp;B136&amp;"|"&amp;C136,'Reguler Class Availability'!$L:$L,0),"")</f>
        <v>2593</v>
      </c>
      <c r="BD136" s="30" t="s">
        <v>123</v>
      </c>
      <c r="BE136" s="30" t="n">
        <f aca="false">IF(COUNTIFS('Reguler Class Availability'!$L:$L,$B$4&amp;"|- Lane 3 - *|"&amp;BD136)&gt;0,1,0)</f>
        <v>0</v>
      </c>
      <c r="BF136" s="30" t="n">
        <f aca="false">BE136+BF135</f>
        <v>2</v>
      </c>
    </row>
    <row r="137" customFormat="false" ht="27.75" hidden="false" customHeight="true" outlineLevel="0" collapsed="false">
      <c r="A137" s="76" t="n">
        <v>11</v>
      </c>
      <c r="B137" s="77" t="s">
        <v>114</v>
      </c>
      <c r="C137" s="76" t="s">
        <v>121</v>
      </c>
      <c r="D137" s="76" t="n">
        <v>4</v>
      </c>
      <c r="E137" s="77" t="str">
        <f aca="false">IF($Q137="","Tidak ada di data",IF(AND(IFERROR(--(INDEX('Reguler Class Availability'!$F:$F,$Q137)&amp;""),0)=0,IFERROR(--(INDEX('Reguler Class Availability'!$G:$G,$Q137)&amp;""),0)=0),"Tutup",IF(IFERROR(--(INDEX('Reguler Class Availability'!$G:$G,$Q137)&amp;""),0)&gt;IFERROR(--(INDEX('Reguler Class Availability'!$F:$F,$Q137)&amp;""),0),"Lebih",IF(IFERROR(--(INDEX('Reguler Class Availability'!$G:$G,$Q137)&amp;""),0)=IFERROR(--(INDEX('Reguler Class Availability'!$F:$F,$Q137)&amp;""),0),"Penuh",IF(IFERROR(--(INDEX('Reguler Class Availability'!$G:$G,$Q137)&amp;""),0)=0,IF(INDEX('Reguler Class Availability'!$B:$B,$Q137)&amp;""="","Kosong","Belum terisi"),IF(IFERROR(--(INDEX('Reguler Class Availability'!$G:$G,$Q137)&amp;""),0)/IFERROR(--(INDEX('Reguler Class Availability'!$F:$F,$Q137)&amp;""),0)&gt;=0.6,"Tinggi","Sebagian"))))))</f>
        <v>Belum terisi</v>
      </c>
      <c r="F137" s="77" t="str">
        <f aca="false">IF($Q137="","",PROPER(INDEX('Reguler Class Availability'!$B:$B,$Q137)&amp;""))</f>
        <v>Kids</v>
      </c>
      <c r="G137" s="76" t="n">
        <f aca="false">IF($Q137="","",IFERROR(--(INDEX('Reguler Class Availability'!$F:$F,$Q137)&amp;""),0))</f>
        <v>4</v>
      </c>
      <c r="H137" s="77" t="str">
        <f aca="false">IF($Q137="","",PROPER(INDEX('Reguler Class Availability'!$I:$I,$Q137)&amp;"")&amp;IF(INDEX('Reguler Class Availability'!$J:$J,$Q137)&amp;""="",""," + asst "&amp;PROPER(INDEX('Reguler Class Availability'!$J:$J,$Q137)&amp;"")))</f>
        <v/>
      </c>
      <c r="I137" s="77" t="s">
        <v>513</v>
      </c>
      <c r="J137" s="77" t="s">
        <v>188</v>
      </c>
      <c r="K137" s="78"/>
      <c r="L137" s="78"/>
      <c r="M137" s="78"/>
      <c r="N137" s="79"/>
      <c r="O137" s="78"/>
      <c r="Q137" s="30" t="n">
        <f aca="false">IFERROR(MATCH($B$4&amp;"|- Lane "&amp;D137&amp;" - "&amp;B137&amp;"|"&amp;C137,'Reguler Class Availability'!$L:$L,0),"")</f>
        <v>2677</v>
      </c>
      <c r="BD137" s="30" t="s">
        <v>124</v>
      </c>
      <c r="BE137" s="30" t="n">
        <f aca="false">IF(COUNTIFS('Reguler Class Availability'!$L:$L,$B$4&amp;"|- Lane 3 - *|"&amp;BD137)&gt;0,1,0)</f>
        <v>1</v>
      </c>
      <c r="BF137" s="30" t="n">
        <f aca="false">BE137+BF136</f>
        <v>3</v>
      </c>
    </row>
    <row r="138" customFormat="false" ht="27.75" hidden="false" customHeight="true" outlineLevel="0" collapsed="false">
      <c r="A138" s="76" t="n">
        <v>12</v>
      </c>
      <c r="B138" s="77" t="s">
        <v>114</v>
      </c>
      <c r="C138" s="76" t="s">
        <v>123</v>
      </c>
      <c r="D138" s="76" t="n">
        <v>1</v>
      </c>
      <c r="E138" s="77" t="str">
        <f aca="false">IF($Q138="","Tidak ada di data",IF(AND(IFERROR(--(INDEX('Reguler Class Availability'!$F:$F,$Q138)&amp;""),0)=0,IFERROR(--(INDEX('Reguler Class Availability'!$G:$G,$Q138)&amp;""),0)=0),"Tutup",IF(IFERROR(--(INDEX('Reguler Class Availability'!$G:$G,$Q138)&amp;""),0)&gt;IFERROR(--(INDEX('Reguler Class Availability'!$F:$F,$Q138)&amp;""),0),"Lebih",IF(IFERROR(--(INDEX('Reguler Class Availability'!$G:$G,$Q138)&amp;""),0)=IFERROR(--(INDEX('Reguler Class Availability'!$F:$F,$Q138)&amp;""),0),"Penuh",IF(IFERROR(--(INDEX('Reguler Class Availability'!$G:$G,$Q138)&amp;""),0)=0,IF(INDEX('Reguler Class Availability'!$B:$B,$Q138)&amp;""="","Kosong","Belum terisi"),IF(IFERROR(--(INDEX('Reguler Class Availability'!$G:$G,$Q138)&amp;""),0)/IFERROR(--(INDEX('Reguler Class Availability'!$F:$F,$Q138)&amp;""),0)&gt;=0.6,"Tinggi","Sebagian"))))))</f>
        <v>Belum terisi</v>
      </c>
      <c r="F138" s="77" t="str">
        <f aca="false">IF($Q138="","",PROPER(INDEX('Reguler Class Availability'!$B:$B,$Q138)&amp;""))</f>
        <v>Baby</v>
      </c>
      <c r="G138" s="76" t="n">
        <f aca="false">IF($Q138="","",IFERROR(--(INDEX('Reguler Class Availability'!$F:$F,$Q138)&amp;""),0))</f>
        <v>5</v>
      </c>
      <c r="H138" s="77" t="str">
        <f aca="false">IF($Q138="","",PROPER(INDEX('Reguler Class Availability'!$I:$I,$Q138)&amp;"")&amp;IF(INDEX('Reguler Class Availability'!$J:$J,$Q138)&amp;""="",""," + asst "&amp;PROPER(INDEX('Reguler Class Availability'!$J:$J,$Q138)&amp;"")))</f>
        <v/>
      </c>
      <c r="I138" s="77" t="s">
        <v>514</v>
      </c>
      <c r="J138" s="77" t="s">
        <v>188</v>
      </c>
      <c r="K138" s="78"/>
      <c r="L138" s="78"/>
      <c r="M138" s="78"/>
      <c r="N138" s="79"/>
      <c r="O138" s="78"/>
      <c r="Q138" s="30" t="n">
        <f aca="false">IFERROR(MATCH($B$4&amp;"|- Lane "&amp;D138&amp;" - "&amp;B138&amp;"|"&amp;C138,'Reguler Class Availability'!$L:$L,0),"")</f>
        <v>2412</v>
      </c>
      <c r="BD138" s="30" t="s">
        <v>125</v>
      </c>
      <c r="BE138" s="30" t="n">
        <f aca="false">IF(COUNTIFS('Reguler Class Availability'!$L:$L,$B$4&amp;"|- Lane 3 - *|"&amp;BD138)&gt;0,1,0)</f>
        <v>0</v>
      </c>
      <c r="BF138" s="30" t="n">
        <f aca="false">BE138+BF137</f>
        <v>3</v>
      </c>
    </row>
    <row r="139" customFormat="false" ht="27.75" hidden="false" customHeight="true" outlineLevel="0" collapsed="false">
      <c r="A139" s="76" t="n">
        <v>13</v>
      </c>
      <c r="B139" s="77" t="s">
        <v>114</v>
      </c>
      <c r="C139" s="76" t="s">
        <v>123</v>
      </c>
      <c r="D139" s="76" t="n">
        <v>2</v>
      </c>
      <c r="E139" s="77" t="str">
        <f aca="false">IF($Q139="","Tidak ada di data",IF(AND(IFERROR(--(INDEX('Reguler Class Availability'!$F:$F,$Q139)&amp;""),0)=0,IFERROR(--(INDEX('Reguler Class Availability'!$G:$G,$Q139)&amp;""),0)=0),"Tutup",IF(IFERROR(--(INDEX('Reguler Class Availability'!$G:$G,$Q139)&amp;""),0)&gt;IFERROR(--(INDEX('Reguler Class Availability'!$F:$F,$Q139)&amp;""),0),"Lebih",IF(IFERROR(--(INDEX('Reguler Class Availability'!$G:$G,$Q139)&amp;""),0)=IFERROR(--(INDEX('Reguler Class Availability'!$F:$F,$Q139)&amp;""),0),"Penuh",IF(IFERROR(--(INDEX('Reguler Class Availability'!$G:$G,$Q139)&amp;""),0)=0,IF(INDEX('Reguler Class Availability'!$B:$B,$Q139)&amp;""="","Kosong","Belum terisi"),IF(IFERROR(--(INDEX('Reguler Class Availability'!$G:$G,$Q139)&amp;""),0)/IFERROR(--(INDEX('Reguler Class Availability'!$F:$F,$Q139)&amp;""),0)&gt;=0.6,"Tinggi","Sebagian"))))))</f>
        <v>Belum terisi</v>
      </c>
      <c r="F139" s="77" t="str">
        <f aca="false">IF($Q139="","",PROPER(INDEX('Reguler Class Availability'!$B:$B,$Q139)&amp;""))</f>
        <v>Tiny</v>
      </c>
      <c r="G139" s="76" t="n">
        <f aca="false">IF($Q139="","",IFERROR(--(INDEX('Reguler Class Availability'!$F:$F,$Q139)&amp;""),0))</f>
        <v>5</v>
      </c>
      <c r="H139" s="77" t="str">
        <f aca="false">IF($Q139="","",PROPER(INDEX('Reguler Class Availability'!$I:$I,$Q139)&amp;"")&amp;IF(INDEX('Reguler Class Availability'!$J:$J,$Q139)&amp;""="",""," + asst "&amp;PROPER(INDEX('Reguler Class Availability'!$J:$J,$Q139)&amp;"")))</f>
        <v/>
      </c>
      <c r="I139" s="77" t="s">
        <v>514</v>
      </c>
      <c r="J139" s="77" t="s">
        <v>188</v>
      </c>
      <c r="K139" s="78"/>
      <c r="L139" s="78"/>
      <c r="M139" s="78"/>
      <c r="N139" s="79"/>
      <c r="O139" s="78"/>
      <c r="Q139" s="30" t="n">
        <f aca="false">IFERROR(MATCH($B$4&amp;"|- Lane "&amp;D139&amp;" - "&amp;B139&amp;"|"&amp;C139,'Reguler Class Availability'!$L:$L,0),"")</f>
        <v>2510</v>
      </c>
      <c r="BD139" s="30" t="s">
        <v>126</v>
      </c>
      <c r="BE139" s="30" t="n">
        <f aca="false">IF(COUNTIFS('Reguler Class Availability'!$L:$L,$B$4&amp;"|- Lane 3 - *|"&amp;BD139)&gt;0,1,0)</f>
        <v>0</v>
      </c>
      <c r="BF139" s="30" t="n">
        <f aca="false">BE139+BF138</f>
        <v>3</v>
      </c>
    </row>
    <row r="140" customFormat="false" ht="27.75" hidden="false" customHeight="true" outlineLevel="0" collapsed="false">
      <c r="A140" s="76" t="n">
        <v>14</v>
      </c>
      <c r="B140" s="77" t="s">
        <v>114</v>
      </c>
      <c r="C140" s="76" t="s">
        <v>123</v>
      </c>
      <c r="D140" s="76" t="n">
        <v>5</v>
      </c>
      <c r="E140" s="77" t="str">
        <f aca="false">IF($Q140="","Tidak ada di data",IF(AND(IFERROR(--(INDEX('Reguler Class Availability'!$F:$F,$Q140)&amp;""),0)=0,IFERROR(--(INDEX('Reguler Class Availability'!$G:$G,$Q140)&amp;""),0)=0),"Tutup",IF(IFERROR(--(INDEX('Reguler Class Availability'!$G:$G,$Q140)&amp;""),0)&gt;IFERROR(--(INDEX('Reguler Class Availability'!$F:$F,$Q140)&amp;""),0),"Lebih",IF(IFERROR(--(INDEX('Reguler Class Availability'!$G:$G,$Q140)&amp;""),0)=IFERROR(--(INDEX('Reguler Class Availability'!$F:$F,$Q140)&amp;""),0),"Penuh",IF(IFERROR(--(INDEX('Reguler Class Availability'!$G:$G,$Q140)&amp;""),0)=0,IF(INDEX('Reguler Class Availability'!$B:$B,$Q140)&amp;""="","Kosong","Belum terisi"),IF(IFERROR(--(INDEX('Reguler Class Availability'!$G:$G,$Q140)&amp;""),0)/IFERROR(--(INDEX('Reguler Class Availability'!$F:$F,$Q140)&amp;""),0)&gt;=0.6,"Tinggi","Sebagian"))))))</f>
        <v>Kosong</v>
      </c>
      <c r="F140" s="77" t="str">
        <f aca="false">IF($Q140="","",PROPER(INDEX('Reguler Class Availability'!$B:$B,$Q140)&amp;""))</f>
        <v/>
      </c>
      <c r="G140" s="76" t="n">
        <f aca="false">IF($Q140="","",IFERROR(--(INDEX('Reguler Class Availability'!$F:$F,$Q140)&amp;""),0))</f>
        <v>4</v>
      </c>
      <c r="H140" s="77" t="str">
        <f aca="false">IF($Q140="","",PROPER(INDEX('Reguler Class Availability'!$I:$I,$Q140)&amp;"")&amp;IF(INDEX('Reguler Class Availability'!$J:$J,$Q140)&amp;""="",""," + asst "&amp;PROPER(INDEX('Reguler Class Availability'!$J:$J,$Q140)&amp;"")))</f>
        <v/>
      </c>
      <c r="I140" s="77" t="s">
        <v>514</v>
      </c>
      <c r="J140" s="77" t="s">
        <v>188</v>
      </c>
      <c r="K140" s="78"/>
      <c r="L140" s="78"/>
      <c r="M140" s="78"/>
      <c r="N140" s="79"/>
      <c r="O140" s="78"/>
      <c r="Q140" s="30" t="n">
        <f aca="false">IFERROR(MATCH($B$4&amp;"|- Lane "&amp;D140&amp;" - "&amp;B140&amp;"|"&amp;C140,'Reguler Class Availability'!$L:$L,0),"")</f>
        <v>2762</v>
      </c>
      <c r="BD140" s="30" t="s">
        <v>127</v>
      </c>
      <c r="BE140" s="30" t="n">
        <f aca="false">IF(COUNTIFS('Reguler Class Availability'!$L:$L,$B$4&amp;"|- Lane 3 - *|"&amp;BD140)&gt;0,1,0)</f>
        <v>1</v>
      </c>
      <c r="BF140" s="30" t="n">
        <f aca="false">BE140+BF139</f>
        <v>4</v>
      </c>
    </row>
    <row r="141" customFormat="false" ht="15.75" hidden="false" customHeight="true" outlineLevel="0" collapsed="false">
      <c r="A141" s="76" t="n">
        <v>15</v>
      </c>
      <c r="B141" s="77" t="s">
        <v>114</v>
      </c>
      <c r="C141" s="76" t="s">
        <v>124</v>
      </c>
      <c r="D141" s="76" t="n">
        <v>4</v>
      </c>
      <c r="E141" s="77" t="str">
        <f aca="false">IF($Q141="","Tidak ada di data",IF(AND(IFERROR(--(INDEX('Reguler Class Availability'!$F:$F,$Q141)&amp;""),0)=0,IFERROR(--(INDEX('Reguler Class Availability'!$G:$G,$Q141)&amp;""),0)=0),"Tutup",IF(IFERROR(--(INDEX('Reguler Class Availability'!$G:$G,$Q141)&amp;""),0)&gt;IFERROR(--(INDEX('Reguler Class Availability'!$F:$F,$Q141)&amp;""),0),"Lebih",IF(IFERROR(--(INDEX('Reguler Class Availability'!$G:$G,$Q141)&amp;""),0)=IFERROR(--(INDEX('Reguler Class Availability'!$F:$F,$Q141)&amp;""),0),"Penuh",IF(IFERROR(--(INDEX('Reguler Class Availability'!$G:$G,$Q141)&amp;""),0)=0,IF(INDEX('Reguler Class Availability'!$B:$B,$Q141)&amp;""="","Kosong","Belum terisi"),IF(IFERROR(--(INDEX('Reguler Class Availability'!$G:$G,$Q141)&amp;""),0)/IFERROR(--(INDEX('Reguler Class Availability'!$F:$F,$Q141)&amp;""),0)&gt;=0.6,"Tinggi","Sebagian"))))))</f>
        <v>Belum terisi</v>
      </c>
      <c r="F141" s="77" t="str">
        <f aca="false">IF($Q141="","",PROPER(INDEX('Reguler Class Availability'!$B:$B,$Q141)&amp;""))</f>
        <v>Kids</v>
      </c>
      <c r="G141" s="76" t="n">
        <f aca="false">IF($Q141="","",IFERROR(--(INDEX('Reguler Class Availability'!$F:$F,$Q141)&amp;""),0))</f>
        <v>4</v>
      </c>
      <c r="H141" s="77" t="str">
        <f aca="false">IF($Q141="","",PROPER(INDEX('Reguler Class Availability'!$I:$I,$Q141)&amp;"")&amp;IF(INDEX('Reguler Class Availability'!$J:$J,$Q141)&amp;""="",""," + asst "&amp;PROPER(INDEX('Reguler Class Availability'!$J:$J,$Q141)&amp;"")))</f>
        <v/>
      </c>
      <c r="I141" s="77" t="s">
        <v>515</v>
      </c>
      <c r="J141" s="77" t="s">
        <v>260</v>
      </c>
      <c r="K141" s="78"/>
      <c r="L141" s="78"/>
      <c r="M141" s="78"/>
      <c r="N141" s="79"/>
      <c r="O141" s="78"/>
      <c r="Q141" s="30" t="n">
        <f aca="false">IFERROR(MATCH($B$4&amp;"|- Lane "&amp;D141&amp;" - "&amp;B141&amp;"|"&amp;C141,'Reguler Class Availability'!$L:$L,0),"")</f>
        <v>2678</v>
      </c>
      <c r="BD141" s="30" t="s">
        <v>128</v>
      </c>
      <c r="BE141" s="30" t="n">
        <f aca="false">IF(COUNTIFS('Reguler Class Availability'!$L:$L,$B$4&amp;"|- Lane 3 - *|"&amp;BD141)&gt;0,1,0)</f>
        <v>0</v>
      </c>
      <c r="BF141" s="30" t="n">
        <f aca="false">BE141+BF140</f>
        <v>4</v>
      </c>
    </row>
    <row r="142" customFormat="false" ht="15.75" hidden="false" customHeight="true" outlineLevel="0" collapsed="false">
      <c r="A142" s="76" t="n">
        <v>16</v>
      </c>
      <c r="B142" s="77" t="s">
        <v>114</v>
      </c>
      <c r="C142" s="76" t="s">
        <v>126</v>
      </c>
      <c r="D142" s="76" t="n">
        <v>1</v>
      </c>
      <c r="E142" s="77" t="str">
        <f aca="false">IF($Q142="","Tidak ada di data",IF(AND(IFERROR(--(INDEX('Reguler Class Availability'!$F:$F,$Q142)&amp;""),0)=0,IFERROR(--(INDEX('Reguler Class Availability'!$G:$G,$Q142)&amp;""),0)=0),"Tutup",IF(IFERROR(--(INDEX('Reguler Class Availability'!$G:$G,$Q142)&amp;""),0)&gt;IFERROR(--(INDEX('Reguler Class Availability'!$F:$F,$Q142)&amp;""),0),"Lebih",IF(IFERROR(--(INDEX('Reguler Class Availability'!$G:$G,$Q142)&amp;""),0)=IFERROR(--(INDEX('Reguler Class Availability'!$F:$F,$Q142)&amp;""),0),"Penuh",IF(IFERROR(--(INDEX('Reguler Class Availability'!$G:$G,$Q142)&amp;""),0)=0,IF(INDEX('Reguler Class Availability'!$B:$B,$Q142)&amp;""="","Kosong","Belum terisi"),IF(IFERROR(--(INDEX('Reguler Class Availability'!$G:$G,$Q142)&amp;""),0)/IFERROR(--(INDEX('Reguler Class Availability'!$F:$F,$Q142)&amp;""),0)&gt;=0.6,"Tinggi","Sebagian"))))))</f>
        <v>Belum terisi</v>
      </c>
      <c r="F142" s="77" t="str">
        <f aca="false">IF($Q142="","",PROPER(INDEX('Reguler Class Availability'!$B:$B,$Q142)&amp;""))</f>
        <v>Baby</v>
      </c>
      <c r="G142" s="76" t="n">
        <f aca="false">IF($Q142="","",IFERROR(--(INDEX('Reguler Class Availability'!$F:$F,$Q142)&amp;""),0))</f>
        <v>5</v>
      </c>
      <c r="H142" s="77" t="str">
        <f aca="false">IF($Q142="","",PROPER(INDEX('Reguler Class Availability'!$I:$I,$Q142)&amp;"")&amp;IF(INDEX('Reguler Class Availability'!$J:$J,$Q142)&amp;""="",""," + asst "&amp;PROPER(INDEX('Reguler Class Availability'!$J:$J,$Q142)&amp;"")))</f>
        <v/>
      </c>
      <c r="I142" s="77" t="s">
        <v>515</v>
      </c>
      <c r="J142" s="77" t="s">
        <v>288</v>
      </c>
      <c r="K142" s="78"/>
      <c r="L142" s="78"/>
      <c r="M142" s="78"/>
      <c r="N142" s="79"/>
      <c r="O142" s="78"/>
      <c r="Q142" s="30" t="n">
        <f aca="false">IFERROR(MATCH($B$4&amp;"|- Lane "&amp;D142&amp;" - "&amp;B142&amp;"|"&amp;C142,'Reguler Class Availability'!$L:$L,0),"")</f>
        <v>2413</v>
      </c>
      <c r="BD142" s="30" t="s">
        <v>129</v>
      </c>
      <c r="BE142" s="30" t="n">
        <f aca="false">IF(COUNTIFS('Reguler Class Availability'!$L:$L,$B$4&amp;"|- Lane 3 - *|"&amp;BD142)&gt;0,1,0)</f>
        <v>0</v>
      </c>
      <c r="BF142" s="30" t="n">
        <f aca="false">BE142+BF141</f>
        <v>4</v>
      </c>
    </row>
    <row r="143" customFormat="false" ht="15.75" hidden="false" customHeight="true" outlineLevel="0" collapsed="false">
      <c r="A143" s="76" t="n">
        <v>17</v>
      </c>
      <c r="B143" s="77" t="s">
        <v>114</v>
      </c>
      <c r="C143" s="76" t="s">
        <v>126</v>
      </c>
      <c r="D143" s="76" t="n">
        <v>5</v>
      </c>
      <c r="E143" s="77" t="str">
        <f aca="false">IF($Q143="","Tidak ada di data",IF(AND(IFERROR(--(INDEX('Reguler Class Availability'!$F:$F,$Q143)&amp;""),0)=0,IFERROR(--(INDEX('Reguler Class Availability'!$G:$G,$Q143)&amp;""),0)=0),"Tutup",IF(IFERROR(--(INDEX('Reguler Class Availability'!$G:$G,$Q143)&amp;""),0)&gt;IFERROR(--(INDEX('Reguler Class Availability'!$F:$F,$Q143)&amp;""),0),"Lebih",IF(IFERROR(--(INDEX('Reguler Class Availability'!$G:$G,$Q143)&amp;""),0)=IFERROR(--(INDEX('Reguler Class Availability'!$F:$F,$Q143)&amp;""),0),"Penuh",IF(IFERROR(--(INDEX('Reguler Class Availability'!$G:$G,$Q143)&amp;""),0)=0,IF(INDEX('Reguler Class Availability'!$B:$B,$Q143)&amp;""="","Kosong","Belum terisi"),IF(IFERROR(--(INDEX('Reguler Class Availability'!$G:$G,$Q143)&amp;""),0)/IFERROR(--(INDEX('Reguler Class Availability'!$F:$F,$Q143)&amp;""),0)&gt;=0.6,"Tinggi","Sebagian"))))))</f>
        <v>Kosong</v>
      </c>
      <c r="F143" s="77" t="str">
        <f aca="false">IF($Q143="","",PROPER(INDEX('Reguler Class Availability'!$B:$B,$Q143)&amp;""))</f>
        <v/>
      </c>
      <c r="G143" s="76" t="n">
        <f aca="false">IF($Q143="","",IFERROR(--(INDEX('Reguler Class Availability'!$F:$F,$Q143)&amp;""),0))</f>
        <v>4</v>
      </c>
      <c r="H143" s="77" t="str">
        <f aca="false">IF($Q143="","",PROPER(INDEX('Reguler Class Availability'!$I:$I,$Q143)&amp;"")&amp;IF(INDEX('Reguler Class Availability'!$J:$J,$Q143)&amp;""="",""," + asst "&amp;PROPER(INDEX('Reguler Class Availability'!$J:$J,$Q143)&amp;"")))</f>
        <v/>
      </c>
      <c r="I143" s="77" t="s">
        <v>515</v>
      </c>
      <c r="J143" s="77" t="s">
        <v>260</v>
      </c>
      <c r="K143" s="78"/>
      <c r="L143" s="78"/>
      <c r="M143" s="78"/>
      <c r="N143" s="79"/>
      <c r="O143" s="78"/>
      <c r="Q143" s="30" t="n">
        <f aca="false">IFERROR(MATCH($B$4&amp;"|- Lane "&amp;D143&amp;" - "&amp;B143&amp;"|"&amp;C143,'Reguler Class Availability'!$L:$L,0),"")</f>
        <v>2763</v>
      </c>
      <c r="BD143" s="30" t="s">
        <v>130</v>
      </c>
      <c r="BE143" s="30" t="n">
        <f aca="false">IF(COUNTIFS('Reguler Class Availability'!$L:$L,$B$4&amp;"|- Lane 3 - *|"&amp;BD143)&gt;0,1,0)</f>
        <v>1</v>
      </c>
      <c r="BF143" s="30" t="n">
        <f aca="false">BE143+BF142</f>
        <v>5</v>
      </c>
    </row>
    <row r="144" customFormat="false" ht="15.75" hidden="false" customHeight="true" outlineLevel="0" collapsed="false">
      <c r="A144" s="76" t="n">
        <v>18</v>
      </c>
      <c r="B144" s="77" t="s">
        <v>114</v>
      </c>
      <c r="C144" s="76" t="s">
        <v>127</v>
      </c>
      <c r="D144" s="76" t="n">
        <v>4</v>
      </c>
      <c r="E144" s="77" t="str">
        <f aca="false">IF($Q144="","Tidak ada di data",IF(AND(IFERROR(--(INDEX('Reguler Class Availability'!$F:$F,$Q144)&amp;""),0)=0,IFERROR(--(INDEX('Reguler Class Availability'!$G:$G,$Q144)&amp;""),0)=0),"Tutup",IF(IFERROR(--(INDEX('Reguler Class Availability'!$G:$G,$Q144)&amp;""),0)&gt;IFERROR(--(INDEX('Reguler Class Availability'!$F:$F,$Q144)&amp;""),0),"Lebih",IF(IFERROR(--(INDEX('Reguler Class Availability'!$G:$G,$Q144)&amp;""),0)=IFERROR(--(INDEX('Reguler Class Availability'!$F:$F,$Q144)&amp;""),0),"Penuh",IF(IFERROR(--(INDEX('Reguler Class Availability'!$G:$G,$Q144)&amp;""),0)=0,IF(INDEX('Reguler Class Availability'!$B:$B,$Q144)&amp;""="","Kosong","Belum terisi"),IF(IFERROR(--(INDEX('Reguler Class Availability'!$G:$G,$Q144)&amp;""),0)/IFERROR(--(INDEX('Reguler Class Availability'!$F:$F,$Q144)&amp;""),0)&gt;=0.6,"Tinggi","Sebagian"))))))</f>
        <v>Belum terisi</v>
      </c>
      <c r="F144" s="77" t="str">
        <f aca="false">IF($Q144="","",PROPER(INDEX('Reguler Class Availability'!$B:$B,$Q144)&amp;""))</f>
        <v>Kids</v>
      </c>
      <c r="G144" s="76" t="n">
        <f aca="false">IF($Q144="","",IFERROR(--(INDEX('Reguler Class Availability'!$F:$F,$Q144)&amp;""),0))</f>
        <v>4</v>
      </c>
      <c r="H144" s="77" t="str">
        <f aca="false">IF($Q144="","",PROPER(INDEX('Reguler Class Availability'!$I:$I,$Q144)&amp;"")&amp;IF(INDEX('Reguler Class Availability'!$J:$J,$Q144)&amp;""="",""," + asst "&amp;PROPER(INDEX('Reguler Class Availability'!$J:$J,$Q144)&amp;"")))</f>
        <v/>
      </c>
      <c r="I144" s="77" t="s">
        <v>515</v>
      </c>
      <c r="J144" s="77" t="s">
        <v>260</v>
      </c>
      <c r="K144" s="78"/>
      <c r="L144" s="78"/>
      <c r="M144" s="78"/>
      <c r="N144" s="79"/>
      <c r="O144" s="78"/>
      <c r="Q144" s="30" t="n">
        <f aca="false">IFERROR(MATCH($B$4&amp;"|- Lane "&amp;D144&amp;" - "&amp;B144&amp;"|"&amp;C144,'Reguler Class Availability'!$L:$L,0),"")</f>
        <v>2679</v>
      </c>
      <c r="BD144" s="30" t="s">
        <v>131</v>
      </c>
      <c r="BE144" s="30" t="n">
        <f aca="false">IF(COUNTIFS('Reguler Class Availability'!$L:$L,$B$4&amp;"|- Lane 3 - *|"&amp;BD144)&gt;0,1,0)</f>
        <v>0</v>
      </c>
      <c r="BF144" s="30" t="n">
        <f aca="false">BE144+BF143</f>
        <v>5</v>
      </c>
    </row>
    <row r="145" customFormat="false" ht="27.75" hidden="false" customHeight="true" outlineLevel="0" collapsed="false">
      <c r="A145" s="76" t="n">
        <v>19</v>
      </c>
      <c r="B145" s="77" t="s">
        <v>114</v>
      </c>
      <c r="C145" s="76" t="s">
        <v>129</v>
      </c>
      <c r="D145" s="76" t="n">
        <v>1</v>
      </c>
      <c r="E145" s="77" t="str">
        <f aca="false">IF($Q145="","Tidak ada di data",IF(AND(IFERROR(--(INDEX('Reguler Class Availability'!$F:$F,$Q145)&amp;""),0)=0,IFERROR(--(INDEX('Reguler Class Availability'!$G:$G,$Q145)&amp;""),0)=0),"Tutup",IF(IFERROR(--(INDEX('Reguler Class Availability'!$G:$G,$Q145)&amp;""),0)&gt;IFERROR(--(INDEX('Reguler Class Availability'!$F:$F,$Q145)&amp;""),0),"Lebih",IF(IFERROR(--(INDEX('Reguler Class Availability'!$G:$G,$Q145)&amp;""),0)=IFERROR(--(INDEX('Reguler Class Availability'!$F:$F,$Q145)&amp;""),0),"Penuh",IF(IFERROR(--(INDEX('Reguler Class Availability'!$G:$G,$Q145)&amp;""),0)=0,IF(INDEX('Reguler Class Availability'!$B:$B,$Q145)&amp;""="","Kosong","Belum terisi"),IF(IFERROR(--(INDEX('Reguler Class Availability'!$G:$G,$Q145)&amp;""),0)/IFERROR(--(INDEX('Reguler Class Availability'!$F:$F,$Q145)&amp;""),0)&gt;=0.6,"Tinggi","Sebagian"))))))</f>
        <v>Belum terisi</v>
      </c>
      <c r="F145" s="77" t="str">
        <f aca="false">IF($Q145="","",PROPER(INDEX('Reguler Class Availability'!$B:$B,$Q145)&amp;""))</f>
        <v>Baby</v>
      </c>
      <c r="G145" s="76" t="n">
        <f aca="false">IF($Q145="","",IFERROR(--(INDEX('Reguler Class Availability'!$F:$F,$Q145)&amp;""),0))</f>
        <v>5</v>
      </c>
      <c r="H145" s="77" t="str">
        <f aca="false">IF($Q145="","",PROPER(INDEX('Reguler Class Availability'!$I:$I,$Q145)&amp;"")&amp;IF(INDEX('Reguler Class Availability'!$J:$J,$Q145)&amp;""="",""," + asst "&amp;PROPER(INDEX('Reguler Class Availability'!$J:$J,$Q145)&amp;"")))</f>
        <v/>
      </c>
      <c r="I145" s="77" t="s">
        <v>514</v>
      </c>
      <c r="J145" s="77" t="s">
        <v>188</v>
      </c>
      <c r="K145" s="78"/>
      <c r="L145" s="78"/>
      <c r="M145" s="78"/>
      <c r="N145" s="79"/>
      <c r="O145" s="78"/>
      <c r="Q145" s="30" t="n">
        <f aca="false">IFERROR(MATCH($B$4&amp;"|- Lane "&amp;D145&amp;" - "&amp;B145&amp;"|"&amp;C145,'Reguler Class Availability'!$L:$L,0),"")</f>
        <v>2414</v>
      </c>
      <c r="BD145" s="30" t="s">
        <v>132</v>
      </c>
      <c r="BE145" s="30" t="n">
        <f aca="false">IF(COUNTIFS('Reguler Class Availability'!$L:$L,$B$4&amp;"|- Lane 3 - *|"&amp;BD145)&gt;0,1,0)</f>
        <v>0</v>
      </c>
      <c r="BF145" s="30" t="n">
        <f aca="false">BE145+BF144</f>
        <v>5</v>
      </c>
    </row>
    <row r="146" customFormat="false" ht="27.75" hidden="false" customHeight="true" outlineLevel="0" collapsed="false">
      <c r="A146" s="76" t="n">
        <v>20</v>
      </c>
      <c r="B146" s="77" t="s">
        <v>114</v>
      </c>
      <c r="C146" s="76" t="s">
        <v>129</v>
      </c>
      <c r="D146" s="76" t="n">
        <v>2</v>
      </c>
      <c r="E146" s="77" t="str">
        <f aca="false">IF($Q146="","Tidak ada di data",IF(AND(IFERROR(--(INDEX('Reguler Class Availability'!$F:$F,$Q146)&amp;""),0)=0,IFERROR(--(INDEX('Reguler Class Availability'!$G:$G,$Q146)&amp;""),0)=0),"Tutup",IF(IFERROR(--(INDEX('Reguler Class Availability'!$G:$G,$Q146)&amp;""),0)&gt;IFERROR(--(INDEX('Reguler Class Availability'!$F:$F,$Q146)&amp;""),0),"Lebih",IF(IFERROR(--(INDEX('Reguler Class Availability'!$G:$G,$Q146)&amp;""),0)=IFERROR(--(INDEX('Reguler Class Availability'!$F:$F,$Q146)&amp;""),0),"Penuh",IF(IFERROR(--(INDEX('Reguler Class Availability'!$G:$G,$Q146)&amp;""),0)=0,IF(INDEX('Reguler Class Availability'!$B:$B,$Q146)&amp;""="","Kosong","Belum terisi"),IF(IFERROR(--(INDEX('Reguler Class Availability'!$G:$G,$Q146)&amp;""),0)/IFERROR(--(INDEX('Reguler Class Availability'!$F:$F,$Q146)&amp;""),0)&gt;=0.6,"Tinggi","Sebagian"))))))</f>
        <v>Belum terisi</v>
      </c>
      <c r="F146" s="77" t="str">
        <f aca="false">IF($Q146="","",PROPER(INDEX('Reguler Class Availability'!$B:$B,$Q146)&amp;""))</f>
        <v>Tiny</v>
      </c>
      <c r="G146" s="76" t="n">
        <f aca="false">IF($Q146="","",IFERROR(--(INDEX('Reguler Class Availability'!$F:$F,$Q146)&amp;""),0))</f>
        <v>5</v>
      </c>
      <c r="H146" s="77" t="str">
        <f aca="false">IF($Q146="","",PROPER(INDEX('Reguler Class Availability'!$I:$I,$Q146)&amp;"")&amp;IF(INDEX('Reguler Class Availability'!$J:$J,$Q146)&amp;""="",""," + asst "&amp;PROPER(INDEX('Reguler Class Availability'!$J:$J,$Q146)&amp;"")))</f>
        <v/>
      </c>
      <c r="I146" s="77" t="s">
        <v>514</v>
      </c>
      <c r="J146" s="77" t="s">
        <v>188</v>
      </c>
      <c r="K146" s="78"/>
      <c r="L146" s="78"/>
      <c r="M146" s="78"/>
      <c r="N146" s="79"/>
      <c r="O146" s="78"/>
      <c r="Q146" s="30" t="n">
        <f aca="false">IFERROR(MATCH($B$4&amp;"|- Lane "&amp;D146&amp;" - "&amp;B146&amp;"|"&amp;C146,'Reguler Class Availability'!$L:$L,0),"")</f>
        <v>2512</v>
      </c>
      <c r="BD146" s="30" t="s">
        <v>133</v>
      </c>
      <c r="BE146" s="30" t="n">
        <f aca="false">IF(COUNTIFS('Reguler Class Availability'!$L:$L,$B$4&amp;"|- Lane 3 - *|"&amp;BD146)&gt;0,1,0)</f>
        <v>1</v>
      </c>
      <c r="BF146" s="30" t="n">
        <f aca="false">BE146+BF145</f>
        <v>6</v>
      </c>
    </row>
    <row r="147" customFormat="false" ht="27.75" hidden="false" customHeight="true" outlineLevel="0" collapsed="false">
      <c r="A147" s="76" t="n">
        <v>21</v>
      </c>
      <c r="B147" s="77" t="s">
        <v>114</v>
      </c>
      <c r="C147" s="76" t="s">
        <v>129</v>
      </c>
      <c r="D147" s="76" t="n">
        <v>5</v>
      </c>
      <c r="E147" s="77" t="str">
        <f aca="false">IF($Q147="","Tidak ada di data",IF(AND(IFERROR(--(INDEX('Reguler Class Availability'!$F:$F,$Q147)&amp;""),0)=0,IFERROR(--(INDEX('Reguler Class Availability'!$G:$G,$Q147)&amp;""),0)=0),"Tutup",IF(IFERROR(--(INDEX('Reguler Class Availability'!$G:$G,$Q147)&amp;""),0)&gt;IFERROR(--(INDEX('Reguler Class Availability'!$F:$F,$Q147)&amp;""),0),"Lebih",IF(IFERROR(--(INDEX('Reguler Class Availability'!$G:$G,$Q147)&amp;""),0)=IFERROR(--(INDEX('Reguler Class Availability'!$F:$F,$Q147)&amp;""),0),"Penuh",IF(IFERROR(--(INDEX('Reguler Class Availability'!$G:$G,$Q147)&amp;""),0)=0,IF(INDEX('Reguler Class Availability'!$B:$B,$Q147)&amp;""="","Kosong","Belum terisi"),IF(IFERROR(--(INDEX('Reguler Class Availability'!$G:$G,$Q147)&amp;""),0)/IFERROR(--(INDEX('Reguler Class Availability'!$F:$F,$Q147)&amp;""),0)&gt;=0.6,"Tinggi","Sebagian"))))))</f>
        <v>Kosong</v>
      </c>
      <c r="F147" s="77" t="str">
        <f aca="false">IF($Q147="","",PROPER(INDEX('Reguler Class Availability'!$B:$B,$Q147)&amp;""))</f>
        <v/>
      </c>
      <c r="G147" s="76" t="n">
        <f aca="false">IF($Q147="","",IFERROR(--(INDEX('Reguler Class Availability'!$F:$F,$Q147)&amp;""),0))</f>
        <v>4</v>
      </c>
      <c r="H147" s="77" t="str">
        <f aca="false">IF($Q147="","",PROPER(INDEX('Reguler Class Availability'!$I:$I,$Q147)&amp;"")&amp;IF(INDEX('Reguler Class Availability'!$J:$J,$Q147)&amp;""="",""," + asst "&amp;PROPER(INDEX('Reguler Class Availability'!$J:$J,$Q147)&amp;"")))</f>
        <v/>
      </c>
      <c r="I147" s="77" t="s">
        <v>514</v>
      </c>
      <c r="J147" s="77" t="s">
        <v>188</v>
      </c>
      <c r="K147" s="78"/>
      <c r="L147" s="78"/>
      <c r="M147" s="78"/>
      <c r="N147" s="79"/>
      <c r="O147" s="78"/>
      <c r="Q147" s="30" t="n">
        <f aca="false">IFERROR(MATCH($B$4&amp;"|- Lane "&amp;D147&amp;" - "&amp;B147&amp;"|"&amp;C147,'Reguler Class Availability'!$L:$L,0),"")</f>
        <v>2764</v>
      </c>
      <c r="BD147" s="30" t="s">
        <v>134</v>
      </c>
      <c r="BE147" s="30" t="n">
        <f aca="false">IF(COUNTIFS('Reguler Class Availability'!$L:$L,$B$4&amp;"|- Lane 3 - *|"&amp;BD147)&gt;0,1,0)</f>
        <v>0</v>
      </c>
      <c r="BF147" s="30" t="n">
        <f aca="false">BE147+BF146</f>
        <v>6</v>
      </c>
    </row>
    <row r="148" customFormat="false" ht="27.75" hidden="false" customHeight="true" outlineLevel="0" collapsed="false">
      <c r="A148" s="76" t="n">
        <v>22</v>
      </c>
      <c r="B148" s="77" t="s">
        <v>114</v>
      </c>
      <c r="C148" s="76" t="s">
        <v>130</v>
      </c>
      <c r="D148" s="76" t="n">
        <v>4</v>
      </c>
      <c r="E148" s="77" t="str">
        <f aca="false">IF($Q148="","Tidak ada di data",IF(AND(IFERROR(--(INDEX('Reguler Class Availability'!$F:$F,$Q148)&amp;""),0)=0,IFERROR(--(INDEX('Reguler Class Availability'!$G:$G,$Q148)&amp;""),0)=0),"Tutup",IF(IFERROR(--(INDEX('Reguler Class Availability'!$G:$G,$Q148)&amp;""),0)&gt;IFERROR(--(INDEX('Reguler Class Availability'!$F:$F,$Q148)&amp;""),0),"Lebih",IF(IFERROR(--(INDEX('Reguler Class Availability'!$G:$G,$Q148)&amp;""),0)=IFERROR(--(INDEX('Reguler Class Availability'!$F:$F,$Q148)&amp;""),0),"Penuh",IF(IFERROR(--(INDEX('Reguler Class Availability'!$G:$G,$Q148)&amp;""),0)=0,IF(INDEX('Reguler Class Availability'!$B:$B,$Q148)&amp;""="","Kosong","Belum terisi"),IF(IFERROR(--(INDEX('Reguler Class Availability'!$G:$G,$Q148)&amp;""),0)/IFERROR(--(INDEX('Reguler Class Availability'!$F:$F,$Q148)&amp;""),0)&gt;=0.6,"Tinggi","Sebagian"))))))</f>
        <v>Belum terisi</v>
      </c>
      <c r="F148" s="77" t="str">
        <f aca="false">IF($Q148="","",PROPER(INDEX('Reguler Class Availability'!$B:$B,$Q148)&amp;""))</f>
        <v>Kids</v>
      </c>
      <c r="G148" s="76" t="n">
        <f aca="false">IF($Q148="","",IFERROR(--(INDEX('Reguler Class Availability'!$F:$F,$Q148)&amp;""),0))</f>
        <v>4</v>
      </c>
      <c r="H148" s="77" t="str">
        <f aca="false">IF($Q148="","",PROPER(INDEX('Reguler Class Availability'!$I:$I,$Q148)&amp;"")&amp;IF(INDEX('Reguler Class Availability'!$J:$J,$Q148)&amp;""="",""," + asst "&amp;PROPER(INDEX('Reguler Class Availability'!$J:$J,$Q148)&amp;"")))</f>
        <v/>
      </c>
      <c r="I148" s="77" t="s">
        <v>514</v>
      </c>
      <c r="J148" s="77" t="s">
        <v>188</v>
      </c>
      <c r="K148" s="78"/>
      <c r="L148" s="78"/>
      <c r="M148" s="78"/>
      <c r="N148" s="79"/>
      <c r="O148" s="78"/>
      <c r="Q148" s="30" t="n">
        <f aca="false">IFERROR(MATCH($B$4&amp;"|- Lane "&amp;D148&amp;" - "&amp;B148&amp;"|"&amp;C148,'Reguler Class Availability'!$L:$L,0),"")</f>
        <v>2680</v>
      </c>
      <c r="BD148" s="30" t="s">
        <v>135</v>
      </c>
      <c r="BE148" s="30" t="n">
        <f aca="false">IF(COUNTIFS('Reguler Class Availability'!$L:$L,$B$4&amp;"|- Lane 3 - *|"&amp;BD148)&gt;0,1,0)</f>
        <v>0</v>
      </c>
      <c r="BF148" s="30" t="n">
        <f aca="false">BE148+BF147</f>
        <v>6</v>
      </c>
    </row>
    <row r="149" customFormat="false" ht="27.75" hidden="false" customHeight="true" outlineLevel="0" collapsed="false">
      <c r="A149" s="76" t="n">
        <v>23</v>
      </c>
      <c r="B149" s="77" t="s">
        <v>114</v>
      </c>
      <c r="C149" s="76" t="s">
        <v>132</v>
      </c>
      <c r="D149" s="76" t="n">
        <v>1</v>
      </c>
      <c r="E149" s="77" t="str">
        <f aca="false">IF($Q149="","Tidak ada di data",IF(AND(IFERROR(--(INDEX('Reguler Class Availability'!$F:$F,$Q149)&amp;""),0)=0,IFERROR(--(INDEX('Reguler Class Availability'!$G:$G,$Q149)&amp;""),0)=0),"Tutup",IF(IFERROR(--(INDEX('Reguler Class Availability'!$G:$G,$Q149)&amp;""),0)&gt;IFERROR(--(INDEX('Reguler Class Availability'!$F:$F,$Q149)&amp;""),0),"Lebih",IF(IFERROR(--(INDEX('Reguler Class Availability'!$G:$G,$Q149)&amp;""),0)=IFERROR(--(INDEX('Reguler Class Availability'!$F:$F,$Q149)&amp;""),0),"Penuh",IF(IFERROR(--(INDEX('Reguler Class Availability'!$G:$G,$Q149)&amp;""),0)=0,IF(INDEX('Reguler Class Availability'!$B:$B,$Q149)&amp;""="","Kosong","Belum terisi"),IF(IFERROR(--(INDEX('Reguler Class Availability'!$G:$G,$Q149)&amp;""),0)/IFERROR(--(INDEX('Reguler Class Availability'!$F:$F,$Q149)&amp;""),0)&gt;=0.6,"Tinggi","Sebagian"))))))</f>
        <v>Belum terisi</v>
      </c>
      <c r="F149" s="77" t="str">
        <f aca="false">IF($Q149="","",PROPER(INDEX('Reguler Class Availability'!$B:$B,$Q149)&amp;""))</f>
        <v>Baby</v>
      </c>
      <c r="G149" s="76" t="n">
        <f aca="false">IF($Q149="","",IFERROR(--(INDEX('Reguler Class Availability'!$F:$F,$Q149)&amp;""),0))</f>
        <v>5</v>
      </c>
      <c r="H149" s="77" t="str">
        <f aca="false">IF($Q149="","",PROPER(INDEX('Reguler Class Availability'!$I:$I,$Q149)&amp;"")&amp;IF(INDEX('Reguler Class Availability'!$J:$J,$Q149)&amp;""="",""," + asst "&amp;PROPER(INDEX('Reguler Class Availability'!$J:$J,$Q149)&amp;"")))</f>
        <v/>
      </c>
      <c r="I149" s="77" t="s">
        <v>514</v>
      </c>
      <c r="J149" s="77" t="s">
        <v>188</v>
      </c>
      <c r="K149" s="78"/>
      <c r="L149" s="78"/>
      <c r="M149" s="78"/>
      <c r="N149" s="79"/>
      <c r="O149" s="78"/>
      <c r="Q149" s="30" t="n">
        <f aca="false">IFERROR(MATCH($B$4&amp;"|- Lane "&amp;D149&amp;" - "&amp;B149&amp;"|"&amp;C149,'Reguler Class Availability'!$L:$L,0),"")</f>
        <v>2415</v>
      </c>
      <c r="BD149" s="30" t="s">
        <v>136</v>
      </c>
      <c r="BE149" s="30" t="n">
        <f aca="false">IF(COUNTIFS('Reguler Class Availability'!$L:$L,$B$4&amp;"|- Lane 3 - *|"&amp;BD149)&gt;0,1,0)</f>
        <v>0</v>
      </c>
      <c r="BF149" s="30" t="n">
        <f aca="false">BE149+BF148</f>
        <v>6</v>
      </c>
    </row>
    <row r="150" customFormat="false" ht="27.75" hidden="false" customHeight="true" outlineLevel="0" collapsed="false">
      <c r="A150" s="76" t="n">
        <v>24</v>
      </c>
      <c r="B150" s="77" t="s">
        <v>114</v>
      </c>
      <c r="C150" s="76" t="s">
        <v>132</v>
      </c>
      <c r="D150" s="76" t="n">
        <v>2</v>
      </c>
      <c r="E150" s="77" t="str">
        <f aca="false">IF($Q150="","Tidak ada di data",IF(AND(IFERROR(--(INDEX('Reguler Class Availability'!$F:$F,$Q150)&amp;""),0)=0,IFERROR(--(INDEX('Reguler Class Availability'!$G:$G,$Q150)&amp;""),0)=0),"Tutup",IF(IFERROR(--(INDEX('Reguler Class Availability'!$G:$G,$Q150)&amp;""),0)&gt;IFERROR(--(INDEX('Reguler Class Availability'!$F:$F,$Q150)&amp;""),0),"Lebih",IF(IFERROR(--(INDEX('Reguler Class Availability'!$G:$G,$Q150)&amp;""),0)=IFERROR(--(INDEX('Reguler Class Availability'!$F:$F,$Q150)&amp;""),0),"Penuh",IF(IFERROR(--(INDEX('Reguler Class Availability'!$G:$G,$Q150)&amp;""),0)=0,IF(INDEX('Reguler Class Availability'!$B:$B,$Q150)&amp;""="","Kosong","Belum terisi"),IF(IFERROR(--(INDEX('Reguler Class Availability'!$G:$G,$Q150)&amp;""),0)/IFERROR(--(INDEX('Reguler Class Availability'!$F:$F,$Q150)&amp;""),0)&gt;=0.6,"Tinggi","Sebagian"))))))</f>
        <v>Belum terisi</v>
      </c>
      <c r="F150" s="77" t="str">
        <f aca="false">IF($Q150="","",PROPER(INDEX('Reguler Class Availability'!$B:$B,$Q150)&amp;""))</f>
        <v>Tiny</v>
      </c>
      <c r="G150" s="76" t="n">
        <f aca="false">IF($Q150="","",IFERROR(--(INDEX('Reguler Class Availability'!$F:$F,$Q150)&amp;""),0))</f>
        <v>5</v>
      </c>
      <c r="H150" s="77" t="str">
        <f aca="false">IF($Q150="","",PROPER(INDEX('Reguler Class Availability'!$I:$I,$Q150)&amp;"")&amp;IF(INDEX('Reguler Class Availability'!$J:$J,$Q150)&amp;""="",""," + asst "&amp;PROPER(INDEX('Reguler Class Availability'!$J:$J,$Q150)&amp;"")))</f>
        <v/>
      </c>
      <c r="I150" s="77" t="s">
        <v>514</v>
      </c>
      <c r="J150" s="77" t="s">
        <v>188</v>
      </c>
      <c r="K150" s="78"/>
      <c r="L150" s="78"/>
      <c r="M150" s="78"/>
      <c r="N150" s="79"/>
      <c r="O150" s="78"/>
      <c r="Q150" s="30" t="n">
        <f aca="false">IFERROR(MATCH($B$4&amp;"|- Lane "&amp;D150&amp;" - "&amp;B150&amp;"|"&amp;C150,'Reguler Class Availability'!$L:$L,0),"")</f>
        <v>2513</v>
      </c>
      <c r="BD150" s="30" t="s">
        <v>138</v>
      </c>
      <c r="BE150" s="30" t="n">
        <f aca="false">IF(COUNTIFS('Reguler Class Availability'!$L:$L,$B$4&amp;"|- Lane 3 - *|"&amp;BD150)&gt;0,1,0)</f>
        <v>0</v>
      </c>
      <c r="BF150" s="30" t="n">
        <f aca="false">BE150+BF149</f>
        <v>6</v>
      </c>
    </row>
    <row r="151" customFormat="false" ht="27.75" hidden="false" customHeight="true" outlineLevel="0" collapsed="false">
      <c r="A151" s="76" t="n">
        <v>25</v>
      </c>
      <c r="B151" s="77" t="s">
        <v>114</v>
      </c>
      <c r="C151" s="76" t="s">
        <v>132</v>
      </c>
      <c r="D151" s="76" t="n">
        <v>5</v>
      </c>
      <c r="E151" s="77" t="str">
        <f aca="false">IF($Q151="","Tidak ada di data",IF(AND(IFERROR(--(INDEX('Reguler Class Availability'!$F:$F,$Q151)&amp;""),0)=0,IFERROR(--(INDEX('Reguler Class Availability'!$G:$G,$Q151)&amp;""),0)=0),"Tutup",IF(IFERROR(--(INDEX('Reguler Class Availability'!$G:$G,$Q151)&amp;""),0)&gt;IFERROR(--(INDEX('Reguler Class Availability'!$F:$F,$Q151)&amp;""),0),"Lebih",IF(IFERROR(--(INDEX('Reguler Class Availability'!$G:$G,$Q151)&amp;""),0)=IFERROR(--(INDEX('Reguler Class Availability'!$F:$F,$Q151)&amp;""),0),"Penuh",IF(IFERROR(--(INDEX('Reguler Class Availability'!$G:$G,$Q151)&amp;""),0)=0,IF(INDEX('Reguler Class Availability'!$B:$B,$Q151)&amp;""="","Kosong","Belum terisi"),IF(IFERROR(--(INDEX('Reguler Class Availability'!$G:$G,$Q151)&amp;""),0)/IFERROR(--(INDEX('Reguler Class Availability'!$F:$F,$Q151)&amp;""),0)&gt;=0.6,"Tinggi","Sebagian"))))))</f>
        <v>Kosong</v>
      </c>
      <c r="F151" s="77" t="str">
        <f aca="false">IF($Q151="","",PROPER(INDEX('Reguler Class Availability'!$B:$B,$Q151)&amp;""))</f>
        <v/>
      </c>
      <c r="G151" s="76" t="n">
        <f aca="false">IF($Q151="","",IFERROR(--(INDEX('Reguler Class Availability'!$F:$F,$Q151)&amp;""),0))</f>
        <v>4</v>
      </c>
      <c r="H151" s="77" t="str">
        <f aca="false">IF($Q151="","",PROPER(INDEX('Reguler Class Availability'!$I:$I,$Q151)&amp;"")&amp;IF(INDEX('Reguler Class Availability'!$J:$J,$Q151)&amp;""="",""," + asst "&amp;PROPER(INDEX('Reguler Class Availability'!$J:$J,$Q151)&amp;"")))</f>
        <v/>
      </c>
      <c r="I151" s="77" t="s">
        <v>514</v>
      </c>
      <c r="J151" s="77" t="s">
        <v>188</v>
      </c>
      <c r="K151" s="78"/>
      <c r="L151" s="78"/>
      <c r="M151" s="78"/>
      <c r="N151" s="79"/>
      <c r="O151" s="78"/>
      <c r="Q151" s="30" t="n">
        <f aca="false">IFERROR(MATCH($B$4&amp;"|- Lane "&amp;D151&amp;" - "&amp;B151&amp;"|"&amp;C151,'Reguler Class Availability'!$L:$L,0),"")</f>
        <v>2765</v>
      </c>
      <c r="BD151" s="30" t="s">
        <v>139</v>
      </c>
      <c r="BE151" s="30" t="n">
        <f aca="false">IF(COUNTIFS('Reguler Class Availability'!$L:$L,$B$4&amp;"|- Lane 3 - *|"&amp;BD151)&gt;0,1,0)</f>
        <v>0</v>
      </c>
      <c r="BF151" s="30" t="n">
        <f aca="false">BE151+BF150</f>
        <v>6</v>
      </c>
    </row>
    <row r="152" customFormat="false" ht="27.75" hidden="false" customHeight="true" outlineLevel="0" collapsed="false">
      <c r="A152" s="76" t="n">
        <v>26</v>
      </c>
      <c r="B152" s="77" t="s">
        <v>114</v>
      </c>
      <c r="C152" s="76" t="s">
        <v>133</v>
      </c>
      <c r="D152" s="76" t="n">
        <v>3</v>
      </c>
      <c r="E152" s="77" t="str">
        <f aca="false">IF($Q152="","Tidak ada di data",IF(AND(IFERROR(--(INDEX('Reguler Class Availability'!$F:$F,$Q152)&amp;""),0)=0,IFERROR(--(INDEX('Reguler Class Availability'!$G:$G,$Q152)&amp;""),0)=0),"Tutup",IF(IFERROR(--(INDEX('Reguler Class Availability'!$G:$G,$Q152)&amp;""),0)&gt;IFERROR(--(INDEX('Reguler Class Availability'!$F:$F,$Q152)&amp;""),0),"Lebih",IF(IFERROR(--(INDEX('Reguler Class Availability'!$G:$G,$Q152)&amp;""),0)=IFERROR(--(INDEX('Reguler Class Availability'!$F:$F,$Q152)&amp;""),0),"Penuh",IF(IFERROR(--(INDEX('Reguler Class Availability'!$G:$G,$Q152)&amp;""),0)=0,IF(INDEX('Reguler Class Availability'!$B:$B,$Q152)&amp;""="","Kosong","Belum terisi"),IF(IFERROR(--(INDEX('Reguler Class Availability'!$G:$G,$Q152)&amp;""),0)/IFERROR(--(INDEX('Reguler Class Availability'!$F:$F,$Q152)&amp;""),0)&gt;=0.6,"Tinggi","Sebagian"))))))</f>
        <v>Belum terisi</v>
      </c>
      <c r="F152" s="77" t="str">
        <f aca="false">IF($Q152="","",PROPER(INDEX('Reguler Class Availability'!$B:$B,$Q152)&amp;""))</f>
        <v>Little</v>
      </c>
      <c r="G152" s="76" t="n">
        <f aca="false">IF($Q152="","",IFERROR(--(INDEX('Reguler Class Availability'!$F:$F,$Q152)&amp;""),0))</f>
        <v>4</v>
      </c>
      <c r="H152" s="77" t="str">
        <f aca="false">IF($Q152="","",PROPER(INDEX('Reguler Class Availability'!$I:$I,$Q152)&amp;"")&amp;IF(INDEX('Reguler Class Availability'!$J:$J,$Q152)&amp;""="",""," + asst "&amp;PROPER(INDEX('Reguler Class Availability'!$J:$J,$Q152)&amp;"")))</f>
        <v/>
      </c>
      <c r="I152" s="77" t="s">
        <v>513</v>
      </c>
      <c r="J152" s="77" t="s">
        <v>188</v>
      </c>
      <c r="K152" s="78"/>
      <c r="L152" s="78"/>
      <c r="M152" s="78"/>
      <c r="N152" s="79"/>
      <c r="O152" s="78"/>
      <c r="Q152" s="30" t="n">
        <f aca="false">IFERROR(MATCH($B$4&amp;"|- Lane "&amp;D152&amp;" - "&amp;B152&amp;"|"&amp;C152,'Reguler Class Availability'!$L:$L,0),"")</f>
        <v>2597</v>
      </c>
      <c r="BD152" s="30" t="s">
        <v>141</v>
      </c>
      <c r="BE152" s="30" t="n">
        <f aca="false">IF(COUNTIFS('Reguler Class Availability'!$L:$L,$B$4&amp;"|- Lane 3 - *|"&amp;BD152)&gt;0,1,0)</f>
        <v>1</v>
      </c>
      <c r="BF152" s="30" t="n">
        <f aca="false">BE152+BF151</f>
        <v>7</v>
      </c>
    </row>
    <row r="153" customFormat="false" ht="27.75" hidden="false" customHeight="true" outlineLevel="0" collapsed="false">
      <c r="A153" s="76" t="n">
        <v>27</v>
      </c>
      <c r="B153" s="77" t="s">
        <v>114</v>
      </c>
      <c r="C153" s="76" t="s">
        <v>133</v>
      </c>
      <c r="D153" s="76" t="n">
        <v>4</v>
      </c>
      <c r="E153" s="77" t="str">
        <f aca="false">IF($Q153="","Tidak ada di data",IF(AND(IFERROR(--(INDEX('Reguler Class Availability'!$F:$F,$Q153)&amp;""),0)=0,IFERROR(--(INDEX('Reguler Class Availability'!$G:$G,$Q153)&amp;""),0)=0),"Tutup",IF(IFERROR(--(INDEX('Reguler Class Availability'!$G:$G,$Q153)&amp;""),0)&gt;IFERROR(--(INDEX('Reguler Class Availability'!$F:$F,$Q153)&amp;""),0),"Lebih",IF(IFERROR(--(INDEX('Reguler Class Availability'!$G:$G,$Q153)&amp;""),0)=IFERROR(--(INDEX('Reguler Class Availability'!$F:$F,$Q153)&amp;""),0),"Penuh",IF(IFERROR(--(INDEX('Reguler Class Availability'!$G:$G,$Q153)&amp;""),0)=0,IF(INDEX('Reguler Class Availability'!$B:$B,$Q153)&amp;""="","Kosong","Belum terisi"),IF(IFERROR(--(INDEX('Reguler Class Availability'!$G:$G,$Q153)&amp;""),0)/IFERROR(--(INDEX('Reguler Class Availability'!$F:$F,$Q153)&amp;""),0)&gt;=0.6,"Tinggi","Sebagian"))))))</f>
        <v>Belum terisi</v>
      </c>
      <c r="F153" s="77" t="str">
        <f aca="false">IF($Q153="","",PROPER(INDEX('Reguler Class Availability'!$B:$B,$Q153)&amp;""))</f>
        <v>Kids</v>
      </c>
      <c r="G153" s="76" t="n">
        <f aca="false">IF($Q153="","",IFERROR(--(INDEX('Reguler Class Availability'!$F:$F,$Q153)&amp;""),0))</f>
        <v>4</v>
      </c>
      <c r="H153" s="77" t="str">
        <f aca="false">IF($Q153="","",PROPER(INDEX('Reguler Class Availability'!$I:$I,$Q153)&amp;"")&amp;IF(INDEX('Reguler Class Availability'!$J:$J,$Q153)&amp;""="",""," + asst "&amp;PROPER(INDEX('Reguler Class Availability'!$J:$J,$Q153)&amp;"")))</f>
        <v/>
      </c>
      <c r="I153" s="77" t="s">
        <v>513</v>
      </c>
      <c r="J153" s="77" t="s">
        <v>188</v>
      </c>
      <c r="K153" s="78"/>
      <c r="L153" s="78"/>
      <c r="M153" s="78"/>
      <c r="N153" s="79"/>
      <c r="O153" s="78"/>
      <c r="Q153" s="30" t="n">
        <f aca="false">IFERROR(MATCH($B$4&amp;"|- Lane "&amp;D153&amp;" - "&amp;B153&amp;"|"&amp;C153,'Reguler Class Availability'!$L:$L,0),"")</f>
        <v>2681</v>
      </c>
      <c r="BD153" s="30" t="s">
        <v>142</v>
      </c>
      <c r="BE153" s="30" t="n">
        <f aca="false">IF(COUNTIFS('Reguler Class Availability'!$L:$L,$B$4&amp;"|- Lane 3 - *|"&amp;BD153)&gt;0,1,0)</f>
        <v>0</v>
      </c>
      <c r="BF153" s="30" t="n">
        <f aca="false">BE153+BF152</f>
        <v>7</v>
      </c>
    </row>
    <row r="154" customFormat="false" ht="27.75" hidden="false" customHeight="true" outlineLevel="0" collapsed="false">
      <c r="A154" s="76" t="n">
        <v>28</v>
      </c>
      <c r="B154" s="77" t="s">
        <v>114</v>
      </c>
      <c r="C154" s="76" t="s">
        <v>139</v>
      </c>
      <c r="D154" s="76" t="n">
        <v>1</v>
      </c>
      <c r="E154" s="77" t="str">
        <f aca="false">IF($Q154="","Tidak ada di data",IF(AND(IFERROR(--(INDEX('Reguler Class Availability'!$F:$F,$Q154)&amp;""),0)=0,IFERROR(--(INDEX('Reguler Class Availability'!$G:$G,$Q154)&amp;""),0)=0),"Tutup",IF(IFERROR(--(INDEX('Reguler Class Availability'!$G:$G,$Q154)&amp;""),0)&gt;IFERROR(--(INDEX('Reguler Class Availability'!$F:$F,$Q154)&amp;""),0),"Lebih",IF(IFERROR(--(INDEX('Reguler Class Availability'!$G:$G,$Q154)&amp;""),0)=IFERROR(--(INDEX('Reguler Class Availability'!$F:$F,$Q154)&amp;""),0),"Penuh",IF(IFERROR(--(INDEX('Reguler Class Availability'!$G:$G,$Q154)&amp;""),0)=0,IF(INDEX('Reguler Class Availability'!$B:$B,$Q154)&amp;""="","Kosong","Belum terisi"),IF(IFERROR(--(INDEX('Reguler Class Availability'!$G:$G,$Q154)&amp;""),0)/IFERROR(--(INDEX('Reguler Class Availability'!$F:$F,$Q154)&amp;""),0)&gt;=0.6,"Tinggi","Sebagian"))))))</f>
        <v>Belum terisi</v>
      </c>
      <c r="F154" s="77" t="str">
        <f aca="false">IF($Q154="","",PROPER(INDEX('Reguler Class Availability'!$B:$B,$Q154)&amp;""))</f>
        <v>Baby</v>
      </c>
      <c r="G154" s="76" t="n">
        <f aca="false">IF($Q154="","",IFERROR(--(INDEX('Reguler Class Availability'!$F:$F,$Q154)&amp;""),0))</f>
        <v>5</v>
      </c>
      <c r="H154" s="77" t="str">
        <f aca="false">IF($Q154="","",PROPER(INDEX('Reguler Class Availability'!$I:$I,$Q154)&amp;"")&amp;IF(INDEX('Reguler Class Availability'!$J:$J,$Q154)&amp;""="",""," + asst "&amp;PROPER(INDEX('Reguler Class Availability'!$J:$J,$Q154)&amp;"")))</f>
        <v/>
      </c>
      <c r="I154" s="77" t="s">
        <v>514</v>
      </c>
      <c r="J154" s="77" t="s">
        <v>188</v>
      </c>
      <c r="K154" s="78"/>
      <c r="L154" s="78"/>
      <c r="M154" s="78"/>
      <c r="N154" s="79"/>
      <c r="O154" s="78"/>
      <c r="Q154" s="30" t="n">
        <f aca="false">IFERROR(MATCH($B$4&amp;"|- Lane "&amp;D154&amp;" - "&amp;B154&amp;"|"&amp;C154,'Reguler Class Availability'!$L:$L,0),"")</f>
        <v>2416</v>
      </c>
      <c r="BD154" s="30" t="s">
        <v>143</v>
      </c>
      <c r="BE154" s="30" t="n">
        <f aca="false">IF(COUNTIFS('Reguler Class Availability'!$L:$L,$B$4&amp;"|- Lane 3 - *|"&amp;BD154)&gt;0,1,0)</f>
        <v>0</v>
      </c>
      <c r="BF154" s="30" t="n">
        <f aca="false">BE154+BF153</f>
        <v>7</v>
      </c>
    </row>
    <row r="155" customFormat="false" ht="27.75" hidden="false" customHeight="true" outlineLevel="0" collapsed="false">
      <c r="A155" s="76" t="n">
        <v>29</v>
      </c>
      <c r="B155" s="77" t="s">
        <v>114</v>
      </c>
      <c r="C155" s="76" t="s">
        <v>139</v>
      </c>
      <c r="D155" s="76" t="n">
        <v>2</v>
      </c>
      <c r="E155" s="77" t="str">
        <f aca="false">IF($Q155="","Tidak ada di data",IF(AND(IFERROR(--(INDEX('Reguler Class Availability'!$F:$F,$Q155)&amp;""),0)=0,IFERROR(--(INDEX('Reguler Class Availability'!$G:$G,$Q155)&amp;""),0)=0),"Tutup",IF(IFERROR(--(INDEX('Reguler Class Availability'!$G:$G,$Q155)&amp;""),0)&gt;IFERROR(--(INDEX('Reguler Class Availability'!$F:$F,$Q155)&amp;""),0),"Lebih",IF(IFERROR(--(INDEX('Reguler Class Availability'!$G:$G,$Q155)&amp;""),0)=IFERROR(--(INDEX('Reguler Class Availability'!$F:$F,$Q155)&amp;""),0),"Penuh",IF(IFERROR(--(INDEX('Reguler Class Availability'!$G:$G,$Q155)&amp;""),0)=0,IF(INDEX('Reguler Class Availability'!$B:$B,$Q155)&amp;""="","Kosong","Belum terisi"),IF(IFERROR(--(INDEX('Reguler Class Availability'!$G:$G,$Q155)&amp;""),0)/IFERROR(--(INDEX('Reguler Class Availability'!$F:$F,$Q155)&amp;""),0)&gt;=0.6,"Tinggi","Sebagian"))))))</f>
        <v>Belum terisi</v>
      </c>
      <c r="F155" s="77" t="str">
        <f aca="false">IF($Q155="","",PROPER(INDEX('Reguler Class Availability'!$B:$B,$Q155)&amp;""))</f>
        <v>Tiny</v>
      </c>
      <c r="G155" s="76" t="n">
        <f aca="false">IF($Q155="","",IFERROR(--(INDEX('Reguler Class Availability'!$F:$F,$Q155)&amp;""),0))</f>
        <v>5</v>
      </c>
      <c r="H155" s="77" t="str">
        <f aca="false">IF($Q155="","",PROPER(INDEX('Reguler Class Availability'!$I:$I,$Q155)&amp;"")&amp;IF(INDEX('Reguler Class Availability'!$J:$J,$Q155)&amp;""="",""," + asst "&amp;PROPER(INDEX('Reguler Class Availability'!$J:$J,$Q155)&amp;"")))</f>
        <v/>
      </c>
      <c r="I155" s="77" t="s">
        <v>514</v>
      </c>
      <c r="J155" s="77" t="s">
        <v>188</v>
      </c>
      <c r="K155" s="78"/>
      <c r="L155" s="78"/>
      <c r="M155" s="78"/>
      <c r="N155" s="79"/>
      <c r="O155" s="78"/>
      <c r="Q155" s="30" t="n">
        <f aca="false">IFERROR(MATCH($B$4&amp;"|- Lane "&amp;D155&amp;" - "&amp;B155&amp;"|"&amp;C155,'Reguler Class Availability'!$L:$L,0),"")</f>
        <v>2514</v>
      </c>
      <c r="BD155" s="30" t="s">
        <v>144</v>
      </c>
      <c r="BE155" s="30" t="n">
        <f aca="false">IF(COUNTIFS('Reguler Class Availability'!$L:$L,$B$4&amp;"|- Lane 3 - *|"&amp;BD155)&gt;0,1,0)</f>
        <v>1</v>
      </c>
      <c r="BF155" s="30" t="n">
        <f aca="false">BE155+BF154</f>
        <v>8</v>
      </c>
    </row>
    <row r="156" customFormat="false" ht="27.75" hidden="false" customHeight="true" outlineLevel="0" collapsed="false">
      <c r="A156" s="76" t="n">
        <v>30</v>
      </c>
      <c r="B156" s="77" t="s">
        <v>114</v>
      </c>
      <c r="C156" s="76" t="s">
        <v>139</v>
      </c>
      <c r="D156" s="76" t="n">
        <v>5</v>
      </c>
      <c r="E156" s="77" t="str">
        <f aca="false">IF($Q156="","Tidak ada di data",IF(AND(IFERROR(--(INDEX('Reguler Class Availability'!$F:$F,$Q156)&amp;""),0)=0,IFERROR(--(INDEX('Reguler Class Availability'!$G:$G,$Q156)&amp;""),0)=0),"Tutup",IF(IFERROR(--(INDEX('Reguler Class Availability'!$G:$G,$Q156)&amp;""),0)&gt;IFERROR(--(INDEX('Reguler Class Availability'!$F:$F,$Q156)&amp;""),0),"Lebih",IF(IFERROR(--(INDEX('Reguler Class Availability'!$G:$G,$Q156)&amp;""),0)=IFERROR(--(INDEX('Reguler Class Availability'!$F:$F,$Q156)&amp;""),0),"Penuh",IF(IFERROR(--(INDEX('Reguler Class Availability'!$G:$G,$Q156)&amp;""),0)=0,IF(INDEX('Reguler Class Availability'!$B:$B,$Q156)&amp;""="","Kosong","Belum terisi"),IF(IFERROR(--(INDEX('Reguler Class Availability'!$G:$G,$Q156)&amp;""),0)/IFERROR(--(INDEX('Reguler Class Availability'!$F:$F,$Q156)&amp;""),0)&gt;=0.6,"Tinggi","Sebagian"))))))</f>
        <v>Kosong</v>
      </c>
      <c r="F156" s="77" t="str">
        <f aca="false">IF($Q156="","",PROPER(INDEX('Reguler Class Availability'!$B:$B,$Q156)&amp;""))</f>
        <v/>
      </c>
      <c r="G156" s="76" t="n">
        <f aca="false">IF($Q156="","",IFERROR(--(INDEX('Reguler Class Availability'!$F:$F,$Q156)&amp;""),0))</f>
        <v>4</v>
      </c>
      <c r="H156" s="77" t="str">
        <f aca="false">IF($Q156="","",PROPER(INDEX('Reguler Class Availability'!$I:$I,$Q156)&amp;"")&amp;IF(INDEX('Reguler Class Availability'!$J:$J,$Q156)&amp;""="",""," + asst "&amp;PROPER(INDEX('Reguler Class Availability'!$J:$J,$Q156)&amp;"")))</f>
        <v/>
      </c>
      <c r="I156" s="77" t="s">
        <v>514</v>
      </c>
      <c r="J156" s="77" t="s">
        <v>188</v>
      </c>
      <c r="K156" s="78"/>
      <c r="L156" s="78"/>
      <c r="M156" s="78"/>
      <c r="N156" s="79"/>
      <c r="O156" s="78"/>
      <c r="Q156" s="30" t="n">
        <f aca="false">IFERROR(MATCH($B$4&amp;"|- Lane "&amp;D156&amp;" - "&amp;B156&amp;"|"&amp;C156,'Reguler Class Availability'!$L:$L,0),"")</f>
        <v>2766</v>
      </c>
      <c r="BD156" s="30" t="s">
        <v>145</v>
      </c>
      <c r="BE156" s="30" t="n">
        <f aca="false">IF(COUNTIFS('Reguler Class Availability'!$L:$L,$B$4&amp;"|- Lane 3 - *|"&amp;BD156)&gt;0,1,0)</f>
        <v>0</v>
      </c>
      <c r="BF156" s="30" t="n">
        <f aca="false">BE156+BF155</f>
        <v>8</v>
      </c>
    </row>
    <row r="157" customFormat="false" ht="27.75" hidden="false" customHeight="true" outlineLevel="0" collapsed="false">
      <c r="A157" s="76" t="n">
        <v>31</v>
      </c>
      <c r="B157" s="77" t="s">
        <v>114</v>
      </c>
      <c r="C157" s="76" t="s">
        <v>141</v>
      </c>
      <c r="D157" s="76" t="n">
        <v>4</v>
      </c>
      <c r="E157" s="77" t="str">
        <f aca="false">IF($Q157="","Tidak ada di data",IF(AND(IFERROR(--(INDEX('Reguler Class Availability'!$F:$F,$Q157)&amp;""),0)=0,IFERROR(--(INDEX('Reguler Class Availability'!$G:$G,$Q157)&amp;""),0)=0),"Tutup",IF(IFERROR(--(INDEX('Reguler Class Availability'!$G:$G,$Q157)&amp;""),0)&gt;IFERROR(--(INDEX('Reguler Class Availability'!$F:$F,$Q157)&amp;""),0),"Lebih",IF(IFERROR(--(INDEX('Reguler Class Availability'!$G:$G,$Q157)&amp;""),0)=IFERROR(--(INDEX('Reguler Class Availability'!$F:$F,$Q157)&amp;""),0),"Penuh",IF(IFERROR(--(INDEX('Reguler Class Availability'!$G:$G,$Q157)&amp;""),0)=0,IF(INDEX('Reguler Class Availability'!$B:$B,$Q157)&amp;""="","Kosong","Belum terisi"),IF(IFERROR(--(INDEX('Reguler Class Availability'!$G:$G,$Q157)&amp;""),0)/IFERROR(--(INDEX('Reguler Class Availability'!$F:$F,$Q157)&amp;""),0)&gt;=0.6,"Tinggi","Sebagian"))))))</f>
        <v>Belum terisi</v>
      </c>
      <c r="F157" s="77" t="str">
        <f aca="false">IF($Q157="","",PROPER(INDEX('Reguler Class Availability'!$B:$B,$Q157)&amp;""))</f>
        <v>Kids</v>
      </c>
      <c r="G157" s="76" t="n">
        <f aca="false">IF($Q157="","",IFERROR(--(INDEX('Reguler Class Availability'!$F:$F,$Q157)&amp;""),0))</f>
        <v>4</v>
      </c>
      <c r="H157" s="77" t="str">
        <f aca="false">IF($Q157="","",PROPER(INDEX('Reguler Class Availability'!$I:$I,$Q157)&amp;"")&amp;IF(INDEX('Reguler Class Availability'!$J:$J,$Q157)&amp;""="",""," + asst "&amp;PROPER(INDEX('Reguler Class Availability'!$J:$J,$Q157)&amp;"")))</f>
        <v/>
      </c>
      <c r="I157" s="77" t="s">
        <v>514</v>
      </c>
      <c r="J157" s="77" t="s">
        <v>188</v>
      </c>
      <c r="K157" s="78"/>
      <c r="L157" s="78"/>
      <c r="M157" s="78"/>
      <c r="N157" s="79"/>
      <c r="O157" s="78"/>
      <c r="Q157" s="30" t="n">
        <f aca="false">IFERROR(MATCH($B$4&amp;"|- Lane "&amp;D157&amp;" - "&amp;B157&amp;"|"&amp;C157,'Reguler Class Availability'!$L:$L,0),"")</f>
        <v>2682</v>
      </c>
      <c r="BD157" s="30" t="s">
        <v>146</v>
      </c>
      <c r="BE157" s="30" t="n">
        <f aca="false">IF(COUNTIFS('Reguler Class Availability'!$L:$L,$B$4&amp;"|- Lane 3 - *|"&amp;BD157)&gt;0,1,0)</f>
        <v>0</v>
      </c>
      <c r="BF157" s="30" t="n">
        <f aca="false">BE157+BF156</f>
        <v>8</v>
      </c>
    </row>
    <row r="158" customFormat="false" ht="27.75" hidden="false" customHeight="true" outlineLevel="0" collapsed="false">
      <c r="A158" s="76" t="n">
        <v>32</v>
      </c>
      <c r="B158" s="77" t="s">
        <v>114</v>
      </c>
      <c r="C158" s="76" t="s">
        <v>143</v>
      </c>
      <c r="D158" s="76" t="n">
        <v>1</v>
      </c>
      <c r="E158" s="77" t="str">
        <f aca="false">IF($Q158="","Tidak ada di data",IF(AND(IFERROR(--(INDEX('Reguler Class Availability'!$F:$F,$Q158)&amp;""),0)=0,IFERROR(--(INDEX('Reguler Class Availability'!$G:$G,$Q158)&amp;""),0)=0),"Tutup",IF(IFERROR(--(INDEX('Reguler Class Availability'!$G:$G,$Q158)&amp;""),0)&gt;IFERROR(--(INDEX('Reguler Class Availability'!$F:$F,$Q158)&amp;""),0),"Lebih",IF(IFERROR(--(INDEX('Reguler Class Availability'!$G:$G,$Q158)&amp;""),0)=IFERROR(--(INDEX('Reguler Class Availability'!$F:$F,$Q158)&amp;""),0),"Penuh",IF(IFERROR(--(INDEX('Reguler Class Availability'!$G:$G,$Q158)&amp;""),0)=0,IF(INDEX('Reguler Class Availability'!$B:$B,$Q158)&amp;""="","Kosong","Belum terisi"),IF(IFERROR(--(INDEX('Reguler Class Availability'!$G:$G,$Q158)&amp;""),0)/IFERROR(--(INDEX('Reguler Class Availability'!$F:$F,$Q158)&amp;""),0)&gt;=0.6,"Tinggi","Sebagian"))))))</f>
        <v>Belum terisi</v>
      </c>
      <c r="F158" s="77" t="str">
        <f aca="false">IF($Q158="","",PROPER(INDEX('Reguler Class Availability'!$B:$B,$Q158)&amp;""))</f>
        <v>Baby</v>
      </c>
      <c r="G158" s="76" t="n">
        <f aca="false">IF($Q158="","",IFERROR(--(INDEX('Reguler Class Availability'!$F:$F,$Q158)&amp;""),0))</f>
        <v>5</v>
      </c>
      <c r="H158" s="77" t="str">
        <f aca="false">IF($Q158="","",PROPER(INDEX('Reguler Class Availability'!$I:$I,$Q158)&amp;"")&amp;IF(INDEX('Reguler Class Availability'!$J:$J,$Q158)&amp;""="",""," + asst "&amp;PROPER(INDEX('Reguler Class Availability'!$J:$J,$Q158)&amp;"")))</f>
        <v/>
      </c>
      <c r="I158" s="77" t="s">
        <v>514</v>
      </c>
      <c r="J158" s="77" t="s">
        <v>188</v>
      </c>
      <c r="K158" s="78"/>
      <c r="L158" s="78"/>
      <c r="M158" s="78"/>
      <c r="N158" s="79"/>
      <c r="O158" s="78"/>
      <c r="Q158" s="30" t="n">
        <f aca="false">IFERROR(MATCH($B$4&amp;"|- Lane "&amp;D158&amp;" - "&amp;B158&amp;"|"&amp;C158,'Reguler Class Availability'!$L:$L,0),"")</f>
        <v>2417</v>
      </c>
      <c r="BD158" s="30" t="s">
        <v>147</v>
      </c>
      <c r="BE158" s="30" t="n">
        <f aca="false">IF(COUNTIFS('Reguler Class Availability'!$L:$L,$B$4&amp;"|- Lane 3 - *|"&amp;BD158)&gt;0,1,0)</f>
        <v>1</v>
      </c>
      <c r="BF158" s="30" t="n">
        <f aca="false">BE158+BF157</f>
        <v>9</v>
      </c>
    </row>
    <row r="159" customFormat="false" ht="27.75" hidden="false" customHeight="true" outlineLevel="0" collapsed="false">
      <c r="A159" s="76" t="n">
        <v>33</v>
      </c>
      <c r="B159" s="77" t="s">
        <v>114</v>
      </c>
      <c r="C159" s="76" t="s">
        <v>143</v>
      </c>
      <c r="D159" s="76" t="n">
        <v>2</v>
      </c>
      <c r="E159" s="77" t="str">
        <f aca="false">IF($Q159="","Tidak ada di data",IF(AND(IFERROR(--(INDEX('Reguler Class Availability'!$F:$F,$Q159)&amp;""),0)=0,IFERROR(--(INDEX('Reguler Class Availability'!$G:$G,$Q159)&amp;""),0)=0),"Tutup",IF(IFERROR(--(INDEX('Reguler Class Availability'!$G:$G,$Q159)&amp;""),0)&gt;IFERROR(--(INDEX('Reguler Class Availability'!$F:$F,$Q159)&amp;""),0),"Lebih",IF(IFERROR(--(INDEX('Reguler Class Availability'!$G:$G,$Q159)&amp;""),0)=IFERROR(--(INDEX('Reguler Class Availability'!$F:$F,$Q159)&amp;""),0),"Penuh",IF(IFERROR(--(INDEX('Reguler Class Availability'!$G:$G,$Q159)&amp;""),0)=0,IF(INDEX('Reguler Class Availability'!$B:$B,$Q159)&amp;""="","Kosong","Belum terisi"),IF(IFERROR(--(INDEX('Reguler Class Availability'!$G:$G,$Q159)&amp;""),0)/IFERROR(--(INDEX('Reguler Class Availability'!$F:$F,$Q159)&amp;""),0)&gt;=0.6,"Tinggi","Sebagian"))))))</f>
        <v>Belum terisi</v>
      </c>
      <c r="F159" s="77" t="str">
        <f aca="false">IF($Q159="","",PROPER(INDEX('Reguler Class Availability'!$B:$B,$Q159)&amp;""))</f>
        <v>Tiny</v>
      </c>
      <c r="G159" s="76" t="n">
        <f aca="false">IF($Q159="","",IFERROR(--(INDEX('Reguler Class Availability'!$F:$F,$Q159)&amp;""),0))</f>
        <v>5</v>
      </c>
      <c r="H159" s="77" t="str">
        <f aca="false">IF($Q159="","",PROPER(INDEX('Reguler Class Availability'!$I:$I,$Q159)&amp;"")&amp;IF(INDEX('Reguler Class Availability'!$J:$J,$Q159)&amp;""="",""," + asst "&amp;PROPER(INDEX('Reguler Class Availability'!$J:$J,$Q159)&amp;"")))</f>
        <v/>
      </c>
      <c r="I159" s="77" t="s">
        <v>514</v>
      </c>
      <c r="J159" s="77" t="s">
        <v>188</v>
      </c>
      <c r="K159" s="78"/>
      <c r="L159" s="78"/>
      <c r="M159" s="78"/>
      <c r="N159" s="79"/>
      <c r="O159" s="78"/>
      <c r="Q159" s="30" t="n">
        <f aca="false">IFERROR(MATCH($B$4&amp;"|- Lane "&amp;D159&amp;" - "&amp;B159&amp;"|"&amp;C159,'Reguler Class Availability'!$L:$L,0),"")</f>
        <v>2515</v>
      </c>
      <c r="BD159" s="30" t="s">
        <v>148</v>
      </c>
      <c r="BE159" s="30" t="n">
        <f aca="false">IF(COUNTIFS('Reguler Class Availability'!$L:$L,$B$4&amp;"|- Lane 3 - *|"&amp;BD159)&gt;0,1,0)</f>
        <v>0</v>
      </c>
      <c r="BF159" s="30" t="n">
        <f aca="false">BE159+BF158</f>
        <v>9</v>
      </c>
    </row>
    <row r="160" customFormat="false" ht="27.75" hidden="false" customHeight="true" outlineLevel="0" collapsed="false">
      <c r="A160" s="76" t="n">
        <v>34</v>
      </c>
      <c r="B160" s="77" t="s">
        <v>114</v>
      </c>
      <c r="C160" s="76" t="s">
        <v>143</v>
      </c>
      <c r="D160" s="76" t="n">
        <v>5</v>
      </c>
      <c r="E160" s="77" t="str">
        <f aca="false">IF($Q160="","Tidak ada di data",IF(AND(IFERROR(--(INDEX('Reguler Class Availability'!$F:$F,$Q160)&amp;""),0)=0,IFERROR(--(INDEX('Reguler Class Availability'!$G:$G,$Q160)&amp;""),0)=0),"Tutup",IF(IFERROR(--(INDEX('Reguler Class Availability'!$G:$G,$Q160)&amp;""),0)&gt;IFERROR(--(INDEX('Reguler Class Availability'!$F:$F,$Q160)&amp;""),0),"Lebih",IF(IFERROR(--(INDEX('Reguler Class Availability'!$G:$G,$Q160)&amp;""),0)=IFERROR(--(INDEX('Reguler Class Availability'!$F:$F,$Q160)&amp;""),0),"Penuh",IF(IFERROR(--(INDEX('Reguler Class Availability'!$G:$G,$Q160)&amp;""),0)=0,IF(INDEX('Reguler Class Availability'!$B:$B,$Q160)&amp;""="","Kosong","Belum terisi"),IF(IFERROR(--(INDEX('Reguler Class Availability'!$G:$G,$Q160)&amp;""),0)/IFERROR(--(INDEX('Reguler Class Availability'!$F:$F,$Q160)&amp;""),0)&gt;=0.6,"Tinggi","Sebagian"))))))</f>
        <v>Kosong</v>
      </c>
      <c r="F160" s="77" t="str">
        <f aca="false">IF($Q160="","",PROPER(INDEX('Reguler Class Availability'!$B:$B,$Q160)&amp;""))</f>
        <v/>
      </c>
      <c r="G160" s="76" t="n">
        <f aca="false">IF($Q160="","",IFERROR(--(INDEX('Reguler Class Availability'!$F:$F,$Q160)&amp;""),0))</f>
        <v>4</v>
      </c>
      <c r="H160" s="77" t="str">
        <f aca="false">IF($Q160="","",PROPER(INDEX('Reguler Class Availability'!$I:$I,$Q160)&amp;"")&amp;IF(INDEX('Reguler Class Availability'!$J:$J,$Q160)&amp;""="",""," + asst "&amp;PROPER(INDEX('Reguler Class Availability'!$J:$J,$Q160)&amp;"")))</f>
        <v/>
      </c>
      <c r="I160" s="77" t="s">
        <v>514</v>
      </c>
      <c r="J160" s="77" t="s">
        <v>188</v>
      </c>
      <c r="K160" s="78"/>
      <c r="L160" s="78"/>
      <c r="M160" s="78"/>
      <c r="N160" s="79"/>
      <c r="O160" s="78"/>
      <c r="Q160" s="30" t="n">
        <f aca="false">IFERROR(MATCH($B$4&amp;"|- Lane "&amp;D160&amp;" - "&amp;B160&amp;"|"&amp;C160,'Reguler Class Availability'!$L:$L,0),"")</f>
        <v>2767</v>
      </c>
      <c r="BD160" s="30" t="s">
        <v>149</v>
      </c>
      <c r="BE160" s="30" t="n">
        <f aca="false">IF(COUNTIFS('Reguler Class Availability'!$L:$L,$B$4&amp;"|- Lane 3 - *|"&amp;BD160)&gt;0,1,0)</f>
        <v>0</v>
      </c>
      <c r="BF160" s="30" t="n">
        <f aca="false">BE160+BF159</f>
        <v>9</v>
      </c>
    </row>
    <row r="161" customFormat="false" ht="27.75" hidden="false" customHeight="true" outlineLevel="0" collapsed="false">
      <c r="A161" s="76" t="n">
        <v>35</v>
      </c>
      <c r="B161" s="77" t="s">
        <v>114</v>
      </c>
      <c r="C161" s="76" t="s">
        <v>144</v>
      </c>
      <c r="D161" s="76" t="n">
        <v>3</v>
      </c>
      <c r="E161" s="77" t="str">
        <f aca="false">IF($Q161="","Tidak ada di data",IF(AND(IFERROR(--(INDEX('Reguler Class Availability'!$F:$F,$Q161)&amp;""),0)=0,IFERROR(--(INDEX('Reguler Class Availability'!$G:$G,$Q161)&amp;""),0)=0),"Tutup",IF(IFERROR(--(INDEX('Reguler Class Availability'!$G:$G,$Q161)&amp;""),0)&gt;IFERROR(--(INDEX('Reguler Class Availability'!$F:$F,$Q161)&amp;""),0),"Lebih",IF(IFERROR(--(INDEX('Reguler Class Availability'!$G:$G,$Q161)&amp;""),0)=IFERROR(--(INDEX('Reguler Class Availability'!$F:$F,$Q161)&amp;""),0),"Penuh",IF(IFERROR(--(INDEX('Reguler Class Availability'!$G:$G,$Q161)&amp;""),0)=0,IF(INDEX('Reguler Class Availability'!$B:$B,$Q161)&amp;""="","Kosong","Belum terisi"),IF(IFERROR(--(INDEX('Reguler Class Availability'!$G:$G,$Q161)&amp;""),0)/IFERROR(--(INDEX('Reguler Class Availability'!$F:$F,$Q161)&amp;""),0)&gt;=0.6,"Tinggi","Sebagian"))))))</f>
        <v>Belum terisi</v>
      </c>
      <c r="F161" s="77" t="str">
        <f aca="false">IF($Q161="","",PROPER(INDEX('Reguler Class Availability'!$B:$B,$Q161)&amp;""))</f>
        <v>Little</v>
      </c>
      <c r="G161" s="76" t="n">
        <f aca="false">IF($Q161="","",IFERROR(--(INDEX('Reguler Class Availability'!$F:$F,$Q161)&amp;""),0))</f>
        <v>4</v>
      </c>
      <c r="H161" s="77" t="str">
        <f aca="false">IF($Q161="","",PROPER(INDEX('Reguler Class Availability'!$I:$I,$Q161)&amp;"")&amp;IF(INDEX('Reguler Class Availability'!$J:$J,$Q161)&amp;""="",""," + asst "&amp;PROPER(INDEX('Reguler Class Availability'!$J:$J,$Q161)&amp;"")))</f>
        <v/>
      </c>
      <c r="I161" s="77" t="s">
        <v>513</v>
      </c>
      <c r="J161" s="77" t="s">
        <v>188</v>
      </c>
      <c r="K161" s="78"/>
      <c r="L161" s="78"/>
      <c r="M161" s="78"/>
      <c r="N161" s="79"/>
      <c r="O161" s="78"/>
      <c r="Q161" s="30" t="n">
        <f aca="false">IFERROR(MATCH($B$4&amp;"|- Lane "&amp;D161&amp;" - "&amp;B161&amp;"|"&amp;C161,'Reguler Class Availability'!$L:$L,0),"")</f>
        <v>2599</v>
      </c>
      <c r="BD161" s="30" t="s">
        <v>150</v>
      </c>
      <c r="BE161" s="30" t="n">
        <f aca="false">IF(COUNTIFS('Reguler Class Availability'!$L:$L,$B$4&amp;"|- Lane 3 - *|"&amp;BD161)&gt;0,1,0)</f>
        <v>1</v>
      </c>
      <c r="BF161" s="30" t="n">
        <f aca="false">BE161+BF160</f>
        <v>10</v>
      </c>
    </row>
    <row r="162" customFormat="false" ht="27.75" hidden="false" customHeight="true" outlineLevel="0" collapsed="false">
      <c r="A162" s="76" t="n">
        <v>36</v>
      </c>
      <c r="B162" s="77" t="s">
        <v>114</v>
      </c>
      <c r="C162" s="76" t="s">
        <v>144</v>
      </c>
      <c r="D162" s="76" t="n">
        <v>4</v>
      </c>
      <c r="E162" s="77" t="str">
        <f aca="false">IF($Q162="","Tidak ada di data",IF(AND(IFERROR(--(INDEX('Reguler Class Availability'!$F:$F,$Q162)&amp;""),0)=0,IFERROR(--(INDEX('Reguler Class Availability'!$G:$G,$Q162)&amp;""),0)=0),"Tutup",IF(IFERROR(--(INDEX('Reguler Class Availability'!$G:$G,$Q162)&amp;""),0)&gt;IFERROR(--(INDEX('Reguler Class Availability'!$F:$F,$Q162)&amp;""),0),"Lebih",IF(IFERROR(--(INDEX('Reguler Class Availability'!$G:$G,$Q162)&amp;""),0)=IFERROR(--(INDEX('Reguler Class Availability'!$F:$F,$Q162)&amp;""),0),"Penuh",IF(IFERROR(--(INDEX('Reguler Class Availability'!$G:$G,$Q162)&amp;""),0)=0,IF(INDEX('Reguler Class Availability'!$B:$B,$Q162)&amp;""="","Kosong","Belum terisi"),IF(IFERROR(--(INDEX('Reguler Class Availability'!$G:$G,$Q162)&amp;""),0)/IFERROR(--(INDEX('Reguler Class Availability'!$F:$F,$Q162)&amp;""),0)&gt;=0.6,"Tinggi","Sebagian"))))))</f>
        <v>Belum terisi</v>
      </c>
      <c r="F162" s="77" t="str">
        <f aca="false">IF($Q162="","",PROPER(INDEX('Reguler Class Availability'!$B:$B,$Q162)&amp;""))</f>
        <v>Kids</v>
      </c>
      <c r="G162" s="76" t="n">
        <f aca="false">IF($Q162="","",IFERROR(--(INDEX('Reguler Class Availability'!$F:$F,$Q162)&amp;""),0))</f>
        <v>4</v>
      </c>
      <c r="H162" s="77" t="str">
        <f aca="false">IF($Q162="","",PROPER(INDEX('Reguler Class Availability'!$I:$I,$Q162)&amp;"")&amp;IF(INDEX('Reguler Class Availability'!$J:$J,$Q162)&amp;""="",""," + asst "&amp;PROPER(INDEX('Reguler Class Availability'!$J:$J,$Q162)&amp;"")))</f>
        <v/>
      </c>
      <c r="I162" s="77" t="s">
        <v>513</v>
      </c>
      <c r="J162" s="77" t="s">
        <v>188</v>
      </c>
      <c r="K162" s="78"/>
      <c r="L162" s="78"/>
      <c r="M162" s="78"/>
      <c r="N162" s="79"/>
      <c r="O162" s="78"/>
      <c r="Q162" s="30" t="n">
        <f aca="false">IFERROR(MATCH($B$4&amp;"|- Lane "&amp;D162&amp;" - "&amp;B162&amp;"|"&amp;C162,'Reguler Class Availability'!$L:$L,0),"")</f>
        <v>2683</v>
      </c>
      <c r="BD162" s="30" t="s">
        <v>151</v>
      </c>
      <c r="BE162" s="30" t="n">
        <f aca="false">IF(COUNTIFS('Reguler Class Availability'!$L:$L,$B$4&amp;"|- Lane 3 - *|"&amp;BD162)&gt;0,1,0)</f>
        <v>0</v>
      </c>
      <c r="BF162" s="30" t="n">
        <f aca="false">BE162+BF161</f>
        <v>10</v>
      </c>
    </row>
    <row r="163" customFormat="false" ht="27.75" hidden="false" customHeight="true" outlineLevel="0" collapsed="false">
      <c r="A163" s="76" t="n">
        <v>37</v>
      </c>
      <c r="B163" s="77" t="s">
        <v>114</v>
      </c>
      <c r="C163" s="76" t="s">
        <v>146</v>
      </c>
      <c r="D163" s="76" t="n">
        <v>1</v>
      </c>
      <c r="E163" s="77" t="str">
        <f aca="false">IF($Q163="","Tidak ada di data",IF(AND(IFERROR(--(INDEX('Reguler Class Availability'!$F:$F,$Q163)&amp;""),0)=0,IFERROR(--(INDEX('Reguler Class Availability'!$G:$G,$Q163)&amp;""),0)=0),"Tutup",IF(IFERROR(--(INDEX('Reguler Class Availability'!$G:$G,$Q163)&amp;""),0)&gt;IFERROR(--(INDEX('Reguler Class Availability'!$F:$F,$Q163)&amp;""),0),"Lebih",IF(IFERROR(--(INDEX('Reguler Class Availability'!$G:$G,$Q163)&amp;""),0)=IFERROR(--(INDEX('Reguler Class Availability'!$F:$F,$Q163)&amp;""),0),"Penuh",IF(IFERROR(--(INDEX('Reguler Class Availability'!$G:$G,$Q163)&amp;""),0)=0,IF(INDEX('Reguler Class Availability'!$B:$B,$Q163)&amp;""="","Kosong","Belum terisi"),IF(IFERROR(--(INDEX('Reguler Class Availability'!$G:$G,$Q163)&amp;""),0)/IFERROR(--(INDEX('Reguler Class Availability'!$F:$F,$Q163)&amp;""),0)&gt;=0.6,"Tinggi","Sebagian"))))))</f>
        <v>Belum terisi</v>
      </c>
      <c r="F163" s="77" t="str">
        <f aca="false">IF($Q163="","",PROPER(INDEX('Reguler Class Availability'!$B:$B,$Q163)&amp;""))</f>
        <v>Baby</v>
      </c>
      <c r="G163" s="76" t="n">
        <f aca="false">IF($Q163="","",IFERROR(--(INDEX('Reguler Class Availability'!$F:$F,$Q163)&amp;""),0))</f>
        <v>5</v>
      </c>
      <c r="H163" s="77" t="str">
        <f aca="false">IF($Q163="","",PROPER(INDEX('Reguler Class Availability'!$I:$I,$Q163)&amp;"")&amp;IF(INDEX('Reguler Class Availability'!$J:$J,$Q163)&amp;""="",""," + asst "&amp;PROPER(INDEX('Reguler Class Availability'!$J:$J,$Q163)&amp;"")))</f>
        <v/>
      </c>
      <c r="I163" s="77" t="s">
        <v>516</v>
      </c>
      <c r="J163" s="77" t="s">
        <v>188</v>
      </c>
      <c r="K163" s="78"/>
      <c r="L163" s="78"/>
      <c r="M163" s="78"/>
      <c r="N163" s="79"/>
      <c r="O163" s="78"/>
      <c r="Q163" s="30" t="n">
        <f aca="false">IFERROR(MATCH($B$4&amp;"|- Lane "&amp;D163&amp;" - "&amp;B163&amp;"|"&amp;C163,'Reguler Class Availability'!$L:$L,0),"")</f>
        <v>2418</v>
      </c>
      <c r="BD163" s="30" t="s">
        <v>152</v>
      </c>
      <c r="BE163" s="30" t="n">
        <f aca="false">IF(COUNTIFS('Reguler Class Availability'!$L:$L,$B$4&amp;"|- Lane 3 - *|"&amp;BD163)&gt;0,1,0)</f>
        <v>0</v>
      </c>
      <c r="BF163" s="30" t="n">
        <f aca="false">BE163+BF162</f>
        <v>10</v>
      </c>
    </row>
    <row r="164" customFormat="false" ht="27.75" hidden="false" customHeight="true" outlineLevel="0" collapsed="false">
      <c r="A164" s="76" t="n">
        <v>38</v>
      </c>
      <c r="B164" s="77" t="s">
        <v>114</v>
      </c>
      <c r="C164" s="76" t="s">
        <v>146</v>
      </c>
      <c r="D164" s="76" t="n">
        <v>2</v>
      </c>
      <c r="E164" s="77" t="str">
        <f aca="false">IF($Q164="","Tidak ada di data",IF(AND(IFERROR(--(INDEX('Reguler Class Availability'!$F:$F,$Q164)&amp;""),0)=0,IFERROR(--(INDEX('Reguler Class Availability'!$G:$G,$Q164)&amp;""),0)=0),"Tutup",IF(IFERROR(--(INDEX('Reguler Class Availability'!$G:$G,$Q164)&amp;""),0)&gt;IFERROR(--(INDEX('Reguler Class Availability'!$F:$F,$Q164)&amp;""),0),"Lebih",IF(IFERROR(--(INDEX('Reguler Class Availability'!$G:$G,$Q164)&amp;""),0)=IFERROR(--(INDEX('Reguler Class Availability'!$F:$F,$Q164)&amp;""),0),"Penuh",IF(IFERROR(--(INDEX('Reguler Class Availability'!$G:$G,$Q164)&amp;""),0)=0,IF(INDEX('Reguler Class Availability'!$B:$B,$Q164)&amp;""="","Kosong","Belum terisi"),IF(IFERROR(--(INDEX('Reguler Class Availability'!$G:$G,$Q164)&amp;""),0)/IFERROR(--(INDEX('Reguler Class Availability'!$F:$F,$Q164)&amp;""),0)&gt;=0.6,"Tinggi","Sebagian"))))))</f>
        <v>Belum terisi</v>
      </c>
      <c r="F164" s="77" t="str">
        <f aca="false">IF($Q164="","",PROPER(INDEX('Reguler Class Availability'!$B:$B,$Q164)&amp;""))</f>
        <v>Tiny</v>
      </c>
      <c r="G164" s="76" t="n">
        <f aca="false">IF($Q164="","",IFERROR(--(INDEX('Reguler Class Availability'!$F:$F,$Q164)&amp;""),0))</f>
        <v>5</v>
      </c>
      <c r="H164" s="77" t="str">
        <f aca="false">IF($Q164="","",PROPER(INDEX('Reguler Class Availability'!$I:$I,$Q164)&amp;"")&amp;IF(INDEX('Reguler Class Availability'!$J:$J,$Q164)&amp;""="",""," + asst "&amp;PROPER(INDEX('Reguler Class Availability'!$J:$J,$Q164)&amp;"")))</f>
        <v/>
      </c>
      <c r="I164" s="77" t="s">
        <v>516</v>
      </c>
      <c r="J164" s="77" t="s">
        <v>188</v>
      </c>
      <c r="K164" s="78"/>
      <c r="L164" s="78"/>
      <c r="M164" s="78"/>
      <c r="N164" s="79"/>
      <c r="O164" s="78"/>
      <c r="Q164" s="30" t="n">
        <f aca="false">IFERROR(MATCH($B$4&amp;"|- Lane "&amp;D164&amp;" - "&amp;B164&amp;"|"&amp;C164,'Reguler Class Availability'!$L:$L,0),"")</f>
        <v>2516</v>
      </c>
      <c r="BD164" s="30" t="s">
        <v>153</v>
      </c>
      <c r="BE164" s="30" t="n">
        <f aca="false">IF(COUNTIFS('Reguler Class Availability'!$L:$L,$B$4&amp;"|- Lane 3 - *|"&amp;BD164)&gt;0,1,0)</f>
        <v>1</v>
      </c>
      <c r="BF164" s="30" t="n">
        <f aca="false">BE164+BF163</f>
        <v>11</v>
      </c>
    </row>
    <row r="165" customFormat="false" ht="27.75" hidden="false" customHeight="true" outlineLevel="0" collapsed="false">
      <c r="A165" s="76" t="n">
        <v>39</v>
      </c>
      <c r="B165" s="77" t="s">
        <v>114</v>
      </c>
      <c r="C165" s="76" t="s">
        <v>146</v>
      </c>
      <c r="D165" s="76" t="n">
        <v>5</v>
      </c>
      <c r="E165" s="77" t="str">
        <f aca="false">IF($Q165="","Tidak ada di data",IF(AND(IFERROR(--(INDEX('Reguler Class Availability'!$F:$F,$Q165)&amp;""),0)=0,IFERROR(--(INDEX('Reguler Class Availability'!$G:$G,$Q165)&amp;""),0)=0),"Tutup",IF(IFERROR(--(INDEX('Reguler Class Availability'!$G:$G,$Q165)&amp;""),0)&gt;IFERROR(--(INDEX('Reguler Class Availability'!$F:$F,$Q165)&amp;""),0),"Lebih",IF(IFERROR(--(INDEX('Reguler Class Availability'!$G:$G,$Q165)&amp;""),0)=IFERROR(--(INDEX('Reguler Class Availability'!$F:$F,$Q165)&amp;""),0),"Penuh",IF(IFERROR(--(INDEX('Reguler Class Availability'!$G:$G,$Q165)&amp;""),0)=0,IF(INDEX('Reguler Class Availability'!$B:$B,$Q165)&amp;""="","Kosong","Belum terisi"),IF(IFERROR(--(INDEX('Reguler Class Availability'!$G:$G,$Q165)&amp;""),0)/IFERROR(--(INDEX('Reguler Class Availability'!$F:$F,$Q165)&amp;""),0)&gt;=0.6,"Tinggi","Sebagian"))))))</f>
        <v>Kosong</v>
      </c>
      <c r="F165" s="77" t="str">
        <f aca="false">IF($Q165="","",PROPER(INDEX('Reguler Class Availability'!$B:$B,$Q165)&amp;""))</f>
        <v/>
      </c>
      <c r="G165" s="76" t="n">
        <f aca="false">IF($Q165="","",IFERROR(--(INDEX('Reguler Class Availability'!$F:$F,$Q165)&amp;""),0))</f>
        <v>4</v>
      </c>
      <c r="H165" s="77" t="str">
        <f aca="false">IF($Q165="","",PROPER(INDEX('Reguler Class Availability'!$I:$I,$Q165)&amp;"")&amp;IF(INDEX('Reguler Class Availability'!$J:$J,$Q165)&amp;""="",""," + asst "&amp;PROPER(INDEX('Reguler Class Availability'!$J:$J,$Q165)&amp;"")))</f>
        <v/>
      </c>
      <c r="I165" s="77" t="s">
        <v>516</v>
      </c>
      <c r="J165" s="77" t="s">
        <v>188</v>
      </c>
      <c r="K165" s="78"/>
      <c r="L165" s="78"/>
      <c r="M165" s="78"/>
      <c r="N165" s="79"/>
      <c r="O165" s="78"/>
      <c r="Q165" s="30" t="n">
        <f aca="false">IFERROR(MATCH($B$4&amp;"|- Lane "&amp;D165&amp;" - "&amp;B165&amp;"|"&amp;C165,'Reguler Class Availability'!$L:$L,0),"")</f>
        <v>2768</v>
      </c>
      <c r="BD165" s="30" t="s">
        <v>154</v>
      </c>
      <c r="BE165" s="30" t="n">
        <f aca="false">IF(COUNTIFS('Reguler Class Availability'!$L:$L,$B$4&amp;"|- Lane 3 - *|"&amp;BD165)&gt;0,1,0)</f>
        <v>0</v>
      </c>
      <c r="BF165" s="30" t="n">
        <f aca="false">BE165+BF164</f>
        <v>11</v>
      </c>
    </row>
    <row r="166" customFormat="false" ht="27.75" hidden="false" customHeight="true" outlineLevel="0" collapsed="false">
      <c r="A166" s="76" t="n">
        <v>40</v>
      </c>
      <c r="B166" s="77" t="s">
        <v>114</v>
      </c>
      <c r="C166" s="76" t="s">
        <v>147</v>
      </c>
      <c r="D166" s="76" t="n">
        <v>3</v>
      </c>
      <c r="E166" s="77" t="str">
        <f aca="false">IF($Q166="","Tidak ada di data",IF(AND(IFERROR(--(INDEX('Reguler Class Availability'!$F:$F,$Q166)&amp;""),0)=0,IFERROR(--(INDEX('Reguler Class Availability'!$G:$G,$Q166)&amp;""),0)=0),"Tutup",IF(IFERROR(--(INDEX('Reguler Class Availability'!$G:$G,$Q166)&amp;""),0)&gt;IFERROR(--(INDEX('Reguler Class Availability'!$F:$F,$Q166)&amp;""),0),"Lebih",IF(IFERROR(--(INDEX('Reguler Class Availability'!$G:$G,$Q166)&amp;""),0)=IFERROR(--(INDEX('Reguler Class Availability'!$F:$F,$Q166)&amp;""),0),"Penuh",IF(IFERROR(--(INDEX('Reguler Class Availability'!$G:$G,$Q166)&amp;""),0)=0,IF(INDEX('Reguler Class Availability'!$B:$B,$Q166)&amp;""="","Kosong","Belum terisi"),IF(IFERROR(--(INDEX('Reguler Class Availability'!$G:$G,$Q166)&amp;""),0)/IFERROR(--(INDEX('Reguler Class Availability'!$F:$F,$Q166)&amp;""),0)&gt;=0.6,"Tinggi","Sebagian"))))))</f>
        <v>Belum terisi</v>
      </c>
      <c r="F166" s="77" t="str">
        <f aca="false">IF($Q166="","",PROPER(INDEX('Reguler Class Availability'!$B:$B,$Q166)&amp;""))</f>
        <v>Little</v>
      </c>
      <c r="G166" s="76" t="n">
        <f aca="false">IF($Q166="","",IFERROR(--(INDEX('Reguler Class Availability'!$F:$F,$Q166)&amp;""),0))</f>
        <v>4</v>
      </c>
      <c r="H166" s="77" t="str">
        <f aca="false">IF($Q166="","",PROPER(INDEX('Reguler Class Availability'!$I:$I,$Q166)&amp;"")&amp;IF(INDEX('Reguler Class Availability'!$J:$J,$Q166)&amp;""="",""," + asst "&amp;PROPER(INDEX('Reguler Class Availability'!$J:$J,$Q166)&amp;"")))</f>
        <v/>
      </c>
      <c r="I166" s="77" t="s">
        <v>516</v>
      </c>
      <c r="J166" s="77" t="s">
        <v>188</v>
      </c>
      <c r="K166" s="78"/>
      <c r="L166" s="78"/>
      <c r="M166" s="78"/>
      <c r="N166" s="79"/>
      <c r="O166" s="78"/>
      <c r="Q166" s="30" t="n">
        <f aca="false">IFERROR(MATCH($B$4&amp;"|- Lane "&amp;D166&amp;" - "&amp;B166&amp;"|"&amp;C166,'Reguler Class Availability'!$L:$L,0),"")</f>
        <v>2600</v>
      </c>
      <c r="BD166" s="30" t="s">
        <v>155</v>
      </c>
      <c r="BE166" s="30" t="n">
        <f aca="false">IF(COUNTIFS('Reguler Class Availability'!$L:$L,$B$4&amp;"|- Lane 3 - *|"&amp;BD166)&gt;0,1,0)</f>
        <v>0</v>
      </c>
      <c r="BF166" s="30" t="n">
        <f aca="false">BE166+BF165</f>
        <v>11</v>
      </c>
    </row>
    <row r="167" customFormat="false" ht="27.75" hidden="false" customHeight="true" outlineLevel="0" collapsed="false">
      <c r="A167" s="76" t="n">
        <v>41</v>
      </c>
      <c r="B167" s="77" t="s">
        <v>114</v>
      </c>
      <c r="C167" s="76" t="s">
        <v>147</v>
      </c>
      <c r="D167" s="76" t="n">
        <v>4</v>
      </c>
      <c r="E167" s="77" t="str">
        <f aca="false">IF($Q167="","Tidak ada di data",IF(AND(IFERROR(--(INDEX('Reguler Class Availability'!$F:$F,$Q167)&amp;""),0)=0,IFERROR(--(INDEX('Reguler Class Availability'!$G:$G,$Q167)&amp;""),0)=0),"Tutup",IF(IFERROR(--(INDEX('Reguler Class Availability'!$G:$G,$Q167)&amp;""),0)&gt;IFERROR(--(INDEX('Reguler Class Availability'!$F:$F,$Q167)&amp;""),0),"Lebih",IF(IFERROR(--(INDEX('Reguler Class Availability'!$G:$G,$Q167)&amp;""),0)=IFERROR(--(INDEX('Reguler Class Availability'!$F:$F,$Q167)&amp;""),0),"Penuh",IF(IFERROR(--(INDEX('Reguler Class Availability'!$G:$G,$Q167)&amp;""),0)=0,IF(INDEX('Reguler Class Availability'!$B:$B,$Q167)&amp;""="","Kosong","Belum terisi"),IF(IFERROR(--(INDEX('Reguler Class Availability'!$G:$G,$Q167)&amp;""),0)/IFERROR(--(INDEX('Reguler Class Availability'!$F:$F,$Q167)&amp;""),0)&gt;=0.6,"Tinggi","Sebagian"))))))</f>
        <v>Belum terisi</v>
      </c>
      <c r="F167" s="77" t="str">
        <f aca="false">IF($Q167="","",PROPER(INDEX('Reguler Class Availability'!$B:$B,$Q167)&amp;""))</f>
        <v>Kids</v>
      </c>
      <c r="G167" s="76" t="n">
        <f aca="false">IF($Q167="","",IFERROR(--(INDEX('Reguler Class Availability'!$F:$F,$Q167)&amp;""),0))</f>
        <v>4</v>
      </c>
      <c r="H167" s="77" t="str">
        <f aca="false">IF($Q167="","",PROPER(INDEX('Reguler Class Availability'!$I:$I,$Q167)&amp;"")&amp;IF(INDEX('Reguler Class Availability'!$J:$J,$Q167)&amp;""="",""," + asst "&amp;PROPER(INDEX('Reguler Class Availability'!$J:$J,$Q167)&amp;"")))</f>
        <v>Angga</v>
      </c>
      <c r="I167" s="77" t="s">
        <v>516</v>
      </c>
      <c r="J167" s="77" t="s">
        <v>188</v>
      </c>
      <c r="K167" s="78"/>
      <c r="L167" s="78"/>
      <c r="M167" s="78"/>
      <c r="N167" s="79"/>
      <c r="O167" s="78"/>
      <c r="Q167" s="30" t="n">
        <f aca="false">IFERROR(MATCH($B$4&amp;"|- Lane "&amp;D167&amp;" - "&amp;B167&amp;"|"&amp;C167,'Reguler Class Availability'!$L:$L,0),"")</f>
        <v>2684</v>
      </c>
      <c r="BD167" s="30" t="s">
        <v>156</v>
      </c>
      <c r="BE167" s="30" t="n">
        <f aca="false">IF(COUNTIFS('Reguler Class Availability'!$L:$L,$B$4&amp;"|- Lane 3 - *|"&amp;BD167)&gt;0,1,0)</f>
        <v>1</v>
      </c>
      <c r="BF167" s="30" t="n">
        <f aca="false">BE167+BF166</f>
        <v>12</v>
      </c>
    </row>
    <row r="168" customFormat="false" ht="27.75" hidden="false" customHeight="true" outlineLevel="0" collapsed="false">
      <c r="A168" s="76" t="n">
        <v>42</v>
      </c>
      <c r="B168" s="77" t="s">
        <v>114</v>
      </c>
      <c r="C168" s="76" t="s">
        <v>149</v>
      </c>
      <c r="D168" s="76" t="n">
        <v>1</v>
      </c>
      <c r="E168" s="77" t="str">
        <f aca="false">IF($Q168="","Tidak ada di data",IF(AND(IFERROR(--(INDEX('Reguler Class Availability'!$F:$F,$Q168)&amp;""),0)=0,IFERROR(--(INDEX('Reguler Class Availability'!$G:$G,$Q168)&amp;""),0)=0),"Tutup",IF(IFERROR(--(INDEX('Reguler Class Availability'!$G:$G,$Q168)&amp;""),0)&gt;IFERROR(--(INDEX('Reguler Class Availability'!$F:$F,$Q168)&amp;""),0),"Lebih",IF(IFERROR(--(INDEX('Reguler Class Availability'!$G:$G,$Q168)&amp;""),0)=IFERROR(--(INDEX('Reguler Class Availability'!$F:$F,$Q168)&amp;""),0),"Penuh",IF(IFERROR(--(INDEX('Reguler Class Availability'!$G:$G,$Q168)&amp;""),0)=0,IF(INDEX('Reguler Class Availability'!$B:$B,$Q168)&amp;""="","Kosong","Belum terisi"),IF(IFERROR(--(INDEX('Reguler Class Availability'!$G:$G,$Q168)&amp;""),0)/IFERROR(--(INDEX('Reguler Class Availability'!$F:$F,$Q168)&amp;""),0)&gt;=0.6,"Tinggi","Sebagian"))))))</f>
        <v>Belum terisi</v>
      </c>
      <c r="F168" s="77" t="str">
        <f aca="false">IF($Q168="","",PROPER(INDEX('Reguler Class Availability'!$B:$B,$Q168)&amp;""))</f>
        <v>Baby</v>
      </c>
      <c r="G168" s="76" t="n">
        <f aca="false">IF($Q168="","",IFERROR(--(INDEX('Reguler Class Availability'!$F:$F,$Q168)&amp;""),0))</f>
        <v>5</v>
      </c>
      <c r="H168" s="77" t="str">
        <f aca="false">IF($Q168="","",PROPER(INDEX('Reguler Class Availability'!$I:$I,$Q168)&amp;"")&amp;IF(INDEX('Reguler Class Availability'!$J:$J,$Q168)&amp;""="",""," + asst "&amp;PROPER(INDEX('Reguler Class Availability'!$J:$J,$Q168)&amp;"")))</f>
        <v/>
      </c>
      <c r="I168" s="77" t="s">
        <v>516</v>
      </c>
      <c r="J168" s="77" t="s">
        <v>188</v>
      </c>
      <c r="K168" s="78"/>
      <c r="L168" s="78"/>
      <c r="M168" s="78"/>
      <c r="N168" s="79"/>
      <c r="O168" s="78"/>
      <c r="Q168" s="30" t="n">
        <f aca="false">IFERROR(MATCH($B$4&amp;"|- Lane "&amp;D168&amp;" - "&amp;B168&amp;"|"&amp;C168,'Reguler Class Availability'!$L:$L,0),"")</f>
        <v>2419</v>
      </c>
      <c r="BD168" s="30" t="s">
        <v>157</v>
      </c>
      <c r="BE168" s="30" t="n">
        <f aca="false">IF(COUNTIFS('Reguler Class Availability'!$L:$L,$B$4&amp;"|- Lane 3 - *|"&amp;BD168)&gt;0,1,0)</f>
        <v>0</v>
      </c>
      <c r="BF168" s="30" t="n">
        <f aca="false">BE168+BF167</f>
        <v>12</v>
      </c>
    </row>
    <row r="169" customFormat="false" ht="27.75" hidden="false" customHeight="true" outlineLevel="0" collapsed="false">
      <c r="A169" s="76" t="n">
        <v>43</v>
      </c>
      <c r="B169" s="77" t="s">
        <v>114</v>
      </c>
      <c r="C169" s="76" t="s">
        <v>149</v>
      </c>
      <c r="D169" s="76" t="n">
        <v>2</v>
      </c>
      <c r="E169" s="77" t="str">
        <f aca="false">IF($Q169="","Tidak ada di data",IF(AND(IFERROR(--(INDEX('Reguler Class Availability'!$F:$F,$Q169)&amp;""),0)=0,IFERROR(--(INDEX('Reguler Class Availability'!$G:$G,$Q169)&amp;""),0)=0),"Tutup",IF(IFERROR(--(INDEX('Reguler Class Availability'!$G:$G,$Q169)&amp;""),0)&gt;IFERROR(--(INDEX('Reguler Class Availability'!$F:$F,$Q169)&amp;""),0),"Lebih",IF(IFERROR(--(INDEX('Reguler Class Availability'!$G:$G,$Q169)&amp;""),0)=IFERROR(--(INDEX('Reguler Class Availability'!$F:$F,$Q169)&amp;""),0),"Penuh",IF(IFERROR(--(INDEX('Reguler Class Availability'!$G:$G,$Q169)&amp;""),0)=0,IF(INDEX('Reguler Class Availability'!$B:$B,$Q169)&amp;""="","Kosong","Belum terisi"),IF(IFERROR(--(INDEX('Reguler Class Availability'!$G:$G,$Q169)&amp;""),0)/IFERROR(--(INDEX('Reguler Class Availability'!$F:$F,$Q169)&amp;""),0)&gt;=0.6,"Tinggi","Sebagian"))))))</f>
        <v>Belum terisi</v>
      </c>
      <c r="F169" s="77" t="str">
        <f aca="false">IF($Q169="","",PROPER(INDEX('Reguler Class Availability'!$B:$B,$Q169)&amp;""))</f>
        <v>Tiny</v>
      </c>
      <c r="G169" s="76" t="n">
        <f aca="false">IF($Q169="","",IFERROR(--(INDEX('Reguler Class Availability'!$F:$F,$Q169)&amp;""),0))</f>
        <v>5</v>
      </c>
      <c r="H169" s="77" t="str">
        <f aca="false">IF($Q169="","",PROPER(INDEX('Reguler Class Availability'!$I:$I,$Q169)&amp;"")&amp;IF(INDEX('Reguler Class Availability'!$J:$J,$Q169)&amp;""="",""," + asst "&amp;PROPER(INDEX('Reguler Class Availability'!$J:$J,$Q169)&amp;"")))</f>
        <v/>
      </c>
      <c r="I169" s="77" t="s">
        <v>516</v>
      </c>
      <c r="J169" s="77" t="s">
        <v>188</v>
      </c>
      <c r="K169" s="78"/>
      <c r="L169" s="78"/>
      <c r="M169" s="78"/>
      <c r="N169" s="79"/>
      <c r="O169" s="78"/>
      <c r="Q169" s="30" t="n">
        <f aca="false">IFERROR(MATCH($B$4&amp;"|- Lane "&amp;D169&amp;" - "&amp;B169&amp;"|"&amp;C169,'Reguler Class Availability'!$L:$L,0),"")</f>
        <v>2517</v>
      </c>
      <c r="BD169" s="30" t="s">
        <v>158</v>
      </c>
      <c r="BE169" s="30" t="n">
        <f aca="false">IF(COUNTIFS('Reguler Class Availability'!$L:$L,$B$4&amp;"|- Lane 3 - *|"&amp;BD169)&gt;0,1,0)</f>
        <v>0</v>
      </c>
      <c r="BF169" s="30" t="n">
        <f aca="false">BE169+BF168</f>
        <v>12</v>
      </c>
    </row>
    <row r="170" customFormat="false" ht="27.75" hidden="false" customHeight="true" outlineLevel="0" collapsed="false">
      <c r="A170" s="76" t="n">
        <v>44</v>
      </c>
      <c r="B170" s="77" t="s">
        <v>114</v>
      </c>
      <c r="C170" s="76" t="s">
        <v>149</v>
      </c>
      <c r="D170" s="76" t="n">
        <v>5</v>
      </c>
      <c r="E170" s="77" t="str">
        <f aca="false">IF($Q170="","Tidak ada di data",IF(AND(IFERROR(--(INDEX('Reguler Class Availability'!$F:$F,$Q170)&amp;""),0)=0,IFERROR(--(INDEX('Reguler Class Availability'!$G:$G,$Q170)&amp;""),0)=0),"Tutup",IF(IFERROR(--(INDEX('Reguler Class Availability'!$G:$G,$Q170)&amp;""),0)&gt;IFERROR(--(INDEX('Reguler Class Availability'!$F:$F,$Q170)&amp;""),0),"Lebih",IF(IFERROR(--(INDEX('Reguler Class Availability'!$G:$G,$Q170)&amp;""),0)=IFERROR(--(INDEX('Reguler Class Availability'!$F:$F,$Q170)&amp;""),0),"Penuh",IF(IFERROR(--(INDEX('Reguler Class Availability'!$G:$G,$Q170)&amp;""),0)=0,IF(INDEX('Reguler Class Availability'!$B:$B,$Q170)&amp;""="","Kosong","Belum terisi"),IF(IFERROR(--(INDEX('Reguler Class Availability'!$G:$G,$Q170)&amp;""),0)/IFERROR(--(INDEX('Reguler Class Availability'!$F:$F,$Q170)&amp;""),0)&gt;=0.6,"Tinggi","Sebagian"))))))</f>
        <v>Kosong</v>
      </c>
      <c r="F170" s="77" t="str">
        <f aca="false">IF($Q170="","",PROPER(INDEX('Reguler Class Availability'!$B:$B,$Q170)&amp;""))</f>
        <v/>
      </c>
      <c r="G170" s="76" t="n">
        <f aca="false">IF($Q170="","",IFERROR(--(INDEX('Reguler Class Availability'!$F:$F,$Q170)&amp;""),0))</f>
        <v>4</v>
      </c>
      <c r="H170" s="77" t="str">
        <f aca="false">IF($Q170="","",PROPER(INDEX('Reguler Class Availability'!$I:$I,$Q170)&amp;"")&amp;IF(INDEX('Reguler Class Availability'!$J:$J,$Q170)&amp;""="",""," + asst "&amp;PROPER(INDEX('Reguler Class Availability'!$J:$J,$Q170)&amp;"")))</f>
        <v/>
      </c>
      <c r="I170" s="77" t="s">
        <v>516</v>
      </c>
      <c r="J170" s="77" t="s">
        <v>188</v>
      </c>
      <c r="K170" s="78"/>
      <c r="L170" s="78"/>
      <c r="M170" s="78"/>
      <c r="N170" s="79"/>
      <c r="O170" s="78"/>
      <c r="Q170" s="30" t="n">
        <f aca="false">IFERROR(MATCH($B$4&amp;"|- Lane "&amp;D170&amp;" - "&amp;B170&amp;"|"&amp;C170,'Reguler Class Availability'!$L:$L,0),"")</f>
        <v>2769</v>
      </c>
      <c r="BD170" s="30" t="s">
        <v>160</v>
      </c>
      <c r="BE170" s="30" t="n">
        <f aca="false">IF(COUNTIFS('Reguler Class Availability'!$L:$L,$B$4&amp;"|- Lane 3 - *|"&amp;BD170)&gt;0,1,0)</f>
        <v>0</v>
      </c>
      <c r="BF170" s="30" t="n">
        <f aca="false">BE170+BF169</f>
        <v>12</v>
      </c>
    </row>
    <row r="171" customFormat="false" ht="27.75" hidden="false" customHeight="true" outlineLevel="0" collapsed="false">
      <c r="A171" s="76" t="n">
        <v>45</v>
      </c>
      <c r="B171" s="77" t="s">
        <v>114</v>
      </c>
      <c r="C171" s="76" t="s">
        <v>150</v>
      </c>
      <c r="D171" s="76" t="n">
        <v>4</v>
      </c>
      <c r="E171" s="77" t="str">
        <f aca="false">IF($Q171="","Tidak ada di data",IF(AND(IFERROR(--(INDEX('Reguler Class Availability'!$F:$F,$Q171)&amp;""),0)=0,IFERROR(--(INDEX('Reguler Class Availability'!$G:$G,$Q171)&amp;""),0)=0),"Tutup",IF(IFERROR(--(INDEX('Reguler Class Availability'!$G:$G,$Q171)&amp;""),0)&gt;IFERROR(--(INDEX('Reguler Class Availability'!$F:$F,$Q171)&amp;""),0),"Lebih",IF(IFERROR(--(INDEX('Reguler Class Availability'!$G:$G,$Q171)&amp;""),0)=IFERROR(--(INDEX('Reguler Class Availability'!$F:$F,$Q171)&amp;""),0),"Penuh",IF(IFERROR(--(INDEX('Reguler Class Availability'!$G:$G,$Q171)&amp;""),0)=0,IF(INDEX('Reguler Class Availability'!$B:$B,$Q171)&amp;""="","Kosong","Belum terisi"),IF(IFERROR(--(INDEX('Reguler Class Availability'!$G:$G,$Q171)&amp;""),0)/IFERROR(--(INDEX('Reguler Class Availability'!$F:$F,$Q171)&amp;""),0)&gt;=0.6,"Tinggi","Sebagian"))))))</f>
        <v>Belum terisi</v>
      </c>
      <c r="F171" s="77" t="str">
        <f aca="false">IF($Q171="","",PROPER(INDEX('Reguler Class Availability'!$B:$B,$Q171)&amp;""))</f>
        <v>Kids</v>
      </c>
      <c r="G171" s="76" t="n">
        <f aca="false">IF($Q171="","",IFERROR(--(INDEX('Reguler Class Availability'!$F:$F,$Q171)&amp;""),0))</f>
        <v>4</v>
      </c>
      <c r="H171" s="77" t="str">
        <f aca="false">IF($Q171="","",PROPER(INDEX('Reguler Class Availability'!$I:$I,$Q171)&amp;"")&amp;IF(INDEX('Reguler Class Availability'!$J:$J,$Q171)&amp;""="",""," + asst "&amp;PROPER(INDEX('Reguler Class Availability'!$J:$J,$Q171)&amp;"")))</f>
        <v/>
      </c>
      <c r="I171" s="77" t="s">
        <v>516</v>
      </c>
      <c r="J171" s="77" t="s">
        <v>188</v>
      </c>
      <c r="K171" s="78"/>
      <c r="L171" s="78"/>
      <c r="M171" s="78"/>
      <c r="N171" s="79"/>
      <c r="O171" s="78"/>
      <c r="Q171" s="30" t="n">
        <f aca="false">IFERROR(MATCH($B$4&amp;"|- Lane "&amp;D171&amp;" - "&amp;B171&amp;"|"&amp;C171,'Reguler Class Availability'!$L:$L,0),"")</f>
        <v>2685</v>
      </c>
      <c r="BD171" s="30" t="s">
        <v>161</v>
      </c>
      <c r="BE171" s="30" t="n">
        <f aca="false">IF(COUNTIFS('Reguler Class Availability'!$L:$L,$B$4&amp;"|- Lane 3 - *|"&amp;BD171)&gt;0,1,0)</f>
        <v>0</v>
      </c>
      <c r="BF171" s="30" t="n">
        <f aca="false">BE171+BF170</f>
        <v>12</v>
      </c>
    </row>
    <row r="172" customFormat="false" ht="27.75" hidden="false" customHeight="true" outlineLevel="0" collapsed="false">
      <c r="A172" s="76" t="n">
        <v>46</v>
      </c>
      <c r="B172" s="77" t="s">
        <v>114</v>
      </c>
      <c r="C172" s="76" t="s">
        <v>152</v>
      </c>
      <c r="D172" s="76" t="n">
        <v>1</v>
      </c>
      <c r="E172" s="77" t="str">
        <f aca="false">IF($Q172="","Tidak ada di data",IF(AND(IFERROR(--(INDEX('Reguler Class Availability'!$F:$F,$Q172)&amp;""),0)=0,IFERROR(--(INDEX('Reguler Class Availability'!$G:$G,$Q172)&amp;""),0)=0),"Tutup",IF(IFERROR(--(INDEX('Reguler Class Availability'!$G:$G,$Q172)&amp;""),0)&gt;IFERROR(--(INDEX('Reguler Class Availability'!$F:$F,$Q172)&amp;""),0),"Lebih",IF(IFERROR(--(INDEX('Reguler Class Availability'!$G:$G,$Q172)&amp;""),0)=IFERROR(--(INDEX('Reguler Class Availability'!$F:$F,$Q172)&amp;""),0),"Penuh",IF(IFERROR(--(INDEX('Reguler Class Availability'!$G:$G,$Q172)&amp;""),0)=0,IF(INDEX('Reguler Class Availability'!$B:$B,$Q172)&amp;""="","Kosong","Belum terisi"),IF(IFERROR(--(INDEX('Reguler Class Availability'!$G:$G,$Q172)&amp;""),0)/IFERROR(--(INDEX('Reguler Class Availability'!$F:$F,$Q172)&amp;""),0)&gt;=0.6,"Tinggi","Sebagian"))))))</f>
        <v>Belum terisi</v>
      </c>
      <c r="F172" s="77" t="str">
        <f aca="false">IF($Q172="","",PROPER(INDEX('Reguler Class Availability'!$B:$B,$Q172)&amp;""))</f>
        <v>Baby</v>
      </c>
      <c r="G172" s="76" t="n">
        <f aca="false">IF($Q172="","",IFERROR(--(INDEX('Reguler Class Availability'!$F:$F,$Q172)&amp;""),0))</f>
        <v>5</v>
      </c>
      <c r="H172" s="77" t="str">
        <f aca="false">IF($Q172="","",PROPER(INDEX('Reguler Class Availability'!$I:$I,$Q172)&amp;"")&amp;IF(INDEX('Reguler Class Availability'!$J:$J,$Q172)&amp;""="",""," + asst "&amp;PROPER(INDEX('Reguler Class Availability'!$J:$J,$Q172)&amp;"")))</f>
        <v/>
      </c>
      <c r="I172" s="77" t="s">
        <v>516</v>
      </c>
      <c r="J172" s="77" t="s">
        <v>188</v>
      </c>
      <c r="K172" s="78"/>
      <c r="L172" s="78"/>
      <c r="M172" s="78"/>
      <c r="N172" s="79"/>
      <c r="O172" s="78"/>
      <c r="Q172" s="30" t="n">
        <f aca="false">IFERROR(MATCH($B$4&amp;"|- Lane "&amp;D172&amp;" - "&amp;B172&amp;"|"&amp;C172,'Reguler Class Availability'!$L:$L,0),"")</f>
        <v>2420</v>
      </c>
      <c r="BD172" s="30" t="s">
        <v>162</v>
      </c>
      <c r="BE172" s="30" t="n">
        <f aca="false">IF(COUNTIFS('Reguler Class Availability'!$L:$L,$B$4&amp;"|- Lane 3 - *|"&amp;BD172)&gt;0,1,0)</f>
        <v>0</v>
      </c>
      <c r="BF172" s="30" t="n">
        <f aca="false">BE172+BF171</f>
        <v>12</v>
      </c>
    </row>
    <row r="173" customFormat="false" ht="27.75" hidden="false" customHeight="true" outlineLevel="0" collapsed="false">
      <c r="A173" s="76" t="n">
        <v>47</v>
      </c>
      <c r="B173" s="77" t="s">
        <v>114</v>
      </c>
      <c r="C173" s="76" t="s">
        <v>152</v>
      </c>
      <c r="D173" s="76" t="n">
        <v>2</v>
      </c>
      <c r="E173" s="77" t="str">
        <f aca="false">IF($Q173="","Tidak ada di data",IF(AND(IFERROR(--(INDEX('Reguler Class Availability'!$F:$F,$Q173)&amp;""),0)=0,IFERROR(--(INDEX('Reguler Class Availability'!$G:$G,$Q173)&amp;""),0)=0),"Tutup",IF(IFERROR(--(INDEX('Reguler Class Availability'!$G:$G,$Q173)&amp;""),0)&gt;IFERROR(--(INDEX('Reguler Class Availability'!$F:$F,$Q173)&amp;""),0),"Lebih",IF(IFERROR(--(INDEX('Reguler Class Availability'!$G:$G,$Q173)&amp;""),0)=IFERROR(--(INDEX('Reguler Class Availability'!$F:$F,$Q173)&amp;""),0),"Penuh",IF(IFERROR(--(INDEX('Reguler Class Availability'!$G:$G,$Q173)&amp;""),0)=0,IF(INDEX('Reguler Class Availability'!$B:$B,$Q173)&amp;""="","Kosong","Belum terisi"),IF(IFERROR(--(INDEX('Reguler Class Availability'!$G:$G,$Q173)&amp;""),0)/IFERROR(--(INDEX('Reguler Class Availability'!$F:$F,$Q173)&amp;""),0)&gt;=0.6,"Tinggi","Sebagian"))))))</f>
        <v>Belum terisi</v>
      </c>
      <c r="F173" s="77" t="str">
        <f aca="false">IF($Q173="","",PROPER(INDEX('Reguler Class Availability'!$B:$B,$Q173)&amp;""))</f>
        <v>Tiny</v>
      </c>
      <c r="G173" s="76" t="n">
        <f aca="false">IF($Q173="","",IFERROR(--(INDEX('Reguler Class Availability'!$F:$F,$Q173)&amp;""),0))</f>
        <v>5</v>
      </c>
      <c r="H173" s="77" t="str">
        <f aca="false">IF($Q173="","",PROPER(INDEX('Reguler Class Availability'!$I:$I,$Q173)&amp;"")&amp;IF(INDEX('Reguler Class Availability'!$J:$J,$Q173)&amp;""="",""," + asst "&amp;PROPER(INDEX('Reguler Class Availability'!$J:$J,$Q173)&amp;"")))</f>
        <v/>
      </c>
      <c r="I173" s="77" t="s">
        <v>516</v>
      </c>
      <c r="J173" s="77" t="s">
        <v>188</v>
      </c>
      <c r="K173" s="78"/>
      <c r="L173" s="78"/>
      <c r="M173" s="78"/>
      <c r="N173" s="79"/>
      <c r="O173" s="78"/>
      <c r="Q173" s="30" t="n">
        <f aca="false">IFERROR(MATCH($B$4&amp;"|- Lane "&amp;D173&amp;" - "&amp;B173&amp;"|"&amp;C173,'Reguler Class Availability'!$L:$L,0),"")</f>
        <v>2518</v>
      </c>
      <c r="BD173" s="30" t="s">
        <v>163</v>
      </c>
      <c r="BE173" s="30" t="n">
        <f aca="false">IF(COUNTIFS('Reguler Class Availability'!$L:$L,$B$4&amp;"|- Lane 3 - *|"&amp;BD173)&gt;0,1,0)</f>
        <v>0</v>
      </c>
      <c r="BF173" s="30" t="n">
        <f aca="false">BE173+BF172</f>
        <v>12</v>
      </c>
    </row>
    <row r="174" customFormat="false" ht="27.75" hidden="false" customHeight="true" outlineLevel="0" collapsed="false">
      <c r="A174" s="76" t="n">
        <v>48</v>
      </c>
      <c r="B174" s="77" t="s">
        <v>114</v>
      </c>
      <c r="C174" s="76" t="s">
        <v>152</v>
      </c>
      <c r="D174" s="76" t="n">
        <v>5</v>
      </c>
      <c r="E174" s="77" t="str">
        <f aca="false">IF($Q174="","Tidak ada di data",IF(AND(IFERROR(--(INDEX('Reguler Class Availability'!$F:$F,$Q174)&amp;""),0)=0,IFERROR(--(INDEX('Reguler Class Availability'!$G:$G,$Q174)&amp;""),0)=0),"Tutup",IF(IFERROR(--(INDEX('Reguler Class Availability'!$G:$G,$Q174)&amp;""),0)&gt;IFERROR(--(INDEX('Reguler Class Availability'!$F:$F,$Q174)&amp;""),0),"Lebih",IF(IFERROR(--(INDEX('Reguler Class Availability'!$G:$G,$Q174)&amp;""),0)=IFERROR(--(INDEX('Reguler Class Availability'!$F:$F,$Q174)&amp;""),0),"Penuh",IF(IFERROR(--(INDEX('Reguler Class Availability'!$G:$G,$Q174)&amp;""),0)=0,IF(INDEX('Reguler Class Availability'!$B:$B,$Q174)&amp;""="","Kosong","Belum terisi"),IF(IFERROR(--(INDEX('Reguler Class Availability'!$G:$G,$Q174)&amp;""),0)/IFERROR(--(INDEX('Reguler Class Availability'!$F:$F,$Q174)&amp;""),0)&gt;=0.6,"Tinggi","Sebagian"))))))</f>
        <v>Kosong</v>
      </c>
      <c r="F174" s="77" t="str">
        <f aca="false">IF($Q174="","",PROPER(INDEX('Reguler Class Availability'!$B:$B,$Q174)&amp;""))</f>
        <v/>
      </c>
      <c r="G174" s="76" t="n">
        <f aca="false">IF($Q174="","",IFERROR(--(INDEX('Reguler Class Availability'!$F:$F,$Q174)&amp;""),0))</f>
        <v>4</v>
      </c>
      <c r="H174" s="77" t="str">
        <f aca="false">IF($Q174="","",PROPER(INDEX('Reguler Class Availability'!$I:$I,$Q174)&amp;"")&amp;IF(INDEX('Reguler Class Availability'!$J:$J,$Q174)&amp;""="",""," + asst "&amp;PROPER(INDEX('Reguler Class Availability'!$J:$J,$Q174)&amp;"")))</f>
        <v/>
      </c>
      <c r="I174" s="77" t="s">
        <v>516</v>
      </c>
      <c r="J174" s="77" t="s">
        <v>188</v>
      </c>
      <c r="K174" s="78"/>
      <c r="L174" s="78"/>
      <c r="M174" s="78"/>
      <c r="N174" s="79"/>
      <c r="O174" s="78"/>
      <c r="Q174" s="30" t="n">
        <f aca="false">IFERROR(MATCH($B$4&amp;"|- Lane "&amp;D174&amp;" - "&amp;B174&amp;"|"&amp;C174,'Reguler Class Availability'!$L:$L,0),"")</f>
        <v>2770</v>
      </c>
      <c r="BD174" s="30" t="s">
        <v>164</v>
      </c>
      <c r="BE174" s="30" t="n">
        <f aca="false">IF(COUNTIFS('Reguler Class Availability'!$L:$L,$B$4&amp;"|- Lane 3 - *|"&amp;BD174)&gt;0,1,0)</f>
        <v>0</v>
      </c>
      <c r="BF174" s="30" t="n">
        <f aca="false">BE174+BF173</f>
        <v>12</v>
      </c>
    </row>
    <row r="175" customFormat="false" ht="27.75" hidden="false" customHeight="true" outlineLevel="0" collapsed="false">
      <c r="A175" s="76" t="n">
        <v>49</v>
      </c>
      <c r="B175" s="77" t="s">
        <v>114</v>
      </c>
      <c r="C175" s="76" t="s">
        <v>153</v>
      </c>
      <c r="D175" s="76" t="n">
        <v>3</v>
      </c>
      <c r="E175" s="77" t="str">
        <f aca="false">IF($Q175="","Tidak ada di data",IF(AND(IFERROR(--(INDEX('Reguler Class Availability'!$F:$F,$Q175)&amp;""),0)=0,IFERROR(--(INDEX('Reguler Class Availability'!$G:$G,$Q175)&amp;""),0)=0),"Tutup",IF(IFERROR(--(INDEX('Reguler Class Availability'!$G:$G,$Q175)&amp;""),0)&gt;IFERROR(--(INDEX('Reguler Class Availability'!$F:$F,$Q175)&amp;""),0),"Lebih",IF(IFERROR(--(INDEX('Reguler Class Availability'!$G:$G,$Q175)&amp;""),0)=IFERROR(--(INDEX('Reguler Class Availability'!$F:$F,$Q175)&amp;""),0),"Penuh",IF(IFERROR(--(INDEX('Reguler Class Availability'!$G:$G,$Q175)&amp;""),0)=0,IF(INDEX('Reguler Class Availability'!$B:$B,$Q175)&amp;""="","Kosong","Belum terisi"),IF(IFERROR(--(INDEX('Reguler Class Availability'!$G:$G,$Q175)&amp;""),0)/IFERROR(--(INDEX('Reguler Class Availability'!$F:$F,$Q175)&amp;""),0)&gt;=0.6,"Tinggi","Sebagian"))))))</f>
        <v>Belum terisi</v>
      </c>
      <c r="F175" s="77" t="str">
        <f aca="false">IF($Q175="","",PROPER(INDEX('Reguler Class Availability'!$B:$B,$Q175)&amp;""))</f>
        <v>Little</v>
      </c>
      <c r="G175" s="76" t="n">
        <f aca="false">IF($Q175="","",IFERROR(--(INDEX('Reguler Class Availability'!$F:$F,$Q175)&amp;""),0))</f>
        <v>4</v>
      </c>
      <c r="H175" s="77" t="str">
        <f aca="false">IF($Q175="","",PROPER(INDEX('Reguler Class Availability'!$I:$I,$Q175)&amp;"")&amp;IF(INDEX('Reguler Class Availability'!$J:$J,$Q175)&amp;""="",""," + asst "&amp;PROPER(INDEX('Reguler Class Availability'!$J:$J,$Q175)&amp;"")))</f>
        <v/>
      </c>
      <c r="I175" s="77" t="s">
        <v>513</v>
      </c>
      <c r="J175" s="77" t="s">
        <v>188</v>
      </c>
      <c r="K175" s="78"/>
      <c r="L175" s="78"/>
      <c r="M175" s="78"/>
      <c r="N175" s="79"/>
      <c r="O175" s="78"/>
      <c r="Q175" s="30" t="n">
        <f aca="false">IFERROR(MATCH($B$4&amp;"|- Lane "&amp;D175&amp;" - "&amp;B175&amp;"|"&amp;C175,'Reguler Class Availability'!$L:$L,0),"")</f>
        <v>2602</v>
      </c>
      <c r="BD175" s="30" t="s">
        <v>165</v>
      </c>
      <c r="BE175" s="30" t="n">
        <f aca="false">IF(COUNTIFS('Reguler Class Availability'!$L:$L,$B$4&amp;"|- Lane 3 - *|"&amp;BD175)&gt;0,1,0)</f>
        <v>0</v>
      </c>
      <c r="BF175" s="30" t="n">
        <f aca="false">BE175+BF174</f>
        <v>12</v>
      </c>
    </row>
    <row r="176" customFormat="false" ht="27.75" hidden="false" customHeight="true" outlineLevel="0" collapsed="false">
      <c r="A176" s="76" t="n">
        <v>50</v>
      </c>
      <c r="B176" s="77" t="s">
        <v>114</v>
      </c>
      <c r="C176" s="76" t="s">
        <v>155</v>
      </c>
      <c r="D176" s="76" t="n">
        <v>1</v>
      </c>
      <c r="E176" s="77" t="str">
        <f aca="false">IF($Q176="","Tidak ada di data",IF(AND(IFERROR(--(INDEX('Reguler Class Availability'!$F:$F,$Q176)&amp;""),0)=0,IFERROR(--(INDEX('Reguler Class Availability'!$G:$G,$Q176)&amp;""),0)=0),"Tutup",IF(IFERROR(--(INDEX('Reguler Class Availability'!$G:$G,$Q176)&amp;""),0)&gt;IFERROR(--(INDEX('Reguler Class Availability'!$F:$F,$Q176)&amp;""),0),"Lebih",IF(IFERROR(--(INDEX('Reguler Class Availability'!$G:$G,$Q176)&amp;""),0)=IFERROR(--(INDEX('Reguler Class Availability'!$F:$F,$Q176)&amp;""),0),"Penuh",IF(IFERROR(--(INDEX('Reguler Class Availability'!$G:$G,$Q176)&amp;""),0)=0,IF(INDEX('Reguler Class Availability'!$B:$B,$Q176)&amp;""="","Kosong","Belum terisi"),IF(IFERROR(--(INDEX('Reguler Class Availability'!$G:$G,$Q176)&amp;""),0)/IFERROR(--(INDEX('Reguler Class Availability'!$F:$F,$Q176)&amp;""),0)&gt;=0.6,"Tinggi","Sebagian"))))))</f>
        <v>Belum terisi</v>
      </c>
      <c r="F176" s="77" t="str">
        <f aca="false">IF($Q176="","",PROPER(INDEX('Reguler Class Availability'!$B:$B,$Q176)&amp;""))</f>
        <v>Baby</v>
      </c>
      <c r="G176" s="76" t="n">
        <f aca="false">IF($Q176="","",IFERROR(--(INDEX('Reguler Class Availability'!$F:$F,$Q176)&amp;""),0))</f>
        <v>5</v>
      </c>
      <c r="H176" s="77" t="str">
        <f aca="false">IF($Q176="","",PROPER(INDEX('Reguler Class Availability'!$I:$I,$Q176)&amp;"")&amp;IF(INDEX('Reguler Class Availability'!$J:$J,$Q176)&amp;""="",""," + asst "&amp;PROPER(INDEX('Reguler Class Availability'!$J:$J,$Q176)&amp;"")))</f>
        <v/>
      </c>
      <c r="I176" s="77" t="s">
        <v>516</v>
      </c>
      <c r="J176" s="77" t="s">
        <v>188</v>
      </c>
      <c r="K176" s="78"/>
      <c r="L176" s="78"/>
      <c r="M176" s="78"/>
      <c r="N176" s="79"/>
      <c r="O176" s="78"/>
      <c r="Q176" s="30" t="n">
        <f aca="false">IFERROR(MATCH($B$4&amp;"|- Lane "&amp;D176&amp;" - "&amp;B176&amp;"|"&amp;C176,'Reguler Class Availability'!$L:$L,0),"")</f>
        <v>2421</v>
      </c>
      <c r="BD176" s="30" t="s">
        <v>166</v>
      </c>
      <c r="BE176" s="30" t="n">
        <f aca="false">IF(COUNTIFS('Reguler Class Availability'!$L:$L,$B$4&amp;"|- Lane 3 - *|"&amp;BD176)&gt;0,1,0)</f>
        <v>0</v>
      </c>
      <c r="BF176" s="30" t="n">
        <f aca="false">BE176+BF175</f>
        <v>12</v>
      </c>
    </row>
    <row r="177" customFormat="false" ht="27.75" hidden="false" customHeight="true" outlineLevel="0" collapsed="false">
      <c r="A177" s="76" t="n">
        <v>51</v>
      </c>
      <c r="B177" s="77" t="s">
        <v>114</v>
      </c>
      <c r="C177" s="76" t="s">
        <v>155</v>
      </c>
      <c r="D177" s="76" t="n">
        <v>2</v>
      </c>
      <c r="E177" s="77" t="str">
        <f aca="false">IF($Q177="","Tidak ada di data",IF(AND(IFERROR(--(INDEX('Reguler Class Availability'!$F:$F,$Q177)&amp;""),0)=0,IFERROR(--(INDEX('Reguler Class Availability'!$G:$G,$Q177)&amp;""),0)=0),"Tutup",IF(IFERROR(--(INDEX('Reguler Class Availability'!$G:$G,$Q177)&amp;""),0)&gt;IFERROR(--(INDEX('Reguler Class Availability'!$F:$F,$Q177)&amp;""),0),"Lebih",IF(IFERROR(--(INDEX('Reguler Class Availability'!$G:$G,$Q177)&amp;""),0)=IFERROR(--(INDEX('Reguler Class Availability'!$F:$F,$Q177)&amp;""),0),"Penuh",IF(IFERROR(--(INDEX('Reguler Class Availability'!$G:$G,$Q177)&amp;""),0)=0,IF(INDEX('Reguler Class Availability'!$B:$B,$Q177)&amp;""="","Kosong","Belum terisi"),IF(IFERROR(--(INDEX('Reguler Class Availability'!$G:$G,$Q177)&amp;""),0)/IFERROR(--(INDEX('Reguler Class Availability'!$F:$F,$Q177)&amp;""),0)&gt;=0.6,"Tinggi","Sebagian"))))))</f>
        <v>Belum terisi</v>
      </c>
      <c r="F177" s="77" t="str">
        <f aca="false">IF($Q177="","",PROPER(INDEX('Reguler Class Availability'!$B:$B,$Q177)&amp;""))</f>
        <v>Tiny</v>
      </c>
      <c r="G177" s="76" t="n">
        <f aca="false">IF($Q177="","",IFERROR(--(INDEX('Reguler Class Availability'!$F:$F,$Q177)&amp;""),0))</f>
        <v>5</v>
      </c>
      <c r="H177" s="77" t="str">
        <f aca="false">IF($Q177="","",PROPER(INDEX('Reguler Class Availability'!$I:$I,$Q177)&amp;"")&amp;IF(INDEX('Reguler Class Availability'!$J:$J,$Q177)&amp;""="",""," + asst "&amp;PROPER(INDEX('Reguler Class Availability'!$J:$J,$Q177)&amp;"")))</f>
        <v/>
      </c>
      <c r="I177" s="77" t="s">
        <v>516</v>
      </c>
      <c r="J177" s="77" t="s">
        <v>188</v>
      </c>
      <c r="K177" s="78"/>
      <c r="L177" s="78"/>
      <c r="M177" s="78"/>
      <c r="N177" s="79"/>
      <c r="O177" s="78"/>
      <c r="Q177" s="30" t="n">
        <f aca="false">IFERROR(MATCH($B$4&amp;"|- Lane "&amp;D177&amp;" - "&amp;B177&amp;"|"&amp;C177,'Reguler Class Availability'!$L:$L,0),"")</f>
        <v>2519</v>
      </c>
      <c r="BD177" s="30" t="s">
        <v>167</v>
      </c>
      <c r="BE177" s="30" t="n">
        <f aca="false">IF(COUNTIFS('Reguler Class Availability'!$L:$L,$B$4&amp;"|- Lane 3 - *|"&amp;BD177)&gt;0,1,0)</f>
        <v>0</v>
      </c>
      <c r="BF177" s="30" t="n">
        <f aca="false">BE177+BF176</f>
        <v>12</v>
      </c>
    </row>
    <row r="178" customFormat="false" ht="27.75" hidden="false" customHeight="true" outlineLevel="0" collapsed="false">
      <c r="A178" s="76" t="n">
        <v>52</v>
      </c>
      <c r="B178" s="77" t="s">
        <v>114</v>
      </c>
      <c r="C178" s="76" t="s">
        <v>155</v>
      </c>
      <c r="D178" s="76" t="n">
        <v>5</v>
      </c>
      <c r="E178" s="77" t="str">
        <f aca="false">IF($Q178="","Tidak ada di data",IF(AND(IFERROR(--(INDEX('Reguler Class Availability'!$F:$F,$Q178)&amp;""),0)=0,IFERROR(--(INDEX('Reguler Class Availability'!$G:$G,$Q178)&amp;""),0)=0),"Tutup",IF(IFERROR(--(INDEX('Reguler Class Availability'!$G:$G,$Q178)&amp;""),0)&gt;IFERROR(--(INDEX('Reguler Class Availability'!$F:$F,$Q178)&amp;""),0),"Lebih",IF(IFERROR(--(INDEX('Reguler Class Availability'!$G:$G,$Q178)&amp;""),0)=IFERROR(--(INDEX('Reguler Class Availability'!$F:$F,$Q178)&amp;""),0),"Penuh",IF(IFERROR(--(INDEX('Reguler Class Availability'!$G:$G,$Q178)&amp;""),0)=0,IF(INDEX('Reguler Class Availability'!$B:$B,$Q178)&amp;""="","Kosong","Belum terisi"),IF(IFERROR(--(INDEX('Reguler Class Availability'!$G:$G,$Q178)&amp;""),0)/IFERROR(--(INDEX('Reguler Class Availability'!$F:$F,$Q178)&amp;""),0)&gt;=0.6,"Tinggi","Sebagian"))))))</f>
        <v>Kosong</v>
      </c>
      <c r="F178" s="77" t="str">
        <f aca="false">IF($Q178="","",PROPER(INDEX('Reguler Class Availability'!$B:$B,$Q178)&amp;""))</f>
        <v/>
      </c>
      <c r="G178" s="76" t="n">
        <f aca="false">IF($Q178="","",IFERROR(--(INDEX('Reguler Class Availability'!$F:$F,$Q178)&amp;""),0))</f>
        <v>4</v>
      </c>
      <c r="H178" s="77" t="str">
        <f aca="false">IF($Q178="","",PROPER(INDEX('Reguler Class Availability'!$I:$I,$Q178)&amp;"")&amp;IF(INDEX('Reguler Class Availability'!$J:$J,$Q178)&amp;""="",""," + asst "&amp;PROPER(INDEX('Reguler Class Availability'!$J:$J,$Q178)&amp;"")))</f>
        <v/>
      </c>
      <c r="I178" s="77" t="s">
        <v>516</v>
      </c>
      <c r="J178" s="77" t="s">
        <v>188</v>
      </c>
      <c r="K178" s="78"/>
      <c r="L178" s="78"/>
      <c r="M178" s="78"/>
      <c r="N178" s="79"/>
      <c r="O178" s="78"/>
      <c r="Q178" s="30" t="n">
        <f aca="false">IFERROR(MATCH($B$4&amp;"|- Lane "&amp;D178&amp;" - "&amp;B178&amp;"|"&amp;C178,'Reguler Class Availability'!$L:$L,0),"")</f>
        <v>2771</v>
      </c>
      <c r="BD178" s="30" t="s">
        <v>168</v>
      </c>
      <c r="BE178" s="30" t="n">
        <f aca="false">IF(COUNTIFS('Reguler Class Availability'!$L:$L,$B$4&amp;"|- Lane 3 - *|"&amp;BD178)&gt;0,1,0)</f>
        <v>0</v>
      </c>
      <c r="BF178" s="30" t="n">
        <f aca="false">BE178+BF177</f>
        <v>12</v>
      </c>
    </row>
    <row r="179" customFormat="false" ht="27.75" hidden="false" customHeight="true" outlineLevel="0" collapsed="false">
      <c r="A179" s="76" t="n">
        <v>53</v>
      </c>
      <c r="B179" s="77" t="s">
        <v>114</v>
      </c>
      <c r="C179" s="76" t="s">
        <v>156</v>
      </c>
      <c r="D179" s="76" t="n">
        <v>3</v>
      </c>
      <c r="E179" s="77" t="str">
        <f aca="false">IF($Q179="","Tidak ada di data",IF(AND(IFERROR(--(INDEX('Reguler Class Availability'!$F:$F,$Q179)&amp;""),0)=0,IFERROR(--(INDEX('Reguler Class Availability'!$G:$G,$Q179)&amp;""),0)=0),"Tutup",IF(IFERROR(--(INDEX('Reguler Class Availability'!$G:$G,$Q179)&amp;""),0)&gt;IFERROR(--(INDEX('Reguler Class Availability'!$F:$F,$Q179)&amp;""),0),"Lebih",IF(IFERROR(--(INDEX('Reguler Class Availability'!$G:$G,$Q179)&amp;""),0)=IFERROR(--(INDEX('Reguler Class Availability'!$F:$F,$Q179)&amp;""),0),"Penuh",IF(IFERROR(--(INDEX('Reguler Class Availability'!$G:$G,$Q179)&amp;""),0)=0,IF(INDEX('Reguler Class Availability'!$B:$B,$Q179)&amp;""="","Kosong","Belum terisi"),IF(IFERROR(--(INDEX('Reguler Class Availability'!$G:$G,$Q179)&amp;""),0)/IFERROR(--(INDEX('Reguler Class Availability'!$F:$F,$Q179)&amp;""),0)&gt;=0.6,"Tinggi","Sebagian"))))))</f>
        <v>Belum terisi</v>
      </c>
      <c r="F179" s="77" t="str">
        <f aca="false">IF($Q179="","",PROPER(INDEX('Reguler Class Availability'!$B:$B,$Q179)&amp;""))</f>
        <v>Little</v>
      </c>
      <c r="G179" s="76" t="n">
        <f aca="false">IF($Q179="","",IFERROR(--(INDEX('Reguler Class Availability'!$F:$F,$Q179)&amp;""),0))</f>
        <v>4</v>
      </c>
      <c r="H179" s="77" t="str">
        <f aca="false">IF($Q179="","",PROPER(INDEX('Reguler Class Availability'!$I:$I,$Q179)&amp;"")&amp;IF(INDEX('Reguler Class Availability'!$J:$J,$Q179)&amp;""="",""," + asst "&amp;PROPER(INDEX('Reguler Class Availability'!$J:$J,$Q179)&amp;"")))</f>
        <v/>
      </c>
      <c r="I179" s="77" t="s">
        <v>516</v>
      </c>
      <c r="J179" s="77" t="s">
        <v>188</v>
      </c>
      <c r="K179" s="78"/>
      <c r="L179" s="78"/>
      <c r="M179" s="78"/>
      <c r="N179" s="79"/>
      <c r="O179" s="78"/>
      <c r="Q179" s="30" t="n">
        <f aca="false">IFERROR(MATCH($B$4&amp;"|- Lane "&amp;D179&amp;" - "&amp;B179&amp;"|"&amp;C179,'Reguler Class Availability'!$L:$L,0),"")</f>
        <v>2603</v>
      </c>
      <c r="BD179" s="30" t="s">
        <v>169</v>
      </c>
      <c r="BE179" s="30" t="n">
        <f aca="false">IF(COUNTIFS('Reguler Class Availability'!$L:$L,$B$4&amp;"|- Lane 3 - *|"&amp;BD179)&gt;0,1,0)</f>
        <v>0</v>
      </c>
      <c r="BF179" s="30" t="n">
        <f aca="false">BE179+BF178</f>
        <v>12</v>
      </c>
    </row>
    <row r="180" customFormat="false" ht="27.75" hidden="false" customHeight="true" outlineLevel="0" collapsed="false">
      <c r="A180" s="76" t="n">
        <v>54</v>
      </c>
      <c r="B180" s="77" t="s">
        <v>114</v>
      </c>
      <c r="C180" s="76" t="s">
        <v>160</v>
      </c>
      <c r="D180" s="76" t="n">
        <v>1</v>
      </c>
      <c r="E180" s="77" t="str">
        <f aca="false">IF($Q180="","Tidak ada di data",IF(AND(IFERROR(--(INDEX('Reguler Class Availability'!$F:$F,$Q180)&amp;""),0)=0,IFERROR(--(INDEX('Reguler Class Availability'!$G:$G,$Q180)&amp;""),0)=0),"Tutup",IF(IFERROR(--(INDEX('Reguler Class Availability'!$G:$G,$Q180)&amp;""),0)&gt;IFERROR(--(INDEX('Reguler Class Availability'!$F:$F,$Q180)&amp;""),0),"Lebih",IF(IFERROR(--(INDEX('Reguler Class Availability'!$G:$G,$Q180)&amp;""),0)=IFERROR(--(INDEX('Reguler Class Availability'!$F:$F,$Q180)&amp;""),0),"Penuh",IF(IFERROR(--(INDEX('Reguler Class Availability'!$G:$G,$Q180)&amp;""),0)=0,IF(INDEX('Reguler Class Availability'!$B:$B,$Q180)&amp;""="","Kosong","Belum terisi"),IF(IFERROR(--(INDEX('Reguler Class Availability'!$G:$G,$Q180)&amp;""),0)/IFERROR(--(INDEX('Reguler Class Availability'!$F:$F,$Q180)&amp;""),0)&gt;=0.6,"Tinggi","Sebagian"))))))</f>
        <v>Belum terisi</v>
      </c>
      <c r="F180" s="77" t="str">
        <f aca="false">IF($Q180="","",PROPER(INDEX('Reguler Class Availability'!$B:$B,$Q180)&amp;""))</f>
        <v>Star</v>
      </c>
      <c r="G180" s="76" t="n">
        <f aca="false">IF($Q180="","",IFERROR(--(INDEX('Reguler Class Availability'!$F:$F,$Q180)&amp;""),0))</f>
        <v>8</v>
      </c>
      <c r="H180" s="77" t="str">
        <f aca="false">IF($Q180="","",PROPER(INDEX('Reguler Class Availability'!$I:$I,$Q180)&amp;"")&amp;IF(INDEX('Reguler Class Availability'!$J:$J,$Q180)&amp;""="",""," + asst "&amp;PROPER(INDEX('Reguler Class Availability'!$J:$J,$Q180)&amp;"")))</f>
        <v/>
      </c>
      <c r="I180" s="77" t="s">
        <v>513</v>
      </c>
      <c r="J180" s="77" t="s">
        <v>186</v>
      </c>
      <c r="K180" s="78"/>
      <c r="L180" s="78"/>
      <c r="M180" s="78"/>
      <c r="N180" s="79"/>
      <c r="O180" s="78"/>
      <c r="Q180" s="30" t="n">
        <f aca="false">IFERROR(MATCH($B$4&amp;"|- Lane "&amp;D180&amp;" - "&amp;B180&amp;"|"&amp;C180,'Reguler Class Availability'!$L:$L,0),"")</f>
        <v>2501</v>
      </c>
      <c r="BD180" s="30" t="s">
        <v>170</v>
      </c>
      <c r="BE180" s="30" t="n">
        <f aca="false">IF(COUNTIFS('Reguler Class Availability'!$L:$L,$B$4&amp;"|- Lane 3 - *|"&amp;BD180)&gt;0,1,0)</f>
        <v>0</v>
      </c>
      <c r="BF180" s="30" t="n">
        <f aca="false">BE180+BF179</f>
        <v>12</v>
      </c>
    </row>
    <row r="181" customFormat="false" ht="27.75" hidden="false" customHeight="true" outlineLevel="0" collapsed="false">
      <c r="A181" s="76" t="n">
        <v>55</v>
      </c>
      <c r="B181" s="77" t="s">
        <v>115</v>
      </c>
      <c r="C181" s="76" t="s">
        <v>91</v>
      </c>
      <c r="D181" s="76" t="n">
        <v>1</v>
      </c>
      <c r="E181" s="77" t="str">
        <f aca="false">IF($Q181="","Tidak ada di data",IF(AND(IFERROR(--(INDEX('Reguler Class Availability'!$F:$F,$Q181)&amp;""),0)=0,IFERROR(--(INDEX('Reguler Class Availability'!$G:$G,$Q181)&amp;""),0)=0),"Tutup",IF(IFERROR(--(INDEX('Reguler Class Availability'!$G:$G,$Q181)&amp;""),0)&gt;IFERROR(--(INDEX('Reguler Class Availability'!$F:$F,$Q181)&amp;""),0),"Lebih",IF(IFERROR(--(INDEX('Reguler Class Availability'!$G:$G,$Q181)&amp;""),0)=IFERROR(--(INDEX('Reguler Class Availability'!$F:$F,$Q181)&amp;""),0),"Penuh",IF(IFERROR(--(INDEX('Reguler Class Availability'!$G:$G,$Q181)&amp;""),0)=0,IF(INDEX('Reguler Class Availability'!$B:$B,$Q181)&amp;""="","Kosong","Belum terisi"),IF(IFERROR(--(INDEX('Reguler Class Availability'!$G:$G,$Q181)&amp;""),0)/IFERROR(--(INDEX('Reguler Class Availability'!$F:$F,$Q181)&amp;""),0)&gt;=0.6,"Tinggi","Sebagian"))))))</f>
        <v>Belum terisi</v>
      </c>
      <c r="F181" s="77" t="str">
        <f aca="false">IF($Q181="","",PROPER(INDEX('Reguler Class Availability'!$B:$B,$Q181)&amp;""))</f>
        <v>Star</v>
      </c>
      <c r="G181" s="76" t="n">
        <f aca="false">IF($Q181="","",IFERROR(--(INDEX('Reguler Class Availability'!$F:$F,$Q181)&amp;""),0))</f>
        <v>8</v>
      </c>
      <c r="H181" s="77" t="str">
        <f aca="false">IF($Q181="","",PROPER(INDEX('Reguler Class Availability'!$I:$I,$Q181)&amp;"")&amp;IF(INDEX('Reguler Class Availability'!$J:$J,$Q181)&amp;""="",""," + asst "&amp;PROPER(INDEX('Reguler Class Availability'!$J:$J,$Q181)&amp;"")))</f>
        <v/>
      </c>
      <c r="I181" s="77" t="s">
        <v>513</v>
      </c>
      <c r="J181" s="77" t="s">
        <v>186</v>
      </c>
      <c r="K181" s="78"/>
      <c r="L181" s="78"/>
      <c r="M181" s="78"/>
      <c r="N181" s="79"/>
      <c r="O181" s="78"/>
      <c r="Q181" s="30" t="n">
        <f aca="false">IFERROR(MATCH($B$4&amp;"|- Lane "&amp;D181&amp;" - "&amp;B181&amp;"|"&amp;C181,'Reguler Class Availability'!$L:$L,0),"")</f>
        <v>2495</v>
      </c>
      <c r="BD181" s="30" t="s">
        <v>171</v>
      </c>
      <c r="BE181" s="30" t="n">
        <f aca="false">IF(COUNTIFS('Reguler Class Availability'!$L:$L,$B$4&amp;"|- Lane 3 - *|"&amp;BD181)&gt;0,1,0)</f>
        <v>0</v>
      </c>
      <c r="BF181" s="30" t="n">
        <f aca="false">BE181+BF180</f>
        <v>12</v>
      </c>
    </row>
    <row r="182" customFormat="false" ht="27.75" hidden="false" customHeight="true" outlineLevel="0" collapsed="false">
      <c r="A182" s="76" t="n">
        <v>56</v>
      </c>
      <c r="B182" s="77" t="s">
        <v>115</v>
      </c>
      <c r="C182" s="76" t="s">
        <v>105</v>
      </c>
      <c r="D182" s="76" t="n">
        <v>1</v>
      </c>
      <c r="E182" s="77" t="str">
        <f aca="false">IF($Q182="","Tidak ada di data",IF(AND(IFERROR(--(INDEX('Reguler Class Availability'!$F:$F,$Q182)&amp;""),0)=0,IFERROR(--(INDEX('Reguler Class Availability'!$G:$G,$Q182)&amp;""),0)=0),"Tutup",IF(IFERROR(--(INDEX('Reguler Class Availability'!$G:$G,$Q182)&amp;""),0)&gt;IFERROR(--(INDEX('Reguler Class Availability'!$F:$F,$Q182)&amp;""),0),"Lebih",IF(IFERROR(--(INDEX('Reguler Class Availability'!$G:$G,$Q182)&amp;""),0)=IFERROR(--(INDEX('Reguler Class Availability'!$F:$F,$Q182)&amp;""),0),"Penuh",IF(IFERROR(--(INDEX('Reguler Class Availability'!$G:$G,$Q182)&amp;""),0)=0,IF(INDEX('Reguler Class Availability'!$B:$B,$Q182)&amp;""="","Kosong","Belum terisi"),IF(IFERROR(--(INDEX('Reguler Class Availability'!$G:$G,$Q182)&amp;""),0)/IFERROR(--(INDEX('Reguler Class Availability'!$F:$F,$Q182)&amp;""),0)&gt;=0.6,"Tinggi","Sebagian"))))))</f>
        <v>Belum terisi</v>
      </c>
      <c r="F182" s="77" t="str">
        <f aca="false">IF($Q182="","",PROPER(INDEX('Reguler Class Availability'!$B:$B,$Q182)&amp;""))</f>
        <v>Baby</v>
      </c>
      <c r="G182" s="76" t="n">
        <f aca="false">IF($Q182="","",IFERROR(--(INDEX('Reguler Class Availability'!$F:$F,$Q182)&amp;""),0))</f>
        <v>5</v>
      </c>
      <c r="H182" s="77" t="str">
        <f aca="false">IF($Q182="","",PROPER(INDEX('Reguler Class Availability'!$I:$I,$Q182)&amp;"")&amp;IF(INDEX('Reguler Class Availability'!$J:$J,$Q182)&amp;""="",""," + asst "&amp;PROPER(INDEX('Reguler Class Availability'!$J:$J,$Q182)&amp;"")))</f>
        <v/>
      </c>
      <c r="I182" s="77" t="s">
        <v>513</v>
      </c>
      <c r="J182" s="77" t="s">
        <v>188</v>
      </c>
      <c r="K182" s="78"/>
      <c r="L182" s="78"/>
      <c r="M182" s="78"/>
      <c r="N182" s="79"/>
      <c r="O182" s="78"/>
      <c r="Q182" s="30" t="n">
        <f aca="false">IFERROR(MATCH($B$4&amp;"|- Lane "&amp;D182&amp;" - "&amp;B182&amp;"|"&amp;C182,'Reguler Class Availability'!$L:$L,0),"")</f>
        <v>2422</v>
      </c>
      <c r="BD182" s="30" t="s">
        <v>78</v>
      </c>
      <c r="BE182" s="30" t="n">
        <f aca="false">IF(COUNTIFS('Reguler Class Availability'!$L:$L,$B$4&amp;"|- Lane 4 - *|"&amp;BD182)&gt;0,1,0)</f>
        <v>0</v>
      </c>
      <c r="BF182" s="30" t="n">
        <f aca="false">BE182</f>
        <v>0</v>
      </c>
    </row>
    <row r="183" customFormat="false" ht="27.75" hidden="false" customHeight="true" outlineLevel="0" collapsed="false">
      <c r="A183" s="76" t="n">
        <v>57</v>
      </c>
      <c r="B183" s="77" t="s">
        <v>115</v>
      </c>
      <c r="C183" s="76" t="s">
        <v>105</v>
      </c>
      <c r="D183" s="76" t="n">
        <v>2</v>
      </c>
      <c r="E183" s="77" t="str">
        <f aca="false">IF($Q183="","Tidak ada di data",IF(AND(IFERROR(--(INDEX('Reguler Class Availability'!$F:$F,$Q183)&amp;""),0)=0,IFERROR(--(INDEX('Reguler Class Availability'!$G:$G,$Q183)&amp;""),0)=0),"Tutup",IF(IFERROR(--(INDEX('Reguler Class Availability'!$G:$G,$Q183)&amp;""),0)&gt;IFERROR(--(INDEX('Reguler Class Availability'!$F:$F,$Q183)&amp;""),0),"Lebih",IF(IFERROR(--(INDEX('Reguler Class Availability'!$G:$G,$Q183)&amp;""),0)=IFERROR(--(INDEX('Reguler Class Availability'!$F:$F,$Q183)&amp;""),0),"Penuh",IF(IFERROR(--(INDEX('Reguler Class Availability'!$G:$G,$Q183)&amp;""),0)=0,IF(INDEX('Reguler Class Availability'!$B:$B,$Q183)&amp;""="","Kosong","Belum terisi"),IF(IFERROR(--(INDEX('Reguler Class Availability'!$G:$G,$Q183)&amp;""),0)/IFERROR(--(INDEX('Reguler Class Availability'!$F:$F,$Q183)&amp;""),0)&gt;=0.6,"Tinggi","Sebagian"))))))</f>
        <v>Belum terisi</v>
      </c>
      <c r="F183" s="77" t="str">
        <f aca="false">IF($Q183="","",PROPER(INDEX('Reguler Class Availability'!$B:$B,$Q183)&amp;""))</f>
        <v>Tiny</v>
      </c>
      <c r="G183" s="76" t="n">
        <f aca="false">IF($Q183="","",IFERROR(--(INDEX('Reguler Class Availability'!$F:$F,$Q183)&amp;""),0))</f>
        <v>5</v>
      </c>
      <c r="H183" s="77" t="str">
        <f aca="false">IF($Q183="","",PROPER(INDEX('Reguler Class Availability'!$I:$I,$Q183)&amp;"")&amp;IF(INDEX('Reguler Class Availability'!$J:$J,$Q183)&amp;""="",""," + asst "&amp;PROPER(INDEX('Reguler Class Availability'!$J:$J,$Q183)&amp;"")))</f>
        <v/>
      </c>
      <c r="I183" s="77" t="s">
        <v>513</v>
      </c>
      <c r="J183" s="77" t="s">
        <v>188</v>
      </c>
      <c r="K183" s="78"/>
      <c r="L183" s="78"/>
      <c r="M183" s="78"/>
      <c r="N183" s="79"/>
      <c r="O183" s="78"/>
      <c r="Q183" s="30" t="n">
        <f aca="false">IFERROR(MATCH($B$4&amp;"|- Lane "&amp;D183&amp;" - "&amp;B183&amp;"|"&amp;C183,'Reguler Class Availability'!$L:$L,0),"")</f>
        <v>2520</v>
      </c>
      <c r="BD183" s="30" t="s">
        <v>79</v>
      </c>
      <c r="BE183" s="30" t="n">
        <f aca="false">IF(COUNTIFS('Reguler Class Availability'!$L:$L,$B$4&amp;"|- Lane 4 - *|"&amp;BD183)&gt;0,1,0)</f>
        <v>0</v>
      </c>
      <c r="BF183" s="30" t="n">
        <f aca="false">BE183+BF182</f>
        <v>0</v>
      </c>
    </row>
    <row r="184" customFormat="false" ht="27.75" hidden="false" customHeight="true" outlineLevel="0" collapsed="false">
      <c r="A184" s="76" t="n">
        <v>58</v>
      </c>
      <c r="B184" s="77" t="s">
        <v>115</v>
      </c>
      <c r="C184" s="76" t="s">
        <v>105</v>
      </c>
      <c r="D184" s="76" t="n">
        <v>5</v>
      </c>
      <c r="E184" s="77" t="str">
        <f aca="false">IF($Q184="","Tidak ada di data",IF(AND(IFERROR(--(INDEX('Reguler Class Availability'!$F:$F,$Q184)&amp;""),0)=0,IFERROR(--(INDEX('Reguler Class Availability'!$G:$G,$Q184)&amp;""),0)=0),"Tutup",IF(IFERROR(--(INDEX('Reguler Class Availability'!$G:$G,$Q184)&amp;""),0)&gt;IFERROR(--(INDEX('Reguler Class Availability'!$F:$F,$Q184)&amp;""),0),"Lebih",IF(IFERROR(--(INDEX('Reguler Class Availability'!$G:$G,$Q184)&amp;""),0)=IFERROR(--(INDEX('Reguler Class Availability'!$F:$F,$Q184)&amp;""),0),"Penuh",IF(IFERROR(--(INDEX('Reguler Class Availability'!$G:$G,$Q184)&amp;""),0)=0,IF(INDEX('Reguler Class Availability'!$B:$B,$Q184)&amp;""="","Kosong","Belum terisi"),IF(IFERROR(--(INDEX('Reguler Class Availability'!$G:$G,$Q184)&amp;""),0)/IFERROR(--(INDEX('Reguler Class Availability'!$F:$F,$Q184)&amp;""),0)&gt;=0.6,"Tinggi","Sebagian"))))))</f>
        <v>Kosong</v>
      </c>
      <c r="F184" s="77" t="str">
        <f aca="false">IF($Q184="","",PROPER(INDEX('Reguler Class Availability'!$B:$B,$Q184)&amp;""))</f>
        <v/>
      </c>
      <c r="G184" s="76" t="n">
        <f aca="false">IF($Q184="","",IFERROR(--(INDEX('Reguler Class Availability'!$F:$F,$Q184)&amp;""),0))</f>
        <v>4</v>
      </c>
      <c r="H184" s="77" t="str">
        <f aca="false">IF($Q184="","",PROPER(INDEX('Reguler Class Availability'!$I:$I,$Q184)&amp;"")&amp;IF(INDEX('Reguler Class Availability'!$J:$J,$Q184)&amp;""="",""," + asst "&amp;PROPER(INDEX('Reguler Class Availability'!$J:$J,$Q184)&amp;"")))</f>
        <v/>
      </c>
      <c r="I184" s="77" t="s">
        <v>513</v>
      </c>
      <c r="J184" s="77" t="s">
        <v>188</v>
      </c>
      <c r="K184" s="78"/>
      <c r="L184" s="78"/>
      <c r="M184" s="78"/>
      <c r="N184" s="79"/>
      <c r="O184" s="78"/>
      <c r="Q184" s="30" t="n">
        <f aca="false">IFERROR(MATCH($B$4&amp;"|- Lane "&amp;D184&amp;" - "&amp;B184&amp;"|"&amp;C184,'Reguler Class Availability'!$L:$L,0),"")</f>
        <v>2772</v>
      </c>
      <c r="BD184" s="30" t="s">
        <v>84</v>
      </c>
      <c r="BE184" s="30" t="n">
        <f aca="false">IF(COUNTIFS('Reguler Class Availability'!$L:$L,$B$4&amp;"|- Lane 4 - *|"&amp;BD184)&gt;0,1,0)</f>
        <v>0</v>
      </c>
      <c r="BF184" s="30" t="n">
        <f aca="false">BE184+BF183</f>
        <v>0</v>
      </c>
    </row>
    <row r="185" customFormat="false" ht="27.75" hidden="false" customHeight="true" outlineLevel="0" collapsed="false">
      <c r="A185" s="76" t="n">
        <v>59</v>
      </c>
      <c r="B185" s="77" t="s">
        <v>115</v>
      </c>
      <c r="C185" s="76" t="s">
        <v>110</v>
      </c>
      <c r="D185" s="76" t="n">
        <v>3</v>
      </c>
      <c r="E185" s="77" t="str">
        <f aca="false">IF($Q185="","Tidak ada di data",IF(AND(IFERROR(--(INDEX('Reguler Class Availability'!$F:$F,$Q185)&amp;""),0)=0,IFERROR(--(INDEX('Reguler Class Availability'!$G:$G,$Q185)&amp;""),0)=0),"Tutup",IF(IFERROR(--(INDEX('Reguler Class Availability'!$G:$G,$Q185)&amp;""),0)&gt;IFERROR(--(INDEX('Reguler Class Availability'!$F:$F,$Q185)&amp;""),0),"Lebih",IF(IFERROR(--(INDEX('Reguler Class Availability'!$G:$G,$Q185)&amp;""),0)=IFERROR(--(INDEX('Reguler Class Availability'!$F:$F,$Q185)&amp;""),0),"Penuh",IF(IFERROR(--(INDEX('Reguler Class Availability'!$G:$G,$Q185)&amp;""),0)=0,IF(INDEX('Reguler Class Availability'!$B:$B,$Q185)&amp;""="","Kosong","Belum terisi"),IF(IFERROR(--(INDEX('Reguler Class Availability'!$G:$G,$Q185)&amp;""),0)/IFERROR(--(INDEX('Reguler Class Availability'!$F:$F,$Q185)&amp;""),0)&gt;=0.6,"Tinggi","Sebagian"))))))</f>
        <v>Belum terisi</v>
      </c>
      <c r="F185" s="77" t="str">
        <f aca="false">IF($Q185="","",PROPER(INDEX('Reguler Class Availability'!$B:$B,$Q185)&amp;""))</f>
        <v>Little</v>
      </c>
      <c r="G185" s="76" t="n">
        <f aca="false">IF($Q185="","",IFERROR(--(INDEX('Reguler Class Availability'!$F:$F,$Q185)&amp;""),0))</f>
        <v>4</v>
      </c>
      <c r="H185" s="77" t="str">
        <f aca="false">IF($Q185="","",PROPER(INDEX('Reguler Class Availability'!$I:$I,$Q185)&amp;"")&amp;IF(INDEX('Reguler Class Availability'!$J:$J,$Q185)&amp;""="",""," + asst "&amp;PROPER(INDEX('Reguler Class Availability'!$J:$J,$Q185)&amp;"")))</f>
        <v/>
      </c>
      <c r="I185" s="77" t="s">
        <v>513</v>
      </c>
      <c r="J185" s="77" t="s">
        <v>188</v>
      </c>
      <c r="K185" s="78"/>
      <c r="L185" s="78"/>
      <c r="M185" s="78"/>
      <c r="N185" s="79"/>
      <c r="O185" s="78"/>
      <c r="Q185" s="30" t="n">
        <f aca="false">IFERROR(MATCH($B$4&amp;"|- Lane "&amp;D185&amp;" - "&amp;B185&amp;"|"&amp;C185,'Reguler Class Availability'!$L:$L,0),"")</f>
        <v>2604</v>
      </c>
      <c r="BD185" s="30" t="s">
        <v>85</v>
      </c>
      <c r="BE185" s="30" t="n">
        <f aca="false">IF(COUNTIFS('Reguler Class Availability'!$L:$L,$B$4&amp;"|- Lane 4 - *|"&amp;BD185)&gt;0,1,0)</f>
        <v>0</v>
      </c>
      <c r="BF185" s="30" t="n">
        <f aca="false">BE185+BF184</f>
        <v>0</v>
      </c>
    </row>
    <row r="186" customFormat="false" ht="27.75" hidden="false" customHeight="true" outlineLevel="0" collapsed="false">
      <c r="A186" s="76" t="n">
        <v>60</v>
      </c>
      <c r="B186" s="77" t="s">
        <v>115</v>
      </c>
      <c r="C186" s="76" t="s">
        <v>110</v>
      </c>
      <c r="D186" s="76" t="n">
        <v>4</v>
      </c>
      <c r="E186" s="77" t="str">
        <f aca="false">IF($Q186="","Tidak ada di data",IF(AND(IFERROR(--(INDEX('Reguler Class Availability'!$F:$F,$Q186)&amp;""),0)=0,IFERROR(--(INDEX('Reguler Class Availability'!$G:$G,$Q186)&amp;""),0)=0),"Tutup",IF(IFERROR(--(INDEX('Reguler Class Availability'!$G:$G,$Q186)&amp;""),0)&gt;IFERROR(--(INDEX('Reguler Class Availability'!$F:$F,$Q186)&amp;""),0),"Lebih",IF(IFERROR(--(INDEX('Reguler Class Availability'!$G:$G,$Q186)&amp;""),0)=IFERROR(--(INDEX('Reguler Class Availability'!$F:$F,$Q186)&amp;""),0),"Penuh",IF(IFERROR(--(INDEX('Reguler Class Availability'!$G:$G,$Q186)&amp;""),0)=0,IF(INDEX('Reguler Class Availability'!$B:$B,$Q186)&amp;""="","Kosong","Belum terisi"),IF(IFERROR(--(INDEX('Reguler Class Availability'!$G:$G,$Q186)&amp;""),0)/IFERROR(--(INDEX('Reguler Class Availability'!$F:$F,$Q186)&amp;""),0)&gt;=0.6,"Tinggi","Sebagian"))))))</f>
        <v>Belum terisi</v>
      </c>
      <c r="F186" s="77" t="str">
        <f aca="false">IF($Q186="","",PROPER(INDEX('Reguler Class Availability'!$B:$B,$Q186)&amp;""))</f>
        <v>Kids</v>
      </c>
      <c r="G186" s="76" t="n">
        <f aca="false">IF($Q186="","",IFERROR(--(INDEX('Reguler Class Availability'!$F:$F,$Q186)&amp;""),0))</f>
        <v>4</v>
      </c>
      <c r="H186" s="77" t="str">
        <f aca="false">IF($Q186="","",PROPER(INDEX('Reguler Class Availability'!$I:$I,$Q186)&amp;"")&amp;IF(INDEX('Reguler Class Availability'!$J:$J,$Q186)&amp;""="",""," + asst "&amp;PROPER(INDEX('Reguler Class Availability'!$J:$J,$Q186)&amp;"")))</f>
        <v/>
      </c>
      <c r="I186" s="77" t="s">
        <v>513</v>
      </c>
      <c r="J186" s="77" t="s">
        <v>188</v>
      </c>
      <c r="K186" s="78"/>
      <c r="L186" s="78"/>
      <c r="M186" s="78"/>
      <c r="N186" s="79"/>
      <c r="O186" s="78"/>
      <c r="Q186" s="30" t="n">
        <f aca="false">IFERROR(MATCH($B$4&amp;"|- Lane "&amp;D186&amp;" - "&amp;B186&amp;"|"&amp;C186,'Reguler Class Availability'!$L:$L,0),"")</f>
        <v>2688</v>
      </c>
      <c r="BD186" s="30" t="s">
        <v>89</v>
      </c>
      <c r="BE186" s="30" t="n">
        <f aca="false">IF(COUNTIFS('Reguler Class Availability'!$L:$L,$B$4&amp;"|- Lane 4 - *|"&amp;BD186)&gt;0,1,0)</f>
        <v>0</v>
      </c>
      <c r="BF186" s="30" t="n">
        <f aca="false">BE186+BF185</f>
        <v>0</v>
      </c>
    </row>
    <row r="187" customFormat="false" ht="27.75" hidden="false" customHeight="true" outlineLevel="0" collapsed="false">
      <c r="A187" s="76" t="n">
        <v>61</v>
      </c>
      <c r="B187" s="77" t="s">
        <v>115</v>
      </c>
      <c r="C187" s="76" t="s">
        <v>120</v>
      </c>
      <c r="D187" s="76" t="n">
        <v>1</v>
      </c>
      <c r="E187" s="77" t="str">
        <f aca="false">IF($Q187="","Tidak ada di data",IF(AND(IFERROR(--(INDEX('Reguler Class Availability'!$F:$F,$Q187)&amp;""),0)=0,IFERROR(--(INDEX('Reguler Class Availability'!$G:$G,$Q187)&amp;""),0)=0),"Tutup",IF(IFERROR(--(INDEX('Reguler Class Availability'!$G:$G,$Q187)&amp;""),0)&gt;IFERROR(--(INDEX('Reguler Class Availability'!$F:$F,$Q187)&amp;""),0),"Lebih",IF(IFERROR(--(INDEX('Reguler Class Availability'!$G:$G,$Q187)&amp;""),0)=IFERROR(--(INDEX('Reguler Class Availability'!$F:$F,$Q187)&amp;""),0),"Penuh",IF(IFERROR(--(INDEX('Reguler Class Availability'!$G:$G,$Q187)&amp;""),0)=0,IF(INDEX('Reguler Class Availability'!$B:$B,$Q187)&amp;""="","Kosong","Belum terisi"),IF(IFERROR(--(INDEX('Reguler Class Availability'!$G:$G,$Q187)&amp;""),0)/IFERROR(--(INDEX('Reguler Class Availability'!$F:$F,$Q187)&amp;""),0)&gt;=0.6,"Tinggi","Sebagian"))))))</f>
        <v>Belum terisi</v>
      </c>
      <c r="F187" s="77" t="str">
        <f aca="false">IF($Q187="","",PROPER(INDEX('Reguler Class Availability'!$B:$B,$Q187)&amp;""))</f>
        <v>Baby</v>
      </c>
      <c r="G187" s="76" t="n">
        <f aca="false">IF($Q187="","",IFERROR(--(INDEX('Reguler Class Availability'!$F:$F,$Q187)&amp;""),0))</f>
        <v>5</v>
      </c>
      <c r="H187" s="77" t="str">
        <f aca="false">IF($Q187="","",PROPER(INDEX('Reguler Class Availability'!$I:$I,$Q187)&amp;"")&amp;IF(INDEX('Reguler Class Availability'!$J:$J,$Q187)&amp;""="",""," + asst "&amp;PROPER(INDEX('Reguler Class Availability'!$J:$J,$Q187)&amp;"")))</f>
        <v/>
      </c>
      <c r="I187" s="77" t="s">
        <v>513</v>
      </c>
      <c r="J187" s="77" t="s">
        <v>188</v>
      </c>
      <c r="K187" s="78"/>
      <c r="L187" s="78"/>
      <c r="M187" s="78"/>
      <c r="N187" s="79"/>
      <c r="O187" s="78"/>
      <c r="Q187" s="30" t="n">
        <f aca="false">IFERROR(MATCH($B$4&amp;"|- Lane "&amp;D187&amp;" - "&amp;B187&amp;"|"&amp;C187,'Reguler Class Availability'!$L:$L,0),"")</f>
        <v>2423</v>
      </c>
      <c r="BD187" s="30" t="s">
        <v>90</v>
      </c>
      <c r="BE187" s="30" t="n">
        <f aca="false">IF(COUNTIFS('Reguler Class Availability'!$L:$L,$B$4&amp;"|- Lane 4 - *|"&amp;BD187)&gt;0,1,0)</f>
        <v>0</v>
      </c>
      <c r="BF187" s="30" t="n">
        <f aca="false">BE187+BF186</f>
        <v>0</v>
      </c>
    </row>
    <row r="188" customFormat="false" ht="27.75" hidden="false" customHeight="true" outlineLevel="0" collapsed="false">
      <c r="A188" s="76" t="n">
        <v>62</v>
      </c>
      <c r="B188" s="77" t="s">
        <v>115</v>
      </c>
      <c r="C188" s="76" t="s">
        <v>120</v>
      </c>
      <c r="D188" s="76" t="n">
        <v>2</v>
      </c>
      <c r="E188" s="77" t="str">
        <f aca="false">IF($Q188="","Tidak ada di data",IF(AND(IFERROR(--(INDEX('Reguler Class Availability'!$F:$F,$Q188)&amp;""),0)=0,IFERROR(--(INDEX('Reguler Class Availability'!$G:$G,$Q188)&amp;""),0)=0),"Tutup",IF(IFERROR(--(INDEX('Reguler Class Availability'!$G:$G,$Q188)&amp;""),0)&gt;IFERROR(--(INDEX('Reguler Class Availability'!$F:$F,$Q188)&amp;""),0),"Lebih",IF(IFERROR(--(INDEX('Reguler Class Availability'!$G:$G,$Q188)&amp;""),0)=IFERROR(--(INDEX('Reguler Class Availability'!$F:$F,$Q188)&amp;""),0),"Penuh",IF(IFERROR(--(INDEX('Reguler Class Availability'!$G:$G,$Q188)&amp;""),0)=0,IF(INDEX('Reguler Class Availability'!$B:$B,$Q188)&amp;""="","Kosong","Belum terisi"),IF(IFERROR(--(INDEX('Reguler Class Availability'!$G:$G,$Q188)&amp;""),0)/IFERROR(--(INDEX('Reguler Class Availability'!$F:$F,$Q188)&amp;""),0)&gt;=0.6,"Tinggi","Sebagian"))))))</f>
        <v>Belum terisi</v>
      </c>
      <c r="F188" s="77" t="str">
        <f aca="false">IF($Q188="","",PROPER(INDEX('Reguler Class Availability'!$B:$B,$Q188)&amp;""))</f>
        <v>Tiny</v>
      </c>
      <c r="G188" s="76" t="n">
        <f aca="false">IF($Q188="","",IFERROR(--(INDEX('Reguler Class Availability'!$F:$F,$Q188)&amp;""),0))</f>
        <v>5</v>
      </c>
      <c r="H188" s="77" t="str">
        <f aca="false">IF($Q188="","",PROPER(INDEX('Reguler Class Availability'!$I:$I,$Q188)&amp;"")&amp;IF(INDEX('Reguler Class Availability'!$J:$J,$Q188)&amp;""="",""," + asst "&amp;PROPER(INDEX('Reguler Class Availability'!$J:$J,$Q188)&amp;"")))</f>
        <v/>
      </c>
      <c r="I188" s="77" t="s">
        <v>513</v>
      </c>
      <c r="J188" s="77" t="s">
        <v>188</v>
      </c>
      <c r="K188" s="78"/>
      <c r="L188" s="78"/>
      <c r="M188" s="78"/>
      <c r="N188" s="79"/>
      <c r="O188" s="78"/>
      <c r="Q188" s="30" t="n">
        <f aca="false">IFERROR(MATCH($B$4&amp;"|- Lane "&amp;D188&amp;" - "&amp;B188&amp;"|"&amp;C188,'Reguler Class Availability'!$L:$L,0),"")</f>
        <v>2521</v>
      </c>
      <c r="BD188" s="30" t="s">
        <v>91</v>
      </c>
      <c r="BE188" s="30" t="n">
        <f aca="false">IF(COUNTIFS('Reguler Class Availability'!$L:$L,$B$4&amp;"|- Lane 4 - *|"&amp;BD188)&gt;0,1,0)</f>
        <v>0</v>
      </c>
      <c r="BF188" s="30" t="n">
        <f aca="false">BE188+BF187</f>
        <v>0</v>
      </c>
    </row>
    <row r="189" customFormat="false" ht="27.75" hidden="false" customHeight="true" outlineLevel="0" collapsed="false">
      <c r="A189" s="76" t="n">
        <v>63</v>
      </c>
      <c r="B189" s="77" t="s">
        <v>115</v>
      </c>
      <c r="C189" s="76" t="s">
        <v>120</v>
      </c>
      <c r="D189" s="76" t="n">
        <v>5</v>
      </c>
      <c r="E189" s="77" t="str">
        <f aca="false">IF($Q189="","Tidak ada di data",IF(AND(IFERROR(--(INDEX('Reguler Class Availability'!$F:$F,$Q189)&amp;""),0)=0,IFERROR(--(INDEX('Reguler Class Availability'!$G:$G,$Q189)&amp;""),0)=0),"Tutup",IF(IFERROR(--(INDEX('Reguler Class Availability'!$G:$G,$Q189)&amp;""),0)&gt;IFERROR(--(INDEX('Reguler Class Availability'!$F:$F,$Q189)&amp;""),0),"Lebih",IF(IFERROR(--(INDEX('Reguler Class Availability'!$G:$G,$Q189)&amp;""),0)=IFERROR(--(INDEX('Reguler Class Availability'!$F:$F,$Q189)&amp;""),0),"Penuh",IF(IFERROR(--(INDEX('Reguler Class Availability'!$G:$G,$Q189)&amp;""),0)=0,IF(INDEX('Reguler Class Availability'!$B:$B,$Q189)&amp;""="","Kosong","Belum terisi"),IF(IFERROR(--(INDEX('Reguler Class Availability'!$G:$G,$Q189)&amp;""),0)/IFERROR(--(INDEX('Reguler Class Availability'!$F:$F,$Q189)&amp;""),0)&gt;=0.6,"Tinggi","Sebagian"))))))</f>
        <v>Kosong</v>
      </c>
      <c r="F189" s="77" t="str">
        <f aca="false">IF($Q189="","",PROPER(INDEX('Reguler Class Availability'!$B:$B,$Q189)&amp;""))</f>
        <v/>
      </c>
      <c r="G189" s="76" t="n">
        <f aca="false">IF($Q189="","",IFERROR(--(INDEX('Reguler Class Availability'!$F:$F,$Q189)&amp;""),0))</f>
        <v>4</v>
      </c>
      <c r="H189" s="77" t="str">
        <f aca="false">IF($Q189="","",PROPER(INDEX('Reguler Class Availability'!$I:$I,$Q189)&amp;"")&amp;IF(INDEX('Reguler Class Availability'!$J:$J,$Q189)&amp;""="",""," + asst "&amp;PROPER(INDEX('Reguler Class Availability'!$J:$J,$Q189)&amp;"")))</f>
        <v/>
      </c>
      <c r="I189" s="77" t="s">
        <v>513</v>
      </c>
      <c r="J189" s="77" t="s">
        <v>188</v>
      </c>
      <c r="K189" s="78"/>
      <c r="L189" s="78"/>
      <c r="M189" s="78"/>
      <c r="N189" s="79"/>
      <c r="O189" s="78"/>
      <c r="Q189" s="30" t="n">
        <f aca="false">IFERROR(MATCH($B$4&amp;"|- Lane "&amp;D189&amp;" - "&amp;B189&amp;"|"&amp;C189,'Reguler Class Availability'!$L:$L,0),"")</f>
        <v>2773</v>
      </c>
      <c r="BD189" s="30" t="s">
        <v>98</v>
      </c>
      <c r="BE189" s="30" t="n">
        <f aca="false">IF(COUNTIFS('Reguler Class Availability'!$L:$L,$B$4&amp;"|- Lane 4 - *|"&amp;BD189)&gt;0,1,0)</f>
        <v>0</v>
      </c>
      <c r="BF189" s="30" t="n">
        <f aca="false">BE189+BF188</f>
        <v>0</v>
      </c>
    </row>
    <row r="190" customFormat="false" ht="27.75" hidden="false" customHeight="true" outlineLevel="0" collapsed="false">
      <c r="A190" s="76" t="n">
        <v>64</v>
      </c>
      <c r="B190" s="77" t="s">
        <v>115</v>
      </c>
      <c r="C190" s="76" t="s">
        <v>121</v>
      </c>
      <c r="D190" s="76" t="n">
        <v>3</v>
      </c>
      <c r="E190" s="77" t="str">
        <f aca="false">IF($Q190="","Tidak ada di data",IF(AND(IFERROR(--(INDEX('Reguler Class Availability'!$F:$F,$Q190)&amp;""),0)=0,IFERROR(--(INDEX('Reguler Class Availability'!$G:$G,$Q190)&amp;""),0)=0),"Tutup",IF(IFERROR(--(INDEX('Reguler Class Availability'!$G:$G,$Q190)&amp;""),0)&gt;IFERROR(--(INDEX('Reguler Class Availability'!$F:$F,$Q190)&amp;""),0),"Lebih",IF(IFERROR(--(INDEX('Reguler Class Availability'!$G:$G,$Q190)&amp;""),0)=IFERROR(--(INDEX('Reguler Class Availability'!$F:$F,$Q190)&amp;""),0),"Penuh",IF(IFERROR(--(INDEX('Reguler Class Availability'!$G:$G,$Q190)&amp;""),0)=0,IF(INDEX('Reguler Class Availability'!$B:$B,$Q190)&amp;""="","Kosong","Belum terisi"),IF(IFERROR(--(INDEX('Reguler Class Availability'!$G:$G,$Q190)&amp;""),0)/IFERROR(--(INDEX('Reguler Class Availability'!$F:$F,$Q190)&amp;""),0)&gt;=0.6,"Tinggi","Sebagian"))))))</f>
        <v>Belum terisi</v>
      </c>
      <c r="F190" s="77" t="str">
        <f aca="false">IF($Q190="","",PROPER(INDEX('Reguler Class Availability'!$B:$B,$Q190)&amp;""))</f>
        <v>Little</v>
      </c>
      <c r="G190" s="76" t="n">
        <f aca="false">IF($Q190="","",IFERROR(--(INDEX('Reguler Class Availability'!$F:$F,$Q190)&amp;""),0))</f>
        <v>4</v>
      </c>
      <c r="H190" s="77" t="str">
        <f aca="false">IF($Q190="","",PROPER(INDEX('Reguler Class Availability'!$I:$I,$Q190)&amp;"")&amp;IF(INDEX('Reguler Class Availability'!$J:$J,$Q190)&amp;""="",""," + asst "&amp;PROPER(INDEX('Reguler Class Availability'!$J:$J,$Q190)&amp;"")))</f>
        <v/>
      </c>
      <c r="I190" s="77" t="s">
        <v>513</v>
      </c>
      <c r="J190" s="77" t="s">
        <v>188</v>
      </c>
      <c r="K190" s="78"/>
      <c r="L190" s="78"/>
      <c r="M190" s="78"/>
      <c r="N190" s="79"/>
      <c r="O190" s="78"/>
      <c r="Q190" s="30" t="n">
        <f aca="false">IFERROR(MATCH($B$4&amp;"|- Lane "&amp;D190&amp;" - "&amp;B190&amp;"|"&amp;C190,'Reguler Class Availability'!$L:$L,0),"")</f>
        <v>2605</v>
      </c>
      <c r="BD190" s="30" t="s">
        <v>105</v>
      </c>
      <c r="BE190" s="30" t="n">
        <f aca="false">IF(COUNTIFS('Reguler Class Availability'!$L:$L,$B$4&amp;"|- Lane 4 - *|"&amp;BD190)&gt;0,1,0)</f>
        <v>0</v>
      </c>
      <c r="BF190" s="30" t="n">
        <f aca="false">BE190+BF189</f>
        <v>0</v>
      </c>
    </row>
    <row r="191" customFormat="false" ht="27.75" hidden="false" customHeight="true" outlineLevel="0" collapsed="false">
      <c r="A191" s="76" t="n">
        <v>65</v>
      </c>
      <c r="B191" s="77" t="s">
        <v>115</v>
      </c>
      <c r="C191" s="76" t="s">
        <v>121</v>
      </c>
      <c r="D191" s="76" t="n">
        <v>4</v>
      </c>
      <c r="E191" s="77" t="str">
        <f aca="false">IF($Q191="","Tidak ada di data",IF(AND(IFERROR(--(INDEX('Reguler Class Availability'!$F:$F,$Q191)&amp;""),0)=0,IFERROR(--(INDEX('Reguler Class Availability'!$G:$G,$Q191)&amp;""),0)=0),"Tutup",IF(IFERROR(--(INDEX('Reguler Class Availability'!$G:$G,$Q191)&amp;""),0)&gt;IFERROR(--(INDEX('Reguler Class Availability'!$F:$F,$Q191)&amp;""),0),"Lebih",IF(IFERROR(--(INDEX('Reguler Class Availability'!$G:$G,$Q191)&amp;""),0)=IFERROR(--(INDEX('Reguler Class Availability'!$F:$F,$Q191)&amp;""),0),"Penuh",IF(IFERROR(--(INDEX('Reguler Class Availability'!$G:$G,$Q191)&amp;""),0)=0,IF(INDEX('Reguler Class Availability'!$B:$B,$Q191)&amp;""="","Kosong","Belum terisi"),IF(IFERROR(--(INDEX('Reguler Class Availability'!$G:$G,$Q191)&amp;""),0)/IFERROR(--(INDEX('Reguler Class Availability'!$F:$F,$Q191)&amp;""),0)&gt;=0.6,"Tinggi","Sebagian"))))))</f>
        <v>Belum terisi</v>
      </c>
      <c r="F191" s="77" t="str">
        <f aca="false">IF($Q191="","",PROPER(INDEX('Reguler Class Availability'!$B:$B,$Q191)&amp;""))</f>
        <v>Kids</v>
      </c>
      <c r="G191" s="76" t="n">
        <f aca="false">IF($Q191="","",IFERROR(--(INDEX('Reguler Class Availability'!$F:$F,$Q191)&amp;""),0))</f>
        <v>4</v>
      </c>
      <c r="H191" s="77" t="str">
        <f aca="false">IF($Q191="","",PROPER(INDEX('Reguler Class Availability'!$I:$I,$Q191)&amp;"")&amp;IF(INDEX('Reguler Class Availability'!$J:$J,$Q191)&amp;""="",""," + asst "&amp;PROPER(INDEX('Reguler Class Availability'!$J:$J,$Q191)&amp;"")))</f>
        <v/>
      </c>
      <c r="I191" s="77" t="s">
        <v>513</v>
      </c>
      <c r="J191" s="77" t="s">
        <v>188</v>
      </c>
      <c r="K191" s="78"/>
      <c r="L191" s="78"/>
      <c r="M191" s="78"/>
      <c r="N191" s="79"/>
      <c r="O191" s="78"/>
      <c r="Q191" s="30" t="n">
        <f aca="false">IFERROR(MATCH($B$4&amp;"|- Lane "&amp;D191&amp;" - "&amp;B191&amp;"|"&amp;C191,'Reguler Class Availability'!$L:$L,0),"")</f>
        <v>2689</v>
      </c>
      <c r="BD191" s="30" t="s">
        <v>110</v>
      </c>
      <c r="BE191" s="30" t="n">
        <f aca="false">IF(COUNTIFS('Reguler Class Availability'!$L:$L,$B$4&amp;"|- Lane 4 - *|"&amp;BD191)&gt;0,1,0)</f>
        <v>1</v>
      </c>
      <c r="BF191" s="30" t="n">
        <f aca="false">BE191+BF190</f>
        <v>1</v>
      </c>
    </row>
    <row r="192" customFormat="false" ht="27.75" hidden="false" customHeight="true" outlineLevel="0" collapsed="false">
      <c r="A192" s="76" t="n">
        <v>66</v>
      </c>
      <c r="B192" s="77" t="s">
        <v>115</v>
      </c>
      <c r="C192" s="76" t="s">
        <v>123</v>
      </c>
      <c r="D192" s="76" t="n">
        <v>1</v>
      </c>
      <c r="E192" s="77" t="str">
        <f aca="false">IF($Q192="","Tidak ada di data",IF(AND(IFERROR(--(INDEX('Reguler Class Availability'!$F:$F,$Q192)&amp;""),0)=0,IFERROR(--(INDEX('Reguler Class Availability'!$G:$G,$Q192)&amp;""),0)=0),"Tutup",IF(IFERROR(--(INDEX('Reguler Class Availability'!$G:$G,$Q192)&amp;""),0)&gt;IFERROR(--(INDEX('Reguler Class Availability'!$F:$F,$Q192)&amp;""),0),"Lebih",IF(IFERROR(--(INDEX('Reguler Class Availability'!$G:$G,$Q192)&amp;""),0)=IFERROR(--(INDEX('Reguler Class Availability'!$F:$F,$Q192)&amp;""),0),"Penuh",IF(IFERROR(--(INDEX('Reguler Class Availability'!$G:$G,$Q192)&amp;""),0)=0,IF(INDEX('Reguler Class Availability'!$B:$B,$Q192)&amp;""="","Kosong","Belum terisi"),IF(IFERROR(--(INDEX('Reguler Class Availability'!$G:$G,$Q192)&amp;""),0)/IFERROR(--(INDEX('Reguler Class Availability'!$F:$F,$Q192)&amp;""),0)&gt;=0.6,"Tinggi","Sebagian"))))))</f>
        <v>Belum terisi</v>
      </c>
      <c r="F192" s="77" t="str">
        <f aca="false">IF($Q192="","",PROPER(INDEX('Reguler Class Availability'!$B:$B,$Q192)&amp;""))</f>
        <v>Baby</v>
      </c>
      <c r="G192" s="76" t="n">
        <f aca="false">IF($Q192="","",IFERROR(--(INDEX('Reguler Class Availability'!$F:$F,$Q192)&amp;""),0))</f>
        <v>5</v>
      </c>
      <c r="H192" s="77" t="str">
        <f aca="false">IF($Q192="","",PROPER(INDEX('Reguler Class Availability'!$I:$I,$Q192)&amp;"")&amp;IF(INDEX('Reguler Class Availability'!$J:$J,$Q192)&amp;""="",""," + asst "&amp;PROPER(INDEX('Reguler Class Availability'!$J:$J,$Q192)&amp;"")))</f>
        <v/>
      </c>
      <c r="I192" s="77" t="s">
        <v>516</v>
      </c>
      <c r="J192" s="77" t="s">
        <v>188</v>
      </c>
      <c r="K192" s="78"/>
      <c r="L192" s="78"/>
      <c r="M192" s="78"/>
      <c r="N192" s="79"/>
      <c r="O192" s="78"/>
      <c r="Q192" s="30" t="n">
        <f aca="false">IFERROR(MATCH($B$4&amp;"|- Lane "&amp;D192&amp;" - "&amp;B192&amp;"|"&amp;C192,'Reguler Class Availability'!$L:$L,0),"")</f>
        <v>2424</v>
      </c>
      <c r="BD192" s="30" t="s">
        <v>112</v>
      </c>
      <c r="BE192" s="30" t="n">
        <f aca="false">IF(COUNTIFS('Reguler Class Availability'!$L:$L,$B$4&amp;"|- Lane 4 - *|"&amp;BD192)&gt;0,1,0)</f>
        <v>0</v>
      </c>
      <c r="BF192" s="30" t="n">
        <f aca="false">BE192+BF191</f>
        <v>1</v>
      </c>
    </row>
    <row r="193" customFormat="false" ht="27.75" hidden="false" customHeight="true" outlineLevel="0" collapsed="false">
      <c r="A193" s="76" t="n">
        <v>67</v>
      </c>
      <c r="B193" s="77" t="s">
        <v>115</v>
      </c>
      <c r="C193" s="76" t="s">
        <v>123</v>
      </c>
      <c r="D193" s="76" t="n">
        <v>2</v>
      </c>
      <c r="E193" s="77" t="str">
        <f aca="false">IF($Q193="","Tidak ada di data",IF(AND(IFERROR(--(INDEX('Reguler Class Availability'!$F:$F,$Q193)&amp;""),0)=0,IFERROR(--(INDEX('Reguler Class Availability'!$G:$G,$Q193)&amp;""),0)=0),"Tutup",IF(IFERROR(--(INDEX('Reguler Class Availability'!$G:$G,$Q193)&amp;""),0)&gt;IFERROR(--(INDEX('Reguler Class Availability'!$F:$F,$Q193)&amp;""),0),"Lebih",IF(IFERROR(--(INDEX('Reguler Class Availability'!$G:$G,$Q193)&amp;""),0)=IFERROR(--(INDEX('Reguler Class Availability'!$F:$F,$Q193)&amp;""),0),"Penuh",IF(IFERROR(--(INDEX('Reguler Class Availability'!$G:$G,$Q193)&amp;""),0)=0,IF(INDEX('Reguler Class Availability'!$B:$B,$Q193)&amp;""="","Kosong","Belum terisi"),IF(IFERROR(--(INDEX('Reguler Class Availability'!$G:$G,$Q193)&amp;""),0)/IFERROR(--(INDEX('Reguler Class Availability'!$F:$F,$Q193)&amp;""),0)&gt;=0.6,"Tinggi","Sebagian"))))))</f>
        <v>Belum terisi</v>
      </c>
      <c r="F193" s="77" t="str">
        <f aca="false">IF($Q193="","",PROPER(INDEX('Reguler Class Availability'!$B:$B,$Q193)&amp;""))</f>
        <v>Tiny</v>
      </c>
      <c r="G193" s="76" t="n">
        <f aca="false">IF($Q193="","",IFERROR(--(INDEX('Reguler Class Availability'!$F:$F,$Q193)&amp;""),0))</f>
        <v>5</v>
      </c>
      <c r="H193" s="77" t="str">
        <f aca="false">IF($Q193="","",PROPER(INDEX('Reguler Class Availability'!$I:$I,$Q193)&amp;"")&amp;IF(INDEX('Reguler Class Availability'!$J:$J,$Q193)&amp;""="",""," + asst "&amp;PROPER(INDEX('Reguler Class Availability'!$J:$J,$Q193)&amp;"")))</f>
        <v/>
      </c>
      <c r="I193" s="77" t="s">
        <v>516</v>
      </c>
      <c r="J193" s="77" t="s">
        <v>188</v>
      </c>
      <c r="K193" s="78"/>
      <c r="L193" s="78"/>
      <c r="M193" s="78"/>
      <c r="N193" s="79"/>
      <c r="O193" s="78"/>
      <c r="Q193" s="30" t="n">
        <f aca="false">IFERROR(MATCH($B$4&amp;"|- Lane "&amp;D193&amp;" - "&amp;B193&amp;"|"&amp;C193,'Reguler Class Availability'!$L:$L,0),"")</f>
        <v>2522</v>
      </c>
      <c r="BD193" s="30" t="s">
        <v>120</v>
      </c>
      <c r="BE193" s="30" t="n">
        <f aca="false">IF(COUNTIFS('Reguler Class Availability'!$L:$L,$B$4&amp;"|- Lane 4 - *|"&amp;BD193)&gt;0,1,0)</f>
        <v>0</v>
      </c>
      <c r="BF193" s="30" t="n">
        <f aca="false">BE193+BF192</f>
        <v>1</v>
      </c>
    </row>
    <row r="194" customFormat="false" ht="27.75" hidden="false" customHeight="true" outlineLevel="0" collapsed="false">
      <c r="A194" s="76" t="n">
        <v>68</v>
      </c>
      <c r="B194" s="77" t="s">
        <v>115</v>
      </c>
      <c r="C194" s="76" t="s">
        <v>123</v>
      </c>
      <c r="D194" s="76" t="n">
        <v>5</v>
      </c>
      <c r="E194" s="77" t="str">
        <f aca="false">IF($Q194="","Tidak ada di data",IF(AND(IFERROR(--(INDEX('Reguler Class Availability'!$F:$F,$Q194)&amp;""),0)=0,IFERROR(--(INDEX('Reguler Class Availability'!$G:$G,$Q194)&amp;""),0)=0),"Tutup",IF(IFERROR(--(INDEX('Reguler Class Availability'!$G:$G,$Q194)&amp;""),0)&gt;IFERROR(--(INDEX('Reguler Class Availability'!$F:$F,$Q194)&amp;""),0),"Lebih",IF(IFERROR(--(INDEX('Reguler Class Availability'!$G:$G,$Q194)&amp;""),0)=IFERROR(--(INDEX('Reguler Class Availability'!$F:$F,$Q194)&amp;""),0),"Penuh",IF(IFERROR(--(INDEX('Reguler Class Availability'!$G:$G,$Q194)&amp;""),0)=0,IF(INDEX('Reguler Class Availability'!$B:$B,$Q194)&amp;""="","Kosong","Belum terisi"),IF(IFERROR(--(INDEX('Reguler Class Availability'!$G:$G,$Q194)&amp;""),0)/IFERROR(--(INDEX('Reguler Class Availability'!$F:$F,$Q194)&amp;""),0)&gt;=0.6,"Tinggi","Sebagian"))))))</f>
        <v>Kosong</v>
      </c>
      <c r="F194" s="77" t="str">
        <f aca="false">IF($Q194="","",PROPER(INDEX('Reguler Class Availability'!$B:$B,$Q194)&amp;""))</f>
        <v/>
      </c>
      <c r="G194" s="76" t="n">
        <f aca="false">IF($Q194="","",IFERROR(--(INDEX('Reguler Class Availability'!$F:$F,$Q194)&amp;""),0))</f>
        <v>4</v>
      </c>
      <c r="H194" s="77" t="str">
        <f aca="false">IF($Q194="","",PROPER(INDEX('Reguler Class Availability'!$I:$I,$Q194)&amp;"")&amp;IF(INDEX('Reguler Class Availability'!$J:$J,$Q194)&amp;""="",""," + asst "&amp;PROPER(INDEX('Reguler Class Availability'!$J:$J,$Q194)&amp;"")))</f>
        <v/>
      </c>
      <c r="I194" s="77" t="s">
        <v>516</v>
      </c>
      <c r="J194" s="77" t="s">
        <v>188</v>
      </c>
      <c r="K194" s="78"/>
      <c r="L194" s="78"/>
      <c r="M194" s="78"/>
      <c r="N194" s="79"/>
      <c r="O194" s="78"/>
      <c r="Q194" s="30" t="n">
        <f aca="false">IFERROR(MATCH($B$4&amp;"|- Lane "&amp;D194&amp;" - "&amp;B194&amp;"|"&amp;C194,'Reguler Class Availability'!$L:$L,0),"")</f>
        <v>2774</v>
      </c>
      <c r="BD194" s="30" t="s">
        <v>121</v>
      </c>
      <c r="BE194" s="30" t="n">
        <f aca="false">IF(COUNTIFS('Reguler Class Availability'!$L:$L,$B$4&amp;"|- Lane 4 - *|"&amp;BD194)&gt;0,1,0)</f>
        <v>1</v>
      </c>
      <c r="BF194" s="30" t="n">
        <f aca="false">BE194+BF193</f>
        <v>2</v>
      </c>
    </row>
    <row r="195" customFormat="false" ht="27.75" hidden="false" customHeight="true" outlineLevel="0" collapsed="false">
      <c r="A195" s="76" t="n">
        <v>69</v>
      </c>
      <c r="B195" s="77" t="s">
        <v>115</v>
      </c>
      <c r="C195" s="76" t="s">
        <v>124</v>
      </c>
      <c r="D195" s="76" t="n">
        <v>4</v>
      </c>
      <c r="E195" s="77" t="str">
        <f aca="false">IF($Q195="","Tidak ada di data",IF(AND(IFERROR(--(INDEX('Reguler Class Availability'!$F:$F,$Q195)&amp;""),0)=0,IFERROR(--(INDEX('Reguler Class Availability'!$G:$G,$Q195)&amp;""),0)=0),"Tutup",IF(IFERROR(--(INDEX('Reguler Class Availability'!$G:$G,$Q195)&amp;""),0)&gt;IFERROR(--(INDEX('Reguler Class Availability'!$F:$F,$Q195)&amp;""),0),"Lebih",IF(IFERROR(--(INDEX('Reguler Class Availability'!$G:$G,$Q195)&amp;""),0)=IFERROR(--(INDEX('Reguler Class Availability'!$F:$F,$Q195)&amp;""),0),"Penuh",IF(IFERROR(--(INDEX('Reguler Class Availability'!$G:$G,$Q195)&amp;""),0)=0,IF(INDEX('Reguler Class Availability'!$B:$B,$Q195)&amp;""="","Kosong","Belum terisi"),IF(IFERROR(--(INDEX('Reguler Class Availability'!$G:$G,$Q195)&amp;""),0)/IFERROR(--(INDEX('Reguler Class Availability'!$F:$F,$Q195)&amp;""),0)&gt;=0.6,"Tinggi","Sebagian"))))))</f>
        <v>Belum terisi</v>
      </c>
      <c r="F195" s="77" t="str">
        <f aca="false">IF($Q195="","",PROPER(INDEX('Reguler Class Availability'!$B:$B,$Q195)&amp;""))</f>
        <v>Kids</v>
      </c>
      <c r="G195" s="76" t="n">
        <f aca="false">IF($Q195="","",IFERROR(--(INDEX('Reguler Class Availability'!$F:$F,$Q195)&amp;""),0))</f>
        <v>4</v>
      </c>
      <c r="H195" s="77" t="str">
        <f aca="false">IF($Q195="","",PROPER(INDEX('Reguler Class Availability'!$I:$I,$Q195)&amp;"")&amp;IF(INDEX('Reguler Class Availability'!$J:$J,$Q195)&amp;""="",""," + asst "&amp;PROPER(INDEX('Reguler Class Availability'!$J:$J,$Q195)&amp;"")))</f>
        <v/>
      </c>
      <c r="I195" s="77" t="s">
        <v>516</v>
      </c>
      <c r="J195" s="77" t="s">
        <v>188</v>
      </c>
      <c r="K195" s="78"/>
      <c r="L195" s="78"/>
      <c r="M195" s="78"/>
      <c r="N195" s="79"/>
      <c r="O195" s="78"/>
      <c r="Q195" s="30" t="n">
        <f aca="false">IFERROR(MATCH($B$4&amp;"|- Lane "&amp;D195&amp;" - "&amp;B195&amp;"|"&amp;C195,'Reguler Class Availability'!$L:$L,0),"")</f>
        <v>2690</v>
      </c>
      <c r="BD195" s="30" t="s">
        <v>122</v>
      </c>
      <c r="BE195" s="30" t="n">
        <f aca="false">IF(COUNTIFS('Reguler Class Availability'!$L:$L,$B$4&amp;"|- Lane 4 - *|"&amp;BD195)&gt;0,1,0)</f>
        <v>0</v>
      </c>
      <c r="BF195" s="30" t="n">
        <f aca="false">BE195+BF194</f>
        <v>2</v>
      </c>
    </row>
    <row r="196" customFormat="false" ht="27.75" hidden="false" customHeight="true" outlineLevel="0" collapsed="false">
      <c r="A196" s="76" t="n">
        <v>70</v>
      </c>
      <c r="B196" s="77" t="s">
        <v>115</v>
      </c>
      <c r="C196" s="76" t="s">
        <v>126</v>
      </c>
      <c r="D196" s="76" t="n">
        <v>1</v>
      </c>
      <c r="E196" s="77" t="str">
        <f aca="false">IF($Q196="","Tidak ada di data",IF(AND(IFERROR(--(INDEX('Reguler Class Availability'!$F:$F,$Q196)&amp;""),0)=0,IFERROR(--(INDEX('Reguler Class Availability'!$G:$G,$Q196)&amp;""),0)=0),"Tutup",IF(IFERROR(--(INDEX('Reguler Class Availability'!$G:$G,$Q196)&amp;""),0)&gt;IFERROR(--(INDEX('Reguler Class Availability'!$F:$F,$Q196)&amp;""),0),"Lebih",IF(IFERROR(--(INDEX('Reguler Class Availability'!$G:$G,$Q196)&amp;""),0)=IFERROR(--(INDEX('Reguler Class Availability'!$F:$F,$Q196)&amp;""),0),"Penuh",IF(IFERROR(--(INDEX('Reguler Class Availability'!$G:$G,$Q196)&amp;""),0)=0,IF(INDEX('Reguler Class Availability'!$B:$B,$Q196)&amp;""="","Kosong","Belum terisi"),IF(IFERROR(--(INDEX('Reguler Class Availability'!$G:$G,$Q196)&amp;""),0)/IFERROR(--(INDEX('Reguler Class Availability'!$F:$F,$Q196)&amp;""),0)&gt;=0.6,"Tinggi","Sebagian"))))))</f>
        <v>Belum terisi</v>
      </c>
      <c r="F196" s="77" t="str">
        <f aca="false">IF($Q196="","",PROPER(INDEX('Reguler Class Availability'!$B:$B,$Q196)&amp;""))</f>
        <v>Baby</v>
      </c>
      <c r="G196" s="76" t="n">
        <f aca="false">IF($Q196="","",IFERROR(--(INDEX('Reguler Class Availability'!$F:$F,$Q196)&amp;""),0))</f>
        <v>5</v>
      </c>
      <c r="H196" s="77" t="str">
        <f aca="false">IF($Q196="","",PROPER(INDEX('Reguler Class Availability'!$I:$I,$Q196)&amp;"")&amp;IF(INDEX('Reguler Class Availability'!$J:$J,$Q196)&amp;""="",""," + asst "&amp;PROPER(INDEX('Reguler Class Availability'!$J:$J,$Q196)&amp;"")))</f>
        <v/>
      </c>
      <c r="I196" s="77" t="s">
        <v>516</v>
      </c>
      <c r="J196" s="77" t="s">
        <v>188</v>
      </c>
      <c r="K196" s="78"/>
      <c r="L196" s="78"/>
      <c r="M196" s="78"/>
      <c r="N196" s="79"/>
      <c r="O196" s="78"/>
      <c r="Q196" s="30" t="n">
        <f aca="false">IFERROR(MATCH($B$4&amp;"|- Lane "&amp;D196&amp;" - "&amp;B196&amp;"|"&amp;C196,'Reguler Class Availability'!$L:$L,0),"")</f>
        <v>2425</v>
      </c>
      <c r="BD196" s="30" t="s">
        <v>123</v>
      </c>
      <c r="BE196" s="30" t="n">
        <f aca="false">IF(COUNTIFS('Reguler Class Availability'!$L:$L,$B$4&amp;"|- Lane 4 - *|"&amp;BD196)&gt;0,1,0)</f>
        <v>0</v>
      </c>
      <c r="BF196" s="30" t="n">
        <f aca="false">BE196+BF195</f>
        <v>2</v>
      </c>
    </row>
    <row r="197" customFormat="false" ht="27.75" hidden="false" customHeight="true" outlineLevel="0" collapsed="false">
      <c r="A197" s="76" t="n">
        <v>71</v>
      </c>
      <c r="B197" s="77" t="s">
        <v>115</v>
      </c>
      <c r="C197" s="76" t="s">
        <v>126</v>
      </c>
      <c r="D197" s="76" t="n">
        <v>2</v>
      </c>
      <c r="E197" s="77" t="str">
        <f aca="false">IF($Q197="","Tidak ada di data",IF(AND(IFERROR(--(INDEX('Reguler Class Availability'!$F:$F,$Q197)&amp;""),0)=0,IFERROR(--(INDEX('Reguler Class Availability'!$G:$G,$Q197)&amp;""),0)=0),"Tutup",IF(IFERROR(--(INDEX('Reguler Class Availability'!$G:$G,$Q197)&amp;""),0)&gt;IFERROR(--(INDEX('Reguler Class Availability'!$F:$F,$Q197)&amp;""),0),"Lebih",IF(IFERROR(--(INDEX('Reguler Class Availability'!$G:$G,$Q197)&amp;""),0)=IFERROR(--(INDEX('Reguler Class Availability'!$F:$F,$Q197)&amp;""),0),"Penuh",IF(IFERROR(--(INDEX('Reguler Class Availability'!$G:$G,$Q197)&amp;""),0)=0,IF(INDEX('Reguler Class Availability'!$B:$B,$Q197)&amp;""="","Kosong","Belum terisi"),IF(IFERROR(--(INDEX('Reguler Class Availability'!$G:$G,$Q197)&amp;""),0)/IFERROR(--(INDEX('Reguler Class Availability'!$F:$F,$Q197)&amp;""),0)&gt;=0.6,"Tinggi","Sebagian"))))))</f>
        <v>Belum terisi</v>
      </c>
      <c r="F197" s="77" t="str">
        <f aca="false">IF($Q197="","",PROPER(INDEX('Reguler Class Availability'!$B:$B,$Q197)&amp;""))</f>
        <v>Tiny</v>
      </c>
      <c r="G197" s="76" t="n">
        <f aca="false">IF($Q197="","",IFERROR(--(INDEX('Reguler Class Availability'!$F:$F,$Q197)&amp;""),0))</f>
        <v>5</v>
      </c>
      <c r="H197" s="77" t="str">
        <f aca="false">IF($Q197="","",PROPER(INDEX('Reguler Class Availability'!$I:$I,$Q197)&amp;"")&amp;IF(INDEX('Reguler Class Availability'!$J:$J,$Q197)&amp;""="",""," + asst "&amp;PROPER(INDEX('Reguler Class Availability'!$J:$J,$Q197)&amp;"")))</f>
        <v/>
      </c>
      <c r="I197" s="77" t="s">
        <v>516</v>
      </c>
      <c r="J197" s="77" t="s">
        <v>188</v>
      </c>
      <c r="K197" s="78"/>
      <c r="L197" s="78"/>
      <c r="M197" s="78"/>
      <c r="N197" s="79"/>
      <c r="O197" s="78"/>
      <c r="Q197" s="30" t="n">
        <f aca="false">IFERROR(MATCH($B$4&amp;"|- Lane "&amp;D197&amp;" - "&amp;B197&amp;"|"&amp;C197,'Reguler Class Availability'!$L:$L,0),"")</f>
        <v>2523</v>
      </c>
      <c r="BD197" s="30" t="s">
        <v>124</v>
      </c>
      <c r="BE197" s="30" t="n">
        <f aca="false">IF(COUNTIFS('Reguler Class Availability'!$L:$L,$B$4&amp;"|- Lane 4 - *|"&amp;BD197)&gt;0,1,0)</f>
        <v>1</v>
      </c>
      <c r="BF197" s="30" t="n">
        <f aca="false">BE197+BF196</f>
        <v>3</v>
      </c>
    </row>
    <row r="198" customFormat="false" ht="27.75" hidden="false" customHeight="true" outlineLevel="0" collapsed="false">
      <c r="A198" s="76" t="n">
        <v>72</v>
      </c>
      <c r="B198" s="77" t="s">
        <v>115</v>
      </c>
      <c r="C198" s="76" t="s">
        <v>126</v>
      </c>
      <c r="D198" s="76" t="n">
        <v>5</v>
      </c>
      <c r="E198" s="77" t="str">
        <f aca="false">IF($Q198="","Tidak ada di data",IF(AND(IFERROR(--(INDEX('Reguler Class Availability'!$F:$F,$Q198)&amp;""),0)=0,IFERROR(--(INDEX('Reguler Class Availability'!$G:$G,$Q198)&amp;""),0)=0),"Tutup",IF(IFERROR(--(INDEX('Reguler Class Availability'!$G:$G,$Q198)&amp;""),0)&gt;IFERROR(--(INDEX('Reguler Class Availability'!$F:$F,$Q198)&amp;""),0),"Lebih",IF(IFERROR(--(INDEX('Reguler Class Availability'!$G:$G,$Q198)&amp;""),0)=IFERROR(--(INDEX('Reguler Class Availability'!$F:$F,$Q198)&amp;""),0),"Penuh",IF(IFERROR(--(INDEX('Reguler Class Availability'!$G:$G,$Q198)&amp;""),0)=0,IF(INDEX('Reguler Class Availability'!$B:$B,$Q198)&amp;""="","Kosong","Belum terisi"),IF(IFERROR(--(INDEX('Reguler Class Availability'!$G:$G,$Q198)&amp;""),0)/IFERROR(--(INDEX('Reguler Class Availability'!$F:$F,$Q198)&amp;""),0)&gt;=0.6,"Tinggi","Sebagian"))))))</f>
        <v>Kosong</v>
      </c>
      <c r="F198" s="77" t="str">
        <f aca="false">IF($Q198="","",PROPER(INDEX('Reguler Class Availability'!$B:$B,$Q198)&amp;""))</f>
        <v/>
      </c>
      <c r="G198" s="76" t="n">
        <f aca="false">IF($Q198="","",IFERROR(--(INDEX('Reguler Class Availability'!$F:$F,$Q198)&amp;""),0))</f>
        <v>4</v>
      </c>
      <c r="H198" s="77" t="str">
        <f aca="false">IF($Q198="","",PROPER(INDEX('Reguler Class Availability'!$I:$I,$Q198)&amp;"")&amp;IF(INDEX('Reguler Class Availability'!$J:$J,$Q198)&amp;""="",""," + asst "&amp;PROPER(INDEX('Reguler Class Availability'!$J:$J,$Q198)&amp;"")))</f>
        <v/>
      </c>
      <c r="I198" s="77" t="s">
        <v>516</v>
      </c>
      <c r="J198" s="77" t="s">
        <v>188</v>
      </c>
      <c r="K198" s="78"/>
      <c r="L198" s="78"/>
      <c r="M198" s="78"/>
      <c r="N198" s="79"/>
      <c r="O198" s="78"/>
      <c r="Q198" s="30" t="n">
        <f aca="false">IFERROR(MATCH($B$4&amp;"|- Lane "&amp;D198&amp;" - "&amp;B198&amp;"|"&amp;C198,'Reguler Class Availability'!$L:$L,0),"")</f>
        <v>2775</v>
      </c>
      <c r="BD198" s="30" t="s">
        <v>125</v>
      </c>
      <c r="BE198" s="30" t="n">
        <f aca="false">IF(COUNTIFS('Reguler Class Availability'!$L:$L,$B$4&amp;"|- Lane 4 - *|"&amp;BD198)&gt;0,1,0)</f>
        <v>0</v>
      </c>
      <c r="BF198" s="30" t="n">
        <f aca="false">BE198+BF197</f>
        <v>3</v>
      </c>
    </row>
    <row r="199" customFormat="false" ht="15.75" hidden="false" customHeight="true" outlineLevel="0" collapsed="false">
      <c r="A199" s="76" t="n">
        <v>73</v>
      </c>
      <c r="B199" s="77" t="s">
        <v>115</v>
      </c>
      <c r="C199" s="76" t="s">
        <v>127</v>
      </c>
      <c r="D199" s="76" t="n">
        <v>3</v>
      </c>
      <c r="E199" s="77" t="str">
        <f aca="false">IF($Q199="","Tidak ada di data",IF(AND(IFERROR(--(INDEX('Reguler Class Availability'!$F:$F,$Q199)&amp;""),0)=0,IFERROR(--(INDEX('Reguler Class Availability'!$G:$G,$Q199)&amp;""),0)=0),"Tutup",IF(IFERROR(--(INDEX('Reguler Class Availability'!$G:$G,$Q199)&amp;""),0)&gt;IFERROR(--(INDEX('Reguler Class Availability'!$F:$F,$Q199)&amp;""),0),"Lebih",IF(IFERROR(--(INDEX('Reguler Class Availability'!$G:$G,$Q199)&amp;""),0)=IFERROR(--(INDEX('Reguler Class Availability'!$F:$F,$Q199)&amp;""),0),"Penuh",IF(IFERROR(--(INDEX('Reguler Class Availability'!$G:$G,$Q199)&amp;""),0)=0,IF(INDEX('Reguler Class Availability'!$B:$B,$Q199)&amp;""="","Kosong","Belum terisi"),IF(IFERROR(--(INDEX('Reguler Class Availability'!$G:$G,$Q199)&amp;""),0)/IFERROR(--(INDEX('Reguler Class Availability'!$F:$F,$Q199)&amp;""),0)&gt;=0.6,"Tinggi","Sebagian"))))))</f>
        <v>Belum terisi</v>
      </c>
      <c r="F199" s="77" t="str">
        <f aca="false">IF($Q199="","",PROPER(INDEX('Reguler Class Availability'!$B:$B,$Q199)&amp;""))</f>
        <v>Little</v>
      </c>
      <c r="G199" s="76" t="n">
        <f aca="false">IF($Q199="","",IFERROR(--(INDEX('Reguler Class Availability'!$F:$F,$Q199)&amp;""),0))</f>
        <v>4</v>
      </c>
      <c r="H199" s="77" t="str">
        <f aca="false">IF($Q199="","",PROPER(INDEX('Reguler Class Availability'!$I:$I,$Q199)&amp;"")&amp;IF(INDEX('Reguler Class Availability'!$J:$J,$Q199)&amp;""="",""," + asst "&amp;PROPER(INDEX('Reguler Class Availability'!$J:$J,$Q199)&amp;"")))</f>
        <v/>
      </c>
      <c r="I199" s="77" t="s">
        <v>517</v>
      </c>
      <c r="J199" s="77" t="s">
        <v>260</v>
      </c>
      <c r="K199" s="78"/>
      <c r="L199" s="78"/>
      <c r="M199" s="78"/>
      <c r="N199" s="79"/>
      <c r="O199" s="78"/>
      <c r="Q199" s="30" t="n">
        <f aca="false">IFERROR(MATCH($B$4&amp;"|- Lane "&amp;D199&amp;" - "&amp;B199&amp;"|"&amp;C199,'Reguler Class Availability'!$L:$L,0),"")</f>
        <v>2607</v>
      </c>
      <c r="BD199" s="30" t="s">
        <v>126</v>
      </c>
      <c r="BE199" s="30" t="n">
        <f aca="false">IF(COUNTIFS('Reguler Class Availability'!$L:$L,$B$4&amp;"|- Lane 4 - *|"&amp;BD199)&gt;0,1,0)</f>
        <v>0</v>
      </c>
      <c r="BF199" s="30" t="n">
        <f aca="false">BE199+BF198</f>
        <v>3</v>
      </c>
    </row>
    <row r="200" customFormat="false" ht="15.75" hidden="false" customHeight="true" outlineLevel="0" collapsed="false">
      <c r="A200" s="76" t="n">
        <v>74</v>
      </c>
      <c r="B200" s="77" t="s">
        <v>115</v>
      </c>
      <c r="C200" s="76" t="s">
        <v>127</v>
      </c>
      <c r="D200" s="76" t="n">
        <v>4</v>
      </c>
      <c r="E200" s="77" t="str">
        <f aca="false">IF($Q200="","Tidak ada di data",IF(AND(IFERROR(--(INDEX('Reguler Class Availability'!$F:$F,$Q200)&amp;""),0)=0,IFERROR(--(INDEX('Reguler Class Availability'!$G:$G,$Q200)&amp;""),0)=0),"Tutup",IF(IFERROR(--(INDEX('Reguler Class Availability'!$G:$G,$Q200)&amp;""),0)&gt;IFERROR(--(INDEX('Reguler Class Availability'!$F:$F,$Q200)&amp;""),0),"Lebih",IF(IFERROR(--(INDEX('Reguler Class Availability'!$G:$G,$Q200)&amp;""),0)=IFERROR(--(INDEX('Reguler Class Availability'!$F:$F,$Q200)&amp;""),0),"Penuh",IF(IFERROR(--(INDEX('Reguler Class Availability'!$G:$G,$Q200)&amp;""),0)=0,IF(INDEX('Reguler Class Availability'!$B:$B,$Q200)&amp;""="","Kosong","Belum terisi"),IF(IFERROR(--(INDEX('Reguler Class Availability'!$G:$G,$Q200)&amp;""),0)/IFERROR(--(INDEX('Reguler Class Availability'!$F:$F,$Q200)&amp;""),0)&gt;=0.6,"Tinggi","Sebagian"))))))</f>
        <v>Belum terisi</v>
      </c>
      <c r="F200" s="77" t="str">
        <f aca="false">IF($Q200="","",PROPER(INDEX('Reguler Class Availability'!$B:$B,$Q200)&amp;""))</f>
        <v>Kids</v>
      </c>
      <c r="G200" s="76" t="n">
        <f aca="false">IF($Q200="","",IFERROR(--(INDEX('Reguler Class Availability'!$F:$F,$Q200)&amp;""),0))</f>
        <v>4</v>
      </c>
      <c r="H200" s="77" t="str">
        <f aca="false">IF($Q200="","",PROPER(INDEX('Reguler Class Availability'!$I:$I,$Q200)&amp;"")&amp;IF(INDEX('Reguler Class Availability'!$J:$J,$Q200)&amp;""="",""," + asst "&amp;PROPER(INDEX('Reguler Class Availability'!$J:$J,$Q200)&amp;"")))</f>
        <v/>
      </c>
      <c r="I200" s="77" t="s">
        <v>517</v>
      </c>
      <c r="J200" s="77" t="s">
        <v>260</v>
      </c>
      <c r="K200" s="78"/>
      <c r="L200" s="78"/>
      <c r="M200" s="78"/>
      <c r="N200" s="79"/>
      <c r="O200" s="78"/>
      <c r="Q200" s="30" t="n">
        <f aca="false">IFERROR(MATCH($B$4&amp;"|- Lane "&amp;D200&amp;" - "&amp;B200&amp;"|"&amp;C200,'Reguler Class Availability'!$L:$L,0),"")</f>
        <v>2691</v>
      </c>
      <c r="BD200" s="30" t="s">
        <v>127</v>
      </c>
      <c r="BE200" s="30" t="n">
        <f aca="false">IF(COUNTIFS('Reguler Class Availability'!$L:$L,$B$4&amp;"|- Lane 4 - *|"&amp;BD200)&gt;0,1,0)</f>
        <v>1</v>
      </c>
      <c r="BF200" s="30" t="n">
        <f aca="false">BE200+BF199</f>
        <v>4</v>
      </c>
    </row>
    <row r="201" customFormat="false" ht="15.75" hidden="false" customHeight="true" outlineLevel="0" collapsed="false">
      <c r="A201" s="76" t="n">
        <v>75</v>
      </c>
      <c r="B201" s="77" t="s">
        <v>115</v>
      </c>
      <c r="C201" s="76" t="s">
        <v>129</v>
      </c>
      <c r="D201" s="76" t="n">
        <v>2</v>
      </c>
      <c r="E201" s="77" t="str">
        <f aca="false">IF($Q201="","Tidak ada di data",IF(AND(IFERROR(--(INDEX('Reguler Class Availability'!$F:$F,$Q201)&amp;""),0)=0,IFERROR(--(INDEX('Reguler Class Availability'!$G:$G,$Q201)&amp;""),0)=0),"Tutup",IF(IFERROR(--(INDEX('Reguler Class Availability'!$G:$G,$Q201)&amp;""),0)&gt;IFERROR(--(INDEX('Reguler Class Availability'!$F:$F,$Q201)&amp;""),0),"Lebih",IF(IFERROR(--(INDEX('Reguler Class Availability'!$G:$G,$Q201)&amp;""),0)=IFERROR(--(INDEX('Reguler Class Availability'!$F:$F,$Q201)&amp;""),0),"Penuh",IF(IFERROR(--(INDEX('Reguler Class Availability'!$G:$G,$Q201)&amp;""),0)=0,IF(INDEX('Reguler Class Availability'!$B:$B,$Q201)&amp;""="","Kosong","Belum terisi"),IF(IFERROR(--(INDEX('Reguler Class Availability'!$G:$G,$Q201)&amp;""),0)/IFERROR(--(INDEX('Reguler Class Availability'!$F:$F,$Q201)&amp;""),0)&gt;=0.6,"Tinggi","Sebagian"))))))</f>
        <v>Belum terisi</v>
      </c>
      <c r="F201" s="77" t="str">
        <f aca="false">IF($Q201="","",PROPER(INDEX('Reguler Class Availability'!$B:$B,$Q201)&amp;""))</f>
        <v>Tiny</v>
      </c>
      <c r="G201" s="76" t="n">
        <f aca="false">IF($Q201="","",IFERROR(--(INDEX('Reguler Class Availability'!$F:$F,$Q201)&amp;""),0))</f>
        <v>5</v>
      </c>
      <c r="H201" s="77" t="str">
        <f aca="false">IF($Q201="","",PROPER(INDEX('Reguler Class Availability'!$I:$I,$Q201)&amp;"")&amp;IF(INDEX('Reguler Class Availability'!$J:$J,$Q201)&amp;""="",""," + asst "&amp;PROPER(INDEX('Reguler Class Availability'!$J:$J,$Q201)&amp;"")))</f>
        <v/>
      </c>
      <c r="I201" s="77" t="s">
        <v>518</v>
      </c>
      <c r="J201" s="77" t="s">
        <v>198</v>
      </c>
      <c r="K201" s="78"/>
      <c r="L201" s="78"/>
      <c r="M201" s="78"/>
      <c r="N201" s="79"/>
      <c r="O201" s="78"/>
      <c r="Q201" s="30" t="n">
        <f aca="false">IFERROR(MATCH($B$4&amp;"|- Lane "&amp;D201&amp;" - "&amp;B201&amp;"|"&amp;C201,'Reguler Class Availability'!$L:$L,0),"")</f>
        <v>2524</v>
      </c>
      <c r="BD201" s="30" t="s">
        <v>128</v>
      </c>
      <c r="BE201" s="30" t="n">
        <f aca="false">IF(COUNTIFS('Reguler Class Availability'!$L:$L,$B$4&amp;"|- Lane 4 - *|"&amp;BD201)&gt;0,1,0)</f>
        <v>0</v>
      </c>
      <c r="BF201" s="30" t="n">
        <f aca="false">BE201+BF200</f>
        <v>4</v>
      </c>
    </row>
    <row r="202" customFormat="false" ht="15.75" hidden="false" customHeight="true" outlineLevel="0" collapsed="false">
      <c r="A202" s="76" t="n">
        <v>76</v>
      </c>
      <c r="B202" s="77" t="s">
        <v>115</v>
      </c>
      <c r="C202" s="76" t="s">
        <v>129</v>
      </c>
      <c r="D202" s="76" t="n">
        <v>5</v>
      </c>
      <c r="E202" s="77" t="str">
        <f aca="false">IF($Q202="","Tidak ada di data",IF(AND(IFERROR(--(INDEX('Reguler Class Availability'!$F:$F,$Q202)&amp;""),0)=0,IFERROR(--(INDEX('Reguler Class Availability'!$G:$G,$Q202)&amp;""),0)=0),"Tutup",IF(IFERROR(--(INDEX('Reguler Class Availability'!$G:$G,$Q202)&amp;""),0)&gt;IFERROR(--(INDEX('Reguler Class Availability'!$F:$F,$Q202)&amp;""),0),"Lebih",IF(IFERROR(--(INDEX('Reguler Class Availability'!$G:$G,$Q202)&amp;""),0)=IFERROR(--(INDEX('Reguler Class Availability'!$F:$F,$Q202)&amp;""),0),"Penuh",IF(IFERROR(--(INDEX('Reguler Class Availability'!$G:$G,$Q202)&amp;""),0)=0,IF(INDEX('Reguler Class Availability'!$B:$B,$Q202)&amp;""="","Kosong","Belum terisi"),IF(IFERROR(--(INDEX('Reguler Class Availability'!$G:$G,$Q202)&amp;""),0)/IFERROR(--(INDEX('Reguler Class Availability'!$F:$F,$Q202)&amp;""),0)&gt;=0.6,"Tinggi","Sebagian"))))))</f>
        <v>Kosong</v>
      </c>
      <c r="F202" s="77" t="str">
        <f aca="false">IF($Q202="","",PROPER(INDEX('Reguler Class Availability'!$B:$B,$Q202)&amp;""))</f>
        <v/>
      </c>
      <c r="G202" s="76" t="n">
        <f aca="false">IF($Q202="","",IFERROR(--(INDEX('Reguler Class Availability'!$F:$F,$Q202)&amp;""),0))</f>
        <v>4</v>
      </c>
      <c r="H202" s="77" t="str">
        <f aca="false">IF($Q202="","",PROPER(INDEX('Reguler Class Availability'!$I:$I,$Q202)&amp;"")&amp;IF(INDEX('Reguler Class Availability'!$J:$J,$Q202)&amp;""="",""," + asst "&amp;PROPER(INDEX('Reguler Class Availability'!$J:$J,$Q202)&amp;"")))</f>
        <v/>
      </c>
      <c r="I202" s="77" t="s">
        <v>518</v>
      </c>
      <c r="J202" s="77" t="s">
        <v>260</v>
      </c>
      <c r="K202" s="78"/>
      <c r="L202" s="78"/>
      <c r="M202" s="78"/>
      <c r="N202" s="79"/>
      <c r="O202" s="78"/>
      <c r="Q202" s="30" t="n">
        <f aca="false">IFERROR(MATCH($B$4&amp;"|- Lane "&amp;D202&amp;" - "&amp;B202&amp;"|"&amp;C202,'Reguler Class Availability'!$L:$L,0),"")</f>
        <v>2776</v>
      </c>
      <c r="BD202" s="30" t="s">
        <v>129</v>
      </c>
      <c r="BE202" s="30" t="n">
        <f aca="false">IF(COUNTIFS('Reguler Class Availability'!$L:$L,$B$4&amp;"|- Lane 4 - *|"&amp;BD202)&gt;0,1,0)</f>
        <v>0</v>
      </c>
      <c r="BF202" s="30" t="n">
        <f aca="false">BE202+BF201</f>
        <v>4</v>
      </c>
    </row>
    <row r="203" customFormat="false" ht="15.75" hidden="false" customHeight="true" outlineLevel="0" collapsed="false">
      <c r="A203" s="76" t="n">
        <v>77</v>
      </c>
      <c r="B203" s="77" t="s">
        <v>115</v>
      </c>
      <c r="C203" s="76" t="s">
        <v>130</v>
      </c>
      <c r="D203" s="76" t="n">
        <v>4</v>
      </c>
      <c r="E203" s="77" t="str">
        <f aca="false">IF($Q203="","Tidak ada di data",IF(AND(IFERROR(--(INDEX('Reguler Class Availability'!$F:$F,$Q203)&amp;""),0)=0,IFERROR(--(INDEX('Reguler Class Availability'!$G:$G,$Q203)&amp;""),0)=0),"Tutup",IF(IFERROR(--(INDEX('Reguler Class Availability'!$G:$G,$Q203)&amp;""),0)&gt;IFERROR(--(INDEX('Reguler Class Availability'!$F:$F,$Q203)&amp;""),0),"Lebih",IF(IFERROR(--(INDEX('Reguler Class Availability'!$G:$G,$Q203)&amp;""),0)=IFERROR(--(INDEX('Reguler Class Availability'!$F:$F,$Q203)&amp;""),0),"Penuh",IF(IFERROR(--(INDEX('Reguler Class Availability'!$G:$G,$Q203)&amp;""),0)=0,IF(INDEX('Reguler Class Availability'!$B:$B,$Q203)&amp;""="","Kosong","Belum terisi"),IF(IFERROR(--(INDEX('Reguler Class Availability'!$G:$G,$Q203)&amp;""),0)/IFERROR(--(INDEX('Reguler Class Availability'!$F:$F,$Q203)&amp;""),0)&gt;=0.6,"Tinggi","Sebagian"))))))</f>
        <v>Belum terisi</v>
      </c>
      <c r="F203" s="77" t="str">
        <f aca="false">IF($Q203="","",PROPER(INDEX('Reguler Class Availability'!$B:$B,$Q203)&amp;""))</f>
        <v>Kids</v>
      </c>
      <c r="G203" s="76" t="n">
        <f aca="false">IF($Q203="","",IFERROR(--(INDEX('Reguler Class Availability'!$F:$F,$Q203)&amp;""),0))</f>
        <v>4</v>
      </c>
      <c r="H203" s="77" t="str">
        <f aca="false">IF($Q203="","",PROPER(INDEX('Reguler Class Availability'!$I:$I,$Q203)&amp;"")&amp;IF(INDEX('Reguler Class Availability'!$J:$J,$Q203)&amp;""="",""," + asst "&amp;PROPER(INDEX('Reguler Class Availability'!$J:$J,$Q203)&amp;"")))</f>
        <v/>
      </c>
      <c r="I203" s="77" t="s">
        <v>518</v>
      </c>
      <c r="J203" s="77" t="s">
        <v>260</v>
      </c>
      <c r="K203" s="78"/>
      <c r="L203" s="78"/>
      <c r="M203" s="78"/>
      <c r="N203" s="79"/>
      <c r="O203" s="78"/>
      <c r="Q203" s="30" t="n">
        <f aca="false">IFERROR(MATCH($B$4&amp;"|- Lane "&amp;D203&amp;" - "&amp;B203&amp;"|"&amp;C203,'Reguler Class Availability'!$L:$L,0),"")</f>
        <v>2692</v>
      </c>
      <c r="BD203" s="30" t="s">
        <v>130</v>
      </c>
      <c r="BE203" s="30" t="n">
        <f aca="false">IF(COUNTIFS('Reguler Class Availability'!$L:$L,$B$4&amp;"|- Lane 4 - *|"&amp;BD203)&gt;0,1,0)</f>
        <v>1</v>
      </c>
      <c r="BF203" s="30" t="n">
        <f aca="false">BE203+BF202</f>
        <v>5</v>
      </c>
    </row>
    <row r="204" customFormat="false" ht="27.75" hidden="false" customHeight="true" outlineLevel="0" collapsed="false">
      <c r="A204" s="76" t="n">
        <v>78</v>
      </c>
      <c r="B204" s="77" t="s">
        <v>115</v>
      </c>
      <c r="C204" s="76" t="s">
        <v>132</v>
      </c>
      <c r="D204" s="76" t="n">
        <v>1</v>
      </c>
      <c r="E204" s="77" t="str">
        <f aca="false">IF($Q204="","Tidak ada di data",IF(AND(IFERROR(--(INDEX('Reguler Class Availability'!$F:$F,$Q204)&amp;""),0)=0,IFERROR(--(INDEX('Reguler Class Availability'!$G:$G,$Q204)&amp;""),0)=0),"Tutup",IF(IFERROR(--(INDEX('Reguler Class Availability'!$G:$G,$Q204)&amp;""),0)&gt;IFERROR(--(INDEX('Reguler Class Availability'!$F:$F,$Q204)&amp;""),0),"Lebih",IF(IFERROR(--(INDEX('Reguler Class Availability'!$G:$G,$Q204)&amp;""),0)=IFERROR(--(INDEX('Reguler Class Availability'!$F:$F,$Q204)&amp;""),0),"Penuh",IF(IFERROR(--(INDEX('Reguler Class Availability'!$G:$G,$Q204)&amp;""),0)=0,IF(INDEX('Reguler Class Availability'!$B:$B,$Q204)&amp;""="","Kosong","Belum terisi"),IF(IFERROR(--(INDEX('Reguler Class Availability'!$G:$G,$Q204)&amp;""),0)/IFERROR(--(INDEX('Reguler Class Availability'!$F:$F,$Q204)&amp;""),0)&gt;=0.6,"Tinggi","Sebagian"))))))</f>
        <v>Belum terisi</v>
      </c>
      <c r="F204" s="77" t="str">
        <f aca="false">IF($Q204="","",PROPER(INDEX('Reguler Class Availability'!$B:$B,$Q204)&amp;""))</f>
        <v>Baby</v>
      </c>
      <c r="G204" s="76" t="n">
        <f aca="false">IF($Q204="","",IFERROR(--(INDEX('Reguler Class Availability'!$F:$F,$Q204)&amp;""),0))</f>
        <v>5</v>
      </c>
      <c r="H204" s="77" t="str">
        <f aca="false">IF($Q204="","",PROPER(INDEX('Reguler Class Availability'!$I:$I,$Q204)&amp;"")&amp;IF(INDEX('Reguler Class Availability'!$J:$J,$Q204)&amp;""="",""," + asst "&amp;PROPER(INDEX('Reguler Class Availability'!$J:$J,$Q204)&amp;"")))</f>
        <v/>
      </c>
      <c r="I204" s="77" t="s">
        <v>516</v>
      </c>
      <c r="J204" s="77" t="s">
        <v>188</v>
      </c>
      <c r="K204" s="78"/>
      <c r="L204" s="78"/>
      <c r="M204" s="78"/>
      <c r="N204" s="79"/>
      <c r="O204" s="78"/>
      <c r="Q204" s="30" t="n">
        <f aca="false">IFERROR(MATCH($B$4&amp;"|- Lane "&amp;D204&amp;" - "&amp;B204&amp;"|"&amp;C204,'Reguler Class Availability'!$L:$L,0),"")</f>
        <v>2427</v>
      </c>
      <c r="BD204" s="30" t="s">
        <v>131</v>
      </c>
      <c r="BE204" s="30" t="n">
        <f aca="false">IF(COUNTIFS('Reguler Class Availability'!$L:$L,$B$4&amp;"|- Lane 4 - *|"&amp;BD204)&gt;0,1,0)</f>
        <v>0</v>
      </c>
      <c r="BF204" s="30" t="n">
        <f aca="false">BE204+BF203</f>
        <v>5</v>
      </c>
    </row>
    <row r="205" customFormat="false" ht="27.75" hidden="false" customHeight="true" outlineLevel="0" collapsed="false">
      <c r="A205" s="76" t="n">
        <v>79</v>
      </c>
      <c r="B205" s="77" t="s">
        <v>115</v>
      </c>
      <c r="C205" s="76" t="s">
        <v>132</v>
      </c>
      <c r="D205" s="76" t="n">
        <v>2</v>
      </c>
      <c r="E205" s="77" t="str">
        <f aca="false">IF($Q205="","Tidak ada di data",IF(AND(IFERROR(--(INDEX('Reguler Class Availability'!$F:$F,$Q205)&amp;""),0)=0,IFERROR(--(INDEX('Reguler Class Availability'!$G:$G,$Q205)&amp;""),0)=0),"Tutup",IF(IFERROR(--(INDEX('Reguler Class Availability'!$G:$G,$Q205)&amp;""),0)&gt;IFERROR(--(INDEX('Reguler Class Availability'!$F:$F,$Q205)&amp;""),0),"Lebih",IF(IFERROR(--(INDEX('Reguler Class Availability'!$G:$G,$Q205)&amp;""),0)=IFERROR(--(INDEX('Reguler Class Availability'!$F:$F,$Q205)&amp;""),0),"Penuh",IF(IFERROR(--(INDEX('Reguler Class Availability'!$G:$G,$Q205)&amp;""),0)=0,IF(INDEX('Reguler Class Availability'!$B:$B,$Q205)&amp;""="","Kosong","Belum terisi"),IF(IFERROR(--(INDEX('Reguler Class Availability'!$G:$G,$Q205)&amp;""),0)/IFERROR(--(INDEX('Reguler Class Availability'!$F:$F,$Q205)&amp;""),0)&gt;=0.6,"Tinggi","Sebagian"))))))</f>
        <v>Belum terisi</v>
      </c>
      <c r="F205" s="77" t="str">
        <f aca="false">IF($Q205="","",PROPER(INDEX('Reguler Class Availability'!$B:$B,$Q205)&amp;""))</f>
        <v>Tiny</v>
      </c>
      <c r="G205" s="76" t="n">
        <f aca="false">IF($Q205="","",IFERROR(--(INDEX('Reguler Class Availability'!$F:$F,$Q205)&amp;""),0))</f>
        <v>5</v>
      </c>
      <c r="H205" s="77" t="str">
        <f aca="false">IF($Q205="","",PROPER(INDEX('Reguler Class Availability'!$I:$I,$Q205)&amp;"")&amp;IF(INDEX('Reguler Class Availability'!$J:$J,$Q205)&amp;""="",""," + asst "&amp;PROPER(INDEX('Reguler Class Availability'!$J:$J,$Q205)&amp;"")))</f>
        <v/>
      </c>
      <c r="I205" s="77" t="s">
        <v>516</v>
      </c>
      <c r="J205" s="77" t="s">
        <v>188</v>
      </c>
      <c r="K205" s="78"/>
      <c r="L205" s="78"/>
      <c r="M205" s="78"/>
      <c r="N205" s="79"/>
      <c r="O205" s="78"/>
      <c r="Q205" s="30" t="n">
        <f aca="false">IFERROR(MATCH($B$4&amp;"|- Lane "&amp;D205&amp;" - "&amp;B205&amp;"|"&amp;C205,'Reguler Class Availability'!$L:$L,0),"")</f>
        <v>2525</v>
      </c>
      <c r="BD205" s="30" t="s">
        <v>132</v>
      </c>
      <c r="BE205" s="30" t="n">
        <f aca="false">IF(COUNTIFS('Reguler Class Availability'!$L:$L,$B$4&amp;"|- Lane 4 - *|"&amp;BD205)&gt;0,1,0)</f>
        <v>0</v>
      </c>
      <c r="BF205" s="30" t="n">
        <f aca="false">BE205+BF204</f>
        <v>5</v>
      </c>
    </row>
    <row r="206" customFormat="false" ht="27.75" hidden="false" customHeight="true" outlineLevel="0" collapsed="false">
      <c r="A206" s="76" t="n">
        <v>80</v>
      </c>
      <c r="B206" s="77" t="s">
        <v>115</v>
      </c>
      <c r="C206" s="76" t="s">
        <v>132</v>
      </c>
      <c r="D206" s="76" t="n">
        <v>5</v>
      </c>
      <c r="E206" s="77" t="str">
        <f aca="false">IF($Q206="","Tidak ada di data",IF(AND(IFERROR(--(INDEX('Reguler Class Availability'!$F:$F,$Q206)&amp;""),0)=0,IFERROR(--(INDEX('Reguler Class Availability'!$G:$G,$Q206)&amp;""),0)=0),"Tutup",IF(IFERROR(--(INDEX('Reguler Class Availability'!$G:$G,$Q206)&amp;""),0)&gt;IFERROR(--(INDEX('Reguler Class Availability'!$F:$F,$Q206)&amp;""),0),"Lebih",IF(IFERROR(--(INDEX('Reguler Class Availability'!$G:$G,$Q206)&amp;""),0)=IFERROR(--(INDEX('Reguler Class Availability'!$F:$F,$Q206)&amp;""),0),"Penuh",IF(IFERROR(--(INDEX('Reguler Class Availability'!$G:$G,$Q206)&amp;""),0)=0,IF(INDEX('Reguler Class Availability'!$B:$B,$Q206)&amp;""="","Kosong","Belum terisi"),IF(IFERROR(--(INDEX('Reguler Class Availability'!$G:$G,$Q206)&amp;""),0)/IFERROR(--(INDEX('Reguler Class Availability'!$F:$F,$Q206)&amp;""),0)&gt;=0.6,"Tinggi","Sebagian"))))))</f>
        <v>Kosong</v>
      </c>
      <c r="F206" s="77" t="str">
        <f aca="false">IF($Q206="","",PROPER(INDEX('Reguler Class Availability'!$B:$B,$Q206)&amp;""))</f>
        <v/>
      </c>
      <c r="G206" s="76" t="n">
        <f aca="false">IF($Q206="","",IFERROR(--(INDEX('Reguler Class Availability'!$F:$F,$Q206)&amp;""),0))</f>
        <v>4</v>
      </c>
      <c r="H206" s="77" t="str">
        <f aca="false">IF($Q206="","",PROPER(INDEX('Reguler Class Availability'!$I:$I,$Q206)&amp;"")&amp;IF(INDEX('Reguler Class Availability'!$J:$J,$Q206)&amp;""="",""," + asst "&amp;PROPER(INDEX('Reguler Class Availability'!$J:$J,$Q206)&amp;"")))</f>
        <v/>
      </c>
      <c r="I206" s="77" t="s">
        <v>516</v>
      </c>
      <c r="J206" s="77" t="s">
        <v>188</v>
      </c>
      <c r="K206" s="78"/>
      <c r="L206" s="78"/>
      <c r="M206" s="78"/>
      <c r="N206" s="79"/>
      <c r="O206" s="78"/>
      <c r="Q206" s="30" t="n">
        <f aca="false">IFERROR(MATCH($B$4&amp;"|- Lane "&amp;D206&amp;" - "&amp;B206&amp;"|"&amp;C206,'Reguler Class Availability'!$L:$L,0),"")</f>
        <v>2777</v>
      </c>
      <c r="BD206" s="30" t="s">
        <v>133</v>
      </c>
      <c r="BE206" s="30" t="n">
        <f aca="false">IF(COUNTIFS('Reguler Class Availability'!$L:$L,$B$4&amp;"|- Lane 4 - *|"&amp;BD206)&gt;0,1,0)</f>
        <v>1</v>
      </c>
      <c r="BF206" s="30" t="n">
        <f aca="false">BE206+BF205</f>
        <v>6</v>
      </c>
    </row>
    <row r="207" customFormat="false" ht="27.75" hidden="false" customHeight="true" outlineLevel="0" collapsed="false">
      <c r="A207" s="76" t="n">
        <v>81</v>
      </c>
      <c r="B207" s="77" t="s">
        <v>115</v>
      </c>
      <c r="C207" s="76" t="s">
        <v>133</v>
      </c>
      <c r="D207" s="76" t="n">
        <v>3</v>
      </c>
      <c r="E207" s="77" t="str">
        <f aca="false">IF($Q207="","Tidak ada di data",IF(AND(IFERROR(--(INDEX('Reguler Class Availability'!$F:$F,$Q207)&amp;""),0)=0,IFERROR(--(INDEX('Reguler Class Availability'!$G:$G,$Q207)&amp;""),0)=0),"Tutup",IF(IFERROR(--(INDEX('Reguler Class Availability'!$G:$G,$Q207)&amp;""),0)&gt;IFERROR(--(INDEX('Reguler Class Availability'!$F:$F,$Q207)&amp;""),0),"Lebih",IF(IFERROR(--(INDEX('Reguler Class Availability'!$G:$G,$Q207)&amp;""),0)=IFERROR(--(INDEX('Reguler Class Availability'!$F:$F,$Q207)&amp;""),0),"Penuh",IF(IFERROR(--(INDEX('Reguler Class Availability'!$G:$G,$Q207)&amp;""),0)=0,IF(INDEX('Reguler Class Availability'!$B:$B,$Q207)&amp;""="","Kosong","Belum terisi"),IF(IFERROR(--(INDEX('Reguler Class Availability'!$G:$G,$Q207)&amp;""),0)/IFERROR(--(INDEX('Reguler Class Availability'!$F:$F,$Q207)&amp;""),0)&gt;=0.6,"Tinggi","Sebagian"))))))</f>
        <v>Belum terisi</v>
      </c>
      <c r="F207" s="77" t="str">
        <f aca="false">IF($Q207="","",PROPER(INDEX('Reguler Class Availability'!$B:$B,$Q207)&amp;""))</f>
        <v>Little</v>
      </c>
      <c r="G207" s="76" t="n">
        <f aca="false">IF($Q207="","",IFERROR(--(INDEX('Reguler Class Availability'!$F:$F,$Q207)&amp;""),0))</f>
        <v>4</v>
      </c>
      <c r="H207" s="77" t="str">
        <f aca="false">IF($Q207="","",PROPER(INDEX('Reguler Class Availability'!$I:$I,$Q207)&amp;"")&amp;IF(INDEX('Reguler Class Availability'!$J:$J,$Q207)&amp;""="",""," + asst "&amp;PROPER(INDEX('Reguler Class Availability'!$J:$J,$Q207)&amp;"")))</f>
        <v/>
      </c>
      <c r="I207" s="77" t="s">
        <v>513</v>
      </c>
      <c r="J207" s="77" t="s">
        <v>188</v>
      </c>
      <c r="K207" s="78"/>
      <c r="L207" s="78"/>
      <c r="M207" s="78"/>
      <c r="N207" s="79"/>
      <c r="O207" s="78"/>
      <c r="Q207" s="30" t="n">
        <f aca="false">IFERROR(MATCH($B$4&amp;"|- Lane "&amp;D207&amp;" - "&amp;B207&amp;"|"&amp;C207,'Reguler Class Availability'!$L:$L,0),"")</f>
        <v>2609</v>
      </c>
      <c r="BD207" s="30" t="s">
        <v>134</v>
      </c>
      <c r="BE207" s="30" t="n">
        <f aca="false">IF(COUNTIFS('Reguler Class Availability'!$L:$L,$B$4&amp;"|- Lane 4 - *|"&amp;BD207)&gt;0,1,0)</f>
        <v>0</v>
      </c>
      <c r="BF207" s="30" t="n">
        <f aca="false">BE207+BF206</f>
        <v>6</v>
      </c>
    </row>
    <row r="208" customFormat="false" ht="27.75" hidden="false" customHeight="true" outlineLevel="0" collapsed="false">
      <c r="A208" s="76" t="n">
        <v>82</v>
      </c>
      <c r="B208" s="77" t="s">
        <v>115</v>
      </c>
      <c r="C208" s="76" t="s">
        <v>133</v>
      </c>
      <c r="D208" s="76" t="n">
        <v>4</v>
      </c>
      <c r="E208" s="77" t="str">
        <f aca="false">IF($Q208="","Tidak ada di data",IF(AND(IFERROR(--(INDEX('Reguler Class Availability'!$F:$F,$Q208)&amp;""),0)=0,IFERROR(--(INDEX('Reguler Class Availability'!$G:$G,$Q208)&amp;""),0)=0),"Tutup",IF(IFERROR(--(INDEX('Reguler Class Availability'!$G:$G,$Q208)&amp;""),0)&gt;IFERROR(--(INDEX('Reguler Class Availability'!$F:$F,$Q208)&amp;""),0),"Lebih",IF(IFERROR(--(INDEX('Reguler Class Availability'!$G:$G,$Q208)&amp;""),0)=IFERROR(--(INDEX('Reguler Class Availability'!$F:$F,$Q208)&amp;""),0),"Penuh",IF(IFERROR(--(INDEX('Reguler Class Availability'!$G:$G,$Q208)&amp;""),0)=0,IF(INDEX('Reguler Class Availability'!$B:$B,$Q208)&amp;""="","Kosong","Belum terisi"),IF(IFERROR(--(INDEX('Reguler Class Availability'!$G:$G,$Q208)&amp;""),0)/IFERROR(--(INDEX('Reguler Class Availability'!$F:$F,$Q208)&amp;""),0)&gt;=0.6,"Tinggi","Sebagian"))))))</f>
        <v>Belum terisi</v>
      </c>
      <c r="F208" s="77" t="str">
        <f aca="false">IF($Q208="","",PROPER(INDEX('Reguler Class Availability'!$B:$B,$Q208)&amp;""))</f>
        <v>Kids</v>
      </c>
      <c r="G208" s="76" t="n">
        <f aca="false">IF($Q208="","",IFERROR(--(INDEX('Reguler Class Availability'!$F:$F,$Q208)&amp;""),0))</f>
        <v>4</v>
      </c>
      <c r="H208" s="77" t="str">
        <f aca="false">IF($Q208="","",PROPER(INDEX('Reguler Class Availability'!$I:$I,$Q208)&amp;"")&amp;IF(INDEX('Reguler Class Availability'!$J:$J,$Q208)&amp;""="",""," + asst "&amp;PROPER(INDEX('Reguler Class Availability'!$J:$J,$Q208)&amp;"")))</f>
        <v/>
      </c>
      <c r="I208" s="77" t="s">
        <v>513</v>
      </c>
      <c r="J208" s="77" t="s">
        <v>188</v>
      </c>
      <c r="K208" s="78"/>
      <c r="L208" s="78"/>
      <c r="M208" s="78"/>
      <c r="N208" s="79"/>
      <c r="O208" s="78"/>
      <c r="Q208" s="30" t="n">
        <f aca="false">IFERROR(MATCH($B$4&amp;"|- Lane "&amp;D208&amp;" - "&amp;B208&amp;"|"&amp;C208,'Reguler Class Availability'!$L:$L,0),"")</f>
        <v>2693</v>
      </c>
      <c r="BD208" s="30" t="s">
        <v>135</v>
      </c>
      <c r="BE208" s="30" t="n">
        <f aca="false">IF(COUNTIFS('Reguler Class Availability'!$L:$L,$B$4&amp;"|- Lane 4 - *|"&amp;BD208)&gt;0,1,0)</f>
        <v>0</v>
      </c>
      <c r="BF208" s="30" t="n">
        <f aca="false">BE208+BF207</f>
        <v>6</v>
      </c>
    </row>
    <row r="209" customFormat="false" ht="27.75" hidden="false" customHeight="true" outlineLevel="0" collapsed="false">
      <c r="A209" s="76" t="n">
        <v>83</v>
      </c>
      <c r="B209" s="77" t="s">
        <v>115</v>
      </c>
      <c r="C209" s="76" t="s">
        <v>139</v>
      </c>
      <c r="D209" s="76" t="n">
        <v>1</v>
      </c>
      <c r="E209" s="77" t="str">
        <f aca="false">IF($Q209="","Tidak ada di data",IF(AND(IFERROR(--(INDEX('Reguler Class Availability'!$F:$F,$Q209)&amp;""),0)=0,IFERROR(--(INDEX('Reguler Class Availability'!$G:$G,$Q209)&amp;""),0)=0),"Tutup",IF(IFERROR(--(INDEX('Reguler Class Availability'!$G:$G,$Q209)&amp;""),0)&gt;IFERROR(--(INDEX('Reguler Class Availability'!$F:$F,$Q209)&amp;""),0),"Lebih",IF(IFERROR(--(INDEX('Reguler Class Availability'!$G:$G,$Q209)&amp;""),0)=IFERROR(--(INDEX('Reguler Class Availability'!$F:$F,$Q209)&amp;""),0),"Penuh",IF(IFERROR(--(INDEX('Reguler Class Availability'!$G:$G,$Q209)&amp;""),0)=0,IF(INDEX('Reguler Class Availability'!$B:$B,$Q209)&amp;""="","Kosong","Belum terisi"),IF(IFERROR(--(INDEX('Reguler Class Availability'!$G:$G,$Q209)&amp;""),0)/IFERROR(--(INDEX('Reguler Class Availability'!$F:$F,$Q209)&amp;""),0)&gt;=0.6,"Tinggi","Sebagian"))))))</f>
        <v>Belum terisi</v>
      </c>
      <c r="F209" s="77" t="str">
        <f aca="false">IF($Q209="","",PROPER(INDEX('Reguler Class Availability'!$B:$B,$Q209)&amp;""))</f>
        <v>Baby</v>
      </c>
      <c r="G209" s="76" t="n">
        <f aca="false">IF($Q209="","",IFERROR(--(INDEX('Reguler Class Availability'!$F:$F,$Q209)&amp;""),0))</f>
        <v>5</v>
      </c>
      <c r="H209" s="77" t="str">
        <f aca="false">IF($Q209="","",PROPER(INDEX('Reguler Class Availability'!$I:$I,$Q209)&amp;"")&amp;IF(INDEX('Reguler Class Availability'!$J:$J,$Q209)&amp;""="",""," + asst "&amp;PROPER(INDEX('Reguler Class Availability'!$J:$J,$Q209)&amp;"")))</f>
        <v/>
      </c>
      <c r="I209" s="77" t="s">
        <v>513</v>
      </c>
      <c r="J209" s="77" t="s">
        <v>188</v>
      </c>
      <c r="K209" s="78"/>
      <c r="L209" s="78"/>
      <c r="M209" s="78"/>
      <c r="N209" s="79"/>
      <c r="O209" s="78"/>
      <c r="Q209" s="30" t="n">
        <f aca="false">IFERROR(MATCH($B$4&amp;"|- Lane "&amp;D209&amp;" - "&amp;B209&amp;"|"&amp;C209,'Reguler Class Availability'!$L:$L,0),"")</f>
        <v>2428</v>
      </c>
      <c r="BD209" s="30" t="s">
        <v>136</v>
      </c>
      <c r="BE209" s="30" t="n">
        <f aca="false">IF(COUNTIFS('Reguler Class Availability'!$L:$L,$B$4&amp;"|- Lane 4 - *|"&amp;BD209)&gt;0,1,0)</f>
        <v>0</v>
      </c>
      <c r="BF209" s="30" t="n">
        <f aca="false">BE209+BF208</f>
        <v>6</v>
      </c>
    </row>
    <row r="210" customFormat="false" ht="27.75" hidden="false" customHeight="true" outlineLevel="0" collapsed="false">
      <c r="A210" s="76" t="n">
        <v>84</v>
      </c>
      <c r="B210" s="77" t="s">
        <v>115</v>
      </c>
      <c r="C210" s="76" t="s">
        <v>139</v>
      </c>
      <c r="D210" s="76" t="n">
        <v>2</v>
      </c>
      <c r="E210" s="77" t="str">
        <f aca="false">IF($Q210="","Tidak ada di data",IF(AND(IFERROR(--(INDEX('Reguler Class Availability'!$F:$F,$Q210)&amp;""),0)=0,IFERROR(--(INDEX('Reguler Class Availability'!$G:$G,$Q210)&amp;""),0)=0),"Tutup",IF(IFERROR(--(INDEX('Reguler Class Availability'!$G:$G,$Q210)&amp;""),0)&gt;IFERROR(--(INDEX('Reguler Class Availability'!$F:$F,$Q210)&amp;""),0),"Lebih",IF(IFERROR(--(INDEX('Reguler Class Availability'!$G:$G,$Q210)&amp;""),0)=IFERROR(--(INDEX('Reguler Class Availability'!$F:$F,$Q210)&amp;""),0),"Penuh",IF(IFERROR(--(INDEX('Reguler Class Availability'!$G:$G,$Q210)&amp;""),0)=0,IF(INDEX('Reguler Class Availability'!$B:$B,$Q210)&amp;""="","Kosong","Belum terisi"),IF(IFERROR(--(INDEX('Reguler Class Availability'!$G:$G,$Q210)&amp;""),0)/IFERROR(--(INDEX('Reguler Class Availability'!$F:$F,$Q210)&amp;""),0)&gt;=0.6,"Tinggi","Sebagian"))))))</f>
        <v>Belum terisi</v>
      </c>
      <c r="F210" s="77" t="str">
        <f aca="false">IF($Q210="","",PROPER(INDEX('Reguler Class Availability'!$B:$B,$Q210)&amp;""))</f>
        <v>Tiny</v>
      </c>
      <c r="G210" s="76" t="n">
        <f aca="false">IF($Q210="","",IFERROR(--(INDEX('Reguler Class Availability'!$F:$F,$Q210)&amp;""),0))</f>
        <v>5</v>
      </c>
      <c r="H210" s="77" t="str">
        <f aca="false">IF($Q210="","",PROPER(INDEX('Reguler Class Availability'!$I:$I,$Q210)&amp;"")&amp;IF(INDEX('Reguler Class Availability'!$J:$J,$Q210)&amp;""="",""," + asst "&amp;PROPER(INDEX('Reguler Class Availability'!$J:$J,$Q210)&amp;"")))</f>
        <v/>
      </c>
      <c r="I210" s="77" t="s">
        <v>513</v>
      </c>
      <c r="J210" s="77" t="s">
        <v>188</v>
      </c>
      <c r="K210" s="78"/>
      <c r="L210" s="78"/>
      <c r="M210" s="78"/>
      <c r="N210" s="79"/>
      <c r="O210" s="78"/>
      <c r="Q210" s="30" t="n">
        <f aca="false">IFERROR(MATCH($B$4&amp;"|- Lane "&amp;D210&amp;" - "&amp;B210&amp;"|"&amp;C210,'Reguler Class Availability'!$L:$L,0),"")</f>
        <v>2526</v>
      </c>
      <c r="BD210" s="30" t="s">
        <v>138</v>
      </c>
      <c r="BE210" s="30" t="n">
        <f aca="false">IF(COUNTIFS('Reguler Class Availability'!$L:$L,$B$4&amp;"|- Lane 4 - *|"&amp;BD210)&gt;0,1,0)</f>
        <v>0</v>
      </c>
      <c r="BF210" s="30" t="n">
        <f aca="false">BE210+BF209</f>
        <v>6</v>
      </c>
    </row>
    <row r="211" customFormat="false" ht="27.75" hidden="false" customHeight="true" outlineLevel="0" collapsed="false">
      <c r="A211" s="76" t="n">
        <v>85</v>
      </c>
      <c r="B211" s="77" t="s">
        <v>115</v>
      </c>
      <c r="C211" s="76" t="s">
        <v>139</v>
      </c>
      <c r="D211" s="76" t="n">
        <v>5</v>
      </c>
      <c r="E211" s="77" t="str">
        <f aca="false">IF($Q211="","Tidak ada di data",IF(AND(IFERROR(--(INDEX('Reguler Class Availability'!$F:$F,$Q211)&amp;""),0)=0,IFERROR(--(INDEX('Reguler Class Availability'!$G:$G,$Q211)&amp;""),0)=0),"Tutup",IF(IFERROR(--(INDEX('Reguler Class Availability'!$G:$G,$Q211)&amp;""),0)&gt;IFERROR(--(INDEX('Reguler Class Availability'!$F:$F,$Q211)&amp;""),0),"Lebih",IF(IFERROR(--(INDEX('Reguler Class Availability'!$G:$G,$Q211)&amp;""),0)=IFERROR(--(INDEX('Reguler Class Availability'!$F:$F,$Q211)&amp;""),0),"Penuh",IF(IFERROR(--(INDEX('Reguler Class Availability'!$G:$G,$Q211)&amp;""),0)=0,IF(INDEX('Reguler Class Availability'!$B:$B,$Q211)&amp;""="","Kosong","Belum terisi"),IF(IFERROR(--(INDEX('Reguler Class Availability'!$G:$G,$Q211)&amp;""),0)/IFERROR(--(INDEX('Reguler Class Availability'!$F:$F,$Q211)&amp;""),0)&gt;=0.6,"Tinggi","Sebagian"))))))</f>
        <v>Kosong</v>
      </c>
      <c r="F211" s="77" t="str">
        <f aca="false">IF($Q211="","",PROPER(INDEX('Reguler Class Availability'!$B:$B,$Q211)&amp;""))</f>
        <v/>
      </c>
      <c r="G211" s="76" t="n">
        <f aca="false">IF($Q211="","",IFERROR(--(INDEX('Reguler Class Availability'!$F:$F,$Q211)&amp;""),0))</f>
        <v>4</v>
      </c>
      <c r="H211" s="77" t="str">
        <f aca="false">IF($Q211="","",PROPER(INDEX('Reguler Class Availability'!$I:$I,$Q211)&amp;"")&amp;IF(INDEX('Reguler Class Availability'!$J:$J,$Q211)&amp;""="",""," + asst "&amp;PROPER(INDEX('Reguler Class Availability'!$J:$J,$Q211)&amp;"")))</f>
        <v/>
      </c>
      <c r="I211" s="77" t="s">
        <v>513</v>
      </c>
      <c r="J211" s="77" t="s">
        <v>188</v>
      </c>
      <c r="K211" s="78"/>
      <c r="L211" s="78"/>
      <c r="M211" s="78"/>
      <c r="N211" s="79"/>
      <c r="O211" s="78"/>
      <c r="Q211" s="30" t="n">
        <f aca="false">IFERROR(MATCH($B$4&amp;"|- Lane "&amp;D211&amp;" - "&amp;B211&amp;"|"&amp;C211,'Reguler Class Availability'!$L:$L,0),"")</f>
        <v>2778</v>
      </c>
      <c r="BD211" s="30" t="s">
        <v>139</v>
      </c>
      <c r="BE211" s="30" t="n">
        <f aca="false">IF(COUNTIFS('Reguler Class Availability'!$L:$L,$B$4&amp;"|- Lane 4 - *|"&amp;BD211)&gt;0,1,0)</f>
        <v>0</v>
      </c>
      <c r="BF211" s="30" t="n">
        <f aca="false">BE211+BF210</f>
        <v>6</v>
      </c>
    </row>
    <row r="212" customFormat="false" ht="27.75" hidden="false" customHeight="true" outlineLevel="0" collapsed="false">
      <c r="A212" s="76" t="n">
        <v>86</v>
      </c>
      <c r="B212" s="77" t="s">
        <v>115</v>
      </c>
      <c r="C212" s="76" t="s">
        <v>141</v>
      </c>
      <c r="D212" s="76" t="n">
        <v>3</v>
      </c>
      <c r="E212" s="77" t="str">
        <f aca="false">IF($Q212="","Tidak ada di data",IF(AND(IFERROR(--(INDEX('Reguler Class Availability'!$F:$F,$Q212)&amp;""),0)=0,IFERROR(--(INDEX('Reguler Class Availability'!$G:$G,$Q212)&amp;""),0)=0),"Tutup",IF(IFERROR(--(INDEX('Reguler Class Availability'!$G:$G,$Q212)&amp;""),0)&gt;IFERROR(--(INDEX('Reguler Class Availability'!$F:$F,$Q212)&amp;""),0),"Lebih",IF(IFERROR(--(INDEX('Reguler Class Availability'!$G:$G,$Q212)&amp;""),0)=IFERROR(--(INDEX('Reguler Class Availability'!$F:$F,$Q212)&amp;""),0),"Penuh",IF(IFERROR(--(INDEX('Reguler Class Availability'!$G:$G,$Q212)&amp;""),0)=0,IF(INDEX('Reguler Class Availability'!$B:$B,$Q212)&amp;""="","Kosong","Belum terisi"),IF(IFERROR(--(INDEX('Reguler Class Availability'!$G:$G,$Q212)&amp;""),0)/IFERROR(--(INDEX('Reguler Class Availability'!$F:$F,$Q212)&amp;""),0)&gt;=0.6,"Tinggi","Sebagian"))))))</f>
        <v>Belum terisi</v>
      </c>
      <c r="F212" s="77" t="str">
        <f aca="false">IF($Q212="","",PROPER(INDEX('Reguler Class Availability'!$B:$B,$Q212)&amp;""))</f>
        <v>Little</v>
      </c>
      <c r="G212" s="76" t="n">
        <f aca="false">IF($Q212="","",IFERROR(--(INDEX('Reguler Class Availability'!$F:$F,$Q212)&amp;""),0))</f>
        <v>4</v>
      </c>
      <c r="H212" s="77" t="str">
        <f aca="false">IF($Q212="","",PROPER(INDEX('Reguler Class Availability'!$I:$I,$Q212)&amp;"")&amp;IF(INDEX('Reguler Class Availability'!$J:$J,$Q212)&amp;""="",""," + asst "&amp;PROPER(INDEX('Reguler Class Availability'!$J:$J,$Q212)&amp;"")))</f>
        <v/>
      </c>
      <c r="I212" s="77" t="s">
        <v>513</v>
      </c>
      <c r="J212" s="77" t="s">
        <v>188</v>
      </c>
      <c r="K212" s="78"/>
      <c r="L212" s="78"/>
      <c r="M212" s="78"/>
      <c r="N212" s="79"/>
      <c r="O212" s="78"/>
      <c r="Q212" s="30" t="n">
        <f aca="false">IFERROR(MATCH($B$4&amp;"|- Lane "&amp;D212&amp;" - "&amp;B212&amp;"|"&amp;C212,'Reguler Class Availability'!$L:$L,0),"")</f>
        <v>2610</v>
      </c>
      <c r="BD212" s="30" t="s">
        <v>141</v>
      </c>
      <c r="BE212" s="30" t="n">
        <f aca="false">IF(COUNTIFS('Reguler Class Availability'!$L:$L,$B$4&amp;"|- Lane 4 - *|"&amp;BD212)&gt;0,1,0)</f>
        <v>1</v>
      </c>
      <c r="BF212" s="30" t="n">
        <f aca="false">BE212+BF211</f>
        <v>7</v>
      </c>
    </row>
    <row r="213" customFormat="false" ht="27.75" hidden="false" customHeight="true" outlineLevel="0" collapsed="false">
      <c r="A213" s="76" t="n">
        <v>87</v>
      </c>
      <c r="B213" s="77" t="s">
        <v>115</v>
      </c>
      <c r="C213" s="76" t="s">
        <v>141</v>
      </c>
      <c r="D213" s="76" t="n">
        <v>4</v>
      </c>
      <c r="E213" s="77" t="str">
        <f aca="false">IF($Q213="","Tidak ada di data",IF(AND(IFERROR(--(INDEX('Reguler Class Availability'!$F:$F,$Q213)&amp;""),0)=0,IFERROR(--(INDEX('Reguler Class Availability'!$G:$G,$Q213)&amp;""),0)=0),"Tutup",IF(IFERROR(--(INDEX('Reguler Class Availability'!$G:$G,$Q213)&amp;""),0)&gt;IFERROR(--(INDEX('Reguler Class Availability'!$F:$F,$Q213)&amp;""),0),"Lebih",IF(IFERROR(--(INDEX('Reguler Class Availability'!$G:$G,$Q213)&amp;""),0)=IFERROR(--(INDEX('Reguler Class Availability'!$F:$F,$Q213)&amp;""),0),"Penuh",IF(IFERROR(--(INDEX('Reguler Class Availability'!$G:$G,$Q213)&amp;""),0)=0,IF(INDEX('Reguler Class Availability'!$B:$B,$Q213)&amp;""="","Kosong","Belum terisi"),IF(IFERROR(--(INDEX('Reguler Class Availability'!$G:$G,$Q213)&amp;""),0)/IFERROR(--(INDEX('Reguler Class Availability'!$F:$F,$Q213)&amp;""),0)&gt;=0.6,"Tinggi","Sebagian"))))))</f>
        <v>Belum terisi</v>
      </c>
      <c r="F213" s="77" t="str">
        <f aca="false">IF($Q213="","",PROPER(INDEX('Reguler Class Availability'!$B:$B,$Q213)&amp;""))</f>
        <v>Kids</v>
      </c>
      <c r="G213" s="76" t="n">
        <f aca="false">IF($Q213="","",IFERROR(--(INDEX('Reguler Class Availability'!$F:$F,$Q213)&amp;""),0))</f>
        <v>4</v>
      </c>
      <c r="H213" s="77" t="str">
        <f aca="false">IF($Q213="","",PROPER(INDEX('Reguler Class Availability'!$I:$I,$Q213)&amp;"")&amp;IF(INDEX('Reguler Class Availability'!$J:$J,$Q213)&amp;""="",""," + asst "&amp;PROPER(INDEX('Reguler Class Availability'!$J:$J,$Q213)&amp;"")))</f>
        <v/>
      </c>
      <c r="I213" s="77" t="s">
        <v>513</v>
      </c>
      <c r="J213" s="77" t="s">
        <v>188</v>
      </c>
      <c r="K213" s="78"/>
      <c r="L213" s="78"/>
      <c r="M213" s="78"/>
      <c r="N213" s="79"/>
      <c r="O213" s="78"/>
      <c r="Q213" s="30" t="n">
        <f aca="false">IFERROR(MATCH($B$4&amp;"|- Lane "&amp;D213&amp;" - "&amp;B213&amp;"|"&amp;C213,'Reguler Class Availability'!$L:$L,0),"")</f>
        <v>2694</v>
      </c>
      <c r="BD213" s="30" t="s">
        <v>142</v>
      </c>
      <c r="BE213" s="30" t="n">
        <f aca="false">IF(COUNTIFS('Reguler Class Availability'!$L:$L,$B$4&amp;"|- Lane 4 - *|"&amp;BD213)&gt;0,1,0)</f>
        <v>0</v>
      </c>
      <c r="BF213" s="30" t="n">
        <f aca="false">BE213+BF212</f>
        <v>7</v>
      </c>
    </row>
    <row r="214" customFormat="false" ht="27.75" hidden="false" customHeight="true" outlineLevel="0" collapsed="false">
      <c r="A214" s="76" t="n">
        <v>88</v>
      </c>
      <c r="B214" s="77" t="s">
        <v>115</v>
      </c>
      <c r="C214" s="76" t="s">
        <v>143</v>
      </c>
      <c r="D214" s="76" t="n">
        <v>1</v>
      </c>
      <c r="E214" s="77" t="str">
        <f aca="false">IF($Q214="","Tidak ada di data",IF(AND(IFERROR(--(INDEX('Reguler Class Availability'!$F:$F,$Q214)&amp;""),0)=0,IFERROR(--(INDEX('Reguler Class Availability'!$G:$G,$Q214)&amp;""),0)=0),"Tutup",IF(IFERROR(--(INDEX('Reguler Class Availability'!$G:$G,$Q214)&amp;""),0)&gt;IFERROR(--(INDEX('Reguler Class Availability'!$F:$F,$Q214)&amp;""),0),"Lebih",IF(IFERROR(--(INDEX('Reguler Class Availability'!$G:$G,$Q214)&amp;""),0)=IFERROR(--(INDEX('Reguler Class Availability'!$F:$F,$Q214)&amp;""),0),"Penuh",IF(IFERROR(--(INDEX('Reguler Class Availability'!$G:$G,$Q214)&amp;""),0)=0,IF(INDEX('Reguler Class Availability'!$B:$B,$Q214)&amp;""="","Kosong","Belum terisi"),IF(IFERROR(--(INDEX('Reguler Class Availability'!$G:$G,$Q214)&amp;""),0)/IFERROR(--(INDEX('Reguler Class Availability'!$F:$F,$Q214)&amp;""),0)&gt;=0.6,"Tinggi","Sebagian"))))))</f>
        <v>Belum terisi</v>
      </c>
      <c r="F214" s="77" t="str">
        <f aca="false">IF($Q214="","",PROPER(INDEX('Reguler Class Availability'!$B:$B,$Q214)&amp;""))</f>
        <v>Baby</v>
      </c>
      <c r="G214" s="76" t="n">
        <f aca="false">IF($Q214="","",IFERROR(--(INDEX('Reguler Class Availability'!$F:$F,$Q214)&amp;""),0))</f>
        <v>5</v>
      </c>
      <c r="H214" s="77" t="str">
        <f aca="false">IF($Q214="","",PROPER(INDEX('Reguler Class Availability'!$I:$I,$Q214)&amp;"")&amp;IF(INDEX('Reguler Class Availability'!$J:$J,$Q214)&amp;""="",""," + asst "&amp;PROPER(INDEX('Reguler Class Availability'!$J:$J,$Q214)&amp;"")))</f>
        <v/>
      </c>
      <c r="I214" s="77" t="s">
        <v>514</v>
      </c>
      <c r="J214" s="77" t="s">
        <v>188</v>
      </c>
      <c r="K214" s="78"/>
      <c r="L214" s="78"/>
      <c r="M214" s="78"/>
      <c r="N214" s="79"/>
      <c r="O214" s="78"/>
      <c r="Q214" s="30" t="n">
        <f aca="false">IFERROR(MATCH($B$4&amp;"|- Lane "&amp;D214&amp;" - "&amp;B214&amp;"|"&amp;C214,'Reguler Class Availability'!$L:$L,0),"")</f>
        <v>2429</v>
      </c>
      <c r="BD214" s="30" t="s">
        <v>143</v>
      </c>
      <c r="BE214" s="30" t="n">
        <f aca="false">IF(COUNTIFS('Reguler Class Availability'!$L:$L,$B$4&amp;"|- Lane 4 - *|"&amp;BD214)&gt;0,1,0)</f>
        <v>0</v>
      </c>
      <c r="BF214" s="30" t="n">
        <f aca="false">BE214+BF213</f>
        <v>7</v>
      </c>
    </row>
    <row r="215" customFormat="false" ht="27.75" hidden="false" customHeight="true" outlineLevel="0" collapsed="false">
      <c r="A215" s="76" t="n">
        <v>89</v>
      </c>
      <c r="B215" s="77" t="s">
        <v>115</v>
      </c>
      <c r="C215" s="76" t="s">
        <v>143</v>
      </c>
      <c r="D215" s="76" t="n">
        <v>2</v>
      </c>
      <c r="E215" s="77" t="str">
        <f aca="false">IF($Q215="","Tidak ada di data",IF(AND(IFERROR(--(INDEX('Reguler Class Availability'!$F:$F,$Q215)&amp;""),0)=0,IFERROR(--(INDEX('Reguler Class Availability'!$G:$G,$Q215)&amp;""),0)=0),"Tutup",IF(IFERROR(--(INDEX('Reguler Class Availability'!$G:$G,$Q215)&amp;""),0)&gt;IFERROR(--(INDEX('Reguler Class Availability'!$F:$F,$Q215)&amp;""),0),"Lebih",IF(IFERROR(--(INDEX('Reguler Class Availability'!$G:$G,$Q215)&amp;""),0)=IFERROR(--(INDEX('Reguler Class Availability'!$F:$F,$Q215)&amp;""),0),"Penuh",IF(IFERROR(--(INDEX('Reguler Class Availability'!$G:$G,$Q215)&amp;""),0)=0,IF(INDEX('Reguler Class Availability'!$B:$B,$Q215)&amp;""="","Kosong","Belum terisi"),IF(IFERROR(--(INDEX('Reguler Class Availability'!$G:$G,$Q215)&amp;""),0)/IFERROR(--(INDEX('Reguler Class Availability'!$F:$F,$Q215)&amp;""),0)&gt;=0.6,"Tinggi","Sebagian"))))))</f>
        <v>Belum terisi</v>
      </c>
      <c r="F215" s="77" t="str">
        <f aca="false">IF($Q215="","",PROPER(INDEX('Reguler Class Availability'!$B:$B,$Q215)&amp;""))</f>
        <v>Tiny</v>
      </c>
      <c r="G215" s="76" t="n">
        <f aca="false">IF($Q215="","",IFERROR(--(INDEX('Reguler Class Availability'!$F:$F,$Q215)&amp;""),0))</f>
        <v>5</v>
      </c>
      <c r="H215" s="77" t="str">
        <f aca="false">IF($Q215="","",PROPER(INDEX('Reguler Class Availability'!$I:$I,$Q215)&amp;"")&amp;IF(INDEX('Reguler Class Availability'!$J:$J,$Q215)&amp;""="",""," + asst "&amp;PROPER(INDEX('Reguler Class Availability'!$J:$J,$Q215)&amp;"")))</f>
        <v/>
      </c>
      <c r="I215" s="77" t="s">
        <v>514</v>
      </c>
      <c r="J215" s="77" t="s">
        <v>188</v>
      </c>
      <c r="K215" s="78"/>
      <c r="L215" s="78"/>
      <c r="M215" s="78"/>
      <c r="N215" s="79"/>
      <c r="O215" s="78"/>
      <c r="Q215" s="30" t="n">
        <f aca="false">IFERROR(MATCH($B$4&amp;"|- Lane "&amp;D215&amp;" - "&amp;B215&amp;"|"&amp;C215,'Reguler Class Availability'!$L:$L,0),"")</f>
        <v>2527</v>
      </c>
      <c r="BD215" s="30" t="s">
        <v>144</v>
      </c>
      <c r="BE215" s="30" t="n">
        <f aca="false">IF(COUNTIFS('Reguler Class Availability'!$L:$L,$B$4&amp;"|- Lane 4 - *|"&amp;BD215)&gt;0,1,0)</f>
        <v>1</v>
      </c>
      <c r="BF215" s="30" t="n">
        <f aca="false">BE215+BF214</f>
        <v>8</v>
      </c>
    </row>
    <row r="216" customFormat="false" ht="27.75" hidden="false" customHeight="true" outlineLevel="0" collapsed="false">
      <c r="A216" s="76" t="n">
        <v>90</v>
      </c>
      <c r="B216" s="77" t="s">
        <v>115</v>
      </c>
      <c r="C216" s="76" t="s">
        <v>143</v>
      </c>
      <c r="D216" s="76" t="n">
        <v>5</v>
      </c>
      <c r="E216" s="77" t="str">
        <f aca="false">IF($Q216="","Tidak ada di data",IF(AND(IFERROR(--(INDEX('Reguler Class Availability'!$F:$F,$Q216)&amp;""),0)=0,IFERROR(--(INDEX('Reguler Class Availability'!$G:$G,$Q216)&amp;""),0)=0),"Tutup",IF(IFERROR(--(INDEX('Reguler Class Availability'!$G:$G,$Q216)&amp;""),0)&gt;IFERROR(--(INDEX('Reguler Class Availability'!$F:$F,$Q216)&amp;""),0),"Lebih",IF(IFERROR(--(INDEX('Reguler Class Availability'!$G:$G,$Q216)&amp;""),0)=IFERROR(--(INDEX('Reguler Class Availability'!$F:$F,$Q216)&amp;""),0),"Penuh",IF(IFERROR(--(INDEX('Reguler Class Availability'!$G:$G,$Q216)&amp;""),0)=0,IF(INDEX('Reguler Class Availability'!$B:$B,$Q216)&amp;""="","Kosong","Belum terisi"),IF(IFERROR(--(INDEX('Reguler Class Availability'!$G:$G,$Q216)&amp;""),0)/IFERROR(--(INDEX('Reguler Class Availability'!$F:$F,$Q216)&amp;""),0)&gt;=0.6,"Tinggi","Sebagian"))))))</f>
        <v>Kosong</v>
      </c>
      <c r="F216" s="77" t="str">
        <f aca="false">IF($Q216="","",PROPER(INDEX('Reguler Class Availability'!$B:$B,$Q216)&amp;""))</f>
        <v/>
      </c>
      <c r="G216" s="76" t="n">
        <f aca="false">IF($Q216="","",IFERROR(--(INDEX('Reguler Class Availability'!$F:$F,$Q216)&amp;""),0))</f>
        <v>4</v>
      </c>
      <c r="H216" s="77" t="str">
        <f aca="false">IF($Q216="","",PROPER(INDEX('Reguler Class Availability'!$I:$I,$Q216)&amp;"")&amp;IF(INDEX('Reguler Class Availability'!$J:$J,$Q216)&amp;""="",""," + asst "&amp;PROPER(INDEX('Reguler Class Availability'!$J:$J,$Q216)&amp;"")))</f>
        <v/>
      </c>
      <c r="I216" s="77" t="s">
        <v>514</v>
      </c>
      <c r="J216" s="77" t="s">
        <v>188</v>
      </c>
      <c r="K216" s="78"/>
      <c r="L216" s="78"/>
      <c r="M216" s="78"/>
      <c r="N216" s="79"/>
      <c r="O216" s="78"/>
      <c r="Q216" s="30" t="n">
        <f aca="false">IFERROR(MATCH($B$4&amp;"|- Lane "&amp;D216&amp;" - "&amp;B216&amp;"|"&amp;C216,'Reguler Class Availability'!$L:$L,0),"")</f>
        <v>2779</v>
      </c>
      <c r="BD216" s="30" t="s">
        <v>145</v>
      </c>
      <c r="BE216" s="30" t="n">
        <f aca="false">IF(COUNTIFS('Reguler Class Availability'!$L:$L,$B$4&amp;"|- Lane 4 - *|"&amp;BD216)&gt;0,1,0)</f>
        <v>0</v>
      </c>
      <c r="BF216" s="30" t="n">
        <f aca="false">BE216+BF215</f>
        <v>8</v>
      </c>
    </row>
    <row r="217" customFormat="false" ht="27.75" hidden="false" customHeight="true" outlineLevel="0" collapsed="false">
      <c r="A217" s="76" t="n">
        <v>91</v>
      </c>
      <c r="B217" s="77" t="s">
        <v>115</v>
      </c>
      <c r="C217" s="76" t="s">
        <v>144</v>
      </c>
      <c r="D217" s="76" t="n">
        <v>3</v>
      </c>
      <c r="E217" s="77" t="str">
        <f aca="false">IF($Q217="","Tidak ada di data",IF(AND(IFERROR(--(INDEX('Reguler Class Availability'!$F:$F,$Q217)&amp;""),0)=0,IFERROR(--(INDEX('Reguler Class Availability'!$G:$G,$Q217)&amp;""),0)=0),"Tutup",IF(IFERROR(--(INDEX('Reguler Class Availability'!$G:$G,$Q217)&amp;""),0)&gt;IFERROR(--(INDEX('Reguler Class Availability'!$F:$F,$Q217)&amp;""),0),"Lebih",IF(IFERROR(--(INDEX('Reguler Class Availability'!$G:$G,$Q217)&amp;""),0)=IFERROR(--(INDEX('Reguler Class Availability'!$F:$F,$Q217)&amp;""),0),"Penuh",IF(IFERROR(--(INDEX('Reguler Class Availability'!$G:$G,$Q217)&amp;""),0)=0,IF(INDEX('Reguler Class Availability'!$B:$B,$Q217)&amp;""="","Kosong","Belum terisi"),IF(IFERROR(--(INDEX('Reguler Class Availability'!$G:$G,$Q217)&amp;""),0)/IFERROR(--(INDEX('Reguler Class Availability'!$F:$F,$Q217)&amp;""),0)&gt;=0.6,"Tinggi","Sebagian"))))))</f>
        <v>Belum terisi</v>
      </c>
      <c r="F217" s="77" t="str">
        <f aca="false">IF($Q217="","",PROPER(INDEX('Reguler Class Availability'!$B:$B,$Q217)&amp;""))</f>
        <v>Little</v>
      </c>
      <c r="G217" s="76" t="n">
        <f aca="false">IF($Q217="","",IFERROR(--(INDEX('Reguler Class Availability'!$F:$F,$Q217)&amp;""),0))</f>
        <v>4</v>
      </c>
      <c r="H217" s="77" t="str">
        <f aca="false">IF($Q217="","",PROPER(INDEX('Reguler Class Availability'!$I:$I,$Q217)&amp;"")&amp;IF(INDEX('Reguler Class Availability'!$J:$J,$Q217)&amp;""="",""," + asst "&amp;PROPER(INDEX('Reguler Class Availability'!$J:$J,$Q217)&amp;"")))</f>
        <v/>
      </c>
      <c r="I217" s="77" t="s">
        <v>514</v>
      </c>
      <c r="J217" s="77" t="s">
        <v>188</v>
      </c>
      <c r="K217" s="78"/>
      <c r="L217" s="78"/>
      <c r="M217" s="78"/>
      <c r="N217" s="79"/>
      <c r="O217" s="78"/>
      <c r="Q217" s="30" t="n">
        <f aca="false">IFERROR(MATCH($B$4&amp;"|- Lane "&amp;D217&amp;" - "&amp;B217&amp;"|"&amp;C217,'Reguler Class Availability'!$L:$L,0),"")</f>
        <v>2611</v>
      </c>
      <c r="BD217" s="30" t="s">
        <v>146</v>
      </c>
      <c r="BE217" s="30" t="n">
        <f aca="false">IF(COUNTIFS('Reguler Class Availability'!$L:$L,$B$4&amp;"|- Lane 4 - *|"&amp;BD217)&gt;0,1,0)</f>
        <v>0</v>
      </c>
      <c r="BF217" s="30" t="n">
        <f aca="false">BE217+BF216</f>
        <v>8</v>
      </c>
    </row>
    <row r="218" customFormat="false" ht="27.75" hidden="false" customHeight="true" outlineLevel="0" collapsed="false">
      <c r="A218" s="76" t="n">
        <v>92</v>
      </c>
      <c r="B218" s="77" t="s">
        <v>115</v>
      </c>
      <c r="C218" s="76" t="s">
        <v>146</v>
      </c>
      <c r="D218" s="76" t="n">
        <v>1</v>
      </c>
      <c r="E218" s="77" t="str">
        <f aca="false">IF($Q218="","Tidak ada di data",IF(AND(IFERROR(--(INDEX('Reguler Class Availability'!$F:$F,$Q218)&amp;""),0)=0,IFERROR(--(INDEX('Reguler Class Availability'!$G:$G,$Q218)&amp;""),0)=0),"Tutup",IF(IFERROR(--(INDEX('Reguler Class Availability'!$G:$G,$Q218)&amp;""),0)&gt;IFERROR(--(INDEX('Reguler Class Availability'!$F:$F,$Q218)&amp;""),0),"Lebih",IF(IFERROR(--(INDEX('Reguler Class Availability'!$G:$G,$Q218)&amp;""),0)=IFERROR(--(INDEX('Reguler Class Availability'!$F:$F,$Q218)&amp;""),0),"Penuh",IF(IFERROR(--(INDEX('Reguler Class Availability'!$G:$G,$Q218)&amp;""),0)=0,IF(INDEX('Reguler Class Availability'!$B:$B,$Q218)&amp;""="","Kosong","Belum terisi"),IF(IFERROR(--(INDEX('Reguler Class Availability'!$G:$G,$Q218)&amp;""),0)/IFERROR(--(INDEX('Reguler Class Availability'!$F:$F,$Q218)&amp;""),0)&gt;=0.6,"Tinggi","Sebagian"))))))</f>
        <v>Belum terisi</v>
      </c>
      <c r="F218" s="77" t="str">
        <f aca="false">IF($Q218="","",PROPER(INDEX('Reguler Class Availability'!$B:$B,$Q218)&amp;""))</f>
        <v>Baby</v>
      </c>
      <c r="G218" s="76" t="n">
        <f aca="false">IF($Q218="","",IFERROR(--(INDEX('Reguler Class Availability'!$F:$F,$Q218)&amp;""),0))</f>
        <v>5</v>
      </c>
      <c r="H218" s="77" t="str">
        <f aca="false">IF($Q218="","",PROPER(INDEX('Reguler Class Availability'!$I:$I,$Q218)&amp;"")&amp;IF(INDEX('Reguler Class Availability'!$J:$J,$Q218)&amp;""="",""," + asst "&amp;PROPER(INDEX('Reguler Class Availability'!$J:$J,$Q218)&amp;"")))</f>
        <v/>
      </c>
      <c r="I218" s="77" t="s">
        <v>514</v>
      </c>
      <c r="J218" s="77" t="s">
        <v>188</v>
      </c>
      <c r="K218" s="78"/>
      <c r="L218" s="78"/>
      <c r="M218" s="78"/>
      <c r="N218" s="79"/>
      <c r="O218" s="78"/>
      <c r="Q218" s="30" t="n">
        <f aca="false">IFERROR(MATCH($B$4&amp;"|- Lane "&amp;D218&amp;" - "&amp;B218&amp;"|"&amp;C218,'Reguler Class Availability'!$L:$L,0),"")</f>
        <v>2430</v>
      </c>
      <c r="BD218" s="30" t="s">
        <v>147</v>
      </c>
      <c r="BE218" s="30" t="n">
        <f aca="false">IF(COUNTIFS('Reguler Class Availability'!$L:$L,$B$4&amp;"|- Lane 4 - *|"&amp;BD218)&gt;0,1,0)</f>
        <v>1</v>
      </c>
      <c r="BF218" s="30" t="n">
        <f aca="false">BE218+BF217</f>
        <v>9</v>
      </c>
    </row>
    <row r="219" customFormat="false" ht="27.75" hidden="false" customHeight="true" outlineLevel="0" collapsed="false">
      <c r="A219" s="76" t="n">
        <v>93</v>
      </c>
      <c r="B219" s="77" t="s">
        <v>115</v>
      </c>
      <c r="C219" s="76" t="s">
        <v>146</v>
      </c>
      <c r="D219" s="76" t="n">
        <v>2</v>
      </c>
      <c r="E219" s="77" t="str">
        <f aca="false">IF($Q219="","Tidak ada di data",IF(AND(IFERROR(--(INDEX('Reguler Class Availability'!$F:$F,$Q219)&amp;""),0)=0,IFERROR(--(INDEX('Reguler Class Availability'!$G:$G,$Q219)&amp;""),0)=0),"Tutup",IF(IFERROR(--(INDEX('Reguler Class Availability'!$G:$G,$Q219)&amp;""),0)&gt;IFERROR(--(INDEX('Reguler Class Availability'!$F:$F,$Q219)&amp;""),0),"Lebih",IF(IFERROR(--(INDEX('Reguler Class Availability'!$G:$G,$Q219)&amp;""),0)=IFERROR(--(INDEX('Reguler Class Availability'!$F:$F,$Q219)&amp;""),0),"Penuh",IF(IFERROR(--(INDEX('Reguler Class Availability'!$G:$G,$Q219)&amp;""),0)=0,IF(INDEX('Reguler Class Availability'!$B:$B,$Q219)&amp;""="","Kosong","Belum terisi"),IF(IFERROR(--(INDEX('Reguler Class Availability'!$G:$G,$Q219)&amp;""),0)/IFERROR(--(INDEX('Reguler Class Availability'!$F:$F,$Q219)&amp;""),0)&gt;=0.6,"Tinggi","Sebagian"))))))</f>
        <v>Belum terisi</v>
      </c>
      <c r="F219" s="77" t="str">
        <f aca="false">IF($Q219="","",PROPER(INDEX('Reguler Class Availability'!$B:$B,$Q219)&amp;""))</f>
        <v>Tiny</v>
      </c>
      <c r="G219" s="76" t="n">
        <f aca="false">IF($Q219="","",IFERROR(--(INDEX('Reguler Class Availability'!$F:$F,$Q219)&amp;""),0))</f>
        <v>5</v>
      </c>
      <c r="H219" s="77" t="str">
        <f aca="false">IF($Q219="","",PROPER(INDEX('Reguler Class Availability'!$I:$I,$Q219)&amp;"")&amp;IF(INDEX('Reguler Class Availability'!$J:$J,$Q219)&amp;""="",""," + asst "&amp;PROPER(INDEX('Reguler Class Availability'!$J:$J,$Q219)&amp;"")))</f>
        <v/>
      </c>
      <c r="I219" s="77" t="s">
        <v>514</v>
      </c>
      <c r="J219" s="77" t="s">
        <v>188</v>
      </c>
      <c r="K219" s="78"/>
      <c r="L219" s="78"/>
      <c r="M219" s="78"/>
      <c r="N219" s="79"/>
      <c r="O219" s="78"/>
      <c r="Q219" s="30" t="n">
        <f aca="false">IFERROR(MATCH($B$4&amp;"|- Lane "&amp;D219&amp;" - "&amp;B219&amp;"|"&amp;C219,'Reguler Class Availability'!$L:$L,0),"")</f>
        <v>2528</v>
      </c>
      <c r="BD219" s="30" t="s">
        <v>148</v>
      </c>
      <c r="BE219" s="30" t="n">
        <f aca="false">IF(COUNTIFS('Reguler Class Availability'!$L:$L,$B$4&amp;"|- Lane 4 - *|"&amp;BD219)&gt;0,1,0)</f>
        <v>0</v>
      </c>
      <c r="BF219" s="30" t="n">
        <f aca="false">BE219+BF218</f>
        <v>9</v>
      </c>
    </row>
    <row r="220" customFormat="false" ht="27.75" hidden="false" customHeight="true" outlineLevel="0" collapsed="false">
      <c r="A220" s="76" t="n">
        <v>94</v>
      </c>
      <c r="B220" s="77" t="s">
        <v>115</v>
      </c>
      <c r="C220" s="76" t="s">
        <v>146</v>
      </c>
      <c r="D220" s="76" t="n">
        <v>5</v>
      </c>
      <c r="E220" s="77" t="str">
        <f aca="false">IF($Q220="","Tidak ada di data",IF(AND(IFERROR(--(INDEX('Reguler Class Availability'!$F:$F,$Q220)&amp;""),0)=0,IFERROR(--(INDEX('Reguler Class Availability'!$G:$G,$Q220)&amp;""),0)=0),"Tutup",IF(IFERROR(--(INDEX('Reguler Class Availability'!$G:$G,$Q220)&amp;""),0)&gt;IFERROR(--(INDEX('Reguler Class Availability'!$F:$F,$Q220)&amp;""),0),"Lebih",IF(IFERROR(--(INDEX('Reguler Class Availability'!$G:$G,$Q220)&amp;""),0)=IFERROR(--(INDEX('Reguler Class Availability'!$F:$F,$Q220)&amp;""),0),"Penuh",IF(IFERROR(--(INDEX('Reguler Class Availability'!$G:$G,$Q220)&amp;""),0)=0,IF(INDEX('Reguler Class Availability'!$B:$B,$Q220)&amp;""="","Kosong","Belum terisi"),IF(IFERROR(--(INDEX('Reguler Class Availability'!$G:$G,$Q220)&amp;""),0)/IFERROR(--(INDEX('Reguler Class Availability'!$F:$F,$Q220)&amp;""),0)&gt;=0.6,"Tinggi","Sebagian"))))))</f>
        <v>Kosong</v>
      </c>
      <c r="F220" s="77" t="str">
        <f aca="false">IF($Q220="","",PROPER(INDEX('Reguler Class Availability'!$B:$B,$Q220)&amp;""))</f>
        <v/>
      </c>
      <c r="G220" s="76" t="n">
        <f aca="false">IF($Q220="","",IFERROR(--(INDEX('Reguler Class Availability'!$F:$F,$Q220)&amp;""),0))</f>
        <v>4</v>
      </c>
      <c r="H220" s="77" t="str">
        <f aca="false">IF($Q220="","",PROPER(INDEX('Reguler Class Availability'!$I:$I,$Q220)&amp;"")&amp;IF(INDEX('Reguler Class Availability'!$J:$J,$Q220)&amp;""="",""," + asst "&amp;PROPER(INDEX('Reguler Class Availability'!$J:$J,$Q220)&amp;"")))</f>
        <v/>
      </c>
      <c r="I220" s="77" t="s">
        <v>514</v>
      </c>
      <c r="J220" s="77" t="s">
        <v>188</v>
      </c>
      <c r="K220" s="78"/>
      <c r="L220" s="78"/>
      <c r="M220" s="78"/>
      <c r="N220" s="79"/>
      <c r="O220" s="78"/>
      <c r="Q220" s="30" t="n">
        <f aca="false">IFERROR(MATCH($B$4&amp;"|- Lane "&amp;D220&amp;" - "&amp;B220&amp;"|"&amp;C220,'Reguler Class Availability'!$L:$L,0),"")</f>
        <v>2780</v>
      </c>
      <c r="BD220" s="30" t="s">
        <v>149</v>
      </c>
      <c r="BE220" s="30" t="n">
        <f aca="false">IF(COUNTIFS('Reguler Class Availability'!$L:$L,$B$4&amp;"|- Lane 4 - *|"&amp;BD220)&gt;0,1,0)</f>
        <v>0</v>
      </c>
      <c r="BF220" s="30" t="n">
        <f aca="false">BE220+BF219</f>
        <v>9</v>
      </c>
    </row>
    <row r="221" customFormat="false" ht="27.75" hidden="false" customHeight="true" outlineLevel="0" collapsed="false">
      <c r="A221" s="76" t="n">
        <v>95</v>
      </c>
      <c r="B221" s="77" t="s">
        <v>115</v>
      </c>
      <c r="C221" s="76" t="s">
        <v>147</v>
      </c>
      <c r="D221" s="76" t="n">
        <v>3</v>
      </c>
      <c r="E221" s="77" t="str">
        <f aca="false">IF($Q221="","Tidak ada di data",IF(AND(IFERROR(--(INDEX('Reguler Class Availability'!$F:$F,$Q221)&amp;""),0)=0,IFERROR(--(INDEX('Reguler Class Availability'!$G:$G,$Q221)&amp;""),0)=0),"Tutup",IF(IFERROR(--(INDEX('Reguler Class Availability'!$G:$G,$Q221)&amp;""),0)&gt;IFERROR(--(INDEX('Reguler Class Availability'!$F:$F,$Q221)&amp;""),0),"Lebih",IF(IFERROR(--(INDEX('Reguler Class Availability'!$G:$G,$Q221)&amp;""),0)=IFERROR(--(INDEX('Reguler Class Availability'!$F:$F,$Q221)&amp;""),0),"Penuh",IF(IFERROR(--(INDEX('Reguler Class Availability'!$G:$G,$Q221)&amp;""),0)=0,IF(INDEX('Reguler Class Availability'!$B:$B,$Q221)&amp;""="","Kosong","Belum terisi"),IF(IFERROR(--(INDEX('Reguler Class Availability'!$G:$G,$Q221)&amp;""),0)/IFERROR(--(INDEX('Reguler Class Availability'!$F:$F,$Q221)&amp;""),0)&gt;=0.6,"Tinggi","Sebagian"))))))</f>
        <v>Belum terisi</v>
      </c>
      <c r="F221" s="77" t="str">
        <f aca="false">IF($Q221="","",PROPER(INDEX('Reguler Class Availability'!$B:$B,$Q221)&amp;""))</f>
        <v>Little</v>
      </c>
      <c r="G221" s="76" t="n">
        <f aca="false">IF($Q221="","",IFERROR(--(INDEX('Reguler Class Availability'!$F:$F,$Q221)&amp;""),0))</f>
        <v>4</v>
      </c>
      <c r="H221" s="77" t="str">
        <f aca="false">IF($Q221="","",PROPER(INDEX('Reguler Class Availability'!$I:$I,$Q221)&amp;"")&amp;IF(INDEX('Reguler Class Availability'!$J:$J,$Q221)&amp;""="",""," + asst "&amp;PROPER(INDEX('Reguler Class Availability'!$J:$J,$Q221)&amp;"")))</f>
        <v/>
      </c>
      <c r="I221" s="77" t="s">
        <v>513</v>
      </c>
      <c r="J221" s="77" t="s">
        <v>188</v>
      </c>
      <c r="K221" s="78"/>
      <c r="L221" s="78"/>
      <c r="M221" s="78"/>
      <c r="N221" s="79"/>
      <c r="O221" s="78"/>
      <c r="Q221" s="30" t="n">
        <f aca="false">IFERROR(MATCH($B$4&amp;"|- Lane "&amp;D221&amp;" - "&amp;B221&amp;"|"&amp;C221,'Reguler Class Availability'!$L:$L,0),"")</f>
        <v>2612</v>
      </c>
      <c r="BD221" s="30" t="s">
        <v>150</v>
      </c>
      <c r="BE221" s="30" t="n">
        <f aca="false">IF(COUNTIFS('Reguler Class Availability'!$L:$L,$B$4&amp;"|- Lane 4 - *|"&amp;BD221)&gt;0,1,0)</f>
        <v>1</v>
      </c>
      <c r="BF221" s="30" t="n">
        <f aca="false">BE221+BF220</f>
        <v>10</v>
      </c>
    </row>
    <row r="222" customFormat="false" ht="27.75" hidden="false" customHeight="true" outlineLevel="0" collapsed="false">
      <c r="A222" s="76" t="n">
        <v>96</v>
      </c>
      <c r="B222" s="77" t="s">
        <v>115</v>
      </c>
      <c r="C222" s="76" t="s">
        <v>147</v>
      </c>
      <c r="D222" s="76" t="n">
        <v>4</v>
      </c>
      <c r="E222" s="77" t="str">
        <f aca="false">IF($Q222="","Tidak ada di data",IF(AND(IFERROR(--(INDEX('Reguler Class Availability'!$F:$F,$Q222)&amp;""),0)=0,IFERROR(--(INDEX('Reguler Class Availability'!$G:$G,$Q222)&amp;""),0)=0),"Tutup",IF(IFERROR(--(INDEX('Reguler Class Availability'!$G:$G,$Q222)&amp;""),0)&gt;IFERROR(--(INDEX('Reguler Class Availability'!$F:$F,$Q222)&amp;""),0),"Lebih",IF(IFERROR(--(INDEX('Reguler Class Availability'!$G:$G,$Q222)&amp;""),0)=IFERROR(--(INDEX('Reguler Class Availability'!$F:$F,$Q222)&amp;""),0),"Penuh",IF(IFERROR(--(INDEX('Reguler Class Availability'!$G:$G,$Q222)&amp;""),0)=0,IF(INDEX('Reguler Class Availability'!$B:$B,$Q222)&amp;""="","Kosong","Belum terisi"),IF(IFERROR(--(INDEX('Reguler Class Availability'!$G:$G,$Q222)&amp;""),0)/IFERROR(--(INDEX('Reguler Class Availability'!$F:$F,$Q222)&amp;""),0)&gt;=0.6,"Tinggi","Sebagian"))))))</f>
        <v>Belum terisi</v>
      </c>
      <c r="F222" s="77" t="str">
        <f aca="false">IF($Q222="","",PROPER(INDEX('Reguler Class Availability'!$B:$B,$Q222)&amp;""))</f>
        <v>Kids</v>
      </c>
      <c r="G222" s="76" t="n">
        <f aca="false">IF($Q222="","",IFERROR(--(INDEX('Reguler Class Availability'!$F:$F,$Q222)&amp;""),0))</f>
        <v>4</v>
      </c>
      <c r="H222" s="77" t="str">
        <f aca="false">IF($Q222="","",PROPER(INDEX('Reguler Class Availability'!$I:$I,$Q222)&amp;"")&amp;IF(INDEX('Reguler Class Availability'!$J:$J,$Q222)&amp;""="",""," + asst "&amp;PROPER(INDEX('Reguler Class Availability'!$J:$J,$Q222)&amp;"")))</f>
        <v/>
      </c>
      <c r="I222" s="77" t="s">
        <v>513</v>
      </c>
      <c r="J222" s="77" t="s">
        <v>188</v>
      </c>
      <c r="K222" s="78"/>
      <c r="L222" s="78"/>
      <c r="M222" s="78"/>
      <c r="N222" s="79"/>
      <c r="O222" s="78"/>
      <c r="Q222" s="30" t="n">
        <f aca="false">IFERROR(MATCH($B$4&amp;"|- Lane "&amp;D222&amp;" - "&amp;B222&amp;"|"&amp;C222,'Reguler Class Availability'!$L:$L,0),"")</f>
        <v>2696</v>
      </c>
      <c r="BD222" s="30" t="s">
        <v>151</v>
      </c>
      <c r="BE222" s="30" t="n">
        <f aca="false">IF(COUNTIFS('Reguler Class Availability'!$L:$L,$B$4&amp;"|- Lane 4 - *|"&amp;BD222)&gt;0,1,0)</f>
        <v>0</v>
      </c>
      <c r="BF222" s="30" t="n">
        <f aca="false">BE222+BF221</f>
        <v>10</v>
      </c>
    </row>
    <row r="223" customFormat="false" ht="27.75" hidden="false" customHeight="true" outlineLevel="0" collapsed="false">
      <c r="A223" s="76" t="n">
        <v>97</v>
      </c>
      <c r="B223" s="77" t="s">
        <v>115</v>
      </c>
      <c r="C223" s="76" t="s">
        <v>149</v>
      </c>
      <c r="D223" s="76" t="n">
        <v>1</v>
      </c>
      <c r="E223" s="77" t="str">
        <f aca="false">IF($Q223="","Tidak ada di data",IF(AND(IFERROR(--(INDEX('Reguler Class Availability'!$F:$F,$Q223)&amp;""),0)=0,IFERROR(--(INDEX('Reguler Class Availability'!$G:$G,$Q223)&amp;""),0)=0),"Tutup",IF(IFERROR(--(INDEX('Reguler Class Availability'!$G:$G,$Q223)&amp;""),0)&gt;IFERROR(--(INDEX('Reguler Class Availability'!$F:$F,$Q223)&amp;""),0),"Lebih",IF(IFERROR(--(INDEX('Reguler Class Availability'!$G:$G,$Q223)&amp;""),0)=IFERROR(--(INDEX('Reguler Class Availability'!$F:$F,$Q223)&amp;""),0),"Penuh",IF(IFERROR(--(INDEX('Reguler Class Availability'!$G:$G,$Q223)&amp;""),0)=0,IF(INDEX('Reguler Class Availability'!$B:$B,$Q223)&amp;""="","Kosong","Belum terisi"),IF(IFERROR(--(INDEX('Reguler Class Availability'!$G:$G,$Q223)&amp;""),0)/IFERROR(--(INDEX('Reguler Class Availability'!$F:$F,$Q223)&amp;""),0)&gt;=0.6,"Tinggi","Sebagian"))))))</f>
        <v>Belum terisi</v>
      </c>
      <c r="F223" s="77" t="str">
        <f aca="false">IF($Q223="","",PROPER(INDEX('Reguler Class Availability'!$B:$B,$Q223)&amp;""))</f>
        <v>Baby</v>
      </c>
      <c r="G223" s="76" t="n">
        <f aca="false">IF($Q223="","",IFERROR(--(INDEX('Reguler Class Availability'!$F:$F,$Q223)&amp;""),0))</f>
        <v>5</v>
      </c>
      <c r="H223" s="77" t="str">
        <f aca="false">IF($Q223="","",PROPER(INDEX('Reguler Class Availability'!$I:$I,$Q223)&amp;"")&amp;IF(INDEX('Reguler Class Availability'!$J:$J,$Q223)&amp;""="",""," + asst "&amp;PROPER(INDEX('Reguler Class Availability'!$J:$J,$Q223)&amp;"")))</f>
        <v/>
      </c>
      <c r="I223" s="77" t="s">
        <v>514</v>
      </c>
      <c r="J223" s="77" t="s">
        <v>188</v>
      </c>
      <c r="K223" s="78"/>
      <c r="L223" s="78"/>
      <c r="M223" s="78"/>
      <c r="N223" s="79"/>
      <c r="O223" s="78"/>
      <c r="Q223" s="30" t="n">
        <f aca="false">IFERROR(MATCH($B$4&amp;"|- Lane "&amp;D223&amp;" - "&amp;B223&amp;"|"&amp;C223,'Reguler Class Availability'!$L:$L,0),"")</f>
        <v>2431</v>
      </c>
      <c r="BD223" s="30" t="s">
        <v>152</v>
      </c>
      <c r="BE223" s="30" t="n">
        <f aca="false">IF(COUNTIFS('Reguler Class Availability'!$L:$L,$B$4&amp;"|- Lane 4 - *|"&amp;BD223)&gt;0,1,0)</f>
        <v>0</v>
      </c>
      <c r="BF223" s="30" t="n">
        <f aca="false">BE223+BF222</f>
        <v>10</v>
      </c>
    </row>
    <row r="224" customFormat="false" ht="27.75" hidden="false" customHeight="true" outlineLevel="0" collapsed="false">
      <c r="A224" s="76" t="n">
        <v>98</v>
      </c>
      <c r="B224" s="77" t="s">
        <v>115</v>
      </c>
      <c r="C224" s="76" t="s">
        <v>149</v>
      </c>
      <c r="D224" s="76" t="n">
        <v>2</v>
      </c>
      <c r="E224" s="77" t="str">
        <f aca="false">IF($Q224="","Tidak ada di data",IF(AND(IFERROR(--(INDEX('Reguler Class Availability'!$F:$F,$Q224)&amp;""),0)=0,IFERROR(--(INDEX('Reguler Class Availability'!$G:$G,$Q224)&amp;""),0)=0),"Tutup",IF(IFERROR(--(INDEX('Reguler Class Availability'!$G:$G,$Q224)&amp;""),0)&gt;IFERROR(--(INDEX('Reguler Class Availability'!$F:$F,$Q224)&amp;""),0),"Lebih",IF(IFERROR(--(INDEX('Reguler Class Availability'!$G:$G,$Q224)&amp;""),0)=IFERROR(--(INDEX('Reguler Class Availability'!$F:$F,$Q224)&amp;""),0),"Penuh",IF(IFERROR(--(INDEX('Reguler Class Availability'!$G:$G,$Q224)&amp;""),0)=0,IF(INDEX('Reguler Class Availability'!$B:$B,$Q224)&amp;""="","Kosong","Belum terisi"),IF(IFERROR(--(INDEX('Reguler Class Availability'!$G:$G,$Q224)&amp;""),0)/IFERROR(--(INDEX('Reguler Class Availability'!$F:$F,$Q224)&amp;""),0)&gt;=0.6,"Tinggi","Sebagian"))))))</f>
        <v>Belum terisi</v>
      </c>
      <c r="F224" s="77" t="str">
        <f aca="false">IF($Q224="","",PROPER(INDEX('Reguler Class Availability'!$B:$B,$Q224)&amp;""))</f>
        <v>Tiny</v>
      </c>
      <c r="G224" s="76" t="n">
        <f aca="false">IF($Q224="","",IFERROR(--(INDEX('Reguler Class Availability'!$F:$F,$Q224)&amp;""),0))</f>
        <v>5</v>
      </c>
      <c r="H224" s="77" t="str">
        <f aca="false">IF($Q224="","",PROPER(INDEX('Reguler Class Availability'!$I:$I,$Q224)&amp;"")&amp;IF(INDEX('Reguler Class Availability'!$J:$J,$Q224)&amp;""="",""," + asst "&amp;PROPER(INDEX('Reguler Class Availability'!$J:$J,$Q224)&amp;"")))</f>
        <v/>
      </c>
      <c r="I224" s="77" t="s">
        <v>514</v>
      </c>
      <c r="J224" s="77" t="s">
        <v>188</v>
      </c>
      <c r="K224" s="78"/>
      <c r="L224" s="78"/>
      <c r="M224" s="78"/>
      <c r="N224" s="79"/>
      <c r="O224" s="78"/>
      <c r="Q224" s="30" t="n">
        <f aca="false">IFERROR(MATCH($B$4&amp;"|- Lane "&amp;D224&amp;" - "&amp;B224&amp;"|"&amp;C224,'Reguler Class Availability'!$L:$L,0),"")</f>
        <v>2529</v>
      </c>
      <c r="BD224" s="30" t="s">
        <v>153</v>
      </c>
      <c r="BE224" s="30" t="n">
        <f aca="false">IF(COUNTIFS('Reguler Class Availability'!$L:$L,$B$4&amp;"|- Lane 4 - *|"&amp;BD224)&gt;0,1,0)</f>
        <v>1</v>
      </c>
      <c r="BF224" s="30" t="n">
        <f aca="false">BE224+BF223</f>
        <v>11</v>
      </c>
    </row>
    <row r="225" customFormat="false" ht="27.75" hidden="false" customHeight="true" outlineLevel="0" collapsed="false">
      <c r="A225" s="76" t="n">
        <v>99</v>
      </c>
      <c r="B225" s="77" t="s">
        <v>115</v>
      </c>
      <c r="C225" s="76" t="s">
        <v>149</v>
      </c>
      <c r="D225" s="76" t="n">
        <v>5</v>
      </c>
      <c r="E225" s="77" t="str">
        <f aca="false">IF($Q225="","Tidak ada di data",IF(AND(IFERROR(--(INDEX('Reguler Class Availability'!$F:$F,$Q225)&amp;""),0)=0,IFERROR(--(INDEX('Reguler Class Availability'!$G:$G,$Q225)&amp;""),0)=0),"Tutup",IF(IFERROR(--(INDEX('Reguler Class Availability'!$G:$G,$Q225)&amp;""),0)&gt;IFERROR(--(INDEX('Reguler Class Availability'!$F:$F,$Q225)&amp;""),0),"Lebih",IF(IFERROR(--(INDEX('Reguler Class Availability'!$G:$G,$Q225)&amp;""),0)=IFERROR(--(INDEX('Reguler Class Availability'!$F:$F,$Q225)&amp;""),0),"Penuh",IF(IFERROR(--(INDEX('Reguler Class Availability'!$G:$G,$Q225)&amp;""),0)=0,IF(INDEX('Reguler Class Availability'!$B:$B,$Q225)&amp;""="","Kosong","Belum terisi"),IF(IFERROR(--(INDEX('Reguler Class Availability'!$G:$G,$Q225)&amp;""),0)/IFERROR(--(INDEX('Reguler Class Availability'!$F:$F,$Q225)&amp;""),0)&gt;=0.6,"Tinggi","Sebagian"))))))</f>
        <v>Kosong</v>
      </c>
      <c r="F225" s="77" t="str">
        <f aca="false">IF($Q225="","",PROPER(INDEX('Reguler Class Availability'!$B:$B,$Q225)&amp;""))</f>
        <v/>
      </c>
      <c r="G225" s="76" t="n">
        <f aca="false">IF($Q225="","",IFERROR(--(INDEX('Reguler Class Availability'!$F:$F,$Q225)&amp;""),0))</f>
        <v>4</v>
      </c>
      <c r="H225" s="77" t="str">
        <f aca="false">IF($Q225="","",PROPER(INDEX('Reguler Class Availability'!$I:$I,$Q225)&amp;"")&amp;IF(INDEX('Reguler Class Availability'!$J:$J,$Q225)&amp;""="",""," + asst "&amp;PROPER(INDEX('Reguler Class Availability'!$J:$J,$Q225)&amp;"")))</f>
        <v/>
      </c>
      <c r="I225" s="77" t="s">
        <v>514</v>
      </c>
      <c r="J225" s="77" t="s">
        <v>188</v>
      </c>
      <c r="K225" s="78"/>
      <c r="L225" s="78"/>
      <c r="M225" s="78"/>
      <c r="N225" s="79"/>
      <c r="O225" s="78"/>
      <c r="Q225" s="30" t="n">
        <f aca="false">IFERROR(MATCH($B$4&amp;"|- Lane "&amp;D225&amp;" - "&amp;B225&amp;"|"&amp;C225,'Reguler Class Availability'!$L:$L,0),"")</f>
        <v>2781</v>
      </c>
      <c r="BD225" s="30" t="s">
        <v>154</v>
      </c>
      <c r="BE225" s="30" t="n">
        <f aca="false">IF(COUNTIFS('Reguler Class Availability'!$L:$L,$B$4&amp;"|- Lane 4 - *|"&amp;BD225)&gt;0,1,0)</f>
        <v>0</v>
      </c>
      <c r="BF225" s="30" t="n">
        <f aca="false">BE225+BF224</f>
        <v>11</v>
      </c>
    </row>
    <row r="226" customFormat="false" ht="27.75" hidden="false" customHeight="true" outlineLevel="0" collapsed="false">
      <c r="A226" s="76" t="n">
        <v>100</v>
      </c>
      <c r="B226" s="77" t="s">
        <v>115</v>
      </c>
      <c r="C226" s="76" t="s">
        <v>150</v>
      </c>
      <c r="D226" s="76" t="n">
        <v>4</v>
      </c>
      <c r="E226" s="77" t="str">
        <f aca="false">IF($Q226="","Tidak ada di data",IF(AND(IFERROR(--(INDEX('Reguler Class Availability'!$F:$F,$Q226)&amp;""),0)=0,IFERROR(--(INDEX('Reguler Class Availability'!$G:$G,$Q226)&amp;""),0)=0),"Tutup",IF(IFERROR(--(INDEX('Reguler Class Availability'!$G:$G,$Q226)&amp;""),0)&gt;IFERROR(--(INDEX('Reguler Class Availability'!$F:$F,$Q226)&amp;""),0),"Lebih",IF(IFERROR(--(INDEX('Reguler Class Availability'!$G:$G,$Q226)&amp;""),0)=IFERROR(--(INDEX('Reguler Class Availability'!$F:$F,$Q226)&amp;""),0),"Penuh",IF(IFERROR(--(INDEX('Reguler Class Availability'!$G:$G,$Q226)&amp;""),0)=0,IF(INDEX('Reguler Class Availability'!$B:$B,$Q226)&amp;""="","Kosong","Belum terisi"),IF(IFERROR(--(INDEX('Reguler Class Availability'!$G:$G,$Q226)&amp;""),0)/IFERROR(--(INDEX('Reguler Class Availability'!$F:$F,$Q226)&amp;""),0)&gt;=0.6,"Tinggi","Sebagian"))))))</f>
        <v>Belum terisi</v>
      </c>
      <c r="F226" s="77" t="str">
        <f aca="false">IF($Q226="","",PROPER(INDEX('Reguler Class Availability'!$B:$B,$Q226)&amp;""))</f>
        <v>Kids</v>
      </c>
      <c r="G226" s="76" t="n">
        <f aca="false">IF($Q226="","",IFERROR(--(INDEX('Reguler Class Availability'!$F:$F,$Q226)&amp;""),0))</f>
        <v>4</v>
      </c>
      <c r="H226" s="77" t="str">
        <f aca="false">IF($Q226="","",PROPER(INDEX('Reguler Class Availability'!$I:$I,$Q226)&amp;"")&amp;IF(INDEX('Reguler Class Availability'!$J:$J,$Q226)&amp;""="",""," + asst "&amp;PROPER(INDEX('Reguler Class Availability'!$J:$J,$Q226)&amp;"")))</f>
        <v/>
      </c>
      <c r="I226" s="77" t="s">
        <v>514</v>
      </c>
      <c r="J226" s="77" t="s">
        <v>188</v>
      </c>
      <c r="K226" s="78"/>
      <c r="L226" s="78"/>
      <c r="M226" s="78"/>
      <c r="N226" s="79"/>
      <c r="O226" s="78"/>
      <c r="Q226" s="30" t="n">
        <f aca="false">IFERROR(MATCH($B$4&amp;"|- Lane "&amp;D226&amp;" - "&amp;B226&amp;"|"&amp;C226,'Reguler Class Availability'!$L:$L,0),"")</f>
        <v>2697</v>
      </c>
      <c r="BD226" s="30" t="s">
        <v>155</v>
      </c>
      <c r="BE226" s="30" t="n">
        <f aca="false">IF(COUNTIFS('Reguler Class Availability'!$L:$L,$B$4&amp;"|- Lane 4 - *|"&amp;BD226)&gt;0,1,0)</f>
        <v>0</v>
      </c>
      <c r="BF226" s="30" t="n">
        <f aca="false">BE226+BF225</f>
        <v>11</v>
      </c>
    </row>
    <row r="227" customFormat="false" ht="27.75" hidden="false" customHeight="true" outlineLevel="0" collapsed="false">
      <c r="A227" s="76" t="n">
        <v>101</v>
      </c>
      <c r="B227" s="77" t="s">
        <v>115</v>
      </c>
      <c r="C227" s="76" t="s">
        <v>152</v>
      </c>
      <c r="D227" s="76" t="n">
        <v>1</v>
      </c>
      <c r="E227" s="77" t="str">
        <f aca="false">IF($Q227="","Tidak ada di data",IF(AND(IFERROR(--(INDEX('Reguler Class Availability'!$F:$F,$Q227)&amp;""),0)=0,IFERROR(--(INDEX('Reguler Class Availability'!$G:$G,$Q227)&amp;""),0)=0),"Tutup",IF(IFERROR(--(INDEX('Reguler Class Availability'!$G:$G,$Q227)&amp;""),0)&gt;IFERROR(--(INDEX('Reguler Class Availability'!$F:$F,$Q227)&amp;""),0),"Lebih",IF(IFERROR(--(INDEX('Reguler Class Availability'!$G:$G,$Q227)&amp;""),0)=IFERROR(--(INDEX('Reguler Class Availability'!$F:$F,$Q227)&amp;""),0),"Penuh",IF(IFERROR(--(INDEX('Reguler Class Availability'!$G:$G,$Q227)&amp;""),0)=0,IF(INDEX('Reguler Class Availability'!$B:$B,$Q227)&amp;""="","Kosong","Belum terisi"),IF(IFERROR(--(INDEX('Reguler Class Availability'!$G:$G,$Q227)&amp;""),0)/IFERROR(--(INDEX('Reguler Class Availability'!$F:$F,$Q227)&amp;""),0)&gt;=0.6,"Tinggi","Sebagian"))))))</f>
        <v>Belum terisi</v>
      </c>
      <c r="F227" s="77" t="str">
        <f aca="false">IF($Q227="","",PROPER(INDEX('Reguler Class Availability'!$B:$B,$Q227)&amp;""))</f>
        <v>Baby</v>
      </c>
      <c r="G227" s="76" t="n">
        <f aca="false">IF($Q227="","",IFERROR(--(INDEX('Reguler Class Availability'!$F:$F,$Q227)&amp;""),0))</f>
        <v>5</v>
      </c>
      <c r="H227" s="77" t="str">
        <f aca="false">IF($Q227="","",PROPER(INDEX('Reguler Class Availability'!$I:$I,$Q227)&amp;"")&amp;IF(INDEX('Reguler Class Availability'!$J:$J,$Q227)&amp;""="",""," + asst "&amp;PROPER(INDEX('Reguler Class Availability'!$J:$J,$Q227)&amp;"")))</f>
        <v/>
      </c>
      <c r="I227" s="77" t="s">
        <v>514</v>
      </c>
      <c r="J227" s="77" t="s">
        <v>188</v>
      </c>
      <c r="K227" s="78"/>
      <c r="L227" s="78"/>
      <c r="M227" s="78"/>
      <c r="N227" s="79"/>
      <c r="O227" s="78"/>
      <c r="Q227" s="30" t="n">
        <f aca="false">IFERROR(MATCH($B$4&amp;"|- Lane "&amp;D227&amp;" - "&amp;B227&amp;"|"&amp;C227,'Reguler Class Availability'!$L:$L,0),"")</f>
        <v>2432</v>
      </c>
      <c r="BD227" s="30" t="s">
        <v>156</v>
      </c>
      <c r="BE227" s="30" t="n">
        <f aca="false">IF(COUNTIFS('Reguler Class Availability'!$L:$L,$B$4&amp;"|- Lane 4 - *|"&amp;BD227)&gt;0,1,0)</f>
        <v>1</v>
      </c>
      <c r="BF227" s="30" t="n">
        <f aca="false">BE227+BF226</f>
        <v>12</v>
      </c>
    </row>
    <row r="228" customFormat="false" ht="27.75" hidden="false" customHeight="true" outlineLevel="0" collapsed="false">
      <c r="A228" s="76" t="n">
        <v>102</v>
      </c>
      <c r="B228" s="77" t="s">
        <v>115</v>
      </c>
      <c r="C228" s="76" t="s">
        <v>152</v>
      </c>
      <c r="D228" s="76" t="n">
        <v>2</v>
      </c>
      <c r="E228" s="77" t="str">
        <f aca="false">IF($Q228="","Tidak ada di data",IF(AND(IFERROR(--(INDEX('Reguler Class Availability'!$F:$F,$Q228)&amp;""),0)=0,IFERROR(--(INDEX('Reguler Class Availability'!$G:$G,$Q228)&amp;""),0)=0),"Tutup",IF(IFERROR(--(INDEX('Reguler Class Availability'!$G:$G,$Q228)&amp;""),0)&gt;IFERROR(--(INDEX('Reguler Class Availability'!$F:$F,$Q228)&amp;""),0),"Lebih",IF(IFERROR(--(INDEX('Reguler Class Availability'!$G:$G,$Q228)&amp;""),0)=IFERROR(--(INDEX('Reguler Class Availability'!$F:$F,$Q228)&amp;""),0),"Penuh",IF(IFERROR(--(INDEX('Reguler Class Availability'!$G:$G,$Q228)&amp;""),0)=0,IF(INDEX('Reguler Class Availability'!$B:$B,$Q228)&amp;""="","Kosong","Belum terisi"),IF(IFERROR(--(INDEX('Reguler Class Availability'!$G:$G,$Q228)&amp;""),0)/IFERROR(--(INDEX('Reguler Class Availability'!$F:$F,$Q228)&amp;""),0)&gt;=0.6,"Tinggi","Sebagian"))))))</f>
        <v>Belum terisi</v>
      </c>
      <c r="F228" s="77" t="str">
        <f aca="false">IF($Q228="","",PROPER(INDEX('Reguler Class Availability'!$B:$B,$Q228)&amp;""))</f>
        <v>Tiny</v>
      </c>
      <c r="G228" s="76" t="n">
        <f aca="false">IF($Q228="","",IFERROR(--(INDEX('Reguler Class Availability'!$F:$F,$Q228)&amp;""),0))</f>
        <v>5</v>
      </c>
      <c r="H228" s="77" t="str">
        <f aca="false">IF($Q228="","",PROPER(INDEX('Reguler Class Availability'!$I:$I,$Q228)&amp;"")&amp;IF(INDEX('Reguler Class Availability'!$J:$J,$Q228)&amp;""="",""," + asst "&amp;PROPER(INDEX('Reguler Class Availability'!$J:$J,$Q228)&amp;"")))</f>
        <v/>
      </c>
      <c r="I228" s="77" t="s">
        <v>514</v>
      </c>
      <c r="J228" s="77" t="s">
        <v>188</v>
      </c>
      <c r="K228" s="78"/>
      <c r="L228" s="78"/>
      <c r="M228" s="78"/>
      <c r="N228" s="79"/>
      <c r="O228" s="78"/>
      <c r="Q228" s="30" t="n">
        <f aca="false">IFERROR(MATCH($B$4&amp;"|- Lane "&amp;D228&amp;" - "&amp;B228&amp;"|"&amp;C228,'Reguler Class Availability'!$L:$L,0),"")</f>
        <v>2530</v>
      </c>
      <c r="BD228" s="30" t="s">
        <v>157</v>
      </c>
      <c r="BE228" s="30" t="n">
        <f aca="false">IF(COUNTIFS('Reguler Class Availability'!$L:$L,$B$4&amp;"|- Lane 4 - *|"&amp;BD228)&gt;0,1,0)</f>
        <v>0</v>
      </c>
      <c r="BF228" s="30" t="n">
        <f aca="false">BE228+BF227</f>
        <v>12</v>
      </c>
    </row>
    <row r="229" customFormat="false" ht="27.75" hidden="false" customHeight="true" outlineLevel="0" collapsed="false">
      <c r="A229" s="76" t="n">
        <v>103</v>
      </c>
      <c r="B229" s="77" t="s">
        <v>115</v>
      </c>
      <c r="C229" s="76" t="s">
        <v>152</v>
      </c>
      <c r="D229" s="76" t="n">
        <v>5</v>
      </c>
      <c r="E229" s="77" t="str">
        <f aca="false">IF($Q229="","Tidak ada di data",IF(AND(IFERROR(--(INDEX('Reguler Class Availability'!$F:$F,$Q229)&amp;""),0)=0,IFERROR(--(INDEX('Reguler Class Availability'!$G:$G,$Q229)&amp;""),0)=0),"Tutup",IF(IFERROR(--(INDEX('Reguler Class Availability'!$G:$G,$Q229)&amp;""),0)&gt;IFERROR(--(INDEX('Reguler Class Availability'!$F:$F,$Q229)&amp;""),0),"Lebih",IF(IFERROR(--(INDEX('Reguler Class Availability'!$G:$G,$Q229)&amp;""),0)=IFERROR(--(INDEX('Reguler Class Availability'!$F:$F,$Q229)&amp;""),0),"Penuh",IF(IFERROR(--(INDEX('Reguler Class Availability'!$G:$G,$Q229)&amp;""),0)=0,IF(INDEX('Reguler Class Availability'!$B:$B,$Q229)&amp;""="","Kosong","Belum terisi"),IF(IFERROR(--(INDEX('Reguler Class Availability'!$G:$G,$Q229)&amp;""),0)/IFERROR(--(INDEX('Reguler Class Availability'!$F:$F,$Q229)&amp;""),0)&gt;=0.6,"Tinggi","Sebagian"))))))</f>
        <v>Kosong</v>
      </c>
      <c r="F229" s="77" t="str">
        <f aca="false">IF($Q229="","",PROPER(INDEX('Reguler Class Availability'!$B:$B,$Q229)&amp;""))</f>
        <v/>
      </c>
      <c r="G229" s="76" t="n">
        <f aca="false">IF($Q229="","",IFERROR(--(INDEX('Reguler Class Availability'!$F:$F,$Q229)&amp;""),0))</f>
        <v>4</v>
      </c>
      <c r="H229" s="77" t="str">
        <f aca="false">IF($Q229="","",PROPER(INDEX('Reguler Class Availability'!$I:$I,$Q229)&amp;"")&amp;IF(INDEX('Reguler Class Availability'!$J:$J,$Q229)&amp;""="",""," + asst "&amp;PROPER(INDEX('Reguler Class Availability'!$J:$J,$Q229)&amp;"")))</f>
        <v/>
      </c>
      <c r="I229" s="77" t="s">
        <v>514</v>
      </c>
      <c r="J229" s="77" t="s">
        <v>188</v>
      </c>
      <c r="K229" s="78"/>
      <c r="L229" s="78"/>
      <c r="M229" s="78"/>
      <c r="N229" s="79"/>
      <c r="O229" s="78"/>
      <c r="Q229" s="30" t="n">
        <f aca="false">IFERROR(MATCH($B$4&amp;"|- Lane "&amp;D229&amp;" - "&amp;B229&amp;"|"&amp;C229,'Reguler Class Availability'!$L:$L,0),"")</f>
        <v>2782</v>
      </c>
      <c r="BD229" s="30" t="s">
        <v>158</v>
      </c>
      <c r="BE229" s="30" t="n">
        <f aca="false">IF(COUNTIFS('Reguler Class Availability'!$L:$L,$B$4&amp;"|- Lane 4 - *|"&amp;BD229)&gt;0,1,0)</f>
        <v>0</v>
      </c>
      <c r="BF229" s="30" t="n">
        <f aca="false">BE229+BF228</f>
        <v>12</v>
      </c>
    </row>
    <row r="230" customFormat="false" ht="27.75" hidden="false" customHeight="true" outlineLevel="0" collapsed="false">
      <c r="A230" s="76" t="n">
        <v>104</v>
      </c>
      <c r="B230" s="77" t="s">
        <v>115</v>
      </c>
      <c r="C230" s="76" t="s">
        <v>153</v>
      </c>
      <c r="D230" s="76" t="n">
        <v>3</v>
      </c>
      <c r="E230" s="77" t="str">
        <f aca="false">IF($Q230="","Tidak ada di data",IF(AND(IFERROR(--(INDEX('Reguler Class Availability'!$F:$F,$Q230)&amp;""),0)=0,IFERROR(--(INDEX('Reguler Class Availability'!$G:$G,$Q230)&amp;""),0)=0),"Tutup",IF(IFERROR(--(INDEX('Reguler Class Availability'!$G:$G,$Q230)&amp;""),0)&gt;IFERROR(--(INDEX('Reguler Class Availability'!$F:$F,$Q230)&amp;""),0),"Lebih",IF(IFERROR(--(INDEX('Reguler Class Availability'!$G:$G,$Q230)&amp;""),0)=IFERROR(--(INDEX('Reguler Class Availability'!$F:$F,$Q230)&amp;""),0),"Penuh",IF(IFERROR(--(INDEX('Reguler Class Availability'!$G:$G,$Q230)&amp;""),0)=0,IF(INDEX('Reguler Class Availability'!$B:$B,$Q230)&amp;""="","Kosong","Belum terisi"),IF(IFERROR(--(INDEX('Reguler Class Availability'!$G:$G,$Q230)&amp;""),0)/IFERROR(--(INDEX('Reguler Class Availability'!$F:$F,$Q230)&amp;""),0)&gt;=0.6,"Tinggi","Sebagian"))))))</f>
        <v>Belum terisi</v>
      </c>
      <c r="F230" s="77" t="str">
        <f aca="false">IF($Q230="","",PROPER(INDEX('Reguler Class Availability'!$B:$B,$Q230)&amp;""))</f>
        <v>Little</v>
      </c>
      <c r="G230" s="76" t="n">
        <f aca="false">IF($Q230="","",IFERROR(--(INDEX('Reguler Class Availability'!$F:$F,$Q230)&amp;""),0))</f>
        <v>4</v>
      </c>
      <c r="H230" s="77" t="str">
        <f aca="false">IF($Q230="","",PROPER(INDEX('Reguler Class Availability'!$I:$I,$Q230)&amp;"")&amp;IF(INDEX('Reguler Class Availability'!$J:$J,$Q230)&amp;""="",""," + asst "&amp;PROPER(INDEX('Reguler Class Availability'!$J:$J,$Q230)&amp;"")))</f>
        <v/>
      </c>
      <c r="I230" s="77" t="s">
        <v>514</v>
      </c>
      <c r="J230" s="77" t="s">
        <v>188</v>
      </c>
      <c r="K230" s="78"/>
      <c r="L230" s="78"/>
      <c r="M230" s="78"/>
      <c r="N230" s="79"/>
      <c r="O230" s="78"/>
      <c r="Q230" s="30" t="n">
        <f aca="false">IFERROR(MATCH($B$4&amp;"|- Lane "&amp;D230&amp;" - "&amp;B230&amp;"|"&amp;C230,'Reguler Class Availability'!$L:$L,0),"")</f>
        <v>2614</v>
      </c>
      <c r="BD230" s="30" t="s">
        <v>160</v>
      </c>
      <c r="BE230" s="30" t="n">
        <f aca="false">IF(COUNTIFS('Reguler Class Availability'!$L:$L,$B$4&amp;"|- Lane 4 - *|"&amp;BD230)&gt;0,1,0)</f>
        <v>0</v>
      </c>
      <c r="BF230" s="30" t="n">
        <f aca="false">BE230+BF229</f>
        <v>12</v>
      </c>
    </row>
    <row r="231" customFormat="false" ht="27.75" hidden="false" customHeight="true" outlineLevel="0" collapsed="false">
      <c r="A231" s="76" t="n">
        <v>105</v>
      </c>
      <c r="B231" s="77" t="s">
        <v>115</v>
      </c>
      <c r="C231" s="76" t="s">
        <v>155</v>
      </c>
      <c r="D231" s="76" t="n">
        <v>1</v>
      </c>
      <c r="E231" s="77" t="str">
        <f aca="false">IF($Q231="","Tidak ada di data",IF(AND(IFERROR(--(INDEX('Reguler Class Availability'!$F:$F,$Q231)&amp;""),0)=0,IFERROR(--(INDEX('Reguler Class Availability'!$G:$G,$Q231)&amp;""),0)=0),"Tutup",IF(IFERROR(--(INDEX('Reguler Class Availability'!$G:$G,$Q231)&amp;""),0)&gt;IFERROR(--(INDEX('Reguler Class Availability'!$F:$F,$Q231)&amp;""),0),"Lebih",IF(IFERROR(--(INDEX('Reguler Class Availability'!$G:$G,$Q231)&amp;""),0)=IFERROR(--(INDEX('Reguler Class Availability'!$F:$F,$Q231)&amp;""),0),"Penuh",IF(IFERROR(--(INDEX('Reguler Class Availability'!$G:$G,$Q231)&amp;""),0)=0,IF(INDEX('Reguler Class Availability'!$B:$B,$Q231)&amp;""="","Kosong","Belum terisi"),IF(IFERROR(--(INDEX('Reguler Class Availability'!$G:$G,$Q231)&amp;""),0)/IFERROR(--(INDEX('Reguler Class Availability'!$F:$F,$Q231)&amp;""),0)&gt;=0.6,"Tinggi","Sebagian"))))))</f>
        <v>Belum terisi</v>
      </c>
      <c r="F231" s="77" t="str">
        <f aca="false">IF($Q231="","",PROPER(INDEX('Reguler Class Availability'!$B:$B,$Q231)&amp;""))</f>
        <v>Baby</v>
      </c>
      <c r="G231" s="76" t="n">
        <f aca="false">IF($Q231="","",IFERROR(--(INDEX('Reguler Class Availability'!$F:$F,$Q231)&amp;""),0))</f>
        <v>5</v>
      </c>
      <c r="H231" s="77" t="str">
        <f aca="false">IF($Q231="","",PROPER(INDEX('Reguler Class Availability'!$I:$I,$Q231)&amp;"")&amp;IF(INDEX('Reguler Class Availability'!$J:$J,$Q231)&amp;""="",""," + asst "&amp;PROPER(INDEX('Reguler Class Availability'!$J:$J,$Q231)&amp;"")))</f>
        <v/>
      </c>
      <c r="I231" s="77" t="s">
        <v>514</v>
      </c>
      <c r="J231" s="77" t="s">
        <v>188</v>
      </c>
      <c r="K231" s="78"/>
      <c r="L231" s="78"/>
      <c r="M231" s="78"/>
      <c r="N231" s="79"/>
      <c r="O231" s="78"/>
      <c r="Q231" s="30" t="n">
        <f aca="false">IFERROR(MATCH($B$4&amp;"|- Lane "&amp;D231&amp;" - "&amp;B231&amp;"|"&amp;C231,'Reguler Class Availability'!$L:$L,0),"")</f>
        <v>2433</v>
      </c>
      <c r="BD231" s="30" t="s">
        <v>161</v>
      </c>
      <c r="BE231" s="30" t="n">
        <f aca="false">IF(COUNTIFS('Reguler Class Availability'!$L:$L,$B$4&amp;"|- Lane 4 - *|"&amp;BD231)&gt;0,1,0)</f>
        <v>0</v>
      </c>
      <c r="BF231" s="30" t="n">
        <f aca="false">BE231+BF230</f>
        <v>12</v>
      </c>
    </row>
    <row r="232" customFormat="false" ht="27.75" hidden="false" customHeight="true" outlineLevel="0" collapsed="false">
      <c r="A232" s="76" t="n">
        <v>106</v>
      </c>
      <c r="B232" s="77" t="s">
        <v>115</v>
      </c>
      <c r="C232" s="76" t="s">
        <v>155</v>
      </c>
      <c r="D232" s="76" t="n">
        <v>2</v>
      </c>
      <c r="E232" s="77" t="str">
        <f aca="false">IF($Q232="","Tidak ada di data",IF(AND(IFERROR(--(INDEX('Reguler Class Availability'!$F:$F,$Q232)&amp;""),0)=0,IFERROR(--(INDEX('Reguler Class Availability'!$G:$G,$Q232)&amp;""),0)=0),"Tutup",IF(IFERROR(--(INDEX('Reguler Class Availability'!$G:$G,$Q232)&amp;""),0)&gt;IFERROR(--(INDEX('Reguler Class Availability'!$F:$F,$Q232)&amp;""),0),"Lebih",IF(IFERROR(--(INDEX('Reguler Class Availability'!$G:$G,$Q232)&amp;""),0)=IFERROR(--(INDEX('Reguler Class Availability'!$F:$F,$Q232)&amp;""),0),"Penuh",IF(IFERROR(--(INDEX('Reguler Class Availability'!$G:$G,$Q232)&amp;""),0)=0,IF(INDEX('Reguler Class Availability'!$B:$B,$Q232)&amp;""="","Kosong","Belum terisi"),IF(IFERROR(--(INDEX('Reguler Class Availability'!$G:$G,$Q232)&amp;""),0)/IFERROR(--(INDEX('Reguler Class Availability'!$F:$F,$Q232)&amp;""),0)&gt;=0.6,"Tinggi","Sebagian"))))))</f>
        <v>Belum terisi</v>
      </c>
      <c r="F232" s="77" t="str">
        <f aca="false">IF($Q232="","",PROPER(INDEX('Reguler Class Availability'!$B:$B,$Q232)&amp;""))</f>
        <v>Tiny</v>
      </c>
      <c r="G232" s="76" t="n">
        <f aca="false">IF($Q232="","",IFERROR(--(INDEX('Reguler Class Availability'!$F:$F,$Q232)&amp;""),0))</f>
        <v>5</v>
      </c>
      <c r="H232" s="77" t="str">
        <f aca="false">IF($Q232="","",PROPER(INDEX('Reguler Class Availability'!$I:$I,$Q232)&amp;"")&amp;IF(INDEX('Reguler Class Availability'!$J:$J,$Q232)&amp;""="",""," + asst "&amp;PROPER(INDEX('Reguler Class Availability'!$J:$J,$Q232)&amp;"")))</f>
        <v/>
      </c>
      <c r="I232" s="77" t="s">
        <v>514</v>
      </c>
      <c r="J232" s="77" t="s">
        <v>188</v>
      </c>
      <c r="K232" s="78"/>
      <c r="L232" s="78"/>
      <c r="M232" s="78"/>
      <c r="N232" s="79"/>
      <c r="O232" s="78"/>
      <c r="Q232" s="30" t="n">
        <f aca="false">IFERROR(MATCH($B$4&amp;"|- Lane "&amp;D232&amp;" - "&amp;B232&amp;"|"&amp;C232,'Reguler Class Availability'!$L:$L,0),"")</f>
        <v>2531</v>
      </c>
      <c r="BD232" s="30" t="s">
        <v>162</v>
      </c>
      <c r="BE232" s="30" t="n">
        <f aca="false">IF(COUNTIFS('Reguler Class Availability'!$L:$L,$B$4&amp;"|- Lane 4 - *|"&amp;BD232)&gt;0,1,0)</f>
        <v>0</v>
      </c>
      <c r="BF232" s="30" t="n">
        <f aca="false">BE232+BF231</f>
        <v>12</v>
      </c>
    </row>
    <row r="233" customFormat="false" ht="27.75" hidden="false" customHeight="true" outlineLevel="0" collapsed="false">
      <c r="A233" s="76" t="n">
        <v>107</v>
      </c>
      <c r="B233" s="77" t="s">
        <v>115</v>
      </c>
      <c r="C233" s="76" t="s">
        <v>155</v>
      </c>
      <c r="D233" s="76" t="n">
        <v>5</v>
      </c>
      <c r="E233" s="77" t="str">
        <f aca="false">IF($Q233="","Tidak ada di data",IF(AND(IFERROR(--(INDEX('Reguler Class Availability'!$F:$F,$Q233)&amp;""),0)=0,IFERROR(--(INDEX('Reguler Class Availability'!$G:$G,$Q233)&amp;""),0)=0),"Tutup",IF(IFERROR(--(INDEX('Reguler Class Availability'!$G:$G,$Q233)&amp;""),0)&gt;IFERROR(--(INDEX('Reguler Class Availability'!$F:$F,$Q233)&amp;""),0),"Lebih",IF(IFERROR(--(INDEX('Reguler Class Availability'!$G:$G,$Q233)&amp;""),0)=IFERROR(--(INDEX('Reguler Class Availability'!$F:$F,$Q233)&amp;""),0),"Penuh",IF(IFERROR(--(INDEX('Reguler Class Availability'!$G:$G,$Q233)&amp;""),0)=0,IF(INDEX('Reguler Class Availability'!$B:$B,$Q233)&amp;""="","Kosong","Belum terisi"),IF(IFERROR(--(INDEX('Reguler Class Availability'!$G:$G,$Q233)&amp;""),0)/IFERROR(--(INDEX('Reguler Class Availability'!$F:$F,$Q233)&amp;""),0)&gt;=0.6,"Tinggi","Sebagian"))))))</f>
        <v>Kosong</v>
      </c>
      <c r="F233" s="77" t="str">
        <f aca="false">IF($Q233="","",PROPER(INDEX('Reguler Class Availability'!$B:$B,$Q233)&amp;""))</f>
        <v/>
      </c>
      <c r="G233" s="76" t="n">
        <f aca="false">IF($Q233="","",IFERROR(--(INDEX('Reguler Class Availability'!$F:$F,$Q233)&amp;""),0))</f>
        <v>4</v>
      </c>
      <c r="H233" s="77" t="str">
        <f aca="false">IF($Q233="","",PROPER(INDEX('Reguler Class Availability'!$I:$I,$Q233)&amp;"")&amp;IF(INDEX('Reguler Class Availability'!$J:$J,$Q233)&amp;""="",""," + asst "&amp;PROPER(INDEX('Reguler Class Availability'!$J:$J,$Q233)&amp;"")))</f>
        <v/>
      </c>
      <c r="I233" s="77" t="s">
        <v>514</v>
      </c>
      <c r="J233" s="77" t="s">
        <v>188</v>
      </c>
      <c r="K233" s="78"/>
      <c r="L233" s="78"/>
      <c r="M233" s="78"/>
      <c r="N233" s="79"/>
      <c r="O233" s="78"/>
      <c r="Q233" s="30" t="n">
        <f aca="false">IFERROR(MATCH($B$4&amp;"|- Lane "&amp;D233&amp;" - "&amp;B233&amp;"|"&amp;C233,'Reguler Class Availability'!$L:$L,0),"")</f>
        <v>2783</v>
      </c>
      <c r="BD233" s="30" t="s">
        <v>163</v>
      </c>
      <c r="BE233" s="30" t="n">
        <f aca="false">IF(COUNTIFS('Reguler Class Availability'!$L:$L,$B$4&amp;"|- Lane 4 - *|"&amp;BD233)&gt;0,1,0)</f>
        <v>0</v>
      </c>
      <c r="BF233" s="30" t="n">
        <f aca="false">BE233+BF232</f>
        <v>12</v>
      </c>
    </row>
    <row r="234" customFormat="false" ht="27.75" hidden="false" customHeight="true" outlineLevel="0" collapsed="false">
      <c r="A234" s="76" t="n">
        <v>108</v>
      </c>
      <c r="B234" s="77" t="s">
        <v>115</v>
      </c>
      <c r="C234" s="76" t="s">
        <v>156</v>
      </c>
      <c r="D234" s="76" t="n">
        <v>3</v>
      </c>
      <c r="E234" s="77" t="str">
        <f aca="false">IF($Q234="","Tidak ada di data",IF(AND(IFERROR(--(INDEX('Reguler Class Availability'!$F:$F,$Q234)&amp;""),0)=0,IFERROR(--(INDEX('Reguler Class Availability'!$G:$G,$Q234)&amp;""),0)=0),"Tutup",IF(IFERROR(--(INDEX('Reguler Class Availability'!$G:$G,$Q234)&amp;""),0)&gt;IFERROR(--(INDEX('Reguler Class Availability'!$F:$F,$Q234)&amp;""),0),"Lebih",IF(IFERROR(--(INDEX('Reguler Class Availability'!$G:$G,$Q234)&amp;""),0)=IFERROR(--(INDEX('Reguler Class Availability'!$F:$F,$Q234)&amp;""),0),"Penuh",IF(IFERROR(--(INDEX('Reguler Class Availability'!$G:$G,$Q234)&amp;""),0)=0,IF(INDEX('Reguler Class Availability'!$B:$B,$Q234)&amp;""="","Kosong","Belum terisi"),IF(IFERROR(--(INDEX('Reguler Class Availability'!$G:$G,$Q234)&amp;""),0)/IFERROR(--(INDEX('Reguler Class Availability'!$F:$F,$Q234)&amp;""),0)&gt;=0.6,"Tinggi","Sebagian"))))))</f>
        <v>Belum terisi</v>
      </c>
      <c r="F234" s="77" t="str">
        <f aca="false">IF($Q234="","",PROPER(INDEX('Reguler Class Availability'!$B:$B,$Q234)&amp;""))</f>
        <v>Little</v>
      </c>
      <c r="G234" s="76" t="n">
        <f aca="false">IF($Q234="","",IFERROR(--(INDEX('Reguler Class Availability'!$F:$F,$Q234)&amp;""),0))</f>
        <v>4</v>
      </c>
      <c r="H234" s="77" t="str">
        <f aca="false">IF($Q234="","",PROPER(INDEX('Reguler Class Availability'!$I:$I,$Q234)&amp;"")&amp;IF(INDEX('Reguler Class Availability'!$J:$J,$Q234)&amp;""="",""," + asst "&amp;PROPER(INDEX('Reguler Class Availability'!$J:$J,$Q234)&amp;"")))</f>
        <v/>
      </c>
      <c r="I234" s="77" t="s">
        <v>513</v>
      </c>
      <c r="J234" s="77" t="s">
        <v>188</v>
      </c>
      <c r="K234" s="78"/>
      <c r="L234" s="78"/>
      <c r="M234" s="78"/>
      <c r="N234" s="79"/>
      <c r="O234" s="78"/>
      <c r="Q234" s="30" t="n">
        <f aca="false">IFERROR(MATCH($B$4&amp;"|- Lane "&amp;D234&amp;" - "&amp;B234&amp;"|"&amp;C234,'Reguler Class Availability'!$L:$L,0),"")</f>
        <v>2615</v>
      </c>
      <c r="BD234" s="30" t="s">
        <v>164</v>
      </c>
      <c r="BE234" s="30" t="n">
        <f aca="false">IF(COUNTIFS('Reguler Class Availability'!$L:$L,$B$4&amp;"|- Lane 4 - *|"&amp;BD234)&gt;0,1,0)</f>
        <v>0</v>
      </c>
      <c r="BF234" s="30" t="n">
        <f aca="false">BE234+BF233</f>
        <v>12</v>
      </c>
    </row>
    <row r="235" customFormat="false" ht="27.75" hidden="false" customHeight="true" outlineLevel="0" collapsed="false">
      <c r="A235" s="76" t="n">
        <v>109</v>
      </c>
      <c r="B235" s="77" t="s">
        <v>115</v>
      </c>
      <c r="C235" s="76" t="s">
        <v>156</v>
      </c>
      <c r="D235" s="76" t="n">
        <v>4</v>
      </c>
      <c r="E235" s="77" t="str">
        <f aca="false">IF($Q235="","Tidak ada di data",IF(AND(IFERROR(--(INDEX('Reguler Class Availability'!$F:$F,$Q235)&amp;""),0)=0,IFERROR(--(INDEX('Reguler Class Availability'!$G:$G,$Q235)&amp;""),0)=0),"Tutup",IF(IFERROR(--(INDEX('Reguler Class Availability'!$G:$G,$Q235)&amp;""),0)&gt;IFERROR(--(INDEX('Reguler Class Availability'!$F:$F,$Q235)&amp;""),0),"Lebih",IF(IFERROR(--(INDEX('Reguler Class Availability'!$G:$G,$Q235)&amp;""),0)=IFERROR(--(INDEX('Reguler Class Availability'!$F:$F,$Q235)&amp;""),0),"Penuh",IF(IFERROR(--(INDEX('Reguler Class Availability'!$G:$G,$Q235)&amp;""),0)=0,IF(INDEX('Reguler Class Availability'!$B:$B,$Q235)&amp;""="","Kosong","Belum terisi"),IF(IFERROR(--(INDEX('Reguler Class Availability'!$G:$G,$Q235)&amp;""),0)/IFERROR(--(INDEX('Reguler Class Availability'!$F:$F,$Q235)&amp;""),0)&gt;=0.6,"Tinggi","Sebagian"))))))</f>
        <v>Belum terisi</v>
      </c>
      <c r="F235" s="77" t="str">
        <f aca="false">IF($Q235="","",PROPER(INDEX('Reguler Class Availability'!$B:$B,$Q235)&amp;""))</f>
        <v>Kids</v>
      </c>
      <c r="G235" s="76" t="n">
        <f aca="false">IF($Q235="","",IFERROR(--(INDEX('Reguler Class Availability'!$F:$F,$Q235)&amp;""),0))</f>
        <v>4</v>
      </c>
      <c r="H235" s="77" t="str">
        <f aca="false">IF($Q235="","",PROPER(INDEX('Reguler Class Availability'!$I:$I,$Q235)&amp;"")&amp;IF(INDEX('Reguler Class Availability'!$J:$J,$Q235)&amp;""="",""," + asst "&amp;PROPER(INDEX('Reguler Class Availability'!$J:$J,$Q235)&amp;"")))</f>
        <v/>
      </c>
      <c r="I235" s="77" t="s">
        <v>513</v>
      </c>
      <c r="J235" s="77" t="s">
        <v>188</v>
      </c>
      <c r="K235" s="78"/>
      <c r="L235" s="78"/>
      <c r="M235" s="78"/>
      <c r="N235" s="79"/>
      <c r="O235" s="78"/>
      <c r="Q235" s="30" t="n">
        <f aca="false">IFERROR(MATCH($B$4&amp;"|- Lane "&amp;D235&amp;" - "&amp;B235&amp;"|"&amp;C235,'Reguler Class Availability'!$L:$L,0),"")</f>
        <v>2699</v>
      </c>
      <c r="BD235" s="30" t="s">
        <v>165</v>
      </c>
      <c r="BE235" s="30" t="n">
        <f aca="false">IF(COUNTIFS('Reguler Class Availability'!$L:$L,$B$4&amp;"|- Lane 4 - *|"&amp;BD235)&gt;0,1,0)</f>
        <v>0</v>
      </c>
      <c r="BF235" s="30" t="n">
        <f aca="false">BE235+BF234</f>
        <v>12</v>
      </c>
    </row>
    <row r="236" customFormat="false" ht="27.75" hidden="false" customHeight="true" outlineLevel="0" collapsed="false">
      <c r="A236" s="76" t="n">
        <v>110</v>
      </c>
      <c r="B236" s="77" t="s">
        <v>115</v>
      </c>
      <c r="C236" s="76" t="s">
        <v>160</v>
      </c>
      <c r="D236" s="76" t="n">
        <v>1</v>
      </c>
      <c r="E236" s="77" t="str">
        <f aca="false">IF($Q236="","Tidak ada di data",IF(AND(IFERROR(--(INDEX('Reguler Class Availability'!$F:$F,$Q236)&amp;""),0)=0,IFERROR(--(INDEX('Reguler Class Availability'!$G:$G,$Q236)&amp;""),0)=0),"Tutup",IF(IFERROR(--(INDEX('Reguler Class Availability'!$G:$G,$Q236)&amp;""),0)&gt;IFERROR(--(INDEX('Reguler Class Availability'!$F:$F,$Q236)&amp;""),0),"Lebih",IF(IFERROR(--(INDEX('Reguler Class Availability'!$G:$G,$Q236)&amp;""),0)=IFERROR(--(INDEX('Reguler Class Availability'!$F:$F,$Q236)&amp;""),0),"Penuh",IF(IFERROR(--(INDEX('Reguler Class Availability'!$G:$G,$Q236)&amp;""),0)=0,IF(INDEX('Reguler Class Availability'!$B:$B,$Q236)&amp;""="","Kosong","Belum terisi"),IF(IFERROR(--(INDEX('Reguler Class Availability'!$G:$G,$Q236)&amp;""),0)/IFERROR(--(INDEX('Reguler Class Availability'!$F:$F,$Q236)&amp;""),0)&gt;=0.6,"Tinggi","Sebagian"))))))</f>
        <v>Belum terisi</v>
      </c>
      <c r="F236" s="77" t="str">
        <f aca="false">IF($Q236="","",PROPER(INDEX('Reguler Class Availability'!$B:$B,$Q236)&amp;""))</f>
        <v>Star</v>
      </c>
      <c r="G236" s="76" t="n">
        <f aca="false">IF($Q236="","",IFERROR(--(INDEX('Reguler Class Availability'!$F:$F,$Q236)&amp;""),0))</f>
        <v>8</v>
      </c>
      <c r="H236" s="77" t="str">
        <f aca="false">IF($Q236="","",PROPER(INDEX('Reguler Class Availability'!$I:$I,$Q236)&amp;"")&amp;IF(INDEX('Reguler Class Availability'!$J:$J,$Q236)&amp;""="",""," + asst "&amp;PROPER(INDEX('Reguler Class Availability'!$J:$J,$Q236)&amp;"")))</f>
        <v/>
      </c>
      <c r="I236" s="77" t="s">
        <v>513</v>
      </c>
      <c r="J236" s="77" t="s">
        <v>186</v>
      </c>
      <c r="K236" s="78"/>
      <c r="L236" s="78"/>
      <c r="M236" s="78"/>
      <c r="N236" s="79"/>
      <c r="O236" s="78"/>
      <c r="Q236" s="30" t="n">
        <f aca="false">IFERROR(MATCH($B$4&amp;"|- Lane "&amp;D236&amp;" - "&amp;B236&amp;"|"&amp;C236,'Reguler Class Availability'!$L:$L,0),"")</f>
        <v>2502</v>
      </c>
      <c r="BD236" s="30" t="s">
        <v>166</v>
      </c>
      <c r="BE236" s="30" t="n">
        <f aca="false">IF(COUNTIFS('Reguler Class Availability'!$L:$L,$B$4&amp;"|- Lane 4 - *|"&amp;BD236)&gt;0,1,0)</f>
        <v>0</v>
      </c>
      <c r="BF236" s="30" t="n">
        <f aca="false">BE236+BF235</f>
        <v>12</v>
      </c>
    </row>
    <row r="237" customFormat="false" ht="40.5" hidden="false" customHeight="true" outlineLevel="0" collapsed="false">
      <c r="A237" s="76" t="n">
        <v>111</v>
      </c>
      <c r="B237" s="77" t="s">
        <v>116</v>
      </c>
      <c r="C237" s="76" t="s">
        <v>91</v>
      </c>
      <c r="D237" s="76" t="n">
        <v>1</v>
      </c>
      <c r="E237" s="77" t="str">
        <f aca="false">IF($Q237="","Tidak ada di data",IF(AND(IFERROR(--(INDEX('Reguler Class Availability'!$F:$F,$Q237)&amp;""),0)=0,IFERROR(--(INDEX('Reguler Class Availability'!$G:$G,$Q237)&amp;""),0)=0),"Tutup",IF(IFERROR(--(INDEX('Reguler Class Availability'!$G:$G,$Q237)&amp;""),0)&gt;IFERROR(--(INDEX('Reguler Class Availability'!$F:$F,$Q237)&amp;""),0),"Lebih",IF(IFERROR(--(INDEX('Reguler Class Availability'!$G:$G,$Q237)&amp;""),0)=IFERROR(--(INDEX('Reguler Class Availability'!$F:$F,$Q237)&amp;""),0),"Penuh",IF(IFERROR(--(INDEX('Reguler Class Availability'!$G:$G,$Q237)&amp;""),0)=0,IF(INDEX('Reguler Class Availability'!$B:$B,$Q237)&amp;""="","Kosong","Belum terisi"),IF(IFERROR(--(INDEX('Reguler Class Availability'!$G:$G,$Q237)&amp;""),0)/IFERROR(--(INDEX('Reguler Class Availability'!$F:$F,$Q237)&amp;""),0)&gt;=0.6,"Tinggi","Sebagian"))))))</f>
        <v>Belum terisi</v>
      </c>
      <c r="F237" s="77" t="str">
        <f aca="false">IF($Q237="","",PROPER(INDEX('Reguler Class Availability'!$B:$B,$Q237)&amp;""))</f>
        <v>Star</v>
      </c>
      <c r="G237" s="76" t="n">
        <f aca="false">IF($Q237="","",IFERROR(--(INDEX('Reguler Class Availability'!$F:$F,$Q237)&amp;""),0))</f>
        <v>8</v>
      </c>
      <c r="H237" s="77" t="str">
        <f aca="false">IF($Q237="","",PROPER(INDEX('Reguler Class Availability'!$I:$I,$Q237)&amp;"")&amp;IF(INDEX('Reguler Class Availability'!$J:$J,$Q237)&amp;""="",""," + asst "&amp;PROPER(INDEX('Reguler Class Availability'!$J:$J,$Q237)&amp;"")))</f>
        <v/>
      </c>
      <c r="I237" s="77" t="s">
        <v>519</v>
      </c>
      <c r="J237" s="77" t="s">
        <v>186</v>
      </c>
      <c r="K237" s="78"/>
      <c r="L237" s="78"/>
      <c r="M237" s="78"/>
      <c r="N237" s="79"/>
      <c r="O237" s="78"/>
      <c r="Q237" s="30" t="n">
        <f aca="false">IFERROR(MATCH($B$4&amp;"|- Lane "&amp;D237&amp;" - "&amp;B237&amp;"|"&amp;C237,'Reguler Class Availability'!$L:$L,0),"")</f>
        <v>2496</v>
      </c>
      <c r="BD237" s="30" t="s">
        <v>167</v>
      </c>
      <c r="BE237" s="30" t="n">
        <f aca="false">IF(COUNTIFS('Reguler Class Availability'!$L:$L,$B$4&amp;"|- Lane 4 - *|"&amp;BD237)&gt;0,1,0)</f>
        <v>0</v>
      </c>
      <c r="BF237" s="30" t="n">
        <f aca="false">BE237+BF236</f>
        <v>12</v>
      </c>
    </row>
    <row r="238" customFormat="false" ht="40.5" hidden="false" customHeight="true" outlineLevel="0" collapsed="false">
      <c r="A238" s="76" t="n">
        <v>112</v>
      </c>
      <c r="B238" s="77" t="s">
        <v>116</v>
      </c>
      <c r="C238" s="76" t="s">
        <v>105</v>
      </c>
      <c r="D238" s="76" t="n">
        <v>1</v>
      </c>
      <c r="E238" s="77" t="str">
        <f aca="false">IF($Q238="","Tidak ada di data",IF(AND(IFERROR(--(INDEX('Reguler Class Availability'!$F:$F,$Q238)&amp;""),0)=0,IFERROR(--(INDEX('Reguler Class Availability'!$G:$G,$Q238)&amp;""),0)=0),"Tutup",IF(IFERROR(--(INDEX('Reguler Class Availability'!$G:$G,$Q238)&amp;""),0)&gt;IFERROR(--(INDEX('Reguler Class Availability'!$F:$F,$Q238)&amp;""),0),"Lebih",IF(IFERROR(--(INDEX('Reguler Class Availability'!$G:$G,$Q238)&amp;""),0)=IFERROR(--(INDEX('Reguler Class Availability'!$F:$F,$Q238)&amp;""),0),"Penuh",IF(IFERROR(--(INDEX('Reguler Class Availability'!$G:$G,$Q238)&amp;""),0)=0,IF(INDEX('Reguler Class Availability'!$B:$B,$Q238)&amp;""="","Kosong","Belum terisi"),IF(IFERROR(--(INDEX('Reguler Class Availability'!$G:$G,$Q238)&amp;""),0)/IFERROR(--(INDEX('Reguler Class Availability'!$F:$F,$Q238)&amp;""),0)&gt;=0.6,"Tinggi","Sebagian"))))))</f>
        <v>Belum terisi</v>
      </c>
      <c r="F238" s="77" t="str">
        <f aca="false">IF($Q238="","",PROPER(INDEX('Reguler Class Availability'!$B:$B,$Q238)&amp;""))</f>
        <v>Baby</v>
      </c>
      <c r="G238" s="76" t="n">
        <f aca="false">IF($Q238="","",IFERROR(--(INDEX('Reguler Class Availability'!$F:$F,$Q238)&amp;""),0))</f>
        <v>5</v>
      </c>
      <c r="H238" s="77" t="str">
        <f aca="false">IF($Q238="","",PROPER(INDEX('Reguler Class Availability'!$I:$I,$Q238)&amp;"")&amp;IF(INDEX('Reguler Class Availability'!$J:$J,$Q238)&amp;""="",""," + asst "&amp;PROPER(INDEX('Reguler Class Availability'!$J:$J,$Q238)&amp;"")))</f>
        <v/>
      </c>
      <c r="I238" s="77" t="s">
        <v>519</v>
      </c>
      <c r="J238" s="77" t="s">
        <v>186</v>
      </c>
      <c r="K238" s="78"/>
      <c r="L238" s="78"/>
      <c r="M238" s="78"/>
      <c r="N238" s="79"/>
      <c r="O238" s="78"/>
      <c r="Q238" s="30" t="n">
        <f aca="false">IFERROR(MATCH($B$4&amp;"|- Lane "&amp;D238&amp;" - "&amp;B238&amp;"|"&amp;C238,'Reguler Class Availability'!$L:$L,0),"")</f>
        <v>2434</v>
      </c>
      <c r="BD238" s="30" t="s">
        <v>168</v>
      </c>
      <c r="BE238" s="30" t="n">
        <f aca="false">IF(COUNTIFS('Reguler Class Availability'!$L:$L,$B$4&amp;"|- Lane 4 - *|"&amp;BD238)&gt;0,1,0)</f>
        <v>0</v>
      </c>
      <c r="BF238" s="30" t="n">
        <f aca="false">BE238+BF237</f>
        <v>12</v>
      </c>
    </row>
    <row r="239" customFormat="false" ht="40.5" hidden="false" customHeight="true" outlineLevel="0" collapsed="false">
      <c r="A239" s="76" t="n">
        <v>113</v>
      </c>
      <c r="B239" s="77" t="s">
        <v>116</v>
      </c>
      <c r="C239" s="76" t="s">
        <v>105</v>
      </c>
      <c r="D239" s="76" t="n">
        <v>2</v>
      </c>
      <c r="E239" s="77" t="str">
        <f aca="false">IF($Q239="","Tidak ada di data",IF(AND(IFERROR(--(INDEX('Reguler Class Availability'!$F:$F,$Q239)&amp;""),0)=0,IFERROR(--(INDEX('Reguler Class Availability'!$G:$G,$Q239)&amp;""),0)=0),"Tutup",IF(IFERROR(--(INDEX('Reguler Class Availability'!$G:$G,$Q239)&amp;""),0)&gt;IFERROR(--(INDEX('Reguler Class Availability'!$F:$F,$Q239)&amp;""),0),"Lebih",IF(IFERROR(--(INDEX('Reguler Class Availability'!$G:$G,$Q239)&amp;""),0)=IFERROR(--(INDEX('Reguler Class Availability'!$F:$F,$Q239)&amp;""),0),"Penuh",IF(IFERROR(--(INDEX('Reguler Class Availability'!$G:$G,$Q239)&amp;""),0)=0,IF(INDEX('Reguler Class Availability'!$B:$B,$Q239)&amp;""="","Kosong","Belum terisi"),IF(IFERROR(--(INDEX('Reguler Class Availability'!$G:$G,$Q239)&amp;""),0)/IFERROR(--(INDEX('Reguler Class Availability'!$F:$F,$Q239)&amp;""),0)&gt;=0.6,"Tinggi","Sebagian"))))))</f>
        <v>Belum terisi</v>
      </c>
      <c r="F239" s="77" t="str">
        <f aca="false">IF($Q239="","",PROPER(INDEX('Reguler Class Availability'!$B:$B,$Q239)&amp;""))</f>
        <v>Tiny</v>
      </c>
      <c r="G239" s="76" t="n">
        <f aca="false">IF($Q239="","",IFERROR(--(INDEX('Reguler Class Availability'!$F:$F,$Q239)&amp;""),0))</f>
        <v>5</v>
      </c>
      <c r="H239" s="77" t="str">
        <f aca="false">IF($Q239="","",PROPER(INDEX('Reguler Class Availability'!$I:$I,$Q239)&amp;"")&amp;IF(INDEX('Reguler Class Availability'!$J:$J,$Q239)&amp;""="",""," + asst "&amp;PROPER(INDEX('Reguler Class Availability'!$J:$J,$Q239)&amp;"")))</f>
        <v/>
      </c>
      <c r="I239" s="77" t="s">
        <v>519</v>
      </c>
      <c r="J239" s="77" t="s">
        <v>186</v>
      </c>
      <c r="K239" s="78"/>
      <c r="L239" s="78"/>
      <c r="M239" s="78"/>
      <c r="N239" s="79"/>
      <c r="O239" s="78"/>
      <c r="Q239" s="30" t="n">
        <f aca="false">IFERROR(MATCH($B$4&amp;"|- Lane "&amp;D239&amp;" - "&amp;B239&amp;"|"&amp;C239,'Reguler Class Availability'!$L:$L,0),"")</f>
        <v>2532</v>
      </c>
      <c r="BD239" s="30" t="s">
        <v>169</v>
      </c>
      <c r="BE239" s="30" t="n">
        <f aca="false">IF(COUNTIFS('Reguler Class Availability'!$L:$L,$B$4&amp;"|- Lane 4 - *|"&amp;BD239)&gt;0,1,0)</f>
        <v>0</v>
      </c>
      <c r="BF239" s="30" t="n">
        <f aca="false">BE239+BF238</f>
        <v>12</v>
      </c>
    </row>
    <row r="240" customFormat="false" ht="40.5" hidden="false" customHeight="true" outlineLevel="0" collapsed="false">
      <c r="A240" s="76" t="n">
        <v>114</v>
      </c>
      <c r="B240" s="77" t="s">
        <v>116</v>
      </c>
      <c r="C240" s="76" t="s">
        <v>105</v>
      </c>
      <c r="D240" s="76" t="n">
        <v>5</v>
      </c>
      <c r="E240" s="77" t="str">
        <f aca="false">IF($Q240="","Tidak ada di data",IF(AND(IFERROR(--(INDEX('Reguler Class Availability'!$F:$F,$Q240)&amp;""),0)=0,IFERROR(--(INDEX('Reguler Class Availability'!$G:$G,$Q240)&amp;""),0)=0),"Tutup",IF(IFERROR(--(INDEX('Reguler Class Availability'!$G:$G,$Q240)&amp;""),0)&gt;IFERROR(--(INDEX('Reguler Class Availability'!$F:$F,$Q240)&amp;""),0),"Lebih",IF(IFERROR(--(INDEX('Reguler Class Availability'!$G:$G,$Q240)&amp;""),0)=IFERROR(--(INDEX('Reguler Class Availability'!$F:$F,$Q240)&amp;""),0),"Penuh",IF(IFERROR(--(INDEX('Reguler Class Availability'!$G:$G,$Q240)&amp;""),0)=0,IF(INDEX('Reguler Class Availability'!$B:$B,$Q240)&amp;""="","Kosong","Belum terisi"),IF(IFERROR(--(INDEX('Reguler Class Availability'!$G:$G,$Q240)&amp;""),0)/IFERROR(--(INDEX('Reguler Class Availability'!$F:$F,$Q240)&amp;""),0)&gt;=0.6,"Tinggi","Sebagian"))))))</f>
        <v>Kosong</v>
      </c>
      <c r="F240" s="77" t="str">
        <f aca="false">IF($Q240="","",PROPER(INDEX('Reguler Class Availability'!$B:$B,$Q240)&amp;""))</f>
        <v/>
      </c>
      <c r="G240" s="76" t="n">
        <f aca="false">IF($Q240="","",IFERROR(--(INDEX('Reguler Class Availability'!$F:$F,$Q240)&amp;""),0))</f>
        <v>4</v>
      </c>
      <c r="H240" s="77" t="str">
        <f aca="false">IF($Q240="","",PROPER(INDEX('Reguler Class Availability'!$I:$I,$Q240)&amp;"")&amp;IF(INDEX('Reguler Class Availability'!$J:$J,$Q240)&amp;""="",""," + asst "&amp;PROPER(INDEX('Reguler Class Availability'!$J:$J,$Q240)&amp;"")))</f>
        <v/>
      </c>
      <c r="I240" s="77" t="s">
        <v>519</v>
      </c>
      <c r="J240" s="77" t="s">
        <v>186</v>
      </c>
      <c r="K240" s="78"/>
      <c r="L240" s="78"/>
      <c r="M240" s="78"/>
      <c r="N240" s="79"/>
      <c r="O240" s="78"/>
      <c r="Q240" s="30" t="n">
        <f aca="false">IFERROR(MATCH($B$4&amp;"|- Lane "&amp;D240&amp;" - "&amp;B240&amp;"|"&amp;C240,'Reguler Class Availability'!$L:$L,0),"")</f>
        <v>2784</v>
      </c>
      <c r="BD240" s="30" t="s">
        <v>170</v>
      </c>
      <c r="BE240" s="30" t="n">
        <f aca="false">IF(COUNTIFS('Reguler Class Availability'!$L:$L,$B$4&amp;"|- Lane 4 - *|"&amp;BD240)&gt;0,1,0)</f>
        <v>0</v>
      </c>
      <c r="BF240" s="30" t="n">
        <f aca="false">BE240+BF239</f>
        <v>12</v>
      </c>
    </row>
    <row r="241" customFormat="false" ht="27.75" hidden="false" customHeight="true" outlineLevel="0" collapsed="false">
      <c r="A241" s="76" t="n">
        <v>115</v>
      </c>
      <c r="B241" s="77" t="s">
        <v>116</v>
      </c>
      <c r="C241" s="76" t="s">
        <v>110</v>
      </c>
      <c r="D241" s="76" t="n">
        <v>3</v>
      </c>
      <c r="E241" s="77" t="str">
        <f aca="false">IF($Q241="","Tidak ada di data",IF(AND(IFERROR(--(INDEX('Reguler Class Availability'!$F:$F,$Q241)&amp;""),0)=0,IFERROR(--(INDEX('Reguler Class Availability'!$G:$G,$Q241)&amp;""),0)=0),"Tutup",IF(IFERROR(--(INDEX('Reguler Class Availability'!$G:$G,$Q241)&amp;""),0)&gt;IFERROR(--(INDEX('Reguler Class Availability'!$F:$F,$Q241)&amp;""),0),"Lebih",IF(IFERROR(--(INDEX('Reguler Class Availability'!$G:$G,$Q241)&amp;""),0)=IFERROR(--(INDEX('Reguler Class Availability'!$F:$F,$Q241)&amp;""),0),"Penuh",IF(IFERROR(--(INDEX('Reguler Class Availability'!$G:$G,$Q241)&amp;""),0)=0,IF(INDEX('Reguler Class Availability'!$B:$B,$Q241)&amp;""="","Kosong","Belum terisi"),IF(IFERROR(--(INDEX('Reguler Class Availability'!$G:$G,$Q241)&amp;""),0)/IFERROR(--(INDEX('Reguler Class Availability'!$F:$F,$Q241)&amp;""),0)&gt;=0.6,"Tinggi","Sebagian"))))))</f>
        <v>Belum terisi</v>
      </c>
      <c r="F241" s="77" t="str">
        <f aca="false">IF($Q241="","",PROPER(INDEX('Reguler Class Availability'!$B:$B,$Q241)&amp;""))</f>
        <v>Little</v>
      </c>
      <c r="G241" s="76" t="n">
        <f aca="false">IF($Q241="","",IFERROR(--(INDEX('Reguler Class Availability'!$F:$F,$Q241)&amp;""),0))</f>
        <v>4</v>
      </c>
      <c r="H241" s="77" t="str">
        <f aca="false">IF($Q241="","",PROPER(INDEX('Reguler Class Availability'!$I:$I,$Q241)&amp;"")&amp;IF(INDEX('Reguler Class Availability'!$J:$J,$Q241)&amp;""="",""," + asst "&amp;PROPER(INDEX('Reguler Class Availability'!$J:$J,$Q241)&amp;"")))</f>
        <v/>
      </c>
      <c r="I241" s="77" t="s">
        <v>520</v>
      </c>
      <c r="J241" s="77" t="s">
        <v>186</v>
      </c>
      <c r="K241" s="78"/>
      <c r="L241" s="78"/>
      <c r="M241" s="78"/>
      <c r="N241" s="79"/>
      <c r="O241" s="78"/>
      <c r="Q241" s="30" t="n">
        <f aca="false">IFERROR(MATCH($B$4&amp;"|- Lane "&amp;D241&amp;" - "&amp;B241&amp;"|"&amp;C241,'Reguler Class Availability'!$L:$L,0),"")</f>
        <v>2616</v>
      </c>
      <c r="BD241" s="30" t="s">
        <v>171</v>
      </c>
      <c r="BE241" s="30" t="n">
        <f aca="false">IF(COUNTIFS('Reguler Class Availability'!$L:$L,$B$4&amp;"|- Lane 4 - *|"&amp;BD241)&gt;0,1,0)</f>
        <v>0</v>
      </c>
      <c r="BF241" s="30" t="n">
        <f aca="false">BE241+BF240</f>
        <v>12</v>
      </c>
    </row>
    <row r="242" customFormat="false" ht="27.75" hidden="false" customHeight="true" outlineLevel="0" collapsed="false">
      <c r="A242" s="76" t="n">
        <v>116</v>
      </c>
      <c r="B242" s="77" t="s">
        <v>116</v>
      </c>
      <c r="C242" s="76" t="s">
        <v>110</v>
      </c>
      <c r="D242" s="76" t="n">
        <v>4</v>
      </c>
      <c r="E242" s="77" t="str">
        <f aca="false">IF($Q242="","Tidak ada di data",IF(AND(IFERROR(--(INDEX('Reguler Class Availability'!$F:$F,$Q242)&amp;""),0)=0,IFERROR(--(INDEX('Reguler Class Availability'!$G:$G,$Q242)&amp;""),0)=0),"Tutup",IF(IFERROR(--(INDEX('Reguler Class Availability'!$G:$G,$Q242)&amp;""),0)&gt;IFERROR(--(INDEX('Reguler Class Availability'!$F:$F,$Q242)&amp;""),0),"Lebih",IF(IFERROR(--(INDEX('Reguler Class Availability'!$G:$G,$Q242)&amp;""),0)=IFERROR(--(INDEX('Reguler Class Availability'!$F:$F,$Q242)&amp;""),0),"Penuh",IF(IFERROR(--(INDEX('Reguler Class Availability'!$G:$G,$Q242)&amp;""),0)=0,IF(INDEX('Reguler Class Availability'!$B:$B,$Q242)&amp;""="","Kosong","Belum terisi"),IF(IFERROR(--(INDEX('Reguler Class Availability'!$G:$G,$Q242)&amp;""),0)/IFERROR(--(INDEX('Reguler Class Availability'!$F:$F,$Q242)&amp;""),0)&gt;=0.6,"Tinggi","Sebagian"))))))</f>
        <v>Belum terisi</v>
      </c>
      <c r="F242" s="77" t="str">
        <f aca="false">IF($Q242="","",PROPER(INDEX('Reguler Class Availability'!$B:$B,$Q242)&amp;""))</f>
        <v>Kids</v>
      </c>
      <c r="G242" s="76" t="n">
        <f aca="false">IF($Q242="","",IFERROR(--(INDEX('Reguler Class Availability'!$F:$F,$Q242)&amp;""),0))</f>
        <v>4</v>
      </c>
      <c r="H242" s="77" t="str">
        <f aca="false">IF($Q242="","",PROPER(INDEX('Reguler Class Availability'!$I:$I,$Q242)&amp;"")&amp;IF(INDEX('Reguler Class Availability'!$J:$J,$Q242)&amp;""="",""," + asst "&amp;PROPER(INDEX('Reguler Class Availability'!$J:$J,$Q242)&amp;"")))</f>
        <v/>
      </c>
      <c r="I242" s="77" t="s">
        <v>520</v>
      </c>
      <c r="J242" s="77" t="s">
        <v>186</v>
      </c>
      <c r="K242" s="78"/>
      <c r="L242" s="78"/>
      <c r="M242" s="78"/>
      <c r="N242" s="79"/>
      <c r="O242" s="78"/>
      <c r="Q242" s="30" t="n">
        <f aca="false">IFERROR(MATCH($B$4&amp;"|- Lane "&amp;D242&amp;" - "&amp;B242&amp;"|"&amp;C242,'Reguler Class Availability'!$L:$L,0),"")</f>
        <v>2700</v>
      </c>
      <c r="BD242" s="30" t="s">
        <v>78</v>
      </c>
      <c r="BE242" s="30" t="n">
        <f aca="false">IF(COUNTIFS('Reguler Class Availability'!$L:$L,$B$4&amp;"|- Lane 5 - *|"&amp;BD242)&gt;0,1,0)</f>
        <v>0</v>
      </c>
      <c r="BF242" s="30" t="n">
        <f aca="false">BE242</f>
        <v>0</v>
      </c>
    </row>
    <row r="243" customFormat="false" ht="27.75" hidden="false" customHeight="true" outlineLevel="0" collapsed="false">
      <c r="A243" s="76" t="n">
        <v>117</v>
      </c>
      <c r="B243" s="77" t="s">
        <v>116</v>
      </c>
      <c r="C243" s="76" t="s">
        <v>120</v>
      </c>
      <c r="D243" s="76" t="n">
        <v>1</v>
      </c>
      <c r="E243" s="77" t="str">
        <f aca="false">IF($Q243="","Tidak ada di data",IF(AND(IFERROR(--(INDEX('Reguler Class Availability'!$F:$F,$Q243)&amp;""),0)=0,IFERROR(--(INDEX('Reguler Class Availability'!$G:$G,$Q243)&amp;""),0)=0),"Tutup",IF(IFERROR(--(INDEX('Reguler Class Availability'!$G:$G,$Q243)&amp;""),0)&gt;IFERROR(--(INDEX('Reguler Class Availability'!$F:$F,$Q243)&amp;""),0),"Lebih",IF(IFERROR(--(INDEX('Reguler Class Availability'!$G:$G,$Q243)&amp;""),0)=IFERROR(--(INDEX('Reguler Class Availability'!$F:$F,$Q243)&amp;""),0),"Penuh",IF(IFERROR(--(INDEX('Reguler Class Availability'!$G:$G,$Q243)&amp;""),0)=0,IF(INDEX('Reguler Class Availability'!$B:$B,$Q243)&amp;""="","Kosong","Belum terisi"),IF(IFERROR(--(INDEX('Reguler Class Availability'!$G:$G,$Q243)&amp;""),0)/IFERROR(--(INDEX('Reguler Class Availability'!$F:$F,$Q243)&amp;""),0)&gt;=0.6,"Tinggi","Sebagian"))))))</f>
        <v>Belum terisi</v>
      </c>
      <c r="F243" s="77" t="str">
        <f aca="false">IF($Q243="","",PROPER(INDEX('Reguler Class Availability'!$B:$B,$Q243)&amp;""))</f>
        <v>Baby</v>
      </c>
      <c r="G243" s="76" t="n">
        <f aca="false">IF($Q243="","",IFERROR(--(INDEX('Reguler Class Availability'!$F:$F,$Q243)&amp;""),0))</f>
        <v>5</v>
      </c>
      <c r="H243" s="77" t="str">
        <f aca="false">IF($Q243="","",PROPER(INDEX('Reguler Class Availability'!$I:$I,$Q243)&amp;"")&amp;IF(INDEX('Reguler Class Availability'!$J:$J,$Q243)&amp;""="",""," + asst "&amp;PROPER(INDEX('Reguler Class Availability'!$J:$J,$Q243)&amp;"")))</f>
        <v/>
      </c>
      <c r="I243" s="77" t="s">
        <v>520</v>
      </c>
      <c r="J243" s="77" t="s">
        <v>186</v>
      </c>
      <c r="K243" s="78"/>
      <c r="L243" s="78"/>
      <c r="M243" s="78"/>
      <c r="N243" s="79"/>
      <c r="O243" s="78"/>
      <c r="Q243" s="30" t="n">
        <f aca="false">IFERROR(MATCH($B$4&amp;"|- Lane "&amp;D243&amp;" - "&amp;B243&amp;"|"&amp;C243,'Reguler Class Availability'!$L:$L,0),"")</f>
        <v>2435</v>
      </c>
      <c r="BD243" s="30" t="s">
        <v>79</v>
      </c>
      <c r="BE243" s="30" t="n">
        <f aca="false">IF(COUNTIFS('Reguler Class Availability'!$L:$L,$B$4&amp;"|- Lane 5 - *|"&amp;BD243)&gt;0,1,0)</f>
        <v>0</v>
      </c>
      <c r="BF243" s="30" t="n">
        <f aca="false">BE243+BF242</f>
        <v>0</v>
      </c>
    </row>
    <row r="244" customFormat="false" ht="27.75" hidden="false" customHeight="true" outlineLevel="0" collapsed="false">
      <c r="A244" s="76" t="n">
        <v>118</v>
      </c>
      <c r="B244" s="77" t="s">
        <v>116</v>
      </c>
      <c r="C244" s="76" t="s">
        <v>120</v>
      </c>
      <c r="D244" s="76" t="n">
        <v>5</v>
      </c>
      <c r="E244" s="77" t="str">
        <f aca="false">IF($Q244="","Tidak ada di data",IF(AND(IFERROR(--(INDEX('Reguler Class Availability'!$F:$F,$Q244)&amp;""),0)=0,IFERROR(--(INDEX('Reguler Class Availability'!$G:$G,$Q244)&amp;""),0)=0),"Tutup",IF(IFERROR(--(INDEX('Reguler Class Availability'!$G:$G,$Q244)&amp;""),0)&gt;IFERROR(--(INDEX('Reguler Class Availability'!$F:$F,$Q244)&amp;""),0),"Lebih",IF(IFERROR(--(INDEX('Reguler Class Availability'!$G:$G,$Q244)&amp;""),0)=IFERROR(--(INDEX('Reguler Class Availability'!$F:$F,$Q244)&amp;""),0),"Penuh",IF(IFERROR(--(INDEX('Reguler Class Availability'!$G:$G,$Q244)&amp;""),0)=0,IF(INDEX('Reguler Class Availability'!$B:$B,$Q244)&amp;""="","Kosong","Belum terisi"),IF(IFERROR(--(INDEX('Reguler Class Availability'!$G:$G,$Q244)&amp;""),0)/IFERROR(--(INDEX('Reguler Class Availability'!$F:$F,$Q244)&amp;""),0)&gt;=0.6,"Tinggi","Sebagian"))))))</f>
        <v>Kosong</v>
      </c>
      <c r="F244" s="77" t="str">
        <f aca="false">IF($Q244="","",PROPER(INDEX('Reguler Class Availability'!$B:$B,$Q244)&amp;""))</f>
        <v/>
      </c>
      <c r="G244" s="76" t="n">
        <f aca="false">IF($Q244="","",IFERROR(--(INDEX('Reguler Class Availability'!$F:$F,$Q244)&amp;""),0))</f>
        <v>4</v>
      </c>
      <c r="H244" s="77" t="str">
        <f aca="false">IF($Q244="","",PROPER(INDEX('Reguler Class Availability'!$I:$I,$Q244)&amp;"")&amp;IF(INDEX('Reguler Class Availability'!$J:$J,$Q244)&amp;""="",""," + asst "&amp;PROPER(INDEX('Reguler Class Availability'!$J:$J,$Q244)&amp;"")))</f>
        <v/>
      </c>
      <c r="I244" s="77" t="s">
        <v>520</v>
      </c>
      <c r="J244" s="77" t="s">
        <v>186</v>
      </c>
      <c r="K244" s="78"/>
      <c r="L244" s="78"/>
      <c r="M244" s="78"/>
      <c r="N244" s="79"/>
      <c r="O244" s="78"/>
      <c r="Q244" s="30" t="n">
        <f aca="false">IFERROR(MATCH($B$4&amp;"|- Lane "&amp;D244&amp;" - "&amp;B244&amp;"|"&amp;C244,'Reguler Class Availability'!$L:$L,0),"")</f>
        <v>2785</v>
      </c>
      <c r="BD244" s="30" t="s">
        <v>84</v>
      </c>
      <c r="BE244" s="30" t="n">
        <f aca="false">IF(COUNTIFS('Reguler Class Availability'!$L:$L,$B$4&amp;"|- Lane 5 - *|"&amp;BD244)&gt;0,1,0)</f>
        <v>0</v>
      </c>
      <c r="BF244" s="30" t="n">
        <f aca="false">BE244+BF243</f>
        <v>0</v>
      </c>
    </row>
    <row r="245" customFormat="false" ht="15.75" hidden="false" customHeight="true" outlineLevel="0" collapsed="false">
      <c r="A245" s="76" t="n">
        <v>119</v>
      </c>
      <c r="B245" s="77" t="s">
        <v>116</v>
      </c>
      <c r="C245" s="76" t="s">
        <v>121</v>
      </c>
      <c r="D245" s="76" t="n">
        <v>3</v>
      </c>
      <c r="E245" s="77" t="str">
        <f aca="false">IF($Q245="","Tidak ada di data",IF(AND(IFERROR(--(INDEX('Reguler Class Availability'!$F:$F,$Q245)&amp;""),0)=0,IFERROR(--(INDEX('Reguler Class Availability'!$G:$G,$Q245)&amp;""),0)=0),"Tutup",IF(IFERROR(--(INDEX('Reguler Class Availability'!$G:$G,$Q245)&amp;""),0)&gt;IFERROR(--(INDEX('Reguler Class Availability'!$F:$F,$Q245)&amp;""),0),"Lebih",IF(IFERROR(--(INDEX('Reguler Class Availability'!$G:$G,$Q245)&amp;""),0)=IFERROR(--(INDEX('Reguler Class Availability'!$F:$F,$Q245)&amp;""),0),"Penuh",IF(IFERROR(--(INDEX('Reguler Class Availability'!$G:$G,$Q245)&amp;""),0)=0,IF(INDEX('Reguler Class Availability'!$B:$B,$Q245)&amp;""="","Kosong","Belum terisi"),IF(IFERROR(--(INDEX('Reguler Class Availability'!$G:$G,$Q245)&amp;""),0)/IFERROR(--(INDEX('Reguler Class Availability'!$F:$F,$Q245)&amp;""),0)&gt;=0.6,"Tinggi","Sebagian"))))))</f>
        <v>Belum terisi</v>
      </c>
      <c r="F245" s="77" t="str">
        <f aca="false">IF($Q245="","",PROPER(INDEX('Reguler Class Availability'!$B:$B,$Q245)&amp;""))</f>
        <v>Little</v>
      </c>
      <c r="G245" s="76" t="n">
        <f aca="false">IF($Q245="","",IFERROR(--(INDEX('Reguler Class Availability'!$F:$F,$Q245)&amp;""),0))</f>
        <v>4</v>
      </c>
      <c r="H245" s="77" t="str">
        <f aca="false">IF($Q245="","",PROPER(INDEX('Reguler Class Availability'!$I:$I,$Q245)&amp;"")&amp;IF(INDEX('Reguler Class Availability'!$J:$J,$Q245)&amp;""="",""," + asst "&amp;PROPER(INDEX('Reguler Class Availability'!$J:$J,$Q245)&amp;"")))</f>
        <v/>
      </c>
      <c r="I245" s="77" t="s">
        <v>521</v>
      </c>
      <c r="J245" s="77" t="s">
        <v>260</v>
      </c>
      <c r="K245" s="78"/>
      <c r="L245" s="78"/>
      <c r="M245" s="78"/>
      <c r="N245" s="79"/>
      <c r="O245" s="78"/>
      <c r="Q245" s="30" t="n">
        <f aca="false">IFERROR(MATCH($B$4&amp;"|- Lane "&amp;D245&amp;" - "&amp;B245&amp;"|"&amp;C245,'Reguler Class Availability'!$L:$L,0),"")</f>
        <v>2617</v>
      </c>
      <c r="BD245" s="30" t="s">
        <v>85</v>
      </c>
      <c r="BE245" s="30" t="n">
        <f aca="false">IF(COUNTIFS('Reguler Class Availability'!$L:$L,$B$4&amp;"|- Lane 5 - *|"&amp;BD245)&gt;0,1,0)</f>
        <v>0</v>
      </c>
      <c r="BF245" s="30" t="n">
        <f aca="false">BE245+BF244</f>
        <v>0</v>
      </c>
    </row>
    <row r="246" customFormat="false" ht="15.75" hidden="false" customHeight="true" outlineLevel="0" collapsed="false">
      <c r="A246" s="76" t="n">
        <v>120</v>
      </c>
      <c r="B246" s="77" t="s">
        <v>116</v>
      </c>
      <c r="C246" s="76" t="s">
        <v>121</v>
      </c>
      <c r="D246" s="76" t="n">
        <v>4</v>
      </c>
      <c r="E246" s="77" t="str">
        <f aca="false">IF($Q246="","Tidak ada di data",IF(AND(IFERROR(--(INDEX('Reguler Class Availability'!$F:$F,$Q246)&amp;""),0)=0,IFERROR(--(INDEX('Reguler Class Availability'!$G:$G,$Q246)&amp;""),0)=0),"Tutup",IF(IFERROR(--(INDEX('Reguler Class Availability'!$G:$G,$Q246)&amp;""),0)&gt;IFERROR(--(INDEX('Reguler Class Availability'!$F:$F,$Q246)&amp;""),0),"Lebih",IF(IFERROR(--(INDEX('Reguler Class Availability'!$G:$G,$Q246)&amp;""),0)=IFERROR(--(INDEX('Reguler Class Availability'!$F:$F,$Q246)&amp;""),0),"Penuh",IF(IFERROR(--(INDEX('Reguler Class Availability'!$G:$G,$Q246)&amp;""),0)=0,IF(INDEX('Reguler Class Availability'!$B:$B,$Q246)&amp;""="","Kosong","Belum terisi"),IF(IFERROR(--(INDEX('Reguler Class Availability'!$G:$G,$Q246)&amp;""),0)/IFERROR(--(INDEX('Reguler Class Availability'!$F:$F,$Q246)&amp;""),0)&gt;=0.6,"Tinggi","Sebagian"))))))</f>
        <v>Belum terisi</v>
      </c>
      <c r="F246" s="77" t="str">
        <f aca="false">IF($Q246="","",PROPER(INDEX('Reguler Class Availability'!$B:$B,$Q246)&amp;""))</f>
        <v>Kids</v>
      </c>
      <c r="G246" s="76" t="n">
        <f aca="false">IF($Q246="","",IFERROR(--(INDEX('Reguler Class Availability'!$F:$F,$Q246)&amp;""),0))</f>
        <v>4</v>
      </c>
      <c r="H246" s="77" t="str">
        <f aca="false">IF($Q246="","",PROPER(INDEX('Reguler Class Availability'!$I:$I,$Q246)&amp;"")&amp;IF(INDEX('Reguler Class Availability'!$J:$J,$Q246)&amp;""="",""," + asst "&amp;PROPER(INDEX('Reguler Class Availability'!$J:$J,$Q246)&amp;"")))</f>
        <v/>
      </c>
      <c r="I246" s="77" t="s">
        <v>521</v>
      </c>
      <c r="J246" s="77" t="s">
        <v>260</v>
      </c>
      <c r="K246" s="78"/>
      <c r="L246" s="78"/>
      <c r="M246" s="78"/>
      <c r="N246" s="79"/>
      <c r="O246" s="78"/>
      <c r="Q246" s="30" t="n">
        <f aca="false">IFERROR(MATCH($B$4&amp;"|- Lane "&amp;D246&amp;" - "&amp;B246&amp;"|"&amp;C246,'Reguler Class Availability'!$L:$L,0),"")</f>
        <v>2701</v>
      </c>
      <c r="BD246" s="30" t="s">
        <v>89</v>
      </c>
      <c r="BE246" s="30" t="n">
        <f aca="false">IF(COUNTIFS('Reguler Class Availability'!$L:$L,$B$4&amp;"|- Lane 5 - *|"&amp;BD246)&gt;0,1,0)</f>
        <v>0</v>
      </c>
      <c r="BF246" s="30" t="n">
        <f aca="false">BE246+BF245</f>
        <v>0</v>
      </c>
    </row>
    <row r="247" customFormat="false" ht="27.75" hidden="false" customHeight="true" outlineLevel="0" collapsed="false">
      <c r="A247" s="76" t="n">
        <v>121</v>
      </c>
      <c r="B247" s="77" t="s">
        <v>116</v>
      </c>
      <c r="C247" s="76" t="s">
        <v>123</v>
      </c>
      <c r="D247" s="76" t="n">
        <v>1</v>
      </c>
      <c r="E247" s="77" t="str">
        <f aca="false">IF($Q247="","Tidak ada di data",IF(AND(IFERROR(--(INDEX('Reguler Class Availability'!$F:$F,$Q247)&amp;""),0)=0,IFERROR(--(INDEX('Reguler Class Availability'!$G:$G,$Q247)&amp;""),0)=0),"Tutup",IF(IFERROR(--(INDEX('Reguler Class Availability'!$G:$G,$Q247)&amp;""),0)&gt;IFERROR(--(INDEX('Reguler Class Availability'!$F:$F,$Q247)&amp;""),0),"Lebih",IF(IFERROR(--(INDEX('Reguler Class Availability'!$G:$G,$Q247)&amp;""),0)=IFERROR(--(INDEX('Reguler Class Availability'!$F:$F,$Q247)&amp;""),0),"Penuh",IF(IFERROR(--(INDEX('Reguler Class Availability'!$G:$G,$Q247)&amp;""),0)=0,IF(INDEX('Reguler Class Availability'!$B:$B,$Q247)&amp;""="","Kosong","Belum terisi"),IF(IFERROR(--(INDEX('Reguler Class Availability'!$G:$G,$Q247)&amp;""),0)/IFERROR(--(INDEX('Reguler Class Availability'!$F:$F,$Q247)&amp;""),0)&gt;=0.6,"Tinggi","Sebagian"))))))</f>
        <v>Belum terisi</v>
      </c>
      <c r="F247" s="77" t="str">
        <f aca="false">IF($Q247="","",PROPER(INDEX('Reguler Class Availability'!$B:$B,$Q247)&amp;""))</f>
        <v>Baby</v>
      </c>
      <c r="G247" s="76" t="n">
        <f aca="false">IF($Q247="","",IFERROR(--(INDEX('Reguler Class Availability'!$F:$F,$Q247)&amp;""),0))</f>
        <v>5</v>
      </c>
      <c r="H247" s="77" t="str">
        <f aca="false">IF($Q247="","",PROPER(INDEX('Reguler Class Availability'!$I:$I,$Q247)&amp;"")&amp;IF(INDEX('Reguler Class Availability'!$J:$J,$Q247)&amp;""="",""," + asst "&amp;PROPER(INDEX('Reguler Class Availability'!$J:$J,$Q247)&amp;"")))</f>
        <v/>
      </c>
      <c r="I247" s="77" t="s">
        <v>522</v>
      </c>
      <c r="J247" s="77" t="s">
        <v>188</v>
      </c>
      <c r="K247" s="78"/>
      <c r="L247" s="78"/>
      <c r="M247" s="78"/>
      <c r="N247" s="79"/>
      <c r="O247" s="78"/>
      <c r="Q247" s="30" t="n">
        <f aca="false">IFERROR(MATCH($B$4&amp;"|- Lane "&amp;D247&amp;" - "&amp;B247&amp;"|"&amp;C247,'Reguler Class Availability'!$L:$L,0),"")</f>
        <v>2436</v>
      </c>
      <c r="BD247" s="30" t="s">
        <v>90</v>
      </c>
      <c r="BE247" s="30" t="n">
        <f aca="false">IF(COUNTIFS('Reguler Class Availability'!$L:$L,$B$4&amp;"|- Lane 5 - *|"&amp;BD247)&gt;0,1,0)</f>
        <v>0</v>
      </c>
      <c r="BF247" s="30" t="n">
        <f aca="false">BE247+BF246</f>
        <v>0</v>
      </c>
    </row>
    <row r="248" customFormat="false" ht="27.75" hidden="false" customHeight="true" outlineLevel="0" collapsed="false">
      <c r="A248" s="76" t="n">
        <v>122</v>
      </c>
      <c r="B248" s="77" t="s">
        <v>116</v>
      </c>
      <c r="C248" s="76" t="s">
        <v>123</v>
      </c>
      <c r="D248" s="76" t="n">
        <v>5</v>
      </c>
      <c r="E248" s="77" t="str">
        <f aca="false">IF($Q248="","Tidak ada di data",IF(AND(IFERROR(--(INDEX('Reguler Class Availability'!$F:$F,$Q248)&amp;""),0)=0,IFERROR(--(INDEX('Reguler Class Availability'!$G:$G,$Q248)&amp;""),0)=0),"Tutup",IF(IFERROR(--(INDEX('Reguler Class Availability'!$G:$G,$Q248)&amp;""),0)&gt;IFERROR(--(INDEX('Reguler Class Availability'!$F:$F,$Q248)&amp;""),0),"Lebih",IF(IFERROR(--(INDEX('Reguler Class Availability'!$G:$G,$Q248)&amp;""),0)=IFERROR(--(INDEX('Reguler Class Availability'!$F:$F,$Q248)&amp;""),0),"Penuh",IF(IFERROR(--(INDEX('Reguler Class Availability'!$G:$G,$Q248)&amp;""),0)=0,IF(INDEX('Reguler Class Availability'!$B:$B,$Q248)&amp;""="","Kosong","Belum terisi"),IF(IFERROR(--(INDEX('Reguler Class Availability'!$G:$G,$Q248)&amp;""),0)/IFERROR(--(INDEX('Reguler Class Availability'!$F:$F,$Q248)&amp;""),0)&gt;=0.6,"Tinggi","Sebagian"))))))</f>
        <v>Kosong</v>
      </c>
      <c r="F248" s="77" t="str">
        <f aca="false">IF($Q248="","",PROPER(INDEX('Reguler Class Availability'!$B:$B,$Q248)&amp;""))</f>
        <v/>
      </c>
      <c r="G248" s="76" t="n">
        <f aca="false">IF($Q248="","",IFERROR(--(INDEX('Reguler Class Availability'!$F:$F,$Q248)&amp;""),0))</f>
        <v>4</v>
      </c>
      <c r="H248" s="77" t="str">
        <f aca="false">IF($Q248="","",PROPER(INDEX('Reguler Class Availability'!$I:$I,$Q248)&amp;"")&amp;IF(INDEX('Reguler Class Availability'!$J:$J,$Q248)&amp;""="",""," + asst "&amp;PROPER(INDEX('Reguler Class Availability'!$J:$J,$Q248)&amp;"")))</f>
        <v/>
      </c>
      <c r="I248" s="77" t="s">
        <v>522</v>
      </c>
      <c r="J248" s="77" t="s">
        <v>188</v>
      </c>
      <c r="K248" s="78"/>
      <c r="L248" s="78"/>
      <c r="M248" s="78"/>
      <c r="N248" s="79"/>
      <c r="O248" s="78"/>
      <c r="Q248" s="30" t="n">
        <f aca="false">IFERROR(MATCH($B$4&amp;"|- Lane "&amp;D248&amp;" - "&amp;B248&amp;"|"&amp;C248,'Reguler Class Availability'!$L:$L,0),"")</f>
        <v>2786</v>
      </c>
      <c r="BD248" s="30" t="s">
        <v>91</v>
      </c>
      <c r="BE248" s="30" t="n">
        <f aca="false">IF(COUNTIFS('Reguler Class Availability'!$L:$L,$B$4&amp;"|- Lane 5 - *|"&amp;BD248)&gt;0,1,0)</f>
        <v>0</v>
      </c>
      <c r="BF248" s="30" t="n">
        <f aca="false">BE248+BF247</f>
        <v>0</v>
      </c>
    </row>
    <row r="249" customFormat="false" ht="27.75" hidden="false" customHeight="true" outlineLevel="0" collapsed="false">
      <c r="A249" s="76" t="n">
        <v>123</v>
      </c>
      <c r="B249" s="77" t="s">
        <v>116</v>
      </c>
      <c r="C249" s="76" t="s">
        <v>124</v>
      </c>
      <c r="D249" s="76" t="n">
        <v>3</v>
      </c>
      <c r="E249" s="77" t="str">
        <f aca="false">IF($Q249="","Tidak ada di data",IF(AND(IFERROR(--(INDEX('Reguler Class Availability'!$F:$F,$Q249)&amp;""),0)=0,IFERROR(--(INDEX('Reguler Class Availability'!$G:$G,$Q249)&amp;""),0)=0),"Tutup",IF(IFERROR(--(INDEX('Reguler Class Availability'!$G:$G,$Q249)&amp;""),0)&gt;IFERROR(--(INDEX('Reguler Class Availability'!$F:$F,$Q249)&amp;""),0),"Lebih",IF(IFERROR(--(INDEX('Reguler Class Availability'!$G:$G,$Q249)&amp;""),0)=IFERROR(--(INDEX('Reguler Class Availability'!$F:$F,$Q249)&amp;""),0),"Penuh",IF(IFERROR(--(INDEX('Reguler Class Availability'!$G:$G,$Q249)&amp;""),0)=0,IF(INDEX('Reguler Class Availability'!$B:$B,$Q249)&amp;""="","Kosong","Belum terisi"),IF(IFERROR(--(INDEX('Reguler Class Availability'!$G:$G,$Q249)&amp;""),0)/IFERROR(--(INDEX('Reguler Class Availability'!$F:$F,$Q249)&amp;""),0)&gt;=0.6,"Tinggi","Sebagian"))))))</f>
        <v>Belum terisi</v>
      </c>
      <c r="F249" s="77" t="str">
        <f aca="false">IF($Q249="","",PROPER(INDEX('Reguler Class Availability'!$B:$B,$Q249)&amp;""))</f>
        <v>Little</v>
      </c>
      <c r="G249" s="76" t="n">
        <f aca="false">IF($Q249="","",IFERROR(--(INDEX('Reguler Class Availability'!$F:$F,$Q249)&amp;""),0))</f>
        <v>4</v>
      </c>
      <c r="H249" s="77" t="str">
        <f aca="false">IF($Q249="","",PROPER(INDEX('Reguler Class Availability'!$I:$I,$Q249)&amp;"")&amp;IF(INDEX('Reguler Class Availability'!$J:$J,$Q249)&amp;""="",""," + asst "&amp;PROPER(INDEX('Reguler Class Availability'!$J:$J,$Q249)&amp;"")))</f>
        <v/>
      </c>
      <c r="I249" s="77" t="s">
        <v>522</v>
      </c>
      <c r="J249" s="77" t="s">
        <v>188</v>
      </c>
      <c r="K249" s="78"/>
      <c r="L249" s="78"/>
      <c r="M249" s="78"/>
      <c r="N249" s="79"/>
      <c r="O249" s="78"/>
      <c r="Q249" s="30" t="n">
        <f aca="false">IFERROR(MATCH($B$4&amp;"|- Lane "&amp;D249&amp;" - "&amp;B249&amp;"|"&amp;C249,'Reguler Class Availability'!$L:$L,0),"")</f>
        <v>2618</v>
      </c>
      <c r="BD249" s="30" t="s">
        <v>98</v>
      </c>
      <c r="BE249" s="30" t="n">
        <f aca="false">IF(COUNTIFS('Reguler Class Availability'!$L:$L,$B$4&amp;"|- Lane 5 - *|"&amp;BD249)&gt;0,1,0)</f>
        <v>0</v>
      </c>
      <c r="BF249" s="30" t="n">
        <f aca="false">BE249+BF248</f>
        <v>0</v>
      </c>
    </row>
    <row r="250" customFormat="false" ht="27.75" hidden="false" customHeight="true" outlineLevel="0" collapsed="false">
      <c r="A250" s="76" t="n">
        <v>124</v>
      </c>
      <c r="B250" s="77" t="s">
        <v>116</v>
      </c>
      <c r="C250" s="76" t="s">
        <v>124</v>
      </c>
      <c r="D250" s="76" t="n">
        <v>4</v>
      </c>
      <c r="E250" s="77" t="str">
        <f aca="false">IF($Q250="","Tidak ada di data",IF(AND(IFERROR(--(INDEX('Reguler Class Availability'!$F:$F,$Q250)&amp;""),0)=0,IFERROR(--(INDEX('Reguler Class Availability'!$G:$G,$Q250)&amp;""),0)=0),"Tutup",IF(IFERROR(--(INDEX('Reguler Class Availability'!$G:$G,$Q250)&amp;""),0)&gt;IFERROR(--(INDEX('Reguler Class Availability'!$F:$F,$Q250)&amp;""),0),"Lebih",IF(IFERROR(--(INDEX('Reguler Class Availability'!$G:$G,$Q250)&amp;""),0)=IFERROR(--(INDEX('Reguler Class Availability'!$F:$F,$Q250)&amp;""),0),"Penuh",IF(IFERROR(--(INDEX('Reguler Class Availability'!$G:$G,$Q250)&amp;""),0)=0,IF(INDEX('Reguler Class Availability'!$B:$B,$Q250)&amp;""="","Kosong","Belum terisi"),IF(IFERROR(--(INDEX('Reguler Class Availability'!$G:$G,$Q250)&amp;""),0)/IFERROR(--(INDEX('Reguler Class Availability'!$F:$F,$Q250)&amp;""),0)&gt;=0.6,"Tinggi","Sebagian"))))))</f>
        <v>Belum terisi</v>
      </c>
      <c r="F250" s="77" t="str">
        <f aca="false">IF($Q250="","",PROPER(INDEX('Reguler Class Availability'!$B:$B,$Q250)&amp;""))</f>
        <v>Kids</v>
      </c>
      <c r="G250" s="76" t="n">
        <f aca="false">IF($Q250="","",IFERROR(--(INDEX('Reguler Class Availability'!$F:$F,$Q250)&amp;""),0))</f>
        <v>4</v>
      </c>
      <c r="H250" s="77" t="str">
        <f aca="false">IF($Q250="","",PROPER(INDEX('Reguler Class Availability'!$I:$I,$Q250)&amp;"")&amp;IF(INDEX('Reguler Class Availability'!$J:$J,$Q250)&amp;""="",""," + asst "&amp;PROPER(INDEX('Reguler Class Availability'!$J:$J,$Q250)&amp;"")))</f>
        <v/>
      </c>
      <c r="I250" s="77" t="s">
        <v>522</v>
      </c>
      <c r="J250" s="77" t="s">
        <v>188</v>
      </c>
      <c r="K250" s="78"/>
      <c r="L250" s="78"/>
      <c r="M250" s="78"/>
      <c r="N250" s="79"/>
      <c r="O250" s="78"/>
      <c r="Q250" s="30" t="n">
        <f aca="false">IFERROR(MATCH($B$4&amp;"|- Lane "&amp;D250&amp;" - "&amp;B250&amp;"|"&amp;C250,'Reguler Class Availability'!$L:$L,0),"")</f>
        <v>2702</v>
      </c>
      <c r="BD250" s="30" t="s">
        <v>105</v>
      </c>
      <c r="BE250" s="30" t="n">
        <f aca="false">IF(COUNTIFS('Reguler Class Availability'!$L:$L,$B$4&amp;"|- Lane 5 - *|"&amp;BD250)&gt;0,1,0)</f>
        <v>1</v>
      </c>
      <c r="BF250" s="30" t="n">
        <f aca="false">BE250+BF249</f>
        <v>1</v>
      </c>
    </row>
    <row r="251" customFormat="false" ht="27.75" hidden="false" customHeight="true" outlineLevel="0" collapsed="false">
      <c r="A251" s="76" t="n">
        <v>125</v>
      </c>
      <c r="B251" s="77" t="s">
        <v>116</v>
      </c>
      <c r="C251" s="76" t="s">
        <v>126</v>
      </c>
      <c r="D251" s="76" t="n">
        <v>1</v>
      </c>
      <c r="E251" s="77" t="str">
        <f aca="false">IF($Q251="","Tidak ada di data",IF(AND(IFERROR(--(INDEX('Reguler Class Availability'!$F:$F,$Q251)&amp;""),0)=0,IFERROR(--(INDEX('Reguler Class Availability'!$G:$G,$Q251)&amp;""),0)=0),"Tutup",IF(IFERROR(--(INDEX('Reguler Class Availability'!$G:$G,$Q251)&amp;""),0)&gt;IFERROR(--(INDEX('Reguler Class Availability'!$F:$F,$Q251)&amp;""),0),"Lebih",IF(IFERROR(--(INDEX('Reguler Class Availability'!$G:$G,$Q251)&amp;""),0)=IFERROR(--(INDEX('Reguler Class Availability'!$F:$F,$Q251)&amp;""),0),"Penuh",IF(IFERROR(--(INDEX('Reguler Class Availability'!$G:$G,$Q251)&amp;""),0)=0,IF(INDEX('Reguler Class Availability'!$B:$B,$Q251)&amp;""="","Kosong","Belum terisi"),IF(IFERROR(--(INDEX('Reguler Class Availability'!$G:$G,$Q251)&amp;""),0)/IFERROR(--(INDEX('Reguler Class Availability'!$F:$F,$Q251)&amp;""),0)&gt;=0.6,"Tinggi","Sebagian"))))))</f>
        <v>Belum terisi</v>
      </c>
      <c r="F251" s="77" t="str">
        <f aca="false">IF($Q251="","",PROPER(INDEX('Reguler Class Availability'!$B:$B,$Q251)&amp;""))</f>
        <v>Baby</v>
      </c>
      <c r="G251" s="76" t="n">
        <f aca="false">IF($Q251="","",IFERROR(--(INDEX('Reguler Class Availability'!$F:$F,$Q251)&amp;""),0))</f>
        <v>5</v>
      </c>
      <c r="H251" s="77" t="str">
        <f aca="false">IF($Q251="","",PROPER(INDEX('Reguler Class Availability'!$I:$I,$Q251)&amp;"")&amp;IF(INDEX('Reguler Class Availability'!$J:$J,$Q251)&amp;""="",""," + asst "&amp;PROPER(INDEX('Reguler Class Availability'!$J:$J,$Q251)&amp;"")))</f>
        <v/>
      </c>
      <c r="I251" s="77" t="s">
        <v>523</v>
      </c>
      <c r="J251" s="77" t="s">
        <v>188</v>
      </c>
      <c r="K251" s="78"/>
      <c r="L251" s="78"/>
      <c r="M251" s="78"/>
      <c r="N251" s="79"/>
      <c r="O251" s="78"/>
      <c r="Q251" s="30" t="n">
        <f aca="false">IFERROR(MATCH($B$4&amp;"|- Lane "&amp;D251&amp;" - "&amp;B251&amp;"|"&amp;C251,'Reguler Class Availability'!$L:$L,0),"")</f>
        <v>2437</v>
      </c>
      <c r="BD251" s="30" t="s">
        <v>110</v>
      </c>
      <c r="BE251" s="30" t="n">
        <f aca="false">IF(COUNTIFS('Reguler Class Availability'!$L:$L,$B$4&amp;"|- Lane 5 - *|"&amp;BD251)&gt;0,1,0)</f>
        <v>0</v>
      </c>
      <c r="BF251" s="30" t="n">
        <f aca="false">BE251+BF250</f>
        <v>1</v>
      </c>
    </row>
    <row r="252" customFormat="false" ht="27.75" hidden="false" customHeight="true" outlineLevel="0" collapsed="false">
      <c r="A252" s="76" t="n">
        <v>126</v>
      </c>
      <c r="B252" s="77" t="s">
        <v>116</v>
      </c>
      <c r="C252" s="76" t="s">
        <v>126</v>
      </c>
      <c r="D252" s="76" t="n">
        <v>5</v>
      </c>
      <c r="E252" s="77" t="str">
        <f aca="false">IF($Q252="","Tidak ada di data",IF(AND(IFERROR(--(INDEX('Reguler Class Availability'!$F:$F,$Q252)&amp;""),0)=0,IFERROR(--(INDEX('Reguler Class Availability'!$G:$G,$Q252)&amp;""),0)=0),"Tutup",IF(IFERROR(--(INDEX('Reguler Class Availability'!$G:$G,$Q252)&amp;""),0)&gt;IFERROR(--(INDEX('Reguler Class Availability'!$F:$F,$Q252)&amp;""),0),"Lebih",IF(IFERROR(--(INDEX('Reguler Class Availability'!$G:$G,$Q252)&amp;""),0)=IFERROR(--(INDEX('Reguler Class Availability'!$F:$F,$Q252)&amp;""),0),"Penuh",IF(IFERROR(--(INDEX('Reguler Class Availability'!$G:$G,$Q252)&amp;""),0)=0,IF(INDEX('Reguler Class Availability'!$B:$B,$Q252)&amp;""="","Kosong","Belum terisi"),IF(IFERROR(--(INDEX('Reguler Class Availability'!$G:$G,$Q252)&amp;""),0)/IFERROR(--(INDEX('Reguler Class Availability'!$F:$F,$Q252)&amp;""),0)&gt;=0.6,"Tinggi","Sebagian"))))))</f>
        <v>Kosong</v>
      </c>
      <c r="F252" s="77" t="str">
        <f aca="false">IF($Q252="","",PROPER(INDEX('Reguler Class Availability'!$B:$B,$Q252)&amp;""))</f>
        <v/>
      </c>
      <c r="G252" s="76" t="n">
        <f aca="false">IF($Q252="","",IFERROR(--(INDEX('Reguler Class Availability'!$F:$F,$Q252)&amp;""),0))</f>
        <v>4</v>
      </c>
      <c r="H252" s="77" t="str">
        <f aca="false">IF($Q252="","",PROPER(INDEX('Reguler Class Availability'!$I:$I,$Q252)&amp;"")&amp;IF(INDEX('Reguler Class Availability'!$J:$J,$Q252)&amp;""="",""," + asst "&amp;PROPER(INDEX('Reguler Class Availability'!$J:$J,$Q252)&amp;"")))</f>
        <v/>
      </c>
      <c r="I252" s="77" t="s">
        <v>523</v>
      </c>
      <c r="J252" s="77" t="s">
        <v>188</v>
      </c>
      <c r="K252" s="78"/>
      <c r="L252" s="78"/>
      <c r="M252" s="78"/>
      <c r="N252" s="79"/>
      <c r="O252" s="78"/>
      <c r="Q252" s="30" t="n">
        <f aca="false">IFERROR(MATCH($B$4&amp;"|- Lane "&amp;D252&amp;" - "&amp;B252&amp;"|"&amp;C252,'Reguler Class Availability'!$L:$L,0),"")</f>
        <v>2787</v>
      </c>
      <c r="BD252" s="30" t="s">
        <v>112</v>
      </c>
      <c r="BE252" s="30" t="n">
        <f aca="false">IF(COUNTIFS('Reguler Class Availability'!$L:$L,$B$4&amp;"|- Lane 5 - *|"&amp;BD252)&gt;0,1,0)</f>
        <v>0</v>
      </c>
      <c r="BF252" s="30" t="n">
        <f aca="false">BE252+BF251</f>
        <v>1</v>
      </c>
    </row>
    <row r="253" customFormat="false" ht="27.75" hidden="false" customHeight="true" outlineLevel="0" collapsed="false">
      <c r="A253" s="76" t="n">
        <v>127</v>
      </c>
      <c r="B253" s="77" t="s">
        <v>116</v>
      </c>
      <c r="C253" s="76" t="s">
        <v>127</v>
      </c>
      <c r="D253" s="76" t="n">
        <v>4</v>
      </c>
      <c r="E253" s="77" t="str">
        <f aca="false">IF($Q253="","Tidak ada di data",IF(AND(IFERROR(--(INDEX('Reguler Class Availability'!$F:$F,$Q253)&amp;""),0)=0,IFERROR(--(INDEX('Reguler Class Availability'!$G:$G,$Q253)&amp;""),0)=0),"Tutup",IF(IFERROR(--(INDEX('Reguler Class Availability'!$G:$G,$Q253)&amp;""),0)&gt;IFERROR(--(INDEX('Reguler Class Availability'!$F:$F,$Q253)&amp;""),0),"Lebih",IF(IFERROR(--(INDEX('Reguler Class Availability'!$G:$G,$Q253)&amp;""),0)=IFERROR(--(INDEX('Reguler Class Availability'!$F:$F,$Q253)&amp;""),0),"Penuh",IF(IFERROR(--(INDEX('Reguler Class Availability'!$G:$G,$Q253)&amp;""),0)=0,IF(INDEX('Reguler Class Availability'!$B:$B,$Q253)&amp;""="","Kosong","Belum terisi"),IF(IFERROR(--(INDEX('Reguler Class Availability'!$G:$G,$Q253)&amp;""),0)/IFERROR(--(INDEX('Reguler Class Availability'!$F:$F,$Q253)&amp;""),0)&gt;=0.6,"Tinggi","Sebagian"))))))</f>
        <v>Belum terisi</v>
      </c>
      <c r="F253" s="77" t="str">
        <f aca="false">IF($Q253="","",PROPER(INDEX('Reguler Class Availability'!$B:$B,$Q253)&amp;""))</f>
        <v>Kids</v>
      </c>
      <c r="G253" s="76" t="n">
        <f aca="false">IF($Q253="","",IFERROR(--(INDEX('Reguler Class Availability'!$F:$F,$Q253)&amp;""),0))</f>
        <v>4</v>
      </c>
      <c r="H253" s="77" t="str">
        <f aca="false">IF($Q253="","",PROPER(INDEX('Reguler Class Availability'!$I:$I,$Q253)&amp;"")&amp;IF(INDEX('Reguler Class Availability'!$J:$J,$Q253)&amp;""="",""," + asst "&amp;PROPER(INDEX('Reguler Class Availability'!$J:$J,$Q253)&amp;"")))</f>
        <v/>
      </c>
      <c r="I253" s="77" t="s">
        <v>523</v>
      </c>
      <c r="J253" s="77" t="s">
        <v>188</v>
      </c>
      <c r="K253" s="78"/>
      <c r="L253" s="78"/>
      <c r="M253" s="78"/>
      <c r="N253" s="79"/>
      <c r="O253" s="78"/>
      <c r="Q253" s="30" t="n">
        <f aca="false">IFERROR(MATCH($B$4&amp;"|- Lane "&amp;D253&amp;" - "&amp;B253&amp;"|"&amp;C253,'Reguler Class Availability'!$L:$L,0),"")</f>
        <v>2703</v>
      </c>
      <c r="BD253" s="30" t="s">
        <v>120</v>
      </c>
      <c r="BE253" s="30" t="n">
        <f aca="false">IF(COUNTIFS('Reguler Class Availability'!$L:$L,$B$4&amp;"|- Lane 5 - *|"&amp;BD253)&gt;0,1,0)</f>
        <v>1</v>
      </c>
      <c r="BF253" s="30" t="n">
        <f aca="false">BE253+BF252</f>
        <v>2</v>
      </c>
    </row>
    <row r="254" customFormat="false" ht="27.75" hidden="false" customHeight="true" outlineLevel="0" collapsed="false">
      <c r="A254" s="76" t="n">
        <v>128</v>
      </c>
      <c r="B254" s="77" t="s">
        <v>116</v>
      </c>
      <c r="C254" s="76" t="s">
        <v>129</v>
      </c>
      <c r="D254" s="76" t="n">
        <v>2</v>
      </c>
      <c r="E254" s="77" t="str">
        <f aca="false">IF($Q254="","Tidak ada di data",IF(AND(IFERROR(--(INDEX('Reguler Class Availability'!$F:$F,$Q254)&amp;""),0)=0,IFERROR(--(INDEX('Reguler Class Availability'!$G:$G,$Q254)&amp;""),0)=0),"Tutup",IF(IFERROR(--(INDEX('Reguler Class Availability'!$G:$G,$Q254)&amp;""),0)&gt;IFERROR(--(INDEX('Reguler Class Availability'!$F:$F,$Q254)&amp;""),0),"Lebih",IF(IFERROR(--(INDEX('Reguler Class Availability'!$G:$G,$Q254)&amp;""),0)=IFERROR(--(INDEX('Reguler Class Availability'!$F:$F,$Q254)&amp;""),0),"Penuh",IF(IFERROR(--(INDEX('Reguler Class Availability'!$G:$G,$Q254)&amp;""),0)=0,IF(INDEX('Reguler Class Availability'!$B:$B,$Q254)&amp;""="","Kosong","Belum terisi"),IF(IFERROR(--(INDEX('Reguler Class Availability'!$G:$G,$Q254)&amp;""),0)/IFERROR(--(INDEX('Reguler Class Availability'!$F:$F,$Q254)&amp;""),0)&gt;=0.6,"Tinggi","Sebagian"))))))</f>
        <v>Belum terisi</v>
      </c>
      <c r="F254" s="77" t="str">
        <f aca="false">IF($Q254="","",PROPER(INDEX('Reguler Class Availability'!$B:$B,$Q254)&amp;""))</f>
        <v>Tiny</v>
      </c>
      <c r="G254" s="76" t="n">
        <f aca="false">IF($Q254="","",IFERROR(--(INDEX('Reguler Class Availability'!$F:$F,$Q254)&amp;""),0))</f>
        <v>5</v>
      </c>
      <c r="H254" s="77" t="str">
        <f aca="false">IF($Q254="","",PROPER(INDEX('Reguler Class Availability'!$I:$I,$Q254)&amp;"")&amp;IF(INDEX('Reguler Class Availability'!$J:$J,$Q254)&amp;""="",""," + asst "&amp;PROPER(INDEX('Reguler Class Availability'!$J:$J,$Q254)&amp;"")))</f>
        <v/>
      </c>
      <c r="I254" s="77" t="s">
        <v>523</v>
      </c>
      <c r="J254" s="77" t="s">
        <v>188</v>
      </c>
      <c r="K254" s="78"/>
      <c r="L254" s="78"/>
      <c r="M254" s="78"/>
      <c r="N254" s="79"/>
      <c r="O254" s="78"/>
      <c r="Q254" s="30" t="n">
        <f aca="false">IFERROR(MATCH($B$4&amp;"|- Lane "&amp;D254&amp;" - "&amp;B254&amp;"|"&amp;C254,'Reguler Class Availability'!$L:$L,0),"")</f>
        <v>2536</v>
      </c>
      <c r="BD254" s="30" t="s">
        <v>121</v>
      </c>
      <c r="BE254" s="30" t="n">
        <f aca="false">IF(COUNTIFS('Reguler Class Availability'!$L:$L,$B$4&amp;"|- Lane 5 - *|"&amp;BD254)&gt;0,1,0)</f>
        <v>0</v>
      </c>
      <c r="BF254" s="30" t="n">
        <f aca="false">BE254+BF253</f>
        <v>2</v>
      </c>
    </row>
    <row r="255" customFormat="false" ht="27.75" hidden="false" customHeight="true" outlineLevel="0" collapsed="false">
      <c r="A255" s="76" t="n">
        <v>129</v>
      </c>
      <c r="B255" s="77" t="s">
        <v>116</v>
      </c>
      <c r="C255" s="76" t="s">
        <v>129</v>
      </c>
      <c r="D255" s="76" t="n">
        <v>5</v>
      </c>
      <c r="E255" s="77" t="str">
        <f aca="false">IF($Q255="","Tidak ada di data",IF(AND(IFERROR(--(INDEX('Reguler Class Availability'!$F:$F,$Q255)&amp;""),0)=0,IFERROR(--(INDEX('Reguler Class Availability'!$G:$G,$Q255)&amp;""),0)=0),"Tutup",IF(IFERROR(--(INDEX('Reguler Class Availability'!$G:$G,$Q255)&amp;""),0)&gt;IFERROR(--(INDEX('Reguler Class Availability'!$F:$F,$Q255)&amp;""),0),"Lebih",IF(IFERROR(--(INDEX('Reguler Class Availability'!$G:$G,$Q255)&amp;""),0)=IFERROR(--(INDEX('Reguler Class Availability'!$F:$F,$Q255)&amp;""),0),"Penuh",IF(IFERROR(--(INDEX('Reguler Class Availability'!$G:$G,$Q255)&amp;""),0)=0,IF(INDEX('Reguler Class Availability'!$B:$B,$Q255)&amp;""="","Kosong","Belum terisi"),IF(IFERROR(--(INDEX('Reguler Class Availability'!$G:$G,$Q255)&amp;""),0)/IFERROR(--(INDEX('Reguler Class Availability'!$F:$F,$Q255)&amp;""),0)&gt;=0.6,"Tinggi","Sebagian"))))))</f>
        <v>Kosong</v>
      </c>
      <c r="F255" s="77" t="str">
        <f aca="false">IF($Q255="","",PROPER(INDEX('Reguler Class Availability'!$B:$B,$Q255)&amp;""))</f>
        <v/>
      </c>
      <c r="G255" s="76" t="n">
        <f aca="false">IF($Q255="","",IFERROR(--(INDEX('Reguler Class Availability'!$F:$F,$Q255)&amp;""),0))</f>
        <v>4</v>
      </c>
      <c r="H255" s="77" t="str">
        <f aca="false">IF($Q255="","",PROPER(INDEX('Reguler Class Availability'!$I:$I,$Q255)&amp;"")&amp;IF(INDEX('Reguler Class Availability'!$J:$J,$Q255)&amp;""="",""," + asst "&amp;PROPER(INDEX('Reguler Class Availability'!$J:$J,$Q255)&amp;"")))</f>
        <v/>
      </c>
      <c r="I255" s="77" t="s">
        <v>523</v>
      </c>
      <c r="J255" s="77" t="s">
        <v>188</v>
      </c>
      <c r="K255" s="78"/>
      <c r="L255" s="78"/>
      <c r="M255" s="78"/>
      <c r="N255" s="79"/>
      <c r="O255" s="78"/>
      <c r="Q255" s="30" t="n">
        <f aca="false">IFERROR(MATCH($B$4&amp;"|- Lane "&amp;D255&amp;" - "&amp;B255&amp;"|"&amp;C255,'Reguler Class Availability'!$L:$L,0),"")</f>
        <v>2788</v>
      </c>
      <c r="BD255" s="30" t="s">
        <v>122</v>
      </c>
      <c r="BE255" s="30" t="n">
        <f aca="false">IF(COUNTIFS('Reguler Class Availability'!$L:$L,$B$4&amp;"|- Lane 5 - *|"&amp;BD255)&gt;0,1,0)</f>
        <v>0</v>
      </c>
      <c r="BF255" s="30" t="n">
        <f aca="false">BE255+BF254</f>
        <v>2</v>
      </c>
    </row>
    <row r="256" customFormat="false" ht="27.75" hidden="false" customHeight="true" outlineLevel="0" collapsed="false">
      <c r="A256" s="76" t="n">
        <v>130</v>
      </c>
      <c r="B256" s="77" t="s">
        <v>116</v>
      </c>
      <c r="C256" s="76" t="s">
        <v>130</v>
      </c>
      <c r="D256" s="76" t="n">
        <v>3</v>
      </c>
      <c r="E256" s="77" t="str">
        <f aca="false">IF($Q256="","Tidak ada di data",IF(AND(IFERROR(--(INDEX('Reguler Class Availability'!$F:$F,$Q256)&amp;""),0)=0,IFERROR(--(INDEX('Reguler Class Availability'!$G:$G,$Q256)&amp;""),0)=0),"Tutup",IF(IFERROR(--(INDEX('Reguler Class Availability'!$G:$G,$Q256)&amp;""),0)&gt;IFERROR(--(INDEX('Reguler Class Availability'!$F:$F,$Q256)&amp;""),0),"Lebih",IF(IFERROR(--(INDEX('Reguler Class Availability'!$G:$G,$Q256)&amp;""),0)=IFERROR(--(INDEX('Reguler Class Availability'!$F:$F,$Q256)&amp;""),0),"Penuh",IF(IFERROR(--(INDEX('Reguler Class Availability'!$G:$G,$Q256)&amp;""),0)=0,IF(INDEX('Reguler Class Availability'!$B:$B,$Q256)&amp;""="","Kosong","Belum terisi"),IF(IFERROR(--(INDEX('Reguler Class Availability'!$G:$G,$Q256)&amp;""),0)/IFERROR(--(INDEX('Reguler Class Availability'!$F:$F,$Q256)&amp;""),0)&gt;=0.6,"Tinggi","Sebagian"))))))</f>
        <v>Belum terisi</v>
      </c>
      <c r="F256" s="77" t="str">
        <f aca="false">IF($Q256="","",PROPER(INDEX('Reguler Class Availability'!$B:$B,$Q256)&amp;""))</f>
        <v>Little</v>
      </c>
      <c r="G256" s="76" t="n">
        <f aca="false">IF($Q256="","",IFERROR(--(INDEX('Reguler Class Availability'!$F:$F,$Q256)&amp;""),0))</f>
        <v>4</v>
      </c>
      <c r="H256" s="77" t="str">
        <f aca="false">IF($Q256="","",PROPER(INDEX('Reguler Class Availability'!$I:$I,$Q256)&amp;"")&amp;IF(INDEX('Reguler Class Availability'!$J:$J,$Q256)&amp;""="",""," + asst "&amp;PROPER(INDEX('Reguler Class Availability'!$J:$J,$Q256)&amp;"")))</f>
        <v/>
      </c>
      <c r="I256" s="77" t="s">
        <v>523</v>
      </c>
      <c r="J256" s="77" t="s">
        <v>188</v>
      </c>
      <c r="K256" s="78"/>
      <c r="L256" s="78"/>
      <c r="M256" s="78"/>
      <c r="N256" s="79"/>
      <c r="O256" s="78"/>
      <c r="Q256" s="30" t="n">
        <f aca="false">IFERROR(MATCH($B$4&amp;"|- Lane "&amp;D256&amp;" - "&amp;B256&amp;"|"&amp;C256,'Reguler Class Availability'!$L:$L,0),"")</f>
        <v>2620</v>
      </c>
      <c r="BD256" s="30" t="s">
        <v>123</v>
      </c>
      <c r="BE256" s="30" t="n">
        <f aca="false">IF(COUNTIFS('Reguler Class Availability'!$L:$L,$B$4&amp;"|- Lane 5 - *|"&amp;BD256)&gt;0,1,0)</f>
        <v>1</v>
      </c>
      <c r="BF256" s="30" t="n">
        <f aca="false">BE256+BF255</f>
        <v>3</v>
      </c>
    </row>
    <row r="257" customFormat="false" ht="27.75" hidden="false" customHeight="true" outlineLevel="0" collapsed="false">
      <c r="A257" s="76" t="n">
        <v>131</v>
      </c>
      <c r="B257" s="77" t="s">
        <v>116</v>
      </c>
      <c r="C257" s="76" t="s">
        <v>132</v>
      </c>
      <c r="D257" s="76" t="n">
        <v>1</v>
      </c>
      <c r="E257" s="77" t="str">
        <f aca="false">IF($Q257="","Tidak ada di data",IF(AND(IFERROR(--(INDEX('Reguler Class Availability'!$F:$F,$Q257)&amp;""),0)=0,IFERROR(--(INDEX('Reguler Class Availability'!$G:$G,$Q257)&amp;""),0)=0),"Tutup",IF(IFERROR(--(INDEX('Reguler Class Availability'!$G:$G,$Q257)&amp;""),0)&gt;IFERROR(--(INDEX('Reguler Class Availability'!$F:$F,$Q257)&amp;""),0),"Lebih",IF(IFERROR(--(INDEX('Reguler Class Availability'!$G:$G,$Q257)&amp;""),0)=IFERROR(--(INDEX('Reguler Class Availability'!$F:$F,$Q257)&amp;""),0),"Penuh",IF(IFERROR(--(INDEX('Reguler Class Availability'!$G:$G,$Q257)&amp;""),0)=0,IF(INDEX('Reguler Class Availability'!$B:$B,$Q257)&amp;""="","Kosong","Belum terisi"),IF(IFERROR(--(INDEX('Reguler Class Availability'!$G:$G,$Q257)&amp;""),0)/IFERROR(--(INDEX('Reguler Class Availability'!$F:$F,$Q257)&amp;""),0)&gt;=0.6,"Tinggi","Sebagian"))))))</f>
        <v>Belum terisi</v>
      </c>
      <c r="F257" s="77" t="str">
        <f aca="false">IF($Q257="","",PROPER(INDEX('Reguler Class Availability'!$B:$B,$Q257)&amp;""))</f>
        <v>Baby</v>
      </c>
      <c r="G257" s="76" t="n">
        <f aca="false">IF($Q257="","",IFERROR(--(INDEX('Reguler Class Availability'!$F:$F,$Q257)&amp;""),0))</f>
        <v>5</v>
      </c>
      <c r="H257" s="77" t="str">
        <f aca="false">IF($Q257="","",PROPER(INDEX('Reguler Class Availability'!$I:$I,$Q257)&amp;"")&amp;IF(INDEX('Reguler Class Availability'!$J:$J,$Q257)&amp;""="",""," + asst "&amp;PROPER(INDEX('Reguler Class Availability'!$J:$J,$Q257)&amp;"")))</f>
        <v/>
      </c>
      <c r="I257" s="77" t="s">
        <v>524</v>
      </c>
      <c r="J257" s="77" t="s">
        <v>186</v>
      </c>
      <c r="K257" s="78"/>
      <c r="L257" s="78"/>
      <c r="M257" s="78"/>
      <c r="N257" s="79"/>
      <c r="O257" s="78"/>
      <c r="Q257" s="30" t="n">
        <f aca="false">IFERROR(MATCH($B$4&amp;"|- Lane "&amp;D257&amp;" - "&amp;B257&amp;"|"&amp;C257,'Reguler Class Availability'!$L:$L,0),"")</f>
        <v>2439</v>
      </c>
      <c r="BD257" s="30" t="s">
        <v>124</v>
      </c>
      <c r="BE257" s="30" t="n">
        <f aca="false">IF(COUNTIFS('Reguler Class Availability'!$L:$L,$B$4&amp;"|- Lane 5 - *|"&amp;BD257)&gt;0,1,0)</f>
        <v>0</v>
      </c>
      <c r="BF257" s="30" t="n">
        <f aca="false">BE257+BF256</f>
        <v>3</v>
      </c>
    </row>
    <row r="258" customFormat="false" ht="27.75" hidden="false" customHeight="true" outlineLevel="0" collapsed="false">
      <c r="A258" s="76" t="n">
        <v>132</v>
      </c>
      <c r="B258" s="77" t="s">
        <v>116</v>
      </c>
      <c r="C258" s="76" t="s">
        <v>132</v>
      </c>
      <c r="D258" s="76" t="n">
        <v>2</v>
      </c>
      <c r="E258" s="77" t="str">
        <f aca="false">IF($Q258="","Tidak ada di data",IF(AND(IFERROR(--(INDEX('Reguler Class Availability'!$F:$F,$Q258)&amp;""),0)=0,IFERROR(--(INDEX('Reguler Class Availability'!$G:$G,$Q258)&amp;""),0)=0),"Tutup",IF(IFERROR(--(INDEX('Reguler Class Availability'!$G:$G,$Q258)&amp;""),0)&gt;IFERROR(--(INDEX('Reguler Class Availability'!$F:$F,$Q258)&amp;""),0),"Lebih",IF(IFERROR(--(INDEX('Reguler Class Availability'!$G:$G,$Q258)&amp;""),0)=IFERROR(--(INDEX('Reguler Class Availability'!$F:$F,$Q258)&amp;""),0),"Penuh",IF(IFERROR(--(INDEX('Reguler Class Availability'!$G:$G,$Q258)&amp;""),0)=0,IF(INDEX('Reguler Class Availability'!$B:$B,$Q258)&amp;""="","Kosong","Belum terisi"),IF(IFERROR(--(INDEX('Reguler Class Availability'!$G:$G,$Q258)&amp;""),0)/IFERROR(--(INDEX('Reguler Class Availability'!$F:$F,$Q258)&amp;""),0)&gt;=0.6,"Tinggi","Sebagian"))))))</f>
        <v>Belum terisi</v>
      </c>
      <c r="F258" s="77" t="str">
        <f aca="false">IF($Q258="","",PROPER(INDEX('Reguler Class Availability'!$B:$B,$Q258)&amp;""))</f>
        <v>Tiny</v>
      </c>
      <c r="G258" s="76" t="n">
        <f aca="false">IF($Q258="","",IFERROR(--(INDEX('Reguler Class Availability'!$F:$F,$Q258)&amp;""),0))</f>
        <v>5</v>
      </c>
      <c r="H258" s="77" t="str">
        <f aca="false">IF($Q258="","",PROPER(INDEX('Reguler Class Availability'!$I:$I,$Q258)&amp;"")&amp;IF(INDEX('Reguler Class Availability'!$J:$J,$Q258)&amp;""="",""," + asst "&amp;PROPER(INDEX('Reguler Class Availability'!$J:$J,$Q258)&amp;"")))</f>
        <v/>
      </c>
      <c r="I258" s="77" t="s">
        <v>524</v>
      </c>
      <c r="J258" s="77" t="s">
        <v>186</v>
      </c>
      <c r="K258" s="78"/>
      <c r="L258" s="78"/>
      <c r="M258" s="78"/>
      <c r="N258" s="79"/>
      <c r="O258" s="78"/>
      <c r="Q258" s="30" t="n">
        <f aca="false">IFERROR(MATCH($B$4&amp;"|- Lane "&amp;D258&amp;" - "&amp;B258&amp;"|"&amp;C258,'Reguler Class Availability'!$L:$L,0),"")</f>
        <v>2537</v>
      </c>
      <c r="BD258" s="30" t="s">
        <v>125</v>
      </c>
      <c r="BE258" s="30" t="n">
        <f aca="false">IF(COUNTIFS('Reguler Class Availability'!$L:$L,$B$4&amp;"|- Lane 5 - *|"&amp;BD258)&gt;0,1,0)</f>
        <v>0</v>
      </c>
      <c r="BF258" s="30" t="n">
        <f aca="false">BE258+BF257</f>
        <v>3</v>
      </c>
    </row>
    <row r="259" customFormat="false" ht="27.75" hidden="false" customHeight="true" outlineLevel="0" collapsed="false">
      <c r="A259" s="76" t="n">
        <v>133</v>
      </c>
      <c r="B259" s="77" t="s">
        <v>116</v>
      </c>
      <c r="C259" s="76" t="s">
        <v>132</v>
      </c>
      <c r="D259" s="76" t="n">
        <v>5</v>
      </c>
      <c r="E259" s="77" t="str">
        <f aca="false">IF($Q259="","Tidak ada di data",IF(AND(IFERROR(--(INDEX('Reguler Class Availability'!$F:$F,$Q259)&amp;""),0)=0,IFERROR(--(INDEX('Reguler Class Availability'!$G:$G,$Q259)&amp;""),0)=0),"Tutup",IF(IFERROR(--(INDEX('Reguler Class Availability'!$G:$G,$Q259)&amp;""),0)&gt;IFERROR(--(INDEX('Reguler Class Availability'!$F:$F,$Q259)&amp;""),0),"Lebih",IF(IFERROR(--(INDEX('Reguler Class Availability'!$G:$G,$Q259)&amp;""),0)=IFERROR(--(INDEX('Reguler Class Availability'!$F:$F,$Q259)&amp;""),0),"Penuh",IF(IFERROR(--(INDEX('Reguler Class Availability'!$G:$G,$Q259)&amp;""),0)=0,IF(INDEX('Reguler Class Availability'!$B:$B,$Q259)&amp;""="","Kosong","Belum terisi"),IF(IFERROR(--(INDEX('Reguler Class Availability'!$G:$G,$Q259)&amp;""),0)/IFERROR(--(INDEX('Reguler Class Availability'!$F:$F,$Q259)&amp;""),0)&gt;=0.6,"Tinggi","Sebagian"))))))</f>
        <v>Kosong</v>
      </c>
      <c r="F259" s="77" t="str">
        <f aca="false">IF($Q259="","",PROPER(INDEX('Reguler Class Availability'!$B:$B,$Q259)&amp;""))</f>
        <v/>
      </c>
      <c r="G259" s="76" t="n">
        <f aca="false">IF($Q259="","",IFERROR(--(INDEX('Reguler Class Availability'!$F:$F,$Q259)&amp;""),0))</f>
        <v>4</v>
      </c>
      <c r="H259" s="77" t="str">
        <f aca="false">IF($Q259="","",PROPER(INDEX('Reguler Class Availability'!$I:$I,$Q259)&amp;"")&amp;IF(INDEX('Reguler Class Availability'!$J:$J,$Q259)&amp;""="",""," + asst "&amp;PROPER(INDEX('Reguler Class Availability'!$J:$J,$Q259)&amp;"")))</f>
        <v/>
      </c>
      <c r="I259" s="77" t="s">
        <v>524</v>
      </c>
      <c r="J259" s="77" t="s">
        <v>186</v>
      </c>
      <c r="K259" s="78"/>
      <c r="L259" s="78"/>
      <c r="M259" s="78"/>
      <c r="N259" s="79"/>
      <c r="O259" s="78"/>
      <c r="Q259" s="30" t="n">
        <f aca="false">IFERROR(MATCH($B$4&amp;"|- Lane "&amp;D259&amp;" - "&amp;B259&amp;"|"&amp;C259,'Reguler Class Availability'!$L:$L,0),"")</f>
        <v>2789</v>
      </c>
      <c r="BD259" s="30" t="s">
        <v>126</v>
      </c>
      <c r="BE259" s="30" t="n">
        <f aca="false">IF(COUNTIFS('Reguler Class Availability'!$L:$L,$B$4&amp;"|- Lane 5 - *|"&amp;BD259)&gt;0,1,0)</f>
        <v>1</v>
      </c>
      <c r="BF259" s="30" t="n">
        <f aca="false">BE259+BF258</f>
        <v>4</v>
      </c>
    </row>
    <row r="260" customFormat="false" ht="40.5" hidden="false" customHeight="true" outlineLevel="0" collapsed="false">
      <c r="A260" s="76" t="n">
        <v>134</v>
      </c>
      <c r="B260" s="77" t="s">
        <v>116</v>
      </c>
      <c r="C260" s="76" t="s">
        <v>133</v>
      </c>
      <c r="D260" s="76" t="n">
        <v>3</v>
      </c>
      <c r="E260" s="77" t="str">
        <f aca="false">IF($Q260="","Tidak ada di data",IF(AND(IFERROR(--(INDEX('Reguler Class Availability'!$F:$F,$Q260)&amp;""),0)=0,IFERROR(--(INDEX('Reguler Class Availability'!$G:$G,$Q260)&amp;""),0)=0),"Tutup",IF(IFERROR(--(INDEX('Reguler Class Availability'!$G:$G,$Q260)&amp;""),0)&gt;IFERROR(--(INDEX('Reguler Class Availability'!$F:$F,$Q260)&amp;""),0),"Lebih",IF(IFERROR(--(INDEX('Reguler Class Availability'!$G:$G,$Q260)&amp;""),0)=IFERROR(--(INDEX('Reguler Class Availability'!$F:$F,$Q260)&amp;""),0),"Penuh",IF(IFERROR(--(INDEX('Reguler Class Availability'!$G:$G,$Q260)&amp;""),0)=0,IF(INDEX('Reguler Class Availability'!$B:$B,$Q260)&amp;""="","Kosong","Belum terisi"),IF(IFERROR(--(INDEX('Reguler Class Availability'!$G:$G,$Q260)&amp;""),0)/IFERROR(--(INDEX('Reguler Class Availability'!$F:$F,$Q260)&amp;""),0)&gt;=0.6,"Tinggi","Sebagian"))))))</f>
        <v>Belum terisi</v>
      </c>
      <c r="F260" s="77" t="str">
        <f aca="false">IF($Q260="","",PROPER(INDEX('Reguler Class Availability'!$B:$B,$Q260)&amp;""))</f>
        <v>Little</v>
      </c>
      <c r="G260" s="76" t="n">
        <f aca="false">IF($Q260="","",IFERROR(--(INDEX('Reguler Class Availability'!$F:$F,$Q260)&amp;""),0))</f>
        <v>4</v>
      </c>
      <c r="H260" s="77" t="str">
        <f aca="false">IF($Q260="","",PROPER(INDEX('Reguler Class Availability'!$I:$I,$Q260)&amp;"")&amp;IF(INDEX('Reguler Class Availability'!$J:$J,$Q260)&amp;""="",""," + asst "&amp;PROPER(INDEX('Reguler Class Availability'!$J:$J,$Q260)&amp;"")))</f>
        <v/>
      </c>
      <c r="I260" s="77" t="s">
        <v>519</v>
      </c>
      <c r="J260" s="77" t="s">
        <v>186</v>
      </c>
      <c r="K260" s="78"/>
      <c r="L260" s="78"/>
      <c r="M260" s="78"/>
      <c r="N260" s="79"/>
      <c r="O260" s="78"/>
      <c r="Q260" s="30" t="n">
        <f aca="false">IFERROR(MATCH($B$4&amp;"|- Lane "&amp;D260&amp;" - "&amp;B260&amp;"|"&amp;C260,'Reguler Class Availability'!$L:$L,0),"")</f>
        <v>2621</v>
      </c>
      <c r="BD260" s="30" t="s">
        <v>127</v>
      </c>
      <c r="BE260" s="30" t="n">
        <f aca="false">IF(COUNTIFS('Reguler Class Availability'!$L:$L,$B$4&amp;"|- Lane 5 - *|"&amp;BD260)&gt;0,1,0)</f>
        <v>0</v>
      </c>
      <c r="BF260" s="30" t="n">
        <f aca="false">BE260+BF259</f>
        <v>4</v>
      </c>
    </row>
    <row r="261" customFormat="false" ht="40.5" hidden="false" customHeight="true" outlineLevel="0" collapsed="false">
      <c r="A261" s="76" t="n">
        <v>135</v>
      </c>
      <c r="B261" s="77" t="s">
        <v>116</v>
      </c>
      <c r="C261" s="76" t="s">
        <v>133</v>
      </c>
      <c r="D261" s="76" t="n">
        <v>4</v>
      </c>
      <c r="E261" s="77" t="str">
        <f aca="false">IF($Q261="","Tidak ada di data",IF(AND(IFERROR(--(INDEX('Reguler Class Availability'!$F:$F,$Q261)&amp;""),0)=0,IFERROR(--(INDEX('Reguler Class Availability'!$G:$G,$Q261)&amp;""),0)=0),"Tutup",IF(IFERROR(--(INDEX('Reguler Class Availability'!$G:$G,$Q261)&amp;""),0)&gt;IFERROR(--(INDEX('Reguler Class Availability'!$F:$F,$Q261)&amp;""),0),"Lebih",IF(IFERROR(--(INDEX('Reguler Class Availability'!$G:$G,$Q261)&amp;""),0)=IFERROR(--(INDEX('Reguler Class Availability'!$F:$F,$Q261)&amp;""),0),"Penuh",IF(IFERROR(--(INDEX('Reguler Class Availability'!$G:$G,$Q261)&amp;""),0)=0,IF(INDEX('Reguler Class Availability'!$B:$B,$Q261)&amp;""="","Kosong","Belum terisi"),IF(IFERROR(--(INDEX('Reguler Class Availability'!$G:$G,$Q261)&amp;""),0)/IFERROR(--(INDEX('Reguler Class Availability'!$F:$F,$Q261)&amp;""),0)&gt;=0.6,"Tinggi","Sebagian"))))))</f>
        <v>Belum terisi</v>
      </c>
      <c r="F261" s="77" t="str">
        <f aca="false">IF($Q261="","",PROPER(INDEX('Reguler Class Availability'!$B:$B,$Q261)&amp;""))</f>
        <v>Kids</v>
      </c>
      <c r="G261" s="76" t="n">
        <f aca="false">IF($Q261="","",IFERROR(--(INDEX('Reguler Class Availability'!$F:$F,$Q261)&amp;""),0))</f>
        <v>4</v>
      </c>
      <c r="H261" s="77" t="str">
        <f aca="false">IF($Q261="","",PROPER(INDEX('Reguler Class Availability'!$I:$I,$Q261)&amp;"")&amp;IF(INDEX('Reguler Class Availability'!$J:$J,$Q261)&amp;""="",""," + asst "&amp;PROPER(INDEX('Reguler Class Availability'!$J:$J,$Q261)&amp;"")))</f>
        <v/>
      </c>
      <c r="I261" s="77" t="s">
        <v>519</v>
      </c>
      <c r="J261" s="77" t="s">
        <v>186</v>
      </c>
      <c r="K261" s="78"/>
      <c r="L261" s="78"/>
      <c r="M261" s="78"/>
      <c r="N261" s="79"/>
      <c r="O261" s="78"/>
      <c r="Q261" s="30" t="n">
        <f aca="false">IFERROR(MATCH($B$4&amp;"|- Lane "&amp;D261&amp;" - "&amp;B261&amp;"|"&amp;C261,'Reguler Class Availability'!$L:$L,0),"")</f>
        <v>2705</v>
      </c>
      <c r="BD261" s="30" t="s">
        <v>128</v>
      </c>
      <c r="BE261" s="30" t="n">
        <f aca="false">IF(COUNTIFS('Reguler Class Availability'!$L:$L,$B$4&amp;"|- Lane 5 - *|"&amp;BD261)&gt;0,1,0)</f>
        <v>0</v>
      </c>
      <c r="BF261" s="30" t="n">
        <f aca="false">BE261+BF260</f>
        <v>4</v>
      </c>
    </row>
    <row r="262" customFormat="false" ht="27.75" hidden="false" customHeight="true" outlineLevel="0" collapsed="false">
      <c r="A262" s="76" t="n">
        <v>136</v>
      </c>
      <c r="B262" s="77" t="s">
        <v>116</v>
      </c>
      <c r="C262" s="76" t="s">
        <v>139</v>
      </c>
      <c r="D262" s="76" t="n">
        <v>1</v>
      </c>
      <c r="E262" s="77" t="str">
        <f aca="false">IF($Q262="","Tidak ada di data",IF(AND(IFERROR(--(INDEX('Reguler Class Availability'!$F:$F,$Q262)&amp;""),0)=0,IFERROR(--(INDEX('Reguler Class Availability'!$G:$G,$Q262)&amp;""),0)=0),"Tutup",IF(IFERROR(--(INDEX('Reguler Class Availability'!$G:$G,$Q262)&amp;""),0)&gt;IFERROR(--(INDEX('Reguler Class Availability'!$F:$F,$Q262)&amp;""),0),"Lebih",IF(IFERROR(--(INDEX('Reguler Class Availability'!$G:$G,$Q262)&amp;""),0)=IFERROR(--(INDEX('Reguler Class Availability'!$F:$F,$Q262)&amp;""),0),"Penuh",IF(IFERROR(--(INDEX('Reguler Class Availability'!$G:$G,$Q262)&amp;""),0)=0,IF(INDEX('Reguler Class Availability'!$B:$B,$Q262)&amp;""="","Kosong","Belum terisi"),IF(IFERROR(--(INDEX('Reguler Class Availability'!$G:$G,$Q262)&amp;""),0)/IFERROR(--(INDEX('Reguler Class Availability'!$F:$F,$Q262)&amp;""),0)&gt;=0.6,"Tinggi","Sebagian"))))))</f>
        <v>Belum terisi</v>
      </c>
      <c r="F262" s="77" t="str">
        <f aca="false">IF($Q262="","",PROPER(INDEX('Reguler Class Availability'!$B:$B,$Q262)&amp;""))</f>
        <v>Baby</v>
      </c>
      <c r="G262" s="76" t="n">
        <f aca="false">IF($Q262="","",IFERROR(--(INDEX('Reguler Class Availability'!$F:$F,$Q262)&amp;""),0))</f>
        <v>5</v>
      </c>
      <c r="H262" s="77" t="str">
        <f aca="false">IF($Q262="","",PROPER(INDEX('Reguler Class Availability'!$I:$I,$Q262)&amp;"")&amp;IF(INDEX('Reguler Class Availability'!$J:$J,$Q262)&amp;""="",""," + asst "&amp;PROPER(INDEX('Reguler Class Availability'!$J:$J,$Q262)&amp;"")))</f>
        <v/>
      </c>
      <c r="I262" s="77" t="s">
        <v>522</v>
      </c>
      <c r="J262" s="77" t="s">
        <v>188</v>
      </c>
      <c r="K262" s="78"/>
      <c r="L262" s="78"/>
      <c r="M262" s="78"/>
      <c r="N262" s="79"/>
      <c r="O262" s="78"/>
      <c r="Q262" s="30" t="n">
        <f aca="false">IFERROR(MATCH($B$4&amp;"|- Lane "&amp;D262&amp;" - "&amp;B262&amp;"|"&amp;C262,'Reguler Class Availability'!$L:$L,0),"")</f>
        <v>2440</v>
      </c>
      <c r="BD262" s="30" t="s">
        <v>129</v>
      </c>
      <c r="BE262" s="30" t="n">
        <f aca="false">IF(COUNTIFS('Reguler Class Availability'!$L:$L,$B$4&amp;"|- Lane 5 - *|"&amp;BD262)&gt;0,1,0)</f>
        <v>1</v>
      </c>
      <c r="BF262" s="30" t="n">
        <f aca="false">BE262+BF261</f>
        <v>5</v>
      </c>
    </row>
    <row r="263" customFormat="false" ht="27.75" hidden="false" customHeight="true" outlineLevel="0" collapsed="false">
      <c r="A263" s="76" t="n">
        <v>137</v>
      </c>
      <c r="B263" s="77" t="s">
        <v>116</v>
      </c>
      <c r="C263" s="76" t="s">
        <v>139</v>
      </c>
      <c r="D263" s="76" t="n">
        <v>2</v>
      </c>
      <c r="E263" s="77" t="str">
        <f aca="false">IF($Q263="","Tidak ada di data",IF(AND(IFERROR(--(INDEX('Reguler Class Availability'!$F:$F,$Q263)&amp;""),0)=0,IFERROR(--(INDEX('Reguler Class Availability'!$G:$G,$Q263)&amp;""),0)=0),"Tutup",IF(IFERROR(--(INDEX('Reguler Class Availability'!$G:$G,$Q263)&amp;""),0)&gt;IFERROR(--(INDEX('Reguler Class Availability'!$F:$F,$Q263)&amp;""),0),"Lebih",IF(IFERROR(--(INDEX('Reguler Class Availability'!$G:$G,$Q263)&amp;""),0)=IFERROR(--(INDEX('Reguler Class Availability'!$F:$F,$Q263)&amp;""),0),"Penuh",IF(IFERROR(--(INDEX('Reguler Class Availability'!$G:$G,$Q263)&amp;""),0)=0,IF(INDEX('Reguler Class Availability'!$B:$B,$Q263)&amp;""="","Kosong","Belum terisi"),IF(IFERROR(--(INDEX('Reguler Class Availability'!$G:$G,$Q263)&amp;""),0)/IFERROR(--(INDEX('Reguler Class Availability'!$F:$F,$Q263)&amp;""),0)&gt;=0.6,"Tinggi","Sebagian"))))))</f>
        <v>Belum terisi</v>
      </c>
      <c r="F263" s="77" t="str">
        <f aca="false">IF($Q263="","",PROPER(INDEX('Reguler Class Availability'!$B:$B,$Q263)&amp;""))</f>
        <v>Tiny</v>
      </c>
      <c r="G263" s="76" t="n">
        <f aca="false">IF($Q263="","",IFERROR(--(INDEX('Reguler Class Availability'!$F:$F,$Q263)&amp;""),0))</f>
        <v>5</v>
      </c>
      <c r="H263" s="77" t="str">
        <f aca="false">IF($Q263="","",PROPER(INDEX('Reguler Class Availability'!$I:$I,$Q263)&amp;"")&amp;IF(INDEX('Reguler Class Availability'!$J:$J,$Q263)&amp;""="",""," + asst "&amp;PROPER(INDEX('Reguler Class Availability'!$J:$J,$Q263)&amp;"")))</f>
        <v/>
      </c>
      <c r="I263" s="77" t="s">
        <v>522</v>
      </c>
      <c r="J263" s="77" t="s">
        <v>188</v>
      </c>
      <c r="K263" s="78"/>
      <c r="L263" s="78"/>
      <c r="M263" s="78"/>
      <c r="N263" s="79"/>
      <c r="O263" s="78"/>
      <c r="Q263" s="30" t="n">
        <f aca="false">IFERROR(MATCH($B$4&amp;"|- Lane "&amp;D263&amp;" - "&amp;B263&amp;"|"&amp;C263,'Reguler Class Availability'!$L:$L,0),"")</f>
        <v>2538</v>
      </c>
      <c r="BD263" s="30" t="s">
        <v>130</v>
      </c>
      <c r="BE263" s="30" t="n">
        <f aca="false">IF(COUNTIFS('Reguler Class Availability'!$L:$L,$B$4&amp;"|- Lane 5 - *|"&amp;BD263)&gt;0,1,0)</f>
        <v>0</v>
      </c>
      <c r="BF263" s="30" t="n">
        <f aca="false">BE263+BF262</f>
        <v>5</v>
      </c>
    </row>
    <row r="264" customFormat="false" ht="27.75" hidden="false" customHeight="true" outlineLevel="0" collapsed="false">
      <c r="A264" s="76" t="n">
        <v>138</v>
      </c>
      <c r="B264" s="77" t="s">
        <v>116</v>
      </c>
      <c r="C264" s="76" t="s">
        <v>139</v>
      </c>
      <c r="D264" s="76" t="n">
        <v>5</v>
      </c>
      <c r="E264" s="77" t="str">
        <f aca="false">IF($Q264="","Tidak ada di data",IF(AND(IFERROR(--(INDEX('Reguler Class Availability'!$F:$F,$Q264)&amp;""),0)=0,IFERROR(--(INDEX('Reguler Class Availability'!$G:$G,$Q264)&amp;""),0)=0),"Tutup",IF(IFERROR(--(INDEX('Reguler Class Availability'!$G:$G,$Q264)&amp;""),0)&gt;IFERROR(--(INDEX('Reguler Class Availability'!$F:$F,$Q264)&amp;""),0),"Lebih",IF(IFERROR(--(INDEX('Reguler Class Availability'!$G:$G,$Q264)&amp;""),0)=IFERROR(--(INDEX('Reguler Class Availability'!$F:$F,$Q264)&amp;""),0),"Penuh",IF(IFERROR(--(INDEX('Reguler Class Availability'!$G:$G,$Q264)&amp;""),0)=0,IF(INDEX('Reguler Class Availability'!$B:$B,$Q264)&amp;""="","Kosong","Belum terisi"),IF(IFERROR(--(INDEX('Reguler Class Availability'!$G:$G,$Q264)&amp;""),0)/IFERROR(--(INDEX('Reguler Class Availability'!$F:$F,$Q264)&amp;""),0)&gt;=0.6,"Tinggi","Sebagian"))))))</f>
        <v>Kosong</v>
      </c>
      <c r="F264" s="77" t="str">
        <f aca="false">IF($Q264="","",PROPER(INDEX('Reguler Class Availability'!$B:$B,$Q264)&amp;""))</f>
        <v/>
      </c>
      <c r="G264" s="76" t="n">
        <f aca="false">IF($Q264="","",IFERROR(--(INDEX('Reguler Class Availability'!$F:$F,$Q264)&amp;""),0))</f>
        <v>4</v>
      </c>
      <c r="H264" s="77" t="str">
        <f aca="false">IF($Q264="","",PROPER(INDEX('Reguler Class Availability'!$I:$I,$Q264)&amp;"")&amp;IF(INDEX('Reguler Class Availability'!$J:$J,$Q264)&amp;""="",""," + asst "&amp;PROPER(INDEX('Reguler Class Availability'!$J:$J,$Q264)&amp;"")))</f>
        <v/>
      </c>
      <c r="I264" s="77" t="s">
        <v>522</v>
      </c>
      <c r="J264" s="77" t="s">
        <v>188</v>
      </c>
      <c r="K264" s="78"/>
      <c r="L264" s="78"/>
      <c r="M264" s="78"/>
      <c r="N264" s="79"/>
      <c r="O264" s="78"/>
      <c r="Q264" s="30" t="n">
        <f aca="false">IFERROR(MATCH($B$4&amp;"|- Lane "&amp;D264&amp;" - "&amp;B264&amp;"|"&amp;C264,'Reguler Class Availability'!$L:$L,0),"")</f>
        <v>2790</v>
      </c>
      <c r="BD264" s="30" t="s">
        <v>131</v>
      </c>
      <c r="BE264" s="30" t="n">
        <f aca="false">IF(COUNTIFS('Reguler Class Availability'!$L:$L,$B$4&amp;"|- Lane 5 - *|"&amp;BD264)&gt;0,1,0)</f>
        <v>0</v>
      </c>
      <c r="BF264" s="30" t="n">
        <f aca="false">BE264+BF263</f>
        <v>5</v>
      </c>
    </row>
    <row r="265" customFormat="false" ht="27.75" hidden="false" customHeight="true" outlineLevel="0" collapsed="false">
      <c r="A265" s="76" t="n">
        <v>139</v>
      </c>
      <c r="B265" s="77" t="s">
        <v>116</v>
      </c>
      <c r="C265" s="76" t="s">
        <v>141</v>
      </c>
      <c r="D265" s="76" t="n">
        <v>3</v>
      </c>
      <c r="E265" s="77" t="str">
        <f aca="false">IF($Q265="","Tidak ada di data",IF(AND(IFERROR(--(INDEX('Reguler Class Availability'!$F:$F,$Q265)&amp;""),0)=0,IFERROR(--(INDEX('Reguler Class Availability'!$G:$G,$Q265)&amp;""),0)=0),"Tutup",IF(IFERROR(--(INDEX('Reguler Class Availability'!$G:$G,$Q265)&amp;""),0)&gt;IFERROR(--(INDEX('Reguler Class Availability'!$F:$F,$Q265)&amp;""),0),"Lebih",IF(IFERROR(--(INDEX('Reguler Class Availability'!$G:$G,$Q265)&amp;""),0)=IFERROR(--(INDEX('Reguler Class Availability'!$F:$F,$Q265)&amp;""),0),"Penuh",IF(IFERROR(--(INDEX('Reguler Class Availability'!$G:$G,$Q265)&amp;""),0)=0,IF(INDEX('Reguler Class Availability'!$B:$B,$Q265)&amp;""="","Kosong","Belum terisi"),IF(IFERROR(--(INDEX('Reguler Class Availability'!$G:$G,$Q265)&amp;""),0)/IFERROR(--(INDEX('Reguler Class Availability'!$F:$F,$Q265)&amp;""),0)&gt;=0.6,"Tinggi","Sebagian"))))))</f>
        <v>Belum terisi</v>
      </c>
      <c r="F265" s="77" t="str">
        <f aca="false">IF($Q265="","",PROPER(INDEX('Reguler Class Availability'!$B:$B,$Q265)&amp;""))</f>
        <v>Little</v>
      </c>
      <c r="G265" s="76" t="n">
        <f aca="false">IF($Q265="","",IFERROR(--(INDEX('Reguler Class Availability'!$F:$F,$Q265)&amp;""),0))</f>
        <v>4</v>
      </c>
      <c r="H265" s="77" t="str">
        <f aca="false">IF($Q265="","",PROPER(INDEX('Reguler Class Availability'!$I:$I,$Q265)&amp;"")&amp;IF(INDEX('Reguler Class Availability'!$J:$J,$Q265)&amp;""="",""," + asst "&amp;PROPER(INDEX('Reguler Class Availability'!$J:$J,$Q265)&amp;"")))</f>
        <v/>
      </c>
      <c r="I265" s="77" t="s">
        <v>522</v>
      </c>
      <c r="J265" s="77" t="s">
        <v>188</v>
      </c>
      <c r="K265" s="78"/>
      <c r="L265" s="78"/>
      <c r="M265" s="78"/>
      <c r="N265" s="79"/>
      <c r="O265" s="78"/>
      <c r="Q265" s="30" t="n">
        <f aca="false">IFERROR(MATCH($B$4&amp;"|- Lane "&amp;D265&amp;" - "&amp;B265&amp;"|"&amp;C265,'Reguler Class Availability'!$L:$L,0),"")</f>
        <v>2622</v>
      </c>
      <c r="BD265" s="30" t="s">
        <v>132</v>
      </c>
      <c r="BE265" s="30" t="n">
        <f aca="false">IF(COUNTIFS('Reguler Class Availability'!$L:$L,$B$4&amp;"|- Lane 5 - *|"&amp;BD265)&gt;0,1,0)</f>
        <v>1</v>
      </c>
      <c r="BF265" s="30" t="n">
        <f aca="false">BE265+BF264</f>
        <v>6</v>
      </c>
    </row>
    <row r="266" customFormat="false" ht="27.75" hidden="false" customHeight="true" outlineLevel="0" collapsed="false">
      <c r="A266" s="76" t="n">
        <v>140</v>
      </c>
      <c r="B266" s="77" t="s">
        <v>116</v>
      </c>
      <c r="C266" s="76" t="s">
        <v>143</v>
      </c>
      <c r="D266" s="76" t="n">
        <v>1</v>
      </c>
      <c r="E266" s="77" t="str">
        <f aca="false">IF($Q266="","Tidak ada di data",IF(AND(IFERROR(--(INDEX('Reguler Class Availability'!$F:$F,$Q266)&amp;""),0)=0,IFERROR(--(INDEX('Reguler Class Availability'!$G:$G,$Q266)&amp;""),0)=0),"Tutup",IF(IFERROR(--(INDEX('Reguler Class Availability'!$G:$G,$Q266)&amp;""),0)&gt;IFERROR(--(INDEX('Reguler Class Availability'!$F:$F,$Q266)&amp;""),0),"Lebih",IF(IFERROR(--(INDEX('Reguler Class Availability'!$G:$G,$Q266)&amp;""),0)=IFERROR(--(INDEX('Reguler Class Availability'!$F:$F,$Q266)&amp;""),0),"Penuh",IF(IFERROR(--(INDEX('Reguler Class Availability'!$G:$G,$Q266)&amp;""),0)=0,IF(INDEX('Reguler Class Availability'!$B:$B,$Q266)&amp;""="","Kosong","Belum terisi"),IF(IFERROR(--(INDEX('Reguler Class Availability'!$G:$G,$Q266)&amp;""),0)/IFERROR(--(INDEX('Reguler Class Availability'!$F:$F,$Q266)&amp;""),0)&gt;=0.6,"Tinggi","Sebagian"))))))</f>
        <v>Belum terisi</v>
      </c>
      <c r="F266" s="77" t="str">
        <f aca="false">IF($Q266="","",PROPER(INDEX('Reguler Class Availability'!$B:$B,$Q266)&amp;""))</f>
        <v>Baby</v>
      </c>
      <c r="G266" s="76" t="n">
        <f aca="false">IF($Q266="","",IFERROR(--(INDEX('Reguler Class Availability'!$F:$F,$Q266)&amp;""),0))</f>
        <v>5</v>
      </c>
      <c r="H266" s="77" t="str">
        <f aca="false">IF($Q266="","",PROPER(INDEX('Reguler Class Availability'!$I:$I,$Q266)&amp;"")&amp;IF(INDEX('Reguler Class Availability'!$J:$J,$Q266)&amp;""="",""," + asst "&amp;PROPER(INDEX('Reguler Class Availability'!$J:$J,$Q266)&amp;"")))</f>
        <v/>
      </c>
      <c r="I266" s="77" t="s">
        <v>522</v>
      </c>
      <c r="J266" s="77" t="s">
        <v>188</v>
      </c>
      <c r="K266" s="78"/>
      <c r="L266" s="78"/>
      <c r="M266" s="78"/>
      <c r="N266" s="79"/>
      <c r="O266" s="78"/>
      <c r="Q266" s="30" t="n">
        <f aca="false">IFERROR(MATCH($B$4&amp;"|- Lane "&amp;D266&amp;" - "&amp;B266&amp;"|"&amp;C266,'Reguler Class Availability'!$L:$L,0),"")</f>
        <v>2441</v>
      </c>
      <c r="BD266" s="30" t="s">
        <v>133</v>
      </c>
      <c r="BE266" s="30" t="n">
        <f aca="false">IF(COUNTIFS('Reguler Class Availability'!$L:$L,$B$4&amp;"|- Lane 5 - *|"&amp;BD266)&gt;0,1,0)</f>
        <v>0</v>
      </c>
      <c r="BF266" s="30" t="n">
        <f aca="false">BE266+BF265</f>
        <v>6</v>
      </c>
    </row>
    <row r="267" customFormat="false" ht="27.75" hidden="false" customHeight="true" outlineLevel="0" collapsed="false">
      <c r="A267" s="76" t="n">
        <v>141</v>
      </c>
      <c r="B267" s="77" t="s">
        <v>116</v>
      </c>
      <c r="C267" s="76" t="s">
        <v>143</v>
      </c>
      <c r="D267" s="76" t="n">
        <v>2</v>
      </c>
      <c r="E267" s="77" t="str">
        <f aca="false">IF($Q267="","Tidak ada di data",IF(AND(IFERROR(--(INDEX('Reguler Class Availability'!$F:$F,$Q267)&amp;""),0)=0,IFERROR(--(INDEX('Reguler Class Availability'!$G:$G,$Q267)&amp;""),0)=0),"Tutup",IF(IFERROR(--(INDEX('Reguler Class Availability'!$G:$G,$Q267)&amp;""),0)&gt;IFERROR(--(INDEX('Reguler Class Availability'!$F:$F,$Q267)&amp;""),0),"Lebih",IF(IFERROR(--(INDEX('Reguler Class Availability'!$G:$G,$Q267)&amp;""),0)=IFERROR(--(INDEX('Reguler Class Availability'!$F:$F,$Q267)&amp;""),0),"Penuh",IF(IFERROR(--(INDEX('Reguler Class Availability'!$G:$G,$Q267)&amp;""),0)=0,IF(INDEX('Reguler Class Availability'!$B:$B,$Q267)&amp;""="","Kosong","Belum terisi"),IF(IFERROR(--(INDEX('Reguler Class Availability'!$G:$G,$Q267)&amp;""),0)/IFERROR(--(INDEX('Reguler Class Availability'!$F:$F,$Q267)&amp;""),0)&gt;=0.6,"Tinggi","Sebagian"))))))</f>
        <v>Belum terisi</v>
      </c>
      <c r="F267" s="77" t="str">
        <f aca="false">IF($Q267="","",PROPER(INDEX('Reguler Class Availability'!$B:$B,$Q267)&amp;""))</f>
        <v>Tiny</v>
      </c>
      <c r="G267" s="76" t="n">
        <f aca="false">IF($Q267="","",IFERROR(--(INDEX('Reguler Class Availability'!$F:$F,$Q267)&amp;""),0))</f>
        <v>5</v>
      </c>
      <c r="H267" s="77" t="str">
        <f aca="false">IF($Q267="","",PROPER(INDEX('Reguler Class Availability'!$I:$I,$Q267)&amp;"")&amp;IF(INDEX('Reguler Class Availability'!$J:$J,$Q267)&amp;""="",""," + asst "&amp;PROPER(INDEX('Reguler Class Availability'!$J:$J,$Q267)&amp;"")))</f>
        <v/>
      </c>
      <c r="I267" s="77" t="s">
        <v>522</v>
      </c>
      <c r="J267" s="77" t="s">
        <v>188</v>
      </c>
      <c r="K267" s="78"/>
      <c r="L267" s="78"/>
      <c r="M267" s="78"/>
      <c r="N267" s="79"/>
      <c r="O267" s="78"/>
      <c r="Q267" s="30" t="n">
        <f aca="false">IFERROR(MATCH($B$4&amp;"|- Lane "&amp;D267&amp;" - "&amp;B267&amp;"|"&amp;C267,'Reguler Class Availability'!$L:$L,0),"")</f>
        <v>2539</v>
      </c>
      <c r="BD267" s="30" t="s">
        <v>134</v>
      </c>
      <c r="BE267" s="30" t="n">
        <f aca="false">IF(COUNTIFS('Reguler Class Availability'!$L:$L,$B$4&amp;"|- Lane 5 - *|"&amp;BD267)&gt;0,1,0)</f>
        <v>0</v>
      </c>
      <c r="BF267" s="30" t="n">
        <f aca="false">BE267+BF266</f>
        <v>6</v>
      </c>
    </row>
    <row r="268" customFormat="false" ht="27.75" hidden="false" customHeight="true" outlineLevel="0" collapsed="false">
      <c r="A268" s="76" t="n">
        <v>142</v>
      </c>
      <c r="B268" s="77" t="s">
        <v>116</v>
      </c>
      <c r="C268" s="76" t="s">
        <v>143</v>
      </c>
      <c r="D268" s="76" t="n">
        <v>5</v>
      </c>
      <c r="E268" s="77" t="str">
        <f aca="false">IF($Q268="","Tidak ada di data",IF(AND(IFERROR(--(INDEX('Reguler Class Availability'!$F:$F,$Q268)&amp;""),0)=0,IFERROR(--(INDEX('Reguler Class Availability'!$G:$G,$Q268)&amp;""),0)=0),"Tutup",IF(IFERROR(--(INDEX('Reguler Class Availability'!$G:$G,$Q268)&amp;""),0)&gt;IFERROR(--(INDEX('Reguler Class Availability'!$F:$F,$Q268)&amp;""),0),"Lebih",IF(IFERROR(--(INDEX('Reguler Class Availability'!$G:$G,$Q268)&amp;""),0)=IFERROR(--(INDEX('Reguler Class Availability'!$F:$F,$Q268)&amp;""),0),"Penuh",IF(IFERROR(--(INDEX('Reguler Class Availability'!$G:$G,$Q268)&amp;""),0)=0,IF(INDEX('Reguler Class Availability'!$B:$B,$Q268)&amp;""="","Kosong","Belum terisi"),IF(IFERROR(--(INDEX('Reguler Class Availability'!$G:$G,$Q268)&amp;""),0)/IFERROR(--(INDEX('Reguler Class Availability'!$F:$F,$Q268)&amp;""),0)&gt;=0.6,"Tinggi","Sebagian"))))))</f>
        <v>Kosong</v>
      </c>
      <c r="F268" s="77" t="str">
        <f aca="false">IF($Q268="","",PROPER(INDEX('Reguler Class Availability'!$B:$B,$Q268)&amp;""))</f>
        <v/>
      </c>
      <c r="G268" s="76" t="n">
        <f aca="false">IF($Q268="","",IFERROR(--(INDEX('Reguler Class Availability'!$F:$F,$Q268)&amp;""),0))</f>
        <v>4</v>
      </c>
      <c r="H268" s="77" t="str">
        <f aca="false">IF($Q268="","",PROPER(INDEX('Reguler Class Availability'!$I:$I,$Q268)&amp;"")&amp;IF(INDEX('Reguler Class Availability'!$J:$J,$Q268)&amp;""="",""," + asst "&amp;PROPER(INDEX('Reguler Class Availability'!$J:$J,$Q268)&amp;"")))</f>
        <v/>
      </c>
      <c r="I268" s="77" t="s">
        <v>522</v>
      </c>
      <c r="J268" s="77" t="s">
        <v>188</v>
      </c>
      <c r="K268" s="78"/>
      <c r="L268" s="78"/>
      <c r="M268" s="78"/>
      <c r="N268" s="79"/>
      <c r="O268" s="78"/>
      <c r="Q268" s="30" t="n">
        <f aca="false">IFERROR(MATCH($B$4&amp;"|- Lane "&amp;D268&amp;" - "&amp;B268&amp;"|"&amp;C268,'Reguler Class Availability'!$L:$L,0),"")</f>
        <v>2791</v>
      </c>
      <c r="BD268" s="30" t="s">
        <v>135</v>
      </c>
      <c r="BE268" s="30" t="n">
        <f aca="false">IF(COUNTIFS('Reguler Class Availability'!$L:$L,$B$4&amp;"|- Lane 5 - *|"&amp;BD268)&gt;0,1,0)</f>
        <v>0</v>
      </c>
      <c r="BF268" s="30" t="n">
        <f aca="false">BE268+BF267</f>
        <v>6</v>
      </c>
    </row>
    <row r="269" customFormat="false" ht="27.75" hidden="false" customHeight="true" outlineLevel="0" collapsed="false">
      <c r="A269" s="76" t="n">
        <v>143</v>
      </c>
      <c r="B269" s="77" t="s">
        <v>116</v>
      </c>
      <c r="C269" s="76" t="s">
        <v>144</v>
      </c>
      <c r="D269" s="76" t="n">
        <v>3</v>
      </c>
      <c r="E269" s="77" t="str">
        <f aca="false">IF($Q269="","Tidak ada di data",IF(AND(IFERROR(--(INDEX('Reguler Class Availability'!$F:$F,$Q269)&amp;""),0)=0,IFERROR(--(INDEX('Reguler Class Availability'!$G:$G,$Q269)&amp;""),0)=0),"Tutup",IF(IFERROR(--(INDEX('Reguler Class Availability'!$G:$G,$Q269)&amp;""),0)&gt;IFERROR(--(INDEX('Reguler Class Availability'!$F:$F,$Q269)&amp;""),0),"Lebih",IF(IFERROR(--(INDEX('Reguler Class Availability'!$G:$G,$Q269)&amp;""),0)=IFERROR(--(INDEX('Reguler Class Availability'!$F:$F,$Q269)&amp;""),0),"Penuh",IF(IFERROR(--(INDEX('Reguler Class Availability'!$G:$G,$Q269)&amp;""),0)=0,IF(INDEX('Reguler Class Availability'!$B:$B,$Q269)&amp;""="","Kosong","Belum terisi"),IF(IFERROR(--(INDEX('Reguler Class Availability'!$G:$G,$Q269)&amp;""),0)/IFERROR(--(INDEX('Reguler Class Availability'!$F:$F,$Q269)&amp;""),0)&gt;=0.6,"Tinggi","Sebagian"))))))</f>
        <v>Belum terisi</v>
      </c>
      <c r="F269" s="77" t="str">
        <f aca="false">IF($Q269="","",PROPER(INDEX('Reguler Class Availability'!$B:$B,$Q269)&amp;""))</f>
        <v>Little</v>
      </c>
      <c r="G269" s="76" t="n">
        <f aca="false">IF($Q269="","",IFERROR(--(INDEX('Reguler Class Availability'!$F:$F,$Q269)&amp;""),0))</f>
        <v>4</v>
      </c>
      <c r="H269" s="77" t="str">
        <f aca="false">IF($Q269="","",PROPER(INDEX('Reguler Class Availability'!$I:$I,$Q269)&amp;"")&amp;IF(INDEX('Reguler Class Availability'!$J:$J,$Q269)&amp;""="",""," + asst "&amp;PROPER(INDEX('Reguler Class Availability'!$J:$J,$Q269)&amp;"")))</f>
        <v/>
      </c>
      <c r="I269" s="77" t="s">
        <v>520</v>
      </c>
      <c r="J269" s="77" t="s">
        <v>186</v>
      </c>
      <c r="K269" s="78"/>
      <c r="L269" s="78"/>
      <c r="M269" s="78"/>
      <c r="N269" s="79"/>
      <c r="O269" s="78"/>
      <c r="Q269" s="30" t="n">
        <f aca="false">IFERROR(MATCH($B$4&amp;"|- Lane "&amp;D269&amp;" - "&amp;B269&amp;"|"&amp;C269,'Reguler Class Availability'!$L:$L,0),"")</f>
        <v>2623</v>
      </c>
      <c r="BD269" s="30" t="s">
        <v>136</v>
      </c>
      <c r="BE269" s="30" t="n">
        <f aca="false">IF(COUNTIFS('Reguler Class Availability'!$L:$L,$B$4&amp;"|- Lane 5 - *|"&amp;BD269)&gt;0,1,0)</f>
        <v>0</v>
      </c>
      <c r="BF269" s="30" t="n">
        <f aca="false">BE269+BF268</f>
        <v>6</v>
      </c>
    </row>
    <row r="270" customFormat="false" ht="27.75" hidden="false" customHeight="true" outlineLevel="0" collapsed="false">
      <c r="A270" s="76" t="n">
        <v>144</v>
      </c>
      <c r="B270" s="77" t="s">
        <v>116</v>
      </c>
      <c r="C270" s="76" t="s">
        <v>144</v>
      </c>
      <c r="D270" s="76" t="n">
        <v>4</v>
      </c>
      <c r="E270" s="77" t="str">
        <f aca="false">IF($Q270="","Tidak ada di data",IF(AND(IFERROR(--(INDEX('Reguler Class Availability'!$F:$F,$Q270)&amp;""),0)=0,IFERROR(--(INDEX('Reguler Class Availability'!$G:$G,$Q270)&amp;""),0)=0),"Tutup",IF(IFERROR(--(INDEX('Reguler Class Availability'!$G:$G,$Q270)&amp;""),0)&gt;IFERROR(--(INDEX('Reguler Class Availability'!$F:$F,$Q270)&amp;""),0),"Lebih",IF(IFERROR(--(INDEX('Reguler Class Availability'!$G:$G,$Q270)&amp;""),0)=IFERROR(--(INDEX('Reguler Class Availability'!$F:$F,$Q270)&amp;""),0),"Penuh",IF(IFERROR(--(INDEX('Reguler Class Availability'!$G:$G,$Q270)&amp;""),0)=0,IF(INDEX('Reguler Class Availability'!$B:$B,$Q270)&amp;""="","Kosong","Belum terisi"),IF(IFERROR(--(INDEX('Reguler Class Availability'!$G:$G,$Q270)&amp;""),0)/IFERROR(--(INDEX('Reguler Class Availability'!$F:$F,$Q270)&amp;""),0)&gt;=0.6,"Tinggi","Sebagian"))))))</f>
        <v>Belum terisi</v>
      </c>
      <c r="F270" s="77" t="str">
        <f aca="false">IF($Q270="","",PROPER(INDEX('Reguler Class Availability'!$B:$B,$Q270)&amp;""))</f>
        <v>Kids</v>
      </c>
      <c r="G270" s="76" t="n">
        <f aca="false">IF($Q270="","",IFERROR(--(INDEX('Reguler Class Availability'!$F:$F,$Q270)&amp;""),0))</f>
        <v>4</v>
      </c>
      <c r="H270" s="77" t="str">
        <f aca="false">IF($Q270="","",PROPER(INDEX('Reguler Class Availability'!$I:$I,$Q270)&amp;"")&amp;IF(INDEX('Reguler Class Availability'!$J:$J,$Q270)&amp;""="",""," + asst "&amp;PROPER(INDEX('Reguler Class Availability'!$J:$J,$Q270)&amp;"")))</f>
        <v/>
      </c>
      <c r="I270" s="77" t="s">
        <v>520</v>
      </c>
      <c r="J270" s="77" t="s">
        <v>186</v>
      </c>
      <c r="K270" s="78"/>
      <c r="L270" s="78"/>
      <c r="M270" s="78"/>
      <c r="N270" s="79"/>
      <c r="O270" s="78"/>
      <c r="Q270" s="30" t="n">
        <f aca="false">IFERROR(MATCH($B$4&amp;"|- Lane "&amp;D270&amp;" - "&amp;B270&amp;"|"&amp;C270,'Reguler Class Availability'!$L:$L,0),"")</f>
        <v>2707</v>
      </c>
      <c r="BD270" s="30" t="s">
        <v>138</v>
      </c>
      <c r="BE270" s="30" t="n">
        <f aca="false">IF(COUNTIFS('Reguler Class Availability'!$L:$L,$B$4&amp;"|- Lane 5 - *|"&amp;BD270)&gt;0,1,0)</f>
        <v>0</v>
      </c>
      <c r="BF270" s="30" t="n">
        <f aca="false">BE270+BF269</f>
        <v>6</v>
      </c>
    </row>
    <row r="271" customFormat="false" ht="27.75" hidden="false" customHeight="true" outlineLevel="0" collapsed="false">
      <c r="A271" s="76" t="n">
        <v>145</v>
      </c>
      <c r="B271" s="77" t="s">
        <v>116</v>
      </c>
      <c r="C271" s="76" t="s">
        <v>146</v>
      </c>
      <c r="D271" s="76" t="n">
        <v>2</v>
      </c>
      <c r="E271" s="77" t="str">
        <f aca="false">IF($Q271="","Tidak ada di data",IF(AND(IFERROR(--(INDEX('Reguler Class Availability'!$F:$F,$Q271)&amp;""),0)=0,IFERROR(--(INDEX('Reguler Class Availability'!$G:$G,$Q271)&amp;""),0)=0),"Tutup",IF(IFERROR(--(INDEX('Reguler Class Availability'!$G:$G,$Q271)&amp;""),0)&gt;IFERROR(--(INDEX('Reguler Class Availability'!$F:$F,$Q271)&amp;""),0),"Lebih",IF(IFERROR(--(INDEX('Reguler Class Availability'!$G:$G,$Q271)&amp;""),0)=IFERROR(--(INDEX('Reguler Class Availability'!$F:$F,$Q271)&amp;""),0),"Penuh",IF(IFERROR(--(INDEX('Reguler Class Availability'!$G:$G,$Q271)&amp;""),0)=0,IF(INDEX('Reguler Class Availability'!$B:$B,$Q271)&amp;""="","Kosong","Belum terisi"),IF(IFERROR(--(INDEX('Reguler Class Availability'!$G:$G,$Q271)&amp;""),0)/IFERROR(--(INDEX('Reguler Class Availability'!$F:$F,$Q271)&amp;""),0)&gt;=0.6,"Tinggi","Sebagian"))))))</f>
        <v>Belum terisi</v>
      </c>
      <c r="F271" s="77" t="str">
        <f aca="false">IF($Q271="","",PROPER(INDEX('Reguler Class Availability'!$B:$B,$Q271)&amp;""))</f>
        <v>Tiny</v>
      </c>
      <c r="G271" s="76" t="n">
        <f aca="false">IF($Q271="","",IFERROR(--(INDEX('Reguler Class Availability'!$F:$F,$Q271)&amp;""),0))</f>
        <v>5</v>
      </c>
      <c r="H271" s="77" t="str">
        <f aca="false">IF($Q271="","",PROPER(INDEX('Reguler Class Availability'!$I:$I,$Q271)&amp;"")&amp;IF(INDEX('Reguler Class Availability'!$J:$J,$Q271)&amp;""="",""," + asst "&amp;PROPER(INDEX('Reguler Class Availability'!$J:$J,$Q271)&amp;"")))</f>
        <v/>
      </c>
      <c r="I271" s="77" t="s">
        <v>525</v>
      </c>
      <c r="J271" s="77" t="s">
        <v>186</v>
      </c>
      <c r="K271" s="78"/>
      <c r="L271" s="78"/>
      <c r="M271" s="78"/>
      <c r="N271" s="79"/>
      <c r="O271" s="78"/>
      <c r="Q271" s="30" t="n">
        <f aca="false">IFERROR(MATCH($B$4&amp;"|- Lane "&amp;D271&amp;" - "&amp;B271&amp;"|"&amp;C271,'Reguler Class Availability'!$L:$L,0),"")</f>
        <v>2540</v>
      </c>
      <c r="BD271" s="30" t="s">
        <v>139</v>
      </c>
      <c r="BE271" s="30" t="n">
        <f aca="false">IF(COUNTIFS('Reguler Class Availability'!$L:$L,$B$4&amp;"|- Lane 5 - *|"&amp;BD271)&gt;0,1,0)</f>
        <v>1</v>
      </c>
      <c r="BF271" s="30" t="n">
        <f aca="false">BE271+BF270</f>
        <v>7</v>
      </c>
    </row>
    <row r="272" customFormat="false" ht="27.75" hidden="false" customHeight="true" outlineLevel="0" collapsed="false">
      <c r="A272" s="76" t="n">
        <v>146</v>
      </c>
      <c r="B272" s="77" t="s">
        <v>116</v>
      </c>
      <c r="C272" s="76" t="s">
        <v>146</v>
      </c>
      <c r="D272" s="76" t="n">
        <v>5</v>
      </c>
      <c r="E272" s="77" t="str">
        <f aca="false">IF($Q272="","Tidak ada di data",IF(AND(IFERROR(--(INDEX('Reguler Class Availability'!$F:$F,$Q272)&amp;""),0)=0,IFERROR(--(INDEX('Reguler Class Availability'!$G:$G,$Q272)&amp;""),0)=0),"Tutup",IF(IFERROR(--(INDEX('Reguler Class Availability'!$G:$G,$Q272)&amp;""),0)&gt;IFERROR(--(INDEX('Reguler Class Availability'!$F:$F,$Q272)&amp;""),0),"Lebih",IF(IFERROR(--(INDEX('Reguler Class Availability'!$G:$G,$Q272)&amp;""),0)=IFERROR(--(INDEX('Reguler Class Availability'!$F:$F,$Q272)&amp;""),0),"Penuh",IF(IFERROR(--(INDEX('Reguler Class Availability'!$G:$G,$Q272)&amp;""),0)=0,IF(INDEX('Reguler Class Availability'!$B:$B,$Q272)&amp;""="","Kosong","Belum terisi"),IF(IFERROR(--(INDEX('Reguler Class Availability'!$G:$G,$Q272)&amp;""),0)/IFERROR(--(INDEX('Reguler Class Availability'!$F:$F,$Q272)&amp;""),0)&gt;=0.6,"Tinggi","Sebagian"))))))</f>
        <v>Kosong</v>
      </c>
      <c r="F272" s="77" t="str">
        <f aca="false">IF($Q272="","",PROPER(INDEX('Reguler Class Availability'!$B:$B,$Q272)&amp;""))</f>
        <v/>
      </c>
      <c r="G272" s="76" t="n">
        <f aca="false">IF($Q272="","",IFERROR(--(INDEX('Reguler Class Availability'!$F:$F,$Q272)&amp;""),0))</f>
        <v>4</v>
      </c>
      <c r="H272" s="77" t="str">
        <f aca="false">IF($Q272="","",PROPER(INDEX('Reguler Class Availability'!$I:$I,$Q272)&amp;"")&amp;IF(INDEX('Reguler Class Availability'!$J:$J,$Q272)&amp;""="",""," + asst "&amp;PROPER(INDEX('Reguler Class Availability'!$J:$J,$Q272)&amp;"")))</f>
        <v/>
      </c>
      <c r="I272" s="77" t="s">
        <v>525</v>
      </c>
      <c r="J272" s="77" t="s">
        <v>186</v>
      </c>
      <c r="K272" s="78"/>
      <c r="L272" s="78"/>
      <c r="M272" s="78"/>
      <c r="N272" s="79"/>
      <c r="O272" s="78"/>
      <c r="Q272" s="30" t="n">
        <f aca="false">IFERROR(MATCH($B$4&amp;"|- Lane "&amp;D272&amp;" - "&amp;B272&amp;"|"&amp;C272,'Reguler Class Availability'!$L:$L,0),"")</f>
        <v>2792</v>
      </c>
      <c r="BD272" s="30" t="s">
        <v>141</v>
      </c>
      <c r="BE272" s="30" t="n">
        <f aca="false">IF(COUNTIFS('Reguler Class Availability'!$L:$L,$B$4&amp;"|- Lane 5 - *|"&amp;BD272)&gt;0,1,0)</f>
        <v>0</v>
      </c>
      <c r="BF272" s="30" t="n">
        <f aca="false">BE272+BF271</f>
        <v>7</v>
      </c>
    </row>
    <row r="273" customFormat="false" ht="15.75" hidden="false" customHeight="true" outlineLevel="0" collapsed="false">
      <c r="A273" s="76" t="n">
        <v>147</v>
      </c>
      <c r="B273" s="77" t="s">
        <v>116</v>
      </c>
      <c r="C273" s="76" t="s">
        <v>147</v>
      </c>
      <c r="D273" s="76" t="n">
        <v>4</v>
      </c>
      <c r="E273" s="77" t="str">
        <f aca="false">IF($Q273="","Tidak ada di data",IF(AND(IFERROR(--(INDEX('Reguler Class Availability'!$F:$F,$Q273)&amp;""),0)=0,IFERROR(--(INDEX('Reguler Class Availability'!$G:$G,$Q273)&amp;""),0)=0),"Tutup",IF(IFERROR(--(INDEX('Reguler Class Availability'!$G:$G,$Q273)&amp;""),0)&gt;IFERROR(--(INDEX('Reguler Class Availability'!$F:$F,$Q273)&amp;""),0),"Lebih",IF(IFERROR(--(INDEX('Reguler Class Availability'!$G:$G,$Q273)&amp;""),0)=IFERROR(--(INDEX('Reguler Class Availability'!$F:$F,$Q273)&amp;""),0),"Penuh",IF(IFERROR(--(INDEX('Reguler Class Availability'!$G:$G,$Q273)&amp;""),0)=0,IF(INDEX('Reguler Class Availability'!$B:$B,$Q273)&amp;""="","Kosong","Belum terisi"),IF(IFERROR(--(INDEX('Reguler Class Availability'!$G:$G,$Q273)&amp;""),0)/IFERROR(--(INDEX('Reguler Class Availability'!$F:$F,$Q273)&amp;""),0)&gt;=0.6,"Tinggi","Sebagian"))))))</f>
        <v>Belum terisi</v>
      </c>
      <c r="F273" s="77" t="str">
        <f aca="false">IF($Q273="","",PROPER(INDEX('Reguler Class Availability'!$B:$B,$Q273)&amp;""))</f>
        <v>Kids</v>
      </c>
      <c r="G273" s="76" t="n">
        <f aca="false">IF($Q273="","",IFERROR(--(INDEX('Reguler Class Availability'!$F:$F,$Q273)&amp;""),0))</f>
        <v>4</v>
      </c>
      <c r="H273" s="77" t="str">
        <f aca="false">IF($Q273="","",PROPER(INDEX('Reguler Class Availability'!$I:$I,$Q273)&amp;"")&amp;IF(INDEX('Reguler Class Availability'!$J:$J,$Q273)&amp;""="",""," + asst "&amp;PROPER(INDEX('Reguler Class Availability'!$J:$J,$Q273)&amp;"")))</f>
        <v/>
      </c>
      <c r="I273" s="77" t="s">
        <v>526</v>
      </c>
      <c r="J273" s="77" t="s">
        <v>260</v>
      </c>
      <c r="K273" s="78"/>
      <c r="L273" s="78"/>
      <c r="M273" s="78"/>
      <c r="N273" s="79"/>
      <c r="O273" s="78"/>
      <c r="Q273" s="30" t="n">
        <f aca="false">IFERROR(MATCH($B$4&amp;"|- Lane "&amp;D273&amp;" - "&amp;B273&amp;"|"&amp;C273,'Reguler Class Availability'!$L:$L,0),"")</f>
        <v>2708</v>
      </c>
      <c r="BD273" s="30" t="s">
        <v>142</v>
      </c>
      <c r="BE273" s="30" t="n">
        <f aca="false">IF(COUNTIFS('Reguler Class Availability'!$L:$L,$B$4&amp;"|- Lane 5 - *|"&amp;BD273)&gt;0,1,0)</f>
        <v>0</v>
      </c>
      <c r="BF273" s="30" t="n">
        <f aca="false">BE273+BF272</f>
        <v>7</v>
      </c>
    </row>
    <row r="274" customFormat="false" ht="15.75" hidden="false" customHeight="true" outlineLevel="0" collapsed="false">
      <c r="A274" s="76" t="n">
        <v>148</v>
      </c>
      <c r="B274" s="77" t="s">
        <v>116</v>
      </c>
      <c r="C274" s="76" t="s">
        <v>149</v>
      </c>
      <c r="D274" s="76" t="n">
        <v>1</v>
      </c>
      <c r="E274" s="77" t="str">
        <f aca="false">IF($Q274="","Tidak ada di data",IF(AND(IFERROR(--(INDEX('Reguler Class Availability'!$F:$F,$Q274)&amp;""),0)=0,IFERROR(--(INDEX('Reguler Class Availability'!$G:$G,$Q274)&amp;""),0)=0),"Tutup",IF(IFERROR(--(INDEX('Reguler Class Availability'!$G:$G,$Q274)&amp;""),0)&gt;IFERROR(--(INDEX('Reguler Class Availability'!$F:$F,$Q274)&amp;""),0),"Lebih",IF(IFERROR(--(INDEX('Reguler Class Availability'!$G:$G,$Q274)&amp;""),0)=IFERROR(--(INDEX('Reguler Class Availability'!$F:$F,$Q274)&amp;""),0),"Penuh",IF(IFERROR(--(INDEX('Reguler Class Availability'!$G:$G,$Q274)&amp;""),0)=0,IF(INDEX('Reguler Class Availability'!$B:$B,$Q274)&amp;""="","Kosong","Belum terisi"),IF(IFERROR(--(INDEX('Reguler Class Availability'!$G:$G,$Q274)&amp;""),0)/IFERROR(--(INDEX('Reguler Class Availability'!$F:$F,$Q274)&amp;""),0)&gt;=0.6,"Tinggi","Sebagian"))))))</f>
        <v>Belum terisi</v>
      </c>
      <c r="F274" s="77" t="str">
        <f aca="false">IF($Q274="","",PROPER(INDEX('Reguler Class Availability'!$B:$B,$Q274)&amp;""))</f>
        <v>Baby</v>
      </c>
      <c r="G274" s="76" t="n">
        <f aca="false">IF($Q274="","",IFERROR(--(INDEX('Reguler Class Availability'!$F:$F,$Q274)&amp;""),0))</f>
        <v>5</v>
      </c>
      <c r="H274" s="77" t="str">
        <f aca="false">IF($Q274="","",PROPER(INDEX('Reguler Class Availability'!$I:$I,$Q274)&amp;"")&amp;IF(INDEX('Reguler Class Availability'!$J:$J,$Q274)&amp;""="",""," + asst "&amp;PROPER(INDEX('Reguler Class Availability'!$J:$J,$Q274)&amp;"")))</f>
        <v/>
      </c>
      <c r="I274" s="77" t="s">
        <v>527</v>
      </c>
      <c r="J274" s="77" t="s">
        <v>426</v>
      </c>
      <c r="K274" s="78"/>
      <c r="L274" s="78"/>
      <c r="M274" s="78"/>
      <c r="N274" s="79"/>
      <c r="O274" s="78"/>
      <c r="Q274" s="30" t="n">
        <f aca="false">IFERROR(MATCH($B$4&amp;"|- Lane "&amp;D274&amp;" - "&amp;B274&amp;"|"&amp;C274,'Reguler Class Availability'!$L:$L,0),"")</f>
        <v>2443</v>
      </c>
      <c r="BD274" s="30" t="s">
        <v>143</v>
      </c>
      <c r="BE274" s="30" t="n">
        <f aca="false">IF(COUNTIFS('Reguler Class Availability'!$L:$L,$B$4&amp;"|- Lane 5 - *|"&amp;BD274)&gt;0,1,0)</f>
        <v>1</v>
      </c>
      <c r="BF274" s="30" t="n">
        <f aca="false">BE274+BF273</f>
        <v>8</v>
      </c>
    </row>
    <row r="275" customFormat="false" ht="15.75" hidden="false" customHeight="true" outlineLevel="0" collapsed="false">
      <c r="A275" s="76" t="n">
        <v>149</v>
      </c>
      <c r="B275" s="77" t="s">
        <v>116</v>
      </c>
      <c r="C275" s="76" t="s">
        <v>149</v>
      </c>
      <c r="D275" s="76" t="n">
        <v>5</v>
      </c>
      <c r="E275" s="77" t="str">
        <f aca="false">IF($Q275="","Tidak ada di data",IF(AND(IFERROR(--(INDEX('Reguler Class Availability'!$F:$F,$Q275)&amp;""),0)=0,IFERROR(--(INDEX('Reguler Class Availability'!$G:$G,$Q275)&amp;""),0)=0),"Tutup",IF(IFERROR(--(INDEX('Reguler Class Availability'!$G:$G,$Q275)&amp;""),0)&gt;IFERROR(--(INDEX('Reguler Class Availability'!$F:$F,$Q275)&amp;""),0),"Lebih",IF(IFERROR(--(INDEX('Reguler Class Availability'!$G:$G,$Q275)&amp;""),0)=IFERROR(--(INDEX('Reguler Class Availability'!$F:$F,$Q275)&amp;""),0),"Penuh",IF(IFERROR(--(INDEX('Reguler Class Availability'!$G:$G,$Q275)&amp;""),0)=0,IF(INDEX('Reguler Class Availability'!$B:$B,$Q275)&amp;""="","Kosong","Belum terisi"),IF(IFERROR(--(INDEX('Reguler Class Availability'!$G:$G,$Q275)&amp;""),0)/IFERROR(--(INDEX('Reguler Class Availability'!$F:$F,$Q275)&amp;""),0)&gt;=0.6,"Tinggi","Sebagian"))))))</f>
        <v>Kosong</v>
      </c>
      <c r="F275" s="77" t="str">
        <f aca="false">IF($Q275="","",PROPER(INDEX('Reguler Class Availability'!$B:$B,$Q275)&amp;""))</f>
        <v/>
      </c>
      <c r="G275" s="76" t="n">
        <f aca="false">IF($Q275="","",IFERROR(--(INDEX('Reguler Class Availability'!$F:$F,$Q275)&amp;""),0))</f>
        <v>4</v>
      </c>
      <c r="H275" s="77" t="str">
        <f aca="false">IF($Q275="","",PROPER(INDEX('Reguler Class Availability'!$I:$I,$Q275)&amp;"")&amp;IF(INDEX('Reguler Class Availability'!$J:$J,$Q275)&amp;""="",""," + asst "&amp;PROPER(INDEX('Reguler Class Availability'!$J:$J,$Q275)&amp;"")))</f>
        <v/>
      </c>
      <c r="I275" s="77" t="s">
        <v>527</v>
      </c>
      <c r="J275" s="77" t="s">
        <v>426</v>
      </c>
      <c r="K275" s="78"/>
      <c r="L275" s="78"/>
      <c r="M275" s="78"/>
      <c r="N275" s="79"/>
      <c r="O275" s="78"/>
      <c r="Q275" s="30" t="n">
        <f aca="false">IFERROR(MATCH($B$4&amp;"|- Lane "&amp;D275&amp;" - "&amp;B275&amp;"|"&amp;C275,'Reguler Class Availability'!$L:$L,0),"")</f>
        <v>2793</v>
      </c>
      <c r="BD275" s="30" t="s">
        <v>144</v>
      </c>
      <c r="BE275" s="30" t="n">
        <f aca="false">IF(COUNTIFS('Reguler Class Availability'!$L:$L,$B$4&amp;"|- Lane 5 - *|"&amp;BD275)&gt;0,1,0)</f>
        <v>0</v>
      </c>
      <c r="BF275" s="30" t="n">
        <f aca="false">BE275+BF274</f>
        <v>8</v>
      </c>
    </row>
    <row r="276" customFormat="false" ht="15.75" hidden="false" customHeight="true" outlineLevel="0" collapsed="false">
      <c r="A276" s="76" t="n">
        <v>150</v>
      </c>
      <c r="B276" s="77" t="s">
        <v>116</v>
      </c>
      <c r="C276" s="76" t="s">
        <v>152</v>
      </c>
      <c r="D276" s="76" t="n">
        <v>1</v>
      </c>
      <c r="E276" s="77" t="str">
        <f aca="false">IF($Q276="","Tidak ada di data",IF(AND(IFERROR(--(INDEX('Reguler Class Availability'!$F:$F,$Q276)&amp;""),0)=0,IFERROR(--(INDEX('Reguler Class Availability'!$G:$G,$Q276)&amp;""),0)=0),"Tutup",IF(IFERROR(--(INDEX('Reguler Class Availability'!$G:$G,$Q276)&amp;""),0)&gt;IFERROR(--(INDEX('Reguler Class Availability'!$F:$F,$Q276)&amp;""),0),"Lebih",IF(IFERROR(--(INDEX('Reguler Class Availability'!$G:$G,$Q276)&amp;""),0)=IFERROR(--(INDEX('Reguler Class Availability'!$F:$F,$Q276)&amp;""),0),"Penuh",IF(IFERROR(--(INDEX('Reguler Class Availability'!$G:$G,$Q276)&amp;""),0)=0,IF(INDEX('Reguler Class Availability'!$B:$B,$Q276)&amp;""="","Kosong","Belum terisi"),IF(IFERROR(--(INDEX('Reguler Class Availability'!$G:$G,$Q276)&amp;""),0)/IFERROR(--(INDEX('Reguler Class Availability'!$F:$F,$Q276)&amp;""),0)&gt;=0.6,"Tinggi","Sebagian"))))))</f>
        <v>Belum terisi</v>
      </c>
      <c r="F276" s="77" t="str">
        <f aca="false">IF($Q276="","",PROPER(INDEX('Reguler Class Availability'!$B:$B,$Q276)&amp;""))</f>
        <v>Baby</v>
      </c>
      <c r="G276" s="76" t="n">
        <f aca="false">IF($Q276="","",IFERROR(--(INDEX('Reguler Class Availability'!$F:$F,$Q276)&amp;""),0))</f>
        <v>5</v>
      </c>
      <c r="H276" s="77" t="str">
        <f aca="false">IF($Q276="","",PROPER(INDEX('Reguler Class Availability'!$I:$I,$Q276)&amp;"")&amp;IF(INDEX('Reguler Class Availability'!$J:$J,$Q276)&amp;""="",""," + asst "&amp;PROPER(INDEX('Reguler Class Availability'!$J:$J,$Q276)&amp;"")))</f>
        <v/>
      </c>
      <c r="I276" s="77" t="s">
        <v>528</v>
      </c>
      <c r="J276" s="77" t="s">
        <v>529</v>
      </c>
      <c r="K276" s="78"/>
      <c r="L276" s="78"/>
      <c r="M276" s="78"/>
      <c r="N276" s="79"/>
      <c r="O276" s="78"/>
      <c r="Q276" s="30" t="n">
        <f aca="false">IFERROR(MATCH($B$4&amp;"|- Lane "&amp;D276&amp;" - "&amp;B276&amp;"|"&amp;C276,'Reguler Class Availability'!$L:$L,0),"")</f>
        <v>2444</v>
      </c>
      <c r="BD276" s="30" t="s">
        <v>145</v>
      </c>
      <c r="BE276" s="30" t="n">
        <f aca="false">IF(COUNTIFS('Reguler Class Availability'!$L:$L,$B$4&amp;"|- Lane 5 - *|"&amp;BD276)&gt;0,1,0)</f>
        <v>0</v>
      </c>
      <c r="BF276" s="30" t="n">
        <f aca="false">BE276+BF275</f>
        <v>8</v>
      </c>
    </row>
    <row r="277" customFormat="false" ht="15.75" hidden="false" customHeight="true" outlineLevel="0" collapsed="false">
      <c r="A277" s="76" t="n">
        <v>151</v>
      </c>
      <c r="B277" s="77" t="s">
        <v>116</v>
      </c>
      <c r="C277" s="76" t="s">
        <v>152</v>
      </c>
      <c r="D277" s="76" t="n">
        <v>2</v>
      </c>
      <c r="E277" s="77" t="str">
        <f aca="false">IF($Q277="","Tidak ada di data",IF(AND(IFERROR(--(INDEX('Reguler Class Availability'!$F:$F,$Q277)&amp;""),0)=0,IFERROR(--(INDEX('Reguler Class Availability'!$G:$G,$Q277)&amp;""),0)=0),"Tutup",IF(IFERROR(--(INDEX('Reguler Class Availability'!$G:$G,$Q277)&amp;""),0)&gt;IFERROR(--(INDEX('Reguler Class Availability'!$F:$F,$Q277)&amp;""),0),"Lebih",IF(IFERROR(--(INDEX('Reguler Class Availability'!$G:$G,$Q277)&amp;""),0)=IFERROR(--(INDEX('Reguler Class Availability'!$F:$F,$Q277)&amp;""),0),"Penuh",IF(IFERROR(--(INDEX('Reguler Class Availability'!$G:$G,$Q277)&amp;""),0)=0,IF(INDEX('Reguler Class Availability'!$B:$B,$Q277)&amp;""="","Kosong","Belum terisi"),IF(IFERROR(--(INDEX('Reguler Class Availability'!$G:$G,$Q277)&amp;""),0)/IFERROR(--(INDEX('Reguler Class Availability'!$F:$F,$Q277)&amp;""),0)&gt;=0.6,"Tinggi","Sebagian"))))))</f>
        <v>Belum terisi</v>
      </c>
      <c r="F277" s="77" t="str">
        <f aca="false">IF($Q277="","",PROPER(INDEX('Reguler Class Availability'!$B:$B,$Q277)&amp;""))</f>
        <v>Tiny</v>
      </c>
      <c r="G277" s="76" t="n">
        <f aca="false">IF($Q277="","",IFERROR(--(INDEX('Reguler Class Availability'!$F:$F,$Q277)&amp;""),0))</f>
        <v>5</v>
      </c>
      <c r="H277" s="77" t="str">
        <f aca="false">IF($Q277="","",PROPER(INDEX('Reguler Class Availability'!$I:$I,$Q277)&amp;"")&amp;IF(INDEX('Reguler Class Availability'!$J:$J,$Q277)&amp;""="",""," + asst "&amp;PROPER(INDEX('Reguler Class Availability'!$J:$J,$Q277)&amp;"")))</f>
        <v>Shabrina</v>
      </c>
      <c r="I277" s="77" t="s">
        <v>528</v>
      </c>
      <c r="J277" s="77" t="s">
        <v>186</v>
      </c>
      <c r="K277" s="78"/>
      <c r="L277" s="78"/>
      <c r="M277" s="78"/>
      <c r="N277" s="79"/>
      <c r="O277" s="78"/>
      <c r="Q277" s="30" t="n">
        <f aca="false">IFERROR(MATCH($B$4&amp;"|- Lane "&amp;D277&amp;" - "&amp;B277&amp;"|"&amp;C277,'Reguler Class Availability'!$L:$L,0),"")</f>
        <v>2542</v>
      </c>
      <c r="BD277" s="30" t="s">
        <v>146</v>
      </c>
      <c r="BE277" s="30" t="n">
        <f aca="false">IF(COUNTIFS('Reguler Class Availability'!$L:$L,$B$4&amp;"|- Lane 5 - *|"&amp;BD277)&gt;0,1,0)</f>
        <v>1</v>
      </c>
      <c r="BF277" s="30" t="n">
        <f aca="false">BE277+BF276</f>
        <v>9</v>
      </c>
    </row>
    <row r="278" customFormat="false" ht="15.75" hidden="false" customHeight="true" outlineLevel="0" collapsed="false">
      <c r="A278" s="76" t="n">
        <v>152</v>
      </c>
      <c r="B278" s="77" t="s">
        <v>116</v>
      </c>
      <c r="C278" s="76" t="s">
        <v>152</v>
      </c>
      <c r="D278" s="76" t="n">
        <v>5</v>
      </c>
      <c r="E278" s="77" t="str">
        <f aca="false">IF($Q278="","Tidak ada di data",IF(AND(IFERROR(--(INDEX('Reguler Class Availability'!$F:$F,$Q278)&amp;""),0)=0,IFERROR(--(INDEX('Reguler Class Availability'!$G:$G,$Q278)&amp;""),0)=0),"Tutup",IF(IFERROR(--(INDEX('Reguler Class Availability'!$G:$G,$Q278)&amp;""),0)&gt;IFERROR(--(INDEX('Reguler Class Availability'!$F:$F,$Q278)&amp;""),0),"Lebih",IF(IFERROR(--(INDEX('Reguler Class Availability'!$G:$G,$Q278)&amp;""),0)=IFERROR(--(INDEX('Reguler Class Availability'!$F:$F,$Q278)&amp;""),0),"Penuh",IF(IFERROR(--(INDEX('Reguler Class Availability'!$G:$G,$Q278)&amp;""),0)=0,IF(INDEX('Reguler Class Availability'!$B:$B,$Q278)&amp;""="","Kosong","Belum terisi"),IF(IFERROR(--(INDEX('Reguler Class Availability'!$G:$G,$Q278)&amp;""),0)/IFERROR(--(INDEX('Reguler Class Availability'!$F:$F,$Q278)&amp;""),0)&gt;=0.6,"Tinggi","Sebagian"))))))</f>
        <v>Kosong</v>
      </c>
      <c r="F278" s="77" t="str">
        <f aca="false">IF($Q278="","",PROPER(INDEX('Reguler Class Availability'!$B:$B,$Q278)&amp;""))</f>
        <v/>
      </c>
      <c r="G278" s="76" t="n">
        <f aca="false">IF($Q278="","",IFERROR(--(INDEX('Reguler Class Availability'!$F:$F,$Q278)&amp;""),0))</f>
        <v>4</v>
      </c>
      <c r="H278" s="77" t="str">
        <f aca="false">IF($Q278="","",PROPER(INDEX('Reguler Class Availability'!$I:$I,$Q278)&amp;"")&amp;IF(INDEX('Reguler Class Availability'!$J:$J,$Q278)&amp;""="",""," + asst "&amp;PROPER(INDEX('Reguler Class Availability'!$J:$J,$Q278)&amp;"")))</f>
        <v/>
      </c>
      <c r="I278" s="77" t="s">
        <v>528</v>
      </c>
      <c r="J278" s="77" t="s">
        <v>529</v>
      </c>
      <c r="K278" s="78"/>
      <c r="L278" s="78"/>
      <c r="M278" s="78"/>
      <c r="N278" s="79"/>
      <c r="O278" s="78"/>
      <c r="Q278" s="30" t="n">
        <f aca="false">IFERROR(MATCH($B$4&amp;"|- Lane "&amp;D278&amp;" - "&amp;B278&amp;"|"&amp;C278,'Reguler Class Availability'!$L:$L,0),"")</f>
        <v>2794</v>
      </c>
      <c r="BD278" s="30" t="s">
        <v>147</v>
      </c>
      <c r="BE278" s="30" t="n">
        <f aca="false">IF(COUNTIFS('Reguler Class Availability'!$L:$L,$B$4&amp;"|- Lane 5 - *|"&amp;BD278)&gt;0,1,0)</f>
        <v>0</v>
      </c>
      <c r="BF278" s="30" t="n">
        <f aca="false">BE278+BF277</f>
        <v>9</v>
      </c>
    </row>
    <row r="279" customFormat="false" ht="27.75" hidden="false" customHeight="true" outlineLevel="0" collapsed="false">
      <c r="A279" s="76" t="n">
        <v>153</v>
      </c>
      <c r="B279" s="77" t="s">
        <v>116</v>
      </c>
      <c r="C279" s="76" t="s">
        <v>153</v>
      </c>
      <c r="D279" s="76" t="n">
        <v>3</v>
      </c>
      <c r="E279" s="77" t="str">
        <f aca="false">IF($Q279="","Tidak ada di data",IF(AND(IFERROR(--(INDEX('Reguler Class Availability'!$F:$F,$Q279)&amp;""),0)=0,IFERROR(--(INDEX('Reguler Class Availability'!$G:$G,$Q279)&amp;""),0)=0),"Tutup",IF(IFERROR(--(INDEX('Reguler Class Availability'!$G:$G,$Q279)&amp;""),0)&gt;IFERROR(--(INDEX('Reguler Class Availability'!$F:$F,$Q279)&amp;""),0),"Lebih",IF(IFERROR(--(INDEX('Reguler Class Availability'!$G:$G,$Q279)&amp;""),0)=IFERROR(--(INDEX('Reguler Class Availability'!$F:$F,$Q279)&amp;""),0),"Penuh",IF(IFERROR(--(INDEX('Reguler Class Availability'!$G:$G,$Q279)&amp;""),0)=0,IF(INDEX('Reguler Class Availability'!$B:$B,$Q279)&amp;""="","Kosong","Belum terisi"),IF(IFERROR(--(INDEX('Reguler Class Availability'!$G:$G,$Q279)&amp;""),0)/IFERROR(--(INDEX('Reguler Class Availability'!$F:$F,$Q279)&amp;""),0)&gt;=0.6,"Tinggi","Sebagian"))))))</f>
        <v>Belum terisi</v>
      </c>
      <c r="F279" s="77" t="str">
        <f aca="false">IF($Q279="","",PROPER(INDEX('Reguler Class Availability'!$B:$B,$Q279)&amp;""))</f>
        <v>Little</v>
      </c>
      <c r="G279" s="76" t="n">
        <f aca="false">IF($Q279="","",IFERROR(--(INDEX('Reguler Class Availability'!$F:$F,$Q279)&amp;""),0))</f>
        <v>4</v>
      </c>
      <c r="H279" s="77" t="str">
        <f aca="false">IF($Q279="","",PROPER(INDEX('Reguler Class Availability'!$I:$I,$Q279)&amp;"")&amp;IF(INDEX('Reguler Class Availability'!$J:$J,$Q279)&amp;""="",""," + asst "&amp;PROPER(INDEX('Reguler Class Availability'!$J:$J,$Q279)&amp;"")))</f>
        <v/>
      </c>
      <c r="I279" s="77" t="s">
        <v>520</v>
      </c>
      <c r="J279" s="77" t="s">
        <v>186</v>
      </c>
      <c r="K279" s="78"/>
      <c r="L279" s="78"/>
      <c r="M279" s="78"/>
      <c r="N279" s="79"/>
      <c r="O279" s="78"/>
      <c r="Q279" s="30" t="n">
        <f aca="false">IFERROR(MATCH($B$4&amp;"|- Lane "&amp;D279&amp;" - "&amp;B279&amp;"|"&amp;C279,'Reguler Class Availability'!$L:$L,0),"")</f>
        <v>2626</v>
      </c>
      <c r="BD279" s="30" t="s">
        <v>148</v>
      </c>
      <c r="BE279" s="30" t="n">
        <f aca="false">IF(COUNTIFS('Reguler Class Availability'!$L:$L,$B$4&amp;"|- Lane 5 - *|"&amp;BD279)&gt;0,1,0)</f>
        <v>0</v>
      </c>
      <c r="BF279" s="30" t="n">
        <f aca="false">BE279+BF278</f>
        <v>9</v>
      </c>
    </row>
    <row r="280" customFormat="false" ht="27.75" hidden="false" customHeight="true" outlineLevel="0" collapsed="false">
      <c r="A280" s="76" t="n">
        <v>154</v>
      </c>
      <c r="B280" s="77" t="s">
        <v>116</v>
      </c>
      <c r="C280" s="76" t="s">
        <v>153</v>
      </c>
      <c r="D280" s="76" t="n">
        <v>4</v>
      </c>
      <c r="E280" s="77" t="str">
        <f aca="false">IF($Q280="","Tidak ada di data",IF(AND(IFERROR(--(INDEX('Reguler Class Availability'!$F:$F,$Q280)&amp;""),0)=0,IFERROR(--(INDEX('Reguler Class Availability'!$G:$G,$Q280)&amp;""),0)=0),"Tutup",IF(IFERROR(--(INDEX('Reguler Class Availability'!$G:$G,$Q280)&amp;""),0)&gt;IFERROR(--(INDEX('Reguler Class Availability'!$F:$F,$Q280)&amp;""),0),"Lebih",IF(IFERROR(--(INDEX('Reguler Class Availability'!$G:$G,$Q280)&amp;""),0)=IFERROR(--(INDEX('Reguler Class Availability'!$F:$F,$Q280)&amp;""),0),"Penuh",IF(IFERROR(--(INDEX('Reguler Class Availability'!$G:$G,$Q280)&amp;""),0)=0,IF(INDEX('Reguler Class Availability'!$B:$B,$Q280)&amp;""="","Kosong","Belum terisi"),IF(IFERROR(--(INDEX('Reguler Class Availability'!$G:$G,$Q280)&amp;""),0)/IFERROR(--(INDEX('Reguler Class Availability'!$F:$F,$Q280)&amp;""),0)&gt;=0.6,"Tinggi","Sebagian"))))))</f>
        <v>Belum terisi</v>
      </c>
      <c r="F280" s="77" t="str">
        <f aca="false">IF($Q280="","",PROPER(INDEX('Reguler Class Availability'!$B:$B,$Q280)&amp;""))</f>
        <v>Kids</v>
      </c>
      <c r="G280" s="76" t="n">
        <f aca="false">IF($Q280="","",IFERROR(--(INDEX('Reguler Class Availability'!$F:$F,$Q280)&amp;""),0))</f>
        <v>4</v>
      </c>
      <c r="H280" s="77" t="str">
        <f aca="false">IF($Q280="","",PROPER(INDEX('Reguler Class Availability'!$I:$I,$Q280)&amp;"")&amp;IF(INDEX('Reguler Class Availability'!$J:$J,$Q280)&amp;""="",""," + asst "&amp;PROPER(INDEX('Reguler Class Availability'!$J:$J,$Q280)&amp;"")))</f>
        <v/>
      </c>
      <c r="I280" s="77" t="s">
        <v>520</v>
      </c>
      <c r="J280" s="77" t="s">
        <v>186</v>
      </c>
      <c r="K280" s="78"/>
      <c r="L280" s="78"/>
      <c r="M280" s="78"/>
      <c r="N280" s="79"/>
      <c r="O280" s="78"/>
      <c r="Q280" s="30" t="n">
        <f aca="false">IFERROR(MATCH($B$4&amp;"|- Lane "&amp;D280&amp;" - "&amp;B280&amp;"|"&amp;C280,'Reguler Class Availability'!$L:$L,0),"")</f>
        <v>2710</v>
      </c>
      <c r="BD280" s="30" t="s">
        <v>149</v>
      </c>
      <c r="BE280" s="30" t="n">
        <f aca="false">IF(COUNTIFS('Reguler Class Availability'!$L:$L,$B$4&amp;"|- Lane 5 - *|"&amp;BD280)&gt;0,1,0)</f>
        <v>1</v>
      </c>
      <c r="BF280" s="30" t="n">
        <f aca="false">BE280+BF279</f>
        <v>10</v>
      </c>
    </row>
    <row r="281" customFormat="false" ht="40.5" hidden="false" customHeight="true" outlineLevel="0" collapsed="false">
      <c r="A281" s="76" t="n">
        <v>155</v>
      </c>
      <c r="B281" s="77" t="s">
        <v>116</v>
      </c>
      <c r="C281" s="76" t="s">
        <v>155</v>
      </c>
      <c r="D281" s="76" t="n">
        <v>1</v>
      </c>
      <c r="E281" s="77" t="str">
        <f aca="false">IF($Q281="","Tidak ada di data",IF(AND(IFERROR(--(INDEX('Reguler Class Availability'!$F:$F,$Q281)&amp;""),0)=0,IFERROR(--(INDEX('Reguler Class Availability'!$G:$G,$Q281)&amp;""),0)=0),"Tutup",IF(IFERROR(--(INDEX('Reguler Class Availability'!$G:$G,$Q281)&amp;""),0)&gt;IFERROR(--(INDEX('Reguler Class Availability'!$F:$F,$Q281)&amp;""),0),"Lebih",IF(IFERROR(--(INDEX('Reguler Class Availability'!$G:$G,$Q281)&amp;""),0)=IFERROR(--(INDEX('Reguler Class Availability'!$F:$F,$Q281)&amp;""),0),"Penuh",IF(IFERROR(--(INDEX('Reguler Class Availability'!$G:$G,$Q281)&amp;""),0)=0,IF(INDEX('Reguler Class Availability'!$B:$B,$Q281)&amp;""="","Kosong","Belum terisi"),IF(IFERROR(--(INDEX('Reguler Class Availability'!$G:$G,$Q281)&amp;""),0)/IFERROR(--(INDEX('Reguler Class Availability'!$F:$F,$Q281)&amp;""),0)&gt;=0.6,"Tinggi","Sebagian"))))))</f>
        <v>Belum terisi</v>
      </c>
      <c r="F281" s="77" t="str">
        <f aca="false">IF($Q281="","",PROPER(INDEX('Reguler Class Availability'!$B:$B,$Q281)&amp;""))</f>
        <v>Baby</v>
      </c>
      <c r="G281" s="76" t="n">
        <f aca="false">IF($Q281="","",IFERROR(--(INDEX('Reguler Class Availability'!$F:$F,$Q281)&amp;""),0))</f>
        <v>5</v>
      </c>
      <c r="H281" s="77" t="str">
        <f aca="false">IF($Q281="","",PROPER(INDEX('Reguler Class Availability'!$I:$I,$Q281)&amp;"")&amp;IF(INDEX('Reguler Class Availability'!$J:$J,$Q281)&amp;""="",""," + asst "&amp;PROPER(INDEX('Reguler Class Availability'!$J:$J,$Q281)&amp;"")))</f>
        <v/>
      </c>
      <c r="I281" s="77" t="s">
        <v>519</v>
      </c>
      <c r="J281" s="77" t="s">
        <v>186</v>
      </c>
      <c r="K281" s="78"/>
      <c r="L281" s="78"/>
      <c r="M281" s="78"/>
      <c r="N281" s="79"/>
      <c r="O281" s="78"/>
      <c r="Q281" s="30" t="n">
        <f aca="false">IFERROR(MATCH($B$4&amp;"|- Lane "&amp;D281&amp;" - "&amp;B281&amp;"|"&amp;C281,'Reguler Class Availability'!$L:$L,0),"")</f>
        <v>2445</v>
      </c>
      <c r="BD281" s="30" t="s">
        <v>150</v>
      </c>
      <c r="BE281" s="30" t="n">
        <f aca="false">IF(COUNTIFS('Reguler Class Availability'!$L:$L,$B$4&amp;"|- Lane 5 - *|"&amp;BD281)&gt;0,1,0)</f>
        <v>0</v>
      </c>
      <c r="BF281" s="30" t="n">
        <f aca="false">BE281+BF280</f>
        <v>10</v>
      </c>
    </row>
    <row r="282" customFormat="false" ht="40.5" hidden="false" customHeight="true" outlineLevel="0" collapsed="false">
      <c r="A282" s="76" t="n">
        <v>156</v>
      </c>
      <c r="B282" s="77" t="s">
        <v>116</v>
      </c>
      <c r="C282" s="76" t="s">
        <v>155</v>
      </c>
      <c r="D282" s="76" t="n">
        <v>2</v>
      </c>
      <c r="E282" s="77" t="str">
        <f aca="false">IF($Q282="","Tidak ada di data",IF(AND(IFERROR(--(INDEX('Reguler Class Availability'!$F:$F,$Q282)&amp;""),0)=0,IFERROR(--(INDEX('Reguler Class Availability'!$G:$G,$Q282)&amp;""),0)=0),"Tutup",IF(IFERROR(--(INDEX('Reguler Class Availability'!$G:$G,$Q282)&amp;""),0)&gt;IFERROR(--(INDEX('Reguler Class Availability'!$F:$F,$Q282)&amp;""),0),"Lebih",IF(IFERROR(--(INDEX('Reguler Class Availability'!$G:$G,$Q282)&amp;""),0)=IFERROR(--(INDEX('Reguler Class Availability'!$F:$F,$Q282)&amp;""),0),"Penuh",IF(IFERROR(--(INDEX('Reguler Class Availability'!$G:$G,$Q282)&amp;""),0)=0,IF(INDEX('Reguler Class Availability'!$B:$B,$Q282)&amp;""="","Kosong","Belum terisi"),IF(IFERROR(--(INDEX('Reguler Class Availability'!$G:$G,$Q282)&amp;""),0)/IFERROR(--(INDEX('Reguler Class Availability'!$F:$F,$Q282)&amp;""),0)&gt;=0.6,"Tinggi","Sebagian"))))))</f>
        <v>Belum terisi</v>
      </c>
      <c r="F282" s="77" t="str">
        <f aca="false">IF($Q282="","",PROPER(INDEX('Reguler Class Availability'!$B:$B,$Q282)&amp;""))</f>
        <v>Tiny</v>
      </c>
      <c r="G282" s="76" t="n">
        <f aca="false">IF($Q282="","",IFERROR(--(INDEX('Reguler Class Availability'!$F:$F,$Q282)&amp;""),0))</f>
        <v>5</v>
      </c>
      <c r="H282" s="77" t="str">
        <f aca="false">IF($Q282="","",PROPER(INDEX('Reguler Class Availability'!$I:$I,$Q282)&amp;"")&amp;IF(INDEX('Reguler Class Availability'!$J:$J,$Q282)&amp;""="",""," + asst "&amp;PROPER(INDEX('Reguler Class Availability'!$J:$J,$Q282)&amp;"")))</f>
        <v/>
      </c>
      <c r="I282" s="77" t="s">
        <v>519</v>
      </c>
      <c r="J282" s="77" t="s">
        <v>186</v>
      </c>
      <c r="K282" s="78"/>
      <c r="L282" s="78"/>
      <c r="M282" s="78"/>
      <c r="N282" s="79"/>
      <c r="O282" s="78"/>
      <c r="Q282" s="30" t="n">
        <f aca="false">IFERROR(MATCH($B$4&amp;"|- Lane "&amp;D282&amp;" - "&amp;B282&amp;"|"&amp;C282,'Reguler Class Availability'!$L:$L,0),"")</f>
        <v>2543</v>
      </c>
      <c r="BD282" s="30" t="s">
        <v>151</v>
      </c>
      <c r="BE282" s="30" t="n">
        <f aca="false">IF(COUNTIFS('Reguler Class Availability'!$L:$L,$B$4&amp;"|- Lane 5 - *|"&amp;BD282)&gt;0,1,0)</f>
        <v>0</v>
      </c>
      <c r="BF282" s="30" t="n">
        <f aca="false">BE282+BF281</f>
        <v>10</v>
      </c>
    </row>
    <row r="283" customFormat="false" ht="40.5" hidden="false" customHeight="true" outlineLevel="0" collapsed="false">
      <c r="A283" s="76" t="n">
        <v>157</v>
      </c>
      <c r="B283" s="77" t="s">
        <v>116</v>
      </c>
      <c r="C283" s="76" t="s">
        <v>155</v>
      </c>
      <c r="D283" s="76" t="n">
        <v>5</v>
      </c>
      <c r="E283" s="77" t="str">
        <f aca="false">IF($Q283="","Tidak ada di data",IF(AND(IFERROR(--(INDEX('Reguler Class Availability'!$F:$F,$Q283)&amp;""),0)=0,IFERROR(--(INDEX('Reguler Class Availability'!$G:$G,$Q283)&amp;""),0)=0),"Tutup",IF(IFERROR(--(INDEX('Reguler Class Availability'!$G:$G,$Q283)&amp;""),0)&gt;IFERROR(--(INDEX('Reguler Class Availability'!$F:$F,$Q283)&amp;""),0),"Lebih",IF(IFERROR(--(INDEX('Reguler Class Availability'!$G:$G,$Q283)&amp;""),0)=IFERROR(--(INDEX('Reguler Class Availability'!$F:$F,$Q283)&amp;""),0),"Penuh",IF(IFERROR(--(INDEX('Reguler Class Availability'!$G:$G,$Q283)&amp;""),0)=0,IF(INDEX('Reguler Class Availability'!$B:$B,$Q283)&amp;""="","Kosong","Belum terisi"),IF(IFERROR(--(INDEX('Reguler Class Availability'!$G:$G,$Q283)&amp;""),0)/IFERROR(--(INDEX('Reguler Class Availability'!$F:$F,$Q283)&amp;""),0)&gt;=0.6,"Tinggi","Sebagian"))))))</f>
        <v>Kosong</v>
      </c>
      <c r="F283" s="77" t="str">
        <f aca="false">IF($Q283="","",PROPER(INDEX('Reguler Class Availability'!$B:$B,$Q283)&amp;""))</f>
        <v/>
      </c>
      <c r="G283" s="76" t="n">
        <f aca="false">IF($Q283="","",IFERROR(--(INDEX('Reguler Class Availability'!$F:$F,$Q283)&amp;""),0))</f>
        <v>4</v>
      </c>
      <c r="H283" s="77" t="str">
        <f aca="false">IF($Q283="","",PROPER(INDEX('Reguler Class Availability'!$I:$I,$Q283)&amp;"")&amp;IF(INDEX('Reguler Class Availability'!$J:$J,$Q283)&amp;""="",""," + asst "&amp;PROPER(INDEX('Reguler Class Availability'!$J:$J,$Q283)&amp;"")))</f>
        <v/>
      </c>
      <c r="I283" s="77" t="s">
        <v>519</v>
      </c>
      <c r="J283" s="77" t="s">
        <v>186</v>
      </c>
      <c r="K283" s="78"/>
      <c r="L283" s="78"/>
      <c r="M283" s="78"/>
      <c r="N283" s="79"/>
      <c r="O283" s="78"/>
      <c r="Q283" s="30" t="n">
        <f aca="false">IFERROR(MATCH($B$4&amp;"|- Lane "&amp;D283&amp;" - "&amp;B283&amp;"|"&amp;C283,'Reguler Class Availability'!$L:$L,0),"")</f>
        <v>2795</v>
      </c>
      <c r="BD283" s="30" t="s">
        <v>152</v>
      </c>
      <c r="BE283" s="30" t="n">
        <f aca="false">IF(COUNTIFS('Reguler Class Availability'!$L:$L,$B$4&amp;"|- Lane 5 - *|"&amp;BD283)&gt;0,1,0)</f>
        <v>1</v>
      </c>
      <c r="BF283" s="30" t="n">
        <f aca="false">BE283+BF282</f>
        <v>11</v>
      </c>
    </row>
    <row r="284" customFormat="false" ht="40.5" hidden="false" customHeight="true" outlineLevel="0" collapsed="false">
      <c r="A284" s="76" t="n">
        <v>158</v>
      </c>
      <c r="B284" s="77" t="s">
        <v>116</v>
      </c>
      <c r="C284" s="76" t="s">
        <v>156</v>
      </c>
      <c r="D284" s="76" t="n">
        <v>3</v>
      </c>
      <c r="E284" s="77" t="str">
        <f aca="false">IF($Q284="","Tidak ada di data",IF(AND(IFERROR(--(INDEX('Reguler Class Availability'!$F:$F,$Q284)&amp;""),0)=0,IFERROR(--(INDEX('Reguler Class Availability'!$G:$G,$Q284)&amp;""),0)=0),"Tutup",IF(IFERROR(--(INDEX('Reguler Class Availability'!$G:$G,$Q284)&amp;""),0)&gt;IFERROR(--(INDEX('Reguler Class Availability'!$F:$F,$Q284)&amp;""),0),"Lebih",IF(IFERROR(--(INDEX('Reguler Class Availability'!$G:$G,$Q284)&amp;""),0)=IFERROR(--(INDEX('Reguler Class Availability'!$F:$F,$Q284)&amp;""),0),"Penuh",IF(IFERROR(--(INDEX('Reguler Class Availability'!$G:$G,$Q284)&amp;""),0)=0,IF(INDEX('Reguler Class Availability'!$B:$B,$Q284)&amp;""="","Kosong","Belum terisi"),IF(IFERROR(--(INDEX('Reguler Class Availability'!$G:$G,$Q284)&amp;""),0)/IFERROR(--(INDEX('Reguler Class Availability'!$F:$F,$Q284)&amp;""),0)&gt;=0.6,"Tinggi","Sebagian"))))))</f>
        <v>Belum terisi</v>
      </c>
      <c r="F284" s="77" t="str">
        <f aca="false">IF($Q284="","",PROPER(INDEX('Reguler Class Availability'!$B:$B,$Q284)&amp;""))</f>
        <v>Little</v>
      </c>
      <c r="G284" s="76" t="n">
        <f aca="false">IF($Q284="","",IFERROR(--(INDEX('Reguler Class Availability'!$F:$F,$Q284)&amp;""),0))</f>
        <v>4</v>
      </c>
      <c r="H284" s="77" t="str">
        <f aca="false">IF($Q284="","",PROPER(INDEX('Reguler Class Availability'!$I:$I,$Q284)&amp;"")&amp;IF(INDEX('Reguler Class Availability'!$J:$J,$Q284)&amp;""="",""," + asst "&amp;PROPER(INDEX('Reguler Class Availability'!$J:$J,$Q284)&amp;"")))</f>
        <v/>
      </c>
      <c r="I284" s="77" t="s">
        <v>519</v>
      </c>
      <c r="J284" s="77" t="s">
        <v>186</v>
      </c>
      <c r="K284" s="78"/>
      <c r="L284" s="78"/>
      <c r="M284" s="78"/>
      <c r="N284" s="79"/>
      <c r="O284" s="78"/>
      <c r="Q284" s="30" t="n">
        <f aca="false">IFERROR(MATCH($B$4&amp;"|- Lane "&amp;D284&amp;" - "&amp;B284&amp;"|"&amp;C284,'Reguler Class Availability'!$L:$L,0),"")</f>
        <v>2627</v>
      </c>
      <c r="BD284" s="30" t="s">
        <v>153</v>
      </c>
      <c r="BE284" s="30" t="n">
        <f aca="false">IF(COUNTIFS('Reguler Class Availability'!$L:$L,$B$4&amp;"|- Lane 5 - *|"&amp;BD284)&gt;0,1,0)</f>
        <v>0</v>
      </c>
      <c r="BF284" s="30" t="n">
        <f aca="false">BE284+BF283</f>
        <v>11</v>
      </c>
    </row>
    <row r="285" customFormat="false" ht="40.5" hidden="false" customHeight="true" outlineLevel="0" collapsed="false">
      <c r="A285" s="76" t="n">
        <v>159</v>
      </c>
      <c r="B285" s="77" t="s">
        <v>116</v>
      </c>
      <c r="C285" s="76" t="s">
        <v>156</v>
      </c>
      <c r="D285" s="76" t="n">
        <v>4</v>
      </c>
      <c r="E285" s="77" t="str">
        <f aca="false">IF($Q285="","Tidak ada di data",IF(AND(IFERROR(--(INDEX('Reguler Class Availability'!$F:$F,$Q285)&amp;""),0)=0,IFERROR(--(INDEX('Reguler Class Availability'!$G:$G,$Q285)&amp;""),0)=0),"Tutup",IF(IFERROR(--(INDEX('Reguler Class Availability'!$G:$G,$Q285)&amp;""),0)&gt;IFERROR(--(INDEX('Reguler Class Availability'!$F:$F,$Q285)&amp;""),0),"Lebih",IF(IFERROR(--(INDEX('Reguler Class Availability'!$G:$G,$Q285)&amp;""),0)=IFERROR(--(INDEX('Reguler Class Availability'!$F:$F,$Q285)&amp;""),0),"Penuh",IF(IFERROR(--(INDEX('Reguler Class Availability'!$G:$G,$Q285)&amp;""),0)=0,IF(INDEX('Reguler Class Availability'!$B:$B,$Q285)&amp;""="","Kosong","Belum terisi"),IF(IFERROR(--(INDEX('Reguler Class Availability'!$G:$G,$Q285)&amp;""),0)/IFERROR(--(INDEX('Reguler Class Availability'!$F:$F,$Q285)&amp;""),0)&gt;=0.6,"Tinggi","Sebagian"))))))</f>
        <v>Belum terisi</v>
      </c>
      <c r="F285" s="77" t="str">
        <f aca="false">IF($Q285="","",PROPER(INDEX('Reguler Class Availability'!$B:$B,$Q285)&amp;""))</f>
        <v>Kids</v>
      </c>
      <c r="G285" s="76" t="n">
        <f aca="false">IF($Q285="","",IFERROR(--(INDEX('Reguler Class Availability'!$F:$F,$Q285)&amp;""),0))</f>
        <v>4</v>
      </c>
      <c r="H285" s="77" t="str">
        <f aca="false">IF($Q285="","",PROPER(INDEX('Reguler Class Availability'!$I:$I,$Q285)&amp;"")&amp;IF(INDEX('Reguler Class Availability'!$J:$J,$Q285)&amp;""="",""," + asst "&amp;PROPER(INDEX('Reguler Class Availability'!$J:$J,$Q285)&amp;"")))</f>
        <v/>
      </c>
      <c r="I285" s="77" t="s">
        <v>519</v>
      </c>
      <c r="J285" s="77" t="s">
        <v>186</v>
      </c>
      <c r="K285" s="78"/>
      <c r="L285" s="78"/>
      <c r="M285" s="78"/>
      <c r="N285" s="79"/>
      <c r="O285" s="78"/>
      <c r="Q285" s="30" t="n">
        <f aca="false">IFERROR(MATCH($B$4&amp;"|- Lane "&amp;D285&amp;" - "&amp;B285&amp;"|"&amp;C285,'Reguler Class Availability'!$L:$L,0),"")</f>
        <v>2711</v>
      </c>
      <c r="BD285" s="30" t="s">
        <v>154</v>
      </c>
      <c r="BE285" s="30" t="n">
        <f aca="false">IF(COUNTIFS('Reguler Class Availability'!$L:$L,$B$4&amp;"|- Lane 5 - *|"&amp;BD285)&gt;0,1,0)</f>
        <v>0</v>
      </c>
      <c r="BF285" s="30" t="n">
        <f aca="false">BE285+BF284</f>
        <v>11</v>
      </c>
    </row>
    <row r="286" customFormat="false" ht="40.5" hidden="false" customHeight="true" outlineLevel="0" collapsed="false">
      <c r="A286" s="76" t="n">
        <v>160</v>
      </c>
      <c r="B286" s="77" t="s">
        <v>116</v>
      </c>
      <c r="C286" s="76" t="s">
        <v>160</v>
      </c>
      <c r="D286" s="76" t="n">
        <v>1</v>
      </c>
      <c r="E286" s="77" t="str">
        <f aca="false">IF($Q286="","Tidak ada di data",IF(AND(IFERROR(--(INDEX('Reguler Class Availability'!$F:$F,$Q286)&amp;""),0)=0,IFERROR(--(INDEX('Reguler Class Availability'!$G:$G,$Q286)&amp;""),0)=0),"Tutup",IF(IFERROR(--(INDEX('Reguler Class Availability'!$G:$G,$Q286)&amp;""),0)&gt;IFERROR(--(INDEX('Reguler Class Availability'!$F:$F,$Q286)&amp;""),0),"Lebih",IF(IFERROR(--(INDEX('Reguler Class Availability'!$G:$G,$Q286)&amp;""),0)=IFERROR(--(INDEX('Reguler Class Availability'!$F:$F,$Q286)&amp;""),0),"Penuh",IF(IFERROR(--(INDEX('Reguler Class Availability'!$G:$G,$Q286)&amp;""),0)=0,IF(INDEX('Reguler Class Availability'!$B:$B,$Q286)&amp;""="","Kosong","Belum terisi"),IF(IFERROR(--(INDEX('Reguler Class Availability'!$G:$G,$Q286)&amp;""),0)/IFERROR(--(INDEX('Reguler Class Availability'!$F:$F,$Q286)&amp;""),0)&gt;=0.6,"Tinggi","Sebagian"))))))</f>
        <v>Belum terisi</v>
      </c>
      <c r="F286" s="77" t="str">
        <f aca="false">IF($Q286="","",PROPER(INDEX('Reguler Class Availability'!$B:$B,$Q286)&amp;""))</f>
        <v>Star</v>
      </c>
      <c r="G286" s="76" t="n">
        <f aca="false">IF($Q286="","",IFERROR(--(INDEX('Reguler Class Availability'!$F:$F,$Q286)&amp;""),0))</f>
        <v>8</v>
      </c>
      <c r="H286" s="77" t="str">
        <f aca="false">IF($Q286="","",PROPER(INDEX('Reguler Class Availability'!$I:$I,$Q286)&amp;"")&amp;IF(INDEX('Reguler Class Availability'!$J:$J,$Q286)&amp;""="",""," + asst "&amp;PROPER(INDEX('Reguler Class Availability'!$J:$J,$Q286)&amp;"")))</f>
        <v/>
      </c>
      <c r="I286" s="77" t="s">
        <v>519</v>
      </c>
      <c r="J286" s="77" t="s">
        <v>186</v>
      </c>
      <c r="K286" s="78"/>
      <c r="L286" s="78"/>
      <c r="M286" s="78"/>
      <c r="N286" s="79"/>
      <c r="O286" s="78"/>
      <c r="Q286" s="30" t="n">
        <f aca="false">IFERROR(MATCH($B$4&amp;"|- Lane "&amp;D286&amp;" - "&amp;B286&amp;"|"&amp;C286,'Reguler Class Availability'!$L:$L,0),"")</f>
        <v>2503</v>
      </c>
      <c r="BD286" s="30" t="s">
        <v>155</v>
      </c>
      <c r="BE286" s="30" t="n">
        <f aca="false">IF(COUNTIFS('Reguler Class Availability'!$L:$L,$B$4&amp;"|- Lane 5 - *|"&amp;BD286)&gt;0,1,0)</f>
        <v>1</v>
      </c>
      <c r="BF286" s="30" t="n">
        <f aca="false">BE286+BF285</f>
        <v>12</v>
      </c>
    </row>
    <row r="287" customFormat="false" ht="27.75" hidden="false" customHeight="true" outlineLevel="0" collapsed="false">
      <c r="A287" s="76" t="n">
        <v>161</v>
      </c>
      <c r="B287" s="77" t="s">
        <v>117</v>
      </c>
      <c r="C287" s="76" t="s">
        <v>91</v>
      </c>
      <c r="D287" s="76" t="n">
        <v>1</v>
      </c>
      <c r="E287" s="77" t="str">
        <f aca="false">IF($Q287="","Tidak ada di data",IF(AND(IFERROR(--(INDEX('Reguler Class Availability'!$F:$F,$Q287)&amp;""),0)=0,IFERROR(--(INDEX('Reguler Class Availability'!$G:$G,$Q287)&amp;""),0)=0),"Tutup",IF(IFERROR(--(INDEX('Reguler Class Availability'!$G:$G,$Q287)&amp;""),0)&gt;IFERROR(--(INDEX('Reguler Class Availability'!$F:$F,$Q287)&amp;""),0),"Lebih",IF(IFERROR(--(INDEX('Reguler Class Availability'!$G:$G,$Q287)&amp;""),0)=IFERROR(--(INDEX('Reguler Class Availability'!$F:$F,$Q287)&amp;""),0),"Penuh",IF(IFERROR(--(INDEX('Reguler Class Availability'!$G:$G,$Q287)&amp;""),0)=0,IF(INDEX('Reguler Class Availability'!$B:$B,$Q287)&amp;""="","Kosong","Belum terisi"),IF(IFERROR(--(INDEX('Reguler Class Availability'!$G:$G,$Q287)&amp;""),0)/IFERROR(--(INDEX('Reguler Class Availability'!$F:$F,$Q287)&amp;""),0)&gt;=0.6,"Tinggi","Sebagian"))))))</f>
        <v>Belum terisi</v>
      </c>
      <c r="F287" s="77" t="str">
        <f aca="false">IF($Q287="","",PROPER(INDEX('Reguler Class Availability'!$B:$B,$Q287)&amp;""))</f>
        <v>Star</v>
      </c>
      <c r="G287" s="76" t="n">
        <f aca="false">IF($Q287="","",IFERROR(--(INDEX('Reguler Class Availability'!$F:$F,$Q287)&amp;""),0))</f>
        <v>8</v>
      </c>
      <c r="H287" s="77" t="str">
        <f aca="false">IF($Q287="","",PROPER(INDEX('Reguler Class Availability'!$I:$I,$Q287)&amp;"")&amp;IF(INDEX('Reguler Class Availability'!$J:$J,$Q287)&amp;""="",""," + asst "&amp;PROPER(INDEX('Reguler Class Availability'!$J:$J,$Q287)&amp;"")))</f>
        <v/>
      </c>
      <c r="I287" s="77" t="s">
        <v>530</v>
      </c>
      <c r="J287" s="77" t="s">
        <v>186</v>
      </c>
      <c r="K287" s="78"/>
      <c r="L287" s="78"/>
      <c r="M287" s="78"/>
      <c r="N287" s="79"/>
      <c r="O287" s="78"/>
      <c r="Q287" s="30" t="n">
        <f aca="false">IFERROR(MATCH($B$4&amp;"|- Lane "&amp;D287&amp;" - "&amp;B287&amp;"|"&amp;C287,'Reguler Class Availability'!$L:$L,0),"")</f>
        <v>2497</v>
      </c>
      <c r="BD287" s="30" t="s">
        <v>156</v>
      </c>
      <c r="BE287" s="30" t="n">
        <f aca="false">IF(COUNTIFS('Reguler Class Availability'!$L:$L,$B$4&amp;"|- Lane 5 - *|"&amp;BD287)&gt;0,1,0)</f>
        <v>0</v>
      </c>
      <c r="BF287" s="30" t="n">
        <f aca="false">BE287+BF286</f>
        <v>12</v>
      </c>
    </row>
    <row r="288" customFormat="false" ht="27.75" hidden="false" customHeight="true" outlineLevel="0" collapsed="false">
      <c r="A288" s="76" t="n">
        <v>162</v>
      </c>
      <c r="B288" s="77" t="s">
        <v>117</v>
      </c>
      <c r="C288" s="76" t="s">
        <v>105</v>
      </c>
      <c r="D288" s="76" t="n">
        <v>1</v>
      </c>
      <c r="E288" s="77" t="str">
        <f aca="false">IF($Q288="","Tidak ada di data",IF(AND(IFERROR(--(INDEX('Reguler Class Availability'!$F:$F,$Q288)&amp;""),0)=0,IFERROR(--(INDEX('Reguler Class Availability'!$G:$G,$Q288)&amp;""),0)=0),"Tutup",IF(IFERROR(--(INDEX('Reguler Class Availability'!$G:$G,$Q288)&amp;""),0)&gt;IFERROR(--(INDEX('Reguler Class Availability'!$F:$F,$Q288)&amp;""),0),"Lebih",IF(IFERROR(--(INDEX('Reguler Class Availability'!$G:$G,$Q288)&amp;""),0)=IFERROR(--(INDEX('Reguler Class Availability'!$F:$F,$Q288)&amp;""),0),"Penuh",IF(IFERROR(--(INDEX('Reguler Class Availability'!$G:$G,$Q288)&amp;""),0)=0,IF(INDEX('Reguler Class Availability'!$B:$B,$Q288)&amp;""="","Kosong","Belum terisi"),IF(IFERROR(--(INDEX('Reguler Class Availability'!$G:$G,$Q288)&amp;""),0)/IFERROR(--(INDEX('Reguler Class Availability'!$F:$F,$Q288)&amp;""),0)&gt;=0.6,"Tinggi","Sebagian"))))))</f>
        <v>Belum terisi</v>
      </c>
      <c r="F288" s="77" t="str">
        <f aca="false">IF($Q288="","",PROPER(INDEX('Reguler Class Availability'!$B:$B,$Q288)&amp;""))</f>
        <v>Baby</v>
      </c>
      <c r="G288" s="76" t="n">
        <f aca="false">IF($Q288="","",IFERROR(--(INDEX('Reguler Class Availability'!$F:$F,$Q288)&amp;""),0))</f>
        <v>5</v>
      </c>
      <c r="H288" s="77" t="str">
        <f aca="false">IF($Q288="","",PROPER(INDEX('Reguler Class Availability'!$I:$I,$Q288)&amp;"")&amp;IF(INDEX('Reguler Class Availability'!$J:$J,$Q288)&amp;""="",""," + asst "&amp;PROPER(INDEX('Reguler Class Availability'!$J:$J,$Q288)&amp;"")))</f>
        <v/>
      </c>
      <c r="I288" s="77" t="s">
        <v>530</v>
      </c>
      <c r="J288" s="77" t="s">
        <v>186</v>
      </c>
      <c r="K288" s="78"/>
      <c r="L288" s="78"/>
      <c r="M288" s="78"/>
      <c r="N288" s="79"/>
      <c r="O288" s="78"/>
      <c r="Q288" s="30" t="n">
        <f aca="false">IFERROR(MATCH($B$4&amp;"|- Lane "&amp;D288&amp;" - "&amp;B288&amp;"|"&amp;C288,'Reguler Class Availability'!$L:$L,0),"")</f>
        <v>2446</v>
      </c>
      <c r="BD288" s="30" t="s">
        <v>157</v>
      </c>
      <c r="BE288" s="30" t="n">
        <f aca="false">IF(COUNTIFS('Reguler Class Availability'!$L:$L,$B$4&amp;"|- Lane 5 - *|"&amp;BD288)&gt;0,1,0)</f>
        <v>0</v>
      </c>
      <c r="BF288" s="30" t="n">
        <f aca="false">BE288+BF287</f>
        <v>12</v>
      </c>
    </row>
    <row r="289" customFormat="false" ht="27.75" hidden="false" customHeight="true" outlineLevel="0" collapsed="false">
      <c r="A289" s="76" t="n">
        <v>163</v>
      </c>
      <c r="B289" s="77" t="s">
        <v>117</v>
      </c>
      <c r="C289" s="76" t="s">
        <v>105</v>
      </c>
      <c r="D289" s="76" t="n">
        <v>2</v>
      </c>
      <c r="E289" s="77" t="str">
        <f aca="false">IF($Q289="","Tidak ada di data",IF(AND(IFERROR(--(INDEX('Reguler Class Availability'!$F:$F,$Q289)&amp;""),0)=0,IFERROR(--(INDEX('Reguler Class Availability'!$G:$G,$Q289)&amp;""),0)=0),"Tutup",IF(IFERROR(--(INDEX('Reguler Class Availability'!$G:$G,$Q289)&amp;""),0)&gt;IFERROR(--(INDEX('Reguler Class Availability'!$F:$F,$Q289)&amp;""),0),"Lebih",IF(IFERROR(--(INDEX('Reguler Class Availability'!$G:$G,$Q289)&amp;""),0)=IFERROR(--(INDEX('Reguler Class Availability'!$F:$F,$Q289)&amp;""),0),"Penuh",IF(IFERROR(--(INDEX('Reguler Class Availability'!$G:$G,$Q289)&amp;""),0)=0,IF(INDEX('Reguler Class Availability'!$B:$B,$Q289)&amp;""="","Kosong","Belum terisi"),IF(IFERROR(--(INDEX('Reguler Class Availability'!$G:$G,$Q289)&amp;""),0)/IFERROR(--(INDEX('Reguler Class Availability'!$F:$F,$Q289)&amp;""),0)&gt;=0.6,"Tinggi","Sebagian"))))))</f>
        <v>Belum terisi</v>
      </c>
      <c r="F289" s="77" t="str">
        <f aca="false">IF($Q289="","",PROPER(INDEX('Reguler Class Availability'!$B:$B,$Q289)&amp;""))</f>
        <v>Tiny</v>
      </c>
      <c r="G289" s="76" t="n">
        <f aca="false">IF($Q289="","",IFERROR(--(INDEX('Reguler Class Availability'!$F:$F,$Q289)&amp;""),0))</f>
        <v>5</v>
      </c>
      <c r="H289" s="77" t="str">
        <f aca="false">IF($Q289="","",PROPER(INDEX('Reguler Class Availability'!$I:$I,$Q289)&amp;"")&amp;IF(INDEX('Reguler Class Availability'!$J:$J,$Q289)&amp;""="",""," + asst "&amp;PROPER(INDEX('Reguler Class Availability'!$J:$J,$Q289)&amp;"")))</f>
        <v/>
      </c>
      <c r="I289" s="77" t="s">
        <v>530</v>
      </c>
      <c r="J289" s="77" t="s">
        <v>186</v>
      </c>
      <c r="K289" s="78"/>
      <c r="L289" s="78"/>
      <c r="M289" s="78"/>
      <c r="N289" s="79"/>
      <c r="O289" s="78"/>
      <c r="Q289" s="30" t="n">
        <f aca="false">IFERROR(MATCH($B$4&amp;"|- Lane "&amp;D289&amp;" - "&amp;B289&amp;"|"&amp;C289,'Reguler Class Availability'!$L:$L,0),"")</f>
        <v>2544</v>
      </c>
      <c r="BD289" s="30" t="s">
        <v>158</v>
      </c>
      <c r="BE289" s="30" t="n">
        <f aca="false">IF(COUNTIFS('Reguler Class Availability'!$L:$L,$B$4&amp;"|- Lane 5 - *|"&amp;BD289)&gt;0,1,0)</f>
        <v>0</v>
      </c>
      <c r="BF289" s="30" t="n">
        <f aca="false">BE289+BF288</f>
        <v>12</v>
      </c>
    </row>
    <row r="290" customFormat="false" ht="27.75" hidden="false" customHeight="true" outlineLevel="0" collapsed="false">
      <c r="A290" s="76" t="n">
        <v>164</v>
      </c>
      <c r="B290" s="77" t="s">
        <v>117</v>
      </c>
      <c r="C290" s="76" t="s">
        <v>105</v>
      </c>
      <c r="D290" s="76" t="n">
        <v>5</v>
      </c>
      <c r="E290" s="77" t="str">
        <f aca="false">IF($Q290="","Tidak ada di data",IF(AND(IFERROR(--(INDEX('Reguler Class Availability'!$F:$F,$Q290)&amp;""),0)=0,IFERROR(--(INDEX('Reguler Class Availability'!$G:$G,$Q290)&amp;""),0)=0),"Tutup",IF(IFERROR(--(INDEX('Reguler Class Availability'!$G:$G,$Q290)&amp;""),0)&gt;IFERROR(--(INDEX('Reguler Class Availability'!$F:$F,$Q290)&amp;""),0),"Lebih",IF(IFERROR(--(INDEX('Reguler Class Availability'!$G:$G,$Q290)&amp;""),0)=IFERROR(--(INDEX('Reguler Class Availability'!$F:$F,$Q290)&amp;""),0),"Penuh",IF(IFERROR(--(INDEX('Reguler Class Availability'!$G:$G,$Q290)&amp;""),0)=0,IF(INDEX('Reguler Class Availability'!$B:$B,$Q290)&amp;""="","Kosong","Belum terisi"),IF(IFERROR(--(INDEX('Reguler Class Availability'!$G:$G,$Q290)&amp;""),0)/IFERROR(--(INDEX('Reguler Class Availability'!$F:$F,$Q290)&amp;""),0)&gt;=0.6,"Tinggi","Sebagian"))))))</f>
        <v>Kosong</v>
      </c>
      <c r="F290" s="77" t="str">
        <f aca="false">IF($Q290="","",PROPER(INDEX('Reguler Class Availability'!$B:$B,$Q290)&amp;""))</f>
        <v/>
      </c>
      <c r="G290" s="76" t="n">
        <f aca="false">IF($Q290="","",IFERROR(--(INDEX('Reguler Class Availability'!$F:$F,$Q290)&amp;""),0))</f>
        <v>4</v>
      </c>
      <c r="H290" s="77" t="str">
        <f aca="false">IF($Q290="","",PROPER(INDEX('Reguler Class Availability'!$I:$I,$Q290)&amp;"")&amp;IF(INDEX('Reguler Class Availability'!$J:$J,$Q290)&amp;""="",""," + asst "&amp;PROPER(INDEX('Reguler Class Availability'!$J:$J,$Q290)&amp;"")))</f>
        <v/>
      </c>
      <c r="I290" s="77" t="s">
        <v>530</v>
      </c>
      <c r="J290" s="77" t="s">
        <v>186</v>
      </c>
      <c r="K290" s="78"/>
      <c r="L290" s="78"/>
      <c r="M290" s="78"/>
      <c r="N290" s="79"/>
      <c r="O290" s="78"/>
      <c r="Q290" s="30" t="n">
        <f aca="false">IFERROR(MATCH($B$4&amp;"|- Lane "&amp;D290&amp;" - "&amp;B290&amp;"|"&amp;C290,'Reguler Class Availability'!$L:$L,0),"")</f>
        <v>2796</v>
      </c>
      <c r="BD290" s="30" t="s">
        <v>160</v>
      </c>
      <c r="BE290" s="30" t="n">
        <f aca="false">IF(COUNTIFS('Reguler Class Availability'!$L:$L,$B$4&amp;"|- Lane 5 - *|"&amp;BD290)&gt;0,1,0)</f>
        <v>0</v>
      </c>
      <c r="BF290" s="30" t="n">
        <f aca="false">BE290+BF289</f>
        <v>12</v>
      </c>
    </row>
    <row r="291" customFormat="false" ht="27.75" hidden="false" customHeight="true" outlineLevel="0" collapsed="false">
      <c r="A291" s="76" t="n">
        <v>165</v>
      </c>
      <c r="B291" s="77" t="s">
        <v>117</v>
      </c>
      <c r="C291" s="76" t="s">
        <v>110</v>
      </c>
      <c r="D291" s="76" t="n">
        <v>3</v>
      </c>
      <c r="E291" s="77" t="str">
        <f aca="false">IF($Q291="","Tidak ada di data",IF(AND(IFERROR(--(INDEX('Reguler Class Availability'!$F:$F,$Q291)&amp;""),0)=0,IFERROR(--(INDEX('Reguler Class Availability'!$G:$G,$Q291)&amp;""),0)=0),"Tutup",IF(IFERROR(--(INDEX('Reguler Class Availability'!$G:$G,$Q291)&amp;""),0)&gt;IFERROR(--(INDEX('Reguler Class Availability'!$F:$F,$Q291)&amp;""),0),"Lebih",IF(IFERROR(--(INDEX('Reguler Class Availability'!$G:$G,$Q291)&amp;""),0)=IFERROR(--(INDEX('Reguler Class Availability'!$F:$F,$Q291)&amp;""),0),"Penuh",IF(IFERROR(--(INDEX('Reguler Class Availability'!$G:$G,$Q291)&amp;""),0)=0,IF(INDEX('Reguler Class Availability'!$B:$B,$Q291)&amp;""="","Kosong","Belum terisi"),IF(IFERROR(--(INDEX('Reguler Class Availability'!$G:$G,$Q291)&amp;""),0)/IFERROR(--(INDEX('Reguler Class Availability'!$F:$F,$Q291)&amp;""),0)&gt;=0.6,"Tinggi","Sebagian"))))))</f>
        <v>Belum terisi</v>
      </c>
      <c r="F291" s="77" t="str">
        <f aca="false">IF($Q291="","",PROPER(INDEX('Reguler Class Availability'!$B:$B,$Q291)&amp;""))</f>
        <v>Little</v>
      </c>
      <c r="G291" s="76" t="n">
        <f aca="false">IF($Q291="","",IFERROR(--(INDEX('Reguler Class Availability'!$F:$F,$Q291)&amp;""),0))</f>
        <v>4</v>
      </c>
      <c r="H291" s="77" t="str">
        <f aca="false">IF($Q291="","",PROPER(INDEX('Reguler Class Availability'!$I:$I,$Q291)&amp;"")&amp;IF(INDEX('Reguler Class Availability'!$J:$J,$Q291)&amp;""="",""," + asst "&amp;PROPER(INDEX('Reguler Class Availability'!$J:$J,$Q291)&amp;"")))</f>
        <v/>
      </c>
      <c r="I291" s="77" t="s">
        <v>530</v>
      </c>
      <c r="J291" s="77" t="s">
        <v>186</v>
      </c>
      <c r="K291" s="78"/>
      <c r="L291" s="78"/>
      <c r="M291" s="78"/>
      <c r="N291" s="79"/>
      <c r="O291" s="78"/>
      <c r="Q291" s="30" t="n">
        <f aca="false">IFERROR(MATCH($B$4&amp;"|- Lane "&amp;D291&amp;" - "&amp;B291&amp;"|"&amp;C291,'Reguler Class Availability'!$L:$L,0),"")</f>
        <v>2628</v>
      </c>
      <c r="BD291" s="30" t="s">
        <v>161</v>
      </c>
      <c r="BE291" s="30" t="n">
        <f aca="false">IF(COUNTIFS('Reguler Class Availability'!$L:$L,$B$4&amp;"|- Lane 5 - *|"&amp;BD291)&gt;0,1,0)</f>
        <v>0</v>
      </c>
      <c r="BF291" s="30" t="n">
        <f aca="false">BE291+BF290</f>
        <v>12</v>
      </c>
    </row>
    <row r="292" customFormat="false" ht="27.75" hidden="false" customHeight="true" outlineLevel="0" collapsed="false">
      <c r="A292" s="76" t="n">
        <v>166</v>
      </c>
      <c r="B292" s="77" t="s">
        <v>117</v>
      </c>
      <c r="C292" s="76" t="s">
        <v>110</v>
      </c>
      <c r="D292" s="76" t="n">
        <v>4</v>
      </c>
      <c r="E292" s="77" t="str">
        <f aca="false">IF($Q292="","Tidak ada di data",IF(AND(IFERROR(--(INDEX('Reguler Class Availability'!$F:$F,$Q292)&amp;""),0)=0,IFERROR(--(INDEX('Reguler Class Availability'!$G:$G,$Q292)&amp;""),0)=0),"Tutup",IF(IFERROR(--(INDEX('Reguler Class Availability'!$G:$G,$Q292)&amp;""),0)&gt;IFERROR(--(INDEX('Reguler Class Availability'!$F:$F,$Q292)&amp;""),0),"Lebih",IF(IFERROR(--(INDEX('Reguler Class Availability'!$G:$G,$Q292)&amp;""),0)=IFERROR(--(INDEX('Reguler Class Availability'!$F:$F,$Q292)&amp;""),0),"Penuh",IF(IFERROR(--(INDEX('Reguler Class Availability'!$G:$G,$Q292)&amp;""),0)=0,IF(INDEX('Reguler Class Availability'!$B:$B,$Q292)&amp;""="","Kosong","Belum terisi"),IF(IFERROR(--(INDEX('Reguler Class Availability'!$G:$G,$Q292)&amp;""),0)/IFERROR(--(INDEX('Reguler Class Availability'!$F:$F,$Q292)&amp;""),0)&gt;=0.6,"Tinggi","Sebagian"))))))</f>
        <v>Belum terisi</v>
      </c>
      <c r="F292" s="77" t="str">
        <f aca="false">IF($Q292="","",PROPER(INDEX('Reguler Class Availability'!$B:$B,$Q292)&amp;""))</f>
        <v>Kids</v>
      </c>
      <c r="G292" s="76" t="n">
        <f aca="false">IF($Q292="","",IFERROR(--(INDEX('Reguler Class Availability'!$F:$F,$Q292)&amp;""),0))</f>
        <v>4</v>
      </c>
      <c r="H292" s="77" t="str">
        <f aca="false">IF($Q292="","",PROPER(INDEX('Reguler Class Availability'!$I:$I,$Q292)&amp;"")&amp;IF(INDEX('Reguler Class Availability'!$J:$J,$Q292)&amp;""="",""," + asst "&amp;PROPER(INDEX('Reguler Class Availability'!$J:$J,$Q292)&amp;"")))</f>
        <v/>
      </c>
      <c r="I292" s="77" t="s">
        <v>530</v>
      </c>
      <c r="J292" s="77" t="s">
        <v>186</v>
      </c>
      <c r="K292" s="78"/>
      <c r="L292" s="78"/>
      <c r="M292" s="78"/>
      <c r="N292" s="79"/>
      <c r="O292" s="78"/>
      <c r="Q292" s="30" t="n">
        <f aca="false">IFERROR(MATCH($B$4&amp;"|- Lane "&amp;D292&amp;" - "&amp;B292&amp;"|"&amp;C292,'Reguler Class Availability'!$L:$L,0),"")</f>
        <v>2712</v>
      </c>
      <c r="BD292" s="30" t="s">
        <v>162</v>
      </c>
      <c r="BE292" s="30" t="n">
        <f aca="false">IF(COUNTIFS('Reguler Class Availability'!$L:$L,$B$4&amp;"|- Lane 5 - *|"&amp;BD292)&gt;0,1,0)</f>
        <v>0</v>
      </c>
      <c r="BF292" s="30" t="n">
        <f aca="false">BE292+BF291</f>
        <v>12</v>
      </c>
    </row>
    <row r="293" customFormat="false" ht="27.75" hidden="false" customHeight="true" outlineLevel="0" collapsed="false">
      <c r="A293" s="76" t="n">
        <v>167</v>
      </c>
      <c r="B293" s="77" t="s">
        <v>117</v>
      </c>
      <c r="C293" s="76" t="s">
        <v>120</v>
      </c>
      <c r="D293" s="76" t="n">
        <v>1</v>
      </c>
      <c r="E293" s="77" t="str">
        <f aca="false">IF($Q293="","Tidak ada di data",IF(AND(IFERROR(--(INDEX('Reguler Class Availability'!$F:$F,$Q293)&amp;""),0)=0,IFERROR(--(INDEX('Reguler Class Availability'!$G:$G,$Q293)&amp;""),0)=0),"Tutup",IF(IFERROR(--(INDEX('Reguler Class Availability'!$G:$G,$Q293)&amp;""),0)&gt;IFERROR(--(INDEX('Reguler Class Availability'!$F:$F,$Q293)&amp;""),0),"Lebih",IF(IFERROR(--(INDEX('Reguler Class Availability'!$G:$G,$Q293)&amp;""),0)=IFERROR(--(INDEX('Reguler Class Availability'!$F:$F,$Q293)&amp;""),0),"Penuh",IF(IFERROR(--(INDEX('Reguler Class Availability'!$G:$G,$Q293)&amp;""),0)=0,IF(INDEX('Reguler Class Availability'!$B:$B,$Q293)&amp;""="","Kosong","Belum terisi"),IF(IFERROR(--(INDEX('Reguler Class Availability'!$G:$G,$Q293)&amp;""),0)/IFERROR(--(INDEX('Reguler Class Availability'!$F:$F,$Q293)&amp;""),0)&gt;=0.6,"Tinggi","Sebagian"))))))</f>
        <v>Belum terisi</v>
      </c>
      <c r="F293" s="77" t="str">
        <f aca="false">IF($Q293="","",PROPER(INDEX('Reguler Class Availability'!$B:$B,$Q293)&amp;""))</f>
        <v>Baby</v>
      </c>
      <c r="G293" s="76" t="n">
        <f aca="false">IF($Q293="","",IFERROR(--(INDEX('Reguler Class Availability'!$F:$F,$Q293)&amp;""),0))</f>
        <v>5</v>
      </c>
      <c r="H293" s="77" t="str">
        <f aca="false">IF($Q293="","",PROPER(INDEX('Reguler Class Availability'!$I:$I,$Q293)&amp;"")&amp;IF(INDEX('Reguler Class Availability'!$J:$J,$Q293)&amp;""="",""," + asst "&amp;PROPER(INDEX('Reguler Class Availability'!$J:$J,$Q293)&amp;"")))</f>
        <v/>
      </c>
      <c r="I293" s="77" t="s">
        <v>530</v>
      </c>
      <c r="J293" s="77" t="s">
        <v>186</v>
      </c>
      <c r="K293" s="78"/>
      <c r="L293" s="78"/>
      <c r="M293" s="78"/>
      <c r="N293" s="79"/>
      <c r="O293" s="78"/>
      <c r="Q293" s="30" t="n">
        <f aca="false">IFERROR(MATCH($B$4&amp;"|- Lane "&amp;D293&amp;" - "&amp;B293&amp;"|"&amp;C293,'Reguler Class Availability'!$L:$L,0),"")</f>
        <v>2447</v>
      </c>
      <c r="BD293" s="30" t="s">
        <v>163</v>
      </c>
      <c r="BE293" s="30" t="n">
        <f aca="false">IF(COUNTIFS('Reguler Class Availability'!$L:$L,$B$4&amp;"|- Lane 5 - *|"&amp;BD293)&gt;0,1,0)</f>
        <v>0</v>
      </c>
      <c r="BF293" s="30" t="n">
        <f aca="false">BE293+BF292</f>
        <v>12</v>
      </c>
    </row>
    <row r="294" customFormat="false" ht="27.75" hidden="false" customHeight="true" outlineLevel="0" collapsed="false">
      <c r="A294" s="76" t="n">
        <v>168</v>
      </c>
      <c r="B294" s="77" t="s">
        <v>117</v>
      </c>
      <c r="C294" s="76" t="s">
        <v>120</v>
      </c>
      <c r="D294" s="76" t="n">
        <v>2</v>
      </c>
      <c r="E294" s="77" t="str">
        <f aca="false">IF($Q294="","Tidak ada di data",IF(AND(IFERROR(--(INDEX('Reguler Class Availability'!$F:$F,$Q294)&amp;""),0)=0,IFERROR(--(INDEX('Reguler Class Availability'!$G:$G,$Q294)&amp;""),0)=0),"Tutup",IF(IFERROR(--(INDEX('Reguler Class Availability'!$G:$G,$Q294)&amp;""),0)&gt;IFERROR(--(INDEX('Reguler Class Availability'!$F:$F,$Q294)&amp;""),0),"Lebih",IF(IFERROR(--(INDEX('Reguler Class Availability'!$G:$G,$Q294)&amp;""),0)=IFERROR(--(INDEX('Reguler Class Availability'!$F:$F,$Q294)&amp;""),0),"Penuh",IF(IFERROR(--(INDEX('Reguler Class Availability'!$G:$G,$Q294)&amp;""),0)=0,IF(INDEX('Reguler Class Availability'!$B:$B,$Q294)&amp;""="","Kosong","Belum terisi"),IF(IFERROR(--(INDEX('Reguler Class Availability'!$G:$G,$Q294)&amp;""),0)/IFERROR(--(INDEX('Reguler Class Availability'!$F:$F,$Q294)&amp;""),0)&gt;=0.6,"Tinggi","Sebagian"))))))</f>
        <v>Belum terisi</v>
      </c>
      <c r="F294" s="77" t="str">
        <f aca="false">IF($Q294="","",PROPER(INDEX('Reguler Class Availability'!$B:$B,$Q294)&amp;""))</f>
        <v>Tiny</v>
      </c>
      <c r="G294" s="76" t="n">
        <f aca="false">IF($Q294="","",IFERROR(--(INDEX('Reguler Class Availability'!$F:$F,$Q294)&amp;""),0))</f>
        <v>5</v>
      </c>
      <c r="H294" s="77" t="str">
        <f aca="false">IF($Q294="","",PROPER(INDEX('Reguler Class Availability'!$I:$I,$Q294)&amp;"")&amp;IF(INDEX('Reguler Class Availability'!$J:$J,$Q294)&amp;""="",""," + asst "&amp;PROPER(INDEX('Reguler Class Availability'!$J:$J,$Q294)&amp;"")))</f>
        <v/>
      </c>
      <c r="I294" s="77" t="s">
        <v>530</v>
      </c>
      <c r="J294" s="77" t="s">
        <v>186</v>
      </c>
      <c r="K294" s="78"/>
      <c r="L294" s="78"/>
      <c r="M294" s="78"/>
      <c r="N294" s="79"/>
      <c r="O294" s="78"/>
      <c r="Q294" s="30" t="n">
        <f aca="false">IFERROR(MATCH($B$4&amp;"|- Lane "&amp;D294&amp;" - "&amp;B294&amp;"|"&amp;C294,'Reguler Class Availability'!$L:$L,0),"")</f>
        <v>2545</v>
      </c>
      <c r="BD294" s="30" t="s">
        <v>164</v>
      </c>
      <c r="BE294" s="30" t="n">
        <f aca="false">IF(COUNTIFS('Reguler Class Availability'!$L:$L,$B$4&amp;"|- Lane 5 - *|"&amp;BD294)&gt;0,1,0)</f>
        <v>0</v>
      </c>
      <c r="BF294" s="30" t="n">
        <f aca="false">BE294+BF293</f>
        <v>12</v>
      </c>
    </row>
    <row r="295" customFormat="false" ht="27.75" hidden="false" customHeight="true" outlineLevel="0" collapsed="false">
      <c r="A295" s="76" t="n">
        <v>169</v>
      </c>
      <c r="B295" s="77" t="s">
        <v>117</v>
      </c>
      <c r="C295" s="76" t="s">
        <v>120</v>
      </c>
      <c r="D295" s="76" t="n">
        <v>5</v>
      </c>
      <c r="E295" s="77" t="str">
        <f aca="false">IF($Q295="","Tidak ada di data",IF(AND(IFERROR(--(INDEX('Reguler Class Availability'!$F:$F,$Q295)&amp;""),0)=0,IFERROR(--(INDEX('Reguler Class Availability'!$G:$G,$Q295)&amp;""),0)=0),"Tutup",IF(IFERROR(--(INDEX('Reguler Class Availability'!$G:$G,$Q295)&amp;""),0)&gt;IFERROR(--(INDEX('Reguler Class Availability'!$F:$F,$Q295)&amp;""),0),"Lebih",IF(IFERROR(--(INDEX('Reguler Class Availability'!$G:$G,$Q295)&amp;""),0)=IFERROR(--(INDEX('Reguler Class Availability'!$F:$F,$Q295)&amp;""),0),"Penuh",IF(IFERROR(--(INDEX('Reguler Class Availability'!$G:$G,$Q295)&amp;""),0)=0,IF(INDEX('Reguler Class Availability'!$B:$B,$Q295)&amp;""="","Kosong","Belum terisi"),IF(IFERROR(--(INDEX('Reguler Class Availability'!$G:$G,$Q295)&amp;""),0)/IFERROR(--(INDEX('Reguler Class Availability'!$F:$F,$Q295)&amp;""),0)&gt;=0.6,"Tinggi","Sebagian"))))))</f>
        <v>Kosong</v>
      </c>
      <c r="F295" s="77" t="str">
        <f aca="false">IF($Q295="","",PROPER(INDEX('Reguler Class Availability'!$B:$B,$Q295)&amp;""))</f>
        <v/>
      </c>
      <c r="G295" s="76" t="n">
        <f aca="false">IF($Q295="","",IFERROR(--(INDEX('Reguler Class Availability'!$F:$F,$Q295)&amp;""),0))</f>
        <v>4</v>
      </c>
      <c r="H295" s="77" t="str">
        <f aca="false">IF($Q295="","",PROPER(INDEX('Reguler Class Availability'!$I:$I,$Q295)&amp;"")&amp;IF(INDEX('Reguler Class Availability'!$J:$J,$Q295)&amp;""="",""," + asst "&amp;PROPER(INDEX('Reguler Class Availability'!$J:$J,$Q295)&amp;"")))</f>
        <v/>
      </c>
      <c r="I295" s="77" t="s">
        <v>530</v>
      </c>
      <c r="J295" s="77" t="s">
        <v>186</v>
      </c>
      <c r="K295" s="78"/>
      <c r="L295" s="78"/>
      <c r="M295" s="78"/>
      <c r="N295" s="79"/>
      <c r="O295" s="78"/>
      <c r="Q295" s="30" t="n">
        <f aca="false">IFERROR(MATCH($B$4&amp;"|- Lane "&amp;D295&amp;" - "&amp;B295&amp;"|"&amp;C295,'Reguler Class Availability'!$L:$L,0),"")</f>
        <v>2797</v>
      </c>
      <c r="BD295" s="30" t="s">
        <v>165</v>
      </c>
      <c r="BE295" s="30" t="n">
        <f aca="false">IF(COUNTIFS('Reguler Class Availability'!$L:$L,$B$4&amp;"|- Lane 5 - *|"&amp;BD295)&gt;0,1,0)</f>
        <v>0</v>
      </c>
      <c r="BF295" s="30" t="n">
        <f aca="false">BE295+BF294</f>
        <v>12</v>
      </c>
    </row>
    <row r="296" customFormat="false" ht="15.75" hidden="false" customHeight="true" outlineLevel="0" collapsed="false">
      <c r="A296" s="76" t="n">
        <v>170</v>
      </c>
      <c r="B296" s="77" t="s">
        <v>117</v>
      </c>
      <c r="C296" s="76" t="s">
        <v>121</v>
      </c>
      <c r="D296" s="76" t="n">
        <v>3</v>
      </c>
      <c r="E296" s="77" t="str">
        <f aca="false">IF($Q296="","Tidak ada di data",IF(AND(IFERROR(--(INDEX('Reguler Class Availability'!$F:$F,$Q296)&amp;""),0)=0,IFERROR(--(INDEX('Reguler Class Availability'!$G:$G,$Q296)&amp;""),0)=0),"Tutup",IF(IFERROR(--(INDEX('Reguler Class Availability'!$G:$G,$Q296)&amp;""),0)&gt;IFERROR(--(INDEX('Reguler Class Availability'!$F:$F,$Q296)&amp;""),0),"Lebih",IF(IFERROR(--(INDEX('Reguler Class Availability'!$G:$G,$Q296)&amp;""),0)=IFERROR(--(INDEX('Reguler Class Availability'!$F:$F,$Q296)&amp;""),0),"Penuh",IF(IFERROR(--(INDEX('Reguler Class Availability'!$G:$G,$Q296)&amp;""),0)=0,IF(INDEX('Reguler Class Availability'!$B:$B,$Q296)&amp;""="","Kosong","Belum terisi"),IF(IFERROR(--(INDEX('Reguler Class Availability'!$G:$G,$Q296)&amp;""),0)/IFERROR(--(INDEX('Reguler Class Availability'!$F:$F,$Q296)&amp;""),0)&gt;=0.6,"Tinggi","Sebagian"))))))</f>
        <v>Belum terisi</v>
      </c>
      <c r="F296" s="77" t="str">
        <f aca="false">IF($Q296="","",PROPER(INDEX('Reguler Class Availability'!$B:$B,$Q296)&amp;""))</f>
        <v>Little</v>
      </c>
      <c r="G296" s="76" t="n">
        <f aca="false">IF($Q296="","",IFERROR(--(INDEX('Reguler Class Availability'!$F:$F,$Q296)&amp;""),0))</f>
        <v>4</v>
      </c>
      <c r="H296" s="77" t="str">
        <f aca="false">IF($Q296="","",PROPER(INDEX('Reguler Class Availability'!$I:$I,$Q296)&amp;"")&amp;IF(INDEX('Reguler Class Availability'!$J:$J,$Q296)&amp;""="",""," + asst "&amp;PROPER(INDEX('Reguler Class Availability'!$J:$J,$Q296)&amp;"")))</f>
        <v/>
      </c>
      <c r="I296" s="77" t="s">
        <v>531</v>
      </c>
      <c r="J296" s="77" t="s">
        <v>260</v>
      </c>
      <c r="K296" s="78"/>
      <c r="L296" s="78"/>
      <c r="M296" s="78"/>
      <c r="N296" s="79"/>
      <c r="O296" s="78"/>
      <c r="Q296" s="30" t="n">
        <f aca="false">IFERROR(MATCH($B$4&amp;"|- Lane "&amp;D296&amp;" - "&amp;B296&amp;"|"&amp;C296,'Reguler Class Availability'!$L:$L,0),"")</f>
        <v>2629</v>
      </c>
      <c r="BD296" s="30" t="s">
        <v>166</v>
      </c>
      <c r="BE296" s="30" t="n">
        <f aca="false">IF(COUNTIFS('Reguler Class Availability'!$L:$L,$B$4&amp;"|- Lane 5 - *|"&amp;BD296)&gt;0,1,0)</f>
        <v>0</v>
      </c>
      <c r="BF296" s="30" t="n">
        <f aca="false">BE296+BF295</f>
        <v>12</v>
      </c>
    </row>
    <row r="297" customFormat="false" ht="15.75" hidden="false" customHeight="true" outlineLevel="0" collapsed="false">
      <c r="A297" s="76" t="n">
        <v>171</v>
      </c>
      <c r="B297" s="77" t="s">
        <v>117</v>
      </c>
      <c r="C297" s="76" t="s">
        <v>121</v>
      </c>
      <c r="D297" s="76" t="n">
        <v>4</v>
      </c>
      <c r="E297" s="77" t="str">
        <f aca="false">IF($Q297="","Tidak ada di data",IF(AND(IFERROR(--(INDEX('Reguler Class Availability'!$F:$F,$Q297)&amp;""),0)=0,IFERROR(--(INDEX('Reguler Class Availability'!$G:$G,$Q297)&amp;""),0)=0),"Tutup",IF(IFERROR(--(INDEX('Reguler Class Availability'!$G:$G,$Q297)&amp;""),0)&gt;IFERROR(--(INDEX('Reguler Class Availability'!$F:$F,$Q297)&amp;""),0),"Lebih",IF(IFERROR(--(INDEX('Reguler Class Availability'!$G:$G,$Q297)&amp;""),0)=IFERROR(--(INDEX('Reguler Class Availability'!$F:$F,$Q297)&amp;""),0),"Penuh",IF(IFERROR(--(INDEX('Reguler Class Availability'!$G:$G,$Q297)&amp;""),0)=0,IF(INDEX('Reguler Class Availability'!$B:$B,$Q297)&amp;""="","Kosong","Belum terisi"),IF(IFERROR(--(INDEX('Reguler Class Availability'!$G:$G,$Q297)&amp;""),0)/IFERROR(--(INDEX('Reguler Class Availability'!$F:$F,$Q297)&amp;""),0)&gt;=0.6,"Tinggi","Sebagian"))))))</f>
        <v>Belum terisi</v>
      </c>
      <c r="F297" s="77" t="str">
        <f aca="false">IF($Q297="","",PROPER(INDEX('Reguler Class Availability'!$B:$B,$Q297)&amp;""))</f>
        <v>Kids</v>
      </c>
      <c r="G297" s="76" t="n">
        <f aca="false">IF($Q297="","",IFERROR(--(INDEX('Reguler Class Availability'!$F:$F,$Q297)&amp;""),0))</f>
        <v>4</v>
      </c>
      <c r="H297" s="77" t="str">
        <f aca="false">IF($Q297="","",PROPER(INDEX('Reguler Class Availability'!$I:$I,$Q297)&amp;"")&amp;IF(INDEX('Reguler Class Availability'!$J:$J,$Q297)&amp;""="",""," + asst "&amp;PROPER(INDEX('Reguler Class Availability'!$J:$J,$Q297)&amp;"")))</f>
        <v/>
      </c>
      <c r="I297" s="77" t="s">
        <v>531</v>
      </c>
      <c r="J297" s="77" t="s">
        <v>260</v>
      </c>
      <c r="K297" s="78"/>
      <c r="L297" s="78"/>
      <c r="M297" s="78"/>
      <c r="N297" s="79"/>
      <c r="O297" s="78"/>
      <c r="Q297" s="30" t="n">
        <f aca="false">IFERROR(MATCH($B$4&amp;"|- Lane "&amp;D297&amp;" - "&amp;B297&amp;"|"&amp;C297,'Reguler Class Availability'!$L:$L,0),"")</f>
        <v>2713</v>
      </c>
      <c r="BD297" s="30" t="s">
        <v>167</v>
      </c>
      <c r="BE297" s="30" t="n">
        <f aca="false">IF(COUNTIFS('Reguler Class Availability'!$L:$L,$B$4&amp;"|- Lane 5 - *|"&amp;BD297)&gt;0,1,0)</f>
        <v>0</v>
      </c>
      <c r="BF297" s="30" t="n">
        <f aca="false">BE297+BF296</f>
        <v>12</v>
      </c>
    </row>
    <row r="298" customFormat="false" ht="15.75" hidden="false" customHeight="true" outlineLevel="0" collapsed="false">
      <c r="A298" s="76" t="n">
        <v>172</v>
      </c>
      <c r="B298" s="77" t="s">
        <v>117</v>
      </c>
      <c r="C298" s="76" t="s">
        <v>123</v>
      </c>
      <c r="D298" s="76" t="n">
        <v>1</v>
      </c>
      <c r="E298" s="77" t="str">
        <f aca="false">IF($Q298="","Tidak ada di data",IF(AND(IFERROR(--(INDEX('Reguler Class Availability'!$F:$F,$Q298)&amp;""),0)=0,IFERROR(--(INDEX('Reguler Class Availability'!$G:$G,$Q298)&amp;""),0)=0),"Tutup",IF(IFERROR(--(INDEX('Reguler Class Availability'!$G:$G,$Q298)&amp;""),0)&gt;IFERROR(--(INDEX('Reguler Class Availability'!$F:$F,$Q298)&amp;""),0),"Lebih",IF(IFERROR(--(INDEX('Reguler Class Availability'!$G:$G,$Q298)&amp;""),0)=IFERROR(--(INDEX('Reguler Class Availability'!$F:$F,$Q298)&amp;""),0),"Penuh",IF(IFERROR(--(INDEX('Reguler Class Availability'!$G:$G,$Q298)&amp;""),0)=0,IF(INDEX('Reguler Class Availability'!$B:$B,$Q298)&amp;""="","Kosong","Belum terisi"),IF(IFERROR(--(INDEX('Reguler Class Availability'!$G:$G,$Q298)&amp;""),0)/IFERROR(--(INDEX('Reguler Class Availability'!$F:$F,$Q298)&amp;""),0)&gt;=0.6,"Tinggi","Sebagian"))))))</f>
        <v>Belum terisi</v>
      </c>
      <c r="F298" s="77" t="str">
        <f aca="false">IF($Q298="","",PROPER(INDEX('Reguler Class Availability'!$B:$B,$Q298)&amp;""))</f>
        <v>Baby</v>
      </c>
      <c r="G298" s="76" t="n">
        <f aca="false">IF($Q298="","",IFERROR(--(INDEX('Reguler Class Availability'!$F:$F,$Q298)&amp;""),0))</f>
        <v>5</v>
      </c>
      <c r="H298" s="77" t="str">
        <f aca="false">IF($Q298="","",PROPER(INDEX('Reguler Class Availability'!$I:$I,$Q298)&amp;"")&amp;IF(INDEX('Reguler Class Availability'!$J:$J,$Q298)&amp;""="",""," + asst "&amp;PROPER(INDEX('Reguler Class Availability'!$J:$J,$Q298)&amp;"")))</f>
        <v/>
      </c>
      <c r="I298" s="77" t="s">
        <v>526</v>
      </c>
      <c r="J298" s="77" t="s">
        <v>288</v>
      </c>
      <c r="K298" s="78"/>
      <c r="L298" s="78"/>
      <c r="M298" s="78"/>
      <c r="N298" s="79"/>
      <c r="O298" s="78"/>
      <c r="Q298" s="30" t="n">
        <f aca="false">IFERROR(MATCH($B$4&amp;"|- Lane "&amp;D298&amp;" - "&amp;B298&amp;"|"&amp;C298,'Reguler Class Availability'!$L:$L,0),"")</f>
        <v>2448</v>
      </c>
      <c r="BD298" s="30" t="s">
        <v>168</v>
      </c>
      <c r="BE298" s="30" t="n">
        <f aca="false">IF(COUNTIFS('Reguler Class Availability'!$L:$L,$B$4&amp;"|- Lane 5 - *|"&amp;BD298)&gt;0,1,0)</f>
        <v>0</v>
      </c>
      <c r="BF298" s="30" t="n">
        <f aca="false">BE298+BF297</f>
        <v>12</v>
      </c>
    </row>
    <row r="299" customFormat="false" ht="15.75" hidden="false" customHeight="true" outlineLevel="0" collapsed="false">
      <c r="A299" s="76" t="n">
        <v>173</v>
      </c>
      <c r="B299" s="77" t="s">
        <v>117</v>
      </c>
      <c r="C299" s="76" t="s">
        <v>123</v>
      </c>
      <c r="D299" s="76" t="n">
        <v>5</v>
      </c>
      <c r="E299" s="77" t="str">
        <f aca="false">IF($Q299="","Tidak ada di data",IF(AND(IFERROR(--(INDEX('Reguler Class Availability'!$F:$F,$Q299)&amp;""),0)=0,IFERROR(--(INDEX('Reguler Class Availability'!$G:$G,$Q299)&amp;""),0)=0),"Tutup",IF(IFERROR(--(INDEX('Reguler Class Availability'!$G:$G,$Q299)&amp;""),0)&gt;IFERROR(--(INDEX('Reguler Class Availability'!$F:$F,$Q299)&amp;""),0),"Lebih",IF(IFERROR(--(INDEX('Reguler Class Availability'!$G:$G,$Q299)&amp;""),0)=IFERROR(--(INDEX('Reguler Class Availability'!$F:$F,$Q299)&amp;""),0),"Penuh",IF(IFERROR(--(INDEX('Reguler Class Availability'!$G:$G,$Q299)&amp;""),0)=0,IF(INDEX('Reguler Class Availability'!$B:$B,$Q299)&amp;""="","Kosong","Belum terisi"),IF(IFERROR(--(INDEX('Reguler Class Availability'!$G:$G,$Q299)&amp;""),0)/IFERROR(--(INDEX('Reguler Class Availability'!$F:$F,$Q299)&amp;""),0)&gt;=0.6,"Tinggi","Sebagian"))))))</f>
        <v>Kosong</v>
      </c>
      <c r="F299" s="77" t="str">
        <f aca="false">IF($Q299="","",PROPER(INDEX('Reguler Class Availability'!$B:$B,$Q299)&amp;""))</f>
        <v/>
      </c>
      <c r="G299" s="76" t="n">
        <f aca="false">IF($Q299="","",IFERROR(--(INDEX('Reguler Class Availability'!$F:$F,$Q299)&amp;""),0))</f>
        <v>4</v>
      </c>
      <c r="H299" s="77" t="str">
        <f aca="false">IF($Q299="","",PROPER(INDEX('Reguler Class Availability'!$I:$I,$Q299)&amp;"")&amp;IF(INDEX('Reguler Class Availability'!$J:$J,$Q299)&amp;""="",""," + asst "&amp;PROPER(INDEX('Reguler Class Availability'!$J:$J,$Q299)&amp;"")))</f>
        <v/>
      </c>
      <c r="I299" s="77" t="s">
        <v>526</v>
      </c>
      <c r="J299" s="77" t="s">
        <v>260</v>
      </c>
      <c r="K299" s="78"/>
      <c r="L299" s="78"/>
      <c r="M299" s="78"/>
      <c r="N299" s="79"/>
      <c r="O299" s="78"/>
      <c r="Q299" s="30" t="n">
        <f aca="false">IFERROR(MATCH($B$4&amp;"|- Lane "&amp;D299&amp;" - "&amp;B299&amp;"|"&amp;C299,'Reguler Class Availability'!$L:$L,0),"")</f>
        <v>2798</v>
      </c>
      <c r="BD299" s="30" t="s">
        <v>169</v>
      </c>
      <c r="BE299" s="30" t="n">
        <f aca="false">IF(COUNTIFS('Reguler Class Availability'!$L:$L,$B$4&amp;"|- Lane 5 - *|"&amp;BD299)&gt;0,1,0)</f>
        <v>0</v>
      </c>
      <c r="BF299" s="30" t="n">
        <f aca="false">BE299+BF298</f>
        <v>12</v>
      </c>
    </row>
    <row r="300" customFormat="false" ht="15.75" hidden="false" customHeight="true" outlineLevel="0" collapsed="false">
      <c r="A300" s="76" t="n">
        <v>174</v>
      </c>
      <c r="B300" s="77" t="s">
        <v>117</v>
      </c>
      <c r="C300" s="76" t="s">
        <v>124</v>
      </c>
      <c r="D300" s="76" t="n">
        <v>4</v>
      </c>
      <c r="E300" s="77" t="str">
        <f aca="false">IF($Q300="","Tidak ada di data",IF(AND(IFERROR(--(INDEX('Reguler Class Availability'!$F:$F,$Q300)&amp;""),0)=0,IFERROR(--(INDEX('Reguler Class Availability'!$G:$G,$Q300)&amp;""),0)=0),"Tutup",IF(IFERROR(--(INDEX('Reguler Class Availability'!$G:$G,$Q300)&amp;""),0)&gt;IFERROR(--(INDEX('Reguler Class Availability'!$F:$F,$Q300)&amp;""),0),"Lebih",IF(IFERROR(--(INDEX('Reguler Class Availability'!$G:$G,$Q300)&amp;""),0)=IFERROR(--(INDEX('Reguler Class Availability'!$F:$F,$Q300)&amp;""),0),"Penuh",IF(IFERROR(--(INDEX('Reguler Class Availability'!$G:$G,$Q300)&amp;""),0)=0,IF(INDEX('Reguler Class Availability'!$B:$B,$Q300)&amp;""="","Kosong","Belum terisi"),IF(IFERROR(--(INDEX('Reguler Class Availability'!$G:$G,$Q300)&amp;""),0)/IFERROR(--(INDEX('Reguler Class Availability'!$F:$F,$Q300)&amp;""),0)&gt;=0.6,"Tinggi","Sebagian"))))))</f>
        <v>Belum terisi</v>
      </c>
      <c r="F300" s="77" t="str">
        <f aca="false">IF($Q300="","",PROPER(INDEX('Reguler Class Availability'!$B:$B,$Q300)&amp;""))</f>
        <v>Kids</v>
      </c>
      <c r="G300" s="76" t="n">
        <f aca="false">IF($Q300="","",IFERROR(--(INDEX('Reguler Class Availability'!$F:$F,$Q300)&amp;""),0))</f>
        <v>4</v>
      </c>
      <c r="H300" s="77" t="str">
        <f aca="false">IF($Q300="","",PROPER(INDEX('Reguler Class Availability'!$I:$I,$Q300)&amp;"")&amp;IF(INDEX('Reguler Class Availability'!$J:$J,$Q300)&amp;""="",""," + asst "&amp;PROPER(INDEX('Reguler Class Availability'!$J:$J,$Q300)&amp;"")))</f>
        <v/>
      </c>
      <c r="I300" s="77" t="s">
        <v>526</v>
      </c>
      <c r="J300" s="77" t="s">
        <v>260</v>
      </c>
      <c r="K300" s="78"/>
      <c r="L300" s="78"/>
      <c r="M300" s="78"/>
      <c r="N300" s="79"/>
      <c r="O300" s="78"/>
      <c r="Q300" s="30" t="n">
        <f aca="false">IFERROR(MATCH($B$4&amp;"|- Lane "&amp;D300&amp;" - "&amp;B300&amp;"|"&amp;C300,'Reguler Class Availability'!$L:$L,0),"")</f>
        <v>2714</v>
      </c>
      <c r="BD300" s="30" t="s">
        <v>170</v>
      </c>
      <c r="BE300" s="30" t="n">
        <f aca="false">IF(COUNTIFS('Reguler Class Availability'!$L:$L,$B$4&amp;"|- Lane 5 - *|"&amp;BD300)&gt;0,1,0)</f>
        <v>0</v>
      </c>
      <c r="BF300" s="30" t="n">
        <f aca="false">BE300+BF299</f>
        <v>12</v>
      </c>
    </row>
    <row r="301" customFormat="false" ht="15.75" hidden="false" customHeight="true" outlineLevel="0" collapsed="false">
      <c r="A301" s="76" t="n">
        <v>175</v>
      </c>
      <c r="B301" s="77" t="s">
        <v>117</v>
      </c>
      <c r="C301" s="76" t="s">
        <v>126</v>
      </c>
      <c r="D301" s="76" t="n">
        <v>1</v>
      </c>
      <c r="E301" s="77" t="str">
        <f aca="false">IF($Q301="","Tidak ada di data",IF(AND(IFERROR(--(INDEX('Reguler Class Availability'!$F:$F,$Q301)&amp;""),0)=0,IFERROR(--(INDEX('Reguler Class Availability'!$G:$G,$Q301)&amp;""),0)=0),"Tutup",IF(IFERROR(--(INDEX('Reguler Class Availability'!$G:$G,$Q301)&amp;""),0)&gt;IFERROR(--(INDEX('Reguler Class Availability'!$F:$F,$Q301)&amp;""),0),"Lebih",IF(IFERROR(--(INDEX('Reguler Class Availability'!$G:$G,$Q301)&amp;""),0)=IFERROR(--(INDEX('Reguler Class Availability'!$F:$F,$Q301)&amp;""),0),"Penuh",IF(IFERROR(--(INDEX('Reguler Class Availability'!$G:$G,$Q301)&amp;""),0)=0,IF(INDEX('Reguler Class Availability'!$B:$B,$Q301)&amp;""="","Kosong","Belum terisi"),IF(IFERROR(--(INDEX('Reguler Class Availability'!$G:$G,$Q301)&amp;""),0)/IFERROR(--(INDEX('Reguler Class Availability'!$F:$F,$Q301)&amp;""),0)&gt;=0.6,"Tinggi","Sebagian"))))))</f>
        <v>Belum terisi</v>
      </c>
      <c r="F301" s="77" t="str">
        <f aca="false">IF($Q301="","",PROPER(INDEX('Reguler Class Availability'!$B:$B,$Q301)&amp;""))</f>
        <v>Baby</v>
      </c>
      <c r="G301" s="76" t="n">
        <f aca="false">IF($Q301="","",IFERROR(--(INDEX('Reguler Class Availability'!$F:$F,$Q301)&amp;""),0))</f>
        <v>5</v>
      </c>
      <c r="H301" s="77" t="str">
        <f aca="false">IF($Q301="","",PROPER(INDEX('Reguler Class Availability'!$I:$I,$Q301)&amp;"")&amp;IF(INDEX('Reguler Class Availability'!$J:$J,$Q301)&amp;""="",""," + asst "&amp;PROPER(INDEX('Reguler Class Availability'!$J:$J,$Q301)&amp;"")))</f>
        <v/>
      </c>
      <c r="I301" s="77" t="s">
        <v>526</v>
      </c>
      <c r="J301" s="77" t="s">
        <v>288</v>
      </c>
      <c r="K301" s="78"/>
      <c r="L301" s="78"/>
      <c r="M301" s="78"/>
      <c r="N301" s="79"/>
      <c r="O301" s="78"/>
      <c r="Q301" s="30" t="n">
        <f aca="false">IFERROR(MATCH($B$4&amp;"|- Lane "&amp;D301&amp;" - "&amp;B301&amp;"|"&amp;C301,'Reguler Class Availability'!$L:$L,0),"")</f>
        <v>2449</v>
      </c>
      <c r="BD301" s="30" t="s">
        <v>171</v>
      </c>
      <c r="BE301" s="30" t="n">
        <f aca="false">IF(COUNTIFS('Reguler Class Availability'!$L:$L,$B$4&amp;"|- Lane 5 - *|"&amp;BD301)&gt;0,1,0)</f>
        <v>0</v>
      </c>
      <c r="BF301" s="30" t="n">
        <f aca="false">BE301+BF300</f>
        <v>12</v>
      </c>
    </row>
    <row r="302" customFormat="false" ht="15.75" hidden="false" customHeight="true" outlineLevel="0" collapsed="false">
      <c r="A302" s="76" t="n">
        <v>176</v>
      </c>
      <c r="B302" s="77" t="s">
        <v>117</v>
      </c>
      <c r="C302" s="76" t="s">
        <v>126</v>
      </c>
      <c r="D302" s="76" t="n">
        <v>5</v>
      </c>
      <c r="E302" s="77" t="str">
        <f aca="false">IF($Q302="","Tidak ada di data",IF(AND(IFERROR(--(INDEX('Reguler Class Availability'!$F:$F,$Q302)&amp;""),0)=0,IFERROR(--(INDEX('Reguler Class Availability'!$G:$G,$Q302)&amp;""),0)=0),"Tutup",IF(IFERROR(--(INDEX('Reguler Class Availability'!$G:$G,$Q302)&amp;""),0)&gt;IFERROR(--(INDEX('Reguler Class Availability'!$F:$F,$Q302)&amp;""),0),"Lebih",IF(IFERROR(--(INDEX('Reguler Class Availability'!$G:$G,$Q302)&amp;""),0)=IFERROR(--(INDEX('Reguler Class Availability'!$F:$F,$Q302)&amp;""),0),"Penuh",IF(IFERROR(--(INDEX('Reguler Class Availability'!$G:$G,$Q302)&amp;""),0)=0,IF(INDEX('Reguler Class Availability'!$B:$B,$Q302)&amp;""="","Kosong","Belum terisi"),IF(IFERROR(--(INDEX('Reguler Class Availability'!$G:$G,$Q302)&amp;""),0)/IFERROR(--(INDEX('Reguler Class Availability'!$F:$F,$Q302)&amp;""),0)&gt;=0.6,"Tinggi","Sebagian"))))))</f>
        <v>Kosong</v>
      </c>
      <c r="F302" s="77" t="str">
        <f aca="false">IF($Q302="","",PROPER(INDEX('Reguler Class Availability'!$B:$B,$Q302)&amp;""))</f>
        <v/>
      </c>
      <c r="G302" s="76" t="n">
        <f aca="false">IF($Q302="","",IFERROR(--(INDEX('Reguler Class Availability'!$F:$F,$Q302)&amp;""),0))</f>
        <v>4</v>
      </c>
      <c r="H302" s="77" t="str">
        <f aca="false">IF($Q302="","",PROPER(INDEX('Reguler Class Availability'!$I:$I,$Q302)&amp;"")&amp;IF(INDEX('Reguler Class Availability'!$J:$J,$Q302)&amp;""="",""," + asst "&amp;PROPER(INDEX('Reguler Class Availability'!$J:$J,$Q302)&amp;"")))</f>
        <v/>
      </c>
      <c r="I302" s="77" t="s">
        <v>526</v>
      </c>
      <c r="J302" s="77" t="s">
        <v>260</v>
      </c>
      <c r="K302" s="78"/>
      <c r="L302" s="78"/>
      <c r="M302" s="78"/>
      <c r="N302" s="79"/>
      <c r="O302" s="78"/>
      <c r="Q302" s="30" t="n">
        <f aca="false">IFERROR(MATCH($B$4&amp;"|- Lane "&amp;D302&amp;" - "&amp;B302&amp;"|"&amp;C302,'Reguler Class Availability'!$L:$L,0),"")</f>
        <v>2799</v>
      </c>
      <c r="BD302" s="30" t="s">
        <v>78</v>
      </c>
      <c r="BE302" s="30" t="n">
        <f aca="false">IF(COUNTIFS('Reguler Class Availability'!$L:$L,$B$4&amp;"|- Lane 6 - *|"&amp;BD302)&gt;0,1,0)</f>
        <v>0</v>
      </c>
      <c r="BF302" s="30" t="n">
        <f aca="false">BE302</f>
        <v>0</v>
      </c>
    </row>
    <row r="303" customFormat="false" ht="15.75" hidden="false" customHeight="true" outlineLevel="0" collapsed="false">
      <c r="A303" s="76" t="n">
        <v>177</v>
      </c>
      <c r="B303" s="77" t="s">
        <v>117</v>
      </c>
      <c r="C303" s="76" t="s">
        <v>127</v>
      </c>
      <c r="D303" s="76" t="n">
        <v>4</v>
      </c>
      <c r="E303" s="77" t="str">
        <f aca="false">IF($Q303="","Tidak ada di data",IF(AND(IFERROR(--(INDEX('Reguler Class Availability'!$F:$F,$Q303)&amp;""),0)=0,IFERROR(--(INDEX('Reguler Class Availability'!$G:$G,$Q303)&amp;""),0)=0),"Tutup",IF(IFERROR(--(INDEX('Reguler Class Availability'!$G:$G,$Q303)&amp;""),0)&gt;IFERROR(--(INDEX('Reguler Class Availability'!$F:$F,$Q303)&amp;""),0),"Lebih",IF(IFERROR(--(INDEX('Reguler Class Availability'!$G:$G,$Q303)&amp;""),0)=IFERROR(--(INDEX('Reguler Class Availability'!$F:$F,$Q303)&amp;""),0),"Penuh",IF(IFERROR(--(INDEX('Reguler Class Availability'!$G:$G,$Q303)&amp;""),0)=0,IF(INDEX('Reguler Class Availability'!$B:$B,$Q303)&amp;""="","Kosong","Belum terisi"),IF(IFERROR(--(INDEX('Reguler Class Availability'!$G:$G,$Q303)&amp;""),0)/IFERROR(--(INDEX('Reguler Class Availability'!$F:$F,$Q303)&amp;""),0)&gt;=0.6,"Tinggi","Sebagian"))))))</f>
        <v>Belum terisi</v>
      </c>
      <c r="F303" s="77" t="str">
        <f aca="false">IF($Q303="","",PROPER(INDEX('Reguler Class Availability'!$B:$B,$Q303)&amp;""))</f>
        <v>Kids</v>
      </c>
      <c r="G303" s="76" t="n">
        <f aca="false">IF($Q303="","",IFERROR(--(INDEX('Reguler Class Availability'!$F:$F,$Q303)&amp;""),0))</f>
        <v>4</v>
      </c>
      <c r="H303" s="77" t="str">
        <f aca="false">IF($Q303="","",PROPER(INDEX('Reguler Class Availability'!$I:$I,$Q303)&amp;"")&amp;IF(INDEX('Reguler Class Availability'!$J:$J,$Q303)&amp;""="",""," + asst "&amp;PROPER(INDEX('Reguler Class Availability'!$J:$J,$Q303)&amp;"")))</f>
        <v/>
      </c>
      <c r="I303" s="77" t="s">
        <v>526</v>
      </c>
      <c r="J303" s="77" t="s">
        <v>260</v>
      </c>
      <c r="K303" s="78"/>
      <c r="L303" s="78"/>
      <c r="M303" s="78"/>
      <c r="N303" s="79"/>
      <c r="O303" s="78"/>
      <c r="Q303" s="30" t="n">
        <f aca="false">IFERROR(MATCH($B$4&amp;"|- Lane "&amp;D303&amp;" - "&amp;B303&amp;"|"&amp;C303,'Reguler Class Availability'!$L:$L,0),"")</f>
        <v>2715</v>
      </c>
      <c r="BD303" s="30" t="s">
        <v>79</v>
      </c>
      <c r="BE303" s="30" t="n">
        <f aca="false">IF(COUNTIFS('Reguler Class Availability'!$L:$L,$B$4&amp;"|- Lane 6 - *|"&amp;BD303)&gt;0,1,0)</f>
        <v>0</v>
      </c>
      <c r="BF303" s="30" t="n">
        <f aca="false">BE303+BF302</f>
        <v>0</v>
      </c>
    </row>
    <row r="304" customFormat="false" ht="15.75" hidden="false" customHeight="true" outlineLevel="0" collapsed="false">
      <c r="A304" s="76" t="n">
        <v>178</v>
      </c>
      <c r="B304" s="77" t="s">
        <v>117</v>
      </c>
      <c r="C304" s="76" t="s">
        <v>129</v>
      </c>
      <c r="D304" s="76" t="n">
        <v>1</v>
      </c>
      <c r="E304" s="77" t="str">
        <f aca="false">IF($Q304="","Tidak ada di data",IF(AND(IFERROR(--(INDEX('Reguler Class Availability'!$F:$F,$Q304)&amp;""),0)=0,IFERROR(--(INDEX('Reguler Class Availability'!$G:$G,$Q304)&amp;""),0)=0),"Tutup",IF(IFERROR(--(INDEX('Reguler Class Availability'!$G:$G,$Q304)&amp;""),0)&gt;IFERROR(--(INDEX('Reguler Class Availability'!$F:$F,$Q304)&amp;""),0),"Lebih",IF(IFERROR(--(INDEX('Reguler Class Availability'!$G:$G,$Q304)&amp;""),0)=IFERROR(--(INDEX('Reguler Class Availability'!$F:$F,$Q304)&amp;""),0),"Penuh",IF(IFERROR(--(INDEX('Reguler Class Availability'!$G:$G,$Q304)&amp;""),0)=0,IF(INDEX('Reguler Class Availability'!$B:$B,$Q304)&amp;""="","Kosong","Belum terisi"),IF(IFERROR(--(INDEX('Reguler Class Availability'!$G:$G,$Q304)&amp;""),0)/IFERROR(--(INDEX('Reguler Class Availability'!$F:$F,$Q304)&amp;""),0)&gt;=0.6,"Tinggi","Sebagian"))))))</f>
        <v>Belum terisi</v>
      </c>
      <c r="F304" s="77" t="str">
        <f aca="false">IF($Q304="","",PROPER(INDEX('Reguler Class Availability'!$B:$B,$Q304)&amp;""))</f>
        <v>Baby</v>
      </c>
      <c r="G304" s="76" t="n">
        <f aca="false">IF($Q304="","",IFERROR(--(INDEX('Reguler Class Availability'!$F:$F,$Q304)&amp;""),0))</f>
        <v>5</v>
      </c>
      <c r="H304" s="77" t="str">
        <f aca="false">IF($Q304="","",PROPER(INDEX('Reguler Class Availability'!$I:$I,$Q304)&amp;"")&amp;IF(INDEX('Reguler Class Availability'!$J:$J,$Q304)&amp;""="",""," + asst "&amp;PROPER(INDEX('Reguler Class Availability'!$J:$J,$Q304)&amp;"")))</f>
        <v/>
      </c>
      <c r="I304" s="77" t="s">
        <v>526</v>
      </c>
      <c r="J304" s="77" t="s">
        <v>288</v>
      </c>
      <c r="K304" s="78"/>
      <c r="L304" s="78"/>
      <c r="M304" s="78"/>
      <c r="N304" s="79"/>
      <c r="O304" s="78"/>
      <c r="Q304" s="30" t="n">
        <f aca="false">IFERROR(MATCH($B$4&amp;"|- Lane "&amp;D304&amp;" - "&amp;B304&amp;"|"&amp;C304,'Reguler Class Availability'!$L:$L,0),"")</f>
        <v>2450</v>
      </c>
      <c r="BD304" s="30" t="s">
        <v>84</v>
      </c>
      <c r="BE304" s="30" t="n">
        <f aca="false">IF(COUNTIFS('Reguler Class Availability'!$L:$L,$B$4&amp;"|- Lane 6 - *|"&amp;BD304)&gt;0,1,0)</f>
        <v>0</v>
      </c>
      <c r="BF304" s="30" t="n">
        <f aca="false">BE304+BF303</f>
        <v>0</v>
      </c>
    </row>
    <row r="305" customFormat="false" ht="15.75" hidden="false" customHeight="true" outlineLevel="0" collapsed="false">
      <c r="A305" s="76" t="n">
        <v>179</v>
      </c>
      <c r="B305" s="77" t="s">
        <v>117</v>
      </c>
      <c r="C305" s="76" t="s">
        <v>129</v>
      </c>
      <c r="D305" s="76" t="n">
        <v>5</v>
      </c>
      <c r="E305" s="77" t="str">
        <f aca="false">IF($Q305="","Tidak ada di data",IF(AND(IFERROR(--(INDEX('Reguler Class Availability'!$F:$F,$Q305)&amp;""),0)=0,IFERROR(--(INDEX('Reguler Class Availability'!$G:$G,$Q305)&amp;""),0)=0),"Tutup",IF(IFERROR(--(INDEX('Reguler Class Availability'!$G:$G,$Q305)&amp;""),0)&gt;IFERROR(--(INDEX('Reguler Class Availability'!$F:$F,$Q305)&amp;""),0),"Lebih",IF(IFERROR(--(INDEX('Reguler Class Availability'!$G:$G,$Q305)&amp;""),0)=IFERROR(--(INDEX('Reguler Class Availability'!$F:$F,$Q305)&amp;""),0),"Penuh",IF(IFERROR(--(INDEX('Reguler Class Availability'!$G:$G,$Q305)&amp;""),0)=0,IF(INDEX('Reguler Class Availability'!$B:$B,$Q305)&amp;""="","Kosong","Belum terisi"),IF(IFERROR(--(INDEX('Reguler Class Availability'!$G:$G,$Q305)&amp;""),0)/IFERROR(--(INDEX('Reguler Class Availability'!$F:$F,$Q305)&amp;""),0)&gt;=0.6,"Tinggi","Sebagian"))))))</f>
        <v>Kosong</v>
      </c>
      <c r="F305" s="77" t="str">
        <f aca="false">IF($Q305="","",PROPER(INDEX('Reguler Class Availability'!$B:$B,$Q305)&amp;""))</f>
        <v/>
      </c>
      <c r="G305" s="76" t="n">
        <f aca="false">IF($Q305="","",IFERROR(--(INDEX('Reguler Class Availability'!$F:$F,$Q305)&amp;""),0))</f>
        <v>4</v>
      </c>
      <c r="H305" s="77" t="str">
        <f aca="false">IF($Q305="","",PROPER(INDEX('Reguler Class Availability'!$I:$I,$Q305)&amp;"")&amp;IF(INDEX('Reguler Class Availability'!$J:$J,$Q305)&amp;""="",""," + asst "&amp;PROPER(INDEX('Reguler Class Availability'!$J:$J,$Q305)&amp;"")))</f>
        <v/>
      </c>
      <c r="I305" s="77" t="s">
        <v>526</v>
      </c>
      <c r="J305" s="77" t="s">
        <v>260</v>
      </c>
      <c r="K305" s="78"/>
      <c r="L305" s="78"/>
      <c r="M305" s="78"/>
      <c r="N305" s="79"/>
      <c r="O305" s="78"/>
      <c r="Q305" s="30" t="n">
        <f aca="false">IFERROR(MATCH($B$4&amp;"|- Lane "&amp;D305&amp;" - "&amp;B305&amp;"|"&amp;C305,'Reguler Class Availability'!$L:$L,0),"")</f>
        <v>2800</v>
      </c>
      <c r="BD305" s="30" t="s">
        <v>85</v>
      </c>
      <c r="BE305" s="30" t="n">
        <f aca="false">IF(COUNTIFS('Reguler Class Availability'!$L:$L,$B$4&amp;"|- Lane 6 - *|"&amp;BD305)&gt;0,1,0)</f>
        <v>0</v>
      </c>
      <c r="BF305" s="30" t="n">
        <f aca="false">BE305+BF304</f>
        <v>0</v>
      </c>
    </row>
    <row r="306" customFormat="false" ht="15.75" hidden="false" customHeight="true" outlineLevel="0" collapsed="false">
      <c r="A306" s="76" t="n">
        <v>180</v>
      </c>
      <c r="B306" s="77" t="s">
        <v>117</v>
      </c>
      <c r="C306" s="76" t="s">
        <v>130</v>
      </c>
      <c r="D306" s="76" t="n">
        <v>4</v>
      </c>
      <c r="E306" s="77" t="str">
        <f aca="false">IF($Q306="","Tidak ada di data",IF(AND(IFERROR(--(INDEX('Reguler Class Availability'!$F:$F,$Q306)&amp;""),0)=0,IFERROR(--(INDEX('Reguler Class Availability'!$G:$G,$Q306)&amp;""),0)=0),"Tutup",IF(IFERROR(--(INDEX('Reguler Class Availability'!$G:$G,$Q306)&amp;""),0)&gt;IFERROR(--(INDEX('Reguler Class Availability'!$F:$F,$Q306)&amp;""),0),"Lebih",IF(IFERROR(--(INDEX('Reguler Class Availability'!$G:$G,$Q306)&amp;""),0)=IFERROR(--(INDEX('Reguler Class Availability'!$F:$F,$Q306)&amp;""),0),"Penuh",IF(IFERROR(--(INDEX('Reguler Class Availability'!$G:$G,$Q306)&amp;""),0)=0,IF(INDEX('Reguler Class Availability'!$B:$B,$Q306)&amp;""="","Kosong","Belum terisi"),IF(IFERROR(--(INDEX('Reguler Class Availability'!$G:$G,$Q306)&amp;""),0)/IFERROR(--(INDEX('Reguler Class Availability'!$F:$F,$Q306)&amp;""),0)&gt;=0.6,"Tinggi","Sebagian"))))))</f>
        <v>Belum terisi</v>
      </c>
      <c r="F306" s="77" t="str">
        <f aca="false">IF($Q306="","",PROPER(INDEX('Reguler Class Availability'!$B:$B,$Q306)&amp;""))</f>
        <v>Kids</v>
      </c>
      <c r="G306" s="76" t="n">
        <f aca="false">IF($Q306="","",IFERROR(--(INDEX('Reguler Class Availability'!$F:$F,$Q306)&amp;""),0))</f>
        <v>4</v>
      </c>
      <c r="H306" s="77" t="str">
        <f aca="false">IF($Q306="","",PROPER(INDEX('Reguler Class Availability'!$I:$I,$Q306)&amp;"")&amp;IF(INDEX('Reguler Class Availability'!$J:$J,$Q306)&amp;""="",""," + asst "&amp;PROPER(INDEX('Reguler Class Availability'!$J:$J,$Q306)&amp;"")))</f>
        <v/>
      </c>
      <c r="I306" s="77" t="s">
        <v>526</v>
      </c>
      <c r="J306" s="77" t="s">
        <v>260</v>
      </c>
      <c r="K306" s="78"/>
      <c r="L306" s="78"/>
      <c r="M306" s="78"/>
      <c r="N306" s="79"/>
      <c r="O306" s="78"/>
      <c r="Q306" s="30" t="n">
        <f aca="false">IFERROR(MATCH($B$4&amp;"|- Lane "&amp;D306&amp;" - "&amp;B306&amp;"|"&amp;C306,'Reguler Class Availability'!$L:$L,0),"")</f>
        <v>2716</v>
      </c>
      <c r="BD306" s="30" t="s">
        <v>89</v>
      </c>
      <c r="BE306" s="30" t="n">
        <f aca="false">IF(COUNTIFS('Reguler Class Availability'!$L:$L,$B$4&amp;"|- Lane 6 - *|"&amp;BD306)&gt;0,1,0)</f>
        <v>0</v>
      </c>
      <c r="BF306" s="30" t="n">
        <f aca="false">BE306+BF305</f>
        <v>0</v>
      </c>
    </row>
    <row r="307" customFormat="false" ht="15.75" hidden="false" customHeight="true" outlineLevel="0" collapsed="false">
      <c r="A307" s="76" t="n">
        <v>181</v>
      </c>
      <c r="B307" s="77" t="s">
        <v>117</v>
      </c>
      <c r="C307" s="76" t="s">
        <v>132</v>
      </c>
      <c r="D307" s="76" t="n">
        <v>1</v>
      </c>
      <c r="E307" s="77" t="str">
        <f aca="false">IF($Q307="","Tidak ada di data",IF(AND(IFERROR(--(INDEX('Reguler Class Availability'!$F:$F,$Q307)&amp;""),0)=0,IFERROR(--(INDEX('Reguler Class Availability'!$G:$G,$Q307)&amp;""),0)=0),"Tutup",IF(IFERROR(--(INDEX('Reguler Class Availability'!$G:$G,$Q307)&amp;""),0)&gt;IFERROR(--(INDEX('Reguler Class Availability'!$F:$F,$Q307)&amp;""),0),"Lebih",IF(IFERROR(--(INDEX('Reguler Class Availability'!$G:$G,$Q307)&amp;""),0)=IFERROR(--(INDEX('Reguler Class Availability'!$F:$F,$Q307)&amp;""),0),"Penuh",IF(IFERROR(--(INDEX('Reguler Class Availability'!$G:$G,$Q307)&amp;""),0)=0,IF(INDEX('Reguler Class Availability'!$B:$B,$Q307)&amp;""="","Kosong","Belum terisi"),IF(IFERROR(--(INDEX('Reguler Class Availability'!$G:$G,$Q307)&amp;""),0)/IFERROR(--(INDEX('Reguler Class Availability'!$F:$F,$Q307)&amp;""),0)&gt;=0.6,"Tinggi","Sebagian"))))))</f>
        <v>Belum terisi</v>
      </c>
      <c r="F307" s="77" t="str">
        <f aca="false">IF($Q307="","",PROPER(INDEX('Reguler Class Availability'!$B:$B,$Q307)&amp;""))</f>
        <v>Baby</v>
      </c>
      <c r="G307" s="76" t="n">
        <f aca="false">IF($Q307="","",IFERROR(--(INDEX('Reguler Class Availability'!$F:$F,$Q307)&amp;""),0))</f>
        <v>5</v>
      </c>
      <c r="H307" s="77" t="str">
        <f aca="false">IF($Q307="","",PROPER(INDEX('Reguler Class Availability'!$I:$I,$Q307)&amp;"")&amp;IF(INDEX('Reguler Class Availability'!$J:$J,$Q307)&amp;""="",""," + asst "&amp;PROPER(INDEX('Reguler Class Availability'!$J:$J,$Q307)&amp;"")))</f>
        <v/>
      </c>
      <c r="I307" s="77" t="s">
        <v>526</v>
      </c>
      <c r="J307" s="77" t="s">
        <v>288</v>
      </c>
      <c r="K307" s="78"/>
      <c r="L307" s="78"/>
      <c r="M307" s="78"/>
      <c r="N307" s="79"/>
      <c r="O307" s="78"/>
      <c r="Q307" s="30" t="n">
        <f aca="false">IFERROR(MATCH($B$4&amp;"|- Lane "&amp;D307&amp;" - "&amp;B307&amp;"|"&amp;C307,'Reguler Class Availability'!$L:$L,0),"")</f>
        <v>2451</v>
      </c>
      <c r="BD307" s="30" t="s">
        <v>90</v>
      </c>
      <c r="BE307" s="30" t="n">
        <f aca="false">IF(COUNTIFS('Reguler Class Availability'!$L:$L,$B$4&amp;"|- Lane 6 - *|"&amp;BD307)&gt;0,1,0)</f>
        <v>0</v>
      </c>
      <c r="BF307" s="30" t="n">
        <f aca="false">BE307+BF306</f>
        <v>0</v>
      </c>
    </row>
    <row r="308" customFormat="false" ht="15.75" hidden="false" customHeight="true" outlineLevel="0" collapsed="false">
      <c r="A308" s="76" t="n">
        <v>182</v>
      </c>
      <c r="B308" s="77" t="s">
        <v>117</v>
      </c>
      <c r="C308" s="76" t="s">
        <v>132</v>
      </c>
      <c r="D308" s="76" t="n">
        <v>5</v>
      </c>
      <c r="E308" s="77" t="str">
        <f aca="false">IF($Q308="","Tidak ada di data",IF(AND(IFERROR(--(INDEX('Reguler Class Availability'!$F:$F,$Q308)&amp;""),0)=0,IFERROR(--(INDEX('Reguler Class Availability'!$G:$G,$Q308)&amp;""),0)=0),"Tutup",IF(IFERROR(--(INDEX('Reguler Class Availability'!$G:$G,$Q308)&amp;""),0)&gt;IFERROR(--(INDEX('Reguler Class Availability'!$F:$F,$Q308)&amp;""),0),"Lebih",IF(IFERROR(--(INDEX('Reguler Class Availability'!$G:$G,$Q308)&amp;""),0)=IFERROR(--(INDEX('Reguler Class Availability'!$F:$F,$Q308)&amp;""),0),"Penuh",IF(IFERROR(--(INDEX('Reguler Class Availability'!$G:$G,$Q308)&amp;""),0)=0,IF(INDEX('Reguler Class Availability'!$B:$B,$Q308)&amp;""="","Kosong","Belum terisi"),IF(IFERROR(--(INDEX('Reguler Class Availability'!$G:$G,$Q308)&amp;""),0)/IFERROR(--(INDEX('Reguler Class Availability'!$F:$F,$Q308)&amp;""),0)&gt;=0.6,"Tinggi","Sebagian"))))))</f>
        <v>Kosong</v>
      </c>
      <c r="F308" s="77" t="str">
        <f aca="false">IF($Q308="","",PROPER(INDEX('Reguler Class Availability'!$B:$B,$Q308)&amp;""))</f>
        <v/>
      </c>
      <c r="G308" s="76" t="n">
        <f aca="false">IF($Q308="","",IFERROR(--(INDEX('Reguler Class Availability'!$F:$F,$Q308)&amp;""),0))</f>
        <v>4</v>
      </c>
      <c r="H308" s="77" t="str">
        <f aca="false">IF($Q308="","",PROPER(INDEX('Reguler Class Availability'!$I:$I,$Q308)&amp;"")&amp;IF(INDEX('Reguler Class Availability'!$J:$J,$Q308)&amp;""="",""," + asst "&amp;PROPER(INDEX('Reguler Class Availability'!$J:$J,$Q308)&amp;"")))</f>
        <v/>
      </c>
      <c r="I308" s="77" t="s">
        <v>526</v>
      </c>
      <c r="J308" s="77" t="s">
        <v>260</v>
      </c>
      <c r="K308" s="78"/>
      <c r="L308" s="78"/>
      <c r="M308" s="78"/>
      <c r="N308" s="79"/>
      <c r="O308" s="78"/>
      <c r="Q308" s="30" t="n">
        <f aca="false">IFERROR(MATCH($B$4&amp;"|- Lane "&amp;D308&amp;" - "&amp;B308&amp;"|"&amp;C308,'Reguler Class Availability'!$L:$L,0),"")</f>
        <v>2801</v>
      </c>
      <c r="BD308" s="30" t="s">
        <v>91</v>
      </c>
      <c r="BE308" s="30" t="n">
        <f aca="false">IF(COUNTIFS('Reguler Class Availability'!$L:$L,$B$4&amp;"|- Lane 6 - *|"&amp;BD308)&gt;0,1,0)</f>
        <v>0</v>
      </c>
      <c r="BF308" s="30" t="n">
        <f aca="false">BE308+BF307</f>
        <v>0</v>
      </c>
    </row>
    <row r="309" customFormat="false" ht="15.75" hidden="false" customHeight="true" outlineLevel="0" collapsed="false">
      <c r="A309" s="76" t="n">
        <v>183</v>
      </c>
      <c r="B309" s="77" t="s">
        <v>117</v>
      </c>
      <c r="C309" s="76" t="s">
        <v>133</v>
      </c>
      <c r="D309" s="76" t="n">
        <v>3</v>
      </c>
      <c r="E309" s="77" t="str">
        <f aca="false">IF($Q309="","Tidak ada di data",IF(AND(IFERROR(--(INDEX('Reguler Class Availability'!$F:$F,$Q309)&amp;""),0)=0,IFERROR(--(INDEX('Reguler Class Availability'!$G:$G,$Q309)&amp;""),0)=0),"Tutup",IF(IFERROR(--(INDEX('Reguler Class Availability'!$G:$G,$Q309)&amp;""),0)&gt;IFERROR(--(INDEX('Reguler Class Availability'!$F:$F,$Q309)&amp;""),0),"Lebih",IF(IFERROR(--(INDEX('Reguler Class Availability'!$G:$G,$Q309)&amp;""),0)=IFERROR(--(INDEX('Reguler Class Availability'!$F:$F,$Q309)&amp;""),0),"Penuh",IF(IFERROR(--(INDEX('Reguler Class Availability'!$G:$G,$Q309)&amp;""),0)=0,IF(INDEX('Reguler Class Availability'!$B:$B,$Q309)&amp;""="","Kosong","Belum terisi"),IF(IFERROR(--(INDEX('Reguler Class Availability'!$G:$G,$Q309)&amp;""),0)/IFERROR(--(INDEX('Reguler Class Availability'!$F:$F,$Q309)&amp;""),0)&gt;=0.6,"Tinggi","Sebagian"))))))</f>
        <v>Belum terisi</v>
      </c>
      <c r="F309" s="77" t="str">
        <f aca="false">IF($Q309="","",PROPER(INDEX('Reguler Class Availability'!$B:$B,$Q309)&amp;""))</f>
        <v>Little</v>
      </c>
      <c r="G309" s="76" t="n">
        <f aca="false">IF($Q309="","",IFERROR(--(INDEX('Reguler Class Availability'!$F:$F,$Q309)&amp;""),0))</f>
        <v>4</v>
      </c>
      <c r="H309" s="77" t="str">
        <f aca="false">IF($Q309="","",PROPER(INDEX('Reguler Class Availability'!$I:$I,$Q309)&amp;"")&amp;IF(INDEX('Reguler Class Availability'!$J:$J,$Q309)&amp;""="",""," + asst "&amp;PROPER(INDEX('Reguler Class Availability'!$J:$J,$Q309)&amp;"")))</f>
        <v/>
      </c>
      <c r="I309" s="77" t="s">
        <v>531</v>
      </c>
      <c r="J309" s="77" t="s">
        <v>260</v>
      </c>
      <c r="K309" s="78"/>
      <c r="L309" s="78"/>
      <c r="M309" s="78"/>
      <c r="N309" s="79"/>
      <c r="O309" s="78"/>
      <c r="Q309" s="30" t="n">
        <f aca="false">IFERROR(MATCH($B$4&amp;"|- Lane "&amp;D309&amp;" - "&amp;B309&amp;"|"&amp;C309,'Reguler Class Availability'!$L:$L,0),"")</f>
        <v>2633</v>
      </c>
      <c r="BD309" s="30" t="s">
        <v>98</v>
      </c>
      <c r="BE309" s="30" t="n">
        <f aca="false">IF(COUNTIFS('Reguler Class Availability'!$L:$L,$B$4&amp;"|- Lane 6 - *|"&amp;BD309)&gt;0,1,0)</f>
        <v>0</v>
      </c>
      <c r="BF309" s="30" t="n">
        <f aca="false">BE309+BF308</f>
        <v>0</v>
      </c>
    </row>
    <row r="310" customFormat="false" ht="15.75" hidden="false" customHeight="true" outlineLevel="0" collapsed="false">
      <c r="A310" s="76" t="n">
        <v>184</v>
      </c>
      <c r="B310" s="77" t="s">
        <v>117</v>
      </c>
      <c r="C310" s="76" t="s">
        <v>133</v>
      </c>
      <c r="D310" s="76" t="n">
        <v>4</v>
      </c>
      <c r="E310" s="77" t="str">
        <f aca="false">IF($Q310="","Tidak ada di data",IF(AND(IFERROR(--(INDEX('Reguler Class Availability'!$F:$F,$Q310)&amp;""),0)=0,IFERROR(--(INDEX('Reguler Class Availability'!$G:$G,$Q310)&amp;""),0)=0),"Tutup",IF(IFERROR(--(INDEX('Reguler Class Availability'!$G:$G,$Q310)&amp;""),0)&gt;IFERROR(--(INDEX('Reguler Class Availability'!$F:$F,$Q310)&amp;""),0),"Lebih",IF(IFERROR(--(INDEX('Reguler Class Availability'!$G:$G,$Q310)&amp;""),0)=IFERROR(--(INDEX('Reguler Class Availability'!$F:$F,$Q310)&amp;""),0),"Penuh",IF(IFERROR(--(INDEX('Reguler Class Availability'!$G:$G,$Q310)&amp;""),0)=0,IF(INDEX('Reguler Class Availability'!$B:$B,$Q310)&amp;""="","Kosong","Belum terisi"),IF(IFERROR(--(INDEX('Reguler Class Availability'!$G:$G,$Q310)&amp;""),0)/IFERROR(--(INDEX('Reguler Class Availability'!$F:$F,$Q310)&amp;""),0)&gt;=0.6,"Tinggi","Sebagian"))))))</f>
        <v>Belum terisi</v>
      </c>
      <c r="F310" s="77" t="str">
        <f aca="false">IF($Q310="","",PROPER(INDEX('Reguler Class Availability'!$B:$B,$Q310)&amp;""))</f>
        <v>Kids</v>
      </c>
      <c r="G310" s="76" t="n">
        <f aca="false">IF($Q310="","",IFERROR(--(INDEX('Reguler Class Availability'!$F:$F,$Q310)&amp;""),0))</f>
        <v>4</v>
      </c>
      <c r="H310" s="77" t="str">
        <f aca="false">IF($Q310="","",PROPER(INDEX('Reguler Class Availability'!$I:$I,$Q310)&amp;"")&amp;IF(INDEX('Reguler Class Availability'!$J:$J,$Q310)&amp;""="",""," + asst "&amp;PROPER(INDEX('Reguler Class Availability'!$J:$J,$Q310)&amp;"")))</f>
        <v/>
      </c>
      <c r="I310" s="77" t="s">
        <v>531</v>
      </c>
      <c r="J310" s="77" t="s">
        <v>260</v>
      </c>
      <c r="K310" s="78"/>
      <c r="L310" s="78"/>
      <c r="M310" s="78"/>
      <c r="N310" s="79"/>
      <c r="O310" s="78"/>
      <c r="Q310" s="30" t="n">
        <f aca="false">IFERROR(MATCH($B$4&amp;"|- Lane "&amp;D310&amp;" - "&amp;B310&amp;"|"&amp;C310,'Reguler Class Availability'!$L:$L,0),"")</f>
        <v>2717</v>
      </c>
      <c r="BD310" s="30" t="s">
        <v>105</v>
      </c>
      <c r="BE310" s="30" t="n">
        <f aca="false">IF(COUNTIFS('Reguler Class Availability'!$L:$L,$B$4&amp;"|- Lane 6 - *|"&amp;BD310)&gt;0,1,0)</f>
        <v>1</v>
      </c>
      <c r="BF310" s="30" t="n">
        <f aca="false">BE310+BF309</f>
        <v>1</v>
      </c>
    </row>
    <row r="311" customFormat="false" ht="15.75" hidden="false" customHeight="true" outlineLevel="0" collapsed="false">
      <c r="A311" s="76" t="n">
        <v>185</v>
      </c>
      <c r="B311" s="77" t="s">
        <v>117</v>
      </c>
      <c r="C311" s="76" t="s">
        <v>139</v>
      </c>
      <c r="D311" s="76" t="n">
        <v>2</v>
      </c>
      <c r="E311" s="77" t="str">
        <f aca="false">IF($Q311="","Tidak ada di data",IF(AND(IFERROR(--(INDEX('Reguler Class Availability'!$F:$F,$Q311)&amp;""),0)=0,IFERROR(--(INDEX('Reguler Class Availability'!$G:$G,$Q311)&amp;""),0)=0),"Tutup",IF(IFERROR(--(INDEX('Reguler Class Availability'!$G:$G,$Q311)&amp;""),0)&gt;IFERROR(--(INDEX('Reguler Class Availability'!$F:$F,$Q311)&amp;""),0),"Lebih",IF(IFERROR(--(INDEX('Reguler Class Availability'!$G:$G,$Q311)&amp;""),0)=IFERROR(--(INDEX('Reguler Class Availability'!$F:$F,$Q311)&amp;""),0),"Penuh",IF(IFERROR(--(INDEX('Reguler Class Availability'!$G:$G,$Q311)&amp;""),0)=0,IF(INDEX('Reguler Class Availability'!$B:$B,$Q311)&amp;""="","Kosong","Belum terisi"),IF(IFERROR(--(INDEX('Reguler Class Availability'!$G:$G,$Q311)&amp;""),0)/IFERROR(--(INDEX('Reguler Class Availability'!$F:$F,$Q311)&amp;""),0)&gt;=0.6,"Tinggi","Sebagian"))))))</f>
        <v>Belum terisi</v>
      </c>
      <c r="F311" s="77" t="str">
        <f aca="false">IF($Q311="","",PROPER(INDEX('Reguler Class Availability'!$B:$B,$Q311)&amp;""))</f>
        <v>Tiny</v>
      </c>
      <c r="G311" s="76" t="n">
        <f aca="false">IF($Q311="","",IFERROR(--(INDEX('Reguler Class Availability'!$F:$F,$Q311)&amp;""),0))</f>
        <v>5</v>
      </c>
      <c r="H311" s="77" t="str">
        <f aca="false">IF($Q311="","",PROPER(INDEX('Reguler Class Availability'!$I:$I,$Q311)&amp;"")&amp;IF(INDEX('Reguler Class Availability'!$J:$J,$Q311)&amp;""="",""," + asst "&amp;PROPER(INDEX('Reguler Class Availability'!$J:$J,$Q311)&amp;"")))</f>
        <v/>
      </c>
      <c r="I311" s="77" t="s">
        <v>531</v>
      </c>
      <c r="J311" s="77" t="s">
        <v>198</v>
      </c>
      <c r="K311" s="78"/>
      <c r="L311" s="78"/>
      <c r="M311" s="78"/>
      <c r="N311" s="79"/>
      <c r="O311" s="78"/>
      <c r="Q311" s="30" t="n">
        <f aca="false">IFERROR(MATCH($B$4&amp;"|- Lane "&amp;D311&amp;" - "&amp;B311&amp;"|"&amp;C311,'Reguler Class Availability'!$L:$L,0),"")</f>
        <v>2550</v>
      </c>
      <c r="BD311" s="30" t="s">
        <v>110</v>
      </c>
      <c r="BE311" s="30" t="n">
        <f aca="false">IF(COUNTIFS('Reguler Class Availability'!$L:$L,$B$4&amp;"|- Lane 6 - *|"&amp;BD311)&gt;0,1,0)</f>
        <v>0</v>
      </c>
      <c r="BF311" s="30" t="n">
        <f aca="false">BE311+BF310</f>
        <v>1</v>
      </c>
    </row>
    <row r="312" customFormat="false" ht="15.75" hidden="false" customHeight="true" outlineLevel="0" collapsed="false">
      <c r="A312" s="76" t="n">
        <v>186</v>
      </c>
      <c r="B312" s="77" t="s">
        <v>117</v>
      </c>
      <c r="C312" s="76" t="s">
        <v>139</v>
      </c>
      <c r="D312" s="76" t="n">
        <v>5</v>
      </c>
      <c r="E312" s="77" t="str">
        <f aca="false">IF($Q312="","Tidak ada di data",IF(AND(IFERROR(--(INDEX('Reguler Class Availability'!$F:$F,$Q312)&amp;""),0)=0,IFERROR(--(INDEX('Reguler Class Availability'!$G:$G,$Q312)&amp;""),0)=0),"Tutup",IF(IFERROR(--(INDEX('Reguler Class Availability'!$G:$G,$Q312)&amp;""),0)&gt;IFERROR(--(INDEX('Reguler Class Availability'!$F:$F,$Q312)&amp;""),0),"Lebih",IF(IFERROR(--(INDEX('Reguler Class Availability'!$G:$G,$Q312)&amp;""),0)=IFERROR(--(INDEX('Reguler Class Availability'!$F:$F,$Q312)&amp;""),0),"Penuh",IF(IFERROR(--(INDEX('Reguler Class Availability'!$G:$G,$Q312)&amp;""),0)=0,IF(INDEX('Reguler Class Availability'!$B:$B,$Q312)&amp;""="","Kosong","Belum terisi"),IF(IFERROR(--(INDEX('Reguler Class Availability'!$G:$G,$Q312)&amp;""),0)/IFERROR(--(INDEX('Reguler Class Availability'!$F:$F,$Q312)&amp;""),0)&gt;=0.6,"Tinggi","Sebagian"))))))</f>
        <v>Kosong</v>
      </c>
      <c r="F312" s="77" t="str">
        <f aca="false">IF($Q312="","",PROPER(INDEX('Reguler Class Availability'!$B:$B,$Q312)&amp;""))</f>
        <v/>
      </c>
      <c r="G312" s="76" t="n">
        <f aca="false">IF($Q312="","",IFERROR(--(INDEX('Reguler Class Availability'!$F:$F,$Q312)&amp;""),0))</f>
        <v>4</v>
      </c>
      <c r="H312" s="77" t="str">
        <f aca="false">IF($Q312="","",PROPER(INDEX('Reguler Class Availability'!$I:$I,$Q312)&amp;"")&amp;IF(INDEX('Reguler Class Availability'!$J:$J,$Q312)&amp;""="",""," + asst "&amp;PROPER(INDEX('Reguler Class Availability'!$J:$J,$Q312)&amp;"")))</f>
        <v/>
      </c>
      <c r="I312" s="77" t="s">
        <v>531</v>
      </c>
      <c r="J312" s="77" t="s">
        <v>260</v>
      </c>
      <c r="K312" s="78"/>
      <c r="L312" s="78"/>
      <c r="M312" s="78"/>
      <c r="N312" s="79"/>
      <c r="O312" s="78"/>
      <c r="Q312" s="30" t="n">
        <f aca="false">IFERROR(MATCH($B$4&amp;"|- Lane "&amp;D312&amp;" - "&amp;B312&amp;"|"&amp;C312,'Reguler Class Availability'!$L:$L,0),"")</f>
        <v>2802</v>
      </c>
      <c r="BD312" s="30" t="s">
        <v>112</v>
      </c>
      <c r="BE312" s="30" t="n">
        <f aca="false">IF(COUNTIFS('Reguler Class Availability'!$L:$L,$B$4&amp;"|- Lane 6 - *|"&amp;BD312)&gt;0,1,0)</f>
        <v>0</v>
      </c>
      <c r="BF312" s="30" t="n">
        <f aca="false">BE312+BF311</f>
        <v>1</v>
      </c>
    </row>
    <row r="313" customFormat="false" ht="15.75" hidden="false" customHeight="true" outlineLevel="0" collapsed="false">
      <c r="A313" s="76" t="n">
        <v>187</v>
      </c>
      <c r="B313" s="77" t="s">
        <v>117</v>
      </c>
      <c r="C313" s="76" t="s">
        <v>141</v>
      </c>
      <c r="D313" s="76" t="n">
        <v>3</v>
      </c>
      <c r="E313" s="77" t="str">
        <f aca="false">IF($Q313="","Tidak ada di data",IF(AND(IFERROR(--(INDEX('Reguler Class Availability'!$F:$F,$Q313)&amp;""),0)=0,IFERROR(--(INDEX('Reguler Class Availability'!$G:$G,$Q313)&amp;""),0)=0),"Tutup",IF(IFERROR(--(INDEX('Reguler Class Availability'!$G:$G,$Q313)&amp;""),0)&gt;IFERROR(--(INDEX('Reguler Class Availability'!$F:$F,$Q313)&amp;""),0),"Lebih",IF(IFERROR(--(INDEX('Reguler Class Availability'!$G:$G,$Q313)&amp;""),0)=IFERROR(--(INDEX('Reguler Class Availability'!$F:$F,$Q313)&amp;""),0),"Penuh",IF(IFERROR(--(INDEX('Reguler Class Availability'!$G:$G,$Q313)&amp;""),0)=0,IF(INDEX('Reguler Class Availability'!$B:$B,$Q313)&amp;""="","Kosong","Belum terisi"),IF(IFERROR(--(INDEX('Reguler Class Availability'!$G:$G,$Q313)&amp;""),0)/IFERROR(--(INDEX('Reguler Class Availability'!$F:$F,$Q313)&amp;""),0)&gt;=0.6,"Tinggi","Sebagian"))))))</f>
        <v>Belum terisi</v>
      </c>
      <c r="F313" s="77" t="str">
        <f aca="false">IF($Q313="","",PROPER(INDEX('Reguler Class Availability'!$B:$B,$Q313)&amp;""))</f>
        <v>Little</v>
      </c>
      <c r="G313" s="76" t="n">
        <f aca="false">IF($Q313="","",IFERROR(--(INDEX('Reguler Class Availability'!$F:$F,$Q313)&amp;""),0))</f>
        <v>4</v>
      </c>
      <c r="H313" s="77" t="str">
        <f aca="false">IF($Q313="","",PROPER(INDEX('Reguler Class Availability'!$I:$I,$Q313)&amp;"")&amp;IF(INDEX('Reguler Class Availability'!$J:$J,$Q313)&amp;""="",""," + asst "&amp;PROPER(INDEX('Reguler Class Availability'!$J:$J,$Q313)&amp;"")))</f>
        <v/>
      </c>
      <c r="I313" s="77" t="s">
        <v>531</v>
      </c>
      <c r="J313" s="77" t="s">
        <v>260</v>
      </c>
      <c r="K313" s="78"/>
      <c r="L313" s="78"/>
      <c r="M313" s="78"/>
      <c r="N313" s="79"/>
      <c r="O313" s="78"/>
      <c r="Q313" s="30" t="n">
        <f aca="false">IFERROR(MATCH($B$4&amp;"|- Lane "&amp;D313&amp;" - "&amp;B313&amp;"|"&amp;C313,'Reguler Class Availability'!$L:$L,0),"")</f>
        <v>2634</v>
      </c>
      <c r="BD313" s="30" t="s">
        <v>120</v>
      </c>
      <c r="BE313" s="30" t="n">
        <f aca="false">IF(COUNTIFS('Reguler Class Availability'!$L:$L,$B$4&amp;"|- Lane 6 - *|"&amp;BD313)&gt;0,1,0)</f>
        <v>1</v>
      </c>
      <c r="BF313" s="30" t="n">
        <f aca="false">BE313+BF312</f>
        <v>2</v>
      </c>
    </row>
    <row r="314" customFormat="false" ht="15.75" hidden="false" customHeight="true" outlineLevel="0" collapsed="false">
      <c r="A314" s="76" t="n">
        <v>188</v>
      </c>
      <c r="B314" s="77" t="s">
        <v>117</v>
      </c>
      <c r="C314" s="76" t="s">
        <v>141</v>
      </c>
      <c r="D314" s="76" t="n">
        <v>4</v>
      </c>
      <c r="E314" s="77" t="str">
        <f aca="false">IF($Q314="","Tidak ada di data",IF(AND(IFERROR(--(INDEX('Reguler Class Availability'!$F:$F,$Q314)&amp;""),0)=0,IFERROR(--(INDEX('Reguler Class Availability'!$G:$G,$Q314)&amp;""),0)=0),"Tutup",IF(IFERROR(--(INDEX('Reguler Class Availability'!$G:$G,$Q314)&amp;""),0)&gt;IFERROR(--(INDEX('Reguler Class Availability'!$F:$F,$Q314)&amp;""),0),"Lebih",IF(IFERROR(--(INDEX('Reguler Class Availability'!$G:$G,$Q314)&amp;""),0)=IFERROR(--(INDEX('Reguler Class Availability'!$F:$F,$Q314)&amp;""),0),"Penuh",IF(IFERROR(--(INDEX('Reguler Class Availability'!$G:$G,$Q314)&amp;""),0)=0,IF(INDEX('Reguler Class Availability'!$B:$B,$Q314)&amp;""="","Kosong","Belum terisi"),IF(IFERROR(--(INDEX('Reguler Class Availability'!$G:$G,$Q314)&amp;""),0)/IFERROR(--(INDEX('Reguler Class Availability'!$F:$F,$Q314)&amp;""),0)&gt;=0.6,"Tinggi","Sebagian"))))))</f>
        <v>Belum terisi</v>
      </c>
      <c r="F314" s="77" t="str">
        <f aca="false">IF($Q314="","",PROPER(INDEX('Reguler Class Availability'!$B:$B,$Q314)&amp;""))</f>
        <v>Kids</v>
      </c>
      <c r="G314" s="76" t="n">
        <f aca="false">IF($Q314="","",IFERROR(--(INDEX('Reguler Class Availability'!$F:$F,$Q314)&amp;""),0))</f>
        <v>4</v>
      </c>
      <c r="H314" s="77" t="str">
        <f aca="false">IF($Q314="","",PROPER(INDEX('Reguler Class Availability'!$I:$I,$Q314)&amp;"")&amp;IF(INDEX('Reguler Class Availability'!$J:$J,$Q314)&amp;""="",""," + asst "&amp;PROPER(INDEX('Reguler Class Availability'!$J:$J,$Q314)&amp;"")))</f>
        <v/>
      </c>
      <c r="I314" s="77" t="s">
        <v>531</v>
      </c>
      <c r="J314" s="77" t="s">
        <v>260</v>
      </c>
      <c r="K314" s="78"/>
      <c r="L314" s="78"/>
      <c r="M314" s="78"/>
      <c r="N314" s="79"/>
      <c r="O314" s="78"/>
      <c r="Q314" s="30" t="n">
        <f aca="false">IFERROR(MATCH($B$4&amp;"|- Lane "&amp;D314&amp;" - "&amp;B314&amp;"|"&amp;C314,'Reguler Class Availability'!$L:$L,0),"")</f>
        <v>2718</v>
      </c>
      <c r="BD314" s="30" t="s">
        <v>121</v>
      </c>
      <c r="BE314" s="30" t="n">
        <f aca="false">IF(COUNTIFS('Reguler Class Availability'!$L:$L,$B$4&amp;"|- Lane 6 - *|"&amp;BD314)&gt;0,1,0)</f>
        <v>0</v>
      </c>
      <c r="BF314" s="30" t="n">
        <f aca="false">BE314+BF313</f>
        <v>2</v>
      </c>
    </row>
    <row r="315" customFormat="false" ht="27.75" hidden="false" customHeight="true" outlineLevel="0" collapsed="false">
      <c r="A315" s="76" t="n">
        <v>189</v>
      </c>
      <c r="B315" s="77" t="s">
        <v>117</v>
      </c>
      <c r="C315" s="76" t="s">
        <v>143</v>
      </c>
      <c r="D315" s="76" t="n">
        <v>1</v>
      </c>
      <c r="E315" s="77" t="str">
        <f aca="false">IF($Q315="","Tidak ada di data",IF(AND(IFERROR(--(INDEX('Reguler Class Availability'!$F:$F,$Q315)&amp;""),0)=0,IFERROR(--(INDEX('Reguler Class Availability'!$G:$G,$Q315)&amp;""),0)=0),"Tutup",IF(IFERROR(--(INDEX('Reguler Class Availability'!$G:$G,$Q315)&amp;""),0)&gt;IFERROR(--(INDEX('Reguler Class Availability'!$F:$F,$Q315)&amp;""),0),"Lebih",IF(IFERROR(--(INDEX('Reguler Class Availability'!$G:$G,$Q315)&amp;""),0)=IFERROR(--(INDEX('Reguler Class Availability'!$F:$F,$Q315)&amp;""),0),"Penuh",IF(IFERROR(--(INDEX('Reguler Class Availability'!$G:$G,$Q315)&amp;""),0)=0,IF(INDEX('Reguler Class Availability'!$B:$B,$Q315)&amp;""="","Kosong","Belum terisi"),IF(IFERROR(--(INDEX('Reguler Class Availability'!$G:$G,$Q315)&amp;""),0)/IFERROR(--(INDEX('Reguler Class Availability'!$F:$F,$Q315)&amp;""),0)&gt;=0.6,"Tinggi","Sebagian"))))))</f>
        <v>Belum terisi</v>
      </c>
      <c r="F315" s="77" t="str">
        <f aca="false">IF($Q315="","",PROPER(INDEX('Reguler Class Availability'!$B:$B,$Q315)&amp;""))</f>
        <v>Baby</v>
      </c>
      <c r="G315" s="76" t="n">
        <f aca="false">IF($Q315="","",IFERROR(--(INDEX('Reguler Class Availability'!$F:$F,$Q315)&amp;""),0))</f>
        <v>5</v>
      </c>
      <c r="H315" s="77" t="str">
        <f aca="false">IF($Q315="","",PROPER(INDEX('Reguler Class Availability'!$I:$I,$Q315)&amp;"")&amp;IF(INDEX('Reguler Class Availability'!$J:$J,$Q315)&amp;""="",""," + asst "&amp;PROPER(INDEX('Reguler Class Availability'!$J:$J,$Q315)&amp;"")))</f>
        <v/>
      </c>
      <c r="I315" s="77" t="s">
        <v>532</v>
      </c>
      <c r="J315" s="77" t="s">
        <v>186</v>
      </c>
      <c r="K315" s="78"/>
      <c r="L315" s="78"/>
      <c r="M315" s="78"/>
      <c r="N315" s="79"/>
      <c r="O315" s="78"/>
      <c r="Q315" s="30" t="n">
        <f aca="false">IFERROR(MATCH($B$4&amp;"|- Lane "&amp;D315&amp;" - "&amp;B315&amp;"|"&amp;C315,'Reguler Class Availability'!$L:$L,0),"")</f>
        <v>2453</v>
      </c>
      <c r="BD315" s="30" t="s">
        <v>122</v>
      </c>
      <c r="BE315" s="30" t="n">
        <f aca="false">IF(COUNTIFS('Reguler Class Availability'!$L:$L,$B$4&amp;"|- Lane 6 - *|"&amp;BD315)&gt;0,1,0)</f>
        <v>0</v>
      </c>
      <c r="BF315" s="30" t="n">
        <f aca="false">BE315+BF314</f>
        <v>2</v>
      </c>
    </row>
    <row r="316" customFormat="false" ht="27.75" hidden="false" customHeight="true" outlineLevel="0" collapsed="false">
      <c r="A316" s="76" t="n">
        <v>190</v>
      </c>
      <c r="B316" s="77" t="s">
        <v>117</v>
      </c>
      <c r="C316" s="76" t="s">
        <v>143</v>
      </c>
      <c r="D316" s="76" t="n">
        <v>2</v>
      </c>
      <c r="E316" s="77" t="str">
        <f aca="false">IF($Q316="","Tidak ada di data",IF(AND(IFERROR(--(INDEX('Reguler Class Availability'!$F:$F,$Q316)&amp;""),0)=0,IFERROR(--(INDEX('Reguler Class Availability'!$G:$G,$Q316)&amp;""),0)=0),"Tutup",IF(IFERROR(--(INDEX('Reguler Class Availability'!$G:$G,$Q316)&amp;""),0)&gt;IFERROR(--(INDEX('Reguler Class Availability'!$F:$F,$Q316)&amp;""),0),"Lebih",IF(IFERROR(--(INDEX('Reguler Class Availability'!$G:$G,$Q316)&amp;""),0)=IFERROR(--(INDEX('Reguler Class Availability'!$F:$F,$Q316)&amp;""),0),"Penuh",IF(IFERROR(--(INDEX('Reguler Class Availability'!$G:$G,$Q316)&amp;""),0)=0,IF(INDEX('Reguler Class Availability'!$B:$B,$Q316)&amp;""="","Kosong","Belum terisi"),IF(IFERROR(--(INDEX('Reguler Class Availability'!$G:$G,$Q316)&amp;""),0)/IFERROR(--(INDEX('Reguler Class Availability'!$F:$F,$Q316)&amp;""),0)&gt;=0.6,"Tinggi","Sebagian"))))))</f>
        <v>Belum terisi</v>
      </c>
      <c r="F316" s="77" t="str">
        <f aca="false">IF($Q316="","",PROPER(INDEX('Reguler Class Availability'!$B:$B,$Q316)&amp;""))</f>
        <v>Tiny</v>
      </c>
      <c r="G316" s="76" t="n">
        <f aca="false">IF($Q316="","",IFERROR(--(INDEX('Reguler Class Availability'!$F:$F,$Q316)&amp;""),0))</f>
        <v>5</v>
      </c>
      <c r="H316" s="77" t="str">
        <f aca="false">IF($Q316="","",PROPER(INDEX('Reguler Class Availability'!$I:$I,$Q316)&amp;"")&amp;IF(INDEX('Reguler Class Availability'!$J:$J,$Q316)&amp;""="",""," + asst "&amp;PROPER(INDEX('Reguler Class Availability'!$J:$J,$Q316)&amp;"")))</f>
        <v/>
      </c>
      <c r="I316" s="77" t="s">
        <v>532</v>
      </c>
      <c r="J316" s="77" t="s">
        <v>186</v>
      </c>
      <c r="K316" s="78"/>
      <c r="L316" s="78"/>
      <c r="M316" s="78"/>
      <c r="N316" s="79"/>
      <c r="O316" s="78"/>
      <c r="Q316" s="30" t="n">
        <f aca="false">IFERROR(MATCH($B$4&amp;"|- Lane "&amp;D316&amp;" - "&amp;B316&amp;"|"&amp;C316,'Reguler Class Availability'!$L:$L,0),"")</f>
        <v>2551</v>
      </c>
      <c r="BD316" s="30" t="s">
        <v>123</v>
      </c>
      <c r="BE316" s="30" t="n">
        <f aca="false">IF(COUNTIFS('Reguler Class Availability'!$L:$L,$B$4&amp;"|- Lane 6 - *|"&amp;BD316)&gt;0,1,0)</f>
        <v>1</v>
      </c>
      <c r="BF316" s="30" t="n">
        <f aca="false">BE316+BF315</f>
        <v>3</v>
      </c>
    </row>
    <row r="317" customFormat="false" ht="27.75" hidden="false" customHeight="true" outlineLevel="0" collapsed="false">
      <c r="A317" s="76" t="n">
        <v>191</v>
      </c>
      <c r="B317" s="77" t="s">
        <v>117</v>
      </c>
      <c r="C317" s="76" t="s">
        <v>143</v>
      </c>
      <c r="D317" s="76" t="n">
        <v>5</v>
      </c>
      <c r="E317" s="77" t="str">
        <f aca="false">IF($Q317="","Tidak ada di data",IF(AND(IFERROR(--(INDEX('Reguler Class Availability'!$F:$F,$Q317)&amp;""),0)=0,IFERROR(--(INDEX('Reguler Class Availability'!$G:$G,$Q317)&amp;""),0)=0),"Tutup",IF(IFERROR(--(INDEX('Reguler Class Availability'!$G:$G,$Q317)&amp;""),0)&gt;IFERROR(--(INDEX('Reguler Class Availability'!$F:$F,$Q317)&amp;""),0),"Lebih",IF(IFERROR(--(INDEX('Reguler Class Availability'!$G:$G,$Q317)&amp;""),0)=IFERROR(--(INDEX('Reguler Class Availability'!$F:$F,$Q317)&amp;""),0),"Penuh",IF(IFERROR(--(INDEX('Reguler Class Availability'!$G:$G,$Q317)&amp;""),0)=0,IF(INDEX('Reguler Class Availability'!$B:$B,$Q317)&amp;""="","Kosong","Belum terisi"),IF(IFERROR(--(INDEX('Reguler Class Availability'!$G:$G,$Q317)&amp;""),0)/IFERROR(--(INDEX('Reguler Class Availability'!$F:$F,$Q317)&amp;""),0)&gt;=0.6,"Tinggi","Sebagian"))))))</f>
        <v>Kosong</v>
      </c>
      <c r="F317" s="77" t="str">
        <f aca="false">IF($Q317="","",PROPER(INDEX('Reguler Class Availability'!$B:$B,$Q317)&amp;""))</f>
        <v/>
      </c>
      <c r="G317" s="76" t="n">
        <f aca="false">IF($Q317="","",IFERROR(--(INDEX('Reguler Class Availability'!$F:$F,$Q317)&amp;""),0))</f>
        <v>4</v>
      </c>
      <c r="H317" s="77" t="str">
        <f aca="false">IF($Q317="","",PROPER(INDEX('Reguler Class Availability'!$I:$I,$Q317)&amp;"")&amp;IF(INDEX('Reguler Class Availability'!$J:$J,$Q317)&amp;""="",""," + asst "&amp;PROPER(INDEX('Reguler Class Availability'!$J:$J,$Q317)&amp;"")))</f>
        <v/>
      </c>
      <c r="I317" s="77" t="s">
        <v>532</v>
      </c>
      <c r="J317" s="77" t="s">
        <v>186</v>
      </c>
      <c r="K317" s="78"/>
      <c r="L317" s="78"/>
      <c r="M317" s="78"/>
      <c r="N317" s="79"/>
      <c r="O317" s="78"/>
      <c r="Q317" s="30" t="n">
        <f aca="false">IFERROR(MATCH($B$4&amp;"|- Lane "&amp;D317&amp;" - "&amp;B317&amp;"|"&amp;C317,'Reguler Class Availability'!$L:$L,0),"")</f>
        <v>2803</v>
      </c>
      <c r="BD317" s="30" t="s">
        <v>124</v>
      </c>
      <c r="BE317" s="30" t="n">
        <f aca="false">IF(COUNTIFS('Reguler Class Availability'!$L:$L,$B$4&amp;"|- Lane 6 - *|"&amp;BD317)&gt;0,1,0)</f>
        <v>0</v>
      </c>
      <c r="BF317" s="30" t="n">
        <f aca="false">BE317+BF316</f>
        <v>3</v>
      </c>
    </row>
    <row r="318" customFormat="false" ht="27.75" hidden="false" customHeight="true" outlineLevel="0" collapsed="false">
      <c r="A318" s="76" t="n">
        <v>192</v>
      </c>
      <c r="B318" s="77" t="s">
        <v>117</v>
      </c>
      <c r="C318" s="76" t="s">
        <v>144</v>
      </c>
      <c r="D318" s="76" t="n">
        <v>3</v>
      </c>
      <c r="E318" s="77" t="str">
        <f aca="false">IF($Q318="","Tidak ada di data",IF(AND(IFERROR(--(INDEX('Reguler Class Availability'!$F:$F,$Q318)&amp;""),0)=0,IFERROR(--(INDEX('Reguler Class Availability'!$G:$G,$Q318)&amp;""),0)=0),"Tutup",IF(IFERROR(--(INDEX('Reguler Class Availability'!$G:$G,$Q318)&amp;""),0)&gt;IFERROR(--(INDEX('Reguler Class Availability'!$F:$F,$Q318)&amp;""),0),"Lebih",IF(IFERROR(--(INDEX('Reguler Class Availability'!$G:$G,$Q318)&amp;""),0)=IFERROR(--(INDEX('Reguler Class Availability'!$F:$F,$Q318)&amp;""),0),"Penuh",IF(IFERROR(--(INDEX('Reguler Class Availability'!$G:$G,$Q318)&amp;""),0)=0,IF(INDEX('Reguler Class Availability'!$B:$B,$Q318)&amp;""="","Kosong","Belum terisi"),IF(IFERROR(--(INDEX('Reguler Class Availability'!$G:$G,$Q318)&amp;""),0)/IFERROR(--(INDEX('Reguler Class Availability'!$F:$F,$Q318)&amp;""),0)&gt;=0.6,"Tinggi","Sebagian"))))))</f>
        <v>Belum terisi</v>
      </c>
      <c r="F318" s="77" t="str">
        <f aca="false">IF($Q318="","",PROPER(INDEX('Reguler Class Availability'!$B:$B,$Q318)&amp;""))</f>
        <v>Little</v>
      </c>
      <c r="G318" s="76" t="n">
        <f aca="false">IF($Q318="","",IFERROR(--(INDEX('Reguler Class Availability'!$F:$F,$Q318)&amp;""),0))</f>
        <v>4</v>
      </c>
      <c r="H318" s="77" t="str">
        <f aca="false">IF($Q318="","",PROPER(INDEX('Reguler Class Availability'!$I:$I,$Q318)&amp;"")&amp;IF(INDEX('Reguler Class Availability'!$J:$J,$Q318)&amp;""="",""," + asst "&amp;PROPER(INDEX('Reguler Class Availability'!$J:$J,$Q318)&amp;"")))</f>
        <v/>
      </c>
      <c r="I318" s="77" t="s">
        <v>532</v>
      </c>
      <c r="J318" s="77" t="s">
        <v>186</v>
      </c>
      <c r="K318" s="78"/>
      <c r="L318" s="78"/>
      <c r="M318" s="78"/>
      <c r="N318" s="79"/>
      <c r="O318" s="78"/>
      <c r="Q318" s="30" t="n">
        <f aca="false">IFERROR(MATCH($B$4&amp;"|- Lane "&amp;D318&amp;" - "&amp;B318&amp;"|"&amp;C318,'Reguler Class Availability'!$L:$L,0),"")</f>
        <v>2635</v>
      </c>
      <c r="BD318" s="30" t="s">
        <v>125</v>
      </c>
      <c r="BE318" s="30" t="n">
        <f aca="false">IF(COUNTIFS('Reguler Class Availability'!$L:$L,$B$4&amp;"|- Lane 6 - *|"&amp;BD318)&gt;0,1,0)</f>
        <v>0</v>
      </c>
      <c r="BF318" s="30" t="n">
        <f aca="false">BE318+BF317</f>
        <v>3</v>
      </c>
    </row>
    <row r="319" customFormat="false" ht="27.75" hidden="false" customHeight="true" outlineLevel="0" collapsed="false">
      <c r="A319" s="76" t="n">
        <v>193</v>
      </c>
      <c r="B319" s="77" t="s">
        <v>117</v>
      </c>
      <c r="C319" s="76" t="s">
        <v>146</v>
      </c>
      <c r="D319" s="76" t="n">
        <v>1</v>
      </c>
      <c r="E319" s="77" t="str">
        <f aca="false">IF($Q319="","Tidak ada di data",IF(AND(IFERROR(--(INDEX('Reguler Class Availability'!$F:$F,$Q319)&amp;""),0)=0,IFERROR(--(INDEX('Reguler Class Availability'!$G:$G,$Q319)&amp;""),0)=0),"Tutup",IF(IFERROR(--(INDEX('Reguler Class Availability'!$G:$G,$Q319)&amp;""),0)&gt;IFERROR(--(INDEX('Reguler Class Availability'!$F:$F,$Q319)&amp;""),0),"Lebih",IF(IFERROR(--(INDEX('Reguler Class Availability'!$G:$G,$Q319)&amp;""),0)=IFERROR(--(INDEX('Reguler Class Availability'!$F:$F,$Q319)&amp;""),0),"Penuh",IF(IFERROR(--(INDEX('Reguler Class Availability'!$G:$G,$Q319)&amp;""),0)=0,IF(INDEX('Reguler Class Availability'!$B:$B,$Q319)&amp;""="","Kosong","Belum terisi"),IF(IFERROR(--(INDEX('Reguler Class Availability'!$G:$G,$Q319)&amp;""),0)/IFERROR(--(INDEX('Reguler Class Availability'!$F:$F,$Q319)&amp;""),0)&gt;=0.6,"Tinggi","Sebagian"))))))</f>
        <v>Belum terisi</v>
      </c>
      <c r="F319" s="77" t="str">
        <f aca="false">IF($Q319="","",PROPER(INDEX('Reguler Class Availability'!$B:$B,$Q319)&amp;""))</f>
        <v>Baby</v>
      </c>
      <c r="G319" s="76" t="n">
        <f aca="false">IF($Q319="","",IFERROR(--(INDEX('Reguler Class Availability'!$F:$F,$Q319)&amp;""),0))</f>
        <v>5</v>
      </c>
      <c r="H319" s="77" t="str">
        <f aca="false">IF($Q319="","",PROPER(INDEX('Reguler Class Availability'!$I:$I,$Q319)&amp;"")&amp;IF(INDEX('Reguler Class Availability'!$J:$J,$Q319)&amp;""="",""," + asst "&amp;PROPER(INDEX('Reguler Class Availability'!$J:$J,$Q319)&amp;"")))</f>
        <v/>
      </c>
      <c r="I319" s="77" t="s">
        <v>532</v>
      </c>
      <c r="J319" s="77" t="s">
        <v>186</v>
      </c>
      <c r="K319" s="78"/>
      <c r="L319" s="78"/>
      <c r="M319" s="78"/>
      <c r="N319" s="79"/>
      <c r="O319" s="78"/>
      <c r="Q319" s="30" t="n">
        <f aca="false">IFERROR(MATCH($B$4&amp;"|- Lane "&amp;D319&amp;" - "&amp;B319&amp;"|"&amp;C319,'Reguler Class Availability'!$L:$L,0),"")</f>
        <v>2454</v>
      </c>
      <c r="BD319" s="30" t="s">
        <v>126</v>
      </c>
      <c r="BE319" s="30" t="n">
        <f aca="false">IF(COUNTIFS('Reguler Class Availability'!$L:$L,$B$4&amp;"|- Lane 6 - *|"&amp;BD319)&gt;0,1,0)</f>
        <v>1</v>
      </c>
      <c r="BF319" s="30" t="n">
        <f aca="false">BE319+BF318</f>
        <v>4</v>
      </c>
    </row>
    <row r="320" customFormat="false" ht="27.75" hidden="false" customHeight="true" outlineLevel="0" collapsed="false">
      <c r="A320" s="76" t="n">
        <v>194</v>
      </c>
      <c r="B320" s="77" t="s">
        <v>117</v>
      </c>
      <c r="C320" s="76" t="s">
        <v>146</v>
      </c>
      <c r="D320" s="76" t="n">
        <v>2</v>
      </c>
      <c r="E320" s="77" t="str">
        <f aca="false">IF($Q320="","Tidak ada di data",IF(AND(IFERROR(--(INDEX('Reguler Class Availability'!$F:$F,$Q320)&amp;""),0)=0,IFERROR(--(INDEX('Reguler Class Availability'!$G:$G,$Q320)&amp;""),0)=0),"Tutup",IF(IFERROR(--(INDEX('Reguler Class Availability'!$G:$G,$Q320)&amp;""),0)&gt;IFERROR(--(INDEX('Reguler Class Availability'!$F:$F,$Q320)&amp;""),0),"Lebih",IF(IFERROR(--(INDEX('Reguler Class Availability'!$G:$G,$Q320)&amp;""),0)=IFERROR(--(INDEX('Reguler Class Availability'!$F:$F,$Q320)&amp;""),0),"Penuh",IF(IFERROR(--(INDEX('Reguler Class Availability'!$G:$G,$Q320)&amp;""),0)=0,IF(INDEX('Reguler Class Availability'!$B:$B,$Q320)&amp;""="","Kosong","Belum terisi"),IF(IFERROR(--(INDEX('Reguler Class Availability'!$G:$G,$Q320)&amp;""),0)/IFERROR(--(INDEX('Reguler Class Availability'!$F:$F,$Q320)&amp;""),0)&gt;=0.6,"Tinggi","Sebagian"))))))</f>
        <v>Belum terisi</v>
      </c>
      <c r="F320" s="77" t="str">
        <f aca="false">IF($Q320="","",PROPER(INDEX('Reguler Class Availability'!$B:$B,$Q320)&amp;""))</f>
        <v>Tiny</v>
      </c>
      <c r="G320" s="76" t="n">
        <f aca="false">IF($Q320="","",IFERROR(--(INDEX('Reguler Class Availability'!$F:$F,$Q320)&amp;""),0))</f>
        <v>5</v>
      </c>
      <c r="H320" s="77" t="str">
        <f aca="false">IF($Q320="","",PROPER(INDEX('Reguler Class Availability'!$I:$I,$Q320)&amp;"")&amp;IF(INDEX('Reguler Class Availability'!$J:$J,$Q320)&amp;""="",""," + asst "&amp;PROPER(INDEX('Reguler Class Availability'!$J:$J,$Q320)&amp;"")))</f>
        <v/>
      </c>
      <c r="I320" s="77" t="s">
        <v>532</v>
      </c>
      <c r="J320" s="77" t="s">
        <v>186</v>
      </c>
      <c r="K320" s="78"/>
      <c r="L320" s="78"/>
      <c r="M320" s="78"/>
      <c r="N320" s="79"/>
      <c r="O320" s="78"/>
      <c r="Q320" s="30" t="n">
        <f aca="false">IFERROR(MATCH($B$4&amp;"|- Lane "&amp;D320&amp;" - "&amp;B320&amp;"|"&amp;C320,'Reguler Class Availability'!$L:$L,0),"")</f>
        <v>2552</v>
      </c>
      <c r="BD320" s="30" t="s">
        <v>127</v>
      </c>
      <c r="BE320" s="30" t="n">
        <f aca="false">IF(COUNTIFS('Reguler Class Availability'!$L:$L,$B$4&amp;"|- Lane 6 - *|"&amp;BD320)&gt;0,1,0)</f>
        <v>0</v>
      </c>
      <c r="BF320" s="30" t="n">
        <f aca="false">BE320+BF319</f>
        <v>4</v>
      </c>
    </row>
    <row r="321" customFormat="false" ht="27.75" hidden="false" customHeight="true" outlineLevel="0" collapsed="false">
      <c r="A321" s="76" t="n">
        <v>195</v>
      </c>
      <c r="B321" s="77" t="s">
        <v>117</v>
      </c>
      <c r="C321" s="76" t="s">
        <v>146</v>
      </c>
      <c r="D321" s="76" t="n">
        <v>5</v>
      </c>
      <c r="E321" s="77" t="str">
        <f aca="false">IF($Q321="","Tidak ada di data",IF(AND(IFERROR(--(INDEX('Reguler Class Availability'!$F:$F,$Q321)&amp;""),0)=0,IFERROR(--(INDEX('Reguler Class Availability'!$G:$G,$Q321)&amp;""),0)=0),"Tutup",IF(IFERROR(--(INDEX('Reguler Class Availability'!$G:$G,$Q321)&amp;""),0)&gt;IFERROR(--(INDEX('Reguler Class Availability'!$F:$F,$Q321)&amp;""),0),"Lebih",IF(IFERROR(--(INDEX('Reguler Class Availability'!$G:$G,$Q321)&amp;""),0)=IFERROR(--(INDEX('Reguler Class Availability'!$F:$F,$Q321)&amp;""),0),"Penuh",IF(IFERROR(--(INDEX('Reguler Class Availability'!$G:$G,$Q321)&amp;""),0)=0,IF(INDEX('Reguler Class Availability'!$B:$B,$Q321)&amp;""="","Kosong","Belum terisi"),IF(IFERROR(--(INDEX('Reguler Class Availability'!$G:$G,$Q321)&amp;""),0)/IFERROR(--(INDEX('Reguler Class Availability'!$F:$F,$Q321)&amp;""),0)&gt;=0.6,"Tinggi","Sebagian"))))))</f>
        <v>Kosong</v>
      </c>
      <c r="F321" s="77" t="str">
        <f aca="false">IF($Q321="","",PROPER(INDEX('Reguler Class Availability'!$B:$B,$Q321)&amp;""))</f>
        <v/>
      </c>
      <c r="G321" s="76" t="n">
        <f aca="false">IF($Q321="","",IFERROR(--(INDEX('Reguler Class Availability'!$F:$F,$Q321)&amp;""),0))</f>
        <v>4</v>
      </c>
      <c r="H321" s="77" t="str">
        <f aca="false">IF($Q321="","",PROPER(INDEX('Reguler Class Availability'!$I:$I,$Q321)&amp;"")&amp;IF(INDEX('Reguler Class Availability'!$J:$J,$Q321)&amp;""="",""," + asst "&amp;PROPER(INDEX('Reguler Class Availability'!$J:$J,$Q321)&amp;"")))</f>
        <v/>
      </c>
      <c r="I321" s="77" t="s">
        <v>532</v>
      </c>
      <c r="J321" s="77" t="s">
        <v>186</v>
      </c>
      <c r="K321" s="78"/>
      <c r="L321" s="78"/>
      <c r="M321" s="78"/>
      <c r="N321" s="79"/>
      <c r="O321" s="78"/>
      <c r="Q321" s="30" t="n">
        <f aca="false">IFERROR(MATCH($B$4&amp;"|- Lane "&amp;D321&amp;" - "&amp;B321&amp;"|"&amp;C321,'Reguler Class Availability'!$L:$L,0),"")</f>
        <v>2804</v>
      </c>
      <c r="BD321" s="30" t="s">
        <v>128</v>
      </c>
      <c r="BE321" s="30" t="n">
        <f aca="false">IF(COUNTIFS('Reguler Class Availability'!$L:$L,$B$4&amp;"|- Lane 6 - *|"&amp;BD321)&gt;0,1,0)</f>
        <v>0</v>
      </c>
      <c r="BF321" s="30" t="n">
        <f aca="false">BE321+BF320</f>
        <v>4</v>
      </c>
    </row>
    <row r="322" customFormat="false" ht="27.75" hidden="false" customHeight="true" outlineLevel="0" collapsed="false">
      <c r="A322" s="76" t="n">
        <v>196</v>
      </c>
      <c r="B322" s="77" t="s">
        <v>117</v>
      </c>
      <c r="C322" s="76" t="s">
        <v>147</v>
      </c>
      <c r="D322" s="76" t="n">
        <v>3</v>
      </c>
      <c r="E322" s="77" t="str">
        <f aca="false">IF($Q322="","Tidak ada di data",IF(AND(IFERROR(--(INDEX('Reguler Class Availability'!$F:$F,$Q322)&amp;""),0)=0,IFERROR(--(INDEX('Reguler Class Availability'!$G:$G,$Q322)&amp;""),0)=0),"Tutup",IF(IFERROR(--(INDEX('Reguler Class Availability'!$G:$G,$Q322)&amp;""),0)&gt;IFERROR(--(INDEX('Reguler Class Availability'!$F:$F,$Q322)&amp;""),0),"Lebih",IF(IFERROR(--(INDEX('Reguler Class Availability'!$G:$G,$Q322)&amp;""),0)=IFERROR(--(INDEX('Reguler Class Availability'!$F:$F,$Q322)&amp;""),0),"Penuh",IF(IFERROR(--(INDEX('Reguler Class Availability'!$G:$G,$Q322)&amp;""),0)=0,IF(INDEX('Reguler Class Availability'!$B:$B,$Q322)&amp;""="","Kosong","Belum terisi"),IF(IFERROR(--(INDEX('Reguler Class Availability'!$G:$G,$Q322)&amp;""),0)/IFERROR(--(INDEX('Reguler Class Availability'!$F:$F,$Q322)&amp;""),0)&gt;=0.6,"Tinggi","Sebagian"))))))</f>
        <v>Belum terisi</v>
      </c>
      <c r="F322" s="77" t="str">
        <f aca="false">IF($Q322="","",PROPER(INDEX('Reguler Class Availability'!$B:$B,$Q322)&amp;""))</f>
        <v>Little</v>
      </c>
      <c r="G322" s="76" t="n">
        <f aca="false">IF($Q322="","",IFERROR(--(INDEX('Reguler Class Availability'!$F:$F,$Q322)&amp;""),0))</f>
        <v>4</v>
      </c>
      <c r="H322" s="77" t="str">
        <f aca="false">IF($Q322="","",PROPER(INDEX('Reguler Class Availability'!$I:$I,$Q322)&amp;"")&amp;IF(INDEX('Reguler Class Availability'!$J:$J,$Q322)&amp;""="",""," + asst "&amp;PROPER(INDEX('Reguler Class Availability'!$J:$J,$Q322)&amp;"")))</f>
        <v/>
      </c>
      <c r="I322" s="77" t="s">
        <v>530</v>
      </c>
      <c r="J322" s="77" t="s">
        <v>186</v>
      </c>
      <c r="K322" s="78"/>
      <c r="L322" s="78"/>
      <c r="M322" s="78"/>
      <c r="N322" s="79"/>
      <c r="O322" s="78"/>
      <c r="Q322" s="30" t="n">
        <f aca="false">IFERROR(MATCH($B$4&amp;"|- Lane "&amp;D322&amp;" - "&amp;B322&amp;"|"&amp;C322,'Reguler Class Availability'!$L:$L,0),"")</f>
        <v>2636</v>
      </c>
      <c r="BD322" s="30" t="s">
        <v>129</v>
      </c>
      <c r="BE322" s="30" t="n">
        <f aca="false">IF(COUNTIFS('Reguler Class Availability'!$L:$L,$B$4&amp;"|- Lane 6 - *|"&amp;BD322)&gt;0,1,0)</f>
        <v>1</v>
      </c>
      <c r="BF322" s="30" t="n">
        <f aca="false">BE322+BF321</f>
        <v>5</v>
      </c>
    </row>
    <row r="323" customFormat="false" ht="27.75" hidden="false" customHeight="true" outlineLevel="0" collapsed="false">
      <c r="A323" s="76" t="n">
        <v>197</v>
      </c>
      <c r="B323" s="77" t="s">
        <v>117</v>
      </c>
      <c r="C323" s="76" t="s">
        <v>147</v>
      </c>
      <c r="D323" s="76" t="n">
        <v>4</v>
      </c>
      <c r="E323" s="77" t="str">
        <f aca="false">IF($Q323="","Tidak ada di data",IF(AND(IFERROR(--(INDEX('Reguler Class Availability'!$F:$F,$Q323)&amp;""),0)=0,IFERROR(--(INDEX('Reguler Class Availability'!$G:$G,$Q323)&amp;""),0)=0),"Tutup",IF(IFERROR(--(INDEX('Reguler Class Availability'!$G:$G,$Q323)&amp;""),0)&gt;IFERROR(--(INDEX('Reguler Class Availability'!$F:$F,$Q323)&amp;""),0),"Lebih",IF(IFERROR(--(INDEX('Reguler Class Availability'!$G:$G,$Q323)&amp;""),0)=IFERROR(--(INDEX('Reguler Class Availability'!$F:$F,$Q323)&amp;""),0),"Penuh",IF(IFERROR(--(INDEX('Reguler Class Availability'!$G:$G,$Q323)&amp;""),0)=0,IF(INDEX('Reguler Class Availability'!$B:$B,$Q323)&amp;""="","Kosong","Belum terisi"),IF(IFERROR(--(INDEX('Reguler Class Availability'!$G:$G,$Q323)&amp;""),0)/IFERROR(--(INDEX('Reguler Class Availability'!$F:$F,$Q323)&amp;""),0)&gt;=0.6,"Tinggi","Sebagian"))))))</f>
        <v>Belum terisi</v>
      </c>
      <c r="F323" s="77" t="str">
        <f aca="false">IF($Q323="","",PROPER(INDEX('Reguler Class Availability'!$B:$B,$Q323)&amp;""))</f>
        <v>Kids</v>
      </c>
      <c r="G323" s="76" t="n">
        <f aca="false">IF($Q323="","",IFERROR(--(INDEX('Reguler Class Availability'!$F:$F,$Q323)&amp;""),0))</f>
        <v>4</v>
      </c>
      <c r="H323" s="77" t="str">
        <f aca="false">IF($Q323="","",PROPER(INDEX('Reguler Class Availability'!$I:$I,$Q323)&amp;"")&amp;IF(INDEX('Reguler Class Availability'!$J:$J,$Q323)&amp;""="",""," + asst "&amp;PROPER(INDEX('Reguler Class Availability'!$J:$J,$Q323)&amp;"")))</f>
        <v/>
      </c>
      <c r="I323" s="77" t="s">
        <v>530</v>
      </c>
      <c r="J323" s="77" t="s">
        <v>186</v>
      </c>
      <c r="K323" s="78"/>
      <c r="L323" s="78"/>
      <c r="M323" s="78"/>
      <c r="N323" s="79"/>
      <c r="O323" s="78"/>
      <c r="Q323" s="30" t="n">
        <f aca="false">IFERROR(MATCH($B$4&amp;"|- Lane "&amp;D323&amp;" - "&amp;B323&amp;"|"&amp;C323,'Reguler Class Availability'!$L:$L,0),"")</f>
        <v>2720</v>
      </c>
      <c r="BD323" s="30" t="s">
        <v>130</v>
      </c>
      <c r="BE323" s="30" t="n">
        <f aca="false">IF(COUNTIFS('Reguler Class Availability'!$L:$L,$B$4&amp;"|- Lane 6 - *|"&amp;BD323)&gt;0,1,0)</f>
        <v>0</v>
      </c>
      <c r="BF323" s="30" t="n">
        <f aca="false">BE323+BF322</f>
        <v>5</v>
      </c>
    </row>
    <row r="324" customFormat="false" ht="15.75" hidden="false" customHeight="true" outlineLevel="0" collapsed="false">
      <c r="A324" s="76" t="n">
        <v>198</v>
      </c>
      <c r="B324" s="77" t="s">
        <v>117</v>
      </c>
      <c r="C324" s="76" t="s">
        <v>149</v>
      </c>
      <c r="D324" s="76" t="n">
        <v>1</v>
      </c>
      <c r="E324" s="77" t="str">
        <f aca="false">IF($Q324="","Tidak ada di data",IF(AND(IFERROR(--(INDEX('Reguler Class Availability'!$F:$F,$Q324)&amp;""),0)=0,IFERROR(--(INDEX('Reguler Class Availability'!$G:$G,$Q324)&amp;""),0)=0),"Tutup",IF(IFERROR(--(INDEX('Reguler Class Availability'!$G:$G,$Q324)&amp;""),0)&gt;IFERROR(--(INDEX('Reguler Class Availability'!$F:$F,$Q324)&amp;""),0),"Lebih",IF(IFERROR(--(INDEX('Reguler Class Availability'!$G:$G,$Q324)&amp;""),0)=IFERROR(--(INDEX('Reguler Class Availability'!$F:$F,$Q324)&amp;""),0),"Penuh",IF(IFERROR(--(INDEX('Reguler Class Availability'!$G:$G,$Q324)&amp;""),0)=0,IF(INDEX('Reguler Class Availability'!$B:$B,$Q324)&amp;""="","Kosong","Belum terisi"),IF(IFERROR(--(INDEX('Reguler Class Availability'!$G:$G,$Q324)&amp;""),0)/IFERROR(--(INDEX('Reguler Class Availability'!$F:$F,$Q324)&amp;""),0)&gt;=0.6,"Tinggi","Sebagian"))))))</f>
        <v>Belum terisi</v>
      </c>
      <c r="F324" s="77" t="str">
        <f aca="false">IF($Q324="","",PROPER(INDEX('Reguler Class Availability'!$B:$B,$Q324)&amp;""))</f>
        <v>Baby</v>
      </c>
      <c r="G324" s="76" t="n">
        <f aca="false">IF($Q324="","",IFERROR(--(INDEX('Reguler Class Availability'!$F:$F,$Q324)&amp;""),0))</f>
        <v>5</v>
      </c>
      <c r="H324" s="77" t="str">
        <f aca="false">IF($Q324="","",PROPER(INDEX('Reguler Class Availability'!$I:$I,$Q324)&amp;"")&amp;IF(INDEX('Reguler Class Availability'!$J:$J,$Q324)&amp;""="",""," + asst "&amp;PROPER(INDEX('Reguler Class Availability'!$J:$J,$Q324)&amp;"")))</f>
        <v/>
      </c>
      <c r="I324" s="77" t="s">
        <v>528</v>
      </c>
      <c r="J324" s="77" t="s">
        <v>529</v>
      </c>
      <c r="K324" s="78"/>
      <c r="L324" s="78"/>
      <c r="M324" s="78"/>
      <c r="N324" s="79"/>
      <c r="O324" s="78"/>
      <c r="Q324" s="30" t="n">
        <f aca="false">IFERROR(MATCH($B$4&amp;"|- Lane "&amp;D324&amp;" - "&amp;B324&amp;"|"&amp;C324,'Reguler Class Availability'!$L:$L,0),"")</f>
        <v>2455</v>
      </c>
      <c r="BD324" s="30" t="s">
        <v>131</v>
      </c>
      <c r="BE324" s="30" t="n">
        <f aca="false">IF(COUNTIFS('Reguler Class Availability'!$L:$L,$B$4&amp;"|- Lane 6 - *|"&amp;BD324)&gt;0,1,0)</f>
        <v>0</v>
      </c>
      <c r="BF324" s="30" t="n">
        <f aca="false">BE324+BF323</f>
        <v>5</v>
      </c>
    </row>
    <row r="325" customFormat="false" ht="15.75" hidden="false" customHeight="true" outlineLevel="0" collapsed="false">
      <c r="A325" s="76" t="n">
        <v>199</v>
      </c>
      <c r="B325" s="77" t="s">
        <v>117</v>
      </c>
      <c r="C325" s="76" t="s">
        <v>149</v>
      </c>
      <c r="D325" s="76" t="n">
        <v>2</v>
      </c>
      <c r="E325" s="77" t="str">
        <f aca="false">IF($Q325="","Tidak ada di data",IF(AND(IFERROR(--(INDEX('Reguler Class Availability'!$F:$F,$Q325)&amp;""),0)=0,IFERROR(--(INDEX('Reguler Class Availability'!$G:$G,$Q325)&amp;""),0)=0),"Tutup",IF(IFERROR(--(INDEX('Reguler Class Availability'!$G:$G,$Q325)&amp;""),0)&gt;IFERROR(--(INDEX('Reguler Class Availability'!$F:$F,$Q325)&amp;""),0),"Lebih",IF(IFERROR(--(INDEX('Reguler Class Availability'!$G:$G,$Q325)&amp;""),0)=IFERROR(--(INDEX('Reguler Class Availability'!$F:$F,$Q325)&amp;""),0),"Penuh",IF(IFERROR(--(INDEX('Reguler Class Availability'!$G:$G,$Q325)&amp;""),0)=0,IF(INDEX('Reguler Class Availability'!$B:$B,$Q325)&amp;""="","Kosong","Belum terisi"),IF(IFERROR(--(INDEX('Reguler Class Availability'!$G:$G,$Q325)&amp;""),0)/IFERROR(--(INDEX('Reguler Class Availability'!$F:$F,$Q325)&amp;""),0)&gt;=0.6,"Tinggi","Sebagian"))))))</f>
        <v>Belum terisi</v>
      </c>
      <c r="F325" s="77" t="str">
        <f aca="false">IF($Q325="","",PROPER(INDEX('Reguler Class Availability'!$B:$B,$Q325)&amp;""))</f>
        <v>Tiny</v>
      </c>
      <c r="G325" s="76" t="n">
        <f aca="false">IF($Q325="","",IFERROR(--(INDEX('Reguler Class Availability'!$F:$F,$Q325)&amp;""),0))</f>
        <v>5</v>
      </c>
      <c r="H325" s="77" t="str">
        <f aca="false">IF($Q325="","",PROPER(INDEX('Reguler Class Availability'!$I:$I,$Q325)&amp;"")&amp;IF(INDEX('Reguler Class Availability'!$J:$J,$Q325)&amp;""="",""," + asst "&amp;PROPER(INDEX('Reguler Class Availability'!$J:$J,$Q325)&amp;"")))</f>
        <v/>
      </c>
      <c r="I325" s="77" t="s">
        <v>528</v>
      </c>
      <c r="J325" s="77" t="s">
        <v>529</v>
      </c>
      <c r="K325" s="78"/>
      <c r="L325" s="78"/>
      <c r="M325" s="78"/>
      <c r="N325" s="79"/>
      <c r="O325" s="78"/>
      <c r="Q325" s="30" t="n">
        <f aca="false">IFERROR(MATCH($B$4&amp;"|- Lane "&amp;D325&amp;" - "&amp;B325&amp;"|"&amp;C325,'Reguler Class Availability'!$L:$L,0),"")</f>
        <v>2553</v>
      </c>
      <c r="BD325" s="30" t="s">
        <v>132</v>
      </c>
      <c r="BE325" s="30" t="n">
        <f aca="false">IF(COUNTIFS('Reguler Class Availability'!$L:$L,$B$4&amp;"|- Lane 6 - *|"&amp;BD325)&gt;0,1,0)</f>
        <v>1</v>
      </c>
      <c r="BF325" s="30" t="n">
        <f aca="false">BE325+BF324</f>
        <v>6</v>
      </c>
    </row>
    <row r="326" customFormat="false" ht="15.75" hidden="false" customHeight="true" outlineLevel="0" collapsed="false">
      <c r="A326" s="76" t="n">
        <v>200</v>
      </c>
      <c r="B326" s="77" t="s">
        <v>117</v>
      </c>
      <c r="C326" s="76" t="s">
        <v>149</v>
      </c>
      <c r="D326" s="76" t="n">
        <v>5</v>
      </c>
      <c r="E326" s="77" t="str">
        <f aca="false">IF($Q326="","Tidak ada di data",IF(AND(IFERROR(--(INDEX('Reguler Class Availability'!$F:$F,$Q326)&amp;""),0)=0,IFERROR(--(INDEX('Reguler Class Availability'!$G:$G,$Q326)&amp;""),0)=0),"Tutup",IF(IFERROR(--(INDEX('Reguler Class Availability'!$G:$G,$Q326)&amp;""),0)&gt;IFERROR(--(INDEX('Reguler Class Availability'!$F:$F,$Q326)&amp;""),0),"Lebih",IF(IFERROR(--(INDEX('Reguler Class Availability'!$G:$G,$Q326)&amp;""),0)=IFERROR(--(INDEX('Reguler Class Availability'!$F:$F,$Q326)&amp;""),0),"Penuh",IF(IFERROR(--(INDEX('Reguler Class Availability'!$G:$G,$Q326)&amp;""),0)=0,IF(INDEX('Reguler Class Availability'!$B:$B,$Q326)&amp;""="","Kosong","Belum terisi"),IF(IFERROR(--(INDEX('Reguler Class Availability'!$G:$G,$Q326)&amp;""),0)/IFERROR(--(INDEX('Reguler Class Availability'!$F:$F,$Q326)&amp;""),0)&gt;=0.6,"Tinggi","Sebagian"))))))</f>
        <v>Kosong</v>
      </c>
      <c r="F326" s="77" t="str">
        <f aca="false">IF($Q326="","",PROPER(INDEX('Reguler Class Availability'!$B:$B,$Q326)&amp;""))</f>
        <v/>
      </c>
      <c r="G326" s="76" t="n">
        <f aca="false">IF($Q326="","",IFERROR(--(INDEX('Reguler Class Availability'!$F:$F,$Q326)&amp;""),0))</f>
        <v>4</v>
      </c>
      <c r="H326" s="77" t="str">
        <f aca="false">IF($Q326="","",PROPER(INDEX('Reguler Class Availability'!$I:$I,$Q326)&amp;"")&amp;IF(INDEX('Reguler Class Availability'!$J:$J,$Q326)&amp;""="",""," + asst "&amp;PROPER(INDEX('Reguler Class Availability'!$J:$J,$Q326)&amp;"")))</f>
        <v/>
      </c>
      <c r="I326" s="77" t="s">
        <v>528</v>
      </c>
      <c r="J326" s="77" t="s">
        <v>529</v>
      </c>
      <c r="K326" s="78"/>
      <c r="L326" s="78"/>
      <c r="M326" s="78"/>
      <c r="N326" s="79"/>
      <c r="O326" s="78"/>
      <c r="Q326" s="30" t="n">
        <f aca="false">IFERROR(MATCH($B$4&amp;"|- Lane "&amp;D326&amp;" - "&amp;B326&amp;"|"&amp;C326,'Reguler Class Availability'!$L:$L,0),"")</f>
        <v>2805</v>
      </c>
      <c r="BD326" s="30" t="s">
        <v>133</v>
      </c>
      <c r="BE326" s="30" t="n">
        <f aca="false">IF(COUNTIFS('Reguler Class Availability'!$L:$L,$B$4&amp;"|- Lane 6 - *|"&amp;BD326)&gt;0,1,0)</f>
        <v>0</v>
      </c>
      <c r="BF326" s="30" t="n">
        <f aca="false">BE326+BF325</f>
        <v>6</v>
      </c>
    </row>
    <row r="327" customFormat="false" ht="15.75" hidden="false" customHeight="true" outlineLevel="0" collapsed="false">
      <c r="A327" s="76" t="n">
        <v>201</v>
      </c>
      <c r="B327" s="77" t="s">
        <v>117</v>
      </c>
      <c r="C327" s="76" t="s">
        <v>152</v>
      </c>
      <c r="D327" s="76" t="n">
        <v>1</v>
      </c>
      <c r="E327" s="77" t="str">
        <f aca="false">IF($Q327="","Tidak ada di data",IF(AND(IFERROR(--(INDEX('Reguler Class Availability'!$F:$F,$Q327)&amp;""),0)=0,IFERROR(--(INDEX('Reguler Class Availability'!$G:$G,$Q327)&amp;""),0)=0),"Tutup",IF(IFERROR(--(INDEX('Reguler Class Availability'!$G:$G,$Q327)&amp;""),0)&gt;IFERROR(--(INDEX('Reguler Class Availability'!$F:$F,$Q327)&amp;""),0),"Lebih",IF(IFERROR(--(INDEX('Reguler Class Availability'!$G:$G,$Q327)&amp;""),0)=IFERROR(--(INDEX('Reguler Class Availability'!$F:$F,$Q327)&amp;""),0),"Penuh",IF(IFERROR(--(INDEX('Reguler Class Availability'!$G:$G,$Q327)&amp;""),0)=0,IF(INDEX('Reguler Class Availability'!$B:$B,$Q327)&amp;""="","Kosong","Belum terisi"),IF(IFERROR(--(INDEX('Reguler Class Availability'!$G:$G,$Q327)&amp;""),0)/IFERROR(--(INDEX('Reguler Class Availability'!$F:$F,$Q327)&amp;""),0)&gt;=0.6,"Tinggi","Sebagian"))))))</f>
        <v>Belum terisi</v>
      </c>
      <c r="F327" s="77" t="str">
        <f aca="false">IF($Q327="","",PROPER(INDEX('Reguler Class Availability'!$B:$B,$Q327)&amp;""))</f>
        <v>Baby</v>
      </c>
      <c r="G327" s="76" t="n">
        <f aca="false">IF($Q327="","",IFERROR(--(INDEX('Reguler Class Availability'!$F:$F,$Q327)&amp;""),0))</f>
        <v>5</v>
      </c>
      <c r="H327" s="77" t="str">
        <f aca="false">IF($Q327="","",PROPER(INDEX('Reguler Class Availability'!$I:$I,$Q327)&amp;"")&amp;IF(INDEX('Reguler Class Availability'!$J:$J,$Q327)&amp;""="",""," + asst "&amp;PROPER(INDEX('Reguler Class Availability'!$J:$J,$Q327)&amp;"")))</f>
        <v/>
      </c>
      <c r="I327" s="77" t="s">
        <v>528</v>
      </c>
      <c r="J327" s="77" t="s">
        <v>529</v>
      </c>
      <c r="K327" s="78"/>
      <c r="L327" s="78"/>
      <c r="M327" s="78"/>
      <c r="N327" s="79"/>
      <c r="O327" s="78"/>
      <c r="Q327" s="30" t="n">
        <f aca="false">IFERROR(MATCH($B$4&amp;"|- Lane "&amp;D327&amp;" - "&amp;B327&amp;"|"&amp;C327,'Reguler Class Availability'!$L:$L,0),"")</f>
        <v>2456</v>
      </c>
      <c r="BD327" s="30" t="s">
        <v>134</v>
      </c>
      <c r="BE327" s="30" t="n">
        <f aca="false">IF(COUNTIFS('Reguler Class Availability'!$L:$L,$B$4&amp;"|- Lane 6 - *|"&amp;BD327)&gt;0,1,0)</f>
        <v>0</v>
      </c>
      <c r="BF327" s="30" t="n">
        <f aca="false">BE327+BF326</f>
        <v>6</v>
      </c>
    </row>
    <row r="328" customFormat="false" ht="15.75" hidden="false" customHeight="true" outlineLevel="0" collapsed="false">
      <c r="A328" s="76" t="n">
        <v>202</v>
      </c>
      <c r="B328" s="77" t="s">
        <v>117</v>
      </c>
      <c r="C328" s="76" t="s">
        <v>152</v>
      </c>
      <c r="D328" s="76" t="n">
        <v>2</v>
      </c>
      <c r="E328" s="77" t="str">
        <f aca="false">IF($Q328="","Tidak ada di data",IF(AND(IFERROR(--(INDEX('Reguler Class Availability'!$F:$F,$Q328)&amp;""),0)=0,IFERROR(--(INDEX('Reguler Class Availability'!$G:$G,$Q328)&amp;""),0)=0),"Tutup",IF(IFERROR(--(INDEX('Reguler Class Availability'!$G:$G,$Q328)&amp;""),0)&gt;IFERROR(--(INDEX('Reguler Class Availability'!$F:$F,$Q328)&amp;""),0),"Lebih",IF(IFERROR(--(INDEX('Reguler Class Availability'!$G:$G,$Q328)&amp;""),0)=IFERROR(--(INDEX('Reguler Class Availability'!$F:$F,$Q328)&amp;""),0),"Penuh",IF(IFERROR(--(INDEX('Reguler Class Availability'!$G:$G,$Q328)&amp;""),0)=0,IF(INDEX('Reguler Class Availability'!$B:$B,$Q328)&amp;""="","Kosong","Belum terisi"),IF(IFERROR(--(INDEX('Reguler Class Availability'!$G:$G,$Q328)&amp;""),0)/IFERROR(--(INDEX('Reguler Class Availability'!$F:$F,$Q328)&amp;""),0)&gt;=0.6,"Tinggi","Sebagian"))))))</f>
        <v>Belum terisi</v>
      </c>
      <c r="F328" s="77" t="str">
        <f aca="false">IF($Q328="","",PROPER(INDEX('Reguler Class Availability'!$B:$B,$Q328)&amp;""))</f>
        <v>Tiny</v>
      </c>
      <c r="G328" s="76" t="n">
        <f aca="false">IF($Q328="","",IFERROR(--(INDEX('Reguler Class Availability'!$F:$F,$Q328)&amp;""),0))</f>
        <v>5</v>
      </c>
      <c r="H328" s="77" t="str">
        <f aca="false">IF($Q328="","",PROPER(INDEX('Reguler Class Availability'!$I:$I,$Q328)&amp;"")&amp;IF(INDEX('Reguler Class Availability'!$J:$J,$Q328)&amp;""="",""," + asst "&amp;PROPER(INDEX('Reguler Class Availability'!$J:$J,$Q328)&amp;"")))</f>
        <v/>
      </c>
      <c r="I328" s="77" t="s">
        <v>528</v>
      </c>
      <c r="J328" s="77" t="s">
        <v>529</v>
      </c>
      <c r="K328" s="78"/>
      <c r="L328" s="78"/>
      <c r="M328" s="78"/>
      <c r="N328" s="79"/>
      <c r="O328" s="78"/>
      <c r="Q328" s="30" t="n">
        <f aca="false">IFERROR(MATCH($B$4&amp;"|- Lane "&amp;D328&amp;" - "&amp;B328&amp;"|"&amp;C328,'Reguler Class Availability'!$L:$L,0),"")</f>
        <v>2554</v>
      </c>
      <c r="BD328" s="30" t="s">
        <v>135</v>
      </c>
      <c r="BE328" s="30" t="n">
        <f aca="false">IF(COUNTIFS('Reguler Class Availability'!$L:$L,$B$4&amp;"|- Lane 6 - *|"&amp;BD328)&gt;0,1,0)</f>
        <v>0</v>
      </c>
      <c r="BF328" s="30" t="n">
        <f aca="false">BE328+BF327</f>
        <v>6</v>
      </c>
    </row>
    <row r="329" customFormat="false" ht="15.75" hidden="false" customHeight="true" outlineLevel="0" collapsed="false">
      <c r="A329" s="76" t="n">
        <v>203</v>
      </c>
      <c r="B329" s="77" t="s">
        <v>117</v>
      </c>
      <c r="C329" s="76" t="s">
        <v>152</v>
      </c>
      <c r="D329" s="76" t="n">
        <v>5</v>
      </c>
      <c r="E329" s="77" t="str">
        <f aca="false">IF($Q329="","Tidak ada di data",IF(AND(IFERROR(--(INDEX('Reguler Class Availability'!$F:$F,$Q329)&amp;""),0)=0,IFERROR(--(INDEX('Reguler Class Availability'!$G:$G,$Q329)&amp;""),0)=0),"Tutup",IF(IFERROR(--(INDEX('Reguler Class Availability'!$G:$G,$Q329)&amp;""),0)&gt;IFERROR(--(INDEX('Reguler Class Availability'!$F:$F,$Q329)&amp;""),0),"Lebih",IF(IFERROR(--(INDEX('Reguler Class Availability'!$G:$G,$Q329)&amp;""),0)=IFERROR(--(INDEX('Reguler Class Availability'!$F:$F,$Q329)&amp;""),0),"Penuh",IF(IFERROR(--(INDEX('Reguler Class Availability'!$G:$G,$Q329)&amp;""),0)=0,IF(INDEX('Reguler Class Availability'!$B:$B,$Q329)&amp;""="","Kosong","Belum terisi"),IF(IFERROR(--(INDEX('Reguler Class Availability'!$G:$G,$Q329)&amp;""),0)/IFERROR(--(INDEX('Reguler Class Availability'!$F:$F,$Q329)&amp;""),0)&gt;=0.6,"Tinggi","Sebagian"))))))</f>
        <v>Kosong</v>
      </c>
      <c r="F329" s="77" t="str">
        <f aca="false">IF($Q329="","",PROPER(INDEX('Reguler Class Availability'!$B:$B,$Q329)&amp;""))</f>
        <v/>
      </c>
      <c r="G329" s="76" t="n">
        <f aca="false">IF($Q329="","",IFERROR(--(INDEX('Reguler Class Availability'!$F:$F,$Q329)&amp;""),0))</f>
        <v>4</v>
      </c>
      <c r="H329" s="77" t="str">
        <f aca="false">IF($Q329="","",PROPER(INDEX('Reguler Class Availability'!$I:$I,$Q329)&amp;"")&amp;IF(INDEX('Reguler Class Availability'!$J:$J,$Q329)&amp;""="",""," + asst "&amp;PROPER(INDEX('Reguler Class Availability'!$J:$J,$Q329)&amp;"")))</f>
        <v/>
      </c>
      <c r="I329" s="77" t="s">
        <v>528</v>
      </c>
      <c r="J329" s="77" t="s">
        <v>529</v>
      </c>
      <c r="K329" s="78"/>
      <c r="L329" s="78"/>
      <c r="M329" s="78"/>
      <c r="N329" s="79"/>
      <c r="O329" s="78"/>
      <c r="Q329" s="30" t="n">
        <f aca="false">IFERROR(MATCH($B$4&amp;"|- Lane "&amp;D329&amp;" - "&amp;B329&amp;"|"&amp;C329,'Reguler Class Availability'!$L:$L,0),"")</f>
        <v>2806</v>
      </c>
      <c r="BD329" s="30" t="s">
        <v>136</v>
      </c>
      <c r="BE329" s="30" t="n">
        <f aca="false">IF(COUNTIFS('Reguler Class Availability'!$L:$L,$B$4&amp;"|- Lane 6 - *|"&amp;BD329)&gt;0,1,0)</f>
        <v>0</v>
      </c>
      <c r="BF329" s="30" t="n">
        <f aca="false">BE329+BF328</f>
        <v>6</v>
      </c>
    </row>
    <row r="330" customFormat="false" ht="27.75" hidden="false" customHeight="true" outlineLevel="0" collapsed="false">
      <c r="A330" s="76" t="n">
        <v>204</v>
      </c>
      <c r="B330" s="77" t="s">
        <v>117</v>
      </c>
      <c r="C330" s="76" t="s">
        <v>153</v>
      </c>
      <c r="D330" s="76" t="n">
        <v>3</v>
      </c>
      <c r="E330" s="77" t="str">
        <f aca="false">IF($Q330="","Tidak ada di data",IF(AND(IFERROR(--(INDEX('Reguler Class Availability'!$F:$F,$Q330)&amp;""),0)=0,IFERROR(--(INDEX('Reguler Class Availability'!$G:$G,$Q330)&amp;""),0)=0),"Tutup",IF(IFERROR(--(INDEX('Reguler Class Availability'!$G:$G,$Q330)&amp;""),0)&gt;IFERROR(--(INDEX('Reguler Class Availability'!$F:$F,$Q330)&amp;""),0),"Lebih",IF(IFERROR(--(INDEX('Reguler Class Availability'!$G:$G,$Q330)&amp;""),0)=IFERROR(--(INDEX('Reguler Class Availability'!$F:$F,$Q330)&amp;""),0),"Penuh",IF(IFERROR(--(INDEX('Reguler Class Availability'!$G:$G,$Q330)&amp;""),0)=0,IF(INDEX('Reguler Class Availability'!$B:$B,$Q330)&amp;""="","Kosong","Belum terisi"),IF(IFERROR(--(INDEX('Reguler Class Availability'!$G:$G,$Q330)&amp;""),0)/IFERROR(--(INDEX('Reguler Class Availability'!$F:$F,$Q330)&amp;""),0)&gt;=0.6,"Tinggi","Sebagian"))))))</f>
        <v>Belum terisi</v>
      </c>
      <c r="F330" s="77" t="str">
        <f aca="false">IF($Q330="","",PROPER(INDEX('Reguler Class Availability'!$B:$B,$Q330)&amp;""))</f>
        <v>Little</v>
      </c>
      <c r="G330" s="76" t="n">
        <f aca="false">IF($Q330="","",IFERROR(--(INDEX('Reguler Class Availability'!$F:$F,$Q330)&amp;""),0))</f>
        <v>4</v>
      </c>
      <c r="H330" s="77" t="str">
        <f aca="false">IF($Q330="","",PROPER(INDEX('Reguler Class Availability'!$I:$I,$Q330)&amp;"")&amp;IF(INDEX('Reguler Class Availability'!$J:$J,$Q330)&amp;""="",""," + asst "&amp;PROPER(INDEX('Reguler Class Availability'!$J:$J,$Q330)&amp;"")))</f>
        <v/>
      </c>
      <c r="I330" s="77" t="s">
        <v>532</v>
      </c>
      <c r="J330" s="77" t="s">
        <v>186</v>
      </c>
      <c r="K330" s="78"/>
      <c r="L330" s="78"/>
      <c r="M330" s="78"/>
      <c r="N330" s="79"/>
      <c r="O330" s="78"/>
      <c r="Q330" s="30" t="n">
        <f aca="false">IFERROR(MATCH($B$4&amp;"|- Lane "&amp;D330&amp;" - "&amp;B330&amp;"|"&amp;C330,'Reguler Class Availability'!$L:$L,0),"")</f>
        <v>2638</v>
      </c>
      <c r="BD330" s="30" t="s">
        <v>138</v>
      </c>
      <c r="BE330" s="30" t="n">
        <f aca="false">IF(COUNTIFS('Reguler Class Availability'!$L:$L,$B$4&amp;"|- Lane 6 - *|"&amp;BD330)&gt;0,1,0)</f>
        <v>0</v>
      </c>
      <c r="BF330" s="30" t="n">
        <f aca="false">BE330+BF329</f>
        <v>6</v>
      </c>
    </row>
    <row r="331" customFormat="false" ht="27.75" hidden="false" customHeight="true" outlineLevel="0" collapsed="false">
      <c r="A331" s="76" t="n">
        <v>205</v>
      </c>
      <c r="B331" s="77" t="s">
        <v>117</v>
      </c>
      <c r="C331" s="76" t="s">
        <v>155</v>
      </c>
      <c r="D331" s="76" t="n">
        <v>1</v>
      </c>
      <c r="E331" s="77" t="str">
        <f aca="false">IF($Q331="","Tidak ada di data",IF(AND(IFERROR(--(INDEX('Reguler Class Availability'!$F:$F,$Q331)&amp;""),0)=0,IFERROR(--(INDEX('Reguler Class Availability'!$G:$G,$Q331)&amp;""),0)=0),"Tutup",IF(IFERROR(--(INDEX('Reguler Class Availability'!$G:$G,$Q331)&amp;""),0)&gt;IFERROR(--(INDEX('Reguler Class Availability'!$F:$F,$Q331)&amp;""),0),"Lebih",IF(IFERROR(--(INDEX('Reguler Class Availability'!$G:$G,$Q331)&amp;""),0)=IFERROR(--(INDEX('Reguler Class Availability'!$F:$F,$Q331)&amp;""),0),"Penuh",IF(IFERROR(--(INDEX('Reguler Class Availability'!$G:$G,$Q331)&amp;""),0)=0,IF(INDEX('Reguler Class Availability'!$B:$B,$Q331)&amp;""="","Kosong","Belum terisi"),IF(IFERROR(--(INDEX('Reguler Class Availability'!$G:$G,$Q331)&amp;""),0)/IFERROR(--(INDEX('Reguler Class Availability'!$F:$F,$Q331)&amp;""),0)&gt;=0.6,"Tinggi","Sebagian"))))))</f>
        <v>Belum terisi</v>
      </c>
      <c r="F331" s="77" t="str">
        <f aca="false">IF($Q331="","",PROPER(INDEX('Reguler Class Availability'!$B:$B,$Q331)&amp;""))</f>
        <v>Baby</v>
      </c>
      <c r="G331" s="76" t="n">
        <f aca="false">IF($Q331="","",IFERROR(--(INDEX('Reguler Class Availability'!$F:$F,$Q331)&amp;""),0))</f>
        <v>5</v>
      </c>
      <c r="H331" s="77" t="str">
        <f aca="false">IF($Q331="","",PROPER(INDEX('Reguler Class Availability'!$I:$I,$Q331)&amp;"")&amp;IF(INDEX('Reguler Class Availability'!$J:$J,$Q331)&amp;""="",""," + asst "&amp;PROPER(INDEX('Reguler Class Availability'!$J:$J,$Q331)&amp;"")))</f>
        <v/>
      </c>
      <c r="I331" s="77" t="s">
        <v>532</v>
      </c>
      <c r="J331" s="77" t="s">
        <v>186</v>
      </c>
      <c r="K331" s="78"/>
      <c r="L331" s="78"/>
      <c r="M331" s="78"/>
      <c r="N331" s="79"/>
      <c r="O331" s="78"/>
      <c r="Q331" s="30" t="n">
        <f aca="false">IFERROR(MATCH($B$4&amp;"|- Lane "&amp;D331&amp;" - "&amp;B331&amp;"|"&amp;C331,'Reguler Class Availability'!$L:$L,0),"")</f>
        <v>2457</v>
      </c>
      <c r="BD331" s="30" t="s">
        <v>139</v>
      </c>
      <c r="BE331" s="30" t="n">
        <f aca="false">IF(COUNTIFS('Reguler Class Availability'!$L:$L,$B$4&amp;"|- Lane 6 - *|"&amp;BD331)&gt;0,1,0)</f>
        <v>1</v>
      </c>
      <c r="BF331" s="30" t="n">
        <f aca="false">BE331+BF330</f>
        <v>7</v>
      </c>
    </row>
    <row r="332" customFormat="false" ht="27.75" hidden="false" customHeight="true" outlineLevel="0" collapsed="false">
      <c r="A332" s="76" t="n">
        <v>206</v>
      </c>
      <c r="B332" s="77" t="s">
        <v>117</v>
      </c>
      <c r="C332" s="76" t="s">
        <v>155</v>
      </c>
      <c r="D332" s="76" t="n">
        <v>2</v>
      </c>
      <c r="E332" s="77" t="str">
        <f aca="false">IF($Q332="","Tidak ada di data",IF(AND(IFERROR(--(INDEX('Reguler Class Availability'!$F:$F,$Q332)&amp;""),0)=0,IFERROR(--(INDEX('Reguler Class Availability'!$G:$G,$Q332)&amp;""),0)=0),"Tutup",IF(IFERROR(--(INDEX('Reguler Class Availability'!$G:$G,$Q332)&amp;""),0)&gt;IFERROR(--(INDEX('Reguler Class Availability'!$F:$F,$Q332)&amp;""),0),"Lebih",IF(IFERROR(--(INDEX('Reguler Class Availability'!$G:$G,$Q332)&amp;""),0)=IFERROR(--(INDEX('Reguler Class Availability'!$F:$F,$Q332)&amp;""),0),"Penuh",IF(IFERROR(--(INDEX('Reguler Class Availability'!$G:$G,$Q332)&amp;""),0)=0,IF(INDEX('Reguler Class Availability'!$B:$B,$Q332)&amp;""="","Kosong","Belum terisi"),IF(IFERROR(--(INDEX('Reguler Class Availability'!$G:$G,$Q332)&amp;""),0)/IFERROR(--(INDEX('Reguler Class Availability'!$F:$F,$Q332)&amp;""),0)&gt;=0.6,"Tinggi","Sebagian"))))))</f>
        <v>Belum terisi</v>
      </c>
      <c r="F332" s="77" t="str">
        <f aca="false">IF($Q332="","",PROPER(INDEX('Reguler Class Availability'!$B:$B,$Q332)&amp;""))</f>
        <v>Tiny</v>
      </c>
      <c r="G332" s="76" t="n">
        <f aca="false">IF($Q332="","",IFERROR(--(INDEX('Reguler Class Availability'!$F:$F,$Q332)&amp;""),0))</f>
        <v>5</v>
      </c>
      <c r="H332" s="77" t="str">
        <f aca="false">IF($Q332="","",PROPER(INDEX('Reguler Class Availability'!$I:$I,$Q332)&amp;"")&amp;IF(INDEX('Reguler Class Availability'!$J:$J,$Q332)&amp;""="",""," + asst "&amp;PROPER(INDEX('Reguler Class Availability'!$J:$J,$Q332)&amp;"")))</f>
        <v/>
      </c>
      <c r="I332" s="77" t="s">
        <v>532</v>
      </c>
      <c r="J332" s="77" t="s">
        <v>186</v>
      </c>
      <c r="K332" s="78"/>
      <c r="L332" s="78"/>
      <c r="M332" s="78"/>
      <c r="N332" s="79"/>
      <c r="O332" s="78"/>
      <c r="Q332" s="30" t="n">
        <f aca="false">IFERROR(MATCH($B$4&amp;"|- Lane "&amp;D332&amp;" - "&amp;B332&amp;"|"&amp;C332,'Reguler Class Availability'!$L:$L,0),"")</f>
        <v>2555</v>
      </c>
      <c r="BD332" s="30" t="s">
        <v>141</v>
      </c>
      <c r="BE332" s="30" t="n">
        <f aca="false">IF(COUNTIFS('Reguler Class Availability'!$L:$L,$B$4&amp;"|- Lane 6 - *|"&amp;BD332)&gt;0,1,0)</f>
        <v>0</v>
      </c>
      <c r="BF332" s="30" t="n">
        <f aca="false">BE332+BF331</f>
        <v>7</v>
      </c>
    </row>
    <row r="333" customFormat="false" ht="27.75" hidden="false" customHeight="true" outlineLevel="0" collapsed="false">
      <c r="A333" s="76" t="n">
        <v>207</v>
      </c>
      <c r="B333" s="77" t="s">
        <v>117</v>
      </c>
      <c r="C333" s="76" t="s">
        <v>155</v>
      </c>
      <c r="D333" s="76" t="n">
        <v>5</v>
      </c>
      <c r="E333" s="77" t="str">
        <f aca="false">IF($Q333="","Tidak ada di data",IF(AND(IFERROR(--(INDEX('Reguler Class Availability'!$F:$F,$Q333)&amp;""),0)=0,IFERROR(--(INDEX('Reguler Class Availability'!$G:$G,$Q333)&amp;""),0)=0),"Tutup",IF(IFERROR(--(INDEX('Reguler Class Availability'!$G:$G,$Q333)&amp;""),0)&gt;IFERROR(--(INDEX('Reguler Class Availability'!$F:$F,$Q333)&amp;""),0),"Lebih",IF(IFERROR(--(INDEX('Reguler Class Availability'!$G:$G,$Q333)&amp;""),0)=IFERROR(--(INDEX('Reguler Class Availability'!$F:$F,$Q333)&amp;""),0),"Penuh",IF(IFERROR(--(INDEX('Reguler Class Availability'!$G:$G,$Q333)&amp;""),0)=0,IF(INDEX('Reguler Class Availability'!$B:$B,$Q333)&amp;""="","Kosong","Belum terisi"),IF(IFERROR(--(INDEX('Reguler Class Availability'!$G:$G,$Q333)&amp;""),0)/IFERROR(--(INDEX('Reguler Class Availability'!$F:$F,$Q333)&amp;""),0)&gt;=0.6,"Tinggi","Sebagian"))))))</f>
        <v>Kosong</v>
      </c>
      <c r="F333" s="77" t="str">
        <f aca="false">IF($Q333="","",PROPER(INDEX('Reguler Class Availability'!$B:$B,$Q333)&amp;""))</f>
        <v/>
      </c>
      <c r="G333" s="76" t="n">
        <f aca="false">IF($Q333="","",IFERROR(--(INDEX('Reguler Class Availability'!$F:$F,$Q333)&amp;""),0))</f>
        <v>4</v>
      </c>
      <c r="H333" s="77" t="str">
        <f aca="false">IF($Q333="","",PROPER(INDEX('Reguler Class Availability'!$I:$I,$Q333)&amp;"")&amp;IF(INDEX('Reguler Class Availability'!$J:$J,$Q333)&amp;""="",""," + asst "&amp;PROPER(INDEX('Reguler Class Availability'!$J:$J,$Q333)&amp;"")))</f>
        <v/>
      </c>
      <c r="I333" s="77" t="s">
        <v>532</v>
      </c>
      <c r="J333" s="77" t="s">
        <v>186</v>
      </c>
      <c r="K333" s="78"/>
      <c r="L333" s="78"/>
      <c r="M333" s="78"/>
      <c r="N333" s="79"/>
      <c r="O333" s="78"/>
      <c r="Q333" s="30" t="n">
        <f aca="false">IFERROR(MATCH($B$4&amp;"|- Lane "&amp;D333&amp;" - "&amp;B333&amp;"|"&amp;C333,'Reguler Class Availability'!$L:$L,0),"")</f>
        <v>2807</v>
      </c>
      <c r="BD333" s="30" t="s">
        <v>142</v>
      </c>
      <c r="BE333" s="30" t="n">
        <f aca="false">IF(COUNTIFS('Reguler Class Availability'!$L:$L,$B$4&amp;"|- Lane 6 - *|"&amp;BD333)&gt;0,1,0)</f>
        <v>0</v>
      </c>
      <c r="BF333" s="30" t="n">
        <f aca="false">BE333+BF332</f>
        <v>7</v>
      </c>
    </row>
    <row r="334" customFormat="false" ht="27.75" hidden="false" customHeight="true" outlineLevel="0" collapsed="false">
      <c r="A334" s="76" t="n">
        <v>208</v>
      </c>
      <c r="B334" s="77" t="s">
        <v>117</v>
      </c>
      <c r="C334" s="76" t="s">
        <v>156</v>
      </c>
      <c r="D334" s="76" t="n">
        <v>3</v>
      </c>
      <c r="E334" s="77" t="str">
        <f aca="false">IF($Q334="","Tidak ada di data",IF(AND(IFERROR(--(INDEX('Reguler Class Availability'!$F:$F,$Q334)&amp;""),0)=0,IFERROR(--(INDEX('Reguler Class Availability'!$G:$G,$Q334)&amp;""),0)=0),"Tutup",IF(IFERROR(--(INDEX('Reguler Class Availability'!$G:$G,$Q334)&amp;""),0)&gt;IFERROR(--(INDEX('Reguler Class Availability'!$F:$F,$Q334)&amp;""),0),"Lebih",IF(IFERROR(--(INDEX('Reguler Class Availability'!$G:$G,$Q334)&amp;""),0)=IFERROR(--(INDEX('Reguler Class Availability'!$F:$F,$Q334)&amp;""),0),"Penuh",IF(IFERROR(--(INDEX('Reguler Class Availability'!$G:$G,$Q334)&amp;""),0)=0,IF(INDEX('Reguler Class Availability'!$B:$B,$Q334)&amp;""="","Kosong","Belum terisi"),IF(IFERROR(--(INDEX('Reguler Class Availability'!$G:$G,$Q334)&amp;""),0)/IFERROR(--(INDEX('Reguler Class Availability'!$F:$F,$Q334)&amp;""),0)&gt;=0.6,"Tinggi","Sebagian"))))))</f>
        <v>Belum terisi</v>
      </c>
      <c r="F334" s="77" t="str">
        <f aca="false">IF($Q334="","",PROPER(INDEX('Reguler Class Availability'!$B:$B,$Q334)&amp;""))</f>
        <v>Little</v>
      </c>
      <c r="G334" s="76" t="n">
        <f aca="false">IF($Q334="","",IFERROR(--(INDEX('Reguler Class Availability'!$F:$F,$Q334)&amp;""),0))</f>
        <v>4</v>
      </c>
      <c r="H334" s="77" t="str">
        <f aca="false">IF($Q334="","",PROPER(INDEX('Reguler Class Availability'!$I:$I,$Q334)&amp;"")&amp;IF(INDEX('Reguler Class Availability'!$J:$J,$Q334)&amp;""="",""," + asst "&amp;PROPER(INDEX('Reguler Class Availability'!$J:$J,$Q334)&amp;"")))</f>
        <v/>
      </c>
      <c r="I334" s="77" t="s">
        <v>530</v>
      </c>
      <c r="J334" s="77" t="s">
        <v>186</v>
      </c>
      <c r="K334" s="78"/>
      <c r="L334" s="78"/>
      <c r="M334" s="78"/>
      <c r="N334" s="79"/>
      <c r="O334" s="78"/>
      <c r="Q334" s="30" t="n">
        <f aca="false">IFERROR(MATCH($B$4&amp;"|- Lane "&amp;D334&amp;" - "&amp;B334&amp;"|"&amp;C334,'Reguler Class Availability'!$L:$L,0),"")</f>
        <v>2639</v>
      </c>
      <c r="BD334" s="30" t="s">
        <v>143</v>
      </c>
      <c r="BE334" s="30" t="n">
        <f aca="false">IF(COUNTIFS('Reguler Class Availability'!$L:$L,$B$4&amp;"|- Lane 6 - *|"&amp;BD334)&gt;0,1,0)</f>
        <v>1</v>
      </c>
      <c r="BF334" s="30" t="n">
        <f aca="false">BE334+BF333</f>
        <v>8</v>
      </c>
    </row>
    <row r="335" customFormat="false" ht="27.75" hidden="false" customHeight="true" outlineLevel="0" collapsed="false">
      <c r="A335" s="76" t="n">
        <v>209</v>
      </c>
      <c r="B335" s="77" t="s">
        <v>117</v>
      </c>
      <c r="C335" s="76" t="s">
        <v>156</v>
      </c>
      <c r="D335" s="76" t="n">
        <v>4</v>
      </c>
      <c r="E335" s="77" t="str">
        <f aca="false">IF($Q335="","Tidak ada di data",IF(AND(IFERROR(--(INDEX('Reguler Class Availability'!$F:$F,$Q335)&amp;""),0)=0,IFERROR(--(INDEX('Reguler Class Availability'!$G:$G,$Q335)&amp;""),0)=0),"Tutup",IF(IFERROR(--(INDEX('Reguler Class Availability'!$G:$G,$Q335)&amp;""),0)&gt;IFERROR(--(INDEX('Reguler Class Availability'!$F:$F,$Q335)&amp;""),0),"Lebih",IF(IFERROR(--(INDEX('Reguler Class Availability'!$G:$G,$Q335)&amp;""),0)=IFERROR(--(INDEX('Reguler Class Availability'!$F:$F,$Q335)&amp;""),0),"Penuh",IF(IFERROR(--(INDEX('Reguler Class Availability'!$G:$G,$Q335)&amp;""),0)=0,IF(INDEX('Reguler Class Availability'!$B:$B,$Q335)&amp;""="","Kosong","Belum terisi"),IF(IFERROR(--(INDEX('Reguler Class Availability'!$G:$G,$Q335)&amp;""),0)/IFERROR(--(INDEX('Reguler Class Availability'!$F:$F,$Q335)&amp;""),0)&gt;=0.6,"Tinggi","Sebagian"))))))</f>
        <v>Belum terisi</v>
      </c>
      <c r="F335" s="77" t="str">
        <f aca="false">IF($Q335="","",PROPER(INDEX('Reguler Class Availability'!$B:$B,$Q335)&amp;""))</f>
        <v>Kids</v>
      </c>
      <c r="G335" s="76" t="n">
        <f aca="false">IF($Q335="","",IFERROR(--(INDEX('Reguler Class Availability'!$F:$F,$Q335)&amp;""),0))</f>
        <v>4</v>
      </c>
      <c r="H335" s="77" t="str">
        <f aca="false">IF($Q335="","",PROPER(INDEX('Reguler Class Availability'!$I:$I,$Q335)&amp;"")&amp;IF(INDEX('Reguler Class Availability'!$J:$J,$Q335)&amp;""="",""," + asst "&amp;PROPER(INDEX('Reguler Class Availability'!$J:$J,$Q335)&amp;"")))</f>
        <v/>
      </c>
      <c r="I335" s="77" t="s">
        <v>530</v>
      </c>
      <c r="J335" s="77" t="s">
        <v>186</v>
      </c>
      <c r="K335" s="78"/>
      <c r="L335" s="78"/>
      <c r="M335" s="78"/>
      <c r="N335" s="79"/>
      <c r="O335" s="78"/>
      <c r="Q335" s="30" t="n">
        <f aca="false">IFERROR(MATCH($B$4&amp;"|- Lane "&amp;D335&amp;" - "&amp;B335&amp;"|"&amp;C335,'Reguler Class Availability'!$L:$L,0),"")</f>
        <v>2723</v>
      </c>
      <c r="BD335" s="30" t="s">
        <v>144</v>
      </c>
      <c r="BE335" s="30" t="n">
        <f aca="false">IF(COUNTIFS('Reguler Class Availability'!$L:$L,$B$4&amp;"|- Lane 6 - *|"&amp;BD335)&gt;0,1,0)</f>
        <v>0</v>
      </c>
      <c r="BF335" s="30" t="n">
        <f aca="false">BE335+BF334</f>
        <v>8</v>
      </c>
    </row>
    <row r="336" customFormat="false" ht="27.75" hidden="false" customHeight="true" outlineLevel="0" collapsed="false">
      <c r="A336" s="76" t="n">
        <v>210</v>
      </c>
      <c r="B336" s="77" t="s">
        <v>117</v>
      </c>
      <c r="C336" s="76" t="s">
        <v>160</v>
      </c>
      <c r="D336" s="76" t="n">
        <v>1</v>
      </c>
      <c r="E336" s="77" t="str">
        <f aca="false">IF($Q336="","Tidak ada di data",IF(AND(IFERROR(--(INDEX('Reguler Class Availability'!$F:$F,$Q336)&amp;""),0)=0,IFERROR(--(INDEX('Reguler Class Availability'!$G:$G,$Q336)&amp;""),0)=0),"Tutup",IF(IFERROR(--(INDEX('Reguler Class Availability'!$G:$G,$Q336)&amp;""),0)&gt;IFERROR(--(INDEX('Reguler Class Availability'!$F:$F,$Q336)&amp;""),0),"Lebih",IF(IFERROR(--(INDEX('Reguler Class Availability'!$G:$G,$Q336)&amp;""),0)=IFERROR(--(INDEX('Reguler Class Availability'!$F:$F,$Q336)&amp;""),0),"Penuh",IF(IFERROR(--(INDEX('Reguler Class Availability'!$G:$G,$Q336)&amp;""),0)=0,IF(INDEX('Reguler Class Availability'!$B:$B,$Q336)&amp;""="","Kosong","Belum terisi"),IF(IFERROR(--(INDEX('Reguler Class Availability'!$G:$G,$Q336)&amp;""),0)/IFERROR(--(INDEX('Reguler Class Availability'!$F:$F,$Q336)&amp;""),0)&gt;=0.6,"Tinggi","Sebagian"))))))</f>
        <v>Belum terisi</v>
      </c>
      <c r="F336" s="77" t="str">
        <f aca="false">IF($Q336="","",PROPER(INDEX('Reguler Class Availability'!$B:$B,$Q336)&amp;""))</f>
        <v>Star</v>
      </c>
      <c r="G336" s="76" t="n">
        <f aca="false">IF($Q336="","",IFERROR(--(INDEX('Reguler Class Availability'!$F:$F,$Q336)&amp;""),0))</f>
        <v>8</v>
      </c>
      <c r="H336" s="77" t="str">
        <f aca="false">IF($Q336="","",PROPER(INDEX('Reguler Class Availability'!$I:$I,$Q336)&amp;"")&amp;IF(INDEX('Reguler Class Availability'!$J:$J,$Q336)&amp;""="",""," + asst "&amp;PROPER(INDEX('Reguler Class Availability'!$J:$J,$Q336)&amp;"")))</f>
        <v/>
      </c>
      <c r="I336" s="77" t="s">
        <v>530</v>
      </c>
      <c r="J336" s="77" t="s">
        <v>186</v>
      </c>
      <c r="K336" s="78"/>
      <c r="L336" s="78"/>
      <c r="M336" s="78"/>
      <c r="N336" s="79"/>
      <c r="O336" s="78"/>
      <c r="Q336" s="30" t="n">
        <f aca="false">IFERROR(MATCH($B$4&amp;"|- Lane "&amp;D336&amp;" - "&amp;B336&amp;"|"&amp;C336,'Reguler Class Availability'!$L:$L,0),"")</f>
        <v>2504</v>
      </c>
      <c r="BD336" s="30" t="s">
        <v>145</v>
      </c>
      <c r="BE336" s="30" t="n">
        <f aca="false">IF(COUNTIFS('Reguler Class Availability'!$L:$L,$B$4&amp;"|- Lane 6 - *|"&amp;BD336)&gt;0,1,0)</f>
        <v>0</v>
      </c>
      <c r="BF336" s="30" t="n">
        <f aca="false">BE336+BF335</f>
        <v>8</v>
      </c>
    </row>
    <row r="337" customFormat="false" ht="40.5" hidden="false" customHeight="true" outlineLevel="0" collapsed="false">
      <c r="A337" s="76" t="n">
        <v>211</v>
      </c>
      <c r="B337" s="77" t="s">
        <v>118</v>
      </c>
      <c r="C337" s="76" t="s">
        <v>91</v>
      </c>
      <c r="D337" s="76" t="n">
        <v>1</v>
      </c>
      <c r="E337" s="77" t="str">
        <f aca="false">IF($Q337="","Tidak ada di data",IF(AND(IFERROR(--(INDEX('Reguler Class Availability'!$F:$F,$Q337)&amp;""),0)=0,IFERROR(--(INDEX('Reguler Class Availability'!$G:$G,$Q337)&amp;""),0)=0),"Tutup",IF(IFERROR(--(INDEX('Reguler Class Availability'!$G:$G,$Q337)&amp;""),0)&gt;IFERROR(--(INDEX('Reguler Class Availability'!$F:$F,$Q337)&amp;""),0),"Lebih",IF(IFERROR(--(INDEX('Reguler Class Availability'!$G:$G,$Q337)&amp;""),0)=IFERROR(--(INDEX('Reguler Class Availability'!$F:$F,$Q337)&amp;""),0),"Penuh",IF(IFERROR(--(INDEX('Reguler Class Availability'!$G:$G,$Q337)&amp;""),0)=0,IF(INDEX('Reguler Class Availability'!$B:$B,$Q337)&amp;""="","Kosong","Belum terisi"),IF(IFERROR(--(INDEX('Reguler Class Availability'!$G:$G,$Q337)&amp;""),0)/IFERROR(--(INDEX('Reguler Class Availability'!$F:$F,$Q337)&amp;""),0)&gt;=0.6,"Tinggi","Sebagian"))))))</f>
        <v>Belum terisi</v>
      </c>
      <c r="F337" s="77" t="str">
        <f aca="false">IF($Q337="","",PROPER(INDEX('Reguler Class Availability'!$B:$B,$Q337)&amp;""))</f>
        <v>Star</v>
      </c>
      <c r="G337" s="76" t="n">
        <f aca="false">IF($Q337="","",IFERROR(--(INDEX('Reguler Class Availability'!$F:$F,$Q337)&amp;""),0))</f>
        <v>8</v>
      </c>
      <c r="H337" s="77" t="str">
        <f aca="false">IF($Q337="","",PROPER(INDEX('Reguler Class Availability'!$I:$I,$Q337)&amp;"")&amp;IF(INDEX('Reguler Class Availability'!$J:$J,$Q337)&amp;""="",""," + asst "&amp;PROPER(INDEX('Reguler Class Availability'!$J:$J,$Q337)&amp;"")))</f>
        <v/>
      </c>
      <c r="I337" s="77" t="s">
        <v>533</v>
      </c>
      <c r="J337" s="77" t="s">
        <v>186</v>
      </c>
      <c r="K337" s="78"/>
      <c r="L337" s="78"/>
      <c r="M337" s="78"/>
      <c r="N337" s="79"/>
      <c r="O337" s="78"/>
      <c r="Q337" s="30" t="n">
        <f aca="false">IFERROR(MATCH($B$4&amp;"|- Lane "&amp;D337&amp;" - "&amp;B337&amp;"|"&amp;C337,'Reguler Class Availability'!$L:$L,0),"")</f>
        <v>2498</v>
      </c>
      <c r="BD337" s="30" t="s">
        <v>146</v>
      </c>
      <c r="BE337" s="30" t="n">
        <f aca="false">IF(COUNTIFS('Reguler Class Availability'!$L:$L,$B$4&amp;"|- Lane 6 - *|"&amp;BD337)&gt;0,1,0)</f>
        <v>1</v>
      </c>
      <c r="BF337" s="30" t="n">
        <f aca="false">BE337+BF336</f>
        <v>9</v>
      </c>
    </row>
    <row r="338" customFormat="false" ht="40.5" hidden="false" customHeight="true" outlineLevel="0" collapsed="false">
      <c r="A338" s="76" t="n">
        <v>212</v>
      </c>
      <c r="B338" s="77" t="s">
        <v>118</v>
      </c>
      <c r="C338" s="76" t="s">
        <v>105</v>
      </c>
      <c r="D338" s="76" t="n">
        <v>1</v>
      </c>
      <c r="E338" s="77" t="str">
        <f aca="false">IF($Q338="","Tidak ada di data",IF(AND(IFERROR(--(INDEX('Reguler Class Availability'!$F:$F,$Q338)&amp;""),0)=0,IFERROR(--(INDEX('Reguler Class Availability'!$G:$G,$Q338)&amp;""),0)=0),"Tutup",IF(IFERROR(--(INDEX('Reguler Class Availability'!$G:$G,$Q338)&amp;""),0)&gt;IFERROR(--(INDEX('Reguler Class Availability'!$F:$F,$Q338)&amp;""),0),"Lebih",IF(IFERROR(--(INDEX('Reguler Class Availability'!$G:$G,$Q338)&amp;""),0)=IFERROR(--(INDEX('Reguler Class Availability'!$F:$F,$Q338)&amp;""),0),"Penuh",IF(IFERROR(--(INDEX('Reguler Class Availability'!$G:$G,$Q338)&amp;""),0)=0,IF(INDEX('Reguler Class Availability'!$B:$B,$Q338)&amp;""="","Kosong","Belum terisi"),IF(IFERROR(--(INDEX('Reguler Class Availability'!$G:$G,$Q338)&amp;""),0)/IFERROR(--(INDEX('Reguler Class Availability'!$F:$F,$Q338)&amp;""),0)&gt;=0.6,"Tinggi","Sebagian"))))))</f>
        <v>Belum terisi</v>
      </c>
      <c r="F338" s="77" t="str">
        <f aca="false">IF($Q338="","",PROPER(INDEX('Reguler Class Availability'!$B:$B,$Q338)&amp;""))</f>
        <v>Baby</v>
      </c>
      <c r="G338" s="76" t="n">
        <f aca="false">IF($Q338="","",IFERROR(--(INDEX('Reguler Class Availability'!$F:$F,$Q338)&amp;""),0))</f>
        <v>5</v>
      </c>
      <c r="H338" s="77" t="str">
        <f aca="false">IF($Q338="","",PROPER(INDEX('Reguler Class Availability'!$I:$I,$Q338)&amp;"")&amp;IF(INDEX('Reguler Class Availability'!$J:$J,$Q338)&amp;""="",""," + asst "&amp;PROPER(INDEX('Reguler Class Availability'!$J:$J,$Q338)&amp;"")))</f>
        <v/>
      </c>
      <c r="I338" s="77" t="s">
        <v>533</v>
      </c>
      <c r="J338" s="77" t="s">
        <v>186</v>
      </c>
      <c r="K338" s="78"/>
      <c r="L338" s="78"/>
      <c r="M338" s="78"/>
      <c r="N338" s="79"/>
      <c r="O338" s="78"/>
      <c r="Q338" s="30" t="n">
        <f aca="false">IFERROR(MATCH($B$4&amp;"|- Lane "&amp;D338&amp;" - "&amp;B338&amp;"|"&amp;C338,'Reguler Class Availability'!$L:$L,0),"")</f>
        <v>2458</v>
      </c>
      <c r="BD338" s="30" t="s">
        <v>147</v>
      </c>
      <c r="BE338" s="30" t="n">
        <f aca="false">IF(COUNTIFS('Reguler Class Availability'!$L:$L,$B$4&amp;"|- Lane 6 - *|"&amp;BD338)&gt;0,1,0)</f>
        <v>0</v>
      </c>
      <c r="BF338" s="30" t="n">
        <f aca="false">BE338+BF337</f>
        <v>9</v>
      </c>
    </row>
    <row r="339" customFormat="false" ht="40.5" hidden="false" customHeight="true" outlineLevel="0" collapsed="false">
      <c r="A339" s="76" t="n">
        <v>213</v>
      </c>
      <c r="B339" s="77" t="s">
        <v>118</v>
      </c>
      <c r="C339" s="76" t="s">
        <v>105</v>
      </c>
      <c r="D339" s="76" t="n">
        <v>2</v>
      </c>
      <c r="E339" s="77" t="str">
        <f aca="false">IF($Q339="","Tidak ada di data",IF(AND(IFERROR(--(INDEX('Reguler Class Availability'!$F:$F,$Q339)&amp;""),0)=0,IFERROR(--(INDEX('Reguler Class Availability'!$G:$G,$Q339)&amp;""),0)=0),"Tutup",IF(IFERROR(--(INDEX('Reguler Class Availability'!$G:$G,$Q339)&amp;""),0)&gt;IFERROR(--(INDEX('Reguler Class Availability'!$F:$F,$Q339)&amp;""),0),"Lebih",IF(IFERROR(--(INDEX('Reguler Class Availability'!$G:$G,$Q339)&amp;""),0)=IFERROR(--(INDEX('Reguler Class Availability'!$F:$F,$Q339)&amp;""),0),"Penuh",IF(IFERROR(--(INDEX('Reguler Class Availability'!$G:$G,$Q339)&amp;""),0)=0,IF(INDEX('Reguler Class Availability'!$B:$B,$Q339)&amp;""="","Kosong","Belum terisi"),IF(IFERROR(--(INDEX('Reguler Class Availability'!$G:$G,$Q339)&amp;""),0)/IFERROR(--(INDEX('Reguler Class Availability'!$F:$F,$Q339)&amp;""),0)&gt;=0.6,"Tinggi","Sebagian"))))))</f>
        <v>Belum terisi</v>
      </c>
      <c r="F339" s="77" t="str">
        <f aca="false">IF($Q339="","",PROPER(INDEX('Reguler Class Availability'!$B:$B,$Q339)&amp;""))</f>
        <v>Tiny</v>
      </c>
      <c r="G339" s="76" t="n">
        <f aca="false">IF($Q339="","",IFERROR(--(INDEX('Reguler Class Availability'!$F:$F,$Q339)&amp;""),0))</f>
        <v>5</v>
      </c>
      <c r="H339" s="77" t="str">
        <f aca="false">IF($Q339="","",PROPER(INDEX('Reguler Class Availability'!$I:$I,$Q339)&amp;"")&amp;IF(INDEX('Reguler Class Availability'!$J:$J,$Q339)&amp;""="",""," + asst "&amp;PROPER(INDEX('Reguler Class Availability'!$J:$J,$Q339)&amp;"")))</f>
        <v/>
      </c>
      <c r="I339" s="77" t="s">
        <v>533</v>
      </c>
      <c r="J339" s="77" t="s">
        <v>186</v>
      </c>
      <c r="K339" s="78"/>
      <c r="L339" s="78"/>
      <c r="M339" s="78"/>
      <c r="N339" s="79"/>
      <c r="O339" s="78"/>
      <c r="Q339" s="30" t="n">
        <f aca="false">IFERROR(MATCH($B$4&amp;"|- Lane "&amp;D339&amp;" - "&amp;B339&amp;"|"&amp;C339,'Reguler Class Availability'!$L:$L,0),"")</f>
        <v>2556</v>
      </c>
      <c r="BD339" s="30" t="s">
        <v>148</v>
      </c>
      <c r="BE339" s="30" t="n">
        <f aca="false">IF(COUNTIFS('Reguler Class Availability'!$L:$L,$B$4&amp;"|- Lane 6 - *|"&amp;BD339)&gt;0,1,0)</f>
        <v>0</v>
      </c>
      <c r="BF339" s="30" t="n">
        <f aca="false">BE339+BF338</f>
        <v>9</v>
      </c>
    </row>
    <row r="340" customFormat="false" ht="40.5" hidden="false" customHeight="true" outlineLevel="0" collapsed="false">
      <c r="A340" s="76" t="n">
        <v>214</v>
      </c>
      <c r="B340" s="77" t="s">
        <v>118</v>
      </c>
      <c r="C340" s="76" t="s">
        <v>105</v>
      </c>
      <c r="D340" s="76" t="n">
        <v>5</v>
      </c>
      <c r="E340" s="77" t="str">
        <f aca="false">IF($Q340="","Tidak ada di data",IF(AND(IFERROR(--(INDEX('Reguler Class Availability'!$F:$F,$Q340)&amp;""),0)=0,IFERROR(--(INDEX('Reguler Class Availability'!$G:$G,$Q340)&amp;""),0)=0),"Tutup",IF(IFERROR(--(INDEX('Reguler Class Availability'!$G:$G,$Q340)&amp;""),0)&gt;IFERROR(--(INDEX('Reguler Class Availability'!$F:$F,$Q340)&amp;""),0),"Lebih",IF(IFERROR(--(INDEX('Reguler Class Availability'!$G:$G,$Q340)&amp;""),0)=IFERROR(--(INDEX('Reguler Class Availability'!$F:$F,$Q340)&amp;""),0),"Penuh",IF(IFERROR(--(INDEX('Reguler Class Availability'!$G:$G,$Q340)&amp;""),0)=0,IF(INDEX('Reguler Class Availability'!$B:$B,$Q340)&amp;""="","Kosong","Belum terisi"),IF(IFERROR(--(INDEX('Reguler Class Availability'!$G:$G,$Q340)&amp;""),0)/IFERROR(--(INDEX('Reguler Class Availability'!$F:$F,$Q340)&amp;""),0)&gt;=0.6,"Tinggi","Sebagian"))))))</f>
        <v>Kosong</v>
      </c>
      <c r="F340" s="77" t="str">
        <f aca="false">IF($Q340="","",PROPER(INDEX('Reguler Class Availability'!$B:$B,$Q340)&amp;""))</f>
        <v/>
      </c>
      <c r="G340" s="76" t="n">
        <f aca="false">IF($Q340="","",IFERROR(--(INDEX('Reguler Class Availability'!$F:$F,$Q340)&amp;""),0))</f>
        <v>4</v>
      </c>
      <c r="H340" s="77" t="str">
        <f aca="false">IF($Q340="","",PROPER(INDEX('Reguler Class Availability'!$I:$I,$Q340)&amp;"")&amp;IF(INDEX('Reguler Class Availability'!$J:$J,$Q340)&amp;""="",""," + asst "&amp;PROPER(INDEX('Reguler Class Availability'!$J:$J,$Q340)&amp;"")))</f>
        <v/>
      </c>
      <c r="I340" s="77" t="s">
        <v>533</v>
      </c>
      <c r="J340" s="77" t="s">
        <v>186</v>
      </c>
      <c r="K340" s="78"/>
      <c r="L340" s="78"/>
      <c r="M340" s="78"/>
      <c r="N340" s="79"/>
      <c r="O340" s="78"/>
      <c r="Q340" s="30" t="n">
        <f aca="false">IFERROR(MATCH($B$4&amp;"|- Lane "&amp;D340&amp;" - "&amp;B340&amp;"|"&amp;C340,'Reguler Class Availability'!$L:$L,0),"")</f>
        <v>2808</v>
      </c>
      <c r="BD340" s="30" t="s">
        <v>149</v>
      </c>
      <c r="BE340" s="30" t="n">
        <f aca="false">IF(COUNTIFS('Reguler Class Availability'!$L:$L,$B$4&amp;"|- Lane 6 - *|"&amp;BD340)&gt;0,1,0)</f>
        <v>1</v>
      </c>
      <c r="BF340" s="30" t="n">
        <f aca="false">BE340+BF339</f>
        <v>10</v>
      </c>
    </row>
    <row r="341" customFormat="false" ht="27.75" hidden="false" customHeight="true" outlineLevel="0" collapsed="false">
      <c r="A341" s="76" t="n">
        <v>215</v>
      </c>
      <c r="B341" s="77" t="s">
        <v>118</v>
      </c>
      <c r="C341" s="76" t="s">
        <v>110</v>
      </c>
      <c r="D341" s="76" t="n">
        <v>3</v>
      </c>
      <c r="E341" s="77" t="str">
        <f aca="false">IF($Q341="","Tidak ada di data",IF(AND(IFERROR(--(INDEX('Reguler Class Availability'!$F:$F,$Q341)&amp;""),0)=0,IFERROR(--(INDEX('Reguler Class Availability'!$G:$G,$Q341)&amp;""),0)=0),"Tutup",IF(IFERROR(--(INDEX('Reguler Class Availability'!$G:$G,$Q341)&amp;""),0)&gt;IFERROR(--(INDEX('Reguler Class Availability'!$F:$F,$Q341)&amp;""),0),"Lebih",IF(IFERROR(--(INDEX('Reguler Class Availability'!$G:$G,$Q341)&amp;""),0)=IFERROR(--(INDEX('Reguler Class Availability'!$F:$F,$Q341)&amp;""),0),"Penuh",IF(IFERROR(--(INDEX('Reguler Class Availability'!$G:$G,$Q341)&amp;""),0)=0,IF(INDEX('Reguler Class Availability'!$B:$B,$Q341)&amp;""="","Kosong","Belum terisi"),IF(IFERROR(--(INDEX('Reguler Class Availability'!$G:$G,$Q341)&amp;""),0)/IFERROR(--(INDEX('Reguler Class Availability'!$F:$F,$Q341)&amp;""),0)&gt;=0.6,"Tinggi","Sebagian"))))))</f>
        <v>Belum terisi</v>
      </c>
      <c r="F341" s="77" t="str">
        <f aca="false">IF($Q341="","",PROPER(INDEX('Reguler Class Availability'!$B:$B,$Q341)&amp;""))</f>
        <v>Little</v>
      </c>
      <c r="G341" s="76" t="n">
        <f aca="false">IF($Q341="","",IFERROR(--(INDEX('Reguler Class Availability'!$F:$F,$Q341)&amp;""),0))</f>
        <v>4</v>
      </c>
      <c r="H341" s="77" t="str">
        <f aca="false">IF($Q341="","",PROPER(INDEX('Reguler Class Availability'!$I:$I,$Q341)&amp;"")&amp;IF(INDEX('Reguler Class Availability'!$J:$J,$Q341)&amp;""="",""," + asst "&amp;PROPER(INDEX('Reguler Class Availability'!$J:$J,$Q341)&amp;"")))</f>
        <v/>
      </c>
      <c r="I341" s="77" t="s">
        <v>534</v>
      </c>
      <c r="J341" s="77" t="s">
        <v>260</v>
      </c>
      <c r="K341" s="78"/>
      <c r="L341" s="78"/>
      <c r="M341" s="78"/>
      <c r="N341" s="79"/>
      <c r="O341" s="78"/>
      <c r="Q341" s="30" t="n">
        <f aca="false">IFERROR(MATCH($B$4&amp;"|- Lane "&amp;D341&amp;" - "&amp;B341&amp;"|"&amp;C341,'Reguler Class Availability'!$L:$L,0),"")</f>
        <v>2640</v>
      </c>
      <c r="BD341" s="30" t="s">
        <v>150</v>
      </c>
      <c r="BE341" s="30" t="n">
        <f aca="false">IF(COUNTIFS('Reguler Class Availability'!$L:$L,$B$4&amp;"|- Lane 6 - *|"&amp;BD341)&gt;0,1,0)</f>
        <v>0</v>
      </c>
      <c r="BF341" s="30" t="n">
        <f aca="false">BE341+BF340</f>
        <v>10</v>
      </c>
    </row>
    <row r="342" customFormat="false" ht="27.75" hidden="false" customHeight="true" outlineLevel="0" collapsed="false">
      <c r="A342" s="76" t="n">
        <v>216</v>
      </c>
      <c r="B342" s="77" t="s">
        <v>118</v>
      </c>
      <c r="C342" s="76" t="s">
        <v>110</v>
      </c>
      <c r="D342" s="76" t="n">
        <v>4</v>
      </c>
      <c r="E342" s="77" t="str">
        <f aca="false">IF($Q342="","Tidak ada di data",IF(AND(IFERROR(--(INDEX('Reguler Class Availability'!$F:$F,$Q342)&amp;""),0)=0,IFERROR(--(INDEX('Reguler Class Availability'!$G:$G,$Q342)&amp;""),0)=0),"Tutup",IF(IFERROR(--(INDEX('Reguler Class Availability'!$G:$G,$Q342)&amp;""),0)&gt;IFERROR(--(INDEX('Reguler Class Availability'!$F:$F,$Q342)&amp;""),0),"Lebih",IF(IFERROR(--(INDEX('Reguler Class Availability'!$G:$G,$Q342)&amp;""),0)=IFERROR(--(INDEX('Reguler Class Availability'!$F:$F,$Q342)&amp;""),0),"Penuh",IF(IFERROR(--(INDEX('Reguler Class Availability'!$G:$G,$Q342)&amp;""),0)=0,IF(INDEX('Reguler Class Availability'!$B:$B,$Q342)&amp;""="","Kosong","Belum terisi"),IF(IFERROR(--(INDEX('Reguler Class Availability'!$G:$G,$Q342)&amp;""),0)/IFERROR(--(INDEX('Reguler Class Availability'!$F:$F,$Q342)&amp;""),0)&gt;=0.6,"Tinggi","Sebagian"))))))</f>
        <v>Belum terisi</v>
      </c>
      <c r="F342" s="77" t="str">
        <f aca="false">IF($Q342="","",PROPER(INDEX('Reguler Class Availability'!$B:$B,$Q342)&amp;""))</f>
        <v>Kids</v>
      </c>
      <c r="G342" s="76" t="n">
        <f aca="false">IF($Q342="","",IFERROR(--(INDEX('Reguler Class Availability'!$F:$F,$Q342)&amp;""),0))</f>
        <v>4</v>
      </c>
      <c r="H342" s="77" t="str">
        <f aca="false">IF($Q342="","",PROPER(INDEX('Reguler Class Availability'!$I:$I,$Q342)&amp;"")&amp;IF(INDEX('Reguler Class Availability'!$J:$J,$Q342)&amp;""="",""," + asst "&amp;PROPER(INDEX('Reguler Class Availability'!$J:$J,$Q342)&amp;"")))</f>
        <v/>
      </c>
      <c r="I342" s="77" t="s">
        <v>534</v>
      </c>
      <c r="J342" s="77" t="s">
        <v>260</v>
      </c>
      <c r="K342" s="78"/>
      <c r="L342" s="78"/>
      <c r="M342" s="78"/>
      <c r="N342" s="79"/>
      <c r="O342" s="78"/>
      <c r="Q342" s="30" t="n">
        <f aca="false">IFERROR(MATCH($B$4&amp;"|- Lane "&amp;D342&amp;" - "&amp;B342&amp;"|"&amp;C342,'Reguler Class Availability'!$L:$L,0),"")</f>
        <v>2724</v>
      </c>
      <c r="BD342" s="30" t="s">
        <v>151</v>
      </c>
      <c r="BE342" s="30" t="n">
        <f aca="false">IF(COUNTIFS('Reguler Class Availability'!$L:$L,$B$4&amp;"|- Lane 6 - *|"&amp;BD342)&gt;0,1,0)</f>
        <v>0</v>
      </c>
      <c r="BF342" s="30" t="n">
        <f aca="false">BE342+BF341</f>
        <v>10</v>
      </c>
    </row>
    <row r="343" customFormat="false" ht="27.75" hidden="false" customHeight="true" outlineLevel="0" collapsed="false">
      <c r="A343" s="76" t="n">
        <v>217</v>
      </c>
      <c r="B343" s="77" t="s">
        <v>118</v>
      </c>
      <c r="C343" s="76" t="s">
        <v>120</v>
      </c>
      <c r="D343" s="76" t="n">
        <v>2</v>
      </c>
      <c r="E343" s="77" t="str">
        <f aca="false">IF($Q343="","Tidak ada di data",IF(AND(IFERROR(--(INDEX('Reguler Class Availability'!$F:$F,$Q343)&amp;""),0)=0,IFERROR(--(INDEX('Reguler Class Availability'!$G:$G,$Q343)&amp;""),0)=0),"Tutup",IF(IFERROR(--(INDEX('Reguler Class Availability'!$G:$G,$Q343)&amp;""),0)&gt;IFERROR(--(INDEX('Reguler Class Availability'!$F:$F,$Q343)&amp;""),0),"Lebih",IF(IFERROR(--(INDEX('Reguler Class Availability'!$G:$G,$Q343)&amp;""),0)=IFERROR(--(INDEX('Reguler Class Availability'!$F:$F,$Q343)&amp;""),0),"Penuh",IF(IFERROR(--(INDEX('Reguler Class Availability'!$G:$G,$Q343)&amp;""),0)=0,IF(INDEX('Reguler Class Availability'!$B:$B,$Q343)&amp;""="","Kosong","Belum terisi"),IF(IFERROR(--(INDEX('Reguler Class Availability'!$G:$G,$Q343)&amp;""),0)/IFERROR(--(INDEX('Reguler Class Availability'!$F:$F,$Q343)&amp;""),0)&gt;=0.6,"Tinggi","Sebagian"))))))</f>
        <v>Belum terisi</v>
      </c>
      <c r="F343" s="77" t="str">
        <f aca="false">IF($Q343="","",PROPER(INDEX('Reguler Class Availability'!$B:$B,$Q343)&amp;""))</f>
        <v>Tiny</v>
      </c>
      <c r="G343" s="76" t="n">
        <f aca="false">IF($Q343="","",IFERROR(--(INDEX('Reguler Class Availability'!$F:$F,$Q343)&amp;""),0))</f>
        <v>5</v>
      </c>
      <c r="H343" s="77" t="str">
        <f aca="false">IF($Q343="","",PROPER(INDEX('Reguler Class Availability'!$I:$I,$Q343)&amp;"")&amp;IF(INDEX('Reguler Class Availability'!$J:$J,$Q343)&amp;""="",""," + asst "&amp;PROPER(INDEX('Reguler Class Availability'!$J:$J,$Q343)&amp;"")))</f>
        <v/>
      </c>
      <c r="I343" s="77" t="s">
        <v>534</v>
      </c>
      <c r="J343" s="77" t="s">
        <v>198</v>
      </c>
      <c r="K343" s="78"/>
      <c r="L343" s="78"/>
      <c r="M343" s="78"/>
      <c r="N343" s="79"/>
      <c r="O343" s="78"/>
      <c r="Q343" s="30" t="n">
        <f aca="false">IFERROR(MATCH($B$4&amp;"|- Lane "&amp;D343&amp;" - "&amp;B343&amp;"|"&amp;C343,'Reguler Class Availability'!$L:$L,0),"")</f>
        <v>2557</v>
      </c>
      <c r="BD343" s="30" t="s">
        <v>152</v>
      </c>
      <c r="BE343" s="30" t="n">
        <f aca="false">IF(COUNTIFS('Reguler Class Availability'!$L:$L,$B$4&amp;"|- Lane 6 - *|"&amp;BD343)&gt;0,1,0)</f>
        <v>1</v>
      </c>
      <c r="BF343" s="30" t="n">
        <f aca="false">BE343+BF342</f>
        <v>11</v>
      </c>
    </row>
    <row r="344" customFormat="false" ht="27.75" hidden="false" customHeight="true" outlineLevel="0" collapsed="false">
      <c r="A344" s="76" t="n">
        <v>218</v>
      </c>
      <c r="B344" s="77" t="s">
        <v>118</v>
      </c>
      <c r="C344" s="76" t="s">
        <v>120</v>
      </c>
      <c r="D344" s="76" t="n">
        <v>5</v>
      </c>
      <c r="E344" s="77" t="str">
        <f aca="false">IF($Q344="","Tidak ada di data",IF(AND(IFERROR(--(INDEX('Reguler Class Availability'!$F:$F,$Q344)&amp;""),0)=0,IFERROR(--(INDEX('Reguler Class Availability'!$G:$G,$Q344)&amp;""),0)=0),"Tutup",IF(IFERROR(--(INDEX('Reguler Class Availability'!$G:$G,$Q344)&amp;""),0)&gt;IFERROR(--(INDEX('Reguler Class Availability'!$F:$F,$Q344)&amp;""),0),"Lebih",IF(IFERROR(--(INDEX('Reguler Class Availability'!$G:$G,$Q344)&amp;""),0)=IFERROR(--(INDEX('Reguler Class Availability'!$F:$F,$Q344)&amp;""),0),"Penuh",IF(IFERROR(--(INDEX('Reguler Class Availability'!$G:$G,$Q344)&amp;""),0)=0,IF(INDEX('Reguler Class Availability'!$B:$B,$Q344)&amp;""="","Kosong","Belum terisi"),IF(IFERROR(--(INDEX('Reguler Class Availability'!$G:$G,$Q344)&amp;""),0)/IFERROR(--(INDEX('Reguler Class Availability'!$F:$F,$Q344)&amp;""),0)&gt;=0.6,"Tinggi","Sebagian"))))))</f>
        <v>Kosong</v>
      </c>
      <c r="F344" s="77" t="str">
        <f aca="false">IF($Q344="","",PROPER(INDEX('Reguler Class Availability'!$B:$B,$Q344)&amp;""))</f>
        <v/>
      </c>
      <c r="G344" s="76" t="n">
        <f aca="false">IF($Q344="","",IFERROR(--(INDEX('Reguler Class Availability'!$F:$F,$Q344)&amp;""),0))</f>
        <v>4</v>
      </c>
      <c r="H344" s="77" t="str">
        <f aca="false">IF($Q344="","",PROPER(INDEX('Reguler Class Availability'!$I:$I,$Q344)&amp;"")&amp;IF(INDEX('Reguler Class Availability'!$J:$J,$Q344)&amp;""="",""," + asst "&amp;PROPER(INDEX('Reguler Class Availability'!$J:$J,$Q344)&amp;"")))</f>
        <v/>
      </c>
      <c r="I344" s="77" t="s">
        <v>534</v>
      </c>
      <c r="J344" s="77" t="s">
        <v>260</v>
      </c>
      <c r="K344" s="78"/>
      <c r="L344" s="78"/>
      <c r="M344" s="78"/>
      <c r="N344" s="79"/>
      <c r="O344" s="78"/>
      <c r="Q344" s="30" t="n">
        <f aca="false">IFERROR(MATCH($B$4&amp;"|- Lane "&amp;D344&amp;" - "&amp;B344&amp;"|"&amp;C344,'Reguler Class Availability'!$L:$L,0),"")</f>
        <v>2809</v>
      </c>
      <c r="BD344" s="30" t="s">
        <v>153</v>
      </c>
      <c r="BE344" s="30" t="n">
        <f aca="false">IF(COUNTIFS('Reguler Class Availability'!$L:$L,$B$4&amp;"|- Lane 6 - *|"&amp;BD344)&gt;0,1,0)</f>
        <v>0</v>
      </c>
      <c r="BF344" s="30" t="n">
        <f aca="false">BE344+BF343</f>
        <v>11</v>
      </c>
    </row>
    <row r="345" customFormat="false" ht="27.75" hidden="false" customHeight="true" outlineLevel="0" collapsed="false">
      <c r="A345" s="76" t="n">
        <v>219</v>
      </c>
      <c r="B345" s="77" t="s">
        <v>118</v>
      </c>
      <c r="C345" s="76" t="s">
        <v>121</v>
      </c>
      <c r="D345" s="76" t="n">
        <v>3</v>
      </c>
      <c r="E345" s="77" t="str">
        <f aca="false">IF($Q345="","Tidak ada di data",IF(AND(IFERROR(--(INDEX('Reguler Class Availability'!$F:$F,$Q345)&amp;""),0)=0,IFERROR(--(INDEX('Reguler Class Availability'!$G:$G,$Q345)&amp;""),0)=0),"Tutup",IF(IFERROR(--(INDEX('Reguler Class Availability'!$G:$G,$Q345)&amp;""),0)&gt;IFERROR(--(INDEX('Reguler Class Availability'!$F:$F,$Q345)&amp;""),0),"Lebih",IF(IFERROR(--(INDEX('Reguler Class Availability'!$G:$G,$Q345)&amp;""),0)=IFERROR(--(INDEX('Reguler Class Availability'!$F:$F,$Q345)&amp;""),0),"Penuh",IF(IFERROR(--(INDEX('Reguler Class Availability'!$G:$G,$Q345)&amp;""),0)=0,IF(INDEX('Reguler Class Availability'!$B:$B,$Q345)&amp;""="","Kosong","Belum terisi"),IF(IFERROR(--(INDEX('Reguler Class Availability'!$G:$G,$Q345)&amp;""),0)/IFERROR(--(INDEX('Reguler Class Availability'!$F:$F,$Q345)&amp;""),0)&gt;=0.6,"Tinggi","Sebagian"))))))</f>
        <v>Belum terisi</v>
      </c>
      <c r="F345" s="77" t="str">
        <f aca="false">IF($Q345="","",PROPER(INDEX('Reguler Class Availability'!$B:$B,$Q345)&amp;""))</f>
        <v>Little</v>
      </c>
      <c r="G345" s="76" t="n">
        <f aca="false">IF($Q345="","",IFERROR(--(INDEX('Reguler Class Availability'!$F:$F,$Q345)&amp;""),0))</f>
        <v>4</v>
      </c>
      <c r="H345" s="77" t="str">
        <f aca="false">IF($Q345="","",PROPER(INDEX('Reguler Class Availability'!$I:$I,$Q345)&amp;"")&amp;IF(INDEX('Reguler Class Availability'!$J:$J,$Q345)&amp;""="",""," + asst "&amp;PROPER(INDEX('Reguler Class Availability'!$J:$J,$Q345)&amp;"")))</f>
        <v/>
      </c>
      <c r="I345" s="77" t="s">
        <v>534</v>
      </c>
      <c r="J345" s="77" t="s">
        <v>260</v>
      </c>
      <c r="K345" s="78"/>
      <c r="L345" s="78"/>
      <c r="M345" s="78"/>
      <c r="N345" s="79"/>
      <c r="O345" s="78"/>
      <c r="Q345" s="30" t="n">
        <f aca="false">IFERROR(MATCH($B$4&amp;"|- Lane "&amp;D345&amp;" - "&amp;B345&amp;"|"&amp;C345,'Reguler Class Availability'!$L:$L,0),"")</f>
        <v>2641</v>
      </c>
      <c r="BD345" s="30" t="s">
        <v>154</v>
      </c>
      <c r="BE345" s="30" t="n">
        <f aca="false">IF(COUNTIFS('Reguler Class Availability'!$L:$L,$B$4&amp;"|- Lane 6 - *|"&amp;BD345)&gt;0,1,0)</f>
        <v>0</v>
      </c>
      <c r="BF345" s="30" t="n">
        <f aca="false">BE345+BF344</f>
        <v>11</v>
      </c>
    </row>
    <row r="346" customFormat="false" ht="27.75" hidden="false" customHeight="true" outlineLevel="0" collapsed="false">
      <c r="A346" s="76" t="n">
        <v>220</v>
      </c>
      <c r="B346" s="77" t="s">
        <v>118</v>
      </c>
      <c r="C346" s="76" t="s">
        <v>121</v>
      </c>
      <c r="D346" s="76" t="n">
        <v>4</v>
      </c>
      <c r="E346" s="77" t="str">
        <f aca="false">IF($Q346="","Tidak ada di data",IF(AND(IFERROR(--(INDEX('Reguler Class Availability'!$F:$F,$Q346)&amp;""),0)=0,IFERROR(--(INDEX('Reguler Class Availability'!$G:$G,$Q346)&amp;""),0)=0),"Tutup",IF(IFERROR(--(INDEX('Reguler Class Availability'!$G:$G,$Q346)&amp;""),0)&gt;IFERROR(--(INDEX('Reguler Class Availability'!$F:$F,$Q346)&amp;""),0),"Lebih",IF(IFERROR(--(INDEX('Reguler Class Availability'!$G:$G,$Q346)&amp;""),0)=IFERROR(--(INDEX('Reguler Class Availability'!$F:$F,$Q346)&amp;""),0),"Penuh",IF(IFERROR(--(INDEX('Reguler Class Availability'!$G:$G,$Q346)&amp;""),0)=0,IF(INDEX('Reguler Class Availability'!$B:$B,$Q346)&amp;""="","Kosong","Belum terisi"),IF(IFERROR(--(INDEX('Reguler Class Availability'!$G:$G,$Q346)&amp;""),0)/IFERROR(--(INDEX('Reguler Class Availability'!$F:$F,$Q346)&amp;""),0)&gt;=0.6,"Tinggi","Sebagian"))))))</f>
        <v>Belum terisi</v>
      </c>
      <c r="F346" s="77" t="str">
        <f aca="false">IF($Q346="","",PROPER(INDEX('Reguler Class Availability'!$B:$B,$Q346)&amp;""))</f>
        <v>Kids</v>
      </c>
      <c r="G346" s="76" t="n">
        <f aca="false">IF($Q346="","",IFERROR(--(INDEX('Reguler Class Availability'!$F:$F,$Q346)&amp;""),0))</f>
        <v>4</v>
      </c>
      <c r="H346" s="77" t="str">
        <f aca="false">IF($Q346="","",PROPER(INDEX('Reguler Class Availability'!$I:$I,$Q346)&amp;"")&amp;IF(INDEX('Reguler Class Availability'!$J:$J,$Q346)&amp;""="",""," + asst "&amp;PROPER(INDEX('Reguler Class Availability'!$J:$J,$Q346)&amp;"")))</f>
        <v/>
      </c>
      <c r="I346" s="77" t="s">
        <v>534</v>
      </c>
      <c r="J346" s="77" t="s">
        <v>260</v>
      </c>
      <c r="K346" s="78"/>
      <c r="L346" s="78"/>
      <c r="M346" s="78"/>
      <c r="N346" s="79"/>
      <c r="O346" s="78"/>
      <c r="Q346" s="30" t="n">
        <f aca="false">IFERROR(MATCH($B$4&amp;"|- Lane "&amp;D346&amp;" - "&amp;B346&amp;"|"&amp;C346,'Reguler Class Availability'!$L:$L,0),"")</f>
        <v>2725</v>
      </c>
      <c r="BD346" s="30" t="s">
        <v>155</v>
      </c>
      <c r="BE346" s="30" t="n">
        <f aca="false">IF(COUNTIFS('Reguler Class Availability'!$L:$L,$B$4&amp;"|- Lane 6 - *|"&amp;BD346)&gt;0,1,0)</f>
        <v>1</v>
      </c>
      <c r="BF346" s="30" t="n">
        <f aca="false">BE346+BF345</f>
        <v>12</v>
      </c>
    </row>
    <row r="347" customFormat="false" ht="27.75" hidden="false" customHeight="true" outlineLevel="0" collapsed="false">
      <c r="A347" s="76" t="n">
        <v>221</v>
      </c>
      <c r="B347" s="77" t="s">
        <v>118</v>
      </c>
      <c r="C347" s="76" t="s">
        <v>123</v>
      </c>
      <c r="D347" s="76" t="n">
        <v>1</v>
      </c>
      <c r="E347" s="77" t="str">
        <f aca="false">IF($Q347="","Tidak ada di data",IF(AND(IFERROR(--(INDEX('Reguler Class Availability'!$F:$F,$Q347)&amp;""),0)=0,IFERROR(--(INDEX('Reguler Class Availability'!$G:$G,$Q347)&amp;""),0)=0),"Tutup",IF(IFERROR(--(INDEX('Reguler Class Availability'!$G:$G,$Q347)&amp;""),0)&gt;IFERROR(--(INDEX('Reguler Class Availability'!$F:$F,$Q347)&amp;""),0),"Lebih",IF(IFERROR(--(INDEX('Reguler Class Availability'!$G:$G,$Q347)&amp;""),0)=IFERROR(--(INDEX('Reguler Class Availability'!$F:$F,$Q347)&amp;""),0),"Penuh",IF(IFERROR(--(INDEX('Reguler Class Availability'!$G:$G,$Q347)&amp;""),0)=0,IF(INDEX('Reguler Class Availability'!$B:$B,$Q347)&amp;""="","Kosong","Belum terisi"),IF(IFERROR(--(INDEX('Reguler Class Availability'!$G:$G,$Q347)&amp;""),0)/IFERROR(--(INDEX('Reguler Class Availability'!$F:$F,$Q347)&amp;""),0)&gt;=0.6,"Tinggi","Sebagian"))))))</f>
        <v>Belum terisi</v>
      </c>
      <c r="F347" s="77" t="str">
        <f aca="false">IF($Q347="","",PROPER(INDEX('Reguler Class Availability'!$B:$B,$Q347)&amp;""))</f>
        <v>Baby</v>
      </c>
      <c r="G347" s="76" t="n">
        <f aca="false">IF($Q347="","",IFERROR(--(INDEX('Reguler Class Availability'!$F:$F,$Q347)&amp;""),0))</f>
        <v>5</v>
      </c>
      <c r="H347" s="77" t="str">
        <f aca="false">IF($Q347="","",PROPER(INDEX('Reguler Class Availability'!$I:$I,$Q347)&amp;"")&amp;IF(INDEX('Reguler Class Availability'!$J:$J,$Q347)&amp;""="",""," + asst "&amp;PROPER(INDEX('Reguler Class Availability'!$J:$J,$Q347)&amp;"")))</f>
        <v/>
      </c>
      <c r="I347" s="77" t="s">
        <v>534</v>
      </c>
      <c r="J347" s="77" t="s">
        <v>288</v>
      </c>
      <c r="K347" s="78"/>
      <c r="L347" s="78"/>
      <c r="M347" s="78"/>
      <c r="N347" s="79"/>
      <c r="O347" s="78"/>
      <c r="Q347" s="30" t="n">
        <f aca="false">IFERROR(MATCH($B$4&amp;"|- Lane "&amp;D347&amp;" - "&amp;B347&amp;"|"&amp;C347,'Reguler Class Availability'!$L:$L,0),"")</f>
        <v>2460</v>
      </c>
      <c r="BD347" s="30" t="s">
        <v>156</v>
      </c>
      <c r="BE347" s="30" t="n">
        <f aca="false">IF(COUNTIFS('Reguler Class Availability'!$L:$L,$B$4&amp;"|- Lane 6 - *|"&amp;BD347)&gt;0,1,0)</f>
        <v>0</v>
      </c>
      <c r="BF347" s="30" t="n">
        <f aca="false">BE347+BF346</f>
        <v>12</v>
      </c>
    </row>
    <row r="348" customFormat="false" ht="27.75" hidden="false" customHeight="true" outlineLevel="0" collapsed="false">
      <c r="A348" s="76" t="n">
        <v>222</v>
      </c>
      <c r="B348" s="77" t="s">
        <v>118</v>
      </c>
      <c r="C348" s="76" t="s">
        <v>123</v>
      </c>
      <c r="D348" s="76" t="n">
        <v>5</v>
      </c>
      <c r="E348" s="77" t="str">
        <f aca="false">IF($Q348="","Tidak ada di data",IF(AND(IFERROR(--(INDEX('Reguler Class Availability'!$F:$F,$Q348)&amp;""),0)=0,IFERROR(--(INDEX('Reguler Class Availability'!$G:$G,$Q348)&amp;""),0)=0),"Tutup",IF(IFERROR(--(INDEX('Reguler Class Availability'!$G:$G,$Q348)&amp;""),0)&gt;IFERROR(--(INDEX('Reguler Class Availability'!$F:$F,$Q348)&amp;""),0),"Lebih",IF(IFERROR(--(INDEX('Reguler Class Availability'!$G:$G,$Q348)&amp;""),0)=IFERROR(--(INDEX('Reguler Class Availability'!$F:$F,$Q348)&amp;""),0),"Penuh",IF(IFERROR(--(INDEX('Reguler Class Availability'!$G:$G,$Q348)&amp;""),0)=0,IF(INDEX('Reguler Class Availability'!$B:$B,$Q348)&amp;""="","Kosong","Belum terisi"),IF(IFERROR(--(INDEX('Reguler Class Availability'!$G:$G,$Q348)&amp;""),0)/IFERROR(--(INDEX('Reguler Class Availability'!$F:$F,$Q348)&amp;""),0)&gt;=0.6,"Tinggi","Sebagian"))))))</f>
        <v>Kosong</v>
      </c>
      <c r="F348" s="77" t="str">
        <f aca="false">IF($Q348="","",PROPER(INDEX('Reguler Class Availability'!$B:$B,$Q348)&amp;""))</f>
        <v/>
      </c>
      <c r="G348" s="76" t="n">
        <f aca="false">IF($Q348="","",IFERROR(--(INDEX('Reguler Class Availability'!$F:$F,$Q348)&amp;""),0))</f>
        <v>4</v>
      </c>
      <c r="H348" s="77" t="str">
        <f aca="false">IF($Q348="","",PROPER(INDEX('Reguler Class Availability'!$I:$I,$Q348)&amp;"")&amp;IF(INDEX('Reguler Class Availability'!$J:$J,$Q348)&amp;""="",""," + asst "&amp;PROPER(INDEX('Reguler Class Availability'!$J:$J,$Q348)&amp;"")))</f>
        <v/>
      </c>
      <c r="I348" s="77" t="s">
        <v>534</v>
      </c>
      <c r="J348" s="77" t="s">
        <v>260</v>
      </c>
      <c r="K348" s="78"/>
      <c r="L348" s="78"/>
      <c r="M348" s="78"/>
      <c r="N348" s="79"/>
      <c r="O348" s="78"/>
      <c r="Q348" s="30" t="n">
        <f aca="false">IFERROR(MATCH($B$4&amp;"|- Lane "&amp;D348&amp;" - "&amp;B348&amp;"|"&amp;C348,'Reguler Class Availability'!$L:$L,0),"")</f>
        <v>2810</v>
      </c>
      <c r="BD348" s="30" t="s">
        <v>157</v>
      </c>
      <c r="BE348" s="30" t="n">
        <f aca="false">IF(COUNTIFS('Reguler Class Availability'!$L:$L,$B$4&amp;"|- Lane 6 - *|"&amp;BD348)&gt;0,1,0)</f>
        <v>0</v>
      </c>
      <c r="BF348" s="30" t="n">
        <f aca="false">BE348+BF347</f>
        <v>12</v>
      </c>
    </row>
    <row r="349" customFormat="false" ht="27.75" hidden="false" customHeight="true" outlineLevel="0" collapsed="false">
      <c r="A349" s="76" t="n">
        <v>223</v>
      </c>
      <c r="B349" s="77" t="s">
        <v>118</v>
      </c>
      <c r="C349" s="76" t="s">
        <v>124</v>
      </c>
      <c r="D349" s="76" t="n">
        <v>3</v>
      </c>
      <c r="E349" s="77" t="str">
        <f aca="false">IF($Q349="","Tidak ada di data",IF(AND(IFERROR(--(INDEX('Reguler Class Availability'!$F:$F,$Q349)&amp;""),0)=0,IFERROR(--(INDEX('Reguler Class Availability'!$G:$G,$Q349)&amp;""),0)=0),"Tutup",IF(IFERROR(--(INDEX('Reguler Class Availability'!$G:$G,$Q349)&amp;""),0)&gt;IFERROR(--(INDEX('Reguler Class Availability'!$F:$F,$Q349)&amp;""),0),"Lebih",IF(IFERROR(--(INDEX('Reguler Class Availability'!$G:$G,$Q349)&amp;""),0)=IFERROR(--(INDEX('Reguler Class Availability'!$F:$F,$Q349)&amp;""),0),"Penuh",IF(IFERROR(--(INDEX('Reguler Class Availability'!$G:$G,$Q349)&amp;""),0)=0,IF(INDEX('Reguler Class Availability'!$B:$B,$Q349)&amp;""="","Kosong","Belum terisi"),IF(IFERROR(--(INDEX('Reguler Class Availability'!$G:$G,$Q349)&amp;""),0)/IFERROR(--(INDEX('Reguler Class Availability'!$F:$F,$Q349)&amp;""),0)&gt;=0.6,"Tinggi","Sebagian"))))))</f>
        <v>Belum terisi</v>
      </c>
      <c r="F349" s="77" t="str">
        <f aca="false">IF($Q349="","",PROPER(INDEX('Reguler Class Availability'!$B:$B,$Q349)&amp;""))</f>
        <v>Little</v>
      </c>
      <c r="G349" s="76" t="n">
        <f aca="false">IF($Q349="","",IFERROR(--(INDEX('Reguler Class Availability'!$F:$F,$Q349)&amp;""),0))</f>
        <v>4</v>
      </c>
      <c r="H349" s="77" t="str">
        <f aca="false">IF($Q349="","",PROPER(INDEX('Reguler Class Availability'!$I:$I,$Q349)&amp;"")&amp;IF(INDEX('Reguler Class Availability'!$J:$J,$Q349)&amp;""="",""," + asst "&amp;PROPER(INDEX('Reguler Class Availability'!$J:$J,$Q349)&amp;"")))</f>
        <v/>
      </c>
      <c r="I349" s="77" t="s">
        <v>534</v>
      </c>
      <c r="J349" s="77" t="s">
        <v>260</v>
      </c>
      <c r="K349" s="78"/>
      <c r="L349" s="78"/>
      <c r="M349" s="78"/>
      <c r="N349" s="79"/>
      <c r="O349" s="78"/>
      <c r="Q349" s="30" t="n">
        <f aca="false">IFERROR(MATCH($B$4&amp;"|- Lane "&amp;D349&amp;" - "&amp;B349&amp;"|"&amp;C349,'Reguler Class Availability'!$L:$L,0),"")</f>
        <v>2642</v>
      </c>
      <c r="BD349" s="30" t="s">
        <v>158</v>
      </c>
      <c r="BE349" s="30" t="n">
        <f aca="false">IF(COUNTIFS('Reguler Class Availability'!$L:$L,$B$4&amp;"|- Lane 6 - *|"&amp;BD349)&gt;0,1,0)</f>
        <v>0</v>
      </c>
      <c r="BF349" s="30" t="n">
        <f aca="false">BE349+BF348</f>
        <v>12</v>
      </c>
    </row>
    <row r="350" customFormat="false" ht="27.75" hidden="false" customHeight="true" outlineLevel="0" collapsed="false">
      <c r="A350" s="76" t="n">
        <v>224</v>
      </c>
      <c r="B350" s="77" t="s">
        <v>118</v>
      </c>
      <c r="C350" s="76" t="s">
        <v>124</v>
      </c>
      <c r="D350" s="76" t="n">
        <v>4</v>
      </c>
      <c r="E350" s="77" t="str">
        <f aca="false">IF($Q350="","Tidak ada di data",IF(AND(IFERROR(--(INDEX('Reguler Class Availability'!$F:$F,$Q350)&amp;""),0)=0,IFERROR(--(INDEX('Reguler Class Availability'!$G:$G,$Q350)&amp;""),0)=0),"Tutup",IF(IFERROR(--(INDEX('Reguler Class Availability'!$G:$G,$Q350)&amp;""),0)&gt;IFERROR(--(INDEX('Reguler Class Availability'!$F:$F,$Q350)&amp;""),0),"Lebih",IF(IFERROR(--(INDEX('Reguler Class Availability'!$G:$G,$Q350)&amp;""),0)=IFERROR(--(INDEX('Reguler Class Availability'!$F:$F,$Q350)&amp;""),0),"Penuh",IF(IFERROR(--(INDEX('Reguler Class Availability'!$G:$G,$Q350)&amp;""),0)=0,IF(INDEX('Reguler Class Availability'!$B:$B,$Q350)&amp;""="","Kosong","Belum terisi"),IF(IFERROR(--(INDEX('Reguler Class Availability'!$G:$G,$Q350)&amp;""),0)/IFERROR(--(INDEX('Reguler Class Availability'!$F:$F,$Q350)&amp;""),0)&gt;=0.6,"Tinggi","Sebagian"))))))</f>
        <v>Belum terisi</v>
      </c>
      <c r="F350" s="77" t="str">
        <f aca="false">IF($Q350="","",PROPER(INDEX('Reguler Class Availability'!$B:$B,$Q350)&amp;""))</f>
        <v>Kids</v>
      </c>
      <c r="G350" s="76" t="n">
        <f aca="false">IF($Q350="","",IFERROR(--(INDEX('Reguler Class Availability'!$F:$F,$Q350)&amp;""),0))</f>
        <v>4</v>
      </c>
      <c r="H350" s="77" t="str">
        <f aca="false">IF($Q350="","",PROPER(INDEX('Reguler Class Availability'!$I:$I,$Q350)&amp;"")&amp;IF(INDEX('Reguler Class Availability'!$J:$J,$Q350)&amp;""="",""," + asst "&amp;PROPER(INDEX('Reguler Class Availability'!$J:$J,$Q350)&amp;"")))</f>
        <v/>
      </c>
      <c r="I350" s="77" t="s">
        <v>534</v>
      </c>
      <c r="J350" s="77" t="s">
        <v>260</v>
      </c>
      <c r="K350" s="78"/>
      <c r="L350" s="78"/>
      <c r="M350" s="78"/>
      <c r="N350" s="79"/>
      <c r="O350" s="78"/>
      <c r="Q350" s="30" t="n">
        <f aca="false">IFERROR(MATCH($B$4&amp;"|- Lane "&amp;D350&amp;" - "&amp;B350&amp;"|"&amp;C350,'Reguler Class Availability'!$L:$L,0),"")</f>
        <v>2726</v>
      </c>
      <c r="BD350" s="30" t="s">
        <v>160</v>
      </c>
      <c r="BE350" s="30" t="n">
        <f aca="false">IF(COUNTIFS('Reguler Class Availability'!$L:$L,$B$4&amp;"|- Lane 6 - *|"&amp;BD350)&gt;0,1,0)</f>
        <v>0</v>
      </c>
      <c r="BF350" s="30" t="n">
        <f aca="false">BE350+BF349</f>
        <v>12</v>
      </c>
    </row>
    <row r="351" customFormat="false" ht="27.75" hidden="false" customHeight="true" outlineLevel="0" collapsed="false">
      <c r="A351" s="76" t="n">
        <v>225</v>
      </c>
      <c r="B351" s="77" t="s">
        <v>118</v>
      </c>
      <c r="C351" s="76" t="s">
        <v>126</v>
      </c>
      <c r="D351" s="76" t="n">
        <v>1</v>
      </c>
      <c r="E351" s="77" t="str">
        <f aca="false">IF($Q351="","Tidak ada di data",IF(AND(IFERROR(--(INDEX('Reguler Class Availability'!$F:$F,$Q351)&amp;""),0)=0,IFERROR(--(INDEX('Reguler Class Availability'!$G:$G,$Q351)&amp;""),0)=0),"Tutup",IF(IFERROR(--(INDEX('Reguler Class Availability'!$G:$G,$Q351)&amp;""),0)&gt;IFERROR(--(INDEX('Reguler Class Availability'!$F:$F,$Q351)&amp;""),0),"Lebih",IF(IFERROR(--(INDEX('Reguler Class Availability'!$G:$G,$Q351)&amp;""),0)=IFERROR(--(INDEX('Reguler Class Availability'!$F:$F,$Q351)&amp;""),0),"Penuh",IF(IFERROR(--(INDEX('Reguler Class Availability'!$G:$G,$Q351)&amp;""),0)=0,IF(INDEX('Reguler Class Availability'!$B:$B,$Q351)&amp;""="","Kosong","Belum terisi"),IF(IFERROR(--(INDEX('Reguler Class Availability'!$G:$G,$Q351)&amp;""),0)/IFERROR(--(INDEX('Reguler Class Availability'!$F:$F,$Q351)&amp;""),0)&gt;=0.6,"Tinggi","Sebagian"))))))</f>
        <v>Belum terisi</v>
      </c>
      <c r="F351" s="77" t="str">
        <f aca="false">IF($Q351="","",PROPER(INDEX('Reguler Class Availability'!$B:$B,$Q351)&amp;""))</f>
        <v>Baby</v>
      </c>
      <c r="G351" s="76" t="n">
        <f aca="false">IF($Q351="","",IFERROR(--(INDEX('Reguler Class Availability'!$F:$F,$Q351)&amp;""),0))</f>
        <v>5</v>
      </c>
      <c r="H351" s="77" t="str">
        <f aca="false">IF($Q351="","",PROPER(INDEX('Reguler Class Availability'!$I:$I,$Q351)&amp;"")&amp;IF(INDEX('Reguler Class Availability'!$J:$J,$Q351)&amp;""="",""," + asst "&amp;PROPER(INDEX('Reguler Class Availability'!$J:$J,$Q351)&amp;"")))</f>
        <v/>
      </c>
      <c r="I351" s="77" t="s">
        <v>535</v>
      </c>
      <c r="J351" s="77" t="s">
        <v>186</v>
      </c>
      <c r="K351" s="78"/>
      <c r="L351" s="78"/>
      <c r="M351" s="78"/>
      <c r="N351" s="79"/>
      <c r="O351" s="78"/>
      <c r="Q351" s="30" t="n">
        <f aca="false">IFERROR(MATCH($B$4&amp;"|- Lane "&amp;D351&amp;" - "&amp;B351&amp;"|"&amp;C351,'Reguler Class Availability'!$L:$L,0),"")</f>
        <v>2461</v>
      </c>
      <c r="BD351" s="30" t="s">
        <v>161</v>
      </c>
      <c r="BE351" s="30" t="n">
        <f aca="false">IF(COUNTIFS('Reguler Class Availability'!$L:$L,$B$4&amp;"|- Lane 6 - *|"&amp;BD351)&gt;0,1,0)</f>
        <v>0</v>
      </c>
      <c r="BF351" s="30" t="n">
        <f aca="false">BE351+BF350</f>
        <v>12</v>
      </c>
    </row>
    <row r="352" customFormat="false" ht="27.75" hidden="false" customHeight="true" outlineLevel="0" collapsed="false">
      <c r="A352" s="76" t="n">
        <v>226</v>
      </c>
      <c r="B352" s="77" t="s">
        <v>118</v>
      </c>
      <c r="C352" s="76" t="s">
        <v>126</v>
      </c>
      <c r="D352" s="76" t="n">
        <v>2</v>
      </c>
      <c r="E352" s="77" t="str">
        <f aca="false">IF($Q352="","Tidak ada di data",IF(AND(IFERROR(--(INDEX('Reguler Class Availability'!$F:$F,$Q352)&amp;""),0)=0,IFERROR(--(INDEX('Reguler Class Availability'!$G:$G,$Q352)&amp;""),0)=0),"Tutup",IF(IFERROR(--(INDEX('Reguler Class Availability'!$G:$G,$Q352)&amp;""),0)&gt;IFERROR(--(INDEX('Reguler Class Availability'!$F:$F,$Q352)&amp;""),0),"Lebih",IF(IFERROR(--(INDEX('Reguler Class Availability'!$G:$G,$Q352)&amp;""),0)=IFERROR(--(INDEX('Reguler Class Availability'!$F:$F,$Q352)&amp;""),0),"Penuh",IF(IFERROR(--(INDEX('Reguler Class Availability'!$G:$G,$Q352)&amp;""),0)=0,IF(INDEX('Reguler Class Availability'!$B:$B,$Q352)&amp;""="","Kosong","Belum terisi"),IF(IFERROR(--(INDEX('Reguler Class Availability'!$G:$G,$Q352)&amp;""),0)/IFERROR(--(INDEX('Reguler Class Availability'!$F:$F,$Q352)&amp;""),0)&gt;=0.6,"Tinggi","Sebagian"))))))</f>
        <v>Belum terisi</v>
      </c>
      <c r="F352" s="77" t="str">
        <f aca="false">IF($Q352="","",PROPER(INDEX('Reguler Class Availability'!$B:$B,$Q352)&amp;""))</f>
        <v>Tiny</v>
      </c>
      <c r="G352" s="76" t="n">
        <f aca="false">IF($Q352="","",IFERROR(--(INDEX('Reguler Class Availability'!$F:$F,$Q352)&amp;""),0))</f>
        <v>5</v>
      </c>
      <c r="H352" s="77" t="str">
        <f aca="false">IF($Q352="","",PROPER(INDEX('Reguler Class Availability'!$I:$I,$Q352)&amp;"")&amp;IF(INDEX('Reguler Class Availability'!$J:$J,$Q352)&amp;""="",""," + asst "&amp;PROPER(INDEX('Reguler Class Availability'!$J:$J,$Q352)&amp;"")))</f>
        <v/>
      </c>
      <c r="I352" s="77" t="s">
        <v>535</v>
      </c>
      <c r="J352" s="77" t="s">
        <v>186</v>
      </c>
      <c r="K352" s="78"/>
      <c r="L352" s="78"/>
      <c r="M352" s="78"/>
      <c r="N352" s="79"/>
      <c r="O352" s="78"/>
      <c r="Q352" s="30" t="n">
        <f aca="false">IFERROR(MATCH($B$4&amp;"|- Lane "&amp;D352&amp;" - "&amp;B352&amp;"|"&amp;C352,'Reguler Class Availability'!$L:$L,0),"")</f>
        <v>2559</v>
      </c>
      <c r="BD352" s="30" t="s">
        <v>162</v>
      </c>
      <c r="BE352" s="30" t="n">
        <f aca="false">IF(COUNTIFS('Reguler Class Availability'!$L:$L,$B$4&amp;"|- Lane 6 - *|"&amp;BD352)&gt;0,1,0)</f>
        <v>0</v>
      </c>
      <c r="BF352" s="30" t="n">
        <f aca="false">BE352+BF351</f>
        <v>12</v>
      </c>
    </row>
    <row r="353" customFormat="false" ht="27.75" hidden="false" customHeight="true" outlineLevel="0" collapsed="false">
      <c r="A353" s="76" t="n">
        <v>227</v>
      </c>
      <c r="B353" s="77" t="s">
        <v>118</v>
      </c>
      <c r="C353" s="76" t="s">
        <v>126</v>
      </c>
      <c r="D353" s="76" t="n">
        <v>5</v>
      </c>
      <c r="E353" s="77" t="str">
        <f aca="false">IF($Q353="","Tidak ada di data",IF(AND(IFERROR(--(INDEX('Reguler Class Availability'!$F:$F,$Q353)&amp;""),0)=0,IFERROR(--(INDEX('Reguler Class Availability'!$G:$G,$Q353)&amp;""),0)=0),"Tutup",IF(IFERROR(--(INDEX('Reguler Class Availability'!$G:$G,$Q353)&amp;""),0)&gt;IFERROR(--(INDEX('Reguler Class Availability'!$F:$F,$Q353)&amp;""),0),"Lebih",IF(IFERROR(--(INDEX('Reguler Class Availability'!$G:$G,$Q353)&amp;""),0)=IFERROR(--(INDEX('Reguler Class Availability'!$F:$F,$Q353)&amp;""),0),"Penuh",IF(IFERROR(--(INDEX('Reguler Class Availability'!$G:$G,$Q353)&amp;""),0)=0,IF(INDEX('Reguler Class Availability'!$B:$B,$Q353)&amp;""="","Kosong","Belum terisi"),IF(IFERROR(--(INDEX('Reguler Class Availability'!$G:$G,$Q353)&amp;""),0)/IFERROR(--(INDEX('Reguler Class Availability'!$F:$F,$Q353)&amp;""),0)&gt;=0.6,"Tinggi","Sebagian"))))))</f>
        <v>Kosong</v>
      </c>
      <c r="F353" s="77" t="str">
        <f aca="false">IF($Q353="","",PROPER(INDEX('Reguler Class Availability'!$B:$B,$Q353)&amp;""))</f>
        <v/>
      </c>
      <c r="G353" s="76" t="n">
        <f aca="false">IF($Q353="","",IFERROR(--(INDEX('Reguler Class Availability'!$F:$F,$Q353)&amp;""),0))</f>
        <v>4</v>
      </c>
      <c r="H353" s="77" t="str">
        <f aca="false">IF($Q353="","",PROPER(INDEX('Reguler Class Availability'!$I:$I,$Q353)&amp;"")&amp;IF(INDEX('Reguler Class Availability'!$J:$J,$Q353)&amp;""="",""," + asst "&amp;PROPER(INDEX('Reguler Class Availability'!$J:$J,$Q353)&amp;"")))</f>
        <v/>
      </c>
      <c r="I353" s="77" t="s">
        <v>535</v>
      </c>
      <c r="J353" s="77" t="s">
        <v>186</v>
      </c>
      <c r="K353" s="78"/>
      <c r="L353" s="78"/>
      <c r="M353" s="78"/>
      <c r="N353" s="79"/>
      <c r="O353" s="78"/>
      <c r="Q353" s="30" t="n">
        <f aca="false">IFERROR(MATCH($B$4&amp;"|- Lane "&amp;D353&amp;" - "&amp;B353&amp;"|"&amp;C353,'Reguler Class Availability'!$L:$L,0),"")</f>
        <v>2811</v>
      </c>
      <c r="BD353" s="30" t="s">
        <v>163</v>
      </c>
      <c r="BE353" s="30" t="n">
        <f aca="false">IF(COUNTIFS('Reguler Class Availability'!$L:$L,$B$4&amp;"|- Lane 6 - *|"&amp;BD353)&gt;0,1,0)</f>
        <v>0</v>
      </c>
      <c r="BF353" s="30" t="n">
        <f aca="false">BE353+BF352</f>
        <v>12</v>
      </c>
    </row>
    <row r="354" customFormat="false" ht="27.75" hidden="false" customHeight="true" outlineLevel="0" collapsed="false">
      <c r="A354" s="76" t="n">
        <v>228</v>
      </c>
      <c r="B354" s="77" t="s">
        <v>118</v>
      </c>
      <c r="C354" s="76" t="s">
        <v>127</v>
      </c>
      <c r="D354" s="76" t="n">
        <v>4</v>
      </c>
      <c r="E354" s="77" t="str">
        <f aca="false">IF($Q354="","Tidak ada di data",IF(AND(IFERROR(--(INDEX('Reguler Class Availability'!$F:$F,$Q354)&amp;""),0)=0,IFERROR(--(INDEX('Reguler Class Availability'!$G:$G,$Q354)&amp;""),0)=0),"Tutup",IF(IFERROR(--(INDEX('Reguler Class Availability'!$G:$G,$Q354)&amp;""),0)&gt;IFERROR(--(INDEX('Reguler Class Availability'!$F:$F,$Q354)&amp;""),0),"Lebih",IF(IFERROR(--(INDEX('Reguler Class Availability'!$G:$G,$Q354)&amp;""),0)=IFERROR(--(INDEX('Reguler Class Availability'!$F:$F,$Q354)&amp;""),0),"Penuh",IF(IFERROR(--(INDEX('Reguler Class Availability'!$G:$G,$Q354)&amp;""),0)=0,IF(INDEX('Reguler Class Availability'!$B:$B,$Q354)&amp;""="","Kosong","Belum terisi"),IF(IFERROR(--(INDEX('Reguler Class Availability'!$G:$G,$Q354)&amp;""),0)/IFERROR(--(INDEX('Reguler Class Availability'!$F:$F,$Q354)&amp;""),0)&gt;=0.6,"Tinggi","Sebagian"))))))</f>
        <v>Belum terisi</v>
      </c>
      <c r="F354" s="77" t="str">
        <f aca="false">IF($Q354="","",PROPER(INDEX('Reguler Class Availability'!$B:$B,$Q354)&amp;""))</f>
        <v>Kids</v>
      </c>
      <c r="G354" s="76" t="n">
        <f aca="false">IF($Q354="","",IFERROR(--(INDEX('Reguler Class Availability'!$F:$F,$Q354)&amp;""),0))</f>
        <v>4</v>
      </c>
      <c r="H354" s="77" t="str">
        <f aca="false">IF($Q354="","",PROPER(INDEX('Reguler Class Availability'!$I:$I,$Q354)&amp;"")&amp;IF(INDEX('Reguler Class Availability'!$J:$J,$Q354)&amp;""="",""," + asst "&amp;PROPER(INDEX('Reguler Class Availability'!$J:$J,$Q354)&amp;"")))</f>
        <v/>
      </c>
      <c r="I354" s="77" t="s">
        <v>535</v>
      </c>
      <c r="J354" s="77" t="s">
        <v>186</v>
      </c>
      <c r="K354" s="78"/>
      <c r="L354" s="78"/>
      <c r="M354" s="78"/>
      <c r="N354" s="79"/>
      <c r="O354" s="78"/>
      <c r="Q354" s="30" t="n">
        <f aca="false">IFERROR(MATCH($B$4&amp;"|- Lane "&amp;D354&amp;" - "&amp;B354&amp;"|"&amp;C354,'Reguler Class Availability'!$L:$L,0),"")</f>
        <v>2727</v>
      </c>
      <c r="BD354" s="30" t="s">
        <v>164</v>
      </c>
      <c r="BE354" s="30" t="n">
        <f aca="false">IF(COUNTIFS('Reguler Class Availability'!$L:$L,$B$4&amp;"|- Lane 6 - *|"&amp;BD354)&gt;0,1,0)</f>
        <v>0</v>
      </c>
      <c r="BF354" s="30" t="n">
        <f aca="false">BE354+BF353</f>
        <v>12</v>
      </c>
    </row>
    <row r="355" customFormat="false" ht="27.75" hidden="false" customHeight="true" outlineLevel="0" collapsed="false">
      <c r="A355" s="76" t="n">
        <v>229</v>
      </c>
      <c r="B355" s="77" t="s">
        <v>118</v>
      </c>
      <c r="C355" s="76" t="s">
        <v>129</v>
      </c>
      <c r="D355" s="76" t="n">
        <v>1</v>
      </c>
      <c r="E355" s="77" t="str">
        <f aca="false">IF($Q355="","Tidak ada di data",IF(AND(IFERROR(--(INDEX('Reguler Class Availability'!$F:$F,$Q355)&amp;""),0)=0,IFERROR(--(INDEX('Reguler Class Availability'!$G:$G,$Q355)&amp;""),0)=0),"Tutup",IF(IFERROR(--(INDEX('Reguler Class Availability'!$G:$G,$Q355)&amp;""),0)&gt;IFERROR(--(INDEX('Reguler Class Availability'!$F:$F,$Q355)&amp;""),0),"Lebih",IF(IFERROR(--(INDEX('Reguler Class Availability'!$G:$G,$Q355)&amp;""),0)=IFERROR(--(INDEX('Reguler Class Availability'!$F:$F,$Q355)&amp;""),0),"Penuh",IF(IFERROR(--(INDEX('Reguler Class Availability'!$G:$G,$Q355)&amp;""),0)=0,IF(INDEX('Reguler Class Availability'!$B:$B,$Q355)&amp;""="","Kosong","Belum terisi"),IF(IFERROR(--(INDEX('Reguler Class Availability'!$G:$G,$Q355)&amp;""),0)/IFERROR(--(INDEX('Reguler Class Availability'!$F:$F,$Q355)&amp;""),0)&gt;=0.6,"Tinggi","Sebagian"))))))</f>
        <v>Belum terisi</v>
      </c>
      <c r="F355" s="77" t="str">
        <f aca="false">IF($Q355="","",PROPER(INDEX('Reguler Class Availability'!$B:$B,$Q355)&amp;""))</f>
        <v>Baby</v>
      </c>
      <c r="G355" s="76" t="n">
        <f aca="false">IF($Q355="","",IFERROR(--(INDEX('Reguler Class Availability'!$F:$F,$Q355)&amp;""),0))</f>
        <v>5</v>
      </c>
      <c r="H355" s="77" t="str">
        <f aca="false">IF($Q355="","",PROPER(INDEX('Reguler Class Availability'!$I:$I,$Q355)&amp;"")&amp;IF(INDEX('Reguler Class Availability'!$J:$J,$Q355)&amp;""="",""," + asst "&amp;PROPER(INDEX('Reguler Class Availability'!$J:$J,$Q355)&amp;"")))</f>
        <v/>
      </c>
      <c r="I355" s="77" t="s">
        <v>525</v>
      </c>
      <c r="J355" s="77" t="s">
        <v>186</v>
      </c>
      <c r="K355" s="78"/>
      <c r="L355" s="78"/>
      <c r="M355" s="78"/>
      <c r="N355" s="79"/>
      <c r="O355" s="78"/>
      <c r="Q355" s="30" t="n">
        <f aca="false">IFERROR(MATCH($B$4&amp;"|- Lane "&amp;D355&amp;" - "&amp;B355&amp;"|"&amp;C355,'Reguler Class Availability'!$L:$L,0),"")</f>
        <v>2462</v>
      </c>
      <c r="BD355" s="30" t="s">
        <v>165</v>
      </c>
      <c r="BE355" s="30" t="n">
        <f aca="false">IF(COUNTIFS('Reguler Class Availability'!$L:$L,$B$4&amp;"|- Lane 6 - *|"&amp;BD355)&gt;0,1,0)</f>
        <v>0</v>
      </c>
      <c r="BF355" s="30" t="n">
        <f aca="false">BE355+BF354</f>
        <v>12</v>
      </c>
    </row>
    <row r="356" customFormat="false" ht="27.75" hidden="false" customHeight="true" outlineLevel="0" collapsed="false">
      <c r="A356" s="76" t="n">
        <v>230</v>
      </c>
      <c r="B356" s="77" t="s">
        <v>118</v>
      </c>
      <c r="C356" s="76" t="s">
        <v>129</v>
      </c>
      <c r="D356" s="76" t="n">
        <v>2</v>
      </c>
      <c r="E356" s="77" t="str">
        <f aca="false">IF($Q356="","Tidak ada di data",IF(AND(IFERROR(--(INDEX('Reguler Class Availability'!$F:$F,$Q356)&amp;""),0)=0,IFERROR(--(INDEX('Reguler Class Availability'!$G:$G,$Q356)&amp;""),0)=0),"Tutup",IF(IFERROR(--(INDEX('Reguler Class Availability'!$G:$G,$Q356)&amp;""),0)&gt;IFERROR(--(INDEX('Reguler Class Availability'!$F:$F,$Q356)&amp;""),0),"Lebih",IF(IFERROR(--(INDEX('Reguler Class Availability'!$G:$G,$Q356)&amp;""),0)=IFERROR(--(INDEX('Reguler Class Availability'!$F:$F,$Q356)&amp;""),0),"Penuh",IF(IFERROR(--(INDEX('Reguler Class Availability'!$G:$G,$Q356)&amp;""),0)=0,IF(INDEX('Reguler Class Availability'!$B:$B,$Q356)&amp;""="","Kosong","Belum terisi"),IF(IFERROR(--(INDEX('Reguler Class Availability'!$G:$G,$Q356)&amp;""),0)/IFERROR(--(INDEX('Reguler Class Availability'!$F:$F,$Q356)&amp;""),0)&gt;=0.6,"Tinggi","Sebagian"))))))</f>
        <v>Belum terisi</v>
      </c>
      <c r="F356" s="77" t="str">
        <f aca="false">IF($Q356="","",PROPER(INDEX('Reguler Class Availability'!$B:$B,$Q356)&amp;""))</f>
        <v>Tiny</v>
      </c>
      <c r="G356" s="76" t="n">
        <f aca="false">IF($Q356="","",IFERROR(--(INDEX('Reguler Class Availability'!$F:$F,$Q356)&amp;""),0))</f>
        <v>5</v>
      </c>
      <c r="H356" s="77" t="str">
        <f aca="false">IF($Q356="","",PROPER(INDEX('Reguler Class Availability'!$I:$I,$Q356)&amp;"")&amp;IF(INDEX('Reguler Class Availability'!$J:$J,$Q356)&amp;""="",""," + asst "&amp;PROPER(INDEX('Reguler Class Availability'!$J:$J,$Q356)&amp;"")))</f>
        <v/>
      </c>
      <c r="I356" s="77" t="s">
        <v>525</v>
      </c>
      <c r="J356" s="77" t="s">
        <v>186</v>
      </c>
      <c r="K356" s="78"/>
      <c r="L356" s="78"/>
      <c r="M356" s="78"/>
      <c r="N356" s="79"/>
      <c r="O356" s="78"/>
      <c r="Q356" s="30" t="n">
        <f aca="false">IFERROR(MATCH($B$4&amp;"|- Lane "&amp;D356&amp;" - "&amp;B356&amp;"|"&amp;C356,'Reguler Class Availability'!$L:$L,0),"")</f>
        <v>2560</v>
      </c>
      <c r="BD356" s="30" t="s">
        <v>166</v>
      </c>
      <c r="BE356" s="30" t="n">
        <f aca="false">IF(COUNTIFS('Reguler Class Availability'!$L:$L,$B$4&amp;"|- Lane 6 - *|"&amp;BD356)&gt;0,1,0)</f>
        <v>0</v>
      </c>
      <c r="BF356" s="30" t="n">
        <f aca="false">BE356+BF355</f>
        <v>12</v>
      </c>
    </row>
    <row r="357" customFormat="false" ht="27.75" hidden="false" customHeight="true" outlineLevel="0" collapsed="false">
      <c r="A357" s="76" t="n">
        <v>231</v>
      </c>
      <c r="B357" s="77" t="s">
        <v>118</v>
      </c>
      <c r="C357" s="76" t="s">
        <v>129</v>
      </c>
      <c r="D357" s="76" t="n">
        <v>5</v>
      </c>
      <c r="E357" s="77" t="str">
        <f aca="false">IF($Q357="","Tidak ada di data",IF(AND(IFERROR(--(INDEX('Reguler Class Availability'!$F:$F,$Q357)&amp;""),0)=0,IFERROR(--(INDEX('Reguler Class Availability'!$G:$G,$Q357)&amp;""),0)=0),"Tutup",IF(IFERROR(--(INDEX('Reguler Class Availability'!$G:$G,$Q357)&amp;""),0)&gt;IFERROR(--(INDEX('Reguler Class Availability'!$F:$F,$Q357)&amp;""),0),"Lebih",IF(IFERROR(--(INDEX('Reguler Class Availability'!$G:$G,$Q357)&amp;""),0)=IFERROR(--(INDEX('Reguler Class Availability'!$F:$F,$Q357)&amp;""),0),"Penuh",IF(IFERROR(--(INDEX('Reguler Class Availability'!$G:$G,$Q357)&amp;""),0)=0,IF(INDEX('Reguler Class Availability'!$B:$B,$Q357)&amp;""="","Kosong","Belum terisi"),IF(IFERROR(--(INDEX('Reguler Class Availability'!$G:$G,$Q357)&amp;""),0)/IFERROR(--(INDEX('Reguler Class Availability'!$F:$F,$Q357)&amp;""),0)&gt;=0.6,"Tinggi","Sebagian"))))))</f>
        <v>Kosong</v>
      </c>
      <c r="F357" s="77" t="str">
        <f aca="false">IF($Q357="","",PROPER(INDEX('Reguler Class Availability'!$B:$B,$Q357)&amp;""))</f>
        <v/>
      </c>
      <c r="G357" s="76" t="n">
        <f aca="false">IF($Q357="","",IFERROR(--(INDEX('Reguler Class Availability'!$F:$F,$Q357)&amp;""),0))</f>
        <v>4</v>
      </c>
      <c r="H357" s="77" t="str">
        <f aca="false">IF($Q357="","",PROPER(INDEX('Reguler Class Availability'!$I:$I,$Q357)&amp;"")&amp;IF(INDEX('Reguler Class Availability'!$J:$J,$Q357)&amp;""="",""," + asst "&amp;PROPER(INDEX('Reguler Class Availability'!$J:$J,$Q357)&amp;"")))</f>
        <v/>
      </c>
      <c r="I357" s="77" t="s">
        <v>525</v>
      </c>
      <c r="J357" s="77" t="s">
        <v>186</v>
      </c>
      <c r="K357" s="78"/>
      <c r="L357" s="78"/>
      <c r="M357" s="78"/>
      <c r="N357" s="79"/>
      <c r="O357" s="78"/>
      <c r="Q357" s="30" t="n">
        <f aca="false">IFERROR(MATCH($B$4&amp;"|- Lane "&amp;D357&amp;" - "&amp;B357&amp;"|"&amp;C357,'Reguler Class Availability'!$L:$L,0),"")</f>
        <v>2812</v>
      </c>
      <c r="BD357" s="30" t="s">
        <v>167</v>
      </c>
      <c r="BE357" s="30" t="n">
        <f aca="false">IF(COUNTIFS('Reguler Class Availability'!$L:$L,$B$4&amp;"|- Lane 6 - *|"&amp;BD357)&gt;0,1,0)</f>
        <v>0</v>
      </c>
      <c r="BF357" s="30" t="n">
        <f aca="false">BE357+BF356</f>
        <v>12</v>
      </c>
    </row>
    <row r="358" customFormat="false" ht="27.75" hidden="false" customHeight="true" outlineLevel="0" collapsed="false">
      <c r="A358" s="76" t="n">
        <v>232</v>
      </c>
      <c r="B358" s="77" t="s">
        <v>118</v>
      </c>
      <c r="C358" s="76" t="s">
        <v>130</v>
      </c>
      <c r="D358" s="76" t="n">
        <v>4</v>
      </c>
      <c r="E358" s="77" t="str">
        <f aca="false">IF($Q358="","Tidak ada di data",IF(AND(IFERROR(--(INDEX('Reguler Class Availability'!$F:$F,$Q358)&amp;""),0)=0,IFERROR(--(INDEX('Reguler Class Availability'!$G:$G,$Q358)&amp;""),0)=0),"Tutup",IF(IFERROR(--(INDEX('Reguler Class Availability'!$G:$G,$Q358)&amp;""),0)&gt;IFERROR(--(INDEX('Reguler Class Availability'!$F:$F,$Q358)&amp;""),0),"Lebih",IF(IFERROR(--(INDEX('Reguler Class Availability'!$G:$G,$Q358)&amp;""),0)=IFERROR(--(INDEX('Reguler Class Availability'!$F:$F,$Q358)&amp;""),0),"Penuh",IF(IFERROR(--(INDEX('Reguler Class Availability'!$G:$G,$Q358)&amp;""),0)=0,IF(INDEX('Reguler Class Availability'!$B:$B,$Q358)&amp;""="","Kosong","Belum terisi"),IF(IFERROR(--(INDEX('Reguler Class Availability'!$G:$G,$Q358)&amp;""),0)/IFERROR(--(INDEX('Reguler Class Availability'!$F:$F,$Q358)&amp;""),0)&gt;=0.6,"Tinggi","Sebagian"))))))</f>
        <v>Belum terisi</v>
      </c>
      <c r="F358" s="77" t="str">
        <f aca="false">IF($Q358="","",PROPER(INDEX('Reguler Class Availability'!$B:$B,$Q358)&amp;""))</f>
        <v>Kids</v>
      </c>
      <c r="G358" s="76" t="n">
        <f aca="false">IF($Q358="","",IFERROR(--(INDEX('Reguler Class Availability'!$F:$F,$Q358)&amp;""),0))</f>
        <v>4</v>
      </c>
      <c r="H358" s="77" t="str">
        <f aca="false">IF($Q358="","",PROPER(INDEX('Reguler Class Availability'!$I:$I,$Q358)&amp;"")&amp;IF(INDEX('Reguler Class Availability'!$J:$J,$Q358)&amp;""="",""," + asst "&amp;PROPER(INDEX('Reguler Class Availability'!$J:$J,$Q358)&amp;"")))</f>
        <v/>
      </c>
      <c r="I358" s="77" t="s">
        <v>530</v>
      </c>
      <c r="J358" s="77" t="s">
        <v>186</v>
      </c>
      <c r="K358" s="78"/>
      <c r="L358" s="78"/>
      <c r="M358" s="78"/>
      <c r="N358" s="79"/>
      <c r="O358" s="78"/>
      <c r="Q358" s="30" t="n">
        <f aca="false">IFERROR(MATCH($B$4&amp;"|- Lane "&amp;D358&amp;" - "&amp;B358&amp;"|"&amp;C358,'Reguler Class Availability'!$L:$L,0),"")</f>
        <v>2728</v>
      </c>
      <c r="BD358" s="30" t="s">
        <v>168</v>
      </c>
      <c r="BE358" s="30" t="n">
        <f aca="false">IF(COUNTIFS('Reguler Class Availability'!$L:$L,$B$4&amp;"|- Lane 6 - *|"&amp;BD358)&gt;0,1,0)</f>
        <v>0</v>
      </c>
      <c r="BF358" s="30" t="n">
        <f aca="false">BE358+BF357</f>
        <v>12</v>
      </c>
    </row>
    <row r="359" customFormat="false" ht="27.75" hidden="false" customHeight="true" outlineLevel="0" collapsed="false">
      <c r="A359" s="76" t="n">
        <v>233</v>
      </c>
      <c r="B359" s="77" t="s">
        <v>118</v>
      </c>
      <c r="C359" s="76" t="s">
        <v>132</v>
      </c>
      <c r="D359" s="76" t="n">
        <v>1</v>
      </c>
      <c r="E359" s="77" t="str">
        <f aca="false">IF($Q359="","Tidak ada di data",IF(AND(IFERROR(--(INDEX('Reguler Class Availability'!$F:$F,$Q359)&amp;""),0)=0,IFERROR(--(INDEX('Reguler Class Availability'!$G:$G,$Q359)&amp;""),0)=0),"Tutup",IF(IFERROR(--(INDEX('Reguler Class Availability'!$G:$G,$Q359)&amp;""),0)&gt;IFERROR(--(INDEX('Reguler Class Availability'!$F:$F,$Q359)&amp;""),0),"Lebih",IF(IFERROR(--(INDEX('Reguler Class Availability'!$G:$G,$Q359)&amp;""),0)=IFERROR(--(INDEX('Reguler Class Availability'!$F:$F,$Q359)&amp;""),0),"Penuh",IF(IFERROR(--(INDEX('Reguler Class Availability'!$G:$G,$Q359)&amp;""),0)=0,IF(INDEX('Reguler Class Availability'!$B:$B,$Q359)&amp;""="","Kosong","Belum terisi"),IF(IFERROR(--(INDEX('Reguler Class Availability'!$G:$G,$Q359)&amp;""),0)/IFERROR(--(INDEX('Reguler Class Availability'!$F:$F,$Q359)&amp;""),0)&gt;=0.6,"Tinggi","Sebagian"))))))</f>
        <v>Belum terisi</v>
      </c>
      <c r="F359" s="77" t="str">
        <f aca="false">IF($Q359="","",PROPER(INDEX('Reguler Class Availability'!$B:$B,$Q359)&amp;""))</f>
        <v>Baby</v>
      </c>
      <c r="G359" s="76" t="n">
        <f aca="false">IF($Q359="","",IFERROR(--(INDEX('Reguler Class Availability'!$F:$F,$Q359)&amp;""),0))</f>
        <v>5</v>
      </c>
      <c r="H359" s="77" t="str">
        <f aca="false">IF($Q359="","",PROPER(INDEX('Reguler Class Availability'!$I:$I,$Q359)&amp;"")&amp;IF(INDEX('Reguler Class Availability'!$J:$J,$Q359)&amp;""="",""," + asst "&amp;PROPER(INDEX('Reguler Class Availability'!$J:$J,$Q359)&amp;"")))</f>
        <v/>
      </c>
      <c r="I359" s="77" t="s">
        <v>530</v>
      </c>
      <c r="J359" s="77" t="s">
        <v>186</v>
      </c>
      <c r="K359" s="78"/>
      <c r="L359" s="78"/>
      <c r="M359" s="78"/>
      <c r="N359" s="79"/>
      <c r="O359" s="78"/>
      <c r="Q359" s="30" t="n">
        <f aca="false">IFERROR(MATCH($B$4&amp;"|- Lane "&amp;D359&amp;" - "&amp;B359&amp;"|"&amp;C359,'Reguler Class Availability'!$L:$L,0),"")</f>
        <v>2463</v>
      </c>
      <c r="BD359" s="30" t="s">
        <v>169</v>
      </c>
      <c r="BE359" s="30" t="n">
        <f aca="false">IF(COUNTIFS('Reguler Class Availability'!$L:$L,$B$4&amp;"|- Lane 6 - *|"&amp;BD359)&gt;0,1,0)</f>
        <v>0</v>
      </c>
      <c r="BF359" s="30" t="n">
        <f aca="false">BE359+BF358</f>
        <v>12</v>
      </c>
    </row>
    <row r="360" customFormat="false" ht="27.75" hidden="false" customHeight="true" outlineLevel="0" collapsed="false">
      <c r="A360" s="76" t="n">
        <v>234</v>
      </c>
      <c r="B360" s="77" t="s">
        <v>118</v>
      </c>
      <c r="C360" s="76" t="s">
        <v>132</v>
      </c>
      <c r="D360" s="76" t="n">
        <v>2</v>
      </c>
      <c r="E360" s="77" t="str">
        <f aca="false">IF($Q360="","Tidak ada di data",IF(AND(IFERROR(--(INDEX('Reguler Class Availability'!$F:$F,$Q360)&amp;""),0)=0,IFERROR(--(INDEX('Reguler Class Availability'!$G:$G,$Q360)&amp;""),0)=0),"Tutup",IF(IFERROR(--(INDEX('Reguler Class Availability'!$G:$G,$Q360)&amp;""),0)&gt;IFERROR(--(INDEX('Reguler Class Availability'!$F:$F,$Q360)&amp;""),0),"Lebih",IF(IFERROR(--(INDEX('Reguler Class Availability'!$G:$G,$Q360)&amp;""),0)=IFERROR(--(INDEX('Reguler Class Availability'!$F:$F,$Q360)&amp;""),0),"Penuh",IF(IFERROR(--(INDEX('Reguler Class Availability'!$G:$G,$Q360)&amp;""),0)=0,IF(INDEX('Reguler Class Availability'!$B:$B,$Q360)&amp;""="","Kosong","Belum terisi"),IF(IFERROR(--(INDEX('Reguler Class Availability'!$G:$G,$Q360)&amp;""),0)/IFERROR(--(INDEX('Reguler Class Availability'!$F:$F,$Q360)&amp;""),0)&gt;=0.6,"Tinggi","Sebagian"))))))</f>
        <v>Belum terisi</v>
      </c>
      <c r="F360" s="77" t="str">
        <f aca="false">IF($Q360="","",PROPER(INDEX('Reguler Class Availability'!$B:$B,$Q360)&amp;""))</f>
        <v>Tiny</v>
      </c>
      <c r="G360" s="76" t="n">
        <f aca="false">IF($Q360="","",IFERROR(--(INDEX('Reguler Class Availability'!$F:$F,$Q360)&amp;""),0))</f>
        <v>5</v>
      </c>
      <c r="H360" s="77" t="str">
        <f aca="false">IF($Q360="","",PROPER(INDEX('Reguler Class Availability'!$I:$I,$Q360)&amp;"")&amp;IF(INDEX('Reguler Class Availability'!$J:$J,$Q360)&amp;""="",""," + asst "&amp;PROPER(INDEX('Reguler Class Availability'!$J:$J,$Q360)&amp;"")))</f>
        <v/>
      </c>
      <c r="I360" s="77" t="s">
        <v>530</v>
      </c>
      <c r="J360" s="77" t="s">
        <v>186</v>
      </c>
      <c r="K360" s="78"/>
      <c r="L360" s="78"/>
      <c r="M360" s="78"/>
      <c r="N360" s="79"/>
      <c r="O360" s="78"/>
      <c r="Q360" s="30" t="n">
        <f aca="false">IFERROR(MATCH($B$4&amp;"|- Lane "&amp;D360&amp;" - "&amp;B360&amp;"|"&amp;C360,'Reguler Class Availability'!$L:$L,0),"")</f>
        <v>2561</v>
      </c>
      <c r="BD360" s="30" t="s">
        <v>170</v>
      </c>
      <c r="BE360" s="30" t="n">
        <f aca="false">IF(COUNTIFS('Reguler Class Availability'!$L:$L,$B$4&amp;"|- Lane 6 - *|"&amp;BD360)&gt;0,1,0)</f>
        <v>0</v>
      </c>
      <c r="BF360" s="30" t="n">
        <f aca="false">BE360+BF359</f>
        <v>12</v>
      </c>
    </row>
    <row r="361" customFormat="false" ht="27.75" hidden="false" customHeight="true" outlineLevel="0" collapsed="false">
      <c r="A361" s="76" t="n">
        <v>235</v>
      </c>
      <c r="B361" s="77" t="s">
        <v>118</v>
      </c>
      <c r="C361" s="76" t="s">
        <v>132</v>
      </c>
      <c r="D361" s="76" t="n">
        <v>5</v>
      </c>
      <c r="E361" s="77" t="str">
        <f aca="false">IF($Q361="","Tidak ada di data",IF(AND(IFERROR(--(INDEX('Reguler Class Availability'!$F:$F,$Q361)&amp;""),0)=0,IFERROR(--(INDEX('Reguler Class Availability'!$G:$G,$Q361)&amp;""),0)=0),"Tutup",IF(IFERROR(--(INDEX('Reguler Class Availability'!$G:$G,$Q361)&amp;""),0)&gt;IFERROR(--(INDEX('Reguler Class Availability'!$F:$F,$Q361)&amp;""),0),"Lebih",IF(IFERROR(--(INDEX('Reguler Class Availability'!$G:$G,$Q361)&amp;""),0)=IFERROR(--(INDEX('Reguler Class Availability'!$F:$F,$Q361)&amp;""),0),"Penuh",IF(IFERROR(--(INDEX('Reguler Class Availability'!$G:$G,$Q361)&amp;""),0)=0,IF(INDEX('Reguler Class Availability'!$B:$B,$Q361)&amp;""="","Kosong","Belum terisi"),IF(IFERROR(--(INDEX('Reguler Class Availability'!$G:$G,$Q361)&amp;""),0)/IFERROR(--(INDEX('Reguler Class Availability'!$F:$F,$Q361)&amp;""),0)&gt;=0.6,"Tinggi","Sebagian"))))))</f>
        <v>Kosong</v>
      </c>
      <c r="F361" s="77" t="str">
        <f aca="false">IF($Q361="","",PROPER(INDEX('Reguler Class Availability'!$B:$B,$Q361)&amp;""))</f>
        <v/>
      </c>
      <c r="G361" s="76" t="n">
        <f aca="false">IF($Q361="","",IFERROR(--(INDEX('Reguler Class Availability'!$F:$F,$Q361)&amp;""),0))</f>
        <v>4</v>
      </c>
      <c r="H361" s="77" t="str">
        <f aca="false">IF($Q361="","",PROPER(INDEX('Reguler Class Availability'!$I:$I,$Q361)&amp;"")&amp;IF(INDEX('Reguler Class Availability'!$J:$J,$Q361)&amp;""="",""," + asst "&amp;PROPER(INDEX('Reguler Class Availability'!$J:$J,$Q361)&amp;"")))</f>
        <v/>
      </c>
      <c r="I361" s="77" t="s">
        <v>530</v>
      </c>
      <c r="J361" s="77" t="s">
        <v>186</v>
      </c>
      <c r="K361" s="78"/>
      <c r="L361" s="78"/>
      <c r="M361" s="78"/>
      <c r="N361" s="79"/>
      <c r="O361" s="78"/>
      <c r="Q361" s="30" t="n">
        <f aca="false">IFERROR(MATCH($B$4&amp;"|- Lane "&amp;D361&amp;" - "&amp;B361&amp;"|"&amp;C361,'Reguler Class Availability'!$L:$L,0),"")</f>
        <v>2813</v>
      </c>
      <c r="BD361" s="30" t="s">
        <v>171</v>
      </c>
      <c r="BE361" s="30" t="n">
        <f aca="false">IF(COUNTIFS('Reguler Class Availability'!$L:$L,$B$4&amp;"|- Lane 6 - *|"&amp;BD361)&gt;0,1,0)</f>
        <v>0</v>
      </c>
      <c r="BF361" s="30" t="n">
        <f aca="false">BE361+BF360</f>
        <v>12</v>
      </c>
    </row>
    <row r="362" customFormat="false" ht="40.5" hidden="false" customHeight="true" outlineLevel="0" collapsed="false">
      <c r="A362" s="76" t="n">
        <v>236</v>
      </c>
      <c r="B362" s="77" t="s">
        <v>118</v>
      </c>
      <c r="C362" s="76" t="s">
        <v>133</v>
      </c>
      <c r="D362" s="76" t="n">
        <v>3</v>
      </c>
      <c r="E362" s="77" t="str">
        <f aca="false">IF($Q362="","Tidak ada di data",IF(AND(IFERROR(--(INDEX('Reguler Class Availability'!$F:$F,$Q362)&amp;""),0)=0,IFERROR(--(INDEX('Reguler Class Availability'!$G:$G,$Q362)&amp;""),0)=0),"Tutup",IF(IFERROR(--(INDEX('Reguler Class Availability'!$G:$G,$Q362)&amp;""),0)&gt;IFERROR(--(INDEX('Reguler Class Availability'!$F:$F,$Q362)&amp;""),0),"Lebih",IF(IFERROR(--(INDEX('Reguler Class Availability'!$G:$G,$Q362)&amp;""),0)=IFERROR(--(INDEX('Reguler Class Availability'!$F:$F,$Q362)&amp;""),0),"Penuh",IF(IFERROR(--(INDEX('Reguler Class Availability'!$G:$G,$Q362)&amp;""),0)=0,IF(INDEX('Reguler Class Availability'!$B:$B,$Q362)&amp;""="","Kosong","Belum terisi"),IF(IFERROR(--(INDEX('Reguler Class Availability'!$G:$G,$Q362)&amp;""),0)/IFERROR(--(INDEX('Reguler Class Availability'!$F:$F,$Q362)&amp;""),0)&gt;=0.6,"Tinggi","Sebagian"))))))</f>
        <v>Belum terisi</v>
      </c>
      <c r="F362" s="77" t="str">
        <f aca="false">IF($Q362="","",PROPER(INDEX('Reguler Class Availability'!$B:$B,$Q362)&amp;""))</f>
        <v>Little</v>
      </c>
      <c r="G362" s="76" t="n">
        <f aca="false">IF($Q362="","",IFERROR(--(INDEX('Reguler Class Availability'!$F:$F,$Q362)&amp;""),0))</f>
        <v>4</v>
      </c>
      <c r="H362" s="77" t="str">
        <f aca="false">IF($Q362="","",PROPER(INDEX('Reguler Class Availability'!$I:$I,$Q362)&amp;"")&amp;IF(INDEX('Reguler Class Availability'!$J:$J,$Q362)&amp;""="",""," + asst "&amp;PROPER(INDEX('Reguler Class Availability'!$J:$J,$Q362)&amp;"")))</f>
        <v/>
      </c>
      <c r="I362" s="77" t="s">
        <v>533</v>
      </c>
      <c r="J362" s="77" t="s">
        <v>186</v>
      </c>
      <c r="K362" s="78"/>
      <c r="L362" s="78"/>
      <c r="M362" s="78"/>
      <c r="N362" s="79"/>
      <c r="O362" s="78"/>
      <c r="Q362" s="30" t="n">
        <f aca="false">IFERROR(MATCH($B$4&amp;"|- Lane "&amp;D362&amp;" - "&amp;B362&amp;"|"&amp;C362,'Reguler Class Availability'!$L:$L,0),"")</f>
        <v>2645</v>
      </c>
    </row>
    <row r="363" customFormat="false" ht="40.5" hidden="false" customHeight="true" outlineLevel="0" collapsed="false">
      <c r="A363" s="76" t="n">
        <v>237</v>
      </c>
      <c r="B363" s="77" t="s">
        <v>118</v>
      </c>
      <c r="C363" s="76" t="s">
        <v>133</v>
      </c>
      <c r="D363" s="76" t="n">
        <v>4</v>
      </c>
      <c r="E363" s="77" t="str">
        <f aca="false">IF($Q363="","Tidak ada di data",IF(AND(IFERROR(--(INDEX('Reguler Class Availability'!$F:$F,$Q363)&amp;""),0)=0,IFERROR(--(INDEX('Reguler Class Availability'!$G:$G,$Q363)&amp;""),0)=0),"Tutup",IF(IFERROR(--(INDEX('Reguler Class Availability'!$G:$G,$Q363)&amp;""),0)&gt;IFERROR(--(INDEX('Reguler Class Availability'!$F:$F,$Q363)&amp;""),0),"Lebih",IF(IFERROR(--(INDEX('Reguler Class Availability'!$G:$G,$Q363)&amp;""),0)=IFERROR(--(INDEX('Reguler Class Availability'!$F:$F,$Q363)&amp;""),0),"Penuh",IF(IFERROR(--(INDEX('Reguler Class Availability'!$G:$G,$Q363)&amp;""),0)=0,IF(INDEX('Reguler Class Availability'!$B:$B,$Q363)&amp;""="","Kosong","Belum terisi"),IF(IFERROR(--(INDEX('Reguler Class Availability'!$G:$G,$Q363)&amp;""),0)/IFERROR(--(INDEX('Reguler Class Availability'!$F:$F,$Q363)&amp;""),0)&gt;=0.6,"Tinggi","Sebagian"))))))</f>
        <v>Belum terisi</v>
      </c>
      <c r="F363" s="77" t="str">
        <f aca="false">IF($Q363="","",PROPER(INDEX('Reguler Class Availability'!$B:$B,$Q363)&amp;""))</f>
        <v>Kids</v>
      </c>
      <c r="G363" s="76" t="n">
        <f aca="false">IF($Q363="","",IFERROR(--(INDEX('Reguler Class Availability'!$F:$F,$Q363)&amp;""),0))</f>
        <v>4</v>
      </c>
      <c r="H363" s="77" t="str">
        <f aca="false">IF($Q363="","",PROPER(INDEX('Reguler Class Availability'!$I:$I,$Q363)&amp;"")&amp;IF(INDEX('Reguler Class Availability'!$J:$J,$Q363)&amp;""="",""," + asst "&amp;PROPER(INDEX('Reguler Class Availability'!$J:$J,$Q363)&amp;"")))</f>
        <v/>
      </c>
      <c r="I363" s="77" t="s">
        <v>533</v>
      </c>
      <c r="J363" s="77" t="s">
        <v>186</v>
      </c>
      <c r="K363" s="78"/>
      <c r="L363" s="78"/>
      <c r="M363" s="78"/>
      <c r="N363" s="79"/>
      <c r="O363" s="78"/>
      <c r="Q363" s="30" t="n">
        <f aca="false">IFERROR(MATCH($B$4&amp;"|- Lane "&amp;D363&amp;" - "&amp;B363&amp;"|"&amp;C363,'Reguler Class Availability'!$L:$L,0),"")</f>
        <v>2729</v>
      </c>
    </row>
    <row r="364" customFormat="false" ht="27.75" hidden="false" customHeight="true" outlineLevel="0" collapsed="false">
      <c r="A364" s="76" t="n">
        <v>238</v>
      </c>
      <c r="B364" s="77" t="s">
        <v>118</v>
      </c>
      <c r="C364" s="76" t="s">
        <v>139</v>
      </c>
      <c r="D364" s="76" t="n">
        <v>1</v>
      </c>
      <c r="E364" s="77" t="str">
        <f aca="false">IF($Q364="","Tidak ada di data",IF(AND(IFERROR(--(INDEX('Reguler Class Availability'!$F:$F,$Q364)&amp;""),0)=0,IFERROR(--(INDEX('Reguler Class Availability'!$G:$G,$Q364)&amp;""),0)=0),"Tutup",IF(IFERROR(--(INDEX('Reguler Class Availability'!$G:$G,$Q364)&amp;""),0)&gt;IFERROR(--(INDEX('Reguler Class Availability'!$F:$F,$Q364)&amp;""),0),"Lebih",IF(IFERROR(--(INDEX('Reguler Class Availability'!$G:$G,$Q364)&amp;""),0)=IFERROR(--(INDEX('Reguler Class Availability'!$F:$F,$Q364)&amp;""),0),"Penuh",IF(IFERROR(--(INDEX('Reguler Class Availability'!$G:$G,$Q364)&amp;""),0)=0,IF(INDEX('Reguler Class Availability'!$B:$B,$Q364)&amp;""="","Kosong","Belum terisi"),IF(IFERROR(--(INDEX('Reguler Class Availability'!$G:$G,$Q364)&amp;""),0)/IFERROR(--(INDEX('Reguler Class Availability'!$F:$F,$Q364)&amp;""),0)&gt;=0.6,"Tinggi","Sebagian"))))))</f>
        <v>Belum terisi</v>
      </c>
      <c r="F364" s="77" t="str">
        <f aca="false">IF($Q364="","",PROPER(INDEX('Reguler Class Availability'!$B:$B,$Q364)&amp;""))</f>
        <v>Baby</v>
      </c>
      <c r="G364" s="76" t="n">
        <f aca="false">IF($Q364="","",IFERROR(--(INDEX('Reguler Class Availability'!$F:$F,$Q364)&amp;""),0))</f>
        <v>5</v>
      </c>
      <c r="H364" s="77" t="str">
        <f aca="false">IF($Q364="","",PROPER(INDEX('Reguler Class Availability'!$I:$I,$Q364)&amp;"")&amp;IF(INDEX('Reguler Class Availability'!$J:$J,$Q364)&amp;""="",""," + asst "&amp;PROPER(INDEX('Reguler Class Availability'!$J:$J,$Q364)&amp;"")))</f>
        <v/>
      </c>
      <c r="I364" s="77" t="s">
        <v>525</v>
      </c>
      <c r="J364" s="77" t="s">
        <v>186</v>
      </c>
      <c r="K364" s="78"/>
      <c r="L364" s="78"/>
      <c r="M364" s="78"/>
      <c r="N364" s="79"/>
      <c r="O364" s="78"/>
      <c r="Q364" s="30" t="n">
        <f aca="false">IFERROR(MATCH($B$4&amp;"|- Lane "&amp;D364&amp;" - "&amp;B364&amp;"|"&amp;C364,'Reguler Class Availability'!$L:$L,0),"")</f>
        <v>2464</v>
      </c>
    </row>
    <row r="365" customFormat="false" ht="27.75" hidden="false" customHeight="true" outlineLevel="0" collapsed="false">
      <c r="A365" s="76" t="n">
        <v>239</v>
      </c>
      <c r="B365" s="77" t="s">
        <v>118</v>
      </c>
      <c r="C365" s="76" t="s">
        <v>139</v>
      </c>
      <c r="D365" s="76" t="n">
        <v>2</v>
      </c>
      <c r="E365" s="77" t="str">
        <f aca="false">IF($Q365="","Tidak ada di data",IF(AND(IFERROR(--(INDEX('Reguler Class Availability'!$F:$F,$Q365)&amp;""),0)=0,IFERROR(--(INDEX('Reguler Class Availability'!$G:$G,$Q365)&amp;""),0)=0),"Tutup",IF(IFERROR(--(INDEX('Reguler Class Availability'!$G:$G,$Q365)&amp;""),0)&gt;IFERROR(--(INDEX('Reguler Class Availability'!$F:$F,$Q365)&amp;""),0),"Lebih",IF(IFERROR(--(INDEX('Reguler Class Availability'!$G:$G,$Q365)&amp;""),0)=IFERROR(--(INDEX('Reguler Class Availability'!$F:$F,$Q365)&amp;""),0),"Penuh",IF(IFERROR(--(INDEX('Reguler Class Availability'!$G:$G,$Q365)&amp;""),0)=0,IF(INDEX('Reguler Class Availability'!$B:$B,$Q365)&amp;""="","Kosong","Belum terisi"),IF(IFERROR(--(INDEX('Reguler Class Availability'!$G:$G,$Q365)&amp;""),0)/IFERROR(--(INDEX('Reguler Class Availability'!$F:$F,$Q365)&amp;""),0)&gt;=0.6,"Tinggi","Sebagian"))))))</f>
        <v>Belum terisi</v>
      </c>
      <c r="F365" s="77" t="str">
        <f aca="false">IF($Q365="","",PROPER(INDEX('Reguler Class Availability'!$B:$B,$Q365)&amp;""))</f>
        <v>Tiny</v>
      </c>
      <c r="G365" s="76" t="n">
        <f aca="false">IF($Q365="","",IFERROR(--(INDEX('Reguler Class Availability'!$F:$F,$Q365)&amp;""),0))</f>
        <v>5</v>
      </c>
      <c r="H365" s="77" t="str">
        <f aca="false">IF($Q365="","",PROPER(INDEX('Reguler Class Availability'!$I:$I,$Q365)&amp;"")&amp;IF(INDEX('Reguler Class Availability'!$J:$J,$Q365)&amp;""="",""," + asst "&amp;PROPER(INDEX('Reguler Class Availability'!$J:$J,$Q365)&amp;"")))</f>
        <v/>
      </c>
      <c r="I365" s="77" t="s">
        <v>525</v>
      </c>
      <c r="J365" s="77" t="s">
        <v>186</v>
      </c>
      <c r="K365" s="78"/>
      <c r="L365" s="78"/>
      <c r="M365" s="78"/>
      <c r="N365" s="79"/>
      <c r="O365" s="78"/>
      <c r="Q365" s="30" t="n">
        <f aca="false">IFERROR(MATCH($B$4&amp;"|- Lane "&amp;D365&amp;" - "&amp;B365&amp;"|"&amp;C365,'Reguler Class Availability'!$L:$L,0),"")</f>
        <v>2562</v>
      </c>
    </row>
    <row r="366" customFormat="false" ht="27.75" hidden="false" customHeight="true" outlineLevel="0" collapsed="false">
      <c r="A366" s="76" t="n">
        <v>240</v>
      </c>
      <c r="B366" s="77" t="s">
        <v>118</v>
      </c>
      <c r="C366" s="76" t="s">
        <v>139</v>
      </c>
      <c r="D366" s="76" t="n">
        <v>5</v>
      </c>
      <c r="E366" s="77" t="str">
        <f aca="false">IF($Q366="","Tidak ada di data",IF(AND(IFERROR(--(INDEX('Reguler Class Availability'!$F:$F,$Q366)&amp;""),0)=0,IFERROR(--(INDEX('Reguler Class Availability'!$G:$G,$Q366)&amp;""),0)=0),"Tutup",IF(IFERROR(--(INDEX('Reguler Class Availability'!$G:$G,$Q366)&amp;""),0)&gt;IFERROR(--(INDEX('Reguler Class Availability'!$F:$F,$Q366)&amp;""),0),"Lebih",IF(IFERROR(--(INDEX('Reguler Class Availability'!$G:$G,$Q366)&amp;""),0)=IFERROR(--(INDEX('Reguler Class Availability'!$F:$F,$Q366)&amp;""),0),"Penuh",IF(IFERROR(--(INDEX('Reguler Class Availability'!$G:$G,$Q366)&amp;""),0)=0,IF(INDEX('Reguler Class Availability'!$B:$B,$Q366)&amp;""="","Kosong","Belum terisi"),IF(IFERROR(--(INDEX('Reguler Class Availability'!$G:$G,$Q366)&amp;""),0)/IFERROR(--(INDEX('Reguler Class Availability'!$F:$F,$Q366)&amp;""),0)&gt;=0.6,"Tinggi","Sebagian"))))))</f>
        <v>Kosong</v>
      </c>
      <c r="F366" s="77" t="str">
        <f aca="false">IF($Q366="","",PROPER(INDEX('Reguler Class Availability'!$B:$B,$Q366)&amp;""))</f>
        <v/>
      </c>
      <c r="G366" s="76" t="n">
        <f aca="false">IF($Q366="","",IFERROR(--(INDEX('Reguler Class Availability'!$F:$F,$Q366)&amp;""),0))</f>
        <v>4</v>
      </c>
      <c r="H366" s="77" t="str">
        <f aca="false">IF($Q366="","",PROPER(INDEX('Reguler Class Availability'!$I:$I,$Q366)&amp;"")&amp;IF(INDEX('Reguler Class Availability'!$J:$J,$Q366)&amp;""="",""," + asst "&amp;PROPER(INDEX('Reguler Class Availability'!$J:$J,$Q366)&amp;"")))</f>
        <v/>
      </c>
      <c r="I366" s="77" t="s">
        <v>525</v>
      </c>
      <c r="J366" s="77" t="s">
        <v>186</v>
      </c>
      <c r="K366" s="78"/>
      <c r="L366" s="78"/>
      <c r="M366" s="78"/>
      <c r="N366" s="79"/>
      <c r="O366" s="78"/>
      <c r="Q366" s="30" t="n">
        <f aca="false">IFERROR(MATCH($B$4&amp;"|- Lane "&amp;D366&amp;" - "&amp;B366&amp;"|"&amp;C366,'Reguler Class Availability'!$L:$L,0),"")</f>
        <v>2814</v>
      </c>
    </row>
    <row r="367" customFormat="false" ht="27.75" hidden="false" customHeight="true" outlineLevel="0" collapsed="false">
      <c r="A367" s="76" t="n">
        <v>241</v>
      </c>
      <c r="B367" s="77" t="s">
        <v>118</v>
      </c>
      <c r="C367" s="76" t="s">
        <v>143</v>
      </c>
      <c r="D367" s="76" t="n">
        <v>1</v>
      </c>
      <c r="E367" s="77" t="str">
        <f aca="false">IF($Q367="","Tidak ada di data",IF(AND(IFERROR(--(INDEX('Reguler Class Availability'!$F:$F,$Q367)&amp;""),0)=0,IFERROR(--(INDEX('Reguler Class Availability'!$G:$G,$Q367)&amp;""),0)=0),"Tutup",IF(IFERROR(--(INDEX('Reguler Class Availability'!$G:$G,$Q367)&amp;""),0)&gt;IFERROR(--(INDEX('Reguler Class Availability'!$F:$F,$Q367)&amp;""),0),"Lebih",IF(IFERROR(--(INDEX('Reguler Class Availability'!$G:$G,$Q367)&amp;""),0)=IFERROR(--(INDEX('Reguler Class Availability'!$F:$F,$Q367)&amp;""),0),"Penuh",IF(IFERROR(--(INDEX('Reguler Class Availability'!$G:$G,$Q367)&amp;""),0)=0,IF(INDEX('Reguler Class Availability'!$B:$B,$Q367)&amp;""="","Kosong","Belum terisi"),IF(IFERROR(--(INDEX('Reguler Class Availability'!$G:$G,$Q367)&amp;""),0)/IFERROR(--(INDEX('Reguler Class Availability'!$F:$F,$Q367)&amp;""),0)&gt;=0.6,"Tinggi","Sebagian"))))))</f>
        <v>Belum terisi</v>
      </c>
      <c r="F367" s="77" t="str">
        <f aca="false">IF($Q367="","",PROPER(INDEX('Reguler Class Availability'!$B:$B,$Q367)&amp;""))</f>
        <v>Baby</v>
      </c>
      <c r="G367" s="76" t="n">
        <f aca="false">IF($Q367="","",IFERROR(--(INDEX('Reguler Class Availability'!$F:$F,$Q367)&amp;""),0))</f>
        <v>5</v>
      </c>
      <c r="H367" s="77" t="str">
        <f aca="false">IF($Q367="","",PROPER(INDEX('Reguler Class Availability'!$I:$I,$Q367)&amp;"")&amp;IF(INDEX('Reguler Class Availability'!$J:$J,$Q367)&amp;""="",""," + asst "&amp;PROPER(INDEX('Reguler Class Availability'!$J:$J,$Q367)&amp;"")))</f>
        <v/>
      </c>
      <c r="I367" s="77" t="s">
        <v>525</v>
      </c>
      <c r="J367" s="77" t="s">
        <v>186</v>
      </c>
      <c r="K367" s="78"/>
      <c r="L367" s="78"/>
      <c r="M367" s="78"/>
      <c r="N367" s="79"/>
      <c r="O367" s="78"/>
      <c r="Q367" s="30" t="n">
        <f aca="false">IFERROR(MATCH($B$4&amp;"|- Lane "&amp;D367&amp;" - "&amp;B367&amp;"|"&amp;C367,'Reguler Class Availability'!$L:$L,0),"")</f>
        <v>2465</v>
      </c>
    </row>
    <row r="368" customFormat="false" ht="27.75" hidden="false" customHeight="true" outlineLevel="0" collapsed="false">
      <c r="A368" s="76" t="n">
        <v>242</v>
      </c>
      <c r="B368" s="77" t="s">
        <v>118</v>
      </c>
      <c r="C368" s="76" t="s">
        <v>143</v>
      </c>
      <c r="D368" s="76" t="n">
        <v>2</v>
      </c>
      <c r="E368" s="77" t="str">
        <f aca="false">IF($Q368="","Tidak ada di data",IF(AND(IFERROR(--(INDEX('Reguler Class Availability'!$F:$F,$Q368)&amp;""),0)=0,IFERROR(--(INDEX('Reguler Class Availability'!$G:$G,$Q368)&amp;""),0)=0),"Tutup",IF(IFERROR(--(INDEX('Reguler Class Availability'!$G:$G,$Q368)&amp;""),0)&gt;IFERROR(--(INDEX('Reguler Class Availability'!$F:$F,$Q368)&amp;""),0),"Lebih",IF(IFERROR(--(INDEX('Reguler Class Availability'!$G:$G,$Q368)&amp;""),0)=IFERROR(--(INDEX('Reguler Class Availability'!$F:$F,$Q368)&amp;""),0),"Penuh",IF(IFERROR(--(INDEX('Reguler Class Availability'!$G:$G,$Q368)&amp;""),0)=0,IF(INDEX('Reguler Class Availability'!$B:$B,$Q368)&amp;""="","Kosong","Belum terisi"),IF(IFERROR(--(INDEX('Reguler Class Availability'!$G:$G,$Q368)&amp;""),0)/IFERROR(--(INDEX('Reguler Class Availability'!$F:$F,$Q368)&amp;""),0)&gt;=0.6,"Tinggi","Sebagian"))))))</f>
        <v>Belum terisi</v>
      </c>
      <c r="F368" s="77" t="str">
        <f aca="false">IF($Q368="","",PROPER(INDEX('Reguler Class Availability'!$B:$B,$Q368)&amp;""))</f>
        <v>Tiny</v>
      </c>
      <c r="G368" s="76" t="n">
        <f aca="false">IF($Q368="","",IFERROR(--(INDEX('Reguler Class Availability'!$F:$F,$Q368)&amp;""),0))</f>
        <v>5</v>
      </c>
      <c r="H368" s="77" t="str">
        <f aca="false">IF($Q368="","",PROPER(INDEX('Reguler Class Availability'!$I:$I,$Q368)&amp;"")&amp;IF(INDEX('Reguler Class Availability'!$J:$J,$Q368)&amp;""="",""," + asst "&amp;PROPER(INDEX('Reguler Class Availability'!$J:$J,$Q368)&amp;"")))</f>
        <v/>
      </c>
      <c r="I368" s="77" t="s">
        <v>525</v>
      </c>
      <c r="J368" s="77" t="s">
        <v>186</v>
      </c>
      <c r="K368" s="78"/>
      <c r="L368" s="78"/>
      <c r="M368" s="78"/>
      <c r="N368" s="79"/>
      <c r="O368" s="78"/>
      <c r="Q368" s="30" t="n">
        <f aca="false">IFERROR(MATCH($B$4&amp;"|- Lane "&amp;D368&amp;" - "&amp;B368&amp;"|"&amp;C368,'Reguler Class Availability'!$L:$L,0),"")</f>
        <v>2563</v>
      </c>
    </row>
    <row r="369" customFormat="false" ht="27.75" hidden="false" customHeight="true" outlineLevel="0" collapsed="false">
      <c r="A369" s="76" t="n">
        <v>243</v>
      </c>
      <c r="B369" s="77" t="s">
        <v>118</v>
      </c>
      <c r="C369" s="76" t="s">
        <v>143</v>
      </c>
      <c r="D369" s="76" t="n">
        <v>5</v>
      </c>
      <c r="E369" s="77" t="str">
        <f aca="false">IF($Q369="","Tidak ada di data",IF(AND(IFERROR(--(INDEX('Reguler Class Availability'!$F:$F,$Q369)&amp;""),0)=0,IFERROR(--(INDEX('Reguler Class Availability'!$G:$G,$Q369)&amp;""),0)=0),"Tutup",IF(IFERROR(--(INDEX('Reguler Class Availability'!$G:$G,$Q369)&amp;""),0)&gt;IFERROR(--(INDEX('Reguler Class Availability'!$F:$F,$Q369)&amp;""),0),"Lebih",IF(IFERROR(--(INDEX('Reguler Class Availability'!$G:$G,$Q369)&amp;""),0)=IFERROR(--(INDEX('Reguler Class Availability'!$F:$F,$Q369)&amp;""),0),"Penuh",IF(IFERROR(--(INDEX('Reguler Class Availability'!$G:$G,$Q369)&amp;""),0)=0,IF(INDEX('Reguler Class Availability'!$B:$B,$Q369)&amp;""="","Kosong","Belum terisi"),IF(IFERROR(--(INDEX('Reguler Class Availability'!$G:$G,$Q369)&amp;""),0)/IFERROR(--(INDEX('Reguler Class Availability'!$F:$F,$Q369)&amp;""),0)&gt;=0.6,"Tinggi","Sebagian"))))))</f>
        <v>Kosong</v>
      </c>
      <c r="F369" s="77" t="str">
        <f aca="false">IF($Q369="","",PROPER(INDEX('Reguler Class Availability'!$B:$B,$Q369)&amp;""))</f>
        <v/>
      </c>
      <c r="G369" s="76" t="n">
        <f aca="false">IF($Q369="","",IFERROR(--(INDEX('Reguler Class Availability'!$F:$F,$Q369)&amp;""),0))</f>
        <v>4</v>
      </c>
      <c r="H369" s="77" t="str">
        <f aca="false">IF($Q369="","",PROPER(INDEX('Reguler Class Availability'!$I:$I,$Q369)&amp;"")&amp;IF(INDEX('Reguler Class Availability'!$J:$J,$Q369)&amp;""="",""," + asst "&amp;PROPER(INDEX('Reguler Class Availability'!$J:$J,$Q369)&amp;"")))</f>
        <v/>
      </c>
      <c r="I369" s="77" t="s">
        <v>525</v>
      </c>
      <c r="J369" s="77" t="s">
        <v>186</v>
      </c>
      <c r="K369" s="78"/>
      <c r="L369" s="78"/>
      <c r="M369" s="78"/>
      <c r="N369" s="79"/>
      <c r="O369" s="78"/>
      <c r="Q369" s="30" t="n">
        <f aca="false">IFERROR(MATCH($B$4&amp;"|- Lane "&amp;D369&amp;" - "&amp;B369&amp;"|"&amp;C369,'Reguler Class Availability'!$L:$L,0),"")</f>
        <v>2815</v>
      </c>
    </row>
    <row r="370" customFormat="false" ht="27.75" hidden="false" customHeight="true" outlineLevel="0" collapsed="false">
      <c r="A370" s="76" t="n">
        <v>244</v>
      </c>
      <c r="B370" s="77" t="s">
        <v>118</v>
      </c>
      <c r="C370" s="76" t="s">
        <v>144</v>
      </c>
      <c r="D370" s="76" t="n">
        <v>3</v>
      </c>
      <c r="E370" s="77" t="str">
        <f aca="false">IF($Q370="","Tidak ada di data",IF(AND(IFERROR(--(INDEX('Reguler Class Availability'!$F:$F,$Q370)&amp;""),0)=0,IFERROR(--(INDEX('Reguler Class Availability'!$G:$G,$Q370)&amp;""),0)=0),"Tutup",IF(IFERROR(--(INDEX('Reguler Class Availability'!$G:$G,$Q370)&amp;""),0)&gt;IFERROR(--(INDEX('Reguler Class Availability'!$F:$F,$Q370)&amp;""),0),"Lebih",IF(IFERROR(--(INDEX('Reguler Class Availability'!$G:$G,$Q370)&amp;""),0)=IFERROR(--(INDEX('Reguler Class Availability'!$F:$F,$Q370)&amp;""),0),"Penuh",IF(IFERROR(--(INDEX('Reguler Class Availability'!$G:$G,$Q370)&amp;""),0)=0,IF(INDEX('Reguler Class Availability'!$B:$B,$Q370)&amp;""="","Kosong","Belum terisi"),IF(IFERROR(--(INDEX('Reguler Class Availability'!$G:$G,$Q370)&amp;""),0)/IFERROR(--(INDEX('Reguler Class Availability'!$F:$F,$Q370)&amp;""),0)&gt;=0.6,"Tinggi","Sebagian"))))))</f>
        <v>Belum terisi</v>
      </c>
      <c r="F370" s="77" t="str">
        <f aca="false">IF($Q370="","",PROPER(INDEX('Reguler Class Availability'!$B:$B,$Q370)&amp;""))</f>
        <v>Little</v>
      </c>
      <c r="G370" s="76" t="n">
        <f aca="false">IF($Q370="","",IFERROR(--(INDEX('Reguler Class Availability'!$F:$F,$Q370)&amp;""),0))</f>
        <v>4</v>
      </c>
      <c r="H370" s="77" t="str">
        <f aca="false">IF($Q370="","",PROPER(INDEX('Reguler Class Availability'!$I:$I,$Q370)&amp;"")&amp;IF(INDEX('Reguler Class Availability'!$J:$J,$Q370)&amp;""="",""," + asst "&amp;PROPER(INDEX('Reguler Class Availability'!$J:$J,$Q370)&amp;"")))</f>
        <v/>
      </c>
      <c r="I370" s="77" t="s">
        <v>535</v>
      </c>
      <c r="J370" s="77" t="s">
        <v>186</v>
      </c>
      <c r="K370" s="78"/>
      <c r="L370" s="78"/>
      <c r="M370" s="78"/>
      <c r="N370" s="79"/>
      <c r="O370" s="78"/>
      <c r="Q370" s="30" t="n">
        <f aca="false">IFERROR(MATCH($B$4&amp;"|- Lane "&amp;D370&amp;" - "&amp;B370&amp;"|"&amp;C370,'Reguler Class Availability'!$L:$L,0),"")</f>
        <v>2647</v>
      </c>
    </row>
    <row r="371" customFormat="false" ht="27.75" hidden="false" customHeight="true" outlineLevel="0" collapsed="false">
      <c r="A371" s="76" t="n">
        <v>245</v>
      </c>
      <c r="B371" s="77" t="s">
        <v>118</v>
      </c>
      <c r="C371" s="76" t="s">
        <v>146</v>
      </c>
      <c r="D371" s="76" t="n">
        <v>1</v>
      </c>
      <c r="E371" s="77" t="str">
        <f aca="false">IF($Q371="","Tidak ada di data",IF(AND(IFERROR(--(INDEX('Reguler Class Availability'!$F:$F,$Q371)&amp;""),0)=0,IFERROR(--(INDEX('Reguler Class Availability'!$G:$G,$Q371)&amp;""),0)=0),"Tutup",IF(IFERROR(--(INDEX('Reguler Class Availability'!$G:$G,$Q371)&amp;""),0)&gt;IFERROR(--(INDEX('Reguler Class Availability'!$F:$F,$Q371)&amp;""),0),"Lebih",IF(IFERROR(--(INDEX('Reguler Class Availability'!$G:$G,$Q371)&amp;""),0)=IFERROR(--(INDEX('Reguler Class Availability'!$F:$F,$Q371)&amp;""),0),"Penuh",IF(IFERROR(--(INDEX('Reguler Class Availability'!$G:$G,$Q371)&amp;""),0)=0,IF(INDEX('Reguler Class Availability'!$B:$B,$Q371)&amp;""="","Kosong","Belum terisi"),IF(IFERROR(--(INDEX('Reguler Class Availability'!$G:$G,$Q371)&amp;""),0)/IFERROR(--(INDEX('Reguler Class Availability'!$F:$F,$Q371)&amp;""),0)&gt;=0.6,"Tinggi","Sebagian"))))))</f>
        <v>Belum terisi</v>
      </c>
      <c r="F371" s="77" t="str">
        <f aca="false">IF($Q371="","",PROPER(INDEX('Reguler Class Availability'!$B:$B,$Q371)&amp;""))</f>
        <v>Baby</v>
      </c>
      <c r="G371" s="76" t="n">
        <f aca="false">IF($Q371="","",IFERROR(--(INDEX('Reguler Class Availability'!$F:$F,$Q371)&amp;""),0))</f>
        <v>5</v>
      </c>
      <c r="H371" s="77" t="str">
        <f aca="false">IF($Q371="","",PROPER(INDEX('Reguler Class Availability'!$I:$I,$Q371)&amp;"")&amp;IF(INDEX('Reguler Class Availability'!$J:$J,$Q371)&amp;""="",""," + asst "&amp;PROPER(INDEX('Reguler Class Availability'!$J:$J,$Q371)&amp;"")))</f>
        <v/>
      </c>
      <c r="I371" s="77" t="s">
        <v>525</v>
      </c>
      <c r="J371" s="77" t="s">
        <v>186</v>
      </c>
      <c r="K371" s="78"/>
      <c r="L371" s="78"/>
      <c r="M371" s="78"/>
      <c r="N371" s="79"/>
      <c r="O371" s="78"/>
      <c r="Q371" s="30" t="n">
        <f aca="false">IFERROR(MATCH($B$4&amp;"|- Lane "&amp;D371&amp;" - "&amp;B371&amp;"|"&amp;C371,'Reguler Class Availability'!$L:$L,0),"")</f>
        <v>2466</v>
      </c>
    </row>
    <row r="372" customFormat="false" ht="27.75" hidden="false" customHeight="true" outlineLevel="0" collapsed="false">
      <c r="A372" s="76" t="n">
        <v>246</v>
      </c>
      <c r="B372" s="77" t="s">
        <v>118</v>
      </c>
      <c r="C372" s="76" t="s">
        <v>146</v>
      </c>
      <c r="D372" s="76" t="n">
        <v>2</v>
      </c>
      <c r="E372" s="77" t="str">
        <f aca="false">IF($Q372="","Tidak ada di data",IF(AND(IFERROR(--(INDEX('Reguler Class Availability'!$F:$F,$Q372)&amp;""),0)=0,IFERROR(--(INDEX('Reguler Class Availability'!$G:$G,$Q372)&amp;""),0)=0),"Tutup",IF(IFERROR(--(INDEX('Reguler Class Availability'!$G:$G,$Q372)&amp;""),0)&gt;IFERROR(--(INDEX('Reguler Class Availability'!$F:$F,$Q372)&amp;""),0),"Lebih",IF(IFERROR(--(INDEX('Reguler Class Availability'!$G:$G,$Q372)&amp;""),0)=IFERROR(--(INDEX('Reguler Class Availability'!$F:$F,$Q372)&amp;""),0),"Penuh",IF(IFERROR(--(INDEX('Reguler Class Availability'!$G:$G,$Q372)&amp;""),0)=0,IF(INDEX('Reguler Class Availability'!$B:$B,$Q372)&amp;""="","Kosong","Belum terisi"),IF(IFERROR(--(INDEX('Reguler Class Availability'!$G:$G,$Q372)&amp;""),0)/IFERROR(--(INDEX('Reguler Class Availability'!$F:$F,$Q372)&amp;""),0)&gt;=0.6,"Tinggi","Sebagian"))))))</f>
        <v>Belum terisi</v>
      </c>
      <c r="F372" s="77" t="str">
        <f aca="false">IF($Q372="","",PROPER(INDEX('Reguler Class Availability'!$B:$B,$Q372)&amp;""))</f>
        <v>Tiny</v>
      </c>
      <c r="G372" s="76" t="n">
        <f aca="false">IF($Q372="","",IFERROR(--(INDEX('Reguler Class Availability'!$F:$F,$Q372)&amp;""),0))</f>
        <v>5</v>
      </c>
      <c r="H372" s="77" t="str">
        <f aca="false">IF($Q372="","",PROPER(INDEX('Reguler Class Availability'!$I:$I,$Q372)&amp;"")&amp;IF(INDEX('Reguler Class Availability'!$J:$J,$Q372)&amp;""="",""," + asst "&amp;PROPER(INDEX('Reguler Class Availability'!$J:$J,$Q372)&amp;"")))</f>
        <v/>
      </c>
      <c r="I372" s="77" t="s">
        <v>525</v>
      </c>
      <c r="J372" s="77" t="s">
        <v>186</v>
      </c>
      <c r="K372" s="78"/>
      <c r="L372" s="78"/>
      <c r="M372" s="78"/>
      <c r="N372" s="79"/>
      <c r="O372" s="78"/>
      <c r="Q372" s="30" t="n">
        <f aca="false">IFERROR(MATCH($B$4&amp;"|- Lane "&amp;D372&amp;" - "&amp;B372&amp;"|"&amp;C372,'Reguler Class Availability'!$L:$L,0),"")</f>
        <v>2564</v>
      </c>
    </row>
    <row r="373" customFormat="false" ht="27.75" hidden="false" customHeight="true" outlineLevel="0" collapsed="false">
      <c r="A373" s="76" t="n">
        <v>247</v>
      </c>
      <c r="B373" s="77" t="s">
        <v>118</v>
      </c>
      <c r="C373" s="76" t="s">
        <v>146</v>
      </c>
      <c r="D373" s="76" t="n">
        <v>5</v>
      </c>
      <c r="E373" s="77" t="str">
        <f aca="false">IF($Q373="","Tidak ada di data",IF(AND(IFERROR(--(INDEX('Reguler Class Availability'!$F:$F,$Q373)&amp;""),0)=0,IFERROR(--(INDEX('Reguler Class Availability'!$G:$G,$Q373)&amp;""),0)=0),"Tutup",IF(IFERROR(--(INDEX('Reguler Class Availability'!$G:$G,$Q373)&amp;""),0)&gt;IFERROR(--(INDEX('Reguler Class Availability'!$F:$F,$Q373)&amp;""),0),"Lebih",IF(IFERROR(--(INDEX('Reguler Class Availability'!$G:$G,$Q373)&amp;""),0)=IFERROR(--(INDEX('Reguler Class Availability'!$F:$F,$Q373)&amp;""),0),"Penuh",IF(IFERROR(--(INDEX('Reguler Class Availability'!$G:$G,$Q373)&amp;""),0)=0,IF(INDEX('Reguler Class Availability'!$B:$B,$Q373)&amp;""="","Kosong","Belum terisi"),IF(IFERROR(--(INDEX('Reguler Class Availability'!$G:$G,$Q373)&amp;""),0)/IFERROR(--(INDEX('Reguler Class Availability'!$F:$F,$Q373)&amp;""),0)&gt;=0.6,"Tinggi","Sebagian"))))))</f>
        <v>Kosong</v>
      </c>
      <c r="F373" s="77" t="str">
        <f aca="false">IF($Q373="","",PROPER(INDEX('Reguler Class Availability'!$B:$B,$Q373)&amp;""))</f>
        <v/>
      </c>
      <c r="G373" s="76" t="n">
        <f aca="false">IF($Q373="","",IFERROR(--(INDEX('Reguler Class Availability'!$F:$F,$Q373)&amp;""),0))</f>
        <v>4</v>
      </c>
      <c r="H373" s="77" t="str">
        <f aca="false">IF($Q373="","",PROPER(INDEX('Reguler Class Availability'!$I:$I,$Q373)&amp;"")&amp;IF(INDEX('Reguler Class Availability'!$J:$J,$Q373)&amp;""="",""," + asst "&amp;PROPER(INDEX('Reguler Class Availability'!$J:$J,$Q373)&amp;"")))</f>
        <v/>
      </c>
      <c r="I373" s="77" t="s">
        <v>525</v>
      </c>
      <c r="J373" s="77" t="s">
        <v>186</v>
      </c>
      <c r="K373" s="78"/>
      <c r="L373" s="78"/>
      <c r="M373" s="78"/>
      <c r="N373" s="79"/>
      <c r="O373" s="78"/>
      <c r="Q373" s="30" t="n">
        <f aca="false">IFERROR(MATCH($B$4&amp;"|- Lane "&amp;D373&amp;" - "&amp;B373&amp;"|"&amp;C373,'Reguler Class Availability'!$L:$L,0),"")</f>
        <v>2816</v>
      </c>
    </row>
    <row r="374" customFormat="false" ht="15.75" hidden="false" customHeight="true" outlineLevel="0" collapsed="false">
      <c r="A374" s="76" t="n">
        <v>248</v>
      </c>
      <c r="B374" s="77" t="s">
        <v>118</v>
      </c>
      <c r="C374" s="76" t="s">
        <v>147</v>
      </c>
      <c r="D374" s="76" t="n">
        <v>3</v>
      </c>
      <c r="E374" s="77" t="str">
        <f aca="false">IF($Q374="","Tidak ada di data",IF(AND(IFERROR(--(INDEX('Reguler Class Availability'!$F:$F,$Q374)&amp;""),0)=0,IFERROR(--(INDEX('Reguler Class Availability'!$G:$G,$Q374)&amp;""),0)=0),"Tutup",IF(IFERROR(--(INDEX('Reguler Class Availability'!$G:$G,$Q374)&amp;""),0)&gt;IFERROR(--(INDEX('Reguler Class Availability'!$F:$F,$Q374)&amp;""),0),"Lebih",IF(IFERROR(--(INDEX('Reguler Class Availability'!$G:$G,$Q374)&amp;""),0)=IFERROR(--(INDEX('Reguler Class Availability'!$F:$F,$Q374)&amp;""),0),"Penuh",IF(IFERROR(--(INDEX('Reguler Class Availability'!$G:$G,$Q374)&amp;""),0)=0,IF(INDEX('Reguler Class Availability'!$B:$B,$Q374)&amp;""="","Kosong","Belum terisi"),IF(IFERROR(--(INDEX('Reguler Class Availability'!$G:$G,$Q374)&amp;""),0)/IFERROR(--(INDEX('Reguler Class Availability'!$F:$F,$Q374)&amp;""),0)&gt;=0.6,"Tinggi","Sebagian"))))))</f>
        <v>Belum terisi</v>
      </c>
      <c r="F374" s="77" t="str">
        <f aca="false">IF($Q374="","",PROPER(INDEX('Reguler Class Availability'!$B:$B,$Q374)&amp;""))</f>
        <v>Little</v>
      </c>
      <c r="G374" s="76" t="n">
        <f aca="false">IF($Q374="","",IFERROR(--(INDEX('Reguler Class Availability'!$F:$F,$Q374)&amp;""),0))</f>
        <v>4</v>
      </c>
      <c r="H374" s="77" t="str">
        <f aca="false">IF($Q374="","",PROPER(INDEX('Reguler Class Availability'!$I:$I,$Q374)&amp;"")&amp;IF(INDEX('Reguler Class Availability'!$J:$J,$Q374)&amp;""="",""," + asst "&amp;PROPER(INDEX('Reguler Class Availability'!$J:$J,$Q374)&amp;"")))</f>
        <v/>
      </c>
      <c r="I374" s="77" t="s">
        <v>531</v>
      </c>
      <c r="J374" s="77" t="s">
        <v>260</v>
      </c>
      <c r="K374" s="78"/>
      <c r="L374" s="78"/>
      <c r="M374" s="78"/>
      <c r="N374" s="79"/>
      <c r="O374" s="78"/>
      <c r="Q374" s="30" t="n">
        <f aca="false">IFERROR(MATCH($B$4&amp;"|- Lane "&amp;D374&amp;" - "&amp;B374&amp;"|"&amp;C374,'Reguler Class Availability'!$L:$L,0),"")</f>
        <v>2648</v>
      </c>
    </row>
    <row r="375" customFormat="false" ht="15.75" hidden="false" customHeight="true" outlineLevel="0" collapsed="false">
      <c r="A375" s="76" t="n">
        <v>249</v>
      </c>
      <c r="B375" s="77" t="s">
        <v>118</v>
      </c>
      <c r="C375" s="76" t="s">
        <v>149</v>
      </c>
      <c r="D375" s="76" t="n">
        <v>1</v>
      </c>
      <c r="E375" s="77" t="str">
        <f aca="false">IF($Q375="","Tidak ada di data",IF(AND(IFERROR(--(INDEX('Reguler Class Availability'!$F:$F,$Q375)&amp;""),0)=0,IFERROR(--(INDEX('Reguler Class Availability'!$G:$G,$Q375)&amp;""),0)=0),"Tutup",IF(IFERROR(--(INDEX('Reguler Class Availability'!$G:$G,$Q375)&amp;""),0)&gt;IFERROR(--(INDEX('Reguler Class Availability'!$F:$F,$Q375)&amp;""),0),"Lebih",IF(IFERROR(--(INDEX('Reguler Class Availability'!$G:$G,$Q375)&amp;""),0)=IFERROR(--(INDEX('Reguler Class Availability'!$F:$F,$Q375)&amp;""),0),"Penuh",IF(IFERROR(--(INDEX('Reguler Class Availability'!$G:$G,$Q375)&amp;""),0)=0,IF(INDEX('Reguler Class Availability'!$B:$B,$Q375)&amp;""="","Kosong","Belum terisi"),IF(IFERROR(--(INDEX('Reguler Class Availability'!$G:$G,$Q375)&amp;""),0)/IFERROR(--(INDEX('Reguler Class Availability'!$F:$F,$Q375)&amp;""),0)&gt;=0.6,"Tinggi","Sebagian"))))))</f>
        <v>Belum terisi</v>
      </c>
      <c r="F375" s="77" t="str">
        <f aca="false">IF($Q375="","",PROPER(INDEX('Reguler Class Availability'!$B:$B,$Q375)&amp;""))</f>
        <v>Baby</v>
      </c>
      <c r="G375" s="76" t="n">
        <f aca="false">IF($Q375="","",IFERROR(--(INDEX('Reguler Class Availability'!$F:$F,$Q375)&amp;""),0))</f>
        <v>5</v>
      </c>
      <c r="H375" s="77" t="str">
        <f aca="false">IF($Q375="","",PROPER(INDEX('Reguler Class Availability'!$I:$I,$Q375)&amp;"")&amp;IF(INDEX('Reguler Class Availability'!$J:$J,$Q375)&amp;""="",""," + asst "&amp;PROPER(INDEX('Reguler Class Availability'!$J:$J,$Q375)&amp;"")))</f>
        <v/>
      </c>
      <c r="I375" s="77" t="s">
        <v>526</v>
      </c>
      <c r="J375" s="77" t="s">
        <v>288</v>
      </c>
      <c r="K375" s="78"/>
      <c r="L375" s="78"/>
      <c r="M375" s="78"/>
      <c r="N375" s="79"/>
      <c r="O375" s="78"/>
      <c r="Q375" s="30" t="n">
        <f aca="false">IFERROR(MATCH($B$4&amp;"|- Lane "&amp;D375&amp;" - "&amp;B375&amp;"|"&amp;C375,'Reguler Class Availability'!$L:$L,0),"")</f>
        <v>2467</v>
      </c>
    </row>
    <row r="376" customFormat="false" ht="15.75" hidden="false" customHeight="true" outlineLevel="0" collapsed="false">
      <c r="A376" s="76" t="n">
        <v>250</v>
      </c>
      <c r="B376" s="77" t="s">
        <v>118</v>
      </c>
      <c r="C376" s="76" t="s">
        <v>149</v>
      </c>
      <c r="D376" s="76" t="n">
        <v>5</v>
      </c>
      <c r="E376" s="77" t="str">
        <f aca="false">IF($Q376="","Tidak ada di data",IF(AND(IFERROR(--(INDEX('Reguler Class Availability'!$F:$F,$Q376)&amp;""),0)=0,IFERROR(--(INDEX('Reguler Class Availability'!$G:$G,$Q376)&amp;""),0)=0),"Tutup",IF(IFERROR(--(INDEX('Reguler Class Availability'!$G:$G,$Q376)&amp;""),0)&gt;IFERROR(--(INDEX('Reguler Class Availability'!$F:$F,$Q376)&amp;""),0),"Lebih",IF(IFERROR(--(INDEX('Reguler Class Availability'!$G:$G,$Q376)&amp;""),0)=IFERROR(--(INDEX('Reguler Class Availability'!$F:$F,$Q376)&amp;""),0),"Penuh",IF(IFERROR(--(INDEX('Reguler Class Availability'!$G:$G,$Q376)&amp;""),0)=0,IF(INDEX('Reguler Class Availability'!$B:$B,$Q376)&amp;""="","Kosong","Belum terisi"),IF(IFERROR(--(INDEX('Reguler Class Availability'!$G:$G,$Q376)&amp;""),0)/IFERROR(--(INDEX('Reguler Class Availability'!$F:$F,$Q376)&amp;""),0)&gt;=0.6,"Tinggi","Sebagian"))))))</f>
        <v>Kosong</v>
      </c>
      <c r="F376" s="77" t="str">
        <f aca="false">IF($Q376="","",PROPER(INDEX('Reguler Class Availability'!$B:$B,$Q376)&amp;""))</f>
        <v/>
      </c>
      <c r="G376" s="76" t="n">
        <f aca="false">IF($Q376="","",IFERROR(--(INDEX('Reguler Class Availability'!$F:$F,$Q376)&amp;""),0))</f>
        <v>4</v>
      </c>
      <c r="H376" s="77" t="str">
        <f aca="false">IF($Q376="","",PROPER(INDEX('Reguler Class Availability'!$I:$I,$Q376)&amp;"")&amp;IF(INDEX('Reguler Class Availability'!$J:$J,$Q376)&amp;""="",""," + asst "&amp;PROPER(INDEX('Reguler Class Availability'!$J:$J,$Q376)&amp;"")))</f>
        <v/>
      </c>
      <c r="I376" s="77" t="s">
        <v>526</v>
      </c>
      <c r="J376" s="77" t="s">
        <v>260</v>
      </c>
      <c r="K376" s="78"/>
      <c r="L376" s="78"/>
      <c r="M376" s="78"/>
      <c r="N376" s="79"/>
      <c r="O376" s="78"/>
      <c r="Q376" s="30" t="n">
        <f aca="false">IFERROR(MATCH($B$4&amp;"|- Lane "&amp;D376&amp;" - "&amp;B376&amp;"|"&amp;C376,'Reguler Class Availability'!$L:$L,0),"")</f>
        <v>2817</v>
      </c>
    </row>
    <row r="377" customFormat="false" ht="15.75" hidden="false" customHeight="true" outlineLevel="0" collapsed="false">
      <c r="A377" s="76" t="n">
        <v>251</v>
      </c>
      <c r="B377" s="77" t="s">
        <v>118</v>
      </c>
      <c r="C377" s="76" t="s">
        <v>152</v>
      </c>
      <c r="D377" s="76" t="n">
        <v>2</v>
      </c>
      <c r="E377" s="77" t="str">
        <f aca="false">IF($Q377="","Tidak ada di data",IF(AND(IFERROR(--(INDEX('Reguler Class Availability'!$F:$F,$Q377)&amp;""),0)=0,IFERROR(--(INDEX('Reguler Class Availability'!$G:$G,$Q377)&amp;""),0)=0),"Tutup",IF(IFERROR(--(INDEX('Reguler Class Availability'!$G:$G,$Q377)&amp;""),0)&gt;IFERROR(--(INDEX('Reguler Class Availability'!$F:$F,$Q377)&amp;""),0),"Lebih",IF(IFERROR(--(INDEX('Reguler Class Availability'!$G:$G,$Q377)&amp;""),0)=IFERROR(--(INDEX('Reguler Class Availability'!$F:$F,$Q377)&amp;""),0),"Penuh",IF(IFERROR(--(INDEX('Reguler Class Availability'!$G:$G,$Q377)&amp;""),0)=0,IF(INDEX('Reguler Class Availability'!$B:$B,$Q377)&amp;""="","Kosong","Belum terisi"),IF(IFERROR(--(INDEX('Reguler Class Availability'!$G:$G,$Q377)&amp;""),0)/IFERROR(--(INDEX('Reguler Class Availability'!$F:$F,$Q377)&amp;""),0)&gt;=0.6,"Tinggi","Sebagian"))))))</f>
        <v>Belum terisi</v>
      </c>
      <c r="F377" s="77" t="str">
        <f aca="false">IF($Q377="","",PROPER(INDEX('Reguler Class Availability'!$B:$B,$Q377)&amp;""))</f>
        <v>Tiny</v>
      </c>
      <c r="G377" s="76" t="n">
        <f aca="false">IF($Q377="","",IFERROR(--(INDEX('Reguler Class Availability'!$F:$F,$Q377)&amp;""),0))</f>
        <v>5</v>
      </c>
      <c r="H377" s="77" t="str">
        <f aca="false">IF($Q377="","",PROPER(INDEX('Reguler Class Availability'!$I:$I,$Q377)&amp;"")&amp;IF(INDEX('Reguler Class Availability'!$J:$J,$Q377)&amp;""="",""," + asst "&amp;PROPER(INDEX('Reguler Class Availability'!$J:$J,$Q377)&amp;"")))</f>
        <v/>
      </c>
      <c r="I377" s="77" t="s">
        <v>526</v>
      </c>
      <c r="J377" s="77" t="s">
        <v>198</v>
      </c>
      <c r="K377" s="78"/>
      <c r="L377" s="78"/>
      <c r="M377" s="78"/>
      <c r="N377" s="79"/>
      <c r="O377" s="78"/>
      <c r="Q377" s="30" t="n">
        <f aca="false">IFERROR(MATCH($B$4&amp;"|- Lane "&amp;D377&amp;" - "&amp;B377&amp;"|"&amp;C377,'Reguler Class Availability'!$L:$L,0),"")</f>
        <v>2566</v>
      </c>
    </row>
    <row r="378" customFormat="false" ht="15.75" hidden="false" customHeight="true" outlineLevel="0" collapsed="false">
      <c r="A378" s="76" t="n">
        <v>252</v>
      </c>
      <c r="B378" s="77" t="s">
        <v>118</v>
      </c>
      <c r="C378" s="76" t="s">
        <v>152</v>
      </c>
      <c r="D378" s="76" t="n">
        <v>5</v>
      </c>
      <c r="E378" s="77" t="str">
        <f aca="false">IF($Q378="","Tidak ada di data",IF(AND(IFERROR(--(INDEX('Reguler Class Availability'!$F:$F,$Q378)&amp;""),0)=0,IFERROR(--(INDEX('Reguler Class Availability'!$G:$G,$Q378)&amp;""),0)=0),"Tutup",IF(IFERROR(--(INDEX('Reguler Class Availability'!$G:$G,$Q378)&amp;""),0)&gt;IFERROR(--(INDEX('Reguler Class Availability'!$F:$F,$Q378)&amp;""),0),"Lebih",IF(IFERROR(--(INDEX('Reguler Class Availability'!$G:$G,$Q378)&amp;""),0)=IFERROR(--(INDEX('Reguler Class Availability'!$F:$F,$Q378)&amp;""),0),"Penuh",IF(IFERROR(--(INDEX('Reguler Class Availability'!$G:$G,$Q378)&amp;""),0)=0,IF(INDEX('Reguler Class Availability'!$B:$B,$Q378)&amp;""="","Kosong","Belum terisi"),IF(IFERROR(--(INDEX('Reguler Class Availability'!$G:$G,$Q378)&amp;""),0)/IFERROR(--(INDEX('Reguler Class Availability'!$F:$F,$Q378)&amp;""),0)&gt;=0.6,"Tinggi","Sebagian"))))))</f>
        <v>Kosong</v>
      </c>
      <c r="F378" s="77" t="str">
        <f aca="false">IF($Q378="","",PROPER(INDEX('Reguler Class Availability'!$B:$B,$Q378)&amp;""))</f>
        <v/>
      </c>
      <c r="G378" s="76" t="n">
        <f aca="false">IF($Q378="","",IFERROR(--(INDEX('Reguler Class Availability'!$F:$F,$Q378)&amp;""),0))</f>
        <v>4</v>
      </c>
      <c r="H378" s="77" t="str">
        <f aca="false">IF($Q378="","",PROPER(INDEX('Reguler Class Availability'!$I:$I,$Q378)&amp;"")&amp;IF(INDEX('Reguler Class Availability'!$J:$J,$Q378)&amp;""="",""," + asst "&amp;PROPER(INDEX('Reguler Class Availability'!$J:$J,$Q378)&amp;"")))</f>
        <v/>
      </c>
      <c r="I378" s="77" t="s">
        <v>526</v>
      </c>
      <c r="J378" s="77" t="s">
        <v>260</v>
      </c>
      <c r="K378" s="78"/>
      <c r="L378" s="78"/>
      <c r="M378" s="78"/>
      <c r="N378" s="79"/>
      <c r="O378" s="78"/>
      <c r="Q378" s="30" t="n">
        <f aca="false">IFERROR(MATCH($B$4&amp;"|- Lane "&amp;D378&amp;" - "&amp;B378&amp;"|"&amp;C378,'Reguler Class Availability'!$L:$L,0),"")</f>
        <v>2818</v>
      </c>
    </row>
    <row r="379" customFormat="false" ht="15.75" hidden="false" customHeight="true" outlineLevel="0" collapsed="false">
      <c r="A379" s="76" t="n">
        <v>253</v>
      </c>
      <c r="B379" s="77" t="s">
        <v>118</v>
      </c>
      <c r="C379" s="76" t="s">
        <v>155</v>
      </c>
      <c r="D379" s="76" t="n">
        <v>1</v>
      </c>
      <c r="E379" s="77" t="str">
        <f aca="false">IF($Q379="","Tidak ada di data",IF(AND(IFERROR(--(INDEX('Reguler Class Availability'!$F:$F,$Q379)&amp;""),0)=0,IFERROR(--(INDEX('Reguler Class Availability'!$G:$G,$Q379)&amp;""),0)=0),"Tutup",IF(IFERROR(--(INDEX('Reguler Class Availability'!$G:$G,$Q379)&amp;""),0)&gt;IFERROR(--(INDEX('Reguler Class Availability'!$F:$F,$Q379)&amp;""),0),"Lebih",IF(IFERROR(--(INDEX('Reguler Class Availability'!$G:$G,$Q379)&amp;""),0)=IFERROR(--(INDEX('Reguler Class Availability'!$F:$F,$Q379)&amp;""),0),"Penuh",IF(IFERROR(--(INDEX('Reguler Class Availability'!$G:$G,$Q379)&amp;""),0)=0,IF(INDEX('Reguler Class Availability'!$B:$B,$Q379)&amp;""="","Kosong","Belum terisi"),IF(IFERROR(--(INDEX('Reguler Class Availability'!$G:$G,$Q379)&amp;""),0)/IFERROR(--(INDEX('Reguler Class Availability'!$F:$F,$Q379)&amp;""),0)&gt;=0.6,"Tinggi","Sebagian"))))))</f>
        <v>Belum terisi</v>
      </c>
      <c r="F379" s="77" t="str">
        <f aca="false">IF($Q379="","",PROPER(INDEX('Reguler Class Availability'!$B:$B,$Q379)&amp;""))</f>
        <v>Baby</v>
      </c>
      <c r="G379" s="76" t="n">
        <f aca="false">IF($Q379="","",IFERROR(--(INDEX('Reguler Class Availability'!$F:$F,$Q379)&amp;""),0))</f>
        <v>5</v>
      </c>
      <c r="H379" s="77" t="str">
        <f aca="false">IF($Q379="","",PROPER(INDEX('Reguler Class Availability'!$I:$I,$Q379)&amp;"")&amp;IF(INDEX('Reguler Class Availability'!$J:$J,$Q379)&amp;""="",""," + asst "&amp;PROPER(INDEX('Reguler Class Availability'!$J:$J,$Q379)&amp;"")))</f>
        <v/>
      </c>
      <c r="I379" s="77" t="s">
        <v>528</v>
      </c>
      <c r="J379" s="77" t="s">
        <v>529</v>
      </c>
      <c r="K379" s="78"/>
      <c r="L379" s="78"/>
      <c r="M379" s="78"/>
      <c r="N379" s="79"/>
      <c r="O379" s="78"/>
      <c r="Q379" s="30" t="n">
        <f aca="false">IFERROR(MATCH($B$4&amp;"|- Lane "&amp;D379&amp;" - "&amp;B379&amp;"|"&amp;C379,'Reguler Class Availability'!$L:$L,0),"")</f>
        <v>2469</v>
      </c>
    </row>
    <row r="380" customFormat="false" ht="15.75" hidden="false" customHeight="true" outlineLevel="0" collapsed="false">
      <c r="A380" s="76" t="n">
        <v>254</v>
      </c>
      <c r="B380" s="77" t="s">
        <v>118</v>
      </c>
      <c r="C380" s="76" t="s">
        <v>155</v>
      </c>
      <c r="D380" s="76" t="n">
        <v>2</v>
      </c>
      <c r="E380" s="77" t="str">
        <f aca="false">IF($Q380="","Tidak ada di data",IF(AND(IFERROR(--(INDEX('Reguler Class Availability'!$F:$F,$Q380)&amp;""),0)=0,IFERROR(--(INDEX('Reguler Class Availability'!$G:$G,$Q380)&amp;""),0)=0),"Tutup",IF(IFERROR(--(INDEX('Reguler Class Availability'!$G:$G,$Q380)&amp;""),0)&gt;IFERROR(--(INDEX('Reguler Class Availability'!$F:$F,$Q380)&amp;""),0),"Lebih",IF(IFERROR(--(INDEX('Reguler Class Availability'!$G:$G,$Q380)&amp;""),0)=IFERROR(--(INDEX('Reguler Class Availability'!$F:$F,$Q380)&amp;""),0),"Penuh",IF(IFERROR(--(INDEX('Reguler Class Availability'!$G:$G,$Q380)&amp;""),0)=0,IF(INDEX('Reguler Class Availability'!$B:$B,$Q380)&amp;""="","Kosong","Belum terisi"),IF(IFERROR(--(INDEX('Reguler Class Availability'!$G:$G,$Q380)&amp;""),0)/IFERROR(--(INDEX('Reguler Class Availability'!$F:$F,$Q380)&amp;""),0)&gt;=0.6,"Tinggi","Sebagian"))))))</f>
        <v>Belum terisi</v>
      </c>
      <c r="F380" s="77" t="str">
        <f aca="false">IF($Q380="","",PROPER(INDEX('Reguler Class Availability'!$B:$B,$Q380)&amp;""))</f>
        <v>Tiny</v>
      </c>
      <c r="G380" s="76" t="n">
        <f aca="false">IF($Q380="","",IFERROR(--(INDEX('Reguler Class Availability'!$F:$F,$Q380)&amp;""),0))</f>
        <v>5</v>
      </c>
      <c r="H380" s="77" t="str">
        <f aca="false">IF($Q380="","",PROPER(INDEX('Reguler Class Availability'!$I:$I,$Q380)&amp;"")&amp;IF(INDEX('Reguler Class Availability'!$J:$J,$Q380)&amp;""="",""," + asst "&amp;PROPER(INDEX('Reguler Class Availability'!$J:$J,$Q380)&amp;"")))</f>
        <v/>
      </c>
      <c r="I380" s="77" t="s">
        <v>528</v>
      </c>
      <c r="J380" s="77" t="s">
        <v>529</v>
      </c>
      <c r="K380" s="78"/>
      <c r="L380" s="78"/>
      <c r="M380" s="78"/>
      <c r="N380" s="79"/>
      <c r="O380" s="78"/>
      <c r="Q380" s="30" t="n">
        <f aca="false">IFERROR(MATCH($B$4&amp;"|- Lane "&amp;D380&amp;" - "&amp;B380&amp;"|"&amp;C380,'Reguler Class Availability'!$L:$L,0),"")</f>
        <v>2567</v>
      </c>
    </row>
    <row r="381" customFormat="false" ht="15.75" hidden="false" customHeight="true" outlineLevel="0" collapsed="false">
      <c r="A381" s="76" t="n">
        <v>255</v>
      </c>
      <c r="B381" s="77" t="s">
        <v>118</v>
      </c>
      <c r="C381" s="76" t="s">
        <v>155</v>
      </c>
      <c r="D381" s="76" t="n">
        <v>5</v>
      </c>
      <c r="E381" s="77" t="str">
        <f aca="false">IF($Q381="","Tidak ada di data",IF(AND(IFERROR(--(INDEX('Reguler Class Availability'!$F:$F,$Q381)&amp;""),0)=0,IFERROR(--(INDEX('Reguler Class Availability'!$G:$G,$Q381)&amp;""),0)=0),"Tutup",IF(IFERROR(--(INDEX('Reguler Class Availability'!$G:$G,$Q381)&amp;""),0)&gt;IFERROR(--(INDEX('Reguler Class Availability'!$F:$F,$Q381)&amp;""),0),"Lebih",IF(IFERROR(--(INDEX('Reguler Class Availability'!$G:$G,$Q381)&amp;""),0)=IFERROR(--(INDEX('Reguler Class Availability'!$F:$F,$Q381)&amp;""),0),"Penuh",IF(IFERROR(--(INDEX('Reguler Class Availability'!$G:$G,$Q381)&amp;""),0)=0,IF(INDEX('Reguler Class Availability'!$B:$B,$Q381)&amp;""="","Kosong","Belum terisi"),IF(IFERROR(--(INDEX('Reguler Class Availability'!$G:$G,$Q381)&amp;""),0)/IFERROR(--(INDEX('Reguler Class Availability'!$F:$F,$Q381)&amp;""),0)&gt;=0.6,"Tinggi","Sebagian"))))))</f>
        <v>Kosong</v>
      </c>
      <c r="F381" s="77" t="str">
        <f aca="false">IF($Q381="","",PROPER(INDEX('Reguler Class Availability'!$B:$B,$Q381)&amp;""))</f>
        <v/>
      </c>
      <c r="G381" s="76" t="n">
        <f aca="false">IF($Q381="","",IFERROR(--(INDEX('Reguler Class Availability'!$F:$F,$Q381)&amp;""),0))</f>
        <v>4</v>
      </c>
      <c r="H381" s="77" t="str">
        <f aca="false">IF($Q381="","",PROPER(INDEX('Reguler Class Availability'!$I:$I,$Q381)&amp;"")&amp;IF(INDEX('Reguler Class Availability'!$J:$J,$Q381)&amp;""="",""," + asst "&amp;PROPER(INDEX('Reguler Class Availability'!$J:$J,$Q381)&amp;"")))</f>
        <v/>
      </c>
      <c r="I381" s="77" t="s">
        <v>528</v>
      </c>
      <c r="J381" s="77" t="s">
        <v>529</v>
      </c>
      <c r="K381" s="78"/>
      <c r="L381" s="78"/>
      <c r="M381" s="78"/>
      <c r="N381" s="79"/>
      <c r="O381" s="78"/>
      <c r="Q381" s="30" t="n">
        <f aca="false">IFERROR(MATCH($B$4&amp;"|- Lane "&amp;D381&amp;" - "&amp;B381&amp;"|"&amp;C381,'Reguler Class Availability'!$L:$L,0),"")</f>
        <v>2819</v>
      </c>
    </row>
    <row r="382" customFormat="false" ht="27.75" hidden="false" customHeight="true" outlineLevel="0" collapsed="false">
      <c r="A382" s="76" t="n">
        <v>256</v>
      </c>
      <c r="B382" s="77" t="s">
        <v>118</v>
      </c>
      <c r="C382" s="76" t="s">
        <v>156</v>
      </c>
      <c r="D382" s="76" t="n">
        <v>3</v>
      </c>
      <c r="E382" s="77" t="str">
        <f aca="false">IF($Q382="","Tidak ada di data",IF(AND(IFERROR(--(INDEX('Reguler Class Availability'!$F:$F,$Q382)&amp;""),0)=0,IFERROR(--(INDEX('Reguler Class Availability'!$G:$G,$Q382)&amp;""),0)=0),"Tutup",IF(IFERROR(--(INDEX('Reguler Class Availability'!$G:$G,$Q382)&amp;""),0)&gt;IFERROR(--(INDEX('Reguler Class Availability'!$F:$F,$Q382)&amp;""),0),"Lebih",IF(IFERROR(--(INDEX('Reguler Class Availability'!$G:$G,$Q382)&amp;""),0)=IFERROR(--(INDEX('Reguler Class Availability'!$F:$F,$Q382)&amp;""),0),"Penuh",IF(IFERROR(--(INDEX('Reguler Class Availability'!$G:$G,$Q382)&amp;""),0)=0,IF(INDEX('Reguler Class Availability'!$B:$B,$Q382)&amp;""="","Kosong","Belum terisi"),IF(IFERROR(--(INDEX('Reguler Class Availability'!$G:$G,$Q382)&amp;""),0)/IFERROR(--(INDEX('Reguler Class Availability'!$F:$F,$Q382)&amp;""),0)&gt;=0.6,"Tinggi","Sebagian"))))))</f>
        <v>Belum terisi</v>
      </c>
      <c r="F382" s="77" t="str">
        <f aca="false">IF($Q382="","",PROPER(INDEX('Reguler Class Availability'!$B:$B,$Q382)&amp;""))</f>
        <v>Little</v>
      </c>
      <c r="G382" s="76" t="n">
        <f aca="false">IF($Q382="","",IFERROR(--(INDEX('Reguler Class Availability'!$F:$F,$Q382)&amp;""),0))</f>
        <v>4</v>
      </c>
      <c r="H382" s="77" t="str">
        <f aca="false">IF($Q382="","",PROPER(INDEX('Reguler Class Availability'!$I:$I,$Q382)&amp;"")&amp;IF(INDEX('Reguler Class Availability'!$J:$J,$Q382)&amp;""="",""," + asst "&amp;PROPER(INDEX('Reguler Class Availability'!$J:$J,$Q382)&amp;"")))</f>
        <v/>
      </c>
      <c r="I382" s="77" t="s">
        <v>536</v>
      </c>
      <c r="J382" s="77" t="s">
        <v>186</v>
      </c>
      <c r="K382" s="78"/>
      <c r="L382" s="78"/>
      <c r="M382" s="78"/>
      <c r="N382" s="79"/>
      <c r="O382" s="78"/>
      <c r="Q382" s="30" t="n">
        <f aca="false">IFERROR(MATCH($B$4&amp;"|- Lane "&amp;D382&amp;" - "&amp;B382&amp;"|"&amp;C382,'Reguler Class Availability'!$L:$L,0),"")</f>
        <v>2651</v>
      </c>
    </row>
    <row r="383" customFormat="false" ht="40.5" hidden="false" customHeight="true" outlineLevel="0" collapsed="false">
      <c r="A383" s="76" t="n">
        <v>257</v>
      </c>
      <c r="B383" s="77" t="s">
        <v>118</v>
      </c>
      <c r="C383" s="76" t="s">
        <v>160</v>
      </c>
      <c r="D383" s="76" t="n">
        <v>1</v>
      </c>
      <c r="E383" s="77" t="str">
        <f aca="false">IF($Q383="","Tidak ada di data",IF(AND(IFERROR(--(INDEX('Reguler Class Availability'!$F:$F,$Q383)&amp;""),0)=0,IFERROR(--(INDEX('Reguler Class Availability'!$G:$G,$Q383)&amp;""),0)=0),"Tutup",IF(IFERROR(--(INDEX('Reguler Class Availability'!$G:$G,$Q383)&amp;""),0)&gt;IFERROR(--(INDEX('Reguler Class Availability'!$F:$F,$Q383)&amp;""),0),"Lebih",IF(IFERROR(--(INDEX('Reguler Class Availability'!$G:$G,$Q383)&amp;""),0)=IFERROR(--(INDEX('Reguler Class Availability'!$F:$F,$Q383)&amp;""),0),"Penuh",IF(IFERROR(--(INDEX('Reguler Class Availability'!$G:$G,$Q383)&amp;""),0)=0,IF(INDEX('Reguler Class Availability'!$B:$B,$Q383)&amp;""="","Kosong","Belum terisi"),IF(IFERROR(--(INDEX('Reguler Class Availability'!$G:$G,$Q383)&amp;""),0)/IFERROR(--(INDEX('Reguler Class Availability'!$F:$F,$Q383)&amp;""),0)&gt;=0.6,"Tinggi","Sebagian"))))))</f>
        <v>Belum terisi</v>
      </c>
      <c r="F383" s="77" t="str">
        <f aca="false">IF($Q383="","",PROPER(INDEX('Reguler Class Availability'!$B:$B,$Q383)&amp;""))</f>
        <v>Star</v>
      </c>
      <c r="G383" s="76" t="n">
        <f aca="false">IF($Q383="","",IFERROR(--(INDEX('Reguler Class Availability'!$F:$F,$Q383)&amp;""),0))</f>
        <v>8</v>
      </c>
      <c r="H383" s="77" t="str">
        <f aca="false">IF($Q383="","",PROPER(INDEX('Reguler Class Availability'!$I:$I,$Q383)&amp;"")&amp;IF(INDEX('Reguler Class Availability'!$J:$J,$Q383)&amp;""="",""," + asst "&amp;PROPER(INDEX('Reguler Class Availability'!$J:$J,$Q383)&amp;"")))</f>
        <v/>
      </c>
      <c r="I383" s="77" t="s">
        <v>533</v>
      </c>
      <c r="J383" s="77" t="s">
        <v>186</v>
      </c>
      <c r="K383" s="78"/>
      <c r="L383" s="78"/>
      <c r="M383" s="78"/>
      <c r="N383" s="79"/>
      <c r="O383" s="78"/>
      <c r="Q383" s="30" t="n">
        <f aca="false">IFERROR(MATCH($B$4&amp;"|- Lane "&amp;D383&amp;" - "&amp;B383&amp;"|"&amp;C383,'Reguler Class Availability'!$L:$L,0),"")</f>
        <v>2505</v>
      </c>
    </row>
    <row r="384" customFormat="false" ht="40.5" hidden="false" customHeight="true" outlineLevel="0" collapsed="false">
      <c r="A384" s="76" t="n">
        <v>258</v>
      </c>
      <c r="B384" s="77" t="s">
        <v>119</v>
      </c>
      <c r="C384" s="76" t="s">
        <v>105</v>
      </c>
      <c r="D384" s="76" t="n">
        <v>1</v>
      </c>
      <c r="E384" s="77" t="str">
        <f aca="false">IF($Q384="","Tidak ada di data",IF(AND(IFERROR(--(INDEX('Reguler Class Availability'!$F:$F,$Q384)&amp;""),0)=0,IFERROR(--(INDEX('Reguler Class Availability'!$G:$G,$Q384)&amp;""),0)=0),"Tutup",IF(IFERROR(--(INDEX('Reguler Class Availability'!$G:$G,$Q384)&amp;""),0)&gt;IFERROR(--(INDEX('Reguler Class Availability'!$F:$F,$Q384)&amp;""),0),"Lebih",IF(IFERROR(--(INDEX('Reguler Class Availability'!$G:$G,$Q384)&amp;""),0)=IFERROR(--(INDEX('Reguler Class Availability'!$F:$F,$Q384)&amp;""),0),"Penuh",IF(IFERROR(--(INDEX('Reguler Class Availability'!$G:$G,$Q384)&amp;""),0)=0,IF(INDEX('Reguler Class Availability'!$B:$B,$Q384)&amp;""="","Kosong","Belum terisi"),IF(IFERROR(--(INDEX('Reguler Class Availability'!$G:$G,$Q384)&amp;""),0)/IFERROR(--(INDEX('Reguler Class Availability'!$F:$F,$Q384)&amp;""),0)&gt;=0.6,"Tinggi","Sebagian"))))))</f>
        <v>Belum terisi</v>
      </c>
      <c r="F384" s="77" t="str">
        <f aca="false">IF($Q384="","",PROPER(INDEX('Reguler Class Availability'!$B:$B,$Q384)&amp;""))</f>
        <v>Baby</v>
      </c>
      <c r="G384" s="76" t="n">
        <f aca="false">IF($Q384="","",IFERROR(--(INDEX('Reguler Class Availability'!$F:$F,$Q384)&amp;""),0))</f>
        <v>5</v>
      </c>
      <c r="H384" s="77" t="str">
        <f aca="false">IF($Q384="","",PROPER(INDEX('Reguler Class Availability'!$I:$I,$Q384)&amp;"")&amp;IF(INDEX('Reguler Class Availability'!$J:$J,$Q384)&amp;""="",""," + asst "&amp;PROPER(INDEX('Reguler Class Availability'!$J:$J,$Q384)&amp;"")))</f>
        <v/>
      </c>
      <c r="I384" s="77" t="s">
        <v>537</v>
      </c>
      <c r="J384" s="77" t="s">
        <v>188</v>
      </c>
      <c r="K384" s="78"/>
      <c r="L384" s="78"/>
      <c r="M384" s="78"/>
      <c r="N384" s="79"/>
      <c r="O384" s="78"/>
      <c r="Q384" s="30" t="n">
        <f aca="false">IFERROR(MATCH($B$4&amp;"|- Lane "&amp;D384&amp;" - "&amp;B384&amp;"|"&amp;C384,'Reguler Class Availability'!$L:$L,0),"")</f>
        <v>2470</v>
      </c>
    </row>
    <row r="385" customFormat="false" ht="40.5" hidden="false" customHeight="true" outlineLevel="0" collapsed="false">
      <c r="A385" s="76" t="n">
        <v>259</v>
      </c>
      <c r="B385" s="77" t="s">
        <v>119</v>
      </c>
      <c r="C385" s="76" t="s">
        <v>105</v>
      </c>
      <c r="D385" s="76" t="n">
        <v>2</v>
      </c>
      <c r="E385" s="77" t="str">
        <f aca="false">IF($Q385="","Tidak ada di data",IF(AND(IFERROR(--(INDEX('Reguler Class Availability'!$F:$F,$Q385)&amp;""),0)=0,IFERROR(--(INDEX('Reguler Class Availability'!$G:$G,$Q385)&amp;""),0)=0),"Tutup",IF(IFERROR(--(INDEX('Reguler Class Availability'!$G:$G,$Q385)&amp;""),0)&gt;IFERROR(--(INDEX('Reguler Class Availability'!$F:$F,$Q385)&amp;""),0),"Lebih",IF(IFERROR(--(INDEX('Reguler Class Availability'!$G:$G,$Q385)&amp;""),0)=IFERROR(--(INDEX('Reguler Class Availability'!$F:$F,$Q385)&amp;""),0),"Penuh",IF(IFERROR(--(INDEX('Reguler Class Availability'!$G:$G,$Q385)&amp;""),0)=0,IF(INDEX('Reguler Class Availability'!$B:$B,$Q385)&amp;""="","Kosong","Belum terisi"),IF(IFERROR(--(INDEX('Reguler Class Availability'!$G:$G,$Q385)&amp;""),0)/IFERROR(--(INDEX('Reguler Class Availability'!$F:$F,$Q385)&amp;""),0)&gt;=0.6,"Tinggi","Sebagian"))))))</f>
        <v>Belum terisi</v>
      </c>
      <c r="F385" s="77" t="str">
        <f aca="false">IF($Q385="","",PROPER(INDEX('Reguler Class Availability'!$B:$B,$Q385)&amp;""))</f>
        <v>Tiny</v>
      </c>
      <c r="G385" s="76" t="n">
        <f aca="false">IF($Q385="","",IFERROR(--(INDEX('Reguler Class Availability'!$F:$F,$Q385)&amp;""),0))</f>
        <v>5</v>
      </c>
      <c r="H385" s="77" t="str">
        <f aca="false">IF($Q385="","",PROPER(INDEX('Reguler Class Availability'!$I:$I,$Q385)&amp;"")&amp;IF(INDEX('Reguler Class Availability'!$J:$J,$Q385)&amp;""="",""," + asst "&amp;PROPER(INDEX('Reguler Class Availability'!$J:$J,$Q385)&amp;"")))</f>
        <v/>
      </c>
      <c r="I385" s="77" t="s">
        <v>537</v>
      </c>
      <c r="J385" s="77" t="s">
        <v>188</v>
      </c>
      <c r="K385" s="78"/>
      <c r="L385" s="78"/>
      <c r="M385" s="78"/>
      <c r="N385" s="79"/>
      <c r="O385" s="78"/>
      <c r="Q385" s="30" t="n">
        <f aca="false">IFERROR(MATCH($B$4&amp;"|- Lane "&amp;D385&amp;" - "&amp;B385&amp;"|"&amp;C385,'Reguler Class Availability'!$L:$L,0),"")</f>
        <v>2568</v>
      </c>
    </row>
    <row r="386" customFormat="false" ht="40.5" hidden="false" customHeight="true" outlineLevel="0" collapsed="false">
      <c r="A386" s="76" t="n">
        <v>260</v>
      </c>
      <c r="B386" s="77" t="s">
        <v>119</v>
      </c>
      <c r="C386" s="76" t="s">
        <v>105</v>
      </c>
      <c r="D386" s="76" t="n">
        <v>5</v>
      </c>
      <c r="E386" s="77" t="str">
        <f aca="false">IF($Q386="","Tidak ada di data",IF(AND(IFERROR(--(INDEX('Reguler Class Availability'!$F:$F,$Q386)&amp;""),0)=0,IFERROR(--(INDEX('Reguler Class Availability'!$G:$G,$Q386)&amp;""),0)=0),"Tutup",IF(IFERROR(--(INDEX('Reguler Class Availability'!$G:$G,$Q386)&amp;""),0)&gt;IFERROR(--(INDEX('Reguler Class Availability'!$F:$F,$Q386)&amp;""),0),"Lebih",IF(IFERROR(--(INDEX('Reguler Class Availability'!$G:$G,$Q386)&amp;""),0)=IFERROR(--(INDEX('Reguler Class Availability'!$F:$F,$Q386)&amp;""),0),"Penuh",IF(IFERROR(--(INDEX('Reguler Class Availability'!$G:$G,$Q386)&amp;""),0)=0,IF(INDEX('Reguler Class Availability'!$B:$B,$Q386)&amp;""="","Kosong","Belum terisi"),IF(IFERROR(--(INDEX('Reguler Class Availability'!$G:$G,$Q386)&amp;""),0)/IFERROR(--(INDEX('Reguler Class Availability'!$F:$F,$Q386)&amp;""),0)&gt;=0.6,"Tinggi","Sebagian"))))))</f>
        <v>Kosong</v>
      </c>
      <c r="F386" s="77" t="str">
        <f aca="false">IF($Q386="","",PROPER(INDEX('Reguler Class Availability'!$B:$B,$Q386)&amp;""))</f>
        <v/>
      </c>
      <c r="G386" s="76" t="n">
        <f aca="false">IF($Q386="","",IFERROR(--(INDEX('Reguler Class Availability'!$F:$F,$Q386)&amp;""),0))</f>
        <v>4</v>
      </c>
      <c r="H386" s="77" t="str">
        <f aca="false">IF($Q386="","",PROPER(INDEX('Reguler Class Availability'!$I:$I,$Q386)&amp;"")&amp;IF(INDEX('Reguler Class Availability'!$J:$J,$Q386)&amp;""="",""," + asst "&amp;PROPER(INDEX('Reguler Class Availability'!$J:$J,$Q386)&amp;"")))</f>
        <v/>
      </c>
      <c r="I386" s="77" t="s">
        <v>537</v>
      </c>
      <c r="J386" s="77" t="s">
        <v>188</v>
      </c>
      <c r="K386" s="78"/>
      <c r="L386" s="78"/>
      <c r="M386" s="78"/>
      <c r="N386" s="79"/>
      <c r="O386" s="78"/>
      <c r="Q386" s="30" t="n">
        <f aca="false">IFERROR(MATCH($B$4&amp;"|- Lane "&amp;D386&amp;" - "&amp;B386&amp;"|"&amp;C386,'Reguler Class Availability'!$L:$L,0),"")</f>
        <v>2820</v>
      </c>
    </row>
    <row r="387" customFormat="false" ht="27.75" hidden="false" customHeight="true" outlineLevel="0" collapsed="false">
      <c r="A387" s="76" t="n">
        <v>261</v>
      </c>
      <c r="B387" s="77" t="s">
        <v>119</v>
      </c>
      <c r="C387" s="76" t="s">
        <v>110</v>
      </c>
      <c r="D387" s="76" t="n">
        <v>3</v>
      </c>
      <c r="E387" s="77" t="str">
        <f aca="false">IF($Q387="","Tidak ada di data",IF(AND(IFERROR(--(INDEX('Reguler Class Availability'!$F:$F,$Q387)&amp;""),0)=0,IFERROR(--(INDEX('Reguler Class Availability'!$G:$G,$Q387)&amp;""),0)=0),"Tutup",IF(IFERROR(--(INDEX('Reguler Class Availability'!$G:$G,$Q387)&amp;""),0)&gt;IFERROR(--(INDEX('Reguler Class Availability'!$F:$F,$Q387)&amp;""),0),"Lebih",IF(IFERROR(--(INDEX('Reguler Class Availability'!$G:$G,$Q387)&amp;""),0)=IFERROR(--(INDEX('Reguler Class Availability'!$F:$F,$Q387)&amp;""),0),"Penuh",IF(IFERROR(--(INDEX('Reguler Class Availability'!$G:$G,$Q387)&amp;""),0)=0,IF(INDEX('Reguler Class Availability'!$B:$B,$Q387)&amp;""="","Kosong","Belum terisi"),IF(IFERROR(--(INDEX('Reguler Class Availability'!$G:$G,$Q387)&amp;""),0)/IFERROR(--(INDEX('Reguler Class Availability'!$F:$F,$Q387)&amp;""),0)&gt;=0.6,"Tinggi","Sebagian"))))))</f>
        <v>Belum terisi</v>
      </c>
      <c r="F387" s="77" t="str">
        <f aca="false">IF($Q387="","",PROPER(INDEX('Reguler Class Availability'!$B:$B,$Q387)&amp;""))</f>
        <v>Little</v>
      </c>
      <c r="G387" s="76" t="n">
        <f aca="false">IF($Q387="","",IFERROR(--(INDEX('Reguler Class Availability'!$F:$F,$Q387)&amp;""),0))</f>
        <v>4</v>
      </c>
      <c r="H387" s="77" t="str">
        <f aca="false">IF($Q387="","",PROPER(INDEX('Reguler Class Availability'!$I:$I,$Q387)&amp;"")&amp;IF(INDEX('Reguler Class Availability'!$J:$J,$Q387)&amp;""="",""," + asst "&amp;PROPER(INDEX('Reguler Class Availability'!$J:$J,$Q387)&amp;"")))</f>
        <v/>
      </c>
      <c r="I387" s="77" t="s">
        <v>538</v>
      </c>
      <c r="J387" s="77" t="s">
        <v>260</v>
      </c>
      <c r="K387" s="78"/>
      <c r="L387" s="78"/>
      <c r="M387" s="78"/>
      <c r="N387" s="79"/>
      <c r="O387" s="78"/>
      <c r="Q387" s="30" t="n">
        <f aca="false">IFERROR(MATCH($B$4&amp;"|- Lane "&amp;D387&amp;" - "&amp;B387&amp;"|"&amp;C387,'Reguler Class Availability'!$L:$L,0),"")</f>
        <v>2652</v>
      </c>
    </row>
    <row r="388" customFormat="false" ht="27.75" hidden="false" customHeight="true" outlineLevel="0" collapsed="false">
      <c r="A388" s="76" t="n">
        <v>262</v>
      </c>
      <c r="B388" s="77" t="s">
        <v>119</v>
      </c>
      <c r="C388" s="76" t="s">
        <v>110</v>
      </c>
      <c r="D388" s="76" t="n">
        <v>4</v>
      </c>
      <c r="E388" s="77" t="str">
        <f aca="false">IF($Q388="","Tidak ada di data",IF(AND(IFERROR(--(INDEX('Reguler Class Availability'!$F:$F,$Q388)&amp;""),0)=0,IFERROR(--(INDEX('Reguler Class Availability'!$G:$G,$Q388)&amp;""),0)=0),"Tutup",IF(IFERROR(--(INDEX('Reguler Class Availability'!$G:$G,$Q388)&amp;""),0)&gt;IFERROR(--(INDEX('Reguler Class Availability'!$F:$F,$Q388)&amp;""),0),"Lebih",IF(IFERROR(--(INDEX('Reguler Class Availability'!$G:$G,$Q388)&amp;""),0)=IFERROR(--(INDEX('Reguler Class Availability'!$F:$F,$Q388)&amp;""),0),"Penuh",IF(IFERROR(--(INDEX('Reguler Class Availability'!$G:$G,$Q388)&amp;""),0)=0,IF(INDEX('Reguler Class Availability'!$B:$B,$Q388)&amp;""="","Kosong","Belum terisi"),IF(IFERROR(--(INDEX('Reguler Class Availability'!$G:$G,$Q388)&amp;""),0)/IFERROR(--(INDEX('Reguler Class Availability'!$F:$F,$Q388)&amp;""),0)&gt;=0.6,"Tinggi","Sebagian"))))))</f>
        <v>Belum terisi</v>
      </c>
      <c r="F388" s="77" t="str">
        <f aca="false">IF($Q388="","",PROPER(INDEX('Reguler Class Availability'!$B:$B,$Q388)&amp;""))</f>
        <v>Kids</v>
      </c>
      <c r="G388" s="76" t="n">
        <f aca="false">IF($Q388="","",IFERROR(--(INDEX('Reguler Class Availability'!$F:$F,$Q388)&amp;""),0))</f>
        <v>4</v>
      </c>
      <c r="H388" s="77" t="str">
        <f aca="false">IF($Q388="","",PROPER(INDEX('Reguler Class Availability'!$I:$I,$Q388)&amp;"")&amp;IF(INDEX('Reguler Class Availability'!$J:$J,$Q388)&amp;""="",""," + asst "&amp;PROPER(INDEX('Reguler Class Availability'!$J:$J,$Q388)&amp;"")))</f>
        <v/>
      </c>
      <c r="I388" s="77" t="s">
        <v>538</v>
      </c>
      <c r="J388" s="77" t="s">
        <v>260</v>
      </c>
      <c r="K388" s="78"/>
      <c r="L388" s="78"/>
      <c r="M388" s="78"/>
      <c r="N388" s="79"/>
      <c r="O388" s="78"/>
      <c r="Q388" s="30" t="n">
        <f aca="false">IFERROR(MATCH($B$4&amp;"|- Lane "&amp;D388&amp;" - "&amp;B388&amp;"|"&amp;C388,'Reguler Class Availability'!$L:$L,0),"")</f>
        <v>2736</v>
      </c>
    </row>
    <row r="389" customFormat="false" ht="15.75" hidden="false" customHeight="true" outlineLevel="0" collapsed="false">
      <c r="A389" s="76" t="n">
        <v>263</v>
      </c>
      <c r="B389" s="77" t="s">
        <v>119</v>
      </c>
      <c r="C389" s="76" t="s">
        <v>120</v>
      </c>
      <c r="D389" s="76" t="n">
        <v>5</v>
      </c>
      <c r="E389" s="77" t="str">
        <f aca="false">IF($Q389="","Tidak ada di data",IF(AND(IFERROR(--(INDEX('Reguler Class Availability'!$F:$F,$Q389)&amp;""),0)=0,IFERROR(--(INDEX('Reguler Class Availability'!$G:$G,$Q389)&amp;""),0)=0),"Tutup",IF(IFERROR(--(INDEX('Reguler Class Availability'!$G:$G,$Q389)&amp;""),0)&gt;IFERROR(--(INDEX('Reguler Class Availability'!$F:$F,$Q389)&amp;""),0),"Lebih",IF(IFERROR(--(INDEX('Reguler Class Availability'!$G:$G,$Q389)&amp;""),0)=IFERROR(--(INDEX('Reguler Class Availability'!$F:$F,$Q389)&amp;""),0),"Penuh",IF(IFERROR(--(INDEX('Reguler Class Availability'!$G:$G,$Q389)&amp;""),0)=0,IF(INDEX('Reguler Class Availability'!$B:$B,$Q389)&amp;""="","Kosong","Belum terisi"),IF(IFERROR(--(INDEX('Reguler Class Availability'!$G:$G,$Q389)&amp;""),0)/IFERROR(--(INDEX('Reguler Class Availability'!$F:$F,$Q389)&amp;""),0)&gt;=0.6,"Tinggi","Sebagian"))))))</f>
        <v>Kosong</v>
      </c>
      <c r="F389" s="77" t="str">
        <f aca="false">IF($Q389="","",PROPER(INDEX('Reguler Class Availability'!$B:$B,$Q389)&amp;""))</f>
        <v/>
      </c>
      <c r="G389" s="76" t="n">
        <f aca="false">IF($Q389="","",IFERROR(--(INDEX('Reguler Class Availability'!$F:$F,$Q389)&amp;""),0))</f>
        <v>4</v>
      </c>
      <c r="H389" s="77" t="str">
        <f aca="false">IF($Q389="","",PROPER(INDEX('Reguler Class Availability'!$I:$I,$Q389)&amp;"")&amp;IF(INDEX('Reguler Class Availability'!$J:$J,$Q389)&amp;""="",""," + asst "&amp;PROPER(INDEX('Reguler Class Availability'!$J:$J,$Q389)&amp;"")))</f>
        <v/>
      </c>
      <c r="I389" s="77" t="s">
        <v>531</v>
      </c>
      <c r="J389" s="77" t="s">
        <v>260</v>
      </c>
      <c r="K389" s="78"/>
      <c r="L389" s="78"/>
      <c r="M389" s="78"/>
      <c r="N389" s="79"/>
      <c r="O389" s="78"/>
      <c r="Q389" s="30" t="n">
        <f aca="false">IFERROR(MATCH($B$4&amp;"|- Lane "&amp;D389&amp;" - "&amp;B389&amp;"|"&amp;C389,'Reguler Class Availability'!$L:$L,0),"")</f>
        <v>2821</v>
      </c>
    </row>
    <row r="390" customFormat="false" ht="15.75" hidden="false" customHeight="true" outlineLevel="0" collapsed="false">
      <c r="A390" s="76" t="n">
        <v>264</v>
      </c>
      <c r="B390" s="77" t="s">
        <v>119</v>
      </c>
      <c r="C390" s="76" t="s">
        <v>123</v>
      </c>
      <c r="D390" s="76" t="n">
        <v>5</v>
      </c>
      <c r="E390" s="77" t="str">
        <f aca="false">IF($Q390="","Tidak ada di data",IF(AND(IFERROR(--(INDEX('Reguler Class Availability'!$F:$F,$Q390)&amp;""),0)=0,IFERROR(--(INDEX('Reguler Class Availability'!$G:$G,$Q390)&amp;""),0)=0),"Tutup",IF(IFERROR(--(INDEX('Reguler Class Availability'!$G:$G,$Q390)&amp;""),0)&gt;IFERROR(--(INDEX('Reguler Class Availability'!$F:$F,$Q390)&amp;""),0),"Lebih",IF(IFERROR(--(INDEX('Reguler Class Availability'!$G:$G,$Q390)&amp;""),0)=IFERROR(--(INDEX('Reguler Class Availability'!$F:$F,$Q390)&amp;""),0),"Penuh",IF(IFERROR(--(INDEX('Reguler Class Availability'!$G:$G,$Q390)&amp;""),0)=0,IF(INDEX('Reguler Class Availability'!$B:$B,$Q390)&amp;""="","Kosong","Belum terisi"),IF(IFERROR(--(INDEX('Reguler Class Availability'!$G:$G,$Q390)&amp;""),0)/IFERROR(--(INDEX('Reguler Class Availability'!$F:$F,$Q390)&amp;""),0)&gt;=0.6,"Tinggi","Sebagian"))))))</f>
        <v>Kosong</v>
      </c>
      <c r="F390" s="77" t="str">
        <f aca="false">IF($Q390="","",PROPER(INDEX('Reguler Class Availability'!$B:$B,$Q390)&amp;""))</f>
        <v/>
      </c>
      <c r="G390" s="76" t="n">
        <f aca="false">IF($Q390="","",IFERROR(--(INDEX('Reguler Class Availability'!$F:$F,$Q390)&amp;""),0))</f>
        <v>4</v>
      </c>
      <c r="H390" s="77" t="str">
        <f aca="false">IF($Q390="","",PROPER(INDEX('Reguler Class Availability'!$I:$I,$Q390)&amp;"")&amp;IF(INDEX('Reguler Class Availability'!$J:$J,$Q390)&amp;""="",""," + asst "&amp;PROPER(INDEX('Reguler Class Availability'!$J:$J,$Q390)&amp;"")))</f>
        <v/>
      </c>
      <c r="I390" s="77" t="s">
        <v>526</v>
      </c>
      <c r="J390" s="77" t="s">
        <v>260</v>
      </c>
      <c r="K390" s="78"/>
      <c r="L390" s="78"/>
      <c r="M390" s="78"/>
      <c r="N390" s="79"/>
      <c r="O390" s="78"/>
      <c r="Q390" s="30" t="n">
        <f aca="false">IFERROR(MATCH($B$4&amp;"|- Lane "&amp;D390&amp;" - "&amp;B390&amp;"|"&amp;C390,'Reguler Class Availability'!$L:$L,0),"")</f>
        <v>2822</v>
      </c>
    </row>
    <row r="391" customFormat="false" ht="15.75" hidden="false" customHeight="true" outlineLevel="0" collapsed="false">
      <c r="A391" s="76" t="n">
        <v>265</v>
      </c>
      <c r="B391" s="77" t="s">
        <v>119</v>
      </c>
      <c r="C391" s="76" t="s">
        <v>126</v>
      </c>
      <c r="D391" s="76" t="n">
        <v>5</v>
      </c>
      <c r="E391" s="77" t="str">
        <f aca="false">IF($Q391="","Tidak ada di data",IF(AND(IFERROR(--(INDEX('Reguler Class Availability'!$F:$F,$Q391)&amp;""),0)=0,IFERROR(--(INDEX('Reguler Class Availability'!$G:$G,$Q391)&amp;""),0)=0),"Tutup",IF(IFERROR(--(INDEX('Reguler Class Availability'!$G:$G,$Q391)&amp;""),0)&gt;IFERROR(--(INDEX('Reguler Class Availability'!$F:$F,$Q391)&amp;""),0),"Lebih",IF(IFERROR(--(INDEX('Reguler Class Availability'!$G:$G,$Q391)&amp;""),0)=IFERROR(--(INDEX('Reguler Class Availability'!$F:$F,$Q391)&amp;""),0),"Penuh",IF(IFERROR(--(INDEX('Reguler Class Availability'!$G:$G,$Q391)&amp;""),0)=0,IF(INDEX('Reguler Class Availability'!$B:$B,$Q391)&amp;""="","Kosong","Belum terisi"),IF(IFERROR(--(INDEX('Reguler Class Availability'!$G:$G,$Q391)&amp;""),0)/IFERROR(--(INDEX('Reguler Class Availability'!$F:$F,$Q391)&amp;""),0)&gt;=0.6,"Tinggi","Sebagian"))))))</f>
        <v>Kosong</v>
      </c>
      <c r="F391" s="77" t="str">
        <f aca="false">IF($Q391="","",PROPER(INDEX('Reguler Class Availability'!$B:$B,$Q391)&amp;""))</f>
        <v/>
      </c>
      <c r="G391" s="76" t="n">
        <f aca="false">IF($Q391="","",IFERROR(--(INDEX('Reguler Class Availability'!$F:$F,$Q391)&amp;""),0))</f>
        <v>4</v>
      </c>
      <c r="H391" s="77" t="str">
        <f aca="false">IF($Q391="","",PROPER(INDEX('Reguler Class Availability'!$I:$I,$Q391)&amp;"")&amp;IF(INDEX('Reguler Class Availability'!$J:$J,$Q391)&amp;""="",""," + asst "&amp;PROPER(INDEX('Reguler Class Availability'!$J:$J,$Q391)&amp;"")))</f>
        <v/>
      </c>
      <c r="I391" s="77" t="s">
        <v>521</v>
      </c>
      <c r="J391" s="77" t="s">
        <v>260</v>
      </c>
      <c r="K391" s="78"/>
      <c r="L391" s="78"/>
      <c r="M391" s="78"/>
      <c r="N391" s="79"/>
      <c r="O391" s="78"/>
      <c r="Q391" s="30" t="n">
        <f aca="false">IFERROR(MATCH($B$4&amp;"|- Lane "&amp;D391&amp;" - "&amp;B391&amp;"|"&amp;C391,'Reguler Class Availability'!$L:$L,0),"")</f>
        <v>2823</v>
      </c>
    </row>
    <row r="392" customFormat="false" ht="27.75" hidden="false" customHeight="true" outlineLevel="0" collapsed="false">
      <c r="A392" s="76" t="n">
        <v>266</v>
      </c>
      <c r="B392" s="77" t="s">
        <v>119</v>
      </c>
      <c r="C392" s="76" t="s">
        <v>127</v>
      </c>
      <c r="D392" s="76" t="n">
        <v>4</v>
      </c>
      <c r="E392" s="77" t="str">
        <f aca="false">IF($Q392="","Tidak ada di data",IF(AND(IFERROR(--(INDEX('Reguler Class Availability'!$F:$F,$Q392)&amp;""),0)=0,IFERROR(--(INDEX('Reguler Class Availability'!$G:$G,$Q392)&amp;""),0)=0),"Tutup",IF(IFERROR(--(INDEX('Reguler Class Availability'!$G:$G,$Q392)&amp;""),0)&gt;IFERROR(--(INDEX('Reguler Class Availability'!$F:$F,$Q392)&amp;""),0),"Lebih",IF(IFERROR(--(INDEX('Reguler Class Availability'!$G:$G,$Q392)&amp;""),0)=IFERROR(--(INDEX('Reguler Class Availability'!$F:$F,$Q392)&amp;""),0),"Penuh",IF(IFERROR(--(INDEX('Reguler Class Availability'!$G:$G,$Q392)&amp;""),0)=0,IF(INDEX('Reguler Class Availability'!$B:$B,$Q392)&amp;""="","Kosong","Belum terisi"),IF(IFERROR(--(INDEX('Reguler Class Availability'!$G:$G,$Q392)&amp;""),0)/IFERROR(--(INDEX('Reguler Class Availability'!$F:$F,$Q392)&amp;""),0)&gt;=0.6,"Tinggi","Sebagian"))))))</f>
        <v>Belum terisi</v>
      </c>
      <c r="F392" s="77" t="str">
        <f aca="false">IF($Q392="","",PROPER(INDEX('Reguler Class Availability'!$B:$B,$Q392)&amp;""))</f>
        <v>Kids</v>
      </c>
      <c r="G392" s="76" t="n">
        <f aca="false">IF($Q392="","",IFERROR(--(INDEX('Reguler Class Availability'!$F:$F,$Q392)&amp;""),0))</f>
        <v>4</v>
      </c>
      <c r="H392" s="77" t="str">
        <f aca="false">IF($Q392="","",PROPER(INDEX('Reguler Class Availability'!$I:$I,$Q392)&amp;"")&amp;IF(INDEX('Reguler Class Availability'!$J:$J,$Q392)&amp;""="",""," + asst "&amp;PROPER(INDEX('Reguler Class Availability'!$J:$J,$Q392)&amp;"")))</f>
        <v/>
      </c>
      <c r="I392" s="77" t="s">
        <v>539</v>
      </c>
      <c r="J392" s="77" t="s">
        <v>260</v>
      </c>
      <c r="K392" s="78"/>
      <c r="L392" s="78"/>
      <c r="M392" s="78"/>
      <c r="N392" s="79"/>
      <c r="O392" s="78"/>
      <c r="Q392" s="30" t="n">
        <f aca="false">IFERROR(MATCH($B$4&amp;"|- Lane "&amp;D392&amp;" - "&amp;B392&amp;"|"&amp;C392,'Reguler Class Availability'!$L:$L,0),"")</f>
        <v>2739</v>
      </c>
    </row>
    <row r="393" customFormat="false" ht="27.75" hidden="false" customHeight="true" outlineLevel="0" collapsed="false">
      <c r="A393" s="76" t="n">
        <v>267</v>
      </c>
      <c r="B393" s="77" t="s">
        <v>119</v>
      </c>
      <c r="C393" s="76" t="s">
        <v>129</v>
      </c>
      <c r="D393" s="76" t="n">
        <v>1</v>
      </c>
      <c r="E393" s="77" t="str">
        <f aca="false">IF($Q393="","Tidak ada di data",IF(AND(IFERROR(--(INDEX('Reguler Class Availability'!$F:$F,$Q393)&amp;""),0)=0,IFERROR(--(INDEX('Reguler Class Availability'!$G:$G,$Q393)&amp;""),0)=0),"Tutup",IF(IFERROR(--(INDEX('Reguler Class Availability'!$G:$G,$Q393)&amp;""),0)&gt;IFERROR(--(INDEX('Reguler Class Availability'!$F:$F,$Q393)&amp;""),0),"Lebih",IF(IFERROR(--(INDEX('Reguler Class Availability'!$G:$G,$Q393)&amp;""),0)=IFERROR(--(INDEX('Reguler Class Availability'!$F:$F,$Q393)&amp;""),0),"Penuh",IF(IFERROR(--(INDEX('Reguler Class Availability'!$G:$G,$Q393)&amp;""),0)=0,IF(INDEX('Reguler Class Availability'!$B:$B,$Q393)&amp;""="","Kosong","Belum terisi"),IF(IFERROR(--(INDEX('Reguler Class Availability'!$G:$G,$Q393)&amp;""),0)/IFERROR(--(INDEX('Reguler Class Availability'!$F:$F,$Q393)&amp;""),0)&gt;=0.6,"Tinggi","Sebagian"))))))</f>
        <v>Belum terisi</v>
      </c>
      <c r="F393" s="77" t="str">
        <f aca="false">IF($Q393="","",PROPER(INDEX('Reguler Class Availability'!$B:$B,$Q393)&amp;""))</f>
        <v>Baby</v>
      </c>
      <c r="G393" s="76" t="n">
        <f aca="false">IF($Q393="","",IFERROR(--(INDEX('Reguler Class Availability'!$F:$F,$Q393)&amp;""),0))</f>
        <v>5</v>
      </c>
      <c r="H393" s="77" t="str">
        <f aca="false">IF($Q393="","",PROPER(INDEX('Reguler Class Availability'!$I:$I,$Q393)&amp;"")&amp;IF(INDEX('Reguler Class Availability'!$J:$J,$Q393)&amp;""="",""," + asst "&amp;PROPER(INDEX('Reguler Class Availability'!$J:$J,$Q393)&amp;"")))</f>
        <v/>
      </c>
      <c r="I393" s="77" t="s">
        <v>540</v>
      </c>
      <c r="J393" s="77" t="s">
        <v>186</v>
      </c>
      <c r="K393" s="78"/>
      <c r="L393" s="78"/>
      <c r="M393" s="78"/>
      <c r="N393" s="79"/>
      <c r="O393" s="78"/>
      <c r="Q393" s="30" t="n">
        <f aca="false">IFERROR(MATCH($B$4&amp;"|- Lane "&amp;D393&amp;" - "&amp;B393&amp;"|"&amp;C393,'Reguler Class Availability'!$L:$L,0),"")</f>
        <v>2474</v>
      </c>
    </row>
    <row r="394" customFormat="false" ht="27.75" hidden="false" customHeight="true" outlineLevel="0" collapsed="false">
      <c r="A394" s="76" t="n">
        <v>268</v>
      </c>
      <c r="B394" s="77" t="s">
        <v>119</v>
      </c>
      <c r="C394" s="76" t="s">
        <v>129</v>
      </c>
      <c r="D394" s="76" t="n">
        <v>2</v>
      </c>
      <c r="E394" s="77" t="str">
        <f aca="false">IF($Q394="","Tidak ada di data",IF(AND(IFERROR(--(INDEX('Reguler Class Availability'!$F:$F,$Q394)&amp;""),0)=0,IFERROR(--(INDEX('Reguler Class Availability'!$G:$G,$Q394)&amp;""),0)=0),"Tutup",IF(IFERROR(--(INDEX('Reguler Class Availability'!$G:$G,$Q394)&amp;""),0)&gt;IFERROR(--(INDEX('Reguler Class Availability'!$F:$F,$Q394)&amp;""),0),"Lebih",IF(IFERROR(--(INDEX('Reguler Class Availability'!$G:$G,$Q394)&amp;""),0)=IFERROR(--(INDEX('Reguler Class Availability'!$F:$F,$Q394)&amp;""),0),"Penuh",IF(IFERROR(--(INDEX('Reguler Class Availability'!$G:$G,$Q394)&amp;""),0)=0,IF(INDEX('Reguler Class Availability'!$B:$B,$Q394)&amp;""="","Kosong","Belum terisi"),IF(IFERROR(--(INDEX('Reguler Class Availability'!$G:$G,$Q394)&amp;""),0)/IFERROR(--(INDEX('Reguler Class Availability'!$F:$F,$Q394)&amp;""),0)&gt;=0.6,"Tinggi","Sebagian"))))))</f>
        <v>Belum terisi</v>
      </c>
      <c r="F394" s="77" t="str">
        <f aca="false">IF($Q394="","",PROPER(INDEX('Reguler Class Availability'!$B:$B,$Q394)&amp;""))</f>
        <v>Tiny</v>
      </c>
      <c r="G394" s="76" t="n">
        <f aca="false">IF($Q394="","",IFERROR(--(INDEX('Reguler Class Availability'!$F:$F,$Q394)&amp;""),0))</f>
        <v>5</v>
      </c>
      <c r="H394" s="77" t="str">
        <f aca="false">IF($Q394="","",PROPER(INDEX('Reguler Class Availability'!$I:$I,$Q394)&amp;"")&amp;IF(INDEX('Reguler Class Availability'!$J:$J,$Q394)&amp;""="",""," + asst "&amp;PROPER(INDEX('Reguler Class Availability'!$J:$J,$Q394)&amp;"")))</f>
        <v/>
      </c>
      <c r="I394" s="77" t="s">
        <v>540</v>
      </c>
      <c r="J394" s="77" t="s">
        <v>186</v>
      </c>
      <c r="K394" s="78"/>
      <c r="L394" s="78"/>
      <c r="M394" s="78"/>
      <c r="N394" s="79"/>
      <c r="O394" s="78"/>
      <c r="Q394" s="30" t="n">
        <f aca="false">IFERROR(MATCH($B$4&amp;"|- Lane "&amp;D394&amp;" - "&amp;B394&amp;"|"&amp;C394,'Reguler Class Availability'!$L:$L,0),"")</f>
        <v>2572</v>
      </c>
    </row>
    <row r="395" customFormat="false" ht="27.75" hidden="false" customHeight="true" outlineLevel="0" collapsed="false">
      <c r="A395" s="76" t="n">
        <v>269</v>
      </c>
      <c r="B395" s="77" t="s">
        <v>119</v>
      </c>
      <c r="C395" s="76" t="s">
        <v>129</v>
      </c>
      <c r="D395" s="76" t="n">
        <v>5</v>
      </c>
      <c r="E395" s="77" t="str">
        <f aca="false">IF($Q395="","Tidak ada di data",IF(AND(IFERROR(--(INDEX('Reguler Class Availability'!$F:$F,$Q395)&amp;""),0)=0,IFERROR(--(INDEX('Reguler Class Availability'!$G:$G,$Q395)&amp;""),0)=0),"Tutup",IF(IFERROR(--(INDEX('Reguler Class Availability'!$G:$G,$Q395)&amp;""),0)&gt;IFERROR(--(INDEX('Reguler Class Availability'!$F:$F,$Q395)&amp;""),0),"Lebih",IF(IFERROR(--(INDEX('Reguler Class Availability'!$G:$G,$Q395)&amp;""),0)=IFERROR(--(INDEX('Reguler Class Availability'!$F:$F,$Q395)&amp;""),0),"Penuh",IF(IFERROR(--(INDEX('Reguler Class Availability'!$G:$G,$Q395)&amp;""),0)=0,IF(INDEX('Reguler Class Availability'!$B:$B,$Q395)&amp;""="","Kosong","Belum terisi"),IF(IFERROR(--(INDEX('Reguler Class Availability'!$G:$G,$Q395)&amp;""),0)/IFERROR(--(INDEX('Reguler Class Availability'!$F:$F,$Q395)&amp;""),0)&gt;=0.6,"Tinggi","Sebagian"))))))</f>
        <v>Kosong</v>
      </c>
      <c r="F395" s="77" t="str">
        <f aca="false">IF($Q395="","",PROPER(INDEX('Reguler Class Availability'!$B:$B,$Q395)&amp;""))</f>
        <v/>
      </c>
      <c r="G395" s="76" t="n">
        <f aca="false">IF($Q395="","",IFERROR(--(INDEX('Reguler Class Availability'!$F:$F,$Q395)&amp;""),0))</f>
        <v>4</v>
      </c>
      <c r="H395" s="77" t="str">
        <f aca="false">IF($Q395="","",PROPER(INDEX('Reguler Class Availability'!$I:$I,$Q395)&amp;"")&amp;IF(INDEX('Reguler Class Availability'!$J:$J,$Q395)&amp;""="",""," + asst "&amp;PROPER(INDEX('Reguler Class Availability'!$J:$J,$Q395)&amp;"")))</f>
        <v/>
      </c>
      <c r="I395" s="77" t="s">
        <v>540</v>
      </c>
      <c r="J395" s="77" t="s">
        <v>186</v>
      </c>
      <c r="K395" s="78"/>
      <c r="L395" s="78"/>
      <c r="M395" s="78"/>
      <c r="N395" s="79"/>
      <c r="O395" s="78"/>
      <c r="Q395" s="30" t="n">
        <f aca="false">IFERROR(MATCH($B$4&amp;"|- Lane "&amp;D395&amp;" - "&amp;B395&amp;"|"&amp;C395,'Reguler Class Availability'!$L:$L,0),"")</f>
        <v>2824</v>
      </c>
    </row>
    <row r="396" customFormat="false" ht="27.75" hidden="false" customHeight="true" outlineLevel="0" collapsed="false">
      <c r="A396" s="76" t="n">
        <v>270</v>
      </c>
      <c r="B396" s="77" t="s">
        <v>119</v>
      </c>
      <c r="C396" s="76" t="s">
        <v>132</v>
      </c>
      <c r="D396" s="76" t="n">
        <v>1</v>
      </c>
      <c r="E396" s="77" t="str">
        <f aca="false">IF($Q396="","Tidak ada di data",IF(AND(IFERROR(--(INDEX('Reguler Class Availability'!$F:$F,$Q396)&amp;""),0)=0,IFERROR(--(INDEX('Reguler Class Availability'!$G:$G,$Q396)&amp;""),0)=0),"Tutup",IF(IFERROR(--(INDEX('Reguler Class Availability'!$G:$G,$Q396)&amp;""),0)&gt;IFERROR(--(INDEX('Reguler Class Availability'!$F:$F,$Q396)&amp;""),0),"Lebih",IF(IFERROR(--(INDEX('Reguler Class Availability'!$G:$G,$Q396)&amp;""),0)=IFERROR(--(INDEX('Reguler Class Availability'!$F:$F,$Q396)&amp;""),0),"Penuh",IF(IFERROR(--(INDEX('Reguler Class Availability'!$G:$G,$Q396)&amp;""),0)=0,IF(INDEX('Reguler Class Availability'!$B:$B,$Q396)&amp;""="","Kosong","Belum terisi"),IF(IFERROR(--(INDEX('Reguler Class Availability'!$G:$G,$Q396)&amp;""),0)/IFERROR(--(INDEX('Reguler Class Availability'!$F:$F,$Q396)&amp;""),0)&gt;=0.6,"Tinggi","Sebagian"))))))</f>
        <v>Belum terisi</v>
      </c>
      <c r="F396" s="77" t="str">
        <f aca="false">IF($Q396="","",PROPER(INDEX('Reguler Class Availability'!$B:$B,$Q396)&amp;""))</f>
        <v>Baby</v>
      </c>
      <c r="G396" s="76" t="n">
        <f aca="false">IF($Q396="","",IFERROR(--(INDEX('Reguler Class Availability'!$F:$F,$Q396)&amp;""),0))</f>
        <v>5</v>
      </c>
      <c r="H396" s="77" t="str">
        <f aca="false">IF($Q396="","",PROPER(INDEX('Reguler Class Availability'!$I:$I,$Q396)&amp;"")&amp;IF(INDEX('Reguler Class Availability'!$J:$J,$Q396)&amp;""="",""," + asst "&amp;PROPER(INDEX('Reguler Class Availability'!$J:$J,$Q396)&amp;"")))</f>
        <v/>
      </c>
      <c r="I396" s="77" t="s">
        <v>541</v>
      </c>
      <c r="J396" s="77" t="s">
        <v>188</v>
      </c>
      <c r="K396" s="78"/>
      <c r="L396" s="78"/>
      <c r="M396" s="78"/>
      <c r="N396" s="79"/>
      <c r="O396" s="78"/>
      <c r="Q396" s="30" t="n">
        <f aca="false">IFERROR(MATCH($B$4&amp;"|- Lane "&amp;D396&amp;" - "&amp;B396&amp;"|"&amp;C396,'Reguler Class Availability'!$L:$L,0),"")</f>
        <v>2475</v>
      </c>
    </row>
    <row r="397" customFormat="false" ht="27.75" hidden="false" customHeight="true" outlineLevel="0" collapsed="false">
      <c r="A397" s="76" t="n">
        <v>271</v>
      </c>
      <c r="B397" s="77" t="s">
        <v>119</v>
      </c>
      <c r="C397" s="76" t="s">
        <v>132</v>
      </c>
      <c r="D397" s="76" t="n">
        <v>5</v>
      </c>
      <c r="E397" s="77" t="str">
        <f aca="false">IF($Q397="","Tidak ada di data",IF(AND(IFERROR(--(INDEX('Reguler Class Availability'!$F:$F,$Q397)&amp;""),0)=0,IFERROR(--(INDEX('Reguler Class Availability'!$G:$G,$Q397)&amp;""),0)=0),"Tutup",IF(IFERROR(--(INDEX('Reguler Class Availability'!$G:$G,$Q397)&amp;""),0)&gt;IFERROR(--(INDEX('Reguler Class Availability'!$F:$F,$Q397)&amp;""),0),"Lebih",IF(IFERROR(--(INDEX('Reguler Class Availability'!$G:$G,$Q397)&amp;""),0)=IFERROR(--(INDEX('Reguler Class Availability'!$F:$F,$Q397)&amp;""),0),"Penuh",IF(IFERROR(--(INDEX('Reguler Class Availability'!$G:$G,$Q397)&amp;""),0)=0,IF(INDEX('Reguler Class Availability'!$B:$B,$Q397)&amp;""="","Kosong","Belum terisi"),IF(IFERROR(--(INDEX('Reguler Class Availability'!$G:$G,$Q397)&amp;""),0)/IFERROR(--(INDEX('Reguler Class Availability'!$F:$F,$Q397)&amp;""),0)&gt;=0.6,"Tinggi","Sebagian"))))))</f>
        <v>Kosong</v>
      </c>
      <c r="F397" s="77" t="str">
        <f aca="false">IF($Q397="","",PROPER(INDEX('Reguler Class Availability'!$B:$B,$Q397)&amp;""))</f>
        <v/>
      </c>
      <c r="G397" s="76" t="n">
        <f aca="false">IF($Q397="","",IFERROR(--(INDEX('Reguler Class Availability'!$F:$F,$Q397)&amp;""),0))</f>
        <v>4</v>
      </c>
      <c r="H397" s="77" t="str">
        <f aca="false">IF($Q397="","",PROPER(INDEX('Reguler Class Availability'!$I:$I,$Q397)&amp;"")&amp;IF(INDEX('Reguler Class Availability'!$J:$J,$Q397)&amp;""="",""," + asst "&amp;PROPER(INDEX('Reguler Class Availability'!$J:$J,$Q397)&amp;"")))</f>
        <v/>
      </c>
      <c r="I397" s="77" t="s">
        <v>541</v>
      </c>
      <c r="J397" s="77" t="s">
        <v>188</v>
      </c>
      <c r="K397" s="78"/>
      <c r="L397" s="78"/>
      <c r="M397" s="78"/>
      <c r="N397" s="79"/>
      <c r="O397" s="78"/>
      <c r="Q397" s="30" t="n">
        <f aca="false">IFERROR(MATCH($B$4&amp;"|- Lane "&amp;D397&amp;" - "&amp;B397&amp;"|"&amp;C397,'Reguler Class Availability'!$L:$L,0),"")</f>
        <v>2825</v>
      </c>
    </row>
    <row r="398" customFormat="false" ht="40.5" hidden="false" customHeight="true" outlineLevel="0" collapsed="false">
      <c r="A398" s="76" t="n">
        <v>272</v>
      </c>
      <c r="B398" s="77" t="s">
        <v>119</v>
      </c>
      <c r="C398" s="76" t="s">
        <v>133</v>
      </c>
      <c r="D398" s="76" t="n">
        <v>3</v>
      </c>
      <c r="E398" s="77" t="str">
        <f aca="false">IF($Q398="","Tidak ada di data",IF(AND(IFERROR(--(INDEX('Reguler Class Availability'!$F:$F,$Q398)&amp;""),0)=0,IFERROR(--(INDEX('Reguler Class Availability'!$G:$G,$Q398)&amp;""),0)=0),"Tutup",IF(IFERROR(--(INDEX('Reguler Class Availability'!$G:$G,$Q398)&amp;""),0)&gt;IFERROR(--(INDEX('Reguler Class Availability'!$F:$F,$Q398)&amp;""),0),"Lebih",IF(IFERROR(--(INDEX('Reguler Class Availability'!$G:$G,$Q398)&amp;""),0)=IFERROR(--(INDEX('Reguler Class Availability'!$F:$F,$Q398)&amp;""),0),"Penuh",IF(IFERROR(--(INDEX('Reguler Class Availability'!$G:$G,$Q398)&amp;""),0)=0,IF(INDEX('Reguler Class Availability'!$B:$B,$Q398)&amp;""="","Kosong","Belum terisi"),IF(IFERROR(--(INDEX('Reguler Class Availability'!$G:$G,$Q398)&amp;""),0)/IFERROR(--(INDEX('Reguler Class Availability'!$F:$F,$Q398)&amp;""),0)&gt;=0.6,"Tinggi","Sebagian"))))))</f>
        <v>Belum terisi</v>
      </c>
      <c r="F398" s="77" t="str">
        <f aca="false">IF($Q398="","",PROPER(INDEX('Reguler Class Availability'!$B:$B,$Q398)&amp;""))</f>
        <v>Little</v>
      </c>
      <c r="G398" s="76" t="n">
        <f aca="false">IF($Q398="","",IFERROR(--(INDEX('Reguler Class Availability'!$F:$F,$Q398)&amp;""),0))</f>
        <v>4</v>
      </c>
      <c r="H398" s="77" t="str">
        <f aca="false">IF($Q398="","",PROPER(INDEX('Reguler Class Availability'!$I:$I,$Q398)&amp;"")&amp;IF(INDEX('Reguler Class Availability'!$J:$J,$Q398)&amp;""="",""," + asst "&amp;PROPER(INDEX('Reguler Class Availability'!$J:$J,$Q398)&amp;"")))</f>
        <v/>
      </c>
      <c r="I398" s="77" t="s">
        <v>537</v>
      </c>
      <c r="J398" s="77" t="s">
        <v>188</v>
      </c>
      <c r="K398" s="78"/>
      <c r="L398" s="78"/>
      <c r="M398" s="78"/>
      <c r="N398" s="79"/>
      <c r="O398" s="78"/>
      <c r="Q398" s="30" t="n">
        <f aca="false">IFERROR(MATCH($B$4&amp;"|- Lane "&amp;D398&amp;" - "&amp;B398&amp;"|"&amp;C398,'Reguler Class Availability'!$L:$L,0),"")</f>
        <v>2657</v>
      </c>
    </row>
    <row r="399" customFormat="false" ht="40.5" hidden="false" customHeight="true" outlineLevel="0" collapsed="false">
      <c r="A399" s="76" t="n">
        <v>273</v>
      </c>
      <c r="B399" s="77" t="s">
        <v>119</v>
      </c>
      <c r="C399" s="76" t="s">
        <v>133</v>
      </c>
      <c r="D399" s="76" t="n">
        <v>4</v>
      </c>
      <c r="E399" s="77" t="str">
        <f aca="false">IF($Q399="","Tidak ada di data",IF(AND(IFERROR(--(INDEX('Reguler Class Availability'!$F:$F,$Q399)&amp;""),0)=0,IFERROR(--(INDEX('Reguler Class Availability'!$G:$G,$Q399)&amp;""),0)=0),"Tutup",IF(IFERROR(--(INDEX('Reguler Class Availability'!$G:$G,$Q399)&amp;""),0)&gt;IFERROR(--(INDEX('Reguler Class Availability'!$F:$F,$Q399)&amp;""),0),"Lebih",IF(IFERROR(--(INDEX('Reguler Class Availability'!$G:$G,$Q399)&amp;""),0)=IFERROR(--(INDEX('Reguler Class Availability'!$F:$F,$Q399)&amp;""),0),"Penuh",IF(IFERROR(--(INDEX('Reguler Class Availability'!$G:$G,$Q399)&amp;""),0)=0,IF(INDEX('Reguler Class Availability'!$B:$B,$Q399)&amp;""="","Kosong","Belum terisi"),IF(IFERROR(--(INDEX('Reguler Class Availability'!$G:$G,$Q399)&amp;""),0)/IFERROR(--(INDEX('Reguler Class Availability'!$F:$F,$Q399)&amp;""),0)&gt;=0.6,"Tinggi","Sebagian"))))))</f>
        <v>Belum terisi</v>
      </c>
      <c r="F399" s="77" t="str">
        <f aca="false">IF($Q399="","",PROPER(INDEX('Reguler Class Availability'!$B:$B,$Q399)&amp;""))</f>
        <v>Kids</v>
      </c>
      <c r="G399" s="76" t="n">
        <f aca="false">IF($Q399="","",IFERROR(--(INDEX('Reguler Class Availability'!$F:$F,$Q399)&amp;""),0))</f>
        <v>4</v>
      </c>
      <c r="H399" s="77" t="str">
        <f aca="false">IF($Q399="","",PROPER(INDEX('Reguler Class Availability'!$I:$I,$Q399)&amp;"")&amp;IF(INDEX('Reguler Class Availability'!$J:$J,$Q399)&amp;""="",""," + asst "&amp;PROPER(INDEX('Reguler Class Availability'!$J:$J,$Q399)&amp;"")))</f>
        <v/>
      </c>
      <c r="I399" s="77" t="s">
        <v>537</v>
      </c>
      <c r="J399" s="77" t="s">
        <v>188</v>
      </c>
      <c r="K399" s="78"/>
      <c r="L399" s="78"/>
      <c r="M399" s="78"/>
      <c r="N399" s="79"/>
      <c r="O399" s="78"/>
      <c r="Q399" s="30" t="n">
        <f aca="false">IFERROR(MATCH($B$4&amp;"|- Lane "&amp;D399&amp;" - "&amp;B399&amp;"|"&amp;C399,'Reguler Class Availability'!$L:$L,0),"")</f>
        <v>2741</v>
      </c>
    </row>
    <row r="400" customFormat="false" ht="40.5" hidden="false" customHeight="true" outlineLevel="0" collapsed="false">
      <c r="A400" s="76" t="n">
        <v>274</v>
      </c>
      <c r="B400" s="77" t="s">
        <v>119</v>
      </c>
      <c r="C400" s="76" t="s">
        <v>139</v>
      </c>
      <c r="D400" s="76" t="n">
        <v>2</v>
      </c>
      <c r="E400" s="77" t="str">
        <f aca="false">IF($Q400="","Tidak ada di data",IF(AND(IFERROR(--(INDEX('Reguler Class Availability'!$F:$F,$Q400)&amp;""),0)=0,IFERROR(--(INDEX('Reguler Class Availability'!$G:$G,$Q400)&amp;""),0)=0),"Tutup",IF(IFERROR(--(INDEX('Reguler Class Availability'!$G:$G,$Q400)&amp;""),0)&gt;IFERROR(--(INDEX('Reguler Class Availability'!$F:$F,$Q400)&amp;""),0),"Lebih",IF(IFERROR(--(INDEX('Reguler Class Availability'!$G:$G,$Q400)&amp;""),0)=IFERROR(--(INDEX('Reguler Class Availability'!$F:$F,$Q400)&amp;""),0),"Penuh",IF(IFERROR(--(INDEX('Reguler Class Availability'!$G:$G,$Q400)&amp;""),0)=0,IF(INDEX('Reguler Class Availability'!$B:$B,$Q400)&amp;""="","Kosong","Belum terisi"),IF(IFERROR(--(INDEX('Reguler Class Availability'!$G:$G,$Q400)&amp;""),0)/IFERROR(--(INDEX('Reguler Class Availability'!$F:$F,$Q400)&amp;""),0)&gt;=0.6,"Tinggi","Sebagian"))))))</f>
        <v>Belum terisi</v>
      </c>
      <c r="F400" s="77" t="str">
        <f aca="false">IF($Q400="","",PROPER(INDEX('Reguler Class Availability'!$B:$B,$Q400)&amp;""))</f>
        <v>Tiny</v>
      </c>
      <c r="G400" s="76" t="n">
        <f aca="false">IF($Q400="","",IFERROR(--(INDEX('Reguler Class Availability'!$F:$F,$Q400)&amp;""),0))</f>
        <v>5</v>
      </c>
      <c r="H400" s="77" t="str">
        <f aca="false">IF($Q400="","",PROPER(INDEX('Reguler Class Availability'!$I:$I,$Q400)&amp;"")&amp;IF(INDEX('Reguler Class Availability'!$J:$J,$Q400)&amp;""="",""," + asst "&amp;PROPER(INDEX('Reguler Class Availability'!$J:$J,$Q400)&amp;"")))</f>
        <v/>
      </c>
      <c r="I400" s="77" t="s">
        <v>542</v>
      </c>
      <c r="J400" s="77" t="s">
        <v>188</v>
      </c>
      <c r="K400" s="78"/>
      <c r="L400" s="78"/>
      <c r="M400" s="78"/>
      <c r="N400" s="79"/>
      <c r="O400" s="78"/>
      <c r="Q400" s="30" t="n">
        <f aca="false">IFERROR(MATCH($B$4&amp;"|- Lane "&amp;D400&amp;" - "&amp;B400&amp;"|"&amp;C400,'Reguler Class Availability'!$L:$L,0),"")</f>
        <v>2574</v>
      </c>
    </row>
    <row r="401" customFormat="false" ht="40.5" hidden="false" customHeight="true" outlineLevel="0" collapsed="false">
      <c r="A401" s="76" t="n">
        <v>275</v>
      </c>
      <c r="B401" s="77" t="s">
        <v>119</v>
      </c>
      <c r="C401" s="76" t="s">
        <v>139</v>
      </c>
      <c r="D401" s="76" t="n">
        <v>5</v>
      </c>
      <c r="E401" s="77" t="str">
        <f aca="false">IF($Q401="","Tidak ada di data",IF(AND(IFERROR(--(INDEX('Reguler Class Availability'!$F:$F,$Q401)&amp;""),0)=0,IFERROR(--(INDEX('Reguler Class Availability'!$G:$G,$Q401)&amp;""),0)=0),"Tutup",IF(IFERROR(--(INDEX('Reguler Class Availability'!$G:$G,$Q401)&amp;""),0)&gt;IFERROR(--(INDEX('Reguler Class Availability'!$F:$F,$Q401)&amp;""),0),"Lebih",IF(IFERROR(--(INDEX('Reguler Class Availability'!$G:$G,$Q401)&amp;""),0)=IFERROR(--(INDEX('Reguler Class Availability'!$F:$F,$Q401)&amp;""),0),"Penuh",IF(IFERROR(--(INDEX('Reguler Class Availability'!$G:$G,$Q401)&amp;""),0)=0,IF(INDEX('Reguler Class Availability'!$B:$B,$Q401)&amp;""="","Kosong","Belum terisi"),IF(IFERROR(--(INDEX('Reguler Class Availability'!$G:$G,$Q401)&amp;""),0)/IFERROR(--(INDEX('Reguler Class Availability'!$F:$F,$Q401)&amp;""),0)&gt;=0.6,"Tinggi","Sebagian"))))))</f>
        <v>Kosong</v>
      </c>
      <c r="F401" s="77" t="str">
        <f aca="false">IF($Q401="","",PROPER(INDEX('Reguler Class Availability'!$B:$B,$Q401)&amp;""))</f>
        <v/>
      </c>
      <c r="G401" s="76" t="n">
        <f aca="false">IF($Q401="","",IFERROR(--(INDEX('Reguler Class Availability'!$F:$F,$Q401)&amp;""),0))</f>
        <v>4</v>
      </c>
      <c r="H401" s="77" t="str">
        <f aca="false">IF($Q401="","",PROPER(INDEX('Reguler Class Availability'!$I:$I,$Q401)&amp;"")&amp;IF(INDEX('Reguler Class Availability'!$J:$J,$Q401)&amp;""="",""," + asst "&amp;PROPER(INDEX('Reguler Class Availability'!$J:$J,$Q401)&amp;"")))</f>
        <v/>
      </c>
      <c r="I401" s="77" t="s">
        <v>542</v>
      </c>
      <c r="J401" s="77" t="s">
        <v>188</v>
      </c>
      <c r="K401" s="78"/>
      <c r="L401" s="78"/>
      <c r="M401" s="78"/>
      <c r="N401" s="79"/>
      <c r="O401" s="78"/>
      <c r="Q401" s="30" t="n">
        <f aca="false">IFERROR(MATCH($B$4&amp;"|- Lane "&amp;D401&amp;" - "&amp;B401&amp;"|"&amp;C401,'Reguler Class Availability'!$L:$L,0),"")</f>
        <v>2826</v>
      </c>
    </row>
    <row r="402" customFormat="false" ht="27.75" hidden="false" customHeight="true" outlineLevel="0" collapsed="false">
      <c r="A402" s="76" t="n">
        <v>276</v>
      </c>
      <c r="B402" s="77" t="s">
        <v>119</v>
      </c>
      <c r="C402" s="76" t="s">
        <v>143</v>
      </c>
      <c r="D402" s="76" t="n">
        <v>1</v>
      </c>
      <c r="E402" s="77" t="str">
        <f aca="false">IF($Q402="","Tidak ada di data",IF(AND(IFERROR(--(INDEX('Reguler Class Availability'!$F:$F,$Q402)&amp;""),0)=0,IFERROR(--(INDEX('Reguler Class Availability'!$G:$G,$Q402)&amp;""),0)=0),"Tutup",IF(IFERROR(--(INDEX('Reguler Class Availability'!$G:$G,$Q402)&amp;""),0)&gt;IFERROR(--(INDEX('Reguler Class Availability'!$F:$F,$Q402)&amp;""),0),"Lebih",IF(IFERROR(--(INDEX('Reguler Class Availability'!$G:$G,$Q402)&amp;""),0)=IFERROR(--(INDEX('Reguler Class Availability'!$F:$F,$Q402)&amp;""),0),"Penuh",IF(IFERROR(--(INDEX('Reguler Class Availability'!$G:$G,$Q402)&amp;""),0)=0,IF(INDEX('Reguler Class Availability'!$B:$B,$Q402)&amp;""="","Kosong","Belum terisi"),IF(IFERROR(--(INDEX('Reguler Class Availability'!$G:$G,$Q402)&amp;""),0)/IFERROR(--(INDEX('Reguler Class Availability'!$F:$F,$Q402)&amp;""),0)&gt;=0.6,"Tinggi","Sebagian"))))))</f>
        <v>Belum terisi</v>
      </c>
      <c r="F402" s="77" t="str">
        <f aca="false">IF($Q402="","",PROPER(INDEX('Reguler Class Availability'!$B:$B,$Q402)&amp;""))</f>
        <v>Baby</v>
      </c>
      <c r="G402" s="76" t="n">
        <f aca="false">IF($Q402="","",IFERROR(--(INDEX('Reguler Class Availability'!$F:$F,$Q402)&amp;""),0))</f>
        <v>5</v>
      </c>
      <c r="H402" s="77" t="str">
        <f aca="false">IF($Q402="","",PROPER(INDEX('Reguler Class Availability'!$I:$I,$Q402)&amp;"")&amp;IF(INDEX('Reguler Class Availability'!$J:$J,$Q402)&amp;""="",""," + asst "&amp;PROPER(INDEX('Reguler Class Availability'!$J:$J,$Q402)&amp;"")))</f>
        <v/>
      </c>
      <c r="I402" s="77" t="s">
        <v>530</v>
      </c>
      <c r="J402" s="77" t="s">
        <v>186</v>
      </c>
      <c r="K402" s="78"/>
      <c r="L402" s="78"/>
      <c r="M402" s="78"/>
      <c r="N402" s="79"/>
      <c r="O402" s="78"/>
      <c r="Q402" s="30" t="n">
        <f aca="false">IFERROR(MATCH($B$4&amp;"|- Lane "&amp;D402&amp;" - "&amp;B402&amp;"|"&amp;C402,'Reguler Class Availability'!$L:$L,0),"")</f>
        <v>2477</v>
      </c>
    </row>
    <row r="403" customFormat="false" ht="27.75" hidden="false" customHeight="true" outlineLevel="0" collapsed="false">
      <c r="A403" s="76" t="n">
        <v>277</v>
      </c>
      <c r="B403" s="77" t="s">
        <v>119</v>
      </c>
      <c r="C403" s="76" t="s">
        <v>143</v>
      </c>
      <c r="D403" s="76" t="n">
        <v>2</v>
      </c>
      <c r="E403" s="77" t="str">
        <f aca="false">IF($Q403="","Tidak ada di data",IF(AND(IFERROR(--(INDEX('Reguler Class Availability'!$F:$F,$Q403)&amp;""),0)=0,IFERROR(--(INDEX('Reguler Class Availability'!$G:$G,$Q403)&amp;""),0)=0),"Tutup",IF(IFERROR(--(INDEX('Reguler Class Availability'!$G:$G,$Q403)&amp;""),0)&gt;IFERROR(--(INDEX('Reguler Class Availability'!$F:$F,$Q403)&amp;""),0),"Lebih",IF(IFERROR(--(INDEX('Reguler Class Availability'!$G:$G,$Q403)&amp;""),0)=IFERROR(--(INDEX('Reguler Class Availability'!$F:$F,$Q403)&amp;""),0),"Penuh",IF(IFERROR(--(INDEX('Reguler Class Availability'!$G:$G,$Q403)&amp;""),0)=0,IF(INDEX('Reguler Class Availability'!$B:$B,$Q403)&amp;""="","Kosong","Belum terisi"),IF(IFERROR(--(INDEX('Reguler Class Availability'!$G:$G,$Q403)&amp;""),0)/IFERROR(--(INDEX('Reguler Class Availability'!$F:$F,$Q403)&amp;""),0)&gt;=0.6,"Tinggi","Sebagian"))))))</f>
        <v>Belum terisi</v>
      </c>
      <c r="F403" s="77" t="str">
        <f aca="false">IF($Q403="","",PROPER(INDEX('Reguler Class Availability'!$B:$B,$Q403)&amp;""))</f>
        <v>Tiny</v>
      </c>
      <c r="G403" s="76" t="n">
        <f aca="false">IF($Q403="","",IFERROR(--(INDEX('Reguler Class Availability'!$F:$F,$Q403)&amp;""),0))</f>
        <v>5</v>
      </c>
      <c r="H403" s="77" t="str">
        <f aca="false">IF($Q403="","",PROPER(INDEX('Reguler Class Availability'!$I:$I,$Q403)&amp;"")&amp;IF(INDEX('Reguler Class Availability'!$J:$J,$Q403)&amp;""="",""," + asst "&amp;PROPER(INDEX('Reguler Class Availability'!$J:$J,$Q403)&amp;"")))</f>
        <v/>
      </c>
      <c r="I403" s="77" t="s">
        <v>530</v>
      </c>
      <c r="J403" s="77" t="s">
        <v>186</v>
      </c>
      <c r="K403" s="78"/>
      <c r="L403" s="78"/>
      <c r="M403" s="78"/>
      <c r="N403" s="79"/>
      <c r="O403" s="78"/>
      <c r="Q403" s="30" t="n">
        <f aca="false">IFERROR(MATCH($B$4&amp;"|- Lane "&amp;D403&amp;" - "&amp;B403&amp;"|"&amp;C403,'Reguler Class Availability'!$L:$L,0),"")</f>
        <v>2575</v>
      </c>
    </row>
    <row r="404" customFormat="false" ht="27.75" hidden="false" customHeight="true" outlineLevel="0" collapsed="false">
      <c r="A404" s="76" t="n">
        <v>278</v>
      </c>
      <c r="B404" s="77" t="s">
        <v>119</v>
      </c>
      <c r="C404" s="76" t="s">
        <v>143</v>
      </c>
      <c r="D404" s="76" t="n">
        <v>5</v>
      </c>
      <c r="E404" s="77" t="str">
        <f aca="false">IF($Q404="","Tidak ada di data",IF(AND(IFERROR(--(INDEX('Reguler Class Availability'!$F:$F,$Q404)&amp;""),0)=0,IFERROR(--(INDEX('Reguler Class Availability'!$G:$G,$Q404)&amp;""),0)=0),"Tutup",IF(IFERROR(--(INDEX('Reguler Class Availability'!$G:$G,$Q404)&amp;""),0)&gt;IFERROR(--(INDEX('Reguler Class Availability'!$F:$F,$Q404)&amp;""),0),"Lebih",IF(IFERROR(--(INDEX('Reguler Class Availability'!$G:$G,$Q404)&amp;""),0)=IFERROR(--(INDEX('Reguler Class Availability'!$F:$F,$Q404)&amp;""),0),"Penuh",IF(IFERROR(--(INDEX('Reguler Class Availability'!$G:$G,$Q404)&amp;""),0)=0,IF(INDEX('Reguler Class Availability'!$B:$B,$Q404)&amp;""="","Kosong","Belum terisi"),IF(IFERROR(--(INDEX('Reguler Class Availability'!$G:$G,$Q404)&amp;""),0)/IFERROR(--(INDEX('Reguler Class Availability'!$F:$F,$Q404)&amp;""),0)&gt;=0.6,"Tinggi","Sebagian"))))))</f>
        <v>Kosong</v>
      </c>
      <c r="F404" s="77" t="str">
        <f aca="false">IF($Q404="","",PROPER(INDEX('Reguler Class Availability'!$B:$B,$Q404)&amp;""))</f>
        <v/>
      </c>
      <c r="G404" s="76" t="n">
        <f aca="false">IF($Q404="","",IFERROR(--(INDEX('Reguler Class Availability'!$F:$F,$Q404)&amp;""),0))</f>
        <v>4</v>
      </c>
      <c r="H404" s="77" t="str">
        <f aca="false">IF($Q404="","",PROPER(INDEX('Reguler Class Availability'!$I:$I,$Q404)&amp;"")&amp;IF(INDEX('Reguler Class Availability'!$J:$J,$Q404)&amp;""="",""," + asst "&amp;PROPER(INDEX('Reguler Class Availability'!$J:$J,$Q404)&amp;"")))</f>
        <v/>
      </c>
      <c r="I404" s="77" t="s">
        <v>530</v>
      </c>
      <c r="J404" s="77" t="s">
        <v>186</v>
      </c>
      <c r="K404" s="78"/>
      <c r="L404" s="78"/>
      <c r="M404" s="78"/>
      <c r="N404" s="79"/>
      <c r="O404" s="78"/>
      <c r="Q404" s="30" t="n">
        <f aca="false">IFERROR(MATCH($B$4&amp;"|- Lane "&amp;D404&amp;" - "&amp;B404&amp;"|"&amp;C404,'Reguler Class Availability'!$L:$L,0),"")</f>
        <v>2827</v>
      </c>
    </row>
    <row r="405" customFormat="false" ht="27.75" hidden="false" customHeight="true" outlineLevel="0" collapsed="false">
      <c r="A405" s="76" t="n">
        <v>279</v>
      </c>
      <c r="B405" s="77" t="s">
        <v>119</v>
      </c>
      <c r="C405" s="76" t="s">
        <v>146</v>
      </c>
      <c r="D405" s="76" t="n">
        <v>1</v>
      </c>
      <c r="E405" s="77" t="str">
        <f aca="false">IF($Q405="","Tidak ada di data",IF(AND(IFERROR(--(INDEX('Reguler Class Availability'!$F:$F,$Q405)&amp;""),0)=0,IFERROR(--(INDEX('Reguler Class Availability'!$G:$G,$Q405)&amp;""),0)=0),"Tutup",IF(IFERROR(--(INDEX('Reguler Class Availability'!$G:$G,$Q405)&amp;""),0)&gt;IFERROR(--(INDEX('Reguler Class Availability'!$F:$F,$Q405)&amp;""),0),"Lebih",IF(IFERROR(--(INDEX('Reguler Class Availability'!$G:$G,$Q405)&amp;""),0)=IFERROR(--(INDEX('Reguler Class Availability'!$F:$F,$Q405)&amp;""),0),"Penuh",IF(IFERROR(--(INDEX('Reguler Class Availability'!$G:$G,$Q405)&amp;""),0)=0,IF(INDEX('Reguler Class Availability'!$B:$B,$Q405)&amp;""="","Kosong","Belum terisi"),IF(IFERROR(--(INDEX('Reguler Class Availability'!$G:$G,$Q405)&amp;""),0)/IFERROR(--(INDEX('Reguler Class Availability'!$F:$F,$Q405)&amp;""),0)&gt;=0.6,"Tinggi","Sebagian"))))))</f>
        <v>Belum terisi</v>
      </c>
      <c r="F405" s="77" t="str">
        <f aca="false">IF($Q405="","",PROPER(INDEX('Reguler Class Availability'!$B:$B,$Q405)&amp;""))</f>
        <v>Baby</v>
      </c>
      <c r="G405" s="76" t="n">
        <f aca="false">IF($Q405="","",IFERROR(--(INDEX('Reguler Class Availability'!$F:$F,$Q405)&amp;""),0))</f>
        <v>5</v>
      </c>
      <c r="H405" s="77" t="str">
        <f aca="false">IF($Q405="","",PROPER(INDEX('Reguler Class Availability'!$I:$I,$Q405)&amp;"")&amp;IF(INDEX('Reguler Class Availability'!$J:$J,$Q405)&amp;""="",""," + asst "&amp;PROPER(INDEX('Reguler Class Availability'!$J:$J,$Q405)&amp;"")))</f>
        <v/>
      </c>
      <c r="I405" s="77" t="s">
        <v>525</v>
      </c>
      <c r="J405" s="77" t="s">
        <v>186</v>
      </c>
      <c r="K405" s="78"/>
      <c r="L405" s="78"/>
      <c r="M405" s="78"/>
      <c r="N405" s="79"/>
      <c r="O405" s="78"/>
      <c r="Q405" s="30" t="n">
        <f aca="false">IFERROR(MATCH($B$4&amp;"|- Lane "&amp;D405&amp;" - "&amp;B405&amp;"|"&amp;C405,'Reguler Class Availability'!$L:$L,0),"")</f>
        <v>2478</v>
      </c>
    </row>
    <row r="406" customFormat="false" ht="27.75" hidden="false" customHeight="true" outlineLevel="0" collapsed="false">
      <c r="A406" s="76" t="n">
        <v>280</v>
      </c>
      <c r="B406" s="77" t="s">
        <v>119</v>
      </c>
      <c r="C406" s="76" t="s">
        <v>146</v>
      </c>
      <c r="D406" s="76" t="n">
        <v>2</v>
      </c>
      <c r="E406" s="77" t="str">
        <f aca="false">IF($Q406="","Tidak ada di data",IF(AND(IFERROR(--(INDEX('Reguler Class Availability'!$F:$F,$Q406)&amp;""),0)=0,IFERROR(--(INDEX('Reguler Class Availability'!$G:$G,$Q406)&amp;""),0)=0),"Tutup",IF(IFERROR(--(INDEX('Reguler Class Availability'!$G:$G,$Q406)&amp;""),0)&gt;IFERROR(--(INDEX('Reguler Class Availability'!$F:$F,$Q406)&amp;""),0),"Lebih",IF(IFERROR(--(INDEX('Reguler Class Availability'!$G:$G,$Q406)&amp;""),0)=IFERROR(--(INDEX('Reguler Class Availability'!$F:$F,$Q406)&amp;""),0),"Penuh",IF(IFERROR(--(INDEX('Reguler Class Availability'!$G:$G,$Q406)&amp;""),0)=0,IF(INDEX('Reguler Class Availability'!$B:$B,$Q406)&amp;""="","Kosong","Belum terisi"),IF(IFERROR(--(INDEX('Reguler Class Availability'!$G:$G,$Q406)&amp;""),0)/IFERROR(--(INDEX('Reguler Class Availability'!$F:$F,$Q406)&amp;""),0)&gt;=0.6,"Tinggi","Sebagian"))))))</f>
        <v>Belum terisi</v>
      </c>
      <c r="F406" s="77" t="str">
        <f aca="false">IF($Q406="","",PROPER(INDEX('Reguler Class Availability'!$B:$B,$Q406)&amp;""))</f>
        <v>Tiny</v>
      </c>
      <c r="G406" s="76" t="n">
        <f aca="false">IF($Q406="","",IFERROR(--(INDEX('Reguler Class Availability'!$F:$F,$Q406)&amp;""),0))</f>
        <v>5</v>
      </c>
      <c r="H406" s="77" t="str">
        <f aca="false">IF($Q406="","",PROPER(INDEX('Reguler Class Availability'!$I:$I,$Q406)&amp;"")&amp;IF(INDEX('Reguler Class Availability'!$J:$J,$Q406)&amp;""="",""," + asst "&amp;PROPER(INDEX('Reguler Class Availability'!$J:$J,$Q406)&amp;"")))</f>
        <v/>
      </c>
      <c r="I406" s="77" t="s">
        <v>525</v>
      </c>
      <c r="J406" s="77" t="s">
        <v>186</v>
      </c>
      <c r="K406" s="78"/>
      <c r="L406" s="78"/>
      <c r="M406" s="78"/>
      <c r="N406" s="79"/>
      <c r="O406" s="78"/>
      <c r="Q406" s="30" t="n">
        <f aca="false">IFERROR(MATCH($B$4&amp;"|- Lane "&amp;D406&amp;" - "&amp;B406&amp;"|"&amp;C406,'Reguler Class Availability'!$L:$L,0),"")</f>
        <v>2576</v>
      </c>
    </row>
    <row r="407" customFormat="false" ht="27.75" hidden="false" customHeight="true" outlineLevel="0" collapsed="false">
      <c r="A407" s="76" t="n">
        <v>281</v>
      </c>
      <c r="B407" s="77" t="s">
        <v>119</v>
      </c>
      <c r="C407" s="76" t="s">
        <v>146</v>
      </c>
      <c r="D407" s="76" t="n">
        <v>5</v>
      </c>
      <c r="E407" s="77" t="str">
        <f aca="false">IF($Q407="","Tidak ada di data",IF(AND(IFERROR(--(INDEX('Reguler Class Availability'!$F:$F,$Q407)&amp;""),0)=0,IFERROR(--(INDEX('Reguler Class Availability'!$G:$G,$Q407)&amp;""),0)=0),"Tutup",IF(IFERROR(--(INDEX('Reguler Class Availability'!$G:$G,$Q407)&amp;""),0)&gt;IFERROR(--(INDEX('Reguler Class Availability'!$F:$F,$Q407)&amp;""),0),"Lebih",IF(IFERROR(--(INDEX('Reguler Class Availability'!$G:$G,$Q407)&amp;""),0)=IFERROR(--(INDEX('Reguler Class Availability'!$F:$F,$Q407)&amp;""),0),"Penuh",IF(IFERROR(--(INDEX('Reguler Class Availability'!$G:$G,$Q407)&amp;""),0)=0,IF(INDEX('Reguler Class Availability'!$B:$B,$Q407)&amp;""="","Kosong","Belum terisi"),IF(IFERROR(--(INDEX('Reguler Class Availability'!$G:$G,$Q407)&amp;""),0)/IFERROR(--(INDEX('Reguler Class Availability'!$F:$F,$Q407)&amp;""),0)&gt;=0.6,"Tinggi","Sebagian"))))))</f>
        <v>Kosong</v>
      </c>
      <c r="F407" s="77" t="str">
        <f aca="false">IF($Q407="","",PROPER(INDEX('Reguler Class Availability'!$B:$B,$Q407)&amp;""))</f>
        <v/>
      </c>
      <c r="G407" s="76" t="n">
        <f aca="false">IF($Q407="","",IFERROR(--(INDEX('Reguler Class Availability'!$F:$F,$Q407)&amp;""),0))</f>
        <v>4</v>
      </c>
      <c r="H407" s="77" t="str">
        <f aca="false">IF($Q407="","",PROPER(INDEX('Reguler Class Availability'!$I:$I,$Q407)&amp;"")&amp;IF(INDEX('Reguler Class Availability'!$J:$J,$Q407)&amp;""="",""," + asst "&amp;PROPER(INDEX('Reguler Class Availability'!$J:$J,$Q407)&amp;"")))</f>
        <v/>
      </c>
      <c r="I407" s="77" t="s">
        <v>525</v>
      </c>
      <c r="J407" s="77" t="s">
        <v>186</v>
      </c>
      <c r="K407" s="78"/>
      <c r="L407" s="78"/>
      <c r="M407" s="78"/>
      <c r="N407" s="79"/>
      <c r="O407" s="78"/>
      <c r="Q407" s="30" t="n">
        <f aca="false">IFERROR(MATCH($B$4&amp;"|- Lane "&amp;D407&amp;" - "&amp;B407&amp;"|"&amp;C407,'Reguler Class Availability'!$L:$L,0),"")</f>
        <v>2828</v>
      </c>
    </row>
    <row r="408" customFormat="false" ht="27.75" hidden="false" customHeight="true" outlineLevel="0" collapsed="false">
      <c r="A408" s="76" t="n">
        <v>282</v>
      </c>
      <c r="B408" s="77" t="s">
        <v>119</v>
      </c>
      <c r="C408" s="76" t="s">
        <v>149</v>
      </c>
      <c r="D408" s="76" t="n">
        <v>1</v>
      </c>
      <c r="E408" s="77" t="str">
        <f aca="false">IF($Q408="","Tidak ada di data",IF(AND(IFERROR(--(INDEX('Reguler Class Availability'!$F:$F,$Q408)&amp;""),0)=0,IFERROR(--(INDEX('Reguler Class Availability'!$G:$G,$Q408)&amp;""),0)=0),"Tutup",IF(IFERROR(--(INDEX('Reguler Class Availability'!$G:$G,$Q408)&amp;""),0)&gt;IFERROR(--(INDEX('Reguler Class Availability'!$F:$F,$Q408)&amp;""),0),"Lebih",IF(IFERROR(--(INDEX('Reguler Class Availability'!$G:$G,$Q408)&amp;""),0)=IFERROR(--(INDEX('Reguler Class Availability'!$F:$F,$Q408)&amp;""),0),"Penuh",IF(IFERROR(--(INDEX('Reguler Class Availability'!$G:$G,$Q408)&amp;""),0)=0,IF(INDEX('Reguler Class Availability'!$B:$B,$Q408)&amp;""="","Kosong","Belum terisi"),IF(IFERROR(--(INDEX('Reguler Class Availability'!$G:$G,$Q408)&amp;""),0)/IFERROR(--(INDEX('Reguler Class Availability'!$F:$F,$Q408)&amp;""),0)&gt;=0.6,"Tinggi","Sebagian"))))))</f>
        <v>Belum terisi</v>
      </c>
      <c r="F408" s="77" t="str">
        <f aca="false">IF($Q408="","",PROPER(INDEX('Reguler Class Availability'!$B:$B,$Q408)&amp;""))</f>
        <v>Baby</v>
      </c>
      <c r="G408" s="76" t="n">
        <f aca="false">IF($Q408="","",IFERROR(--(INDEX('Reguler Class Availability'!$F:$F,$Q408)&amp;""),0))</f>
        <v>5</v>
      </c>
      <c r="H408" s="77" t="str">
        <f aca="false">IF($Q408="","",PROPER(INDEX('Reguler Class Availability'!$I:$I,$Q408)&amp;"")&amp;IF(INDEX('Reguler Class Availability'!$J:$J,$Q408)&amp;""="",""," + asst "&amp;PROPER(INDEX('Reguler Class Availability'!$J:$J,$Q408)&amp;"")))</f>
        <v>Shabrina</v>
      </c>
      <c r="I408" s="77" t="s">
        <v>535</v>
      </c>
      <c r="J408" s="77" t="s">
        <v>186</v>
      </c>
      <c r="K408" s="78"/>
      <c r="L408" s="78"/>
      <c r="M408" s="78"/>
      <c r="N408" s="79"/>
      <c r="O408" s="78"/>
      <c r="Q408" s="30" t="n">
        <f aca="false">IFERROR(MATCH($B$4&amp;"|- Lane "&amp;D408&amp;" - "&amp;B408&amp;"|"&amp;C408,'Reguler Class Availability'!$L:$L,0),"")</f>
        <v>2479</v>
      </c>
    </row>
    <row r="409" customFormat="false" ht="27.75" hidden="false" customHeight="true" outlineLevel="0" collapsed="false">
      <c r="A409" s="76" t="n">
        <v>283</v>
      </c>
      <c r="B409" s="77" t="s">
        <v>119</v>
      </c>
      <c r="C409" s="76" t="s">
        <v>149</v>
      </c>
      <c r="D409" s="76" t="n">
        <v>5</v>
      </c>
      <c r="E409" s="77" t="str">
        <f aca="false">IF($Q409="","Tidak ada di data",IF(AND(IFERROR(--(INDEX('Reguler Class Availability'!$F:$F,$Q409)&amp;""),0)=0,IFERROR(--(INDEX('Reguler Class Availability'!$G:$G,$Q409)&amp;""),0)=0),"Tutup",IF(IFERROR(--(INDEX('Reguler Class Availability'!$G:$G,$Q409)&amp;""),0)&gt;IFERROR(--(INDEX('Reguler Class Availability'!$F:$F,$Q409)&amp;""),0),"Lebih",IF(IFERROR(--(INDEX('Reguler Class Availability'!$G:$G,$Q409)&amp;""),0)=IFERROR(--(INDEX('Reguler Class Availability'!$F:$F,$Q409)&amp;""),0),"Penuh",IF(IFERROR(--(INDEX('Reguler Class Availability'!$G:$G,$Q409)&amp;""),0)=0,IF(INDEX('Reguler Class Availability'!$B:$B,$Q409)&amp;""="","Kosong","Belum terisi"),IF(IFERROR(--(INDEX('Reguler Class Availability'!$G:$G,$Q409)&amp;""),0)/IFERROR(--(INDEX('Reguler Class Availability'!$F:$F,$Q409)&amp;""),0)&gt;=0.6,"Tinggi","Sebagian"))))))</f>
        <v>Kosong</v>
      </c>
      <c r="F409" s="77" t="str">
        <f aca="false">IF($Q409="","",PROPER(INDEX('Reguler Class Availability'!$B:$B,$Q409)&amp;""))</f>
        <v/>
      </c>
      <c r="G409" s="76" t="n">
        <f aca="false">IF($Q409="","",IFERROR(--(INDEX('Reguler Class Availability'!$F:$F,$Q409)&amp;""),0))</f>
        <v>4</v>
      </c>
      <c r="H409" s="77" t="str">
        <f aca="false">IF($Q409="","",PROPER(INDEX('Reguler Class Availability'!$I:$I,$Q409)&amp;"")&amp;IF(INDEX('Reguler Class Availability'!$J:$J,$Q409)&amp;""="",""," + asst "&amp;PROPER(INDEX('Reguler Class Availability'!$J:$J,$Q409)&amp;"")))</f>
        <v/>
      </c>
      <c r="I409" s="77" t="s">
        <v>535</v>
      </c>
      <c r="J409" s="77" t="s">
        <v>186</v>
      </c>
      <c r="K409" s="78"/>
      <c r="L409" s="78"/>
      <c r="M409" s="78"/>
      <c r="N409" s="79"/>
      <c r="O409" s="78"/>
      <c r="Q409" s="30" t="n">
        <f aca="false">IFERROR(MATCH($B$4&amp;"|- Lane "&amp;D409&amp;" - "&amp;B409&amp;"|"&amp;C409,'Reguler Class Availability'!$L:$L,0),"")</f>
        <v>2829</v>
      </c>
    </row>
    <row r="410" customFormat="false" ht="40.5" hidden="false" customHeight="true" outlineLevel="0" collapsed="false">
      <c r="A410" s="76" t="n">
        <v>284</v>
      </c>
      <c r="B410" s="77" t="s">
        <v>119</v>
      </c>
      <c r="C410" s="76" t="s">
        <v>150</v>
      </c>
      <c r="D410" s="76" t="n">
        <v>3</v>
      </c>
      <c r="E410" s="77" t="str">
        <f aca="false">IF($Q410="","Tidak ada di data",IF(AND(IFERROR(--(INDEX('Reguler Class Availability'!$F:$F,$Q410)&amp;""),0)=0,IFERROR(--(INDEX('Reguler Class Availability'!$G:$G,$Q410)&amp;""),0)=0),"Tutup",IF(IFERROR(--(INDEX('Reguler Class Availability'!$G:$G,$Q410)&amp;""),0)&gt;IFERROR(--(INDEX('Reguler Class Availability'!$F:$F,$Q410)&amp;""),0),"Lebih",IF(IFERROR(--(INDEX('Reguler Class Availability'!$G:$G,$Q410)&amp;""),0)=IFERROR(--(INDEX('Reguler Class Availability'!$F:$F,$Q410)&amp;""),0),"Penuh",IF(IFERROR(--(INDEX('Reguler Class Availability'!$G:$G,$Q410)&amp;""),0)=0,IF(INDEX('Reguler Class Availability'!$B:$B,$Q410)&amp;""="","Kosong","Belum terisi"),IF(IFERROR(--(INDEX('Reguler Class Availability'!$G:$G,$Q410)&amp;""),0)/IFERROR(--(INDEX('Reguler Class Availability'!$F:$F,$Q410)&amp;""),0)&gt;=0.6,"Tinggi","Sebagian"))))))</f>
        <v>Belum terisi</v>
      </c>
      <c r="F410" s="77" t="str">
        <f aca="false">IF($Q410="","",PROPER(INDEX('Reguler Class Availability'!$B:$B,$Q410)&amp;""))</f>
        <v>Little</v>
      </c>
      <c r="G410" s="76" t="n">
        <f aca="false">IF($Q410="","",IFERROR(--(INDEX('Reguler Class Availability'!$F:$F,$Q410)&amp;""),0))</f>
        <v>4</v>
      </c>
      <c r="H410" s="77" t="str">
        <f aca="false">IF($Q410="","",PROPER(INDEX('Reguler Class Availability'!$I:$I,$Q410)&amp;"")&amp;IF(INDEX('Reguler Class Availability'!$J:$J,$Q410)&amp;""="",""," + asst "&amp;PROPER(INDEX('Reguler Class Availability'!$J:$J,$Q410)&amp;"")))</f>
        <v/>
      </c>
      <c r="I410" s="77" t="s">
        <v>543</v>
      </c>
      <c r="J410" s="77" t="s">
        <v>186</v>
      </c>
      <c r="K410" s="78"/>
      <c r="L410" s="78"/>
      <c r="M410" s="78"/>
      <c r="N410" s="79"/>
      <c r="O410" s="78"/>
      <c r="Q410" s="30" t="n">
        <f aca="false">IFERROR(MATCH($B$4&amp;"|- Lane "&amp;D410&amp;" - "&amp;B410&amp;"|"&amp;C410,'Reguler Class Availability'!$L:$L,0),"")</f>
        <v>2661</v>
      </c>
    </row>
    <row r="411" customFormat="false" ht="40.5" hidden="false" customHeight="true" outlineLevel="0" collapsed="false">
      <c r="A411" s="76" t="n">
        <v>285</v>
      </c>
      <c r="B411" s="77" t="s">
        <v>119</v>
      </c>
      <c r="C411" s="76" t="s">
        <v>150</v>
      </c>
      <c r="D411" s="76" t="n">
        <v>4</v>
      </c>
      <c r="E411" s="77" t="str">
        <f aca="false">IF($Q411="","Tidak ada di data",IF(AND(IFERROR(--(INDEX('Reguler Class Availability'!$F:$F,$Q411)&amp;""),0)=0,IFERROR(--(INDEX('Reguler Class Availability'!$G:$G,$Q411)&amp;""),0)=0),"Tutup",IF(IFERROR(--(INDEX('Reguler Class Availability'!$G:$G,$Q411)&amp;""),0)&gt;IFERROR(--(INDEX('Reguler Class Availability'!$F:$F,$Q411)&amp;""),0),"Lebih",IF(IFERROR(--(INDEX('Reguler Class Availability'!$G:$G,$Q411)&amp;""),0)=IFERROR(--(INDEX('Reguler Class Availability'!$F:$F,$Q411)&amp;""),0),"Penuh",IF(IFERROR(--(INDEX('Reguler Class Availability'!$G:$G,$Q411)&amp;""),0)=0,IF(INDEX('Reguler Class Availability'!$B:$B,$Q411)&amp;""="","Kosong","Belum terisi"),IF(IFERROR(--(INDEX('Reguler Class Availability'!$G:$G,$Q411)&amp;""),0)/IFERROR(--(INDEX('Reguler Class Availability'!$F:$F,$Q411)&amp;""),0)&gt;=0.6,"Tinggi","Sebagian"))))))</f>
        <v>Belum terisi</v>
      </c>
      <c r="F411" s="77" t="str">
        <f aca="false">IF($Q411="","",PROPER(INDEX('Reguler Class Availability'!$B:$B,$Q411)&amp;""))</f>
        <v>Kids</v>
      </c>
      <c r="G411" s="76" t="n">
        <f aca="false">IF($Q411="","",IFERROR(--(INDEX('Reguler Class Availability'!$F:$F,$Q411)&amp;""),0))</f>
        <v>4</v>
      </c>
      <c r="H411" s="77" t="str">
        <f aca="false">IF($Q411="","",PROPER(INDEX('Reguler Class Availability'!$I:$I,$Q411)&amp;"")&amp;IF(INDEX('Reguler Class Availability'!$J:$J,$Q411)&amp;""="",""," + asst "&amp;PROPER(INDEX('Reguler Class Availability'!$J:$J,$Q411)&amp;"")))</f>
        <v/>
      </c>
      <c r="I411" s="77" t="s">
        <v>543</v>
      </c>
      <c r="J411" s="77" t="s">
        <v>186</v>
      </c>
      <c r="K411" s="78"/>
      <c r="L411" s="78"/>
      <c r="M411" s="78"/>
      <c r="N411" s="79"/>
      <c r="O411" s="78"/>
      <c r="Q411" s="30" t="n">
        <f aca="false">IFERROR(MATCH($B$4&amp;"|- Lane "&amp;D411&amp;" - "&amp;B411&amp;"|"&amp;C411,'Reguler Class Availability'!$L:$L,0),"")</f>
        <v>2745</v>
      </c>
    </row>
    <row r="412" customFormat="false" ht="40.5" hidden="false" customHeight="true" outlineLevel="0" collapsed="false">
      <c r="A412" s="76" t="n">
        <v>286</v>
      </c>
      <c r="B412" s="77" t="s">
        <v>119</v>
      </c>
      <c r="C412" s="76" t="s">
        <v>152</v>
      </c>
      <c r="D412" s="76" t="n">
        <v>2</v>
      </c>
      <c r="E412" s="77" t="str">
        <f aca="false">IF($Q412="","Tidak ada di data",IF(AND(IFERROR(--(INDEX('Reguler Class Availability'!$F:$F,$Q412)&amp;""),0)=0,IFERROR(--(INDEX('Reguler Class Availability'!$G:$G,$Q412)&amp;""),0)=0),"Tutup",IF(IFERROR(--(INDEX('Reguler Class Availability'!$G:$G,$Q412)&amp;""),0)&gt;IFERROR(--(INDEX('Reguler Class Availability'!$F:$F,$Q412)&amp;""),0),"Lebih",IF(IFERROR(--(INDEX('Reguler Class Availability'!$G:$G,$Q412)&amp;""),0)=IFERROR(--(INDEX('Reguler Class Availability'!$F:$F,$Q412)&amp;""),0),"Penuh",IF(IFERROR(--(INDEX('Reguler Class Availability'!$G:$G,$Q412)&amp;""),0)=0,IF(INDEX('Reguler Class Availability'!$B:$B,$Q412)&amp;""="","Kosong","Belum terisi"),IF(IFERROR(--(INDEX('Reguler Class Availability'!$G:$G,$Q412)&amp;""),0)/IFERROR(--(INDEX('Reguler Class Availability'!$F:$F,$Q412)&amp;""),0)&gt;=0.6,"Tinggi","Sebagian"))))))</f>
        <v>Belum terisi</v>
      </c>
      <c r="F412" s="77" t="str">
        <f aca="false">IF($Q412="","",PROPER(INDEX('Reguler Class Availability'!$B:$B,$Q412)&amp;""))</f>
        <v>Tiny</v>
      </c>
      <c r="G412" s="76" t="n">
        <f aca="false">IF($Q412="","",IFERROR(--(INDEX('Reguler Class Availability'!$F:$F,$Q412)&amp;""),0))</f>
        <v>5</v>
      </c>
      <c r="H412" s="77" t="str">
        <f aca="false">IF($Q412="","",PROPER(INDEX('Reguler Class Availability'!$I:$I,$Q412)&amp;"")&amp;IF(INDEX('Reguler Class Availability'!$J:$J,$Q412)&amp;""="",""," + asst "&amp;PROPER(INDEX('Reguler Class Availability'!$J:$J,$Q412)&amp;"")))</f>
        <v/>
      </c>
      <c r="I412" s="77" t="s">
        <v>544</v>
      </c>
      <c r="J412" s="77" t="s">
        <v>186</v>
      </c>
      <c r="K412" s="78"/>
      <c r="L412" s="78"/>
      <c r="M412" s="78"/>
      <c r="N412" s="79"/>
      <c r="O412" s="78"/>
      <c r="Q412" s="30" t="n">
        <f aca="false">IFERROR(MATCH($B$4&amp;"|- Lane "&amp;D412&amp;" - "&amp;B412&amp;"|"&amp;C412,'Reguler Class Availability'!$L:$L,0),"")</f>
        <v>2578</v>
      </c>
    </row>
    <row r="413" customFormat="false" ht="40.5" hidden="false" customHeight="true" outlineLevel="0" collapsed="false">
      <c r="A413" s="76" t="n">
        <v>287</v>
      </c>
      <c r="B413" s="77" t="s">
        <v>119</v>
      </c>
      <c r="C413" s="76" t="s">
        <v>152</v>
      </c>
      <c r="D413" s="76" t="n">
        <v>5</v>
      </c>
      <c r="E413" s="77" t="str">
        <f aca="false">IF($Q413="","Tidak ada di data",IF(AND(IFERROR(--(INDEX('Reguler Class Availability'!$F:$F,$Q413)&amp;""),0)=0,IFERROR(--(INDEX('Reguler Class Availability'!$G:$G,$Q413)&amp;""),0)=0),"Tutup",IF(IFERROR(--(INDEX('Reguler Class Availability'!$G:$G,$Q413)&amp;""),0)&gt;IFERROR(--(INDEX('Reguler Class Availability'!$F:$F,$Q413)&amp;""),0),"Lebih",IF(IFERROR(--(INDEX('Reguler Class Availability'!$G:$G,$Q413)&amp;""),0)=IFERROR(--(INDEX('Reguler Class Availability'!$F:$F,$Q413)&amp;""),0),"Penuh",IF(IFERROR(--(INDEX('Reguler Class Availability'!$G:$G,$Q413)&amp;""),0)=0,IF(INDEX('Reguler Class Availability'!$B:$B,$Q413)&amp;""="","Kosong","Belum terisi"),IF(IFERROR(--(INDEX('Reguler Class Availability'!$G:$G,$Q413)&amp;""),0)/IFERROR(--(INDEX('Reguler Class Availability'!$F:$F,$Q413)&amp;""),0)&gt;=0.6,"Tinggi","Sebagian"))))))</f>
        <v>Kosong</v>
      </c>
      <c r="F413" s="77" t="str">
        <f aca="false">IF($Q413="","",PROPER(INDEX('Reguler Class Availability'!$B:$B,$Q413)&amp;""))</f>
        <v/>
      </c>
      <c r="G413" s="76" t="n">
        <f aca="false">IF($Q413="","",IFERROR(--(INDEX('Reguler Class Availability'!$F:$F,$Q413)&amp;""),0))</f>
        <v>4</v>
      </c>
      <c r="H413" s="77" t="str">
        <f aca="false">IF($Q413="","",PROPER(INDEX('Reguler Class Availability'!$I:$I,$Q413)&amp;"")&amp;IF(INDEX('Reguler Class Availability'!$J:$J,$Q413)&amp;""="",""," + asst "&amp;PROPER(INDEX('Reguler Class Availability'!$J:$J,$Q413)&amp;"")))</f>
        <v/>
      </c>
      <c r="I413" s="77" t="s">
        <v>544</v>
      </c>
      <c r="J413" s="77" t="s">
        <v>186</v>
      </c>
      <c r="K413" s="78"/>
      <c r="L413" s="78"/>
      <c r="M413" s="78"/>
      <c r="N413" s="79"/>
      <c r="O413" s="78"/>
      <c r="Q413" s="30" t="n">
        <f aca="false">IFERROR(MATCH($B$4&amp;"|- Lane "&amp;D413&amp;" - "&amp;B413&amp;"|"&amp;C413,'Reguler Class Availability'!$L:$L,0),"")</f>
        <v>2830</v>
      </c>
    </row>
    <row r="414" customFormat="false" ht="40.5" hidden="false" customHeight="true" outlineLevel="0" collapsed="false">
      <c r="A414" s="76" t="n">
        <v>288</v>
      </c>
      <c r="B414" s="77" t="s">
        <v>119</v>
      </c>
      <c r="C414" s="76" t="s">
        <v>153</v>
      </c>
      <c r="D414" s="76" t="n">
        <v>3</v>
      </c>
      <c r="E414" s="77" t="str">
        <f aca="false">IF($Q414="","Tidak ada di data",IF(AND(IFERROR(--(INDEX('Reguler Class Availability'!$F:$F,$Q414)&amp;""),0)=0,IFERROR(--(INDEX('Reguler Class Availability'!$G:$G,$Q414)&amp;""),0)=0),"Tutup",IF(IFERROR(--(INDEX('Reguler Class Availability'!$G:$G,$Q414)&amp;""),0)&gt;IFERROR(--(INDEX('Reguler Class Availability'!$F:$F,$Q414)&amp;""),0),"Lebih",IF(IFERROR(--(INDEX('Reguler Class Availability'!$G:$G,$Q414)&amp;""),0)=IFERROR(--(INDEX('Reguler Class Availability'!$F:$F,$Q414)&amp;""),0),"Penuh",IF(IFERROR(--(INDEX('Reguler Class Availability'!$G:$G,$Q414)&amp;""),0)=0,IF(INDEX('Reguler Class Availability'!$B:$B,$Q414)&amp;""="","Kosong","Belum terisi"),IF(IFERROR(--(INDEX('Reguler Class Availability'!$G:$G,$Q414)&amp;""),0)/IFERROR(--(INDEX('Reguler Class Availability'!$F:$F,$Q414)&amp;""),0)&gt;=0.6,"Tinggi","Sebagian"))))))</f>
        <v>Belum terisi</v>
      </c>
      <c r="F414" s="77" t="str">
        <f aca="false">IF($Q414="","",PROPER(INDEX('Reguler Class Availability'!$B:$B,$Q414)&amp;""))</f>
        <v>Little</v>
      </c>
      <c r="G414" s="76" t="n">
        <f aca="false">IF($Q414="","",IFERROR(--(INDEX('Reguler Class Availability'!$F:$F,$Q414)&amp;""),0))</f>
        <v>4</v>
      </c>
      <c r="H414" s="77" t="str">
        <f aca="false">IF($Q414="","",PROPER(INDEX('Reguler Class Availability'!$I:$I,$Q414)&amp;"")&amp;IF(INDEX('Reguler Class Availability'!$J:$J,$Q414)&amp;""="",""," + asst "&amp;PROPER(INDEX('Reguler Class Availability'!$J:$J,$Q414)&amp;"")))</f>
        <v/>
      </c>
      <c r="I414" s="77" t="s">
        <v>544</v>
      </c>
      <c r="J414" s="77" t="s">
        <v>186</v>
      </c>
      <c r="K414" s="78"/>
      <c r="L414" s="78"/>
      <c r="M414" s="78"/>
      <c r="N414" s="79"/>
      <c r="O414" s="78"/>
      <c r="Q414" s="30" t="n">
        <f aca="false">IFERROR(MATCH($B$4&amp;"|- Lane "&amp;D414&amp;" - "&amp;B414&amp;"|"&amp;C414,'Reguler Class Availability'!$L:$L,0),"")</f>
        <v>2662</v>
      </c>
    </row>
    <row r="415" customFormat="false" ht="40.5" hidden="false" customHeight="true" outlineLevel="0" collapsed="false">
      <c r="A415" s="76" t="n">
        <v>289</v>
      </c>
      <c r="B415" s="77" t="s">
        <v>119</v>
      </c>
      <c r="C415" s="76" t="s">
        <v>155</v>
      </c>
      <c r="D415" s="76" t="n">
        <v>1</v>
      </c>
      <c r="E415" s="77" t="str">
        <f aca="false">IF($Q415="","Tidak ada di data",IF(AND(IFERROR(--(INDEX('Reguler Class Availability'!$F:$F,$Q415)&amp;""),0)=0,IFERROR(--(INDEX('Reguler Class Availability'!$G:$G,$Q415)&amp;""),0)=0),"Tutup",IF(IFERROR(--(INDEX('Reguler Class Availability'!$G:$G,$Q415)&amp;""),0)&gt;IFERROR(--(INDEX('Reguler Class Availability'!$F:$F,$Q415)&amp;""),0),"Lebih",IF(IFERROR(--(INDEX('Reguler Class Availability'!$G:$G,$Q415)&amp;""),0)=IFERROR(--(INDEX('Reguler Class Availability'!$F:$F,$Q415)&amp;""),0),"Penuh",IF(IFERROR(--(INDEX('Reguler Class Availability'!$G:$G,$Q415)&amp;""),0)=0,IF(INDEX('Reguler Class Availability'!$B:$B,$Q415)&amp;""="","Kosong","Belum terisi"),IF(IFERROR(--(INDEX('Reguler Class Availability'!$G:$G,$Q415)&amp;""),0)/IFERROR(--(INDEX('Reguler Class Availability'!$F:$F,$Q415)&amp;""),0)&gt;=0.6,"Tinggi","Sebagian"))))))</f>
        <v>Belum terisi</v>
      </c>
      <c r="F415" s="77" t="str">
        <f aca="false">IF($Q415="","",PROPER(INDEX('Reguler Class Availability'!$B:$B,$Q415)&amp;""))</f>
        <v>Baby</v>
      </c>
      <c r="G415" s="76" t="n">
        <f aca="false">IF($Q415="","",IFERROR(--(INDEX('Reguler Class Availability'!$F:$F,$Q415)&amp;""),0))</f>
        <v>5</v>
      </c>
      <c r="H415" s="77" t="str">
        <f aca="false">IF($Q415="","",PROPER(INDEX('Reguler Class Availability'!$I:$I,$Q415)&amp;"")&amp;IF(INDEX('Reguler Class Availability'!$J:$J,$Q415)&amp;""="",""," + asst "&amp;PROPER(INDEX('Reguler Class Availability'!$J:$J,$Q415)&amp;"")))</f>
        <v/>
      </c>
      <c r="I415" s="77" t="s">
        <v>545</v>
      </c>
      <c r="J415" s="77" t="s">
        <v>186</v>
      </c>
      <c r="K415" s="78"/>
      <c r="L415" s="78"/>
      <c r="M415" s="78"/>
      <c r="N415" s="79"/>
      <c r="O415" s="78"/>
      <c r="Q415" s="30" t="n">
        <f aca="false">IFERROR(MATCH($B$4&amp;"|- Lane "&amp;D415&amp;" - "&amp;B415&amp;"|"&amp;C415,'Reguler Class Availability'!$L:$L,0),"")</f>
        <v>2481</v>
      </c>
    </row>
    <row r="416" customFormat="false" ht="40.5" hidden="false" customHeight="true" outlineLevel="0" collapsed="false">
      <c r="A416" s="76" t="n">
        <v>290</v>
      </c>
      <c r="B416" s="77" t="s">
        <v>119</v>
      </c>
      <c r="C416" s="76" t="s">
        <v>155</v>
      </c>
      <c r="D416" s="76" t="n">
        <v>2</v>
      </c>
      <c r="E416" s="77" t="str">
        <f aca="false">IF($Q416="","Tidak ada di data",IF(AND(IFERROR(--(INDEX('Reguler Class Availability'!$F:$F,$Q416)&amp;""),0)=0,IFERROR(--(INDEX('Reguler Class Availability'!$G:$G,$Q416)&amp;""),0)=0),"Tutup",IF(IFERROR(--(INDEX('Reguler Class Availability'!$G:$G,$Q416)&amp;""),0)&gt;IFERROR(--(INDEX('Reguler Class Availability'!$F:$F,$Q416)&amp;""),0),"Lebih",IF(IFERROR(--(INDEX('Reguler Class Availability'!$G:$G,$Q416)&amp;""),0)=IFERROR(--(INDEX('Reguler Class Availability'!$F:$F,$Q416)&amp;""),0),"Penuh",IF(IFERROR(--(INDEX('Reguler Class Availability'!$G:$G,$Q416)&amp;""),0)=0,IF(INDEX('Reguler Class Availability'!$B:$B,$Q416)&amp;""="","Kosong","Belum terisi"),IF(IFERROR(--(INDEX('Reguler Class Availability'!$G:$G,$Q416)&amp;""),0)/IFERROR(--(INDEX('Reguler Class Availability'!$F:$F,$Q416)&amp;""),0)&gt;=0.6,"Tinggi","Sebagian"))))))</f>
        <v>Belum terisi</v>
      </c>
      <c r="F416" s="77" t="str">
        <f aca="false">IF($Q416="","",PROPER(INDEX('Reguler Class Availability'!$B:$B,$Q416)&amp;""))</f>
        <v>Tiny</v>
      </c>
      <c r="G416" s="76" t="n">
        <f aca="false">IF($Q416="","",IFERROR(--(INDEX('Reguler Class Availability'!$F:$F,$Q416)&amp;""),0))</f>
        <v>5</v>
      </c>
      <c r="H416" s="77" t="str">
        <f aca="false">IF($Q416="","",PROPER(INDEX('Reguler Class Availability'!$I:$I,$Q416)&amp;"")&amp;IF(INDEX('Reguler Class Availability'!$J:$J,$Q416)&amp;""="",""," + asst "&amp;PROPER(INDEX('Reguler Class Availability'!$J:$J,$Q416)&amp;"")))</f>
        <v/>
      </c>
      <c r="I416" s="77" t="s">
        <v>545</v>
      </c>
      <c r="J416" s="77" t="s">
        <v>186</v>
      </c>
      <c r="K416" s="78"/>
      <c r="L416" s="78"/>
      <c r="M416" s="78"/>
      <c r="N416" s="79"/>
      <c r="O416" s="78"/>
      <c r="Q416" s="30" t="n">
        <f aca="false">IFERROR(MATCH($B$4&amp;"|- Lane "&amp;D416&amp;" - "&amp;B416&amp;"|"&amp;C416,'Reguler Class Availability'!$L:$L,0),"")</f>
        <v>2579</v>
      </c>
    </row>
    <row r="417" customFormat="false" ht="40.5" hidden="false" customHeight="true" outlineLevel="0" collapsed="false">
      <c r="A417" s="76" t="n">
        <v>291</v>
      </c>
      <c r="B417" s="77" t="s">
        <v>119</v>
      </c>
      <c r="C417" s="76" t="s">
        <v>155</v>
      </c>
      <c r="D417" s="76" t="n">
        <v>5</v>
      </c>
      <c r="E417" s="77" t="str">
        <f aca="false">IF($Q417="","Tidak ada di data",IF(AND(IFERROR(--(INDEX('Reguler Class Availability'!$F:$F,$Q417)&amp;""),0)=0,IFERROR(--(INDEX('Reguler Class Availability'!$G:$G,$Q417)&amp;""),0)=0),"Tutup",IF(IFERROR(--(INDEX('Reguler Class Availability'!$G:$G,$Q417)&amp;""),0)&gt;IFERROR(--(INDEX('Reguler Class Availability'!$F:$F,$Q417)&amp;""),0),"Lebih",IF(IFERROR(--(INDEX('Reguler Class Availability'!$G:$G,$Q417)&amp;""),0)=IFERROR(--(INDEX('Reguler Class Availability'!$F:$F,$Q417)&amp;""),0),"Penuh",IF(IFERROR(--(INDEX('Reguler Class Availability'!$G:$G,$Q417)&amp;""),0)=0,IF(INDEX('Reguler Class Availability'!$B:$B,$Q417)&amp;""="","Kosong","Belum terisi"),IF(IFERROR(--(INDEX('Reguler Class Availability'!$G:$G,$Q417)&amp;""),0)/IFERROR(--(INDEX('Reguler Class Availability'!$F:$F,$Q417)&amp;""),0)&gt;=0.6,"Tinggi","Sebagian"))))))</f>
        <v>Kosong</v>
      </c>
      <c r="F417" s="77" t="str">
        <f aca="false">IF($Q417="","",PROPER(INDEX('Reguler Class Availability'!$B:$B,$Q417)&amp;""))</f>
        <v/>
      </c>
      <c r="G417" s="76" t="n">
        <f aca="false">IF($Q417="","",IFERROR(--(INDEX('Reguler Class Availability'!$F:$F,$Q417)&amp;""),0))</f>
        <v>4</v>
      </c>
      <c r="H417" s="77" t="str">
        <f aca="false">IF($Q417="","",PROPER(INDEX('Reguler Class Availability'!$I:$I,$Q417)&amp;"")&amp;IF(INDEX('Reguler Class Availability'!$J:$J,$Q417)&amp;""="",""," + asst "&amp;PROPER(INDEX('Reguler Class Availability'!$J:$J,$Q417)&amp;"")))</f>
        <v/>
      </c>
      <c r="I417" s="77" t="s">
        <v>545</v>
      </c>
      <c r="J417" s="77" t="s">
        <v>186</v>
      </c>
      <c r="K417" s="78"/>
      <c r="L417" s="78"/>
      <c r="M417" s="78"/>
      <c r="N417" s="79"/>
      <c r="O417" s="78"/>
      <c r="Q417" s="30" t="n">
        <f aca="false">IFERROR(MATCH($B$4&amp;"|- Lane "&amp;D417&amp;" - "&amp;B417&amp;"|"&amp;C417,'Reguler Class Availability'!$L:$L,0),"")</f>
        <v>2831</v>
      </c>
    </row>
    <row r="418" customFormat="false" ht="40.5" hidden="false" customHeight="true" outlineLevel="0" collapsed="false">
      <c r="A418" s="76" t="n">
        <v>292</v>
      </c>
      <c r="B418" s="77" t="s">
        <v>119</v>
      </c>
      <c r="C418" s="76" t="s">
        <v>156</v>
      </c>
      <c r="D418" s="76" t="n">
        <v>3</v>
      </c>
      <c r="E418" s="77" t="str">
        <f aca="false">IF($Q418="","Tidak ada di data",IF(AND(IFERROR(--(INDEX('Reguler Class Availability'!$F:$F,$Q418)&amp;""),0)=0,IFERROR(--(INDEX('Reguler Class Availability'!$G:$G,$Q418)&amp;""),0)=0),"Tutup",IF(IFERROR(--(INDEX('Reguler Class Availability'!$G:$G,$Q418)&amp;""),0)&gt;IFERROR(--(INDEX('Reguler Class Availability'!$F:$F,$Q418)&amp;""),0),"Lebih",IF(IFERROR(--(INDEX('Reguler Class Availability'!$G:$G,$Q418)&amp;""),0)=IFERROR(--(INDEX('Reguler Class Availability'!$F:$F,$Q418)&amp;""),0),"Penuh",IF(IFERROR(--(INDEX('Reguler Class Availability'!$G:$G,$Q418)&amp;""),0)=0,IF(INDEX('Reguler Class Availability'!$B:$B,$Q418)&amp;""="","Kosong","Belum terisi"),IF(IFERROR(--(INDEX('Reguler Class Availability'!$G:$G,$Q418)&amp;""),0)/IFERROR(--(INDEX('Reguler Class Availability'!$F:$F,$Q418)&amp;""),0)&gt;=0.6,"Tinggi","Sebagian"))))))</f>
        <v>Belum terisi</v>
      </c>
      <c r="F418" s="77" t="str">
        <f aca="false">IF($Q418="","",PROPER(INDEX('Reguler Class Availability'!$B:$B,$Q418)&amp;""))</f>
        <v>Little</v>
      </c>
      <c r="G418" s="76" t="n">
        <f aca="false">IF($Q418="","",IFERROR(--(INDEX('Reguler Class Availability'!$F:$F,$Q418)&amp;""),0))</f>
        <v>4</v>
      </c>
      <c r="H418" s="77" t="str">
        <f aca="false">IF($Q418="","",PROPER(INDEX('Reguler Class Availability'!$I:$I,$Q418)&amp;"")&amp;IF(INDEX('Reguler Class Availability'!$J:$J,$Q418)&amp;""="",""," + asst "&amp;PROPER(INDEX('Reguler Class Availability'!$J:$J,$Q418)&amp;"")))</f>
        <v/>
      </c>
      <c r="I418" s="77" t="s">
        <v>545</v>
      </c>
      <c r="J418" s="77" t="s">
        <v>186</v>
      </c>
      <c r="K418" s="78"/>
      <c r="L418" s="78"/>
      <c r="M418" s="78"/>
      <c r="N418" s="79"/>
      <c r="O418" s="78"/>
      <c r="Q418" s="30" t="n">
        <f aca="false">IFERROR(MATCH($B$4&amp;"|- Lane "&amp;D418&amp;" - "&amp;B418&amp;"|"&amp;C418,'Reguler Class Availability'!$L:$L,0),"")</f>
        <v>2663</v>
      </c>
    </row>
    <row r="419" customFormat="false" ht="52.5" hidden="false" customHeight="true" outlineLevel="0" collapsed="false">
      <c r="A419" s="76" t="n">
        <v>293</v>
      </c>
      <c r="B419" s="77" t="s">
        <v>119</v>
      </c>
      <c r="C419" s="76" t="s">
        <v>160</v>
      </c>
      <c r="D419" s="76" t="n">
        <v>1</v>
      </c>
      <c r="E419" s="77" t="str">
        <f aca="false">IF($Q419="","Tidak ada di data",IF(AND(IFERROR(--(INDEX('Reguler Class Availability'!$F:$F,$Q419)&amp;""),0)=0,IFERROR(--(INDEX('Reguler Class Availability'!$G:$G,$Q419)&amp;""),0)=0),"Tutup",IF(IFERROR(--(INDEX('Reguler Class Availability'!$G:$G,$Q419)&amp;""),0)&gt;IFERROR(--(INDEX('Reguler Class Availability'!$F:$F,$Q419)&amp;""),0),"Lebih",IF(IFERROR(--(INDEX('Reguler Class Availability'!$G:$G,$Q419)&amp;""),0)=IFERROR(--(INDEX('Reguler Class Availability'!$F:$F,$Q419)&amp;""),0),"Penuh",IF(IFERROR(--(INDEX('Reguler Class Availability'!$G:$G,$Q419)&amp;""),0)=0,IF(INDEX('Reguler Class Availability'!$B:$B,$Q419)&amp;""="","Kosong","Belum terisi"),IF(IFERROR(--(INDEX('Reguler Class Availability'!$G:$G,$Q419)&amp;""),0)/IFERROR(--(INDEX('Reguler Class Availability'!$F:$F,$Q419)&amp;""),0)&gt;=0.6,"Tinggi","Sebagian"))))))</f>
        <v>Belum terisi</v>
      </c>
      <c r="F419" s="77" t="str">
        <f aca="false">IF($Q419="","",PROPER(INDEX('Reguler Class Availability'!$B:$B,$Q419)&amp;""))</f>
        <v>Star</v>
      </c>
      <c r="G419" s="76" t="n">
        <f aca="false">IF($Q419="","",IFERROR(--(INDEX('Reguler Class Availability'!$F:$F,$Q419)&amp;""),0))</f>
        <v>8</v>
      </c>
      <c r="H419" s="77" t="str">
        <f aca="false">IF($Q419="","",PROPER(INDEX('Reguler Class Availability'!$I:$I,$Q419)&amp;"")&amp;IF(INDEX('Reguler Class Availability'!$J:$J,$Q419)&amp;""="",""," + asst "&amp;PROPER(INDEX('Reguler Class Availability'!$J:$J,$Q419)&amp;"")))</f>
        <v/>
      </c>
      <c r="I419" s="77" t="s">
        <v>546</v>
      </c>
      <c r="J419" s="77" t="s">
        <v>186</v>
      </c>
      <c r="K419" s="78"/>
      <c r="L419" s="78"/>
      <c r="M419" s="78"/>
      <c r="N419" s="79"/>
      <c r="O419" s="78"/>
      <c r="Q419" s="30" t="n">
        <f aca="false">IFERROR(MATCH($B$4&amp;"|- Lane "&amp;D419&amp;" - "&amp;B419&amp;"|"&amp;C419,'Reguler Class Availability'!$L:$L,0),"")</f>
        <v>2506</v>
      </c>
    </row>
    <row r="420" customFormat="false" ht="40.5" hidden="false" customHeight="true" outlineLevel="0" collapsed="false">
      <c r="A420" s="76" t="n">
        <v>294</v>
      </c>
      <c r="B420" s="77" t="s">
        <v>80</v>
      </c>
      <c r="C420" s="76" t="s">
        <v>91</v>
      </c>
      <c r="D420" s="76" t="n">
        <v>1</v>
      </c>
      <c r="E420" s="77" t="str">
        <f aca="false">IF($Q420="","Tidak ada di data",IF(AND(IFERROR(--(INDEX('Reguler Class Availability'!$F:$F,$Q420)&amp;""),0)=0,IFERROR(--(INDEX('Reguler Class Availability'!$G:$G,$Q420)&amp;""),0)=0),"Tutup",IF(IFERROR(--(INDEX('Reguler Class Availability'!$G:$G,$Q420)&amp;""),0)&gt;IFERROR(--(INDEX('Reguler Class Availability'!$F:$F,$Q420)&amp;""),0),"Lebih",IF(IFERROR(--(INDEX('Reguler Class Availability'!$G:$G,$Q420)&amp;""),0)=IFERROR(--(INDEX('Reguler Class Availability'!$F:$F,$Q420)&amp;""),0),"Penuh",IF(IFERROR(--(INDEX('Reguler Class Availability'!$G:$G,$Q420)&amp;""),0)=0,IF(INDEX('Reguler Class Availability'!$B:$B,$Q420)&amp;""="","Kosong","Belum terisi"),IF(IFERROR(--(INDEX('Reguler Class Availability'!$G:$G,$Q420)&amp;""),0)/IFERROR(--(INDEX('Reguler Class Availability'!$F:$F,$Q420)&amp;""),0)&gt;=0.6,"Tinggi","Sebagian"))))))</f>
        <v>Belum terisi</v>
      </c>
      <c r="F420" s="77" t="str">
        <f aca="false">IF($Q420="","",PROPER(INDEX('Reguler Class Availability'!$B:$B,$Q420)&amp;""))</f>
        <v>Star</v>
      </c>
      <c r="G420" s="76" t="n">
        <f aca="false">IF($Q420="","",IFERROR(--(INDEX('Reguler Class Availability'!$F:$F,$Q420)&amp;""),0))</f>
        <v>8</v>
      </c>
      <c r="H420" s="77" t="str">
        <f aca="false">IF($Q420="","",PROPER(INDEX('Reguler Class Availability'!$I:$I,$Q420)&amp;"")&amp;IF(INDEX('Reguler Class Availability'!$J:$J,$Q420)&amp;""="",""," + asst "&amp;PROPER(INDEX('Reguler Class Availability'!$J:$J,$Q420)&amp;"")))</f>
        <v/>
      </c>
      <c r="I420" s="77" t="s">
        <v>547</v>
      </c>
      <c r="J420" s="77" t="s">
        <v>186</v>
      </c>
      <c r="K420" s="78"/>
      <c r="L420" s="78"/>
      <c r="M420" s="78"/>
      <c r="N420" s="79"/>
      <c r="O420" s="78"/>
      <c r="Q420" s="30" t="n">
        <f aca="false">IFERROR(MATCH($B$4&amp;"|- Lane "&amp;D420&amp;" - "&amp;B420&amp;"|"&amp;C420,'Reguler Class Availability'!$L:$L,0),"")</f>
        <v>2500</v>
      </c>
    </row>
    <row r="421" customFormat="false" ht="40.5" hidden="false" customHeight="true" outlineLevel="0" collapsed="false">
      <c r="A421" s="76" t="n">
        <v>295</v>
      </c>
      <c r="B421" s="77" t="s">
        <v>80</v>
      </c>
      <c r="C421" s="76" t="s">
        <v>105</v>
      </c>
      <c r="D421" s="76" t="n">
        <v>1</v>
      </c>
      <c r="E421" s="77" t="str">
        <f aca="false">IF($Q421="","Tidak ada di data",IF(AND(IFERROR(--(INDEX('Reguler Class Availability'!$F:$F,$Q421)&amp;""),0)=0,IFERROR(--(INDEX('Reguler Class Availability'!$G:$G,$Q421)&amp;""),0)=0),"Tutup",IF(IFERROR(--(INDEX('Reguler Class Availability'!$G:$G,$Q421)&amp;""),0)&gt;IFERROR(--(INDEX('Reguler Class Availability'!$F:$F,$Q421)&amp;""),0),"Lebih",IF(IFERROR(--(INDEX('Reguler Class Availability'!$G:$G,$Q421)&amp;""),0)=IFERROR(--(INDEX('Reguler Class Availability'!$F:$F,$Q421)&amp;""),0),"Penuh",IF(IFERROR(--(INDEX('Reguler Class Availability'!$G:$G,$Q421)&amp;""),0)=0,IF(INDEX('Reguler Class Availability'!$B:$B,$Q421)&amp;""="","Kosong","Belum terisi"),IF(IFERROR(--(INDEX('Reguler Class Availability'!$G:$G,$Q421)&amp;""),0)/IFERROR(--(INDEX('Reguler Class Availability'!$F:$F,$Q421)&amp;""),0)&gt;=0.6,"Tinggi","Sebagian"))))))</f>
        <v>Belum terisi</v>
      </c>
      <c r="F421" s="77" t="str">
        <f aca="false">IF($Q421="","",PROPER(INDEX('Reguler Class Availability'!$B:$B,$Q421)&amp;""))</f>
        <v>Baby</v>
      </c>
      <c r="G421" s="76" t="n">
        <f aca="false">IF($Q421="","",IFERROR(--(INDEX('Reguler Class Availability'!$F:$F,$Q421)&amp;""),0))</f>
        <v>5</v>
      </c>
      <c r="H421" s="77" t="str">
        <f aca="false">IF($Q421="","",PROPER(INDEX('Reguler Class Availability'!$I:$I,$Q421)&amp;"")&amp;IF(INDEX('Reguler Class Availability'!$J:$J,$Q421)&amp;""="",""," + asst "&amp;PROPER(INDEX('Reguler Class Availability'!$J:$J,$Q421)&amp;"")))</f>
        <v/>
      </c>
      <c r="I421" s="77" t="s">
        <v>547</v>
      </c>
      <c r="J421" s="77" t="s">
        <v>186</v>
      </c>
      <c r="K421" s="78"/>
      <c r="L421" s="78"/>
      <c r="M421" s="78"/>
      <c r="N421" s="79"/>
      <c r="O421" s="78"/>
      <c r="Q421" s="30" t="n">
        <f aca="false">IFERROR(MATCH($B$4&amp;"|- Lane "&amp;D421&amp;" - "&amp;B421&amp;"|"&amp;C421,'Reguler Class Availability'!$L:$L,0),"")</f>
        <v>2482</v>
      </c>
    </row>
    <row r="422" customFormat="false" ht="40.5" hidden="false" customHeight="true" outlineLevel="0" collapsed="false">
      <c r="A422" s="76" t="n">
        <v>296</v>
      </c>
      <c r="B422" s="77" t="s">
        <v>80</v>
      </c>
      <c r="C422" s="76" t="s">
        <v>105</v>
      </c>
      <c r="D422" s="76" t="n">
        <v>2</v>
      </c>
      <c r="E422" s="77" t="str">
        <f aca="false">IF($Q422="","Tidak ada di data",IF(AND(IFERROR(--(INDEX('Reguler Class Availability'!$F:$F,$Q422)&amp;""),0)=0,IFERROR(--(INDEX('Reguler Class Availability'!$G:$G,$Q422)&amp;""),0)=0),"Tutup",IF(IFERROR(--(INDEX('Reguler Class Availability'!$G:$G,$Q422)&amp;""),0)&gt;IFERROR(--(INDEX('Reguler Class Availability'!$F:$F,$Q422)&amp;""),0),"Lebih",IF(IFERROR(--(INDEX('Reguler Class Availability'!$G:$G,$Q422)&amp;""),0)=IFERROR(--(INDEX('Reguler Class Availability'!$F:$F,$Q422)&amp;""),0),"Penuh",IF(IFERROR(--(INDEX('Reguler Class Availability'!$G:$G,$Q422)&amp;""),0)=0,IF(INDEX('Reguler Class Availability'!$B:$B,$Q422)&amp;""="","Kosong","Belum terisi"),IF(IFERROR(--(INDEX('Reguler Class Availability'!$G:$G,$Q422)&amp;""),0)/IFERROR(--(INDEX('Reguler Class Availability'!$F:$F,$Q422)&amp;""),0)&gt;=0.6,"Tinggi","Sebagian"))))))</f>
        <v>Belum terisi</v>
      </c>
      <c r="F422" s="77" t="str">
        <f aca="false">IF($Q422="","",PROPER(INDEX('Reguler Class Availability'!$B:$B,$Q422)&amp;""))</f>
        <v>Tiny</v>
      </c>
      <c r="G422" s="76" t="n">
        <f aca="false">IF($Q422="","",IFERROR(--(INDEX('Reguler Class Availability'!$F:$F,$Q422)&amp;""),0))</f>
        <v>5</v>
      </c>
      <c r="H422" s="77" t="str">
        <f aca="false">IF($Q422="","",PROPER(INDEX('Reguler Class Availability'!$I:$I,$Q422)&amp;"")&amp;IF(INDEX('Reguler Class Availability'!$J:$J,$Q422)&amp;""="",""," + asst "&amp;PROPER(INDEX('Reguler Class Availability'!$J:$J,$Q422)&amp;"")))</f>
        <v/>
      </c>
      <c r="I422" s="77" t="s">
        <v>547</v>
      </c>
      <c r="J422" s="77" t="s">
        <v>186</v>
      </c>
      <c r="K422" s="78"/>
      <c r="L422" s="78"/>
      <c r="M422" s="78"/>
      <c r="N422" s="79"/>
      <c r="O422" s="78"/>
      <c r="Q422" s="30" t="n">
        <f aca="false">IFERROR(MATCH($B$4&amp;"|- Lane "&amp;D422&amp;" - "&amp;B422&amp;"|"&amp;C422,'Reguler Class Availability'!$L:$L,0),"")</f>
        <v>2580</v>
      </c>
    </row>
    <row r="423" customFormat="false" ht="40.5" hidden="false" customHeight="true" outlineLevel="0" collapsed="false">
      <c r="A423" s="76" t="n">
        <v>297</v>
      </c>
      <c r="B423" s="77" t="s">
        <v>80</v>
      </c>
      <c r="C423" s="76" t="s">
        <v>105</v>
      </c>
      <c r="D423" s="76" t="n">
        <v>5</v>
      </c>
      <c r="E423" s="77" t="str">
        <f aca="false">IF($Q423="","Tidak ada di data",IF(AND(IFERROR(--(INDEX('Reguler Class Availability'!$F:$F,$Q423)&amp;""),0)=0,IFERROR(--(INDEX('Reguler Class Availability'!$G:$G,$Q423)&amp;""),0)=0),"Tutup",IF(IFERROR(--(INDEX('Reguler Class Availability'!$G:$G,$Q423)&amp;""),0)&gt;IFERROR(--(INDEX('Reguler Class Availability'!$F:$F,$Q423)&amp;""),0),"Lebih",IF(IFERROR(--(INDEX('Reguler Class Availability'!$G:$G,$Q423)&amp;""),0)=IFERROR(--(INDEX('Reguler Class Availability'!$F:$F,$Q423)&amp;""),0),"Penuh",IF(IFERROR(--(INDEX('Reguler Class Availability'!$G:$G,$Q423)&amp;""),0)=0,IF(INDEX('Reguler Class Availability'!$B:$B,$Q423)&amp;""="","Kosong","Belum terisi"),IF(IFERROR(--(INDEX('Reguler Class Availability'!$G:$G,$Q423)&amp;""),0)/IFERROR(--(INDEX('Reguler Class Availability'!$F:$F,$Q423)&amp;""),0)&gt;=0.6,"Tinggi","Sebagian"))))))</f>
        <v>Kosong</v>
      </c>
      <c r="F423" s="77" t="str">
        <f aca="false">IF($Q423="","",PROPER(INDEX('Reguler Class Availability'!$B:$B,$Q423)&amp;""))</f>
        <v/>
      </c>
      <c r="G423" s="76" t="n">
        <f aca="false">IF($Q423="","",IFERROR(--(INDEX('Reguler Class Availability'!$F:$F,$Q423)&amp;""),0))</f>
        <v>4</v>
      </c>
      <c r="H423" s="77" t="str">
        <f aca="false">IF($Q423="","",PROPER(INDEX('Reguler Class Availability'!$I:$I,$Q423)&amp;"")&amp;IF(INDEX('Reguler Class Availability'!$J:$J,$Q423)&amp;""="",""," + asst "&amp;PROPER(INDEX('Reguler Class Availability'!$J:$J,$Q423)&amp;"")))</f>
        <v/>
      </c>
      <c r="I423" s="77" t="s">
        <v>547</v>
      </c>
      <c r="J423" s="77" t="s">
        <v>186</v>
      </c>
      <c r="K423" s="78"/>
      <c r="L423" s="78"/>
      <c r="M423" s="78"/>
      <c r="N423" s="79"/>
      <c r="O423" s="78"/>
      <c r="Q423" s="30" t="n">
        <f aca="false">IFERROR(MATCH($B$4&amp;"|- Lane "&amp;D423&amp;" - "&amp;B423&amp;"|"&amp;C423,'Reguler Class Availability'!$L:$L,0),"")</f>
        <v>2832</v>
      </c>
    </row>
    <row r="424" customFormat="false" ht="40.5" hidden="false" customHeight="true" outlineLevel="0" collapsed="false">
      <c r="A424" s="76" t="n">
        <v>298</v>
      </c>
      <c r="B424" s="77" t="s">
        <v>80</v>
      </c>
      <c r="C424" s="76" t="s">
        <v>110</v>
      </c>
      <c r="D424" s="76" t="n">
        <v>3</v>
      </c>
      <c r="E424" s="77" t="str">
        <f aca="false">IF($Q424="","Tidak ada di data",IF(AND(IFERROR(--(INDEX('Reguler Class Availability'!$F:$F,$Q424)&amp;""),0)=0,IFERROR(--(INDEX('Reguler Class Availability'!$G:$G,$Q424)&amp;""),0)=0),"Tutup",IF(IFERROR(--(INDEX('Reguler Class Availability'!$G:$G,$Q424)&amp;""),0)&gt;IFERROR(--(INDEX('Reguler Class Availability'!$F:$F,$Q424)&amp;""),0),"Lebih",IF(IFERROR(--(INDEX('Reguler Class Availability'!$G:$G,$Q424)&amp;""),0)=IFERROR(--(INDEX('Reguler Class Availability'!$F:$F,$Q424)&amp;""),0),"Penuh",IF(IFERROR(--(INDEX('Reguler Class Availability'!$G:$G,$Q424)&amp;""),0)=0,IF(INDEX('Reguler Class Availability'!$B:$B,$Q424)&amp;""="","Kosong","Belum terisi"),IF(IFERROR(--(INDEX('Reguler Class Availability'!$G:$G,$Q424)&amp;""),0)/IFERROR(--(INDEX('Reguler Class Availability'!$F:$F,$Q424)&amp;""),0)&gt;=0.6,"Tinggi","Sebagian"))))))</f>
        <v>Belum terisi</v>
      </c>
      <c r="F424" s="77" t="str">
        <f aca="false">IF($Q424="","",PROPER(INDEX('Reguler Class Availability'!$B:$B,$Q424)&amp;""))</f>
        <v>Little</v>
      </c>
      <c r="G424" s="76" t="n">
        <f aca="false">IF($Q424="","",IFERROR(--(INDEX('Reguler Class Availability'!$F:$F,$Q424)&amp;""),0))</f>
        <v>4</v>
      </c>
      <c r="H424" s="77" t="str">
        <f aca="false">IF($Q424="","",PROPER(INDEX('Reguler Class Availability'!$I:$I,$Q424)&amp;"")&amp;IF(INDEX('Reguler Class Availability'!$J:$J,$Q424)&amp;""="",""," + asst "&amp;PROPER(INDEX('Reguler Class Availability'!$J:$J,$Q424)&amp;"")))</f>
        <v/>
      </c>
      <c r="I424" s="77" t="s">
        <v>548</v>
      </c>
      <c r="J424" s="77" t="s">
        <v>260</v>
      </c>
      <c r="K424" s="78"/>
      <c r="L424" s="78"/>
      <c r="M424" s="78"/>
      <c r="N424" s="79"/>
      <c r="O424" s="78"/>
      <c r="Q424" s="30" t="n">
        <f aca="false">IFERROR(MATCH($B$4&amp;"|- Lane "&amp;D424&amp;" - "&amp;B424&amp;"|"&amp;C424,'Reguler Class Availability'!$L:$L,0),"")</f>
        <v>2664</v>
      </c>
    </row>
    <row r="425" customFormat="false" ht="40.5" hidden="false" customHeight="true" outlineLevel="0" collapsed="false">
      <c r="A425" s="76" t="n">
        <v>299</v>
      </c>
      <c r="B425" s="77" t="s">
        <v>80</v>
      </c>
      <c r="C425" s="76" t="s">
        <v>110</v>
      </c>
      <c r="D425" s="76" t="n">
        <v>4</v>
      </c>
      <c r="E425" s="77" t="str">
        <f aca="false">IF($Q425="","Tidak ada di data",IF(AND(IFERROR(--(INDEX('Reguler Class Availability'!$F:$F,$Q425)&amp;""),0)=0,IFERROR(--(INDEX('Reguler Class Availability'!$G:$G,$Q425)&amp;""),0)=0),"Tutup",IF(IFERROR(--(INDEX('Reguler Class Availability'!$G:$G,$Q425)&amp;""),0)&gt;IFERROR(--(INDEX('Reguler Class Availability'!$F:$F,$Q425)&amp;""),0),"Lebih",IF(IFERROR(--(INDEX('Reguler Class Availability'!$G:$G,$Q425)&amp;""),0)=IFERROR(--(INDEX('Reguler Class Availability'!$F:$F,$Q425)&amp;""),0),"Penuh",IF(IFERROR(--(INDEX('Reguler Class Availability'!$G:$G,$Q425)&amp;""),0)=0,IF(INDEX('Reguler Class Availability'!$B:$B,$Q425)&amp;""="","Kosong","Belum terisi"),IF(IFERROR(--(INDEX('Reguler Class Availability'!$G:$G,$Q425)&amp;""),0)/IFERROR(--(INDEX('Reguler Class Availability'!$F:$F,$Q425)&amp;""),0)&gt;=0.6,"Tinggi","Sebagian"))))))</f>
        <v>Belum terisi</v>
      </c>
      <c r="F425" s="77" t="str">
        <f aca="false">IF($Q425="","",PROPER(INDEX('Reguler Class Availability'!$B:$B,$Q425)&amp;""))</f>
        <v>Kids</v>
      </c>
      <c r="G425" s="76" t="n">
        <f aca="false">IF($Q425="","",IFERROR(--(INDEX('Reguler Class Availability'!$F:$F,$Q425)&amp;""),0))</f>
        <v>4</v>
      </c>
      <c r="H425" s="77" t="str">
        <f aca="false">IF($Q425="","",PROPER(INDEX('Reguler Class Availability'!$I:$I,$Q425)&amp;"")&amp;IF(INDEX('Reguler Class Availability'!$J:$J,$Q425)&amp;""="",""," + asst "&amp;PROPER(INDEX('Reguler Class Availability'!$J:$J,$Q425)&amp;"")))</f>
        <v/>
      </c>
      <c r="I425" s="77" t="s">
        <v>548</v>
      </c>
      <c r="J425" s="77" t="s">
        <v>260</v>
      </c>
      <c r="K425" s="78"/>
      <c r="L425" s="78"/>
      <c r="M425" s="78"/>
      <c r="N425" s="79"/>
      <c r="O425" s="78"/>
      <c r="Q425" s="30" t="n">
        <f aca="false">IFERROR(MATCH($B$4&amp;"|- Lane "&amp;D425&amp;" - "&amp;B425&amp;"|"&amp;C425,'Reguler Class Availability'!$L:$L,0),"")</f>
        <v>2748</v>
      </c>
    </row>
    <row r="426" customFormat="false" ht="27.75" hidden="false" customHeight="true" outlineLevel="0" collapsed="false">
      <c r="A426" s="76" t="n">
        <v>300</v>
      </c>
      <c r="B426" s="77" t="s">
        <v>80</v>
      </c>
      <c r="C426" s="76" t="s">
        <v>120</v>
      </c>
      <c r="D426" s="76" t="n">
        <v>1</v>
      </c>
      <c r="E426" s="77" t="str">
        <f aca="false">IF($Q426="","Tidak ada di data",IF(AND(IFERROR(--(INDEX('Reguler Class Availability'!$F:$F,$Q426)&amp;""),0)=0,IFERROR(--(INDEX('Reguler Class Availability'!$G:$G,$Q426)&amp;""),0)=0),"Tutup",IF(IFERROR(--(INDEX('Reguler Class Availability'!$G:$G,$Q426)&amp;""),0)&gt;IFERROR(--(INDEX('Reguler Class Availability'!$F:$F,$Q426)&amp;""),0),"Lebih",IF(IFERROR(--(INDEX('Reguler Class Availability'!$G:$G,$Q426)&amp;""),0)=IFERROR(--(INDEX('Reguler Class Availability'!$F:$F,$Q426)&amp;""),0),"Penuh",IF(IFERROR(--(INDEX('Reguler Class Availability'!$G:$G,$Q426)&amp;""),0)=0,IF(INDEX('Reguler Class Availability'!$B:$B,$Q426)&amp;""="","Kosong","Belum terisi"),IF(IFERROR(--(INDEX('Reguler Class Availability'!$G:$G,$Q426)&amp;""),0)/IFERROR(--(INDEX('Reguler Class Availability'!$F:$F,$Q426)&amp;""),0)&gt;=0.6,"Tinggi","Sebagian"))))))</f>
        <v>Belum terisi</v>
      </c>
      <c r="F426" s="77" t="str">
        <f aca="false">IF($Q426="","",PROPER(INDEX('Reguler Class Availability'!$B:$B,$Q426)&amp;""))</f>
        <v>Baby</v>
      </c>
      <c r="G426" s="76" t="n">
        <f aca="false">IF($Q426="","",IFERROR(--(INDEX('Reguler Class Availability'!$F:$F,$Q426)&amp;""),0))</f>
        <v>5</v>
      </c>
      <c r="H426" s="77" t="str">
        <f aca="false">IF($Q426="","",PROPER(INDEX('Reguler Class Availability'!$I:$I,$Q426)&amp;"")&amp;IF(INDEX('Reguler Class Availability'!$J:$J,$Q426)&amp;""="",""," + asst "&amp;PROPER(INDEX('Reguler Class Availability'!$J:$J,$Q426)&amp;"")))</f>
        <v/>
      </c>
      <c r="I426" s="77" t="s">
        <v>549</v>
      </c>
      <c r="J426" s="77" t="s">
        <v>288</v>
      </c>
      <c r="K426" s="78"/>
      <c r="L426" s="78"/>
      <c r="M426" s="78"/>
      <c r="N426" s="79"/>
      <c r="O426" s="78"/>
      <c r="Q426" s="30" t="n">
        <f aca="false">IFERROR(MATCH($B$4&amp;"|- Lane "&amp;D426&amp;" - "&amp;B426&amp;"|"&amp;C426,'Reguler Class Availability'!$L:$L,0),"")</f>
        <v>2483</v>
      </c>
    </row>
    <row r="427" customFormat="false" ht="27.75" hidden="false" customHeight="true" outlineLevel="0" collapsed="false">
      <c r="A427" s="76" t="n">
        <v>301</v>
      </c>
      <c r="B427" s="77" t="s">
        <v>80</v>
      </c>
      <c r="C427" s="76" t="s">
        <v>120</v>
      </c>
      <c r="D427" s="76" t="n">
        <v>5</v>
      </c>
      <c r="E427" s="77" t="str">
        <f aca="false">IF($Q427="","Tidak ada di data",IF(AND(IFERROR(--(INDEX('Reguler Class Availability'!$F:$F,$Q427)&amp;""),0)=0,IFERROR(--(INDEX('Reguler Class Availability'!$G:$G,$Q427)&amp;""),0)=0),"Tutup",IF(IFERROR(--(INDEX('Reguler Class Availability'!$G:$G,$Q427)&amp;""),0)&gt;IFERROR(--(INDEX('Reguler Class Availability'!$F:$F,$Q427)&amp;""),0),"Lebih",IF(IFERROR(--(INDEX('Reguler Class Availability'!$G:$G,$Q427)&amp;""),0)=IFERROR(--(INDEX('Reguler Class Availability'!$F:$F,$Q427)&amp;""),0),"Penuh",IF(IFERROR(--(INDEX('Reguler Class Availability'!$G:$G,$Q427)&amp;""),0)=0,IF(INDEX('Reguler Class Availability'!$B:$B,$Q427)&amp;""="","Kosong","Belum terisi"),IF(IFERROR(--(INDEX('Reguler Class Availability'!$G:$G,$Q427)&amp;""),0)/IFERROR(--(INDEX('Reguler Class Availability'!$F:$F,$Q427)&amp;""),0)&gt;=0.6,"Tinggi","Sebagian"))))))</f>
        <v>Kosong</v>
      </c>
      <c r="F427" s="77" t="str">
        <f aca="false">IF($Q427="","",PROPER(INDEX('Reguler Class Availability'!$B:$B,$Q427)&amp;""))</f>
        <v/>
      </c>
      <c r="G427" s="76" t="n">
        <f aca="false">IF($Q427="","",IFERROR(--(INDEX('Reguler Class Availability'!$F:$F,$Q427)&amp;""),0))</f>
        <v>4</v>
      </c>
      <c r="H427" s="77" t="str">
        <f aca="false">IF($Q427="","",PROPER(INDEX('Reguler Class Availability'!$I:$I,$Q427)&amp;"")&amp;IF(INDEX('Reguler Class Availability'!$J:$J,$Q427)&amp;""="",""," + asst "&amp;PROPER(INDEX('Reguler Class Availability'!$J:$J,$Q427)&amp;"")))</f>
        <v/>
      </c>
      <c r="I427" s="77" t="s">
        <v>549</v>
      </c>
      <c r="J427" s="77" t="s">
        <v>260</v>
      </c>
      <c r="K427" s="78"/>
      <c r="L427" s="78"/>
      <c r="M427" s="78"/>
      <c r="N427" s="79"/>
      <c r="O427" s="78"/>
      <c r="Q427" s="30" t="n">
        <f aca="false">IFERROR(MATCH($B$4&amp;"|- Lane "&amp;D427&amp;" - "&amp;B427&amp;"|"&amp;C427,'Reguler Class Availability'!$L:$L,0),"")</f>
        <v>2833</v>
      </c>
    </row>
    <row r="428" customFormat="false" ht="27.75" hidden="false" customHeight="true" outlineLevel="0" collapsed="false">
      <c r="A428" s="76" t="n">
        <v>302</v>
      </c>
      <c r="B428" s="77" t="s">
        <v>80</v>
      </c>
      <c r="C428" s="76" t="s">
        <v>123</v>
      </c>
      <c r="D428" s="76" t="n">
        <v>2</v>
      </c>
      <c r="E428" s="77" t="str">
        <f aca="false">IF($Q428="","Tidak ada di data",IF(AND(IFERROR(--(INDEX('Reguler Class Availability'!$F:$F,$Q428)&amp;""),0)=0,IFERROR(--(INDEX('Reguler Class Availability'!$G:$G,$Q428)&amp;""),0)=0),"Tutup",IF(IFERROR(--(INDEX('Reguler Class Availability'!$G:$G,$Q428)&amp;""),0)&gt;IFERROR(--(INDEX('Reguler Class Availability'!$F:$F,$Q428)&amp;""),0),"Lebih",IF(IFERROR(--(INDEX('Reguler Class Availability'!$G:$G,$Q428)&amp;""),0)=IFERROR(--(INDEX('Reguler Class Availability'!$F:$F,$Q428)&amp;""),0),"Penuh",IF(IFERROR(--(INDEX('Reguler Class Availability'!$G:$G,$Q428)&amp;""),0)=0,IF(INDEX('Reguler Class Availability'!$B:$B,$Q428)&amp;""="","Kosong","Belum terisi"),IF(IFERROR(--(INDEX('Reguler Class Availability'!$G:$G,$Q428)&amp;""),0)/IFERROR(--(INDEX('Reguler Class Availability'!$F:$F,$Q428)&amp;""),0)&gt;=0.6,"Tinggi","Sebagian"))))))</f>
        <v>Belum terisi</v>
      </c>
      <c r="F428" s="77" t="str">
        <f aca="false">IF($Q428="","",PROPER(INDEX('Reguler Class Availability'!$B:$B,$Q428)&amp;""))</f>
        <v>Tiny</v>
      </c>
      <c r="G428" s="76" t="n">
        <f aca="false">IF($Q428="","",IFERROR(--(INDEX('Reguler Class Availability'!$F:$F,$Q428)&amp;""),0))</f>
        <v>5</v>
      </c>
      <c r="H428" s="77" t="str">
        <f aca="false">IF($Q428="","",PROPER(INDEX('Reguler Class Availability'!$I:$I,$Q428)&amp;"")&amp;IF(INDEX('Reguler Class Availability'!$J:$J,$Q428)&amp;""="",""," + asst "&amp;PROPER(INDEX('Reguler Class Availability'!$J:$J,$Q428)&amp;"")))</f>
        <v/>
      </c>
      <c r="I428" s="77" t="s">
        <v>549</v>
      </c>
      <c r="J428" s="77" t="s">
        <v>198</v>
      </c>
      <c r="K428" s="78"/>
      <c r="L428" s="78"/>
      <c r="M428" s="78"/>
      <c r="N428" s="79"/>
      <c r="O428" s="78"/>
      <c r="Q428" s="30" t="n">
        <f aca="false">IFERROR(MATCH($B$4&amp;"|- Lane "&amp;D428&amp;" - "&amp;B428&amp;"|"&amp;C428,'Reguler Class Availability'!$L:$L,0),"")</f>
        <v>2582</v>
      </c>
    </row>
    <row r="429" customFormat="false" ht="27.75" hidden="false" customHeight="true" outlineLevel="0" collapsed="false">
      <c r="A429" s="76" t="n">
        <v>303</v>
      </c>
      <c r="B429" s="77" t="s">
        <v>80</v>
      </c>
      <c r="C429" s="76" t="s">
        <v>123</v>
      </c>
      <c r="D429" s="76" t="n">
        <v>5</v>
      </c>
      <c r="E429" s="77" t="str">
        <f aca="false">IF($Q429="","Tidak ada di data",IF(AND(IFERROR(--(INDEX('Reguler Class Availability'!$F:$F,$Q429)&amp;""),0)=0,IFERROR(--(INDEX('Reguler Class Availability'!$G:$G,$Q429)&amp;""),0)=0),"Tutup",IF(IFERROR(--(INDEX('Reguler Class Availability'!$G:$G,$Q429)&amp;""),0)&gt;IFERROR(--(INDEX('Reguler Class Availability'!$F:$F,$Q429)&amp;""),0),"Lebih",IF(IFERROR(--(INDEX('Reguler Class Availability'!$G:$G,$Q429)&amp;""),0)=IFERROR(--(INDEX('Reguler Class Availability'!$F:$F,$Q429)&amp;""),0),"Penuh",IF(IFERROR(--(INDEX('Reguler Class Availability'!$G:$G,$Q429)&amp;""),0)=0,IF(INDEX('Reguler Class Availability'!$B:$B,$Q429)&amp;""="","Kosong","Belum terisi"),IF(IFERROR(--(INDEX('Reguler Class Availability'!$G:$G,$Q429)&amp;""),0)/IFERROR(--(INDEX('Reguler Class Availability'!$F:$F,$Q429)&amp;""),0)&gt;=0.6,"Tinggi","Sebagian"))))))</f>
        <v>Kosong</v>
      </c>
      <c r="F429" s="77" t="str">
        <f aca="false">IF($Q429="","",PROPER(INDEX('Reguler Class Availability'!$B:$B,$Q429)&amp;""))</f>
        <v/>
      </c>
      <c r="G429" s="76" t="n">
        <f aca="false">IF($Q429="","",IFERROR(--(INDEX('Reguler Class Availability'!$F:$F,$Q429)&amp;""),0))</f>
        <v>4</v>
      </c>
      <c r="H429" s="77" t="str">
        <f aca="false">IF($Q429="","",PROPER(INDEX('Reguler Class Availability'!$I:$I,$Q429)&amp;"")&amp;IF(INDEX('Reguler Class Availability'!$J:$J,$Q429)&amp;""="",""," + asst "&amp;PROPER(INDEX('Reguler Class Availability'!$J:$J,$Q429)&amp;"")))</f>
        <v/>
      </c>
      <c r="I429" s="77" t="s">
        <v>549</v>
      </c>
      <c r="J429" s="77" t="s">
        <v>260</v>
      </c>
      <c r="K429" s="78"/>
      <c r="L429" s="78"/>
      <c r="M429" s="78"/>
      <c r="N429" s="79"/>
      <c r="O429" s="78"/>
      <c r="Q429" s="30" t="n">
        <f aca="false">IFERROR(MATCH($B$4&amp;"|- Lane "&amp;D429&amp;" - "&amp;B429&amp;"|"&amp;C429,'Reguler Class Availability'!$L:$L,0),"")</f>
        <v>2834</v>
      </c>
    </row>
    <row r="430" customFormat="false" ht="27.75" hidden="false" customHeight="true" outlineLevel="0" collapsed="false">
      <c r="A430" s="76" t="n">
        <v>304</v>
      </c>
      <c r="B430" s="77" t="s">
        <v>80</v>
      </c>
      <c r="C430" s="76" t="s">
        <v>124</v>
      </c>
      <c r="D430" s="76" t="n">
        <v>4</v>
      </c>
      <c r="E430" s="77" t="str">
        <f aca="false">IF($Q430="","Tidak ada di data",IF(AND(IFERROR(--(INDEX('Reguler Class Availability'!$F:$F,$Q430)&amp;""),0)=0,IFERROR(--(INDEX('Reguler Class Availability'!$G:$G,$Q430)&amp;""),0)=0),"Tutup",IF(IFERROR(--(INDEX('Reguler Class Availability'!$G:$G,$Q430)&amp;""),0)&gt;IFERROR(--(INDEX('Reguler Class Availability'!$F:$F,$Q430)&amp;""),0),"Lebih",IF(IFERROR(--(INDEX('Reguler Class Availability'!$G:$G,$Q430)&amp;""),0)=IFERROR(--(INDEX('Reguler Class Availability'!$F:$F,$Q430)&amp;""),0),"Penuh",IF(IFERROR(--(INDEX('Reguler Class Availability'!$G:$G,$Q430)&amp;""),0)=0,IF(INDEX('Reguler Class Availability'!$B:$B,$Q430)&amp;""="","Kosong","Belum terisi"),IF(IFERROR(--(INDEX('Reguler Class Availability'!$G:$G,$Q430)&amp;""),0)/IFERROR(--(INDEX('Reguler Class Availability'!$F:$F,$Q430)&amp;""),0)&gt;=0.6,"Tinggi","Sebagian"))))))</f>
        <v>Belum terisi</v>
      </c>
      <c r="F430" s="77" t="str">
        <f aca="false">IF($Q430="","",PROPER(INDEX('Reguler Class Availability'!$B:$B,$Q430)&amp;""))</f>
        <v>Kids</v>
      </c>
      <c r="G430" s="76" t="n">
        <f aca="false">IF($Q430="","",IFERROR(--(INDEX('Reguler Class Availability'!$F:$F,$Q430)&amp;""),0))</f>
        <v>4</v>
      </c>
      <c r="H430" s="77" t="str">
        <f aca="false">IF($Q430="","",PROPER(INDEX('Reguler Class Availability'!$I:$I,$Q430)&amp;"")&amp;IF(INDEX('Reguler Class Availability'!$J:$J,$Q430)&amp;""="",""," + asst "&amp;PROPER(INDEX('Reguler Class Availability'!$J:$J,$Q430)&amp;"")))</f>
        <v/>
      </c>
      <c r="I430" s="77" t="s">
        <v>550</v>
      </c>
      <c r="J430" s="77" t="s">
        <v>260</v>
      </c>
      <c r="K430" s="78"/>
      <c r="L430" s="78"/>
      <c r="M430" s="78"/>
      <c r="N430" s="79"/>
      <c r="O430" s="78"/>
      <c r="Q430" s="30" t="n">
        <f aca="false">IFERROR(MATCH($B$4&amp;"|- Lane "&amp;D430&amp;" - "&amp;B430&amp;"|"&amp;C430,'Reguler Class Availability'!$L:$L,0),"")</f>
        <v>2750</v>
      </c>
    </row>
    <row r="431" customFormat="false" ht="27.75" hidden="false" customHeight="true" outlineLevel="0" collapsed="false">
      <c r="A431" s="76" t="n">
        <v>305</v>
      </c>
      <c r="B431" s="77" t="s">
        <v>80</v>
      </c>
      <c r="C431" s="76" t="s">
        <v>126</v>
      </c>
      <c r="D431" s="76" t="n">
        <v>1</v>
      </c>
      <c r="E431" s="77" t="str">
        <f aca="false">IF($Q431="","Tidak ada di data",IF(AND(IFERROR(--(INDEX('Reguler Class Availability'!$F:$F,$Q431)&amp;""),0)=0,IFERROR(--(INDEX('Reguler Class Availability'!$G:$G,$Q431)&amp;""),0)=0),"Tutup",IF(IFERROR(--(INDEX('Reguler Class Availability'!$G:$G,$Q431)&amp;""),0)&gt;IFERROR(--(INDEX('Reguler Class Availability'!$F:$F,$Q431)&amp;""),0),"Lebih",IF(IFERROR(--(INDEX('Reguler Class Availability'!$G:$G,$Q431)&amp;""),0)=IFERROR(--(INDEX('Reguler Class Availability'!$F:$F,$Q431)&amp;""),0),"Penuh",IF(IFERROR(--(INDEX('Reguler Class Availability'!$G:$G,$Q431)&amp;""),0)=0,IF(INDEX('Reguler Class Availability'!$B:$B,$Q431)&amp;""="","Kosong","Belum terisi"),IF(IFERROR(--(INDEX('Reguler Class Availability'!$G:$G,$Q431)&amp;""),0)/IFERROR(--(INDEX('Reguler Class Availability'!$F:$F,$Q431)&amp;""),0)&gt;=0.6,"Tinggi","Sebagian"))))))</f>
        <v>Belum terisi</v>
      </c>
      <c r="F431" s="77" t="str">
        <f aca="false">IF($Q431="","",PROPER(INDEX('Reguler Class Availability'!$B:$B,$Q431)&amp;""))</f>
        <v>Baby</v>
      </c>
      <c r="G431" s="76" t="n">
        <f aca="false">IF($Q431="","",IFERROR(--(INDEX('Reguler Class Availability'!$F:$F,$Q431)&amp;""),0))</f>
        <v>5</v>
      </c>
      <c r="H431" s="77" t="str">
        <f aca="false">IF($Q431="","",PROPER(INDEX('Reguler Class Availability'!$I:$I,$Q431)&amp;"")&amp;IF(INDEX('Reguler Class Availability'!$J:$J,$Q431)&amp;""="",""," + asst "&amp;PROPER(INDEX('Reguler Class Availability'!$J:$J,$Q431)&amp;"")))</f>
        <v/>
      </c>
      <c r="I431" s="77" t="s">
        <v>551</v>
      </c>
      <c r="J431" s="77" t="s">
        <v>186</v>
      </c>
      <c r="K431" s="78"/>
      <c r="L431" s="78"/>
      <c r="M431" s="78"/>
      <c r="N431" s="79"/>
      <c r="O431" s="78"/>
      <c r="Q431" s="30" t="n">
        <f aca="false">IFERROR(MATCH($B$4&amp;"|- Lane "&amp;D431&amp;" - "&amp;B431&amp;"|"&amp;C431,'Reguler Class Availability'!$L:$L,0),"")</f>
        <v>2485</v>
      </c>
    </row>
    <row r="432" customFormat="false" ht="27.75" hidden="false" customHeight="true" outlineLevel="0" collapsed="false">
      <c r="A432" s="76" t="n">
        <v>306</v>
      </c>
      <c r="B432" s="77" t="s">
        <v>80</v>
      </c>
      <c r="C432" s="76" t="s">
        <v>126</v>
      </c>
      <c r="D432" s="76" t="n">
        <v>2</v>
      </c>
      <c r="E432" s="77" t="str">
        <f aca="false">IF($Q432="","Tidak ada di data",IF(AND(IFERROR(--(INDEX('Reguler Class Availability'!$F:$F,$Q432)&amp;""),0)=0,IFERROR(--(INDEX('Reguler Class Availability'!$G:$G,$Q432)&amp;""),0)=0),"Tutup",IF(IFERROR(--(INDEX('Reguler Class Availability'!$G:$G,$Q432)&amp;""),0)&gt;IFERROR(--(INDEX('Reguler Class Availability'!$F:$F,$Q432)&amp;""),0),"Lebih",IF(IFERROR(--(INDEX('Reguler Class Availability'!$G:$G,$Q432)&amp;""),0)=IFERROR(--(INDEX('Reguler Class Availability'!$F:$F,$Q432)&amp;""),0),"Penuh",IF(IFERROR(--(INDEX('Reguler Class Availability'!$G:$G,$Q432)&amp;""),0)=0,IF(INDEX('Reguler Class Availability'!$B:$B,$Q432)&amp;""="","Kosong","Belum terisi"),IF(IFERROR(--(INDEX('Reguler Class Availability'!$G:$G,$Q432)&amp;""),0)/IFERROR(--(INDEX('Reguler Class Availability'!$F:$F,$Q432)&amp;""),0)&gt;=0.6,"Tinggi","Sebagian"))))))</f>
        <v>Belum terisi</v>
      </c>
      <c r="F432" s="77" t="str">
        <f aca="false">IF($Q432="","",PROPER(INDEX('Reguler Class Availability'!$B:$B,$Q432)&amp;""))</f>
        <v>Tiny</v>
      </c>
      <c r="G432" s="76" t="n">
        <f aca="false">IF($Q432="","",IFERROR(--(INDEX('Reguler Class Availability'!$F:$F,$Q432)&amp;""),0))</f>
        <v>5</v>
      </c>
      <c r="H432" s="77" t="str">
        <f aca="false">IF($Q432="","",PROPER(INDEX('Reguler Class Availability'!$I:$I,$Q432)&amp;"")&amp;IF(INDEX('Reguler Class Availability'!$J:$J,$Q432)&amp;""="",""," + asst "&amp;PROPER(INDEX('Reguler Class Availability'!$J:$J,$Q432)&amp;"")))</f>
        <v/>
      </c>
      <c r="I432" s="77" t="s">
        <v>551</v>
      </c>
      <c r="J432" s="77" t="s">
        <v>186</v>
      </c>
      <c r="K432" s="78"/>
      <c r="L432" s="78"/>
      <c r="M432" s="78"/>
      <c r="N432" s="79"/>
      <c r="O432" s="78"/>
      <c r="Q432" s="30" t="n">
        <f aca="false">IFERROR(MATCH($B$4&amp;"|- Lane "&amp;D432&amp;" - "&amp;B432&amp;"|"&amp;C432,'Reguler Class Availability'!$L:$L,0),"")</f>
        <v>2583</v>
      </c>
    </row>
    <row r="433" customFormat="false" ht="27.75" hidden="false" customHeight="true" outlineLevel="0" collapsed="false">
      <c r="A433" s="76" t="n">
        <v>307</v>
      </c>
      <c r="B433" s="77" t="s">
        <v>80</v>
      </c>
      <c r="C433" s="76" t="s">
        <v>126</v>
      </c>
      <c r="D433" s="76" t="n">
        <v>5</v>
      </c>
      <c r="E433" s="77" t="str">
        <f aca="false">IF($Q433="","Tidak ada di data",IF(AND(IFERROR(--(INDEX('Reguler Class Availability'!$F:$F,$Q433)&amp;""),0)=0,IFERROR(--(INDEX('Reguler Class Availability'!$G:$G,$Q433)&amp;""),0)=0),"Tutup",IF(IFERROR(--(INDEX('Reguler Class Availability'!$G:$G,$Q433)&amp;""),0)&gt;IFERROR(--(INDEX('Reguler Class Availability'!$F:$F,$Q433)&amp;""),0),"Lebih",IF(IFERROR(--(INDEX('Reguler Class Availability'!$G:$G,$Q433)&amp;""),0)=IFERROR(--(INDEX('Reguler Class Availability'!$F:$F,$Q433)&amp;""),0),"Penuh",IF(IFERROR(--(INDEX('Reguler Class Availability'!$G:$G,$Q433)&amp;""),0)=0,IF(INDEX('Reguler Class Availability'!$B:$B,$Q433)&amp;""="","Kosong","Belum terisi"),IF(IFERROR(--(INDEX('Reguler Class Availability'!$G:$G,$Q433)&amp;""),0)/IFERROR(--(INDEX('Reguler Class Availability'!$F:$F,$Q433)&amp;""),0)&gt;=0.6,"Tinggi","Sebagian"))))))</f>
        <v>Kosong</v>
      </c>
      <c r="F433" s="77" t="str">
        <f aca="false">IF($Q433="","",PROPER(INDEX('Reguler Class Availability'!$B:$B,$Q433)&amp;""))</f>
        <v/>
      </c>
      <c r="G433" s="76" t="n">
        <f aca="false">IF($Q433="","",IFERROR(--(INDEX('Reguler Class Availability'!$F:$F,$Q433)&amp;""),0))</f>
        <v>4</v>
      </c>
      <c r="H433" s="77" t="str">
        <f aca="false">IF($Q433="","",PROPER(INDEX('Reguler Class Availability'!$I:$I,$Q433)&amp;"")&amp;IF(INDEX('Reguler Class Availability'!$J:$J,$Q433)&amp;""="",""," + asst "&amp;PROPER(INDEX('Reguler Class Availability'!$J:$J,$Q433)&amp;"")))</f>
        <v/>
      </c>
      <c r="I433" s="77" t="s">
        <v>551</v>
      </c>
      <c r="J433" s="77" t="s">
        <v>186</v>
      </c>
      <c r="K433" s="78"/>
      <c r="L433" s="78"/>
      <c r="M433" s="78"/>
      <c r="N433" s="79"/>
      <c r="O433" s="78"/>
      <c r="Q433" s="30" t="n">
        <f aca="false">IFERROR(MATCH($B$4&amp;"|- Lane "&amp;D433&amp;" - "&amp;B433&amp;"|"&amp;C433,'Reguler Class Availability'!$L:$L,0),"")</f>
        <v>2835</v>
      </c>
    </row>
    <row r="434" customFormat="false" ht="15.75" hidden="false" customHeight="true" outlineLevel="0" collapsed="false">
      <c r="A434" s="76" t="n">
        <v>308</v>
      </c>
      <c r="B434" s="77" t="s">
        <v>80</v>
      </c>
      <c r="C434" s="76" t="s">
        <v>129</v>
      </c>
      <c r="D434" s="76" t="n">
        <v>1</v>
      </c>
      <c r="E434" s="77" t="str">
        <f aca="false">IF($Q434="","Tidak ada di data",IF(AND(IFERROR(--(INDEX('Reguler Class Availability'!$F:$F,$Q434)&amp;""),0)=0,IFERROR(--(INDEX('Reguler Class Availability'!$G:$G,$Q434)&amp;""),0)=0),"Tutup",IF(IFERROR(--(INDEX('Reguler Class Availability'!$G:$G,$Q434)&amp;""),0)&gt;IFERROR(--(INDEX('Reguler Class Availability'!$F:$F,$Q434)&amp;""),0),"Lebih",IF(IFERROR(--(INDEX('Reguler Class Availability'!$G:$G,$Q434)&amp;""),0)=IFERROR(--(INDEX('Reguler Class Availability'!$F:$F,$Q434)&amp;""),0),"Penuh",IF(IFERROR(--(INDEX('Reguler Class Availability'!$G:$G,$Q434)&amp;""),0)=0,IF(INDEX('Reguler Class Availability'!$B:$B,$Q434)&amp;""="","Kosong","Belum terisi"),IF(IFERROR(--(INDEX('Reguler Class Availability'!$G:$G,$Q434)&amp;""),0)/IFERROR(--(INDEX('Reguler Class Availability'!$F:$F,$Q434)&amp;""),0)&gt;=0.6,"Tinggi","Sebagian"))))))</f>
        <v>Belum terisi</v>
      </c>
      <c r="F434" s="77" t="str">
        <f aca="false">IF($Q434="","",PROPER(INDEX('Reguler Class Availability'!$B:$B,$Q434)&amp;""))</f>
        <v>Baby</v>
      </c>
      <c r="G434" s="76" t="n">
        <f aca="false">IF($Q434="","",IFERROR(--(INDEX('Reguler Class Availability'!$F:$F,$Q434)&amp;""),0))</f>
        <v>5</v>
      </c>
      <c r="H434" s="77" t="str">
        <f aca="false">IF($Q434="","",PROPER(INDEX('Reguler Class Availability'!$I:$I,$Q434)&amp;"")&amp;IF(INDEX('Reguler Class Availability'!$J:$J,$Q434)&amp;""="",""," + asst "&amp;PROPER(INDEX('Reguler Class Availability'!$J:$J,$Q434)&amp;"")))</f>
        <v/>
      </c>
      <c r="I434" s="77" t="s">
        <v>552</v>
      </c>
      <c r="J434" s="77" t="s">
        <v>288</v>
      </c>
      <c r="K434" s="78"/>
      <c r="L434" s="78"/>
      <c r="M434" s="78"/>
      <c r="N434" s="79"/>
      <c r="O434" s="78"/>
      <c r="Q434" s="30" t="n">
        <f aca="false">IFERROR(MATCH($B$4&amp;"|- Lane "&amp;D434&amp;" - "&amp;B434&amp;"|"&amp;C434,'Reguler Class Availability'!$L:$L,0),"")</f>
        <v>2486</v>
      </c>
    </row>
    <row r="435" customFormat="false" ht="15.75" hidden="false" customHeight="true" outlineLevel="0" collapsed="false">
      <c r="A435" s="76" t="n">
        <v>309</v>
      </c>
      <c r="B435" s="77" t="s">
        <v>80</v>
      </c>
      <c r="C435" s="76" t="s">
        <v>129</v>
      </c>
      <c r="D435" s="76" t="n">
        <v>5</v>
      </c>
      <c r="E435" s="77" t="str">
        <f aca="false">IF($Q435="","Tidak ada di data",IF(AND(IFERROR(--(INDEX('Reguler Class Availability'!$F:$F,$Q435)&amp;""),0)=0,IFERROR(--(INDEX('Reguler Class Availability'!$G:$G,$Q435)&amp;""),0)=0),"Tutup",IF(IFERROR(--(INDEX('Reguler Class Availability'!$G:$G,$Q435)&amp;""),0)&gt;IFERROR(--(INDEX('Reguler Class Availability'!$F:$F,$Q435)&amp;""),0),"Lebih",IF(IFERROR(--(INDEX('Reguler Class Availability'!$G:$G,$Q435)&amp;""),0)=IFERROR(--(INDEX('Reguler Class Availability'!$F:$F,$Q435)&amp;""),0),"Penuh",IF(IFERROR(--(INDEX('Reguler Class Availability'!$G:$G,$Q435)&amp;""),0)=0,IF(INDEX('Reguler Class Availability'!$B:$B,$Q435)&amp;""="","Kosong","Belum terisi"),IF(IFERROR(--(INDEX('Reguler Class Availability'!$G:$G,$Q435)&amp;""),0)/IFERROR(--(INDEX('Reguler Class Availability'!$F:$F,$Q435)&amp;""),0)&gt;=0.6,"Tinggi","Sebagian"))))))</f>
        <v>Kosong</v>
      </c>
      <c r="F435" s="77" t="str">
        <f aca="false">IF($Q435="","",PROPER(INDEX('Reguler Class Availability'!$B:$B,$Q435)&amp;""))</f>
        <v/>
      </c>
      <c r="G435" s="76" t="n">
        <f aca="false">IF($Q435="","",IFERROR(--(INDEX('Reguler Class Availability'!$F:$F,$Q435)&amp;""),0))</f>
        <v>4</v>
      </c>
      <c r="H435" s="77" t="str">
        <f aca="false">IF($Q435="","",PROPER(INDEX('Reguler Class Availability'!$I:$I,$Q435)&amp;"")&amp;IF(INDEX('Reguler Class Availability'!$J:$J,$Q435)&amp;""="",""," + asst "&amp;PROPER(INDEX('Reguler Class Availability'!$J:$J,$Q435)&amp;"")))</f>
        <v/>
      </c>
      <c r="I435" s="77" t="s">
        <v>552</v>
      </c>
      <c r="J435" s="77" t="s">
        <v>260</v>
      </c>
      <c r="K435" s="78"/>
      <c r="L435" s="78"/>
      <c r="M435" s="78"/>
      <c r="N435" s="79"/>
      <c r="O435" s="78"/>
      <c r="Q435" s="30" t="n">
        <f aca="false">IFERROR(MATCH($B$4&amp;"|- Lane "&amp;D435&amp;" - "&amp;B435&amp;"|"&amp;C435,'Reguler Class Availability'!$L:$L,0),"")</f>
        <v>2836</v>
      </c>
    </row>
    <row r="436" customFormat="false" ht="27.75" hidden="false" customHeight="true" outlineLevel="0" collapsed="false">
      <c r="A436" s="76" t="n">
        <v>310</v>
      </c>
      <c r="B436" s="77" t="s">
        <v>80</v>
      </c>
      <c r="C436" s="76" t="s">
        <v>130</v>
      </c>
      <c r="D436" s="76" t="n">
        <v>4</v>
      </c>
      <c r="E436" s="77" t="str">
        <f aca="false">IF($Q436="","Tidak ada di data",IF(AND(IFERROR(--(INDEX('Reguler Class Availability'!$F:$F,$Q436)&amp;""),0)=0,IFERROR(--(INDEX('Reguler Class Availability'!$G:$G,$Q436)&amp;""),0)=0),"Tutup",IF(IFERROR(--(INDEX('Reguler Class Availability'!$G:$G,$Q436)&amp;""),0)&gt;IFERROR(--(INDEX('Reguler Class Availability'!$F:$F,$Q436)&amp;""),0),"Lebih",IF(IFERROR(--(INDEX('Reguler Class Availability'!$G:$G,$Q436)&amp;""),0)=IFERROR(--(INDEX('Reguler Class Availability'!$F:$F,$Q436)&amp;""),0),"Penuh",IF(IFERROR(--(INDEX('Reguler Class Availability'!$G:$G,$Q436)&amp;""),0)=0,IF(INDEX('Reguler Class Availability'!$B:$B,$Q436)&amp;""="","Kosong","Belum terisi"),IF(IFERROR(--(INDEX('Reguler Class Availability'!$G:$G,$Q436)&amp;""),0)/IFERROR(--(INDEX('Reguler Class Availability'!$F:$F,$Q436)&amp;""),0)&gt;=0.6,"Tinggi","Sebagian"))))))</f>
        <v>Belum terisi</v>
      </c>
      <c r="F436" s="77" t="str">
        <f aca="false">IF($Q436="","",PROPER(INDEX('Reguler Class Availability'!$B:$B,$Q436)&amp;""))</f>
        <v>Kids</v>
      </c>
      <c r="G436" s="76" t="n">
        <f aca="false">IF($Q436="","",IFERROR(--(INDEX('Reguler Class Availability'!$F:$F,$Q436)&amp;""),0))</f>
        <v>4</v>
      </c>
      <c r="H436" s="77" t="str">
        <f aca="false">IF($Q436="","",PROPER(INDEX('Reguler Class Availability'!$I:$I,$Q436)&amp;"")&amp;IF(INDEX('Reguler Class Availability'!$J:$J,$Q436)&amp;""="",""," + asst "&amp;PROPER(INDEX('Reguler Class Availability'!$J:$J,$Q436)&amp;"")))</f>
        <v/>
      </c>
      <c r="I436" s="77" t="s">
        <v>553</v>
      </c>
      <c r="J436" s="77" t="s">
        <v>260</v>
      </c>
      <c r="K436" s="78"/>
      <c r="L436" s="78"/>
      <c r="M436" s="78"/>
      <c r="N436" s="79"/>
      <c r="O436" s="78"/>
      <c r="Q436" s="30" t="n">
        <f aca="false">IFERROR(MATCH($B$4&amp;"|- Lane "&amp;D436&amp;" - "&amp;B436&amp;"|"&amp;C436,'Reguler Class Availability'!$L:$L,0),"")</f>
        <v>2752</v>
      </c>
    </row>
    <row r="437" customFormat="false" ht="27.75" hidden="false" customHeight="true" outlineLevel="0" collapsed="false">
      <c r="A437" s="76" t="n">
        <v>311</v>
      </c>
      <c r="B437" s="77" t="s">
        <v>80</v>
      </c>
      <c r="C437" s="76" t="s">
        <v>132</v>
      </c>
      <c r="D437" s="76" t="n">
        <v>2</v>
      </c>
      <c r="E437" s="77" t="str">
        <f aca="false">IF($Q437="","Tidak ada di data",IF(AND(IFERROR(--(INDEX('Reguler Class Availability'!$F:$F,$Q437)&amp;""),0)=0,IFERROR(--(INDEX('Reguler Class Availability'!$G:$G,$Q437)&amp;""),0)=0),"Tutup",IF(IFERROR(--(INDEX('Reguler Class Availability'!$G:$G,$Q437)&amp;""),0)&gt;IFERROR(--(INDEX('Reguler Class Availability'!$F:$F,$Q437)&amp;""),0),"Lebih",IF(IFERROR(--(INDEX('Reguler Class Availability'!$G:$G,$Q437)&amp;""),0)=IFERROR(--(INDEX('Reguler Class Availability'!$F:$F,$Q437)&amp;""),0),"Penuh",IF(IFERROR(--(INDEX('Reguler Class Availability'!$G:$G,$Q437)&amp;""),0)=0,IF(INDEX('Reguler Class Availability'!$B:$B,$Q437)&amp;""="","Kosong","Belum terisi"),IF(IFERROR(--(INDEX('Reguler Class Availability'!$G:$G,$Q437)&amp;""),0)/IFERROR(--(INDEX('Reguler Class Availability'!$F:$F,$Q437)&amp;""),0)&gt;=0.6,"Tinggi","Sebagian"))))))</f>
        <v>Belum terisi</v>
      </c>
      <c r="F437" s="77" t="str">
        <f aca="false">IF($Q437="","",PROPER(INDEX('Reguler Class Availability'!$B:$B,$Q437)&amp;""))</f>
        <v>Tiny</v>
      </c>
      <c r="G437" s="76" t="n">
        <f aca="false">IF($Q437="","",IFERROR(--(INDEX('Reguler Class Availability'!$F:$F,$Q437)&amp;""),0))</f>
        <v>5</v>
      </c>
      <c r="H437" s="77" t="str">
        <f aca="false">IF($Q437="","",PROPER(INDEX('Reguler Class Availability'!$I:$I,$Q437)&amp;"")&amp;IF(INDEX('Reguler Class Availability'!$J:$J,$Q437)&amp;""="",""," + asst "&amp;PROPER(INDEX('Reguler Class Availability'!$J:$J,$Q437)&amp;"")))</f>
        <v/>
      </c>
      <c r="I437" s="77" t="s">
        <v>553</v>
      </c>
      <c r="J437" s="77" t="s">
        <v>198</v>
      </c>
      <c r="K437" s="78"/>
      <c r="L437" s="78"/>
      <c r="M437" s="78"/>
      <c r="N437" s="79"/>
      <c r="O437" s="78"/>
      <c r="Q437" s="30" t="n">
        <f aca="false">IFERROR(MATCH($B$4&amp;"|- Lane "&amp;D437&amp;" - "&amp;B437&amp;"|"&amp;C437,'Reguler Class Availability'!$L:$L,0),"")</f>
        <v>2585</v>
      </c>
    </row>
    <row r="438" customFormat="false" ht="27.75" hidden="false" customHeight="true" outlineLevel="0" collapsed="false">
      <c r="A438" s="76" t="n">
        <v>312</v>
      </c>
      <c r="B438" s="77" t="s">
        <v>80</v>
      </c>
      <c r="C438" s="76" t="s">
        <v>132</v>
      </c>
      <c r="D438" s="76" t="n">
        <v>5</v>
      </c>
      <c r="E438" s="77" t="str">
        <f aca="false">IF($Q438="","Tidak ada di data",IF(AND(IFERROR(--(INDEX('Reguler Class Availability'!$F:$F,$Q438)&amp;""),0)=0,IFERROR(--(INDEX('Reguler Class Availability'!$G:$G,$Q438)&amp;""),0)=0),"Tutup",IF(IFERROR(--(INDEX('Reguler Class Availability'!$G:$G,$Q438)&amp;""),0)&gt;IFERROR(--(INDEX('Reguler Class Availability'!$F:$F,$Q438)&amp;""),0),"Lebih",IF(IFERROR(--(INDEX('Reguler Class Availability'!$G:$G,$Q438)&amp;""),0)=IFERROR(--(INDEX('Reguler Class Availability'!$F:$F,$Q438)&amp;""),0),"Penuh",IF(IFERROR(--(INDEX('Reguler Class Availability'!$G:$G,$Q438)&amp;""),0)=0,IF(INDEX('Reguler Class Availability'!$B:$B,$Q438)&amp;""="","Kosong","Belum terisi"),IF(IFERROR(--(INDEX('Reguler Class Availability'!$G:$G,$Q438)&amp;""),0)/IFERROR(--(INDEX('Reguler Class Availability'!$F:$F,$Q438)&amp;""),0)&gt;=0.6,"Tinggi","Sebagian"))))))</f>
        <v>Kosong</v>
      </c>
      <c r="F438" s="77" t="str">
        <f aca="false">IF($Q438="","",PROPER(INDEX('Reguler Class Availability'!$B:$B,$Q438)&amp;""))</f>
        <v/>
      </c>
      <c r="G438" s="76" t="n">
        <f aca="false">IF($Q438="","",IFERROR(--(INDEX('Reguler Class Availability'!$F:$F,$Q438)&amp;""),0))</f>
        <v>4</v>
      </c>
      <c r="H438" s="77" t="str">
        <f aca="false">IF($Q438="","",PROPER(INDEX('Reguler Class Availability'!$I:$I,$Q438)&amp;"")&amp;IF(INDEX('Reguler Class Availability'!$J:$J,$Q438)&amp;""="",""," + asst "&amp;PROPER(INDEX('Reguler Class Availability'!$J:$J,$Q438)&amp;"")))</f>
        <v/>
      </c>
      <c r="I438" s="77" t="s">
        <v>553</v>
      </c>
      <c r="J438" s="77" t="s">
        <v>260</v>
      </c>
      <c r="K438" s="78"/>
      <c r="L438" s="78"/>
      <c r="M438" s="78"/>
      <c r="N438" s="79"/>
      <c r="O438" s="78"/>
      <c r="Q438" s="30" t="n">
        <f aca="false">IFERROR(MATCH($B$4&amp;"|- Lane "&amp;D438&amp;" - "&amp;B438&amp;"|"&amp;C438,'Reguler Class Availability'!$L:$L,0),"")</f>
        <v>2837</v>
      </c>
    </row>
    <row r="439" customFormat="false" ht="40.5" hidden="false" customHeight="true" outlineLevel="0" collapsed="false">
      <c r="A439" s="76" t="n">
        <v>313</v>
      </c>
      <c r="B439" s="77" t="s">
        <v>80</v>
      </c>
      <c r="C439" s="76" t="s">
        <v>133</v>
      </c>
      <c r="D439" s="76" t="n">
        <v>3</v>
      </c>
      <c r="E439" s="77" t="str">
        <f aca="false">IF($Q439="","Tidak ada di data",IF(AND(IFERROR(--(INDEX('Reguler Class Availability'!$F:$F,$Q439)&amp;""),0)=0,IFERROR(--(INDEX('Reguler Class Availability'!$G:$G,$Q439)&amp;""),0)=0),"Tutup",IF(IFERROR(--(INDEX('Reguler Class Availability'!$G:$G,$Q439)&amp;""),0)&gt;IFERROR(--(INDEX('Reguler Class Availability'!$F:$F,$Q439)&amp;""),0),"Lebih",IF(IFERROR(--(INDEX('Reguler Class Availability'!$G:$G,$Q439)&amp;""),0)=IFERROR(--(INDEX('Reguler Class Availability'!$F:$F,$Q439)&amp;""),0),"Penuh",IF(IFERROR(--(INDEX('Reguler Class Availability'!$G:$G,$Q439)&amp;""),0)=0,IF(INDEX('Reguler Class Availability'!$B:$B,$Q439)&amp;""="","Kosong","Belum terisi"),IF(IFERROR(--(INDEX('Reguler Class Availability'!$G:$G,$Q439)&amp;""),0)/IFERROR(--(INDEX('Reguler Class Availability'!$F:$F,$Q439)&amp;""),0)&gt;=0.6,"Tinggi","Sebagian"))))))</f>
        <v>Belum terisi</v>
      </c>
      <c r="F439" s="77" t="str">
        <f aca="false">IF($Q439="","",PROPER(INDEX('Reguler Class Availability'!$B:$B,$Q439)&amp;""))</f>
        <v>Little</v>
      </c>
      <c r="G439" s="76" t="n">
        <f aca="false">IF($Q439="","",IFERROR(--(INDEX('Reguler Class Availability'!$F:$F,$Q439)&amp;""),0))</f>
        <v>4</v>
      </c>
      <c r="H439" s="77" t="str">
        <f aca="false">IF($Q439="","",PROPER(INDEX('Reguler Class Availability'!$I:$I,$Q439)&amp;"")&amp;IF(INDEX('Reguler Class Availability'!$J:$J,$Q439)&amp;""="",""," + asst "&amp;PROPER(INDEX('Reguler Class Availability'!$J:$J,$Q439)&amp;"")))</f>
        <v/>
      </c>
      <c r="I439" s="77" t="s">
        <v>548</v>
      </c>
      <c r="J439" s="77" t="s">
        <v>260</v>
      </c>
      <c r="K439" s="78"/>
      <c r="L439" s="78"/>
      <c r="M439" s="78"/>
      <c r="N439" s="79"/>
      <c r="O439" s="78"/>
      <c r="Q439" s="30" t="n">
        <f aca="false">IFERROR(MATCH($B$4&amp;"|- Lane "&amp;D439&amp;" - "&amp;B439&amp;"|"&amp;C439,'Reguler Class Availability'!$L:$L,0),"")</f>
        <v>2669</v>
      </c>
    </row>
    <row r="440" customFormat="false" ht="40.5" hidden="false" customHeight="true" outlineLevel="0" collapsed="false">
      <c r="A440" s="76" t="n">
        <v>314</v>
      </c>
      <c r="B440" s="77" t="s">
        <v>80</v>
      </c>
      <c r="C440" s="76" t="s">
        <v>133</v>
      </c>
      <c r="D440" s="76" t="n">
        <v>4</v>
      </c>
      <c r="E440" s="77" t="str">
        <f aca="false">IF($Q440="","Tidak ada di data",IF(AND(IFERROR(--(INDEX('Reguler Class Availability'!$F:$F,$Q440)&amp;""),0)=0,IFERROR(--(INDEX('Reguler Class Availability'!$G:$G,$Q440)&amp;""),0)=0),"Tutup",IF(IFERROR(--(INDEX('Reguler Class Availability'!$G:$G,$Q440)&amp;""),0)&gt;IFERROR(--(INDEX('Reguler Class Availability'!$F:$F,$Q440)&amp;""),0),"Lebih",IF(IFERROR(--(INDEX('Reguler Class Availability'!$G:$G,$Q440)&amp;""),0)=IFERROR(--(INDEX('Reguler Class Availability'!$F:$F,$Q440)&amp;""),0),"Penuh",IF(IFERROR(--(INDEX('Reguler Class Availability'!$G:$G,$Q440)&amp;""),0)=0,IF(INDEX('Reguler Class Availability'!$B:$B,$Q440)&amp;""="","Kosong","Belum terisi"),IF(IFERROR(--(INDEX('Reguler Class Availability'!$G:$G,$Q440)&amp;""),0)/IFERROR(--(INDEX('Reguler Class Availability'!$F:$F,$Q440)&amp;""),0)&gt;=0.6,"Tinggi","Sebagian"))))))</f>
        <v>Belum terisi</v>
      </c>
      <c r="F440" s="77" t="str">
        <f aca="false">IF($Q440="","",PROPER(INDEX('Reguler Class Availability'!$B:$B,$Q440)&amp;""))</f>
        <v>Kids</v>
      </c>
      <c r="G440" s="76" t="n">
        <f aca="false">IF($Q440="","",IFERROR(--(INDEX('Reguler Class Availability'!$F:$F,$Q440)&amp;""),0))</f>
        <v>4</v>
      </c>
      <c r="H440" s="77" t="str">
        <f aca="false">IF($Q440="","",PROPER(INDEX('Reguler Class Availability'!$I:$I,$Q440)&amp;"")&amp;IF(INDEX('Reguler Class Availability'!$J:$J,$Q440)&amp;""="",""," + asst "&amp;PROPER(INDEX('Reguler Class Availability'!$J:$J,$Q440)&amp;"")))</f>
        <v/>
      </c>
      <c r="I440" s="77" t="s">
        <v>548</v>
      </c>
      <c r="J440" s="77" t="s">
        <v>260</v>
      </c>
      <c r="K440" s="78"/>
      <c r="L440" s="78"/>
      <c r="M440" s="78"/>
      <c r="N440" s="79"/>
      <c r="O440" s="78"/>
      <c r="Q440" s="30" t="n">
        <f aca="false">IFERROR(MATCH($B$4&amp;"|- Lane "&amp;D440&amp;" - "&amp;B440&amp;"|"&amp;C440,'Reguler Class Availability'!$L:$L,0),"")</f>
        <v>2753</v>
      </c>
    </row>
    <row r="441" customFormat="false" ht="40.5" hidden="false" customHeight="true" outlineLevel="0" collapsed="false">
      <c r="A441" s="76" t="n">
        <v>315</v>
      </c>
      <c r="B441" s="77" t="s">
        <v>80</v>
      </c>
      <c r="C441" s="76" t="s">
        <v>139</v>
      </c>
      <c r="D441" s="76" t="n">
        <v>1</v>
      </c>
      <c r="E441" s="77" t="str">
        <f aca="false">IF($Q441="","Tidak ada di data",IF(AND(IFERROR(--(INDEX('Reguler Class Availability'!$F:$F,$Q441)&amp;""),0)=0,IFERROR(--(INDEX('Reguler Class Availability'!$G:$G,$Q441)&amp;""),0)=0),"Tutup",IF(IFERROR(--(INDEX('Reguler Class Availability'!$G:$G,$Q441)&amp;""),0)&gt;IFERROR(--(INDEX('Reguler Class Availability'!$F:$F,$Q441)&amp;""),0),"Lebih",IF(IFERROR(--(INDEX('Reguler Class Availability'!$G:$G,$Q441)&amp;""),0)=IFERROR(--(INDEX('Reguler Class Availability'!$F:$F,$Q441)&amp;""),0),"Penuh",IF(IFERROR(--(INDEX('Reguler Class Availability'!$G:$G,$Q441)&amp;""),0)=0,IF(INDEX('Reguler Class Availability'!$B:$B,$Q441)&amp;""="","Kosong","Belum terisi"),IF(IFERROR(--(INDEX('Reguler Class Availability'!$G:$G,$Q441)&amp;""),0)/IFERROR(--(INDEX('Reguler Class Availability'!$F:$F,$Q441)&amp;""),0)&gt;=0.6,"Tinggi","Sebagian"))))))</f>
        <v>Belum terisi</v>
      </c>
      <c r="F441" s="77" t="str">
        <f aca="false">IF($Q441="","",PROPER(INDEX('Reguler Class Availability'!$B:$B,$Q441)&amp;""))</f>
        <v>Baby</v>
      </c>
      <c r="G441" s="76" t="n">
        <f aca="false">IF($Q441="","",IFERROR(--(INDEX('Reguler Class Availability'!$F:$F,$Q441)&amp;""),0))</f>
        <v>5</v>
      </c>
      <c r="H441" s="77" t="str">
        <f aca="false">IF($Q441="","",PROPER(INDEX('Reguler Class Availability'!$I:$I,$Q441)&amp;"")&amp;IF(INDEX('Reguler Class Availability'!$J:$J,$Q441)&amp;""="",""," + asst "&amp;PROPER(INDEX('Reguler Class Availability'!$J:$J,$Q441)&amp;"")))</f>
        <v/>
      </c>
      <c r="I441" s="77" t="s">
        <v>547</v>
      </c>
      <c r="J441" s="77" t="s">
        <v>186</v>
      </c>
      <c r="K441" s="78"/>
      <c r="L441" s="78"/>
      <c r="M441" s="78"/>
      <c r="N441" s="79"/>
      <c r="O441" s="78"/>
      <c r="Q441" s="30" t="n">
        <f aca="false">IFERROR(MATCH($B$4&amp;"|- Lane "&amp;D441&amp;" - "&amp;B441&amp;"|"&amp;C441,'Reguler Class Availability'!$L:$L,0),"")</f>
        <v>2488</v>
      </c>
    </row>
    <row r="442" customFormat="false" ht="40.5" hidden="false" customHeight="true" outlineLevel="0" collapsed="false">
      <c r="A442" s="76" t="n">
        <v>316</v>
      </c>
      <c r="B442" s="77" t="s">
        <v>80</v>
      </c>
      <c r="C442" s="76" t="s">
        <v>139</v>
      </c>
      <c r="D442" s="76" t="n">
        <v>2</v>
      </c>
      <c r="E442" s="77" t="str">
        <f aca="false">IF($Q442="","Tidak ada di data",IF(AND(IFERROR(--(INDEX('Reguler Class Availability'!$F:$F,$Q442)&amp;""),0)=0,IFERROR(--(INDEX('Reguler Class Availability'!$G:$G,$Q442)&amp;""),0)=0),"Tutup",IF(IFERROR(--(INDEX('Reguler Class Availability'!$G:$G,$Q442)&amp;""),0)&gt;IFERROR(--(INDEX('Reguler Class Availability'!$F:$F,$Q442)&amp;""),0),"Lebih",IF(IFERROR(--(INDEX('Reguler Class Availability'!$G:$G,$Q442)&amp;""),0)=IFERROR(--(INDEX('Reguler Class Availability'!$F:$F,$Q442)&amp;""),0),"Penuh",IF(IFERROR(--(INDEX('Reguler Class Availability'!$G:$G,$Q442)&amp;""),0)=0,IF(INDEX('Reguler Class Availability'!$B:$B,$Q442)&amp;""="","Kosong","Belum terisi"),IF(IFERROR(--(INDEX('Reguler Class Availability'!$G:$G,$Q442)&amp;""),0)/IFERROR(--(INDEX('Reguler Class Availability'!$F:$F,$Q442)&amp;""),0)&gt;=0.6,"Tinggi","Sebagian"))))))</f>
        <v>Belum terisi</v>
      </c>
      <c r="F442" s="77" t="str">
        <f aca="false">IF($Q442="","",PROPER(INDEX('Reguler Class Availability'!$B:$B,$Q442)&amp;""))</f>
        <v>Tiny</v>
      </c>
      <c r="G442" s="76" t="n">
        <f aca="false">IF($Q442="","",IFERROR(--(INDEX('Reguler Class Availability'!$F:$F,$Q442)&amp;""),0))</f>
        <v>5</v>
      </c>
      <c r="H442" s="77" t="str">
        <f aca="false">IF($Q442="","",PROPER(INDEX('Reguler Class Availability'!$I:$I,$Q442)&amp;"")&amp;IF(INDEX('Reguler Class Availability'!$J:$J,$Q442)&amp;""="",""," + asst "&amp;PROPER(INDEX('Reguler Class Availability'!$J:$J,$Q442)&amp;"")))</f>
        <v/>
      </c>
      <c r="I442" s="77" t="s">
        <v>547</v>
      </c>
      <c r="J442" s="77" t="s">
        <v>186</v>
      </c>
      <c r="K442" s="78"/>
      <c r="L442" s="78"/>
      <c r="M442" s="78"/>
      <c r="N442" s="79"/>
      <c r="O442" s="78"/>
      <c r="Q442" s="30" t="n">
        <f aca="false">IFERROR(MATCH($B$4&amp;"|- Lane "&amp;D442&amp;" - "&amp;B442&amp;"|"&amp;C442,'Reguler Class Availability'!$L:$L,0),"")</f>
        <v>2586</v>
      </c>
    </row>
    <row r="443" customFormat="false" ht="40.5" hidden="false" customHeight="true" outlineLevel="0" collapsed="false">
      <c r="A443" s="76" t="n">
        <v>317</v>
      </c>
      <c r="B443" s="77" t="s">
        <v>80</v>
      </c>
      <c r="C443" s="76" t="s">
        <v>139</v>
      </c>
      <c r="D443" s="76" t="n">
        <v>5</v>
      </c>
      <c r="E443" s="77" t="str">
        <f aca="false">IF($Q443="","Tidak ada di data",IF(AND(IFERROR(--(INDEX('Reguler Class Availability'!$F:$F,$Q443)&amp;""),0)=0,IFERROR(--(INDEX('Reguler Class Availability'!$G:$G,$Q443)&amp;""),0)=0),"Tutup",IF(IFERROR(--(INDEX('Reguler Class Availability'!$G:$G,$Q443)&amp;""),0)&gt;IFERROR(--(INDEX('Reguler Class Availability'!$F:$F,$Q443)&amp;""),0),"Lebih",IF(IFERROR(--(INDEX('Reguler Class Availability'!$G:$G,$Q443)&amp;""),0)=IFERROR(--(INDEX('Reguler Class Availability'!$F:$F,$Q443)&amp;""),0),"Penuh",IF(IFERROR(--(INDEX('Reguler Class Availability'!$G:$G,$Q443)&amp;""),0)=0,IF(INDEX('Reguler Class Availability'!$B:$B,$Q443)&amp;""="","Kosong","Belum terisi"),IF(IFERROR(--(INDEX('Reguler Class Availability'!$G:$G,$Q443)&amp;""),0)/IFERROR(--(INDEX('Reguler Class Availability'!$F:$F,$Q443)&amp;""),0)&gt;=0.6,"Tinggi","Sebagian"))))))</f>
        <v>Kosong</v>
      </c>
      <c r="F443" s="77" t="str">
        <f aca="false">IF($Q443="","",PROPER(INDEX('Reguler Class Availability'!$B:$B,$Q443)&amp;""))</f>
        <v/>
      </c>
      <c r="G443" s="76" t="n">
        <f aca="false">IF($Q443="","",IFERROR(--(INDEX('Reguler Class Availability'!$F:$F,$Q443)&amp;""),0))</f>
        <v>4</v>
      </c>
      <c r="H443" s="77" t="str">
        <f aca="false">IF($Q443="","",PROPER(INDEX('Reguler Class Availability'!$I:$I,$Q443)&amp;"")&amp;IF(INDEX('Reguler Class Availability'!$J:$J,$Q443)&amp;""="",""," + asst "&amp;PROPER(INDEX('Reguler Class Availability'!$J:$J,$Q443)&amp;"")))</f>
        <v/>
      </c>
      <c r="I443" s="77" t="s">
        <v>547</v>
      </c>
      <c r="J443" s="77" t="s">
        <v>186</v>
      </c>
      <c r="K443" s="78"/>
      <c r="L443" s="78"/>
      <c r="M443" s="78"/>
      <c r="N443" s="79"/>
      <c r="O443" s="78"/>
      <c r="Q443" s="30" t="n">
        <f aca="false">IFERROR(MATCH($B$4&amp;"|- Lane "&amp;D443&amp;" - "&amp;B443&amp;"|"&amp;C443,'Reguler Class Availability'!$L:$L,0),"")</f>
        <v>2838</v>
      </c>
    </row>
    <row r="444" customFormat="false" ht="40.5" hidden="false" customHeight="true" outlineLevel="0" collapsed="false">
      <c r="A444" s="76" t="n">
        <v>318</v>
      </c>
      <c r="B444" s="77" t="s">
        <v>80</v>
      </c>
      <c r="C444" s="76" t="s">
        <v>141</v>
      </c>
      <c r="D444" s="76" t="n">
        <v>3</v>
      </c>
      <c r="E444" s="77" t="str">
        <f aca="false">IF($Q444="","Tidak ada di data",IF(AND(IFERROR(--(INDEX('Reguler Class Availability'!$F:$F,$Q444)&amp;""),0)=0,IFERROR(--(INDEX('Reguler Class Availability'!$G:$G,$Q444)&amp;""),0)=0),"Tutup",IF(IFERROR(--(INDEX('Reguler Class Availability'!$G:$G,$Q444)&amp;""),0)&gt;IFERROR(--(INDEX('Reguler Class Availability'!$F:$F,$Q444)&amp;""),0),"Lebih",IF(IFERROR(--(INDEX('Reguler Class Availability'!$G:$G,$Q444)&amp;""),0)=IFERROR(--(INDEX('Reguler Class Availability'!$F:$F,$Q444)&amp;""),0),"Penuh",IF(IFERROR(--(INDEX('Reguler Class Availability'!$G:$G,$Q444)&amp;""),0)=0,IF(INDEX('Reguler Class Availability'!$B:$B,$Q444)&amp;""="","Kosong","Belum terisi"),IF(IFERROR(--(INDEX('Reguler Class Availability'!$G:$G,$Q444)&amp;""),0)/IFERROR(--(INDEX('Reguler Class Availability'!$F:$F,$Q444)&amp;""),0)&gt;=0.6,"Tinggi","Sebagian"))))))</f>
        <v>Belum terisi</v>
      </c>
      <c r="F444" s="77" t="str">
        <f aca="false">IF($Q444="","",PROPER(INDEX('Reguler Class Availability'!$B:$B,$Q444)&amp;""))</f>
        <v>Little</v>
      </c>
      <c r="G444" s="76" t="n">
        <f aca="false">IF($Q444="","",IFERROR(--(INDEX('Reguler Class Availability'!$F:$F,$Q444)&amp;""),0))</f>
        <v>4</v>
      </c>
      <c r="H444" s="77" t="str">
        <f aca="false">IF($Q444="","",PROPER(INDEX('Reguler Class Availability'!$I:$I,$Q444)&amp;"")&amp;IF(INDEX('Reguler Class Availability'!$J:$J,$Q444)&amp;""="",""," + asst "&amp;PROPER(INDEX('Reguler Class Availability'!$J:$J,$Q444)&amp;"")))</f>
        <v/>
      </c>
      <c r="I444" s="77" t="s">
        <v>548</v>
      </c>
      <c r="J444" s="77" t="s">
        <v>260</v>
      </c>
      <c r="K444" s="78"/>
      <c r="L444" s="78"/>
      <c r="M444" s="78"/>
      <c r="N444" s="79"/>
      <c r="O444" s="78"/>
      <c r="Q444" s="30" t="n">
        <f aca="false">IFERROR(MATCH($B$4&amp;"|- Lane "&amp;D444&amp;" - "&amp;B444&amp;"|"&amp;C444,'Reguler Class Availability'!$L:$L,0),"")</f>
        <v>2670</v>
      </c>
    </row>
    <row r="445" customFormat="false" ht="40.5" hidden="false" customHeight="true" outlineLevel="0" collapsed="false">
      <c r="A445" s="76" t="n">
        <v>319</v>
      </c>
      <c r="B445" s="77" t="s">
        <v>80</v>
      </c>
      <c r="C445" s="76" t="s">
        <v>141</v>
      </c>
      <c r="D445" s="76" t="n">
        <v>4</v>
      </c>
      <c r="E445" s="77" t="str">
        <f aca="false">IF($Q445="","Tidak ada di data",IF(AND(IFERROR(--(INDEX('Reguler Class Availability'!$F:$F,$Q445)&amp;""),0)=0,IFERROR(--(INDEX('Reguler Class Availability'!$G:$G,$Q445)&amp;""),0)=0),"Tutup",IF(IFERROR(--(INDEX('Reguler Class Availability'!$G:$G,$Q445)&amp;""),0)&gt;IFERROR(--(INDEX('Reguler Class Availability'!$F:$F,$Q445)&amp;""),0),"Lebih",IF(IFERROR(--(INDEX('Reguler Class Availability'!$G:$G,$Q445)&amp;""),0)=IFERROR(--(INDEX('Reguler Class Availability'!$F:$F,$Q445)&amp;""),0),"Penuh",IF(IFERROR(--(INDEX('Reguler Class Availability'!$G:$G,$Q445)&amp;""),0)=0,IF(INDEX('Reguler Class Availability'!$B:$B,$Q445)&amp;""="","Kosong","Belum terisi"),IF(IFERROR(--(INDEX('Reguler Class Availability'!$G:$G,$Q445)&amp;""),0)/IFERROR(--(INDEX('Reguler Class Availability'!$F:$F,$Q445)&amp;""),0)&gt;=0.6,"Tinggi","Sebagian"))))))</f>
        <v>Belum terisi</v>
      </c>
      <c r="F445" s="77" t="str">
        <f aca="false">IF($Q445="","",PROPER(INDEX('Reguler Class Availability'!$B:$B,$Q445)&amp;""))</f>
        <v>Kids</v>
      </c>
      <c r="G445" s="76" t="n">
        <f aca="false">IF($Q445="","",IFERROR(--(INDEX('Reguler Class Availability'!$F:$F,$Q445)&amp;""),0))</f>
        <v>4</v>
      </c>
      <c r="H445" s="77" t="str">
        <f aca="false">IF($Q445="","",PROPER(INDEX('Reguler Class Availability'!$I:$I,$Q445)&amp;"")&amp;IF(INDEX('Reguler Class Availability'!$J:$J,$Q445)&amp;""="",""," + asst "&amp;PROPER(INDEX('Reguler Class Availability'!$J:$J,$Q445)&amp;"")))</f>
        <v/>
      </c>
      <c r="I445" s="77" t="s">
        <v>548</v>
      </c>
      <c r="J445" s="77" t="s">
        <v>260</v>
      </c>
      <c r="K445" s="78"/>
      <c r="L445" s="78"/>
      <c r="M445" s="78"/>
      <c r="N445" s="79"/>
      <c r="O445" s="78"/>
      <c r="Q445" s="30" t="n">
        <f aca="false">IFERROR(MATCH($B$4&amp;"|- Lane "&amp;D445&amp;" - "&amp;B445&amp;"|"&amp;C445,'Reguler Class Availability'!$L:$L,0),"")</f>
        <v>2754</v>
      </c>
    </row>
    <row r="446" customFormat="false" ht="27.75" hidden="false" customHeight="true" outlineLevel="0" collapsed="false">
      <c r="A446" s="76" t="n">
        <v>320</v>
      </c>
      <c r="B446" s="77" t="s">
        <v>80</v>
      </c>
      <c r="C446" s="76" t="s">
        <v>143</v>
      </c>
      <c r="D446" s="76" t="n">
        <v>2</v>
      </c>
      <c r="E446" s="77" t="str">
        <f aca="false">IF($Q446="","Tidak ada di data",IF(AND(IFERROR(--(INDEX('Reguler Class Availability'!$F:$F,$Q446)&amp;""),0)=0,IFERROR(--(INDEX('Reguler Class Availability'!$G:$G,$Q446)&amp;""),0)=0),"Tutup",IF(IFERROR(--(INDEX('Reguler Class Availability'!$G:$G,$Q446)&amp;""),0)&gt;IFERROR(--(INDEX('Reguler Class Availability'!$F:$F,$Q446)&amp;""),0),"Lebih",IF(IFERROR(--(INDEX('Reguler Class Availability'!$G:$G,$Q446)&amp;""),0)=IFERROR(--(INDEX('Reguler Class Availability'!$F:$F,$Q446)&amp;""),0),"Penuh",IF(IFERROR(--(INDEX('Reguler Class Availability'!$G:$G,$Q446)&amp;""),0)=0,IF(INDEX('Reguler Class Availability'!$B:$B,$Q446)&amp;""="","Kosong","Belum terisi"),IF(IFERROR(--(INDEX('Reguler Class Availability'!$G:$G,$Q446)&amp;""),0)/IFERROR(--(INDEX('Reguler Class Availability'!$F:$F,$Q446)&amp;""),0)&gt;=0.6,"Tinggi","Sebagian"))))))</f>
        <v>Belum terisi</v>
      </c>
      <c r="F446" s="77" t="str">
        <f aca="false">IF($Q446="","",PROPER(INDEX('Reguler Class Availability'!$B:$B,$Q446)&amp;""))</f>
        <v>Tiny</v>
      </c>
      <c r="G446" s="76" t="n">
        <f aca="false">IF($Q446="","",IFERROR(--(INDEX('Reguler Class Availability'!$F:$F,$Q446)&amp;""),0))</f>
        <v>5</v>
      </c>
      <c r="H446" s="77" t="str">
        <f aca="false">IF($Q446="","",PROPER(INDEX('Reguler Class Availability'!$I:$I,$Q446)&amp;"")&amp;IF(INDEX('Reguler Class Availability'!$J:$J,$Q446)&amp;""="",""," + asst "&amp;PROPER(INDEX('Reguler Class Availability'!$J:$J,$Q446)&amp;"")))</f>
        <v/>
      </c>
      <c r="I446" s="77" t="s">
        <v>553</v>
      </c>
      <c r="J446" s="77" t="s">
        <v>198</v>
      </c>
      <c r="K446" s="78"/>
      <c r="L446" s="78"/>
      <c r="M446" s="78"/>
      <c r="N446" s="79"/>
      <c r="O446" s="78"/>
      <c r="Q446" s="30" t="n">
        <f aca="false">IFERROR(MATCH($B$4&amp;"|- Lane "&amp;D446&amp;" - "&amp;B446&amp;"|"&amp;C446,'Reguler Class Availability'!$L:$L,0),"")</f>
        <v>2587</v>
      </c>
    </row>
    <row r="447" customFormat="false" ht="27.75" hidden="false" customHeight="true" outlineLevel="0" collapsed="false">
      <c r="A447" s="76" t="n">
        <v>321</v>
      </c>
      <c r="B447" s="77" t="s">
        <v>80</v>
      </c>
      <c r="C447" s="76" t="s">
        <v>143</v>
      </c>
      <c r="D447" s="76" t="n">
        <v>5</v>
      </c>
      <c r="E447" s="77" t="str">
        <f aca="false">IF($Q447="","Tidak ada di data",IF(AND(IFERROR(--(INDEX('Reguler Class Availability'!$F:$F,$Q447)&amp;""),0)=0,IFERROR(--(INDEX('Reguler Class Availability'!$G:$G,$Q447)&amp;""),0)=0),"Tutup",IF(IFERROR(--(INDEX('Reguler Class Availability'!$G:$G,$Q447)&amp;""),0)&gt;IFERROR(--(INDEX('Reguler Class Availability'!$F:$F,$Q447)&amp;""),0),"Lebih",IF(IFERROR(--(INDEX('Reguler Class Availability'!$G:$G,$Q447)&amp;""),0)=IFERROR(--(INDEX('Reguler Class Availability'!$F:$F,$Q447)&amp;""),0),"Penuh",IF(IFERROR(--(INDEX('Reguler Class Availability'!$G:$G,$Q447)&amp;""),0)=0,IF(INDEX('Reguler Class Availability'!$B:$B,$Q447)&amp;""="","Kosong","Belum terisi"),IF(IFERROR(--(INDEX('Reguler Class Availability'!$G:$G,$Q447)&amp;""),0)/IFERROR(--(INDEX('Reguler Class Availability'!$F:$F,$Q447)&amp;""),0)&gt;=0.6,"Tinggi","Sebagian"))))))</f>
        <v>Kosong</v>
      </c>
      <c r="F447" s="77" t="str">
        <f aca="false">IF($Q447="","",PROPER(INDEX('Reguler Class Availability'!$B:$B,$Q447)&amp;""))</f>
        <v/>
      </c>
      <c r="G447" s="76" t="n">
        <f aca="false">IF($Q447="","",IFERROR(--(INDEX('Reguler Class Availability'!$F:$F,$Q447)&amp;""),0))</f>
        <v>4</v>
      </c>
      <c r="H447" s="77" t="str">
        <f aca="false">IF($Q447="","",PROPER(INDEX('Reguler Class Availability'!$I:$I,$Q447)&amp;"")&amp;IF(INDEX('Reguler Class Availability'!$J:$J,$Q447)&amp;""="",""," + asst "&amp;PROPER(INDEX('Reguler Class Availability'!$J:$J,$Q447)&amp;"")))</f>
        <v/>
      </c>
      <c r="I447" s="77" t="s">
        <v>553</v>
      </c>
      <c r="J447" s="77" t="s">
        <v>260</v>
      </c>
      <c r="K447" s="78"/>
      <c r="L447" s="78"/>
      <c r="M447" s="78"/>
      <c r="N447" s="79"/>
      <c r="O447" s="78"/>
      <c r="Q447" s="30" t="n">
        <f aca="false">IFERROR(MATCH($B$4&amp;"|- Lane "&amp;D447&amp;" - "&amp;B447&amp;"|"&amp;C447,'Reguler Class Availability'!$L:$L,0),"")</f>
        <v>2839</v>
      </c>
    </row>
    <row r="448" customFormat="false" ht="27.75" hidden="false" customHeight="true" outlineLevel="0" collapsed="false">
      <c r="A448" s="76" t="n">
        <v>322</v>
      </c>
      <c r="B448" s="77" t="s">
        <v>80</v>
      </c>
      <c r="C448" s="76" t="s">
        <v>144</v>
      </c>
      <c r="D448" s="76" t="n">
        <v>3</v>
      </c>
      <c r="E448" s="77" t="str">
        <f aca="false">IF($Q448="","Tidak ada di data",IF(AND(IFERROR(--(INDEX('Reguler Class Availability'!$F:$F,$Q448)&amp;""),0)=0,IFERROR(--(INDEX('Reguler Class Availability'!$G:$G,$Q448)&amp;""),0)=0),"Tutup",IF(IFERROR(--(INDEX('Reguler Class Availability'!$G:$G,$Q448)&amp;""),0)&gt;IFERROR(--(INDEX('Reguler Class Availability'!$F:$F,$Q448)&amp;""),0),"Lebih",IF(IFERROR(--(INDEX('Reguler Class Availability'!$G:$G,$Q448)&amp;""),0)=IFERROR(--(INDEX('Reguler Class Availability'!$F:$F,$Q448)&amp;""),0),"Penuh",IF(IFERROR(--(INDEX('Reguler Class Availability'!$G:$G,$Q448)&amp;""),0)=0,IF(INDEX('Reguler Class Availability'!$B:$B,$Q448)&amp;""="","Kosong","Belum terisi"),IF(IFERROR(--(INDEX('Reguler Class Availability'!$G:$G,$Q448)&amp;""),0)/IFERROR(--(INDEX('Reguler Class Availability'!$F:$F,$Q448)&amp;""),0)&gt;=0.6,"Tinggi","Sebagian"))))))</f>
        <v>Belum terisi</v>
      </c>
      <c r="F448" s="77" t="str">
        <f aca="false">IF($Q448="","",PROPER(INDEX('Reguler Class Availability'!$B:$B,$Q448)&amp;""))</f>
        <v>Little</v>
      </c>
      <c r="G448" s="76" t="n">
        <f aca="false">IF($Q448="","",IFERROR(--(INDEX('Reguler Class Availability'!$F:$F,$Q448)&amp;""),0))</f>
        <v>4</v>
      </c>
      <c r="H448" s="77" t="str">
        <f aca="false">IF($Q448="","",PROPER(INDEX('Reguler Class Availability'!$I:$I,$Q448)&amp;"")&amp;IF(INDEX('Reguler Class Availability'!$J:$J,$Q448)&amp;""="",""," + asst "&amp;PROPER(INDEX('Reguler Class Availability'!$J:$J,$Q448)&amp;"")))</f>
        <v/>
      </c>
      <c r="I448" s="77" t="s">
        <v>553</v>
      </c>
      <c r="J448" s="77" t="s">
        <v>260</v>
      </c>
      <c r="K448" s="78"/>
      <c r="L448" s="78"/>
      <c r="M448" s="78"/>
      <c r="N448" s="79"/>
      <c r="O448" s="78"/>
      <c r="Q448" s="30" t="n">
        <f aca="false">IFERROR(MATCH($B$4&amp;"|- Lane "&amp;D448&amp;" - "&amp;B448&amp;"|"&amp;C448,'Reguler Class Availability'!$L:$L,0),"")</f>
        <v>2671</v>
      </c>
    </row>
    <row r="449" customFormat="false" ht="40.5" hidden="false" customHeight="true" outlineLevel="0" collapsed="false">
      <c r="A449" s="76" t="n">
        <v>323</v>
      </c>
      <c r="B449" s="77" t="s">
        <v>80</v>
      </c>
      <c r="C449" s="76" t="s">
        <v>146</v>
      </c>
      <c r="D449" s="76" t="n">
        <v>1</v>
      </c>
      <c r="E449" s="77" t="str">
        <f aca="false">IF($Q449="","Tidak ada di data",IF(AND(IFERROR(--(INDEX('Reguler Class Availability'!$F:$F,$Q449)&amp;""),0)=0,IFERROR(--(INDEX('Reguler Class Availability'!$G:$G,$Q449)&amp;""),0)=0),"Tutup",IF(IFERROR(--(INDEX('Reguler Class Availability'!$G:$G,$Q449)&amp;""),0)&gt;IFERROR(--(INDEX('Reguler Class Availability'!$F:$F,$Q449)&amp;""),0),"Lebih",IF(IFERROR(--(INDEX('Reguler Class Availability'!$G:$G,$Q449)&amp;""),0)=IFERROR(--(INDEX('Reguler Class Availability'!$F:$F,$Q449)&amp;""),0),"Penuh",IF(IFERROR(--(INDEX('Reguler Class Availability'!$G:$G,$Q449)&amp;""),0)=0,IF(INDEX('Reguler Class Availability'!$B:$B,$Q449)&amp;""="","Kosong","Belum terisi"),IF(IFERROR(--(INDEX('Reguler Class Availability'!$G:$G,$Q449)&amp;""),0)/IFERROR(--(INDEX('Reguler Class Availability'!$F:$F,$Q449)&amp;""),0)&gt;=0.6,"Tinggi","Sebagian"))))))</f>
        <v>Belum terisi</v>
      </c>
      <c r="F449" s="77" t="str">
        <f aca="false">IF($Q449="","",PROPER(INDEX('Reguler Class Availability'!$B:$B,$Q449)&amp;""))</f>
        <v>Baby</v>
      </c>
      <c r="G449" s="76" t="n">
        <f aca="false">IF($Q449="","",IFERROR(--(INDEX('Reguler Class Availability'!$F:$F,$Q449)&amp;""),0))</f>
        <v>5</v>
      </c>
      <c r="H449" s="77" t="str">
        <f aca="false">IF($Q449="","",PROPER(INDEX('Reguler Class Availability'!$I:$I,$Q449)&amp;"")&amp;IF(INDEX('Reguler Class Availability'!$J:$J,$Q449)&amp;""="",""," + asst "&amp;PROPER(INDEX('Reguler Class Availability'!$J:$J,$Q449)&amp;"")))</f>
        <v/>
      </c>
      <c r="I449" s="77" t="s">
        <v>554</v>
      </c>
      <c r="J449" s="77" t="s">
        <v>186</v>
      </c>
      <c r="K449" s="78"/>
      <c r="L449" s="78"/>
      <c r="M449" s="78"/>
      <c r="N449" s="79"/>
      <c r="O449" s="78"/>
      <c r="Q449" s="30" t="n">
        <f aca="false">IFERROR(MATCH($B$4&amp;"|- Lane "&amp;D449&amp;" - "&amp;B449&amp;"|"&amp;C449,'Reguler Class Availability'!$L:$L,0),"")</f>
        <v>2490</v>
      </c>
    </row>
    <row r="450" customFormat="false" ht="40.5" hidden="false" customHeight="true" outlineLevel="0" collapsed="false">
      <c r="A450" s="76" t="n">
        <v>324</v>
      </c>
      <c r="B450" s="77" t="s">
        <v>80</v>
      </c>
      <c r="C450" s="76" t="s">
        <v>146</v>
      </c>
      <c r="D450" s="76" t="n">
        <v>2</v>
      </c>
      <c r="E450" s="77" t="str">
        <f aca="false">IF($Q450="","Tidak ada di data",IF(AND(IFERROR(--(INDEX('Reguler Class Availability'!$F:$F,$Q450)&amp;""),0)=0,IFERROR(--(INDEX('Reguler Class Availability'!$G:$G,$Q450)&amp;""),0)=0),"Tutup",IF(IFERROR(--(INDEX('Reguler Class Availability'!$G:$G,$Q450)&amp;""),0)&gt;IFERROR(--(INDEX('Reguler Class Availability'!$F:$F,$Q450)&amp;""),0),"Lebih",IF(IFERROR(--(INDEX('Reguler Class Availability'!$G:$G,$Q450)&amp;""),0)=IFERROR(--(INDEX('Reguler Class Availability'!$F:$F,$Q450)&amp;""),0),"Penuh",IF(IFERROR(--(INDEX('Reguler Class Availability'!$G:$G,$Q450)&amp;""),0)=0,IF(INDEX('Reguler Class Availability'!$B:$B,$Q450)&amp;""="","Kosong","Belum terisi"),IF(IFERROR(--(INDEX('Reguler Class Availability'!$G:$G,$Q450)&amp;""),0)/IFERROR(--(INDEX('Reguler Class Availability'!$F:$F,$Q450)&amp;""),0)&gt;=0.6,"Tinggi","Sebagian"))))))</f>
        <v>Belum terisi</v>
      </c>
      <c r="F450" s="77" t="str">
        <f aca="false">IF($Q450="","",PROPER(INDEX('Reguler Class Availability'!$B:$B,$Q450)&amp;""))</f>
        <v>Tiny</v>
      </c>
      <c r="G450" s="76" t="n">
        <f aca="false">IF($Q450="","",IFERROR(--(INDEX('Reguler Class Availability'!$F:$F,$Q450)&amp;""),0))</f>
        <v>5</v>
      </c>
      <c r="H450" s="77" t="str">
        <f aca="false">IF($Q450="","",PROPER(INDEX('Reguler Class Availability'!$I:$I,$Q450)&amp;"")&amp;IF(INDEX('Reguler Class Availability'!$J:$J,$Q450)&amp;""="",""," + asst "&amp;PROPER(INDEX('Reguler Class Availability'!$J:$J,$Q450)&amp;"")))</f>
        <v/>
      </c>
      <c r="I450" s="77" t="s">
        <v>554</v>
      </c>
      <c r="J450" s="77" t="s">
        <v>186</v>
      </c>
      <c r="K450" s="78"/>
      <c r="L450" s="78"/>
      <c r="M450" s="78"/>
      <c r="N450" s="79"/>
      <c r="O450" s="78"/>
      <c r="Q450" s="30" t="n">
        <f aca="false">IFERROR(MATCH($B$4&amp;"|- Lane "&amp;D450&amp;" - "&amp;B450&amp;"|"&amp;C450,'Reguler Class Availability'!$L:$L,0),"")</f>
        <v>2588</v>
      </c>
    </row>
    <row r="451" customFormat="false" ht="40.5" hidden="false" customHeight="true" outlineLevel="0" collapsed="false">
      <c r="A451" s="76" t="n">
        <v>325</v>
      </c>
      <c r="B451" s="77" t="s">
        <v>80</v>
      </c>
      <c r="C451" s="76" t="s">
        <v>146</v>
      </c>
      <c r="D451" s="76" t="n">
        <v>5</v>
      </c>
      <c r="E451" s="77" t="str">
        <f aca="false">IF($Q451="","Tidak ada di data",IF(AND(IFERROR(--(INDEX('Reguler Class Availability'!$F:$F,$Q451)&amp;""),0)=0,IFERROR(--(INDEX('Reguler Class Availability'!$G:$G,$Q451)&amp;""),0)=0),"Tutup",IF(IFERROR(--(INDEX('Reguler Class Availability'!$G:$G,$Q451)&amp;""),0)&gt;IFERROR(--(INDEX('Reguler Class Availability'!$F:$F,$Q451)&amp;""),0),"Lebih",IF(IFERROR(--(INDEX('Reguler Class Availability'!$G:$G,$Q451)&amp;""),0)=IFERROR(--(INDEX('Reguler Class Availability'!$F:$F,$Q451)&amp;""),0),"Penuh",IF(IFERROR(--(INDEX('Reguler Class Availability'!$G:$G,$Q451)&amp;""),0)=0,IF(INDEX('Reguler Class Availability'!$B:$B,$Q451)&amp;""="","Kosong","Belum terisi"),IF(IFERROR(--(INDEX('Reguler Class Availability'!$G:$G,$Q451)&amp;""),0)/IFERROR(--(INDEX('Reguler Class Availability'!$F:$F,$Q451)&amp;""),0)&gt;=0.6,"Tinggi","Sebagian"))))))</f>
        <v>Kosong</v>
      </c>
      <c r="F451" s="77" t="str">
        <f aca="false">IF($Q451="","",PROPER(INDEX('Reguler Class Availability'!$B:$B,$Q451)&amp;""))</f>
        <v/>
      </c>
      <c r="G451" s="76" t="n">
        <f aca="false">IF($Q451="","",IFERROR(--(INDEX('Reguler Class Availability'!$F:$F,$Q451)&amp;""),0))</f>
        <v>4</v>
      </c>
      <c r="H451" s="77" t="str">
        <f aca="false">IF($Q451="","",PROPER(INDEX('Reguler Class Availability'!$I:$I,$Q451)&amp;"")&amp;IF(INDEX('Reguler Class Availability'!$J:$J,$Q451)&amp;""="",""," + asst "&amp;PROPER(INDEX('Reguler Class Availability'!$J:$J,$Q451)&amp;"")))</f>
        <v/>
      </c>
      <c r="I451" s="77" t="s">
        <v>554</v>
      </c>
      <c r="J451" s="77" t="s">
        <v>186</v>
      </c>
      <c r="K451" s="78"/>
      <c r="L451" s="78"/>
      <c r="M451" s="78"/>
      <c r="N451" s="79"/>
      <c r="O451" s="78"/>
      <c r="Q451" s="30" t="n">
        <f aca="false">IFERROR(MATCH($B$4&amp;"|- Lane "&amp;D451&amp;" - "&amp;B451&amp;"|"&amp;C451,'Reguler Class Availability'!$L:$L,0),"")</f>
        <v>2840</v>
      </c>
    </row>
    <row r="452" customFormat="false" ht="40.5" hidden="false" customHeight="true" outlineLevel="0" collapsed="false">
      <c r="A452" s="76" t="n">
        <v>326</v>
      </c>
      <c r="B452" s="77" t="s">
        <v>80</v>
      </c>
      <c r="C452" s="76" t="s">
        <v>147</v>
      </c>
      <c r="D452" s="76" t="n">
        <v>3</v>
      </c>
      <c r="E452" s="77" t="str">
        <f aca="false">IF($Q452="","Tidak ada di data",IF(AND(IFERROR(--(INDEX('Reguler Class Availability'!$F:$F,$Q452)&amp;""),0)=0,IFERROR(--(INDEX('Reguler Class Availability'!$G:$G,$Q452)&amp;""),0)=0),"Tutup",IF(IFERROR(--(INDEX('Reguler Class Availability'!$G:$G,$Q452)&amp;""),0)&gt;IFERROR(--(INDEX('Reguler Class Availability'!$F:$F,$Q452)&amp;""),0),"Lebih",IF(IFERROR(--(INDEX('Reguler Class Availability'!$G:$G,$Q452)&amp;""),0)=IFERROR(--(INDEX('Reguler Class Availability'!$F:$F,$Q452)&amp;""),0),"Penuh",IF(IFERROR(--(INDEX('Reguler Class Availability'!$G:$G,$Q452)&amp;""),0)=0,IF(INDEX('Reguler Class Availability'!$B:$B,$Q452)&amp;""="","Kosong","Belum terisi"),IF(IFERROR(--(INDEX('Reguler Class Availability'!$G:$G,$Q452)&amp;""),0)/IFERROR(--(INDEX('Reguler Class Availability'!$F:$F,$Q452)&amp;""),0)&gt;=0.6,"Tinggi","Sebagian"))))))</f>
        <v>Belum terisi</v>
      </c>
      <c r="F452" s="77" t="str">
        <f aca="false">IF($Q452="","",PROPER(INDEX('Reguler Class Availability'!$B:$B,$Q452)&amp;""))</f>
        <v>Little</v>
      </c>
      <c r="G452" s="76" t="n">
        <f aca="false">IF($Q452="","",IFERROR(--(INDEX('Reguler Class Availability'!$F:$F,$Q452)&amp;""),0))</f>
        <v>4</v>
      </c>
      <c r="H452" s="77" t="str">
        <f aca="false">IF($Q452="","",PROPER(INDEX('Reguler Class Availability'!$I:$I,$Q452)&amp;"")&amp;IF(INDEX('Reguler Class Availability'!$J:$J,$Q452)&amp;""="",""," + asst "&amp;PROPER(INDEX('Reguler Class Availability'!$J:$J,$Q452)&amp;"")))</f>
        <v/>
      </c>
      <c r="I452" s="77" t="s">
        <v>547</v>
      </c>
      <c r="J452" s="77" t="s">
        <v>186</v>
      </c>
      <c r="K452" s="78"/>
      <c r="L452" s="78"/>
      <c r="M452" s="78"/>
      <c r="N452" s="79"/>
      <c r="O452" s="78"/>
      <c r="Q452" s="30" t="n">
        <f aca="false">IFERROR(MATCH($B$4&amp;"|- Lane "&amp;D452&amp;" - "&amp;B452&amp;"|"&amp;C452,'Reguler Class Availability'!$L:$L,0),"")</f>
        <v>2672</v>
      </c>
    </row>
    <row r="453" customFormat="false" ht="40.5" hidden="false" customHeight="true" outlineLevel="0" collapsed="false">
      <c r="A453" s="76" t="n">
        <v>327</v>
      </c>
      <c r="B453" s="77" t="s">
        <v>80</v>
      </c>
      <c r="C453" s="76" t="s">
        <v>147</v>
      </c>
      <c r="D453" s="76" t="n">
        <v>4</v>
      </c>
      <c r="E453" s="77" t="str">
        <f aca="false">IF($Q453="","Tidak ada di data",IF(AND(IFERROR(--(INDEX('Reguler Class Availability'!$F:$F,$Q453)&amp;""),0)=0,IFERROR(--(INDEX('Reguler Class Availability'!$G:$G,$Q453)&amp;""),0)=0),"Tutup",IF(IFERROR(--(INDEX('Reguler Class Availability'!$G:$G,$Q453)&amp;""),0)&gt;IFERROR(--(INDEX('Reguler Class Availability'!$F:$F,$Q453)&amp;""),0),"Lebih",IF(IFERROR(--(INDEX('Reguler Class Availability'!$G:$G,$Q453)&amp;""),0)=IFERROR(--(INDEX('Reguler Class Availability'!$F:$F,$Q453)&amp;""),0),"Penuh",IF(IFERROR(--(INDEX('Reguler Class Availability'!$G:$G,$Q453)&amp;""),0)=0,IF(INDEX('Reguler Class Availability'!$B:$B,$Q453)&amp;""="","Kosong","Belum terisi"),IF(IFERROR(--(INDEX('Reguler Class Availability'!$G:$G,$Q453)&amp;""),0)/IFERROR(--(INDEX('Reguler Class Availability'!$F:$F,$Q453)&amp;""),0)&gt;=0.6,"Tinggi","Sebagian"))))))</f>
        <v>Belum terisi</v>
      </c>
      <c r="F453" s="77" t="str">
        <f aca="false">IF($Q453="","",PROPER(INDEX('Reguler Class Availability'!$B:$B,$Q453)&amp;""))</f>
        <v>Kids</v>
      </c>
      <c r="G453" s="76" t="n">
        <f aca="false">IF($Q453="","",IFERROR(--(INDEX('Reguler Class Availability'!$F:$F,$Q453)&amp;""),0))</f>
        <v>4</v>
      </c>
      <c r="H453" s="77" t="str">
        <f aca="false">IF($Q453="","",PROPER(INDEX('Reguler Class Availability'!$I:$I,$Q453)&amp;"")&amp;IF(INDEX('Reguler Class Availability'!$J:$J,$Q453)&amp;""="",""," + asst "&amp;PROPER(INDEX('Reguler Class Availability'!$J:$J,$Q453)&amp;"")))</f>
        <v/>
      </c>
      <c r="I453" s="77" t="s">
        <v>547</v>
      </c>
      <c r="J453" s="77" t="s">
        <v>186</v>
      </c>
      <c r="K453" s="78"/>
      <c r="L453" s="78"/>
      <c r="M453" s="78"/>
      <c r="N453" s="79"/>
      <c r="O453" s="78"/>
      <c r="Q453" s="30" t="n">
        <f aca="false">IFERROR(MATCH($B$4&amp;"|- Lane "&amp;D453&amp;" - "&amp;B453&amp;"|"&amp;C453,'Reguler Class Availability'!$L:$L,0),"")</f>
        <v>2756</v>
      </c>
    </row>
    <row r="454" customFormat="false" ht="40.5" hidden="false" customHeight="true" outlineLevel="0" collapsed="false">
      <c r="A454" s="76" t="n">
        <v>328</v>
      </c>
      <c r="B454" s="77" t="s">
        <v>80</v>
      </c>
      <c r="C454" s="76" t="s">
        <v>149</v>
      </c>
      <c r="D454" s="76" t="n">
        <v>1</v>
      </c>
      <c r="E454" s="77" t="str">
        <f aca="false">IF($Q454="","Tidak ada di data",IF(AND(IFERROR(--(INDEX('Reguler Class Availability'!$F:$F,$Q454)&amp;""),0)=0,IFERROR(--(INDEX('Reguler Class Availability'!$G:$G,$Q454)&amp;""),0)=0),"Tutup",IF(IFERROR(--(INDEX('Reguler Class Availability'!$G:$G,$Q454)&amp;""),0)&gt;IFERROR(--(INDEX('Reguler Class Availability'!$F:$F,$Q454)&amp;""),0),"Lebih",IF(IFERROR(--(INDEX('Reguler Class Availability'!$G:$G,$Q454)&amp;""),0)=IFERROR(--(INDEX('Reguler Class Availability'!$F:$F,$Q454)&amp;""),0),"Penuh",IF(IFERROR(--(INDEX('Reguler Class Availability'!$G:$G,$Q454)&amp;""),0)=0,IF(INDEX('Reguler Class Availability'!$B:$B,$Q454)&amp;""="","Kosong","Belum terisi"),IF(IFERROR(--(INDEX('Reguler Class Availability'!$G:$G,$Q454)&amp;""),0)/IFERROR(--(INDEX('Reguler Class Availability'!$F:$F,$Q454)&amp;""),0)&gt;=0.6,"Tinggi","Sebagian"))))))</f>
        <v>Belum terisi</v>
      </c>
      <c r="F454" s="77" t="str">
        <f aca="false">IF($Q454="","",PROPER(INDEX('Reguler Class Availability'!$B:$B,$Q454)&amp;""))</f>
        <v>Baby</v>
      </c>
      <c r="G454" s="76" t="n">
        <f aca="false">IF($Q454="","",IFERROR(--(INDEX('Reguler Class Availability'!$F:$F,$Q454)&amp;""),0))</f>
        <v>5</v>
      </c>
      <c r="H454" s="77" t="str">
        <f aca="false">IF($Q454="","",PROPER(INDEX('Reguler Class Availability'!$I:$I,$Q454)&amp;"")&amp;IF(INDEX('Reguler Class Availability'!$J:$J,$Q454)&amp;""="",""," + asst "&amp;PROPER(INDEX('Reguler Class Availability'!$J:$J,$Q454)&amp;"")))</f>
        <v/>
      </c>
      <c r="I454" s="77" t="s">
        <v>555</v>
      </c>
      <c r="J454" s="77" t="s">
        <v>186</v>
      </c>
      <c r="K454" s="78"/>
      <c r="L454" s="78"/>
      <c r="M454" s="78"/>
      <c r="N454" s="79"/>
      <c r="O454" s="78"/>
      <c r="Q454" s="30" t="n">
        <f aca="false">IFERROR(MATCH($B$4&amp;"|- Lane "&amp;D454&amp;" - "&amp;B454&amp;"|"&amp;C454,'Reguler Class Availability'!$L:$L,0),"")</f>
        <v>2491</v>
      </c>
    </row>
    <row r="455" customFormat="false" ht="40.5" hidden="false" customHeight="true" outlineLevel="0" collapsed="false">
      <c r="A455" s="76" t="n">
        <v>329</v>
      </c>
      <c r="B455" s="77" t="s">
        <v>80</v>
      </c>
      <c r="C455" s="76" t="s">
        <v>149</v>
      </c>
      <c r="D455" s="76" t="n">
        <v>2</v>
      </c>
      <c r="E455" s="77" t="str">
        <f aca="false">IF($Q455="","Tidak ada di data",IF(AND(IFERROR(--(INDEX('Reguler Class Availability'!$F:$F,$Q455)&amp;""),0)=0,IFERROR(--(INDEX('Reguler Class Availability'!$G:$G,$Q455)&amp;""),0)=0),"Tutup",IF(IFERROR(--(INDEX('Reguler Class Availability'!$G:$G,$Q455)&amp;""),0)&gt;IFERROR(--(INDEX('Reguler Class Availability'!$F:$F,$Q455)&amp;""),0),"Lebih",IF(IFERROR(--(INDEX('Reguler Class Availability'!$G:$G,$Q455)&amp;""),0)=IFERROR(--(INDEX('Reguler Class Availability'!$F:$F,$Q455)&amp;""),0),"Penuh",IF(IFERROR(--(INDEX('Reguler Class Availability'!$G:$G,$Q455)&amp;""),0)=0,IF(INDEX('Reguler Class Availability'!$B:$B,$Q455)&amp;""="","Kosong","Belum terisi"),IF(IFERROR(--(INDEX('Reguler Class Availability'!$G:$G,$Q455)&amp;""),0)/IFERROR(--(INDEX('Reguler Class Availability'!$F:$F,$Q455)&amp;""),0)&gt;=0.6,"Tinggi","Sebagian"))))))</f>
        <v>Belum terisi</v>
      </c>
      <c r="F455" s="77" t="str">
        <f aca="false">IF($Q455="","",PROPER(INDEX('Reguler Class Availability'!$B:$B,$Q455)&amp;""))</f>
        <v>Tiny</v>
      </c>
      <c r="G455" s="76" t="n">
        <f aca="false">IF($Q455="","",IFERROR(--(INDEX('Reguler Class Availability'!$F:$F,$Q455)&amp;""),0))</f>
        <v>5</v>
      </c>
      <c r="H455" s="77" t="str">
        <f aca="false">IF($Q455="","",PROPER(INDEX('Reguler Class Availability'!$I:$I,$Q455)&amp;"")&amp;IF(INDEX('Reguler Class Availability'!$J:$J,$Q455)&amp;""="",""," + asst "&amp;PROPER(INDEX('Reguler Class Availability'!$J:$J,$Q455)&amp;"")))</f>
        <v/>
      </c>
      <c r="I455" s="77" t="s">
        <v>555</v>
      </c>
      <c r="J455" s="77" t="s">
        <v>186</v>
      </c>
      <c r="K455" s="78"/>
      <c r="L455" s="78"/>
      <c r="M455" s="78"/>
      <c r="N455" s="79"/>
      <c r="O455" s="78"/>
      <c r="Q455" s="30" t="n">
        <f aca="false">IFERROR(MATCH($B$4&amp;"|- Lane "&amp;D455&amp;" - "&amp;B455&amp;"|"&amp;C455,'Reguler Class Availability'!$L:$L,0),"")</f>
        <v>2589</v>
      </c>
    </row>
    <row r="456" customFormat="false" ht="40.5" hidden="false" customHeight="true" outlineLevel="0" collapsed="false">
      <c r="A456" s="76" t="n">
        <v>330</v>
      </c>
      <c r="B456" s="77" t="s">
        <v>80</v>
      </c>
      <c r="C456" s="76" t="s">
        <v>149</v>
      </c>
      <c r="D456" s="76" t="n">
        <v>5</v>
      </c>
      <c r="E456" s="77" t="str">
        <f aca="false">IF($Q456="","Tidak ada di data",IF(AND(IFERROR(--(INDEX('Reguler Class Availability'!$F:$F,$Q456)&amp;""),0)=0,IFERROR(--(INDEX('Reguler Class Availability'!$G:$G,$Q456)&amp;""),0)=0),"Tutup",IF(IFERROR(--(INDEX('Reguler Class Availability'!$G:$G,$Q456)&amp;""),0)&gt;IFERROR(--(INDEX('Reguler Class Availability'!$F:$F,$Q456)&amp;""),0),"Lebih",IF(IFERROR(--(INDEX('Reguler Class Availability'!$G:$G,$Q456)&amp;""),0)=IFERROR(--(INDEX('Reguler Class Availability'!$F:$F,$Q456)&amp;""),0),"Penuh",IF(IFERROR(--(INDEX('Reguler Class Availability'!$G:$G,$Q456)&amp;""),0)=0,IF(INDEX('Reguler Class Availability'!$B:$B,$Q456)&amp;""="","Kosong","Belum terisi"),IF(IFERROR(--(INDEX('Reguler Class Availability'!$G:$G,$Q456)&amp;""),0)/IFERROR(--(INDEX('Reguler Class Availability'!$F:$F,$Q456)&amp;""),0)&gt;=0.6,"Tinggi","Sebagian"))))))</f>
        <v>Kosong</v>
      </c>
      <c r="F456" s="77" t="str">
        <f aca="false">IF($Q456="","",PROPER(INDEX('Reguler Class Availability'!$B:$B,$Q456)&amp;""))</f>
        <v/>
      </c>
      <c r="G456" s="76" t="n">
        <f aca="false">IF($Q456="","",IFERROR(--(INDEX('Reguler Class Availability'!$F:$F,$Q456)&amp;""),0))</f>
        <v>4</v>
      </c>
      <c r="H456" s="77" t="str">
        <f aca="false">IF($Q456="","",PROPER(INDEX('Reguler Class Availability'!$I:$I,$Q456)&amp;"")&amp;IF(INDEX('Reguler Class Availability'!$J:$J,$Q456)&amp;""="",""," + asst "&amp;PROPER(INDEX('Reguler Class Availability'!$J:$J,$Q456)&amp;"")))</f>
        <v/>
      </c>
      <c r="I456" s="77" t="s">
        <v>555</v>
      </c>
      <c r="J456" s="77" t="s">
        <v>186</v>
      </c>
      <c r="K456" s="78"/>
      <c r="L456" s="78"/>
      <c r="M456" s="78"/>
      <c r="N456" s="79"/>
      <c r="O456" s="78"/>
      <c r="Q456" s="30" t="n">
        <f aca="false">IFERROR(MATCH($B$4&amp;"|- Lane "&amp;D456&amp;" - "&amp;B456&amp;"|"&amp;C456,'Reguler Class Availability'!$L:$L,0),"")</f>
        <v>2841</v>
      </c>
    </row>
    <row r="457" customFormat="false" ht="40.5" hidden="false" customHeight="true" outlineLevel="0" collapsed="false">
      <c r="A457" s="76" t="n">
        <v>331</v>
      </c>
      <c r="B457" s="77" t="s">
        <v>80</v>
      </c>
      <c r="C457" s="76" t="s">
        <v>150</v>
      </c>
      <c r="D457" s="76" t="n">
        <v>4</v>
      </c>
      <c r="E457" s="77" t="str">
        <f aca="false">IF($Q457="","Tidak ada di data",IF(AND(IFERROR(--(INDEX('Reguler Class Availability'!$F:$F,$Q457)&amp;""),0)=0,IFERROR(--(INDEX('Reguler Class Availability'!$G:$G,$Q457)&amp;""),0)=0),"Tutup",IF(IFERROR(--(INDEX('Reguler Class Availability'!$G:$G,$Q457)&amp;""),0)&gt;IFERROR(--(INDEX('Reguler Class Availability'!$F:$F,$Q457)&amp;""),0),"Lebih",IF(IFERROR(--(INDEX('Reguler Class Availability'!$G:$G,$Q457)&amp;""),0)=IFERROR(--(INDEX('Reguler Class Availability'!$F:$F,$Q457)&amp;""),0),"Penuh",IF(IFERROR(--(INDEX('Reguler Class Availability'!$G:$G,$Q457)&amp;""),0)=0,IF(INDEX('Reguler Class Availability'!$B:$B,$Q457)&amp;""="","Kosong","Belum terisi"),IF(IFERROR(--(INDEX('Reguler Class Availability'!$G:$G,$Q457)&amp;""),0)/IFERROR(--(INDEX('Reguler Class Availability'!$F:$F,$Q457)&amp;""),0)&gt;=0.6,"Tinggi","Sebagian"))))))</f>
        <v>Belum terisi</v>
      </c>
      <c r="F457" s="77" t="str">
        <f aca="false">IF($Q457="","",PROPER(INDEX('Reguler Class Availability'!$B:$B,$Q457)&amp;""))</f>
        <v>Kids</v>
      </c>
      <c r="G457" s="76" t="n">
        <f aca="false">IF($Q457="","",IFERROR(--(INDEX('Reguler Class Availability'!$F:$F,$Q457)&amp;""),0))</f>
        <v>4</v>
      </c>
      <c r="H457" s="77" t="str">
        <f aca="false">IF($Q457="","",PROPER(INDEX('Reguler Class Availability'!$I:$I,$Q457)&amp;"")&amp;IF(INDEX('Reguler Class Availability'!$J:$J,$Q457)&amp;""="",""," + asst "&amp;PROPER(INDEX('Reguler Class Availability'!$J:$J,$Q457)&amp;"")))</f>
        <v/>
      </c>
      <c r="I457" s="77" t="s">
        <v>544</v>
      </c>
      <c r="J457" s="77" t="s">
        <v>186</v>
      </c>
      <c r="K457" s="78"/>
      <c r="L457" s="78"/>
      <c r="M457" s="78"/>
      <c r="N457" s="79"/>
      <c r="O457" s="78"/>
      <c r="Q457" s="30" t="n">
        <f aca="false">IFERROR(MATCH($B$4&amp;"|- Lane "&amp;D457&amp;" - "&amp;B457&amp;"|"&amp;C457,'Reguler Class Availability'!$L:$L,0),"")</f>
        <v>2757</v>
      </c>
    </row>
    <row r="458" customFormat="false" ht="40.5" hidden="false" customHeight="true" outlineLevel="0" collapsed="false">
      <c r="A458" s="76" t="n">
        <v>332</v>
      </c>
      <c r="B458" s="77" t="s">
        <v>80</v>
      </c>
      <c r="C458" s="76" t="s">
        <v>152</v>
      </c>
      <c r="D458" s="76" t="n">
        <v>1</v>
      </c>
      <c r="E458" s="77" t="str">
        <f aca="false">IF($Q458="","Tidak ada di data",IF(AND(IFERROR(--(INDEX('Reguler Class Availability'!$F:$F,$Q458)&amp;""),0)=0,IFERROR(--(INDEX('Reguler Class Availability'!$G:$G,$Q458)&amp;""),0)=0),"Tutup",IF(IFERROR(--(INDEX('Reguler Class Availability'!$G:$G,$Q458)&amp;""),0)&gt;IFERROR(--(INDEX('Reguler Class Availability'!$F:$F,$Q458)&amp;""),0),"Lebih",IF(IFERROR(--(INDEX('Reguler Class Availability'!$G:$G,$Q458)&amp;""),0)=IFERROR(--(INDEX('Reguler Class Availability'!$F:$F,$Q458)&amp;""),0),"Penuh",IF(IFERROR(--(INDEX('Reguler Class Availability'!$G:$G,$Q458)&amp;""),0)=0,IF(INDEX('Reguler Class Availability'!$B:$B,$Q458)&amp;""="","Kosong","Belum terisi"),IF(IFERROR(--(INDEX('Reguler Class Availability'!$G:$G,$Q458)&amp;""),0)/IFERROR(--(INDEX('Reguler Class Availability'!$F:$F,$Q458)&amp;""),0)&gt;=0.6,"Tinggi","Sebagian"))))))</f>
        <v>Belum terisi</v>
      </c>
      <c r="F458" s="77" t="str">
        <f aca="false">IF($Q458="","",PROPER(INDEX('Reguler Class Availability'!$B:$B,$Q458)&amp;""))</f>
        <v>Baby</v>
      </c>
      <c r="G458" s="76" t="n">
        <f aca="false">IF($Q458="","",IFERROR(--(INDEX('Reguler Class Availability'!$F:$F,$Q458)&amp;""),0))</f>
        <v>5</v>
      </c>
      <c r="H458" s="77" t="str">
        <f aca="false">IF($Q458="","",PROPER(INDEX('Reguler Class Availability'!$I:$I,$Q458)&amp;"")&amp;IF(INDEX('Reguler Class Availability'!$J:$J,$Q458)&amp;""="",""," + asst "&amp;PROPER(INDEX('Reguler Class Availability'!$J:$J,$Q458)&amp;"")))</f>
        <v/>
      </c>
      <c r="I458" s="77" t="s">
        <v>544</v>
      </c>
      <c r="J458" s="77" t="s">
        <v>186</v>
      </c>
      <c r="K458" s="78"/>
      <c r="L458" s="78"/>
      <c r="M458" s="78"/>
      <c r="N458" s="79"/>
      <c r="O458" s="78"/>
      <c r="Q458" s="30" t="n">
        <f aca="false">IFERROR(MATCH($B$4&amp;"|- Lane "&amp;D458&amp;" - "&amp;B458&amp;"|"&amp;C458,'Reguler Class Availability'!$L:$L,0),"")</f>
        <v>2492</v>
      </c>
    </row>
    <row r="459" customFormat="false" ht="40.5" hidden="false" customHeight="true" outlineLevel="0" collapsed="false">
      <c r="A459" s="76" t="n">
        <v>333</v>
      </c>
      <c r="B459" s="77" t="s">
        <v>80</v>
      </c>
      <c r="C459" s="76" t="s">
        <v>152</v>
      </c>
      <c r="D459" s="76" t="n">
        <v>2</v>
      </c>
      <c r="E459" s="77" t="str">
        <f aca="false">IF($Q459="","Tidak ada di data",IF(AND(IFERROR(--(INDEX('Reguler Class Availability'!$F:$F,$Q459)&amp;""),0)=0,IFERROR(--(INDEX('Reguler Class Availability'!$G:$G,$Q459)&amp;""),0)=0),"Tutup",IF(IFERROR(--(INDEX('Reguler Class Availability'!$G:$G,$Q459)&amp;""),0)&gt;IFERROR(--(INDEX('Reguler Class Availability'!$F:$F,$Q459)&amp;""),0),"Lebih",IF(IFERROR(--(INDEX('Reguler Class Availability'!$G:$G,$Q459)&amp;""),0)=IFERROR(--(INDEX('Reguler Class Availability'!$F:$F,$Q459)&amp;""),0),"Penuh",IF(IFERROR(--(INDEX('Reguler Class Availability'!$G:$G,$Q459)&amp;""),0)=0,IF(INDEX('Reguler Class Availability'!$B:$B,$Q459)&amp;""="","Kosong","Belum terisi"),IF(IFERROR(--(INDEX('Reguler Class Availability'!$G:$G,$Q459)&amp;""),0)/IFERROR(--(INDEX('Reguler Class Availability'!$F:$F,$Q459)&amp;""),0)&gt;=0.6,"Tinggi","Sebagian"))))))</f>
        <v>Belum terisi</v>
      </c>
      <c r="F459" s="77" t="str">
        <f aca="false">IF($Q459="","",PROPER(INDEX('Reguler Class Availability'!$B:$B,$Q459)&amp;""))</f>
        <v>Tiny</v>
      </c>
      <c r="G459" s="76" t="n">
        <f aca="false">IF($Q459="","",IFERROR(--(INDEX('Reguler Class Availability'!$F:$F,$Q459)&amp;""),0))</f>
        <v>5</v>
      </c>
      <c r="H459" s="77" t="str">
        <f aca="false">IF($Q459="","",PROPER(INDEX('Reguler Class Availability'!$I:$I,$Q459)&amp;"")&amp;IF(INDEX('Reguler Class Availability'!$J:$J,$Q459)&amp;""="",""," + asst "&amp;PROPER(INDEX('Reguler Class Availability'!$J:$J,$Q459)&amp;"")))</f>
        <v/>
      </c>
      <c r="I459" s="77" t="s">
        <v>544</v>
      </c>
      <c r="J459" s="77" t="s">
        <v>186</v>
      </c>
      <c r="K459" s="78"/>
      <c r="L459" s="78"/>
      <c r="M459" s="78"/>
      <c r="N459" s="79"/>
      <c r="O459" s="78"/>
      <c r="Q459" s="30" t="n">
        <f aca="false">IFERROR(MATCH($B$4&amp;"|- Lane "&amp;D459&amp;" - "&amp;B459&amp;"|"&amp;C459,'Reguler Class Availability'!$L:$L,0),"")</f>
        <v>2590</v>
      </c>
    </row>
    <row r="460" customFormat="false" ht="40.5" hidden="false" customHeight="true" outlineLevel="0" collapsed="false">
      <c r="A460" s="76" t="n">
        <v>334</v>
      </c>
      <c r="B460" s="77" t="s">
        <v>80</v>
      </c>
      <c r="C460" s="76" t="s">
        <v>152</v>
      </c>
      <c r="D460" s="76" t="n">
        <v>5</v>
      </c>
      <c r="E460" s="77" t="str">
        <f aca="false">IF($Q460="","Tidak ada di data",IF(AND(IFERROR(--(INDEX('Reguler Class Availability'!$F:$F,$Q460)&amp;""),0)=0,IFERROR(--(INDEX('Reguler Class Availability'!$G:$G,$Q460)&amp;""),0)=0),"Tutup",IF(IFERROR(--(INDEX('Reguler Class Availability'!$G:$G,$Q460)&amp;""),0)&gt;IFERROR(--(INDEX('Reguler Class Availability'!$F:$F,$Q460)&amp;""),0),"Lebih",IF(IFERROR(--(INDEX('Reguler Class Availability'!$G:$G,$Q460)&amp;""),0)=IFERROR(--(INDEX('Reguler Class Availability'!$F:$F,$Q460)&amp;""),0),"Penuh",IF(IFERROR(--(INDEX('Reguler Class Availability'!$G:$G,$Q460)&amp;""),0)=0,IF(INDEX('Reguler Class Availability'!$B:$B,$Q460)&amp;""="","Kosong","Belum terisi"),IF(IFERROR(--(INDEX('Reguler Class Availability'!$G:$G,$Q460)&amp;""),0)/IFERROR(--(INDEX('Reguler Class Availability'!$F:$F,$Q460)&amp;""),0)&gt;=0.6,"Tinggi","Sebagian"))))))</f>
        <v>Kosong</v>
      </c>
      <c r="F460" s="77" t="str">
        <f aca="false">IF($Q460="","",PROPER(INDEX('Reguler Class Availability'!$B:$B,$Q460)&amp;""))</f>
        <v/>
      </c>
      <c r="G460" s="76" t="n">
        <f aca="false">IF($Q460="","",IFERROR(--(INDEX('Reguler Class Availability'!$F:$F,$Q460)&amp;""),0))</f>
        <v>4</v>
      </c>
      <c r="H460" s="77" t="str">
        <f aca="false">IF($Q460="","",PROPER(INDEX('Reguler Class Availability'!$I:$I,$Q460)&amp;"")&amp;IF(INDEX('Reguler Class Availability'!$J:$J,$Q460)&amp;""="",""," + asst "&amp;PROPER(INDEX('Reguler Class Availability'!$J:$J,$Q460)&amp;"")))</f>
        <v/>
      </c>
      <c r="I460" s="77" t="s">
        <v>544</v>
      </c>
      <c r="J460" s="77" t="s">
        <v>186</v>
      </c>
      <c r="K460" s="78"/>
      <c r="L460" s="78"/>
      <c r="M460" s="78"/>
      <c r="N460" s="79"/>
      <c r="O460" s="78"/>
      <c r="Q460" s="30" t="n">
        <f aca="false">IFERROR(MATCH($B$4&amp;"|- Lane "&amp;D460&amp;" - "&amp;B460&amp;"|"&amp;C460,'Reguler Class Availability'!$L:$L,0),"")</f>
        <v>2842</v>
      </c>
    </row>
    <row r="461" customFormat="false" ht="40.5" hidden="false" customHeight="true" outlineLevel="0" collapsed="false">
      <c r="A461" s="76" t="n">
        <v>335</v>
      </c>
      <c r="B461" s="77" t="s">
        <v>80</v>
      </c>
      <c r="C461" s="76" t="s">
        <v>153</v>
      </c>
      <c r="D461" s="76" t="n">
        <v>3</v>
      </c>
      <c r="E461" s="77" t="str">
        <f aca="false">IF($Q461="","Tidak ada di data",IF(AND(IFERROR(--(INDEX('Reguler Class Availability'!$F:$F,$Q461)&amp;""),0)=0,IFERROR(--(INDEX('Reguler Class Availability'!$G:$G,$Q461)&amp;""),0)=0),"Tutup",IF(IFERROR(--(INDEX('Reguler Class Availability'!$G:$G,$Q461)&amp;""),0)&gt;IFERROR(--(INDEX('Reguler Class Availability'!$F:$F,$Q461)&amp;""),0),"Lebih",IF(IFERROR(--(INDEX('Reguler Class Availability'!$G:$G,$Q461)&amp;""),0)=IFERROR(--(INDEX('Reguler Class Availability'!$F:$F,$Q461)&amp;""),0),"Penuh",IF(IFERROR(--(INDEX('Reguler Class Availability'!$G:$G,$Q461)&amp;""),0)=0,IF(INDEX('Reguler Class Availability'!$B:$B,$Q461)&amp;""="","Kosong","Belum terisi"),IF(IFERROR(--(INDEX('Reguler Class Availability'!$G:$G,$Q461)&amp;""),0)/IFERROR(--(INDEX('Reguler Class Availability'!$F:$F,$Q461)&amp;""),0)&gt;=0.6,"Tinggi","Sebagian"))))))</f>
        <v>Belum terisi</v>
      </c>
      <c r="F461" s="77" t="str">
        <f aca="false">IF($Q461="","",PROPER(INDEX('Reguler Class Availability'!$B:$B,$Q461)&amp;""))</f>
        <v>Little</v>
      </c>
      <c r="G461" s="76" t="n">
        <f aca="false">IF($Q461="","",IFERROR(--(INDEX('Reguler Class Availability'!$F:$F,$Q461)&amp;""),0))</f>
        <v>4</v>
      </c>
      <c r="H461" s="77" t="str">
        <f aca="false">IF($Q461="","",PROPER(INDEX('Reguler Class Availability'!$I:$I,$Q461)&amp;"")&amp;IF(INDEX('Reguler Class Availability'!$J:$J,$Q461)&amp;""="",""," + asst "&amp;PROPER(INDEX('Reguler Class Availability'!$J:$J,$Q461)&amp;"")))</f>
        <v/>
      </c>
      <c r="I461" s="77" t="s">
        <v>544</v>
      </c>
      <c r="J461" s="77" t="s">
        <v>186</v>
      </c>
      <c r="K461" s="78"/>
      <c r="L461" s="78"/>
      <c r="M461" s="78"/>
      <c r="N461" s="79"/>
      <c r="O461" s="78"/>
      <c r="Q461" s="30" t="n">
        <f aca="false">IFERROR(MATCH($B$4&amp;"|- Lane "&amp;D461&amp;" - "&amp;B461&amp;"|"&amp;C461,'Reguler Class Availability'!$L:$L,0),"")</f>
        <v>2674</v>
      </c>
    </row>
    <row r="462" customFormat="false" ht="40.5" hidden="false" customHeight="true" outlineLevel="0" collapsed="false">
      <c r="A462" s="76" t="n">
        <v>336</v>
      </c>
      <c r="B462" s="77" t="s">
        <v>80</v>
      </c>
      <c r="C462" s="76" t="s">
        <v>155</v>
      </c>
      <c r="D462" s="76" t="n">
        <v>1</v>
      </c>
      <c r="E462" s="77" t="str">
        <f aca="false">IF($Q462="","Tidak ada di data",IF(AND(IFERROR(--(INDEX('Reguler Class Availability'!$F:$F,$Q462)&amp;""),0)=0,IFERROR(--(INDEX('Reguler Class Availability'!$G:$G,$Q462)&amp;""),0)=0),"Tutup",IF(IFERROR(--(INDEX('Reguler Class Availability'!$G:$G,$Q462)&amp;""),0)&gt;IFERROR(--(INDEX('Reguler Class Availability'!$F:$F,$Q462)&amp;""),0),"Lebih",IF(IFERROR(--(INDEX('Reguler Class Availability'!$G:$G,$Q462)&amp;""),0)=IFERROR(--(INDEX('Reguler Class Availability'!$F:$F,$Q462)&amp;""),0),"Penuh",IF(IFERROR(--(INDEX('Reguler Class Availability'!$G:$G,$Q462)&amp;""),0)=0,IF(INDEX('Reguler Class Availability'!$B:$B,$Q462)&amp;""="","Kosong","Belum terisi"),IF(IFERROR(--(INDEX('Reguler Class Availability'!$G:$G,$Q462)&amp;""),0)/IFERROR(--(INDEX('Reguler Class Availability'!$F:$F,$Q462)&amp;""),0)&gt;=0.6,"Tinggi","Sebagian"))))))</f>
        <v>Belum terisi</v>
      </c>
      <c r="F462" s="77" t="str">
        <f aca="false">IF($Q462="","",PROPER(INDEX('Reguler Class Availability'!$B:$B,$Q462)&amp;""))</f>
        <v>Baby</v>
      </c>
      <c r="G462" s="76" t="n">
        <f aca="false">IF($Q462="","",IFERROR(--(INDEX('Reguler Class Availability'!$F:$F,$Q462)&amp;""),0))</f>
        <v>5</v>
      </c>
      <c r="H462" s="77" t="str">
        <f aca="false">IF($Q462="","",PROPER(INDEX('Reguler Class Availability'!$I:$I,$Q462)&amp;"")&amp;IF(INDEX('Reguler Class Availability'!$J:$J,$Q462)&amp;""="",""," + asst "&amp;PROPER(INDEX('Reguler Class Availability'!$J:$J,$Q462)&amp;"")))</f>
        <v/>
      </c>
      <c r="I462" s="77" t="s">
        <v>555</v>
      </c>
      <c r="J462" s="77" t="s">
        <v>186</v>
      </c>
      <c r="K462" s="78"/>
      <c r="L462" s="78"/>
      <c r="M462" s="78"/>
      <c r="N462" s="79"/>
      <c r="O462" s="78"/>
      <c r="Q462" s="30" t="n">
        <f aca="false">IFERROR(MATCH($B$4&amp;"|- Lane "&amp;D462&amp;" - "&amp;B462&amp;"|"&amp;C462,'Reguler Class Availability'!$L:$L,0),"")</f>
        <v>2493</v>
      </c>
    </row>
    <row r="463" customFormat="false" ht="40.5" hidden="false" customHeight="true" outlineLevel="0" collapsed="false">
      <c r="A463" s="76" t="n">
        <v>337</v>
      </c>
      <c r="B463" s="77" t="s">
        <v>80</v>
      </c>
      <c r="C463" s="76" t="s">
        <v>155</v>
      </c>
      <c r="D463" s="76" t="n">
        <v>2</v>
      </c>
      <c r="E463" s="77" t="str">
        <f aca="false">IF($Q463="","Tidak ada di data",IF(AND(IFERROR(--(INDEX('Reguler Class Availability'!$F:$F,$Q463)&amp;""),0)=0,IFERROR(--(INDEX('Reguler Class Availability'!$G:$G,$Q463)&amp;""),0)=0),"Tutup",IF(IFERROR(--(INDEX('Reguler Class Availability'!$G:$G,$Q463)&amp;""),0)&gt;IFERROR(--(INDEX('Reguler Class Availability'!$F:$F,$Q463)&amp;""),0),"Lebih",IF(IFERROR(--(INDEX('Reguler Class Availability'!$G:$G,$Q463)&amp;""),0)=IFERROR(--(INDEX('Reguler Class Availability'!$F:$F,$Q463)&amp;""),0),"Penuh",IF(IFERROR(--(INDEX('Reguler Class Availability'!$G:$G,$Q463)&amp;""),0)=0,IF(INDEX('Reguler Class Availability'!$B:$B,$Q463)&amp;""="","Kosong","Belum terisi"),IF(IFERROR(--(INDEX('Reguler Class Availability'!$G:$G,$Q463)&amp;""),0)/IFERROR(--(INDEX('Reguler Class Availability'!$F:$F,$Q463)&amp;""),0)&gt;=0.6,"Tinggi","Sebagian"))))))</f>
        <v>Belum terisi</v>
      </c>
      <c r="F463" s="77" t="str">
        <f aca="false">IF($Q463="","",PROPER(INDEX('Reguler Class Availability'!$B:$B,$Q463)&amp;""))</f>
        <v>Tiny</v>
      </c>
      <c r="G463" s="76" t="n">
        <f aca="false">IF($Q463="","",IFERROR(--(INDEX('Reguler Class Availability'!$F:$F,$Q463)&amp;""),0))</f>
        <v>5</v>
      </c>
      <c r="H463" s="77" t="str">
        <f aca="false">IF($Q463="","",PROPER(INDEX('Reguler Class Availability'!$I:$I,$Q463)&amp;"")&amp;IF(INDEX('Reguler Class Availability'!$J:$J,$Q463)&amp;""="",""," + asst "&amp;PROPER(INDEX('Reguler Class Availability'!$J:$J,$Q463)&amp;"")))</f>
        <v/>
      </c>
      <c r="I463" s="77" t="s">
        <v>555</v>
      </c>
      <c r="J463" s="77" t="s">
        <v>186</v>
      </c>
      <c r="K463" s="78"/>
      <c r="L463" s="78"/>
      <c r="M463" s="78"/>
      <c r="N463" s="79"/>
      <c r="O463" s="78"/>
      <c r="Q463" s="30" t="n">
        <f aca="false">IFERROR(MATCH($B$4&amp;"|- Lane "&amp;D463&amp;" - "&amp;B463&amp;"|"&amp;C463,'Reguler Class Availability'!$L:$L,0),"")</f>
        <v>2591</v>
      </c>
    </row>
    <row r="464" customFormat="false" ht="40.5" hidden="false" customHeight="true" outlineLevel="0" collapsed="false">
      <c r="A464" s="76" t="n">
        <v>338</v>
      </c>
      <c r="B464" s="77" t="s">
        <v>80</v>
      </c>
      <c r="C464" s="76" t="s">
        <v>155</v>
      </c>
      <c r="D464" s="76" t="n">
        <v>5</v>
      </c>
      <c r="E464" s="77" t="str">
        <f aca="false">IF($Q464="","Tidak ada di data",IF(AND(IFERROR(--(INDEX('Reguler Class Availability'!$F:$F,$Q464)&amp;""),0)=0,IFERROR(--(INDEX('Reguler Class Availability'!$G:$G,$Q464)&amp;""),0)=0),"Tutup",IF(IFERROR(--(INDEX('Reguler Class Availability'!$G:$G,$Q464)&amp;""),0)&gt;IFERROR(--(INDEX('Reguler Class Availability'!$F:$F,$Q464)&amp;""),0),"Lebih",IF(IFERROR(--(INDEX('Reguler Class Availability'!$G:$G,$Q464)&amp;""),0)=IFERROR(--(INDEX('Reguler Class Availability'!$F:$F,$Q464)&amp;""),0),"Penuh",IF(IFERROR(--(INDEX('Reguler Class Availability'!$G:$G,$Q464)&amp;""),0)=0,IF(INDEX('Reguler Class Availability'!$B:$B,$Q464)&amp;""="","Kosong","Belum terisi"),IF(IFERROR(--(INDEX('Reguler Class Availability'!$G:$G,$Q464)&amp;""),0)/IFERROR(--(INDEX('Reguler Class Availability'!$F:$F,$Q464)&amp;""),0)&gt;=0.6,"Tinggi","Sebagian"))))))</f>
        <v>Kosong</v>
      </c>
      <c r="F464" s="77" t="str">
        <f aca="false">IF($Q464="","",PROPER(INDEX('Reguler Class Availability'!$B:$B,$Q464)&amp;""))</f>
        <v/>
      </c>
      <c r="G464" s="76" t="n">
        <f aca="false">IF($Q464="","",IFERROR(--(INDEX('Reguler Class Availability'!$F:$F,$Q464)&amp;""),0))</f>
        <v>4</v>
      </c>
      <c r="H464" s="77" t="str">
        <f aca="false">IF($Q464="","",PROPER(INDEX('Reguler Class Availability'!$I:$I,$Q464)&amp;"")&amp;IF(INDEX('Reguler Class Availability'!$J:$J,$Q464)&amp;""="",""," + asst "&amp;PROPER(INDEX('Reguler Class Availability'!$J:$J,$Q464)&amp;"")))</f>
        <v/>
      </c>
      <c r="I464" s="77" t="s">
        <v>555</v>
      </c>
      <c r="J464" s="77" t="s">
        <v>186</v>
      </c>
      <c r="K464" s="78"/>
      <c r="L464" s="78"/>
      <c r="M464" s="78"/>
      <c r="N464" s="79"/>
      <c r="O464" s="78"/>
      <c r="Q464" s="30" t="n">
        <f aca="false">IFERROR(MATCH($B$4&amp;"|- Lane "&amp;D464&amp;" - "&amp;B464&amp;"|"&amp;C464,'Reguler Class Availability'!$L:$L,0),"")</f>
        <v>2843</v>
      </c>
    </row>
    <row r="465" customFormat="false" ht="40.5" hidden="false" customHeight="true" outlineLevel="0" collapsed="false">
      <c r="A465" s="76" t="n">
        <v>339</v>
      </c>
      <c r="B465" s="77" t="s">
        <v>80</v>
      </c>
      <c r="C465" s="76" t="s">
        <v>156</v>
      </c>
      <c r="D465" s="76" t="n">
        <v>3</v>
      </c>
      <c r="E465" s="77" t="str">
        <f aca="false">IF($Q465="","Tidak ada di data",IF(AND(IFERROR(--(INDEX('Reguler Class Availability'!$F:$F,$Q465)&amp;""),0)=0,IFERROR(--(INDEX('Reguler Class Availability'!$G:$G,$Q465)&amp;""),0)=0),"Tutup",IF(IFERROR(--(INDEX('Reguler Class Availability'!$G:$G,$Q465)&amp;""),0)&gt;IFERROR(--(INDEX('Reguler Class Availability'!$F:$F,$Q465)&amp;""),0),"Lebih",IF(IFERROR(--(INDEX('Reguler Class Availability'!$G:$G,$Q465)&amp;""),0)=IFERROR(--(INDEX('Reguler Class Availability'!$F:$F,$Q465)&amp;""),0),"Penuh",IF(IFERROR(--(INDEX('Reguler Class Availability'!$G:$G,$Q465)&amp;""),0)=0,IF(INDEX('Reguler Class Availability'!$B:$B,$Q465)&amp;""="","Kosong","Belum terisi"),IF(IFERROR(--(INDEX('Reguler Class Availability'!$G:$G,$Q465)&amp;""),0)/IFERROR(--(INDEX('Reguler Class Availability'!$F:$F,$Q465)&amp;""),0)&gt;=0.6,"Tinggi","Sebagian"))))))</f>
        <v>Belum terisi</v>
      </c>
      <c r="F465" s="77" t="str">
        <f aca="false">IF($Q465="","",PROPER(INDEX('Reguler Class Availability'!$B:$B,$Q465)&amp;""))</f>
        <v>Little</v>
      </c>
      <c r="G465" s="76" t="n">
        <f aca="false">IF($Q465="","",IFERROR(--(INDEX('Reguler Class Availability'!$F:$F,$Q465)&amp;""),0))</f>
        <v>4</v>
      </c>
      <c r="H465" s="77" t="str">
        <f aca="false">IF($Q465="","",PROPER(INDEX('Reguler Class Availability'!$I:$I,$Q465)&amp;"")&amp;IF(INDEX('Reguler Class Availability'!$J:$J,$Q465)&amp;""="",""," + asst "&amp;PROPER(INDEX('Reguler Class Availability'!$J:$J,$Q465)&amp;"")))</f>
        <v/>
      </c>
      <c r="I465" s="77" t="s">
        <v>547</v>
      </c>
      <c r="J465" s="77" t="s">
        <v>186</v>
      </c>
      <c r="K465" s="78"/>
      <c r="L465" s="78"/>
      <c r="M465" s="78"/>
      <c r="N465" s="79"/>
      <c r="O465" s="78"/>
      <c r="Q465" s="30" t="n">
        <f aca="false">IFERROR(MATCH($B$4&amp;"|- Lane "&amp;D465&amp;" - "&amp;B465&amp;"|"&amp;C465,'Reguler Class Availability'!$L:$L,0),"")</f>
        <v>2675</v>
      </c>
    </row>
    <row r="466" customFormat="false" ht="40.5" hidden="false" customHeight="true" outlineLevel="0" collapsed="false">
      <c r="A466" s="76" t="n">
        <v>340</v>
      </c>
      <c r="B466" s="77" t="s">
        <v>80</v>
      </c>
      <c r="C466" s="76" t="s">
        <v>156</v>
      </c>
      <c r="D466" s="76" t="n">
        <v>4</v>
      </c>
      <c r="E466" s="77" t="str">
        <f aca="false">IF($Q466="","Tidak ada di data",IF(AND(IFERROR(--(INDEX('Reguler Class Availability'!$F:$F,$Q466)&amp;""),0)=0,IFERROR(--(INDEX('Reguler Class Availability'!$G:$G,$Q466)&amp;""),0)=0),"Tutup",IF(IFERROR(--(INDEX('Reguler Class Availability'!$G:$G,$Q466)&amp;""),0)&gt;IFERROR(--(INDEX('Reguler Class Availability'!$F:$F,$Q466)&amp;""),0),"Lebih",IF(IFERROR(--(INDEX('Reguler Class Availability'!$G:$G,$Q466)&amp;""),0)=IFERROR(--(INDEX('Reguler Class Availability'!$F:$F,$Q466)&amp;""),0),"Penuh",IF(IFERROR(--(INDEX('Reguler Class Availability'!$G:$G,$Q466)&amp;""),0)=0,IF(INDEX('Reguler Class Availability'!$B:$B,$Q466)&amp;""="","Kosong","Belum terisi"),IF(IFERROR(--(INDEX('Reguler Class Availability'!$G:$G,$Q466)&amp;""),0)/IFERROR(--(INDEX('Reguler Class Availability'!$F:$F,$Q466)&amp;""),0)&gt;=0.6,"Tinggi","Sebagian"))))))</f>
        <v>Belum terisi</v>
      </c>
      <c r="F466" s="77" t="str">
        <f aca="false">IF($Q466="","",PROPER(INDEX('Reguler Class Availability'!$B:$B,$Q466)&amp;""))</f>
        <v>Kids</v>
      </c>
      <c r="G466" s="76" t="n">
        <f aca="false">IF($Q466="","",IFERROR(--(INDEX('Reguler Class Availability'!$F:$F,$Q466)&amp;""),0))</f>
        <v>4</v>
      </c>
      <c r="H466" s="77" t="str">
        <f aca="false">IF($Q466="","",PROPER(INDEX('Reguler Class Availability'!$I:$I,$Q466)&amp;"")&amp;IF(INDEX('Reguler Class Availability'!$J:$J,$Q466)&amp;""="",""," + asst "&amp;PROPER(INDEX('Reguler Class Availability'!$J:$J,$Q466)&amp;"")))</f>
        <v/>
      </c>
      <c r="I466" s="77" t="s">
        <v>547</v>
      </c>
      <c r="J466" s="77" t="s">
        <v>186</v>
      </c>
      <c r="K466" s="78"/>
      <c r="L466" s="78"/>
      <c r="M466" s="78"/>
      <c r="N466" s="79"/>
      <c r="O466" s="78"/>
      <c r="Q466" s="30" t="n">
        <f aca="false">IFERROR(MATCH($B$4&amp;"|- Lane "&amp;D466&amp;" - "&amp;B466&amp;"|"&amp;C466,'Reguler Class Availability'!$L:$L,0),"")</f>
        <v>2759</v>
      </c>
    </row>
    <row r="467" customFormat="false" ht="40.5" hidden="false" customHeight="true" outlineLevel="0" collapsed="false">
      <c r="A467" s="76" t="n">
        <v>341</v>
      </c>
      <c r="B467" s="77" t="s">
        <v>80</v>
      </c>
      <c r="C467" s="76" t="s">
        <v>160</v>
      </c>
      <c r="D467" s="76" t="n">
        <v>1</v>
      </c>
      <c r="E467" s="77" t="str">
        <f aca="false">IF($Q467="","Tidak ada di data",IF(AND(IFERROR(--(INDEX('Reguler Class Availability'!$F:$F,$Q467)&amp;""),0)=0,IFERROR(--(INDEX('Reguler Class Availability'!$G:$G,$Q467)&amp;""),0)=0),"Tutup",IF(IFERROR(--(INDEX('Reguler Class Availability'!$G:$G,$Q467)&amp;""),0)&gt;IFERROR(--(INDEX('Reguler Class Availability'!$F:$F,$Q467)&amp;""),0),"Lebih",IF(IFERROR(--(INDEX('Reguler Class Availability'!$G:$G,$Q467)&amp;""),0)=IFERROR(--(INDEX('Reguler Class Availability'!$F:$F,$Q467)&amp;""),0),"Penuh",IF(IFERROR(--(INDEX('Reguler Class Availability'!$G:$G,$Q467)&amp;""),0)=0,IF(INDEX('Reguler Class Availability'!$B:$B,$Q467)&amp;""="","Kosong","Belum terisi"),IF(IFERROR(--(INDEX('Reguler Class Availability'!$G:$G,$Q467)&amp;""),0)/IFERROR(--(INDEX('Reguler Class Availability'!$F:$F,$Q467)&amp;""),0)&gt;=0.6,"Tinggi","Sebagian"))))))</f>
        <v>Belum terisi</v>
      </c>
      <c r="F467" s="77" t="str">
        <f aca="false">IF($Q467="","",PROPER(INDEX('Reguler Class Availability'!$B:$B,$Q467)&amp;""))</f>
        <v>Star</v>
      </c>
      <c r="G467" s="76" t="n">
        <f aca="false">IF($Q467="","",IFERROR(--(INDEX('Reguler Class Availability'!$F:$F,$Q467)&amp;""),0))</f>
        <v>8</v>
      </c>
      <c r="H467" s="77" t="str">
        <f aca="false">IF($Q467="","",PROPER(INDEX('Reguler Class Availability'!$I:$I,$Q467)&amp;"")&amp;IF(INDEX('Reguler Class Availability'!$J:$J,$Q467)&amp;""="",""," + asst "&amp;PROPER(INDEX('Reguler Class Availability'!$J:$J,$Q467)&amp;"")))</f>
        <v/>
      </c>
      <c r="I467" s="77" t="s">
        <v>547</v>
      </c>
      <c r="J467" s="77" t="s">
        <v>186</v>
      </c>
      <c r="K467" s="78"/>
      <c r="L467" s="78"/>
      <c r="M467" s="78"/>
      <c r="N467" s="79"/>
      <c r="O467" s="78"/>
      <c r="Q467" s="30" t="n">
        <f aca="false">IFERROR(MATCH($B$4&amp;"|- Lane "&amp;D467&amp;" - "&amp;B467&amp;"|"&amp;C467,'Reguler Class Availability'!$L:$L,0),"")</f>
        <v>2507</v>
      </c>
    </row>
    <row r="470" customFormat="false" ht="16.15" hidden="false" customHeight="false" outlineLevel="0" collapsed="false">
      <c r="A470" s="81" t="s">
        <v>244</v>
      </c>
      <c r="B470" s="62"/>
      <c r="C470" s="62"/>
      <c r="D470" s="62"/>
      <c r="E470" s="62"/>
      <c r="F470" s="62"/>
      <c r="G470" s="62"/>
      <c r="H470" s="62"/>
      <c r="I470" s="62"/>
      <c r="J470" s="62"/>
      <c r="K470" s="62"/>
      <c r="L470" s="62"/>
      <c r="M470" s="62"/>
      <c r="N470" s="62"/>
    </row>
    <row r="471" customFormat="false" ht="15" hidden="false" customHeight="false" outlineLevel="0" collapsed="false">
      <c r="A471" s="73" t="s">
        <v>245</v>
      </c>
    </row>
    <row r="472" customFormat="false" ht="22.35" hidden="false" customHeight="false" outlineLevel="0" collapsed="false">
      <c r="A472" s="74" t="s">
        <v>178</v>
      </c>
      <c r="B472" s="74" t="s">
        <v>246</v>
      </c>
      <c r="C472" s="74" t="s">
        <v>247</v>
      </c>
      <c r="D472" s="74" t="s">
        <v>114</v>
      </c>
      <c r="E472" s="74" t="s">
        <v>115</v>
      </c>
      <c r="F472" s="74" t="s">
        <v>116</v>
      </c>
      <c r="G472" s="74" t="s">
        <v>117</v>
      </c>
      <c r="H472" s="74" t="s">
        <v>118</v>
      </c>
      <c r="I472" s="74" t="s">
        <v>119</v>
      </c>
      <c r="J472" s="74" t="s">
        <v>80</v>
      </c>
      <c r="K472" s="74" t="s">
        <v>248</v>
      </c>
      <c r="L472" s="74" t="s">
        <v>249</v>
      </c>
      <c r="M472" s="74" t="s">
        <v>250</v>
      </c>
    </row>
    <row r="473" customFormat="false" ht="15" hidden="false" customHeight="false" outlineLevel="0" collapsed="false">
      <c r="A473" s="82" t="n">
        <v>1</v>
      </c>
      <c r="B473" s="83" t="s">
        <v>556</v>
      </c>
      <c r="C473" s="84" t="s">
        <v>529</v>
      </c>
      <c r="D473" s="85" t="n">
        <f aca="false">COUNTIFS('Reguler Class Availability'!$A:$A,$B$4,'Reguler Class Availability'!$I:$I,$B473,'Reguler Class Availability'!$C:$C,"* - "&amp;D$472)+COUNTIFS('Reguler Class Availability'!$A:$A,$B$4,'Reguler Class Availability'!$J:$J,$B473,'Reguler Class Availability'!$C:$C,"* - "&amp;D$472)</f>
        <v>0</v>
      </c>
      <c r="E473" s="85" t="n">
        <f aca="false">COUNTIFS('Reguler Class Availability'!$A:$A,$B$4,'Reguler Class Availability'!$I:$I,$B473,'Reguler Class Availability'!$C:$C,"* - "&amp;E$472)+COUNTIFS('Reguler Class Availability'!$A:$A,$B$4,'Reguler Class Availability'!$J:$J,$B473,'Reguler Class Availability'!$C:$C,"* - "&amp;E$472)</f>
        <v>0</v>
      </c>
      <c r="F473" s="85" t="n">
        <f aca="false">COUNTIFS('Reguler Class Availability'!$A:$A,$B$4,'Reguler Class Availability'!$I:$I,$B473,'Reguler Class Availability'!$C:$C,"* - "&amp;F$472)+COUNTIFS('Reguler Class Availability'!$A:$A,$B$4,'Reguler Class Availability'!$J:$J,$B473,'Reguler Class Availability'!$C:$C,"* - "&amp;F$472)</f>
        <v>5</v>
      </c>
      <c r="G473" s="85" t="n">
        <f aca="false">COUNTIFS('Reguler Class Availability'!$A:$A,$B$4,'Reguler Class Availability'!$I:$I,$B473,'Reguler Class Availability'!$C:$C,"* - "&amp;G$472)+COUNTIFS('Reguler Class Availability'!$A:$A,$B$4,'Reguler Class Availability'!$J:$J,$B473,'Reguler Class Availability'!$C:$C,"* - "&amp;G$472)</f>
        <v>5</v>
      </c>
      <c r="H473" s="85" t="n">
        <f aca="false">COUNTIFS('Reguler Class Availability'!$A:$A,$B$4,'Reguler Class Availability'!$I:$I,$B473,'Reguler Class Availability'!$C:$C,"* - "&amp;H$472)+COUNTIFS('Reguler Class Availability'!$A:$A,$B$4,'Reguler Class Availability'!$J:$J,$B473,'Reguler Class Availability'!$C:$C,"* - "&amp;H$472)</f>
        <v>4</v>
      </c>
      <c r="I473" s="85" t="n">
        <f aca="false">COUNTIFS('Reguler Class Availability'!$A:$A,$B$4,'Reguler Class Availability'!$I:$I,$B473,'Reguler Class Availability'!$C:$C,"* - "&amp;I$472)+COUNTIFS('Reguler Class Availability'!$A:$A,$B$4,'Reguler Class Availability'!$J:$J,$B473,'Reguler Class Availability'!$C:$C,"* - "&amp;I$472)</f>
        <v>6</v>
      </c>
      <c r="J473" s="85" t="n">
        <f aca="false">COUNTIFS('Reguler Class Availability'!$A:$A,$B$4,'Reguler Class Availability'!$I:$I,$B473,'Reguler Class Availability'!$C:$C,"* - "&amp;J$472)+COUNTIFS('Reguler Class Availability'!$A:$A,$B$4,'Reguler Class Availability'!$J:$J,$B473,'Reguler Class Availability'!$C:$C,"* - "&amp;J$472)</f>
        <v>5</v>
      </c>
      <c r="K473" s="82" t="n">
        <f aca="false">COUNTIFS('Reguler Class Availability'!$A:$A,$B$4,'Reguler Class Availability'!$I:$I,$B473)</f>
        <v>25</v>
      </c>
      <c r="L473" s="82" t="n">
        <f aca="false">COUNTIFS('Reguler Class Availability'!$A:$A,$B$4,'Reguler Class Availability'!$J:$J,$B473)</f>
        <v>0</v>
      </c>
      <c r="M473" s="82" t="s">
        <v>557</v>
      </c>
    </row>
    <row r="474" customFormat="false" ht="15" hidden="false" customHeight="false" outlineLevel="0" collapsed="false">
      <c r="A474" s="82" t="n">
        <v>2</v>
      </c>
      <c r="B474" s="83" t="s">
        <v>558</v>
      </c>
      <c r="C474" s="84" t="s">
        <v>260</v>
      </c>
      <c r="D474" s="85" t="n">
        <f aca="false">COUNTIFS('Reguler Class Availability'!$A:$A,$B$4,'Reguler Class Availability'!$I:$I,$B474,'Reguler Class Availability'!$C:$C,"* - "&amp;D$472)+COUNTIFS('Reguler Class Availability'!$A:$A,$B$4,'Reguler Class Availability'!$J:$J,$B474,'Reguler Class Availability'!$C:$C,"* - "&amp;D$472)</f>
        <v>0</v>
      </c>
      <c r="E474" s="85" t="n">
        <f aca="false">COUNTIFS('Reguler Class Availability'!$A:$A,$B$4,'Reguler Class Availability'!$I:$I,$B474,'Reguler Class Availability'!$C:$C,"* - "&amp;E$472)+COUNTIFS('Reguler Class Availability'!$A:$A,$B$4,'Reguler Class Availability'!$J:$J,$B474,'Reguler Class Availability'!$C:$C,"* - "&amp;E$472)</f>
        <v>0</v>
      </c>
      <c r="F474" s="85" t="n">
        <f aca="false">COUNTIFS('Reguler Class Availability'!$A:$A,$B$4,'Reguler Class Availability'!$I:$I,$B474,'Reguler Class Availability'!$C:$C,"* - "&amp;F$472)+COUNTIFS('Reguler Class Availability'!$A:$A,$B$4,'Reguler Class Availability'!$J:$J,$B474,'Reguler Class Availability'!$C:$C,"* - "&amp;F$472)</f>
        <v>0</v>
      </c>
      <c r="G474" s="85" t="n">
        <f aca="false">COUNTIFS('Reguler Class Availability'!$A:$A,$B$4,'Reguler Class Availability'!$I:$I,$B474,'Reguler Class Availability'!$C:$C,"* - "&amp;G$472)+COUNTIFS('Reguler Class Availability'!$A:$A,$B$4,'Reguler Class Availability'!$J:$J,$B474,'Reguler Class Availability'!$C:$C,"* - "&amp;G$472)</f>
        <v>4</v>
      </c>
      <c r="H474" s="85" t="n">
        <f aca="false">COUNTIFS('Reguler Class Availability'!$A:$A,$B$4,'Reguler Class Availability'!$I:$I,$B474,'Reguler Class Availability'!$C:$C,"* - "&amp;H$472)+COUNTIFS('Reguler Class Availability'!$A:$A,$B$4,'Reguler Class Availability'!$J:$J,$B474,'Reguler Class Availability'!$C:$C,"* - "&amp;H$472)</f>
        <v>5</v>
      </c>
      <c r="I474" s="85" t="n">
        <f aca="false">COUNTIFS('Reguler Class Availability'!$A:$A,$B$4,'Reguler Class Availability'!$I:$I,$B474,'Reguler Class Availability'!$C:$C,"* - "&amp;I$472)+COUNTIFS('Reguler Class Availability'!$A:$A,$B$4,'Reguler Class Availability'!$J:$J,$B474,'Reguler Class Availability'!$C:$C,"* - "&amp;I$472)</f>
        <v>5</v>
      </c>
      <c r="J474" s="85" t="n">
        <f aca="false">COUNTIFS('Reguler Class Availability'!$A:$A,$B$4,'Reguler Class Availability'!$I:$I,$B474,'Reguler Class Availability'!$C:$C,"* - "&amp;J$472)+COUNTIFS('Reguler Class Availability'!$A:$A,$B$4,'Reguler Class Availability'!$J:$J,$B474,'Reguler Class Availability'!$C:$C,"* - "&amp;J$472)</f>
        <v>3</v>
      </c>
      <c r="K474" s="82" t="n">
        <f aca="false">COUNTIFS('Reguler Class Availability'!$A:$A,$B$4,'Reguler Class Availability'!$I:$I,$B474)</f>
        <v>17</v>
      </c>
      <c r="L474" s="82" t="n">
        <f aca="false">COUNTIFS('Reguler Class Availability'!$A:$A,$B$4,'Reguler Class Availability'!$J:$J,$B474)</f>
        <v>0</v>
      </c>
      <c r="M474" s="82" t="s">
        <v>559</v>
      </c>
    </row>
    <row r="475" customFormat="false" ht="15" hidden="false" customHeight="false" outlineLevel="0" collapsed="false">
      <c r="A475" s="82" t="n">
        <v>3</v>
      </c>
      <c r="B475" s="83" t="s">
        <v>560</v>
      </c>
      <c r="C475" s="84" t="s">
        <v>260</v>
      </c>
      <c r="D475" s="85" t="n">
        <f aca="false">COUNTIFS('Reguler Class Availability'!$A:$A,$B$4,'Reguler Class Availability'!$I:$I,$B475,'Reguler Class Availability'!$C:$C,"* - "&amp;D$472)+COUNTIFS('Reguler Class Availability'!$A:$A,$B$4,'Reguler Class Availability'!$J:$J,$B475,'Reguler Class Availability'!$C:$C,"* - "&amp;D$472)</f>
        <v>4</v>
      </c>
      <c r="E475" s="85" t="n">
        <f aca="false">COUNTIFS('Reguler Class Availability'!$A:$A,$B$4,'Reguler Class Availability'!$I:$I,$B475,'Reguler Class Availability'!$C:$C,"* - "&amp;E$472)+COUNTIFS('Reguler Class Availability'!$A:$A,$B$4,'Reguler Class Availability'!$J:$J,$B475,'Reguler Class Availability'!$C:$C,"* - "&amp;E$472)</f>
        <v>3</v>
      </c>
      <c r="F475" s="85" t="n">
        <f aca="false">COUNTIFS('Reguler Class Availability'!$A:$A,$B$4,'Reguler Class Availability'!$I:$I,$B475,'Reguler Class Availability'!$C:$C,"* - "&amp;F$472)+COUNTIFS('Reguler Class Availability'!$A:$A,$B$4,'Reguler Class Availability'!$J:$J,$B475,'Reguler Class Availability'!$C:$C,"* - "&amp;F$472)</f>
        <v>0</v>
      </c>
      <c r="G475" s="85" t="n">
        <f aca="false">COUNTIFS('Reguler Class Availability'!$A:$A,$B$4,'Reguler Class Availability'!$I:$I,$B475,'Reguler Class Availability'!$C:$C,"* - "&amp;G$472)+COUNTIFS('Reguler Class Availability'!$A:$A,$B$4,'Reguler Class Availability'!$J:$J,$B475,'Reguler Class Availability'!$C:$C,"* - "&amp;G$472)</f>
        <v>0</v>
      </c>
      <c r="H475" s="85" t="n">
        <f aca="false">COUNTIFS('Reguler Class Availability'!$A:$A,$B$4,'Reguler Class Availability'!$I:$I,$B475,'Reguler Class Availability'!$C:$C,"* - "&amp;H$472)+COUNTIFS('Reguler Class Availability'!$A:$A,$B$4,'Reguler Class Availability'!$J:$J,$B475,'Reguler Class Availability'!$C:$C,"* - "&amp;H$472)</f>
        <v>5</v>
      </c>
      <c r="I475" s="85" t="n">
        <f aca="false">COUNTIFS('Reguler Class Availability'!$A:$A,$B$4,'Reguler Class Availability'!$I:$I,$B475,'Reguler Class Availability'!$C:$C,"* - "&amp;I$472)+COUNTIFS('Reguler Class Availability'!$A:$A,$B$4,'Reguler Class Availability'!$J:$J,$B475,'Reguler Class Availability'!$C:$C,"* - "&amp;I$472)</f>
        <v>3</v>
      </c>
      <c r="J475" s="85" t="n">
        <f aca="false">COUNTIFS('Reguler Class Availability'!$A:$A,$B$4,'Reguler Class Availability'!$I:$I,$B475,'Reguler Class Availability'!$C:$C,"* - "&amp;J$472)+COUNTIFS('Reguler Class Availability'!$A:$A,$B$4,'Reguler Class Availability'!$J:$J,$B475,'Reguler Class Availability'!$C:$C,"* - "&amp;J$472)</f>
        <v>2</v>
      </c>
      <c r="K475" s="82" t="n">
        <f aca="false">COUNTIFS('Reguler Class Availability'!$A:$A,$B$4,'Reguler Class Availability'!$I:$I,$B475)</f>
        <v>17</v>
      </c>
      <c r="L475" s="82" t="n">
        <f aca="false">COUNTIFS('Reguler Class Availability'!$A:$A,$B$4,'Reguler Class Availability'!$J:$J,$B475)</f>
        <v>0</v>
      </c>
      <c r="M475" s="82" t="s">
        <v>504</v>
      </c>
    </row>
    <row r="476" customFormat="false" ht="15" hidden="false" customHeight="false" outlineLevel="0" collapsed="false">
      <c r="A476" s="82" t="n">
        <v>4</v>
      </c>
      <c r="B476" s="83" t="s">
        <v>561</v>
      </c>
      <c r="C476" s="84" t="s">
        <v>260</v>
      </c>
      <c r="D476" s="85" t="n">
        <f aca="false">COUNTIFS('Reguler Class Availability'!$A:$A,$B$4,'Reguler Class Availability'!$I:$I,$B476,'Reguler Class Availability'!$C:$C,"* - "&amp;D$472)+COUNTIFS('Reguler Class Availability'!$A:$A,$B$4,'Reguler Class Availability'!$J:$J,$B476,'Reguler Class Availability'!$C:$C,"* - "&amp;D$472)</f>
        <v>3</v>
      </c>
      <c r="E476" s="85" t="n">
        <f aca="false">COUNTIFS('Reguler Class Availability'!$A:$A,$B$4,'Reguler Class Availability'!$I:$I,$B476,'Reguler Class Availability'!$C:$C,"* - "&amp;E$472)+COUNTIFS('Reguler Class Availability'!$A:$A,$B$4,'Reguler Class Availability'!$J:$J,$B476,'Reguler Class Availability'!$C:$C,"* - "&amp;E$472)</f>
        <v>2</v>
      </c>
      <c r="F476" s="85" t="n">
        <f aca="false">COUNTIFS('Reguler Class Availability'!$A:$A,$B$4,'Reguler Class Availability'!$I:$I,$B476,'Reguler Class Availability'!$C:$C,"* - "&amp;F$472)+COUNTIFS('Reguler Class Availability'!$A:$A,$B$4,'Reguler Class Availability'!$J:$J,$B476,'Reguler Class Availability'!$C:$C,"* - "&amp;F$472)</f>
        <v>4</v>
      </c>
      <c r="G476" s="85" t="n">
        <f aca="false">COUNTIFS('Reguler Class Availability'!$A:$A,$B$4,'Reguler Class Availability'!$I:$I,$B476,'Reguler Class Availability'!$C:$C,"* - "&amp;G$472)+COUNTIFS('Reguler Class Availability'!$A:$A,$B$4,'Reguler Class Availability'!$J:$J,$B476,'Reguler Class Availability'!$C:$C,"* - "&amp;G$472)</f>
        <v>0</v>
      </c>
      <c r="H476" s="85" t="n">
        <f aca="false">COUNTIFS('Reguler Class Availability'!$A:$A,$B$4,'Reguler Class Availability'!$I:$I,$B476,'Reguler Class Availability'!$C:$C,"* - "&amp;H$472)+COUNTIFS('Reguler Class Availability'!$A:$A,$B$4,'Reguler Class Availability'!$J:$J,$B476,'Reguler Class Availability'!$C:$C,"* - "&amp;H$472)</f>
        <v>0</v>
      </c>
      <c r="I476" s="85" t="n">
        <f aca="false">COUNTIFS('Reguler Class Availability'!$A:$A,$B$4,'Reguler Class Availability'!$I:$I,$B476,'Reguler Class Availability'!$C:$C,"* - "&amp;I$472)+COUNTIFS('Reguler Class Availability'!$A:$A,$B$4,'Reguler Class Availability'!$J:$J,$B476,'Reguler Class Availability'!$C:$C,"* - "&amp;I$472)</f>
        <v>4</v>
      </c>
      <c r="J476" s="85" t="n">
        <f aca="false">COUNTIFS('Reguler Class Availability'!$A:$A,$B$4,'Reguler Class Availability'!$I:$I,$B476,'Reguler Class Availability'!$C:$C,"* - "&amp;J$472)+COUNTIFS('Reguler Class Availability'!$A:$A,$B$4,'Reguler Class Availability'!$J:$J,$B476,'Reguler Class Availability'!$C:$C,"* - "&amp;J$472)</f>
        <v>2</v>
      </c>
      <c r="K476" s="82" t="n">
        <f aca="false">COUNTIFS('Reguler Class Availability'!$A:$A,$B$4,'Reguler Class Availability'!$I:$I,$B476)</f>
        <v>15</v>
      </c>
      <c r="L476" s="82" t="n">
        <f aca="false">COUNTIFS('Reguler Class Availability'!$A:$A,$B$4,'Reguler Class Availability'!$J:$J,$B476)</f>
        <v>0</v>
      </c>
      <c r="M476" s="82" t="s">
        <v>255</v>
      </c>
    </row>
    <row r="477" customFormat="false" ht="15" hidden="false" customHeight="false" outlineLevel="0" collapsed="false">
      <c r="A477" s="82" t="n">
        <v>5</v>
      </c>
      <c r="B477" s="83" t="s">
        <v>562</v>
      </c>
      <c r="C477" s="84" t="s">
        <v>426</v>
      </c>
      <c r="D477" s="85" t="n">
        <f aca="false">COUNTIFS('Reguler Class Availability'!$A:$A,$B$4,'Reguler Class Availability'!$I:$I,$B477,'Reguler Class Availability'!$C:$C,"* - "&amp;D$472)+COUNTIFS('Reguler Class Availability'!$A:$A,$B$4,'Reguler Class Availability'!$J:$J,$B477,'Reguler Class Availability'!$C:$C,"* - "&amp;D$472)</f>
        <v>1</v>
      </c>
      <c r="E477" s="85" t="n">
        <f aca="false">COUNTIFS('Reguler Class Availability'!$A:$A,$B$4,'Reguler Class Availability'!$I:$I,$B477,'Reguler Class Availability'!$C:$C,"* - "&amp;E$472)+COUNTIFS('Reguler Class Availability'!$A:$A,$B$4,'Reguler Class Availability'!$J:$J,$B477,'Reguler Class Availability'!$C:$C,"* - "&amp;E$472)</f>
        <v>1</v>
      </c>
      <c r="F477" s="85" t="n">
        <f aca="false">COUNTIFS('Reguler Class Availability'!$A:$A,$B$4,'Reguler Class Availability'!$I:$I,$B477,'Reguler Class Availability'!$C:$C,"* - "&amp;F$472)+COUNTIFS('Reguler Class Availability'!$A:$A,$B$4,'Reguler Class Availability'!$J:$J,$B477,'Reguler Class Availability'!$C:$C,"* - "&amp;F$472)</f>
        <v>3</v>
      </c>
      <c r="G477" s="85" t="n">
        <f aca="false">COUNTIFS('Reguler Class Availability'!$A:$A,$B$4,'Reguler Class Availability'!$I:$I,$B477,'Reguler Class Availability'!$C:$C,"* - "&amp;G$472)+COUNTIFS('Reguler Class Availability'!$A:$A,$B$4,'Reguler Class Availability'!$J:$J,$B477,'Reguler Class Availability'!$C:$C,"* - "&amp;G$472)</f>
        <v>0</v>
      </c>
      <c r="H477" s="85" t="n">
        <f aca="false">COUNTIFS('Reguler Class Availability'!$A:$A,$B$4,'Reguler Class Availability'!$I:$I,$B477,'Reguler Class Availability'!$C:$C,"* - "&amp;H$472)+COUNTIFS('Reguler Class Availability'!$A:$A,$B$4,'Reguler Class Availability'!$J:$J,$B477,'Reguler Class Availability'!$C:$C,"* - "&amp;H$472)</f>
        <v>0</v>
      </c>
      <c r="I477" s="85" t="n">
        <f aca="false">COUNTIFS('Reguler Class Availability'!$A:$A,$B$4,'Reguler Class Availability'!$I:$I,$B477,'Reguler Class Availability'!$C:$C,"* - "&amp;I$472)+COUNTIFS('Reguler Class Availability'!$A:$A,$B$4,'Reguler Class Availability'!$J:$J,$B477,'Reguler Class Availability'!$C:$C,"* - "&amp;I$472)</f>
        <v>7</v>
      </c>
      <c r="J477" s="85" t="n">
        <f aca="false">COUNTIFS('Reguler Class Availability'!$A:$A,$B$4,'Reguler Class Availability'!$I:$I,$B477,'Reguler Class Availability'!$C:$C,"* - "&amp;J$472)+COUNTIFS('Reguler Class Availability'!$A:$A,$B$4,'Reguler Class Availability'!$J:$J,$B477,'Reguler Class Availability'!$C:$C,"* - "&amp;J$472)</f>
        <v>0</v>
      </c>
      <c r="K477" s="82" t="n">
        <f aca="false">COUNTIFS('Reguler Class Availability'!$A:$A,$B$4,'Reguler Class Availability'!$I:$I,$B477)</f>
        <v>12</v>
      </c>
      <c r="L477" s="82" t="n">
        <f aca="false">COUNTIFS('Reguler Class Availability'!$A:$A,$B$4,'Reguler Class Availability'!$J:$J,$B477)</f>
        <v>0</v>
      </c>
      <c r="M477" s="82" t="s">
        <v>563</v>
      </c>
    </row>
    <row r="478" customFormat="false" ht="15" hidden="false" customHeight="false" outlineLevel="0" collapsed="false">
      <c r="A478" s="82" t="n">
        <v>6</v>
      </c>
      <c r="B478" s="83" t="s">
        <v>564</v>
      </c>
      <c r="C478" s="84" t="s">
        <v>260</v>
      </c>
      <c r="D478" s="85" t="n">
        <f aca="false">COUNTIFS('Reguler Class Availability'!$A:$A,$B$4,'Reguler Class Availability'!$I:$I,$B478,'Reguler Class Availability'!$C:$C,"* - "&amp;D$472)+COUNTIFS('Reguler Class Availability'!$A:$A,$B$4,'Reguler Class Availability'!$J:$J,$B478,'Reguler Class Availability'!$C:$C,"* - "&amp;D$472)</f>
        <v>0</v>
      </c>
      <c r="E478" s="85" t="n">
        <f aca="false">COUNTIFS('Reguler Class Availability'!$A:$A,$B$4,'Reguler Class Availability'!$I:$I,$B478,'Reguler Class Availability'!$C:$C,"* - "&amp;E$472)+COUNTIFS('Reguler Class Availability'!$A:$A,$B$4,'Reguler Class Availability'!$J:$J,$B478,'Reguler Class Availability'!$C:$C,"* - "&amp;E$472)</f>
        <v>0</v>
      </c>
      <c r="F478" s="85" t="n">
        <f aca="false">COUNTIFS('Reguler Class Availability'!$A:$A,$B$4,'Reguler Class Availability'!$I:$I,$B478,'Reguler Class Availability'!$C:$C,"* - "&amp;F$472)+COUNTIFS('Reguler Class Availability'!$A:$A,$B$4,'Reguler Class Availability'!$J:$J,$B478,'Reguler Class Availability'!$C:$C,"* - "&amp;F$472)</f>
        <v>1</v>
      </c>
      <c r="G478" s="85" t="n">
        <f aca="false">COUNTIFS('Reguler Class Availability'!$A:$A,$B$4,'Reguler Class Availability'!$I:$I,$B478,'Reguler Class Availability'!$C:$C,"* - "&amp;G$472)+COUNTIFS('Reguler Class Availability'!$A:$A,$B$4,'Reguler Class Availability'!$J:$J,$B478,'Reguler Class Availability'!$C:$C,"* - "&amp;G$472)</f>
        <v>3</v>
      </c>
      <c r="H478" s="85" t="n">
        <f aca="false">COUNTIFS('Reguler Class Availability'!$A:$A,$B$4,'Reguler Class Availability'!$I:$I,$B478,'Reguler Class Availability'!$C:$C,"* - "&amp;H$472)+COUNTIFS('Reguler Class Availability'!$A:$A,$B$4,'Reguler Class Availability'!$J:$J,$B478,'Reguler Class Availability'!$C:$C,"* - "&amp;H$472)</f>
        <v>1</v>
      </c>
      <c r="I478" s="85" t="n">
        <f aca="false">COUNTIFS('Reguler Class Availability'!$A:$A,$B$4,'Reguler Class Availability'!$I:$I,$B478,'Reguler Class Availability'!$C:$C,"* - "&amp;I$472)+COUNTIFS('Reguler Class Availability'!$A:$A,$B$4,'Reguler Class Availability'!$J:$J,$B478,'Reguler Class Availability'!$C:$C,"* - "&amp;I$472)</f>
        <v>1</v>
      </c>
      <c r="J478" s="85" t="n">
        <f aca="false">COUNTIFS('Reguler Class Availability'!$A:$A,$B$4,'Reguler Class Availability'!$I:$I,$B478,'Reguler Class Availability'!$C:$C,"* - "&amp;J$472)+COUNTIFS('Reguler Class Availability'!$A:$A,$B$4,'Reguler Class Availability'!$J:$J,$B478,'Reguler Class Availability'!$C:$C,"* - "&amp;J$472)</f>
        <v>2</v>
      </c>
      <c r="K478" s="82" t="n">
        <f aca="false">COUNTIFS('Reguler Class Availability'!$A:$A,$B$4,'Reguler Class Availability'!$I:$I,$B478)</f>
        <v>8</v>
      </c>
      <c r="L478" s="82" t="n">
        <f aca="false">COUNTIFS('Reguler Class Availability'!$A:$A,$B$4,'Reguler Class Availability'!$J:$J,$B478)</f>
        <v>0</v>
      </c>
      <c r="M478" s="82" t="s">
        <v>263</v>
      </c>
    </row>
    <row r="479" customFormat="false" ht="15" hidden="false" customHeight="false" outlineLevel="0" collapsed="false">
      <c r="A479" s="82" t="n">
        <v>7</v>
      </c>
      <c r="B479" s="83" t="s">
        <v>264</v>
      </c>
      <c r="C479" s="84" t="s">
        <v>309</v>
      </c>
      <c r="D479" s="85" t="n">
        <f aca="false">COUNTIFS('Reguler Class Availability'!$A:$A,$B$4,'Reguler Class Availability'!$I:$I,$B479,'Reguler Class Availability'!$C:$C,"* - "&amp;D$472)+COUNTIFS('Reguler Class Availability'!$A:$A,$B$4,'Reguler Class Availability'!$J:$J,$B479,'Reguler Class Availability'!$C:$C,"* - "&amp;D$472)</f>
        <v>0</v>
      </c>
      <c r="E479" s="85" t="n">
        <f aca="false">COUNTIFS('Reguler Class Availability'!$A:$A,$B$4,'Reguler Class Availability'!$I:$I,$B479,'Reguler Class Availability'!$C:$C,"* - "&amp;E$472)+COUNTIFS('Reguler Class Availability'!$A:$A,$B$4,'Reguler Class Availability'!$J:$J,$B479,'Reguler Class Availability'!$C:$C,"* - "&amp;E$472)</f>
        <v>0</v>
      </c>
      <c r="F479" s="85" t="n">
        <f aca="false">COUNTIFS('Reguler Class Availability'!$A:$A,$B$4,'Reguler Class Availability'!$I:$I,$B479,'Reguler Class Availability'!$C:$C,"* - "&amp;F$472)+COUNTIFS('Reguler Class Availability'!$A:$A,$B$4,'Reguler Class Availability'!$J:$J,$B479,'Reguler Class Availability'!$C:$C,"* - "&amp;F$472)</f>
        <v>0</v>
      </c>
      <c r="G479" s="85" t="n">
        <f aca="false">COUNTIFS('Reguler Class Availability'!$A:$A,$B$4,'Reguler Class Availability'!$I:$I,$B479,'Reguler Class Availability'!$C:$C,"* - "&amp;G$472)+COUNTIFS('Reguler Class Availability'!$A:$A,$B$4,'Reguler Class Availability'!$J:$J,$B479,'Reguler Class Availability'!$C:$C,"* - "&amp;G$472)</f>
        <v>0</v>
      </c>
      <c r="H479" s="85" t="n">
        <f aca="false">COUNTIFS('Reguler Class Availability'!$A:$A,$B$4,'Reguler Class Availability'!$I:$I,$B479,'Reguler Class Availability'!$C:$C,"* - "&amp;H$472)+COUNTIFS('Reguler Class Availability'!$A:$A,$B$4,'Reguler Class Availability'!$J:$J,$B479,'Reguler Class Availability'!$C:$C,"* - "&amp;H$472)</f>
        <v>0</v>
      </c>
      <c r="I479" s="85" t="n">
        <f aca="false">COUNTIFS('Reguler Class Availability'!$A:$A,$B$4,'Reguler Class Availability'!$I:$I,$B479,'Reguler Class Availability'!$C:$C,"* - "&amp;I$472)+COUNTIFS('Reguler Class Availability'!$A:$A,$B$4,'Reguler Class Availability'!$J:$J,$B479,'Reguler Class Availability'!$C:$C,"* - "&amp;I$472)</f>
        <v>0</v>
      </c>
      <c r="J479" s="85" t="n">
        <f aca="false">COUNTIFS('Reguler Class Availability'!$A:$A,$B$4,'Reguler Class Availability'!$I:$I,$B479,'Reguler Class Availability'!$C:$C,"* - "&amp;J$472)+COUNTIFS('Reguler Class Availability'!$A:$A,$B$4,'Reguler Class Availability'!$J:$J,$B479,'Reguler Class Availability'!$C:$C,"* - "&amp;J$472)</f>
        <v>1</v>
      </c>
      <c r="K479" s="82" t="n">
        <f aca="false">COUNTIFS('Reguler Class Availability'!$A:$A,$B$4,'Reguler Class Availability'!$I:$I,$B479)</f>
        <v>1</v>
      </c>
      <c r="L479" s="82" t="n">
        <f aca="false">COUNTIFS('Reguler Class Availability'!$A:$A,$B$4,'Reguler Class Availability'!$J:$J,$B479)</f>
        <v>0</v>
      </c>
      <c r="M479" s="82" t="s">
        <v>565</v>
      </c>
    </row>
  </sheetData>
  <autoFilter ref="A126:O467"/>
  <conditionalFormatting sqref="B14:H29">
    <cfRule type="expression" priority="2" aboveAverage="0" equalAverage="0" bottom="0" percent="0" rank="0" text="" dxfId="8">
      <formula>AV14="Belum terisi"</formula>
    </cfRule>
    <cfRule type="expression" priority="3" aboveAverage="0" equalAverage="0" bottom="0" percent="0" rank="0" text="" dxfId="9">
      <formula>AV14="Kosong"</formula>
    </cfRule>
    <cfRule type="expression" priority="4" aboveAverage="0" equalAverage="0" bottom="0" percent="0" rank="0" text="" dxfId="10">
      <formula>AV14="Sebagian"</formula>
    </cfRule>
    <cfRule type="expression" priority="5" aboveAverage="0" equalAverage="0" bottom="0" percent="0" rank="0" text="" dxfId="11">
      <formula>AV14="Tinggi"</formula>
    </cfRule>
    <cfRule type="expression" priority="6" aboveAverage="0" equalAverage="0" bottom="0" percent="0" rank="0" text="" dxfId="12">
      <formula>AV14="Penuh"</formula>
    </cfRule>
    <cfRule type="expression" priority="7" aboveAverage="0" equalAverage="0" bottom="0" percent="0" rank="0" text="" dxfId="13">
      <formula>AV14="Lebih"</formula>
    </cfRule>
    <cfRule type="expression" priority="8" aboveAverage="0" equalAverage="0" bottom="0" percent="0" rank="0" text="" dxfId="14">
      <formula>AV14="Tutup"</formula>
    </cfRule>
    <cfRule type="expression" priority="9" aboveAverage="0" equalAverage="0" bottom="0" percent="0" rank="0" text="" dxfId="15">
      <formula>AV14="Tidak dibuka"</formula>
    </cfRule>
  </conditionalFormatting>
  <conditionalFormatting sqref="B34:H47">
    <cfRule type="expression" priority="10" aboveAverage="0" equalAverage="0" bottom="0" percent="0" rank="0" text="" dxfId="8">
      <formula>AV34="Belum terisi"</formula>
    </cfRule>
    <cfRule type="expression" priority="11" aboveAverage="0" equalAverage="0" bottom="0" percent="0" rank="0" text="" dxfId="9">
      <formula>AV34="Kosong"</formula>
    </cfRule>
    <cfRule type="expression" priority="12" aboveAverage="0" equalAverage="0" bottom="0" percent="0" rank="0" text="" dxfId="10">
      <formula>AV34="Sebagian"</formula>
    </cfRule>
    <cfRule type="expression" priority="13" aboveAverage="0" equalAverage="0" bottom="0" percent="0" rank="0" text="" dxfId="11">
      <formula>AV34="Tinggi"</formula>
    </cfRule>
    <cfRule type="expression" priority="14" aboveAverage="0" equalAverage="0" bottom="0" percent="0" rank="0" text="" dxfId="12">
      <formula>AV34="Penuh"</formula>
    </cfRule>
    <cfRule type="expression" priority="15" aboveAverage="0" equalAverage="0" bottom="0" percent="0" rank="0" text="" dxfId="13">
      <formula>AV34="Lebih"</formula>
    </cfRule>
    <cfRule type="expression" priority="16" aboveAverage="0" equalAverage="0" bottom="0" percent="0" rank="0" text="" dxfId="14">
      <formula>AV34="Tutup"</formula>
    </cfRule>
    <cfRule type="expression" priority="17" aboveAverage="0" equalAverage="0" bottom="0" percent="0" rank="0" text="" dxfId="15">
      <formula>AV34="Tidak dibuka"</formula>
    </cfRule>
  </conditionalFormatting>
  <conditionalFormatting sqref="B52:H65">
    <cfRule type="expression" priority="18" aboveAverage="0" equalAverage="0" bottom="0" percent="0" rank="0" text="" dxfId="8">
      <formula>AV52="Belum terisi"</formula>
    </cfRule>
    <cfRule type="expression" priority="19" aboveAverage="0" equalAverage="0" bottom="0" percent="0" rank="0" text="" dxfId="9">
      <formula>AV52="Kosong"</formula>
    </cfRule>
    <cfRule type="expression" priority="20" aboveAverage="0" equalAverage="0" bottom="0" percent="0" rank="0" text="" dxfId="10">
      <formula>AV52="Sebagian"</formula>
    </cfRule>
    <cfRule type="expression" priority="21" aboveAverage="0" equalAverage="0" bottom="0" percent="0" rank="0" text="" dxfId="11">
      <formula>AV52="Tinggi"</formula>
    </cfRule>
    <cfRule type="expression" priority="22" aboveAverage="0" equalAverage="0" bottom="0" percent="0" rank="0" text="" dxfId="12">
      <formula>AV52="Penuh"</formula>
    </cfRule>
    <cfRule type="expression" priority="23" aboveAverage="0" equalAverage="0" bottom="0" percent="0" rank="0" text="" dxfId="13">
      <formula>AV52="Lebih"</formula>
    </cfRule>
    <cfRule type="expression" priority="24" aboveAverage="0" equalAverage="0" bottom="0" percent="0" rank="0" text="" dxfId="14">
      <formula>AV52="Tutup"</formula>
    </cfRule>
    <cfRule type="expression" priority="25" aboveAverage="0" equalAverage="0" bottom="0" percent="0" rank="0" text="" dxfId="15">
      <formula>AV52="Tidak dibuka"</formula>
    </cfRule>
  </conditionalFormatting>
  <conditionalFormatting sqref="B70:H83">
    <cfRule type="expression" priority="26" aboveAverage="0" equalAverage="0" bottom="0" percent="0" rank="0" text="" dxfId="8">
      <formula>AV70="Belum terisi"</formula>
    </cfRule>
    <cfRule type="expression" priority="27" aboveAverage="0" equalAverage="0" bottom="0" percent="0" rank="0" text="" dxfId="9">
      <formula>AV70="Kosong"</formula>
    </cfRule>
    <cfRule type="expression" priority="28" aboveAverage="0" equalAverage="0" bottom="0" percent="0" rank="0" text="" dxfId="10">
      <formula>AV70="Sebagian"</formula>
    </cfRule>
    <cfRule type="expression" priority="29" aboveAverage="0" equalAverage="0" bottom="0" percent="0" rank="0" text="" dxfId="11">
      <formula>AV70="Tinggi"</formula>
    </cfRule>
    <cfRule type="expression" priority="30" aboveAverage="0" equalAverage="0" bottom="0" percent="0" rank="0" text="" dxfId="12">
      <formula>AV70="Penuh"</formula>
    </cfRule>
    <cfRule type="expression" priority="31" aboveAverage="0" equalAverage="0" bottom="0" percent="0" rank="0" text="" dxfId="13">
      <formula>AV70="Lebih"</formula>
    </cfRule>
    <cfRule type="expression" priority="32" aboveAverage="0" equalAverage="0" bottom="0" percent="0" rank="0" text="" dxfId="14">
      <formula>AV70="Tutup"</formula>
    </cfRule>
    <cfRule type="expression" priority="33" aboveAverage="0" equalAverage="0" bottom="0" percent="0" rank="0" text="" dxfId="15">
      <formula>AV70="Tidak dibuka"</formula>
    </cfRule>
  </conditionalFormatting>
  <conditionalFormatting sqref="B88:H101">
    <cfRule type="expression" priority="34" aboveAverage="0" equalAverage="0" bottom="0" percent="0" rank="0" text="" dxfId="8">
      <formula>AV88="Belum terisi"</formula>
    </cfRule>
    <cfRule type="expression" priority="35" aboveAverage="0" equalAverage="0" bottom="0" percent="0" rank="0" text="" dxfId="9">
      <formula>AV88="Kosong"</formula>
    </cfRule>
    <cfRule type="expression" priority="36" aboveAverage="0" equalAverage="0" bottom="0" percent="0" rank="0" text="" dxfId="10">
      <formula>AV88="Sebagian"</formula>
    </cfRule>
    <cfRule type="expression" priority="37" aboveAverage="0" equalAverage="0" bottom="0" percent="0" rank="0" text="" dxfId="11">
      <formula>AV88="Tinggi"</formula>
    </cfRule>
    <cfRule type="expression" priority="38" aboveAverage="0" equalAverage="0" bottom="0" percent="0" rank="0" text="" dxfId="12">
      <formula>AV88="Penuh"</formula>
    </cfRule>
    <cfRule type="expression" priority="39" aboveAverage="0" equalAverage="0" bottom="0" percent="0" rank="0" text="" dxfId="13">
      <formula>AV88="Lebih"</formula>
    </cfRule>
    <cfRule type="expression" priority="40" aboveAverage="0" equalAverage="0" bottom="0" percent="0" rank="0" text="" dxfId="14">
      <formula>AV88="Tutup"</formula>
    </cfRule>
    <cfRule type="expression" priority="41" aboveAverage="0" equalAverage="0" bottom="0" percent="0" rank="0" text="" dxfId="15">
      <formula>AV88="Tidak dibuka"</formula>
    </cfRule>
  </conditionalFormatting>
  <conditionalFormatting sqref="B106:H119">
    <cfRule type="expression" priority="42" aboveAverage="0" equalAverage="0" bottom="0" percent="0" rank="0" text="" dxfId="8">
      <formula>AV106="Belum terisi"</formula>
    </cfRule>
    <cfRule type="expression" priority="43" aboveAverage="0" equalAverage="0" bottom="0" percent="0" rank="0" text="" dxfId="9">
      <formula>AV106="Kosong"</formula>
    </cfRule>
    <cfRule type="expression" priority="44" aboveAverage="0" equalAverage="0" bottom="0" percent="0" rank="0" text="" dxfId="10">
      <formula>AV106="Sebagian"</formula>
    </cfRule>
    <cfRule type="expression" priority="45" aboveAverage="0" equalAverage="0" bottom="0" percent="0" rank="0" text="" dxfId="11">
      <formula>AV106="Tinggi"</formula>
    </cfRule>
    <cfRule type="expression" priority="46" aboveAverage="0" equalAverage="0" bottom="0" percent="0" rank="0" text="" dxfId="12">
      <formula>AV106="Penuh"</formula>
    </cfRule>
    <cfRule type="expression" priority="47" aboveAverage="0" equalAverage="0" bottom="0" percent="0" rank="0" text="" dxfId="13">
      <formula>AV106="Lebih"</formula>
    </cfRule>
    <cfRule type="expression" priority="48" aboveAverage="0" equalAverage="0" bottom="0" percent="0" rank="0" text="" dxfId="14">
      <formula>AV106="Tutup"</formula>
    </cfRule>
    <cfRule type="expression" priority="49" aboveAverage="0" equalAverage="0" bottom="0" percent="0" rank="0" text="" dxfId="15">
      <formula>AV106="Tidak dibuka"</formula>
    </cfRule>
  </conditionalFormatting>
  <conditionalFormatting sqref="E127:E467">
    <cfRule type="expression" priority="50" aboveAverage="0" equalAverage="0" bottom="0" percent="0" rank="0" text="" dxfId="8">
      <formula>E127="Belum terisi"</formula>
    </cfRule>
    <cfRule type="expression" priority="51" aboveAverage="0" equalAverage="0" bottom="0" percent="0" rank="0" text="" dxfId="9">
      <formula>E127="Kosong"</formula>
    </cfRule>
  </conditionalFormatting>
  <conditionalFormatting sqref="A127:O467">
    <cfRule type="expression" priority="52" aboveAverage="0" equalAverage="0" bottom="0" percent="0" rank="0" text="" dxfId="16">
      <formula>$K127="Jual minggu ini"</formula>
    </cfRule>
  </conditionalFormatting>
  <conditionalFormatting sqref="D473:J479">
    <cfRule type="colorScale" priority="53">
      <colorScale>
        <cfvo type="num" val="0"/>
        <cfvo type="max" val="0"/>
        <color rgb="FFFFFFFF"/>
        <color rgb="FF8EC6D0"/>
      </colorScale>
    </cfRule>
  </conditionalFormatting>
  <dataValidations count="4">
    <dataValidation allowBlank="true" error="Isi angka 0–20" errorStyle="stop" errorTitle="Target murid" operator="between" showDropDown="false" showErrorMessage="false" showInputMessage="false" sqref="N127:N467" type="whole">
      <formula1>0</formula1>
      <formula2>20</formula2>
    </dataValidation>
    <dataValidation allowBlank="true" errorStyle="stop" operator="between" showDropDown="false" showErrorMessage="false" showInputMessage="false" sqref="K127:K467" type="list">
      <formula1>"Jual minggu ini,Buka kelas baru,Ganti age group,Tahan,Tutup slot"</formula1>
      <formula2>0</formula2>
    </dataValidation>
    <dataValidation allowBlank="true" errorStyle="stop" operator="between" showDropDown="false" showErrorMessage="false" showInputMessage="false" sqref="L127:L467" type="list">
      <formula1>"Baby,Tiny,Little,Kids,Star"</formula1>
      <formula2>0</formula2>
    </dataValidation>
    <dataValidation allowBlank="true" errorStyle="stop" operator="between" showDropDown="false" showErrorMessage="false" showInputMessage="false" sqref="M127:M467" type="list">
      <formula1>$B$473:$B$479</formula1>
      <formula2>0</formula2>
    </dataValidation>
  </dataValidations>
  <hyperlinks>
    <hyperlink ref="B11" r:id="rId1" location="'HIB'!A12" display="→ Slot Map"/>
    <hyperlink ref="C11" r:id="rId2" location="'HIB'!A124" display="→ Daftar Diskusi"/>
    <hyperlink ref="D11" r:id="rId3" location="'HIB'!A470" display="→ Coa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8"/>
    <col collapsed="false" customWidth="true" hidden="false" outlineLevel="0" max="4" min="4" style="0" width="7"/>
    <col collapsed="false" customWidth="true" hidden="false" outlineLevel="0" max="5" min="5" style="0" width="30"/>
    <col collapsed="false" customWidth="true" hidden="false" outlineLevel="0" max="7" min="6" style="0" width="6"/>
    <col collapsed="false" customWidth="true" hidden="false" outlineLevel="0" max="10" min="8" style="0" width="14"/>
    <col collapsed="false" customWidth="true" hidden="false" outlineLevel="0" max="11" min="11" style="0" width="8"/>
    <col collapsed="false" customWidth="true" hidden="false" outlineLevel="0" max="12" min="12" style="0" width="30"/>
  </cols>
  <sheetData>
    <row r="1" customFormat="false" ht="15" hidden="false" customHeight="false" outlineLevel="0" collapsed="false">
      <c r="A1" s="63" t="s">
        <v>54</v>
      </c>
      <c r="B1" s="63" t="s">
        <v>566</v>
      </c>
      <c r="C1" s="63" t="s">
        <v>567</v>
      </c>
      <c r="D1" s="63" t="s">
        <v>568</v>
      </c>
      <c r="E1" s="63" t="s">
        <v>569</v>
      </c>
      <c r="F1" s="63" t="s">
        <v>570</v>
      </c>
      <c r="G1" s="63" t="s">
        <v>571</v>
      </c>
      <c r="H1" s="63" t="s">
        <v>572</v>
      </c>
      <c r="I1" s="63" t="s">
        <v>246</v>
      </c>
      <c r="J1" s="63" t="s">
        <v>573</v>
      </c>
      <c r="K1" s="63" t="s">
        <v>574</v>
      </c>
      <c r="L1" s="63" t="s">
        <v>575</v>
      </c>
      <c r="N1" s="86" t="s">
        <v>576</v>
      </c>
    </row>
    <row r="2" customFormat="false" ht="15" hidden="false" customHeight="false" outlineLevel="0" collapsed="false">
      <c r="A2" s="0" t="s">
        <v>61</v>
      </c>
      <c r="C2" s="0" t="s">
        <v>577</v>
      </c>
      <c r="D2" s="0" t="s">
        <v>578</v>
      </c>
      <c r="E2" s="0" t="s">
        <v>579</v>
      </c>
      <c r="F2" s="0" t="n">
        <v>0</v>
      </c>
      <c r="G2" s="0" t="n">
        <v>0</v>
      </c>
      <c r="H2" s="0" t="s">
        <v>580</v>
      </c>
      <c r="K2" s="0" t="s">
        <v>581</v>
      </c>
      <c r="L2" s="0" t="s">
        <v>582</v>
      </c>
    </row>
    <row r="3" customFormat="false" ht="15" hidden="false" customHeight="false" outlineLevel="0" collapsed="false">
      <c r="A3" s="0" t="s">
        <v>61</v>
      </c>
      <c r="C3" s="0" t="s">
        <v>577</v>
      </c>
      <c r="D3" s="0" t="s">
        <v>583</v>
      </c>
      <c r="E3" s="0" t="s">
        <v>584</v>
      </c>
      <c r="F3" s="0" t="n">
        <v>5</v>
      </c>
      <c r="G3" s="0" t="n">
        <v>0</v>
      </c>
      <c r="H3" s="0" t="s">
        <v>585</v>
      </c>
      <c r="K3" s="0" t="s">
        <v>586</v>
      </c>
      <c r="L3" s="0" t="s">
        <v>587</v>
      </c>
    </row>
    <row r="4" customFormat="false" ht="15" hidden="false" customHeight="false" outlineLevel="0" collapsed="false">
      <c r="A4" s="0" t="s">
        <v>61</v>
      </c>
      <c r="C4" s="0" t="s">
        <v>577</v>
      </c>
      <c r="D4" s="0" t="s">
        <v>588</v>
      </c>
      <c r="E4" s="0" t="s">
        <v>589</v>
      </c>
      <c r="F4" s="0" t="n">
        <v>5</v>
      </c>
      <c r="G4" s="0" t="n">
        <v>0</v>
      </c>
      <c r="H4" s="0" t="s">
        <v>585</v>
      </c>
      <c r="K4" s="0" t="s">
        <v>590</v>
      </c>
      <c r="L4" s="0" t="s">
        <v>591</v>
      </c>
    </row>
    <row r="5" customFormat="false" ht="15" hidden="false" customHeight="false" outlineLevel="0" collapsed="false">
      <c r="A5" s="0" t="s">
        <v>61</v>
      </c>
      <c r="B5" s="0" t="s">
        <v>303</v>
      </c>
      <c r="C5" s="0" t="s">
        <v>577</v>
      </c>
      <c r="D5" s="0" t="s">
        <v>127</v>
      </c>
      <c r="E5" s="0" t="s">
        <v>592</v>
      </c>
      <c r="F5" s="0" t="n">
        <v>5</v>
      </c>
      <c r="G5" s="0" t="n">
        <v>1</v>
      </c>
      <c r="H5" s="0" t="s">
        <v>585</v>
      </c>
      <c r="I5" s="0" t="s">
        <v>593</v>
      </c>
      <c r="K5" s="0" t="s">
        <v>594</v>
      </c>
      <c r="L5" s="0" t="s">
        <v>595</v>
      </c>
    </row>
    <row r="6" customFormat="false" ht="15" hidden="false" customHeight="false" outlineLevel="0" collapsed="false">
      <c r="A6" s="0" t="s">
        <v>61</v>
      </c>
      <c r="C6" s="0" t="s">
        <v>577</v>
      </c>
      <c r="D6" s="0" t="s">
        <v>130</v>
      </c>
      <c r="E6" s="0" t="s">
        <v>596</v>
      </c>
      <c r="F6" s="0" t="n">
        <v>5</v>
      </c>
      <c r="G6" s="0" t="n">
        <v>0</v>
      </c>
      <c r="H6" s="0" t="s">
        <v>585</v>
      </c>
      <c r="K6" s="0" t="s">
        <v>597</v>
      </c>
      <c r="L6" s="0" t="s">
        <v>598</v>
      </c>
    </row>
    <row r="7" customFormat="false" ht="15" hidden="false" customHeight="false" outlineLevel="0" collapsed="false">
      <c r="A7" s="0" t="s">
        <v>61</v>
      </c>
      <c r="B7" s="0" t="s">
        <v>303</v>
      </c>
      <c r="C7" s="0" t="s">
        <v>577</v>
      </c>
      <c r="D7" s="0" t="s">
        <v>133</v>
      </c>
      <c r="E7" s="0" t="s">
        <v>599</v>
      </c>
      <c r="F7" s="0" t="n">
        <v>5</v>
      </c>
      <c r="G7" s="0" t="n">
        <v>3</v>
      </c>
      <c r="H7" s="0" t="s">
        <v>585</v>
      </c>
      <c r="I7" s="0" t="s">
        <v>593</v>
      </c>
      <c r="K7" s="0" t="s">
        <v>600</v>
      </c>
      <c r="L7" s="0" t="s">
        <v>601</v>
      </c>
    </row>
    <row r="8" customFormat="false" ht="15" hidden="false" customHeight="false" outlineLevel="0" collapsed="false">
      <c r="A8" s="0" t="s">
        <v>61</v>
      </c>
      <c r="B8" s="0" t="s">
        <v>345</v>
      </c>
      <c r="C8" s="0" t="s">
        <v>577</v>
      </c>
      <c r="D8" s="0" t="s">
        <v>141</v>
      </c>
      <c r="E8" s="0" t="s">
        <v>602</v>
      </c>
      <c r="F8" s="0" t="n">
        <v>4</v>
      </c>
      <c r="G8" s="0" t="n">
        <v>1</v>
      </c>
      <c r="H8" s="0" t="s">
        <v>585</v>
      </c>
      <c r="I8" s="0" t="s">
        <v>603</v>
      </c>
      <c r="K8" s="0" t="s">
        <v>604</v>
      </c>
      <c r="L8" s="0" t="s">
        <v>605</v>
      </c>
    </row>
    <row r="9" customFormat="false" ht="15" hidden="false" customHeight="false" outlineLevel="0" collapsed="false">
      <c r="A9" s="0" t="s">
        <v>61</v>
      </c>
      <c r="C9" s="0" t="s">
        <v>577</v>
      </c>
      <c r="D9" s="0" t="s">
        <v>144</v>
      </c>
      <c r="E9" s="0" t="s">
        <v>606</v>
      </c>
      <c r="F9" s="0" t="n">
        <v>5</v>
      </c>
      <c r="G9" s="0" t="n">
        <v>0</v>
      </c>
      <c r="H9" s="0" t="s">
        <v>585</v>
      </c>
      <c r="K9" s="0" t="s">
        <v>607</v>
      </c>
      <c r="L9" s="0" t="s">
        <v>608</v>
      </c>
    </row>
    <row r="10" customFormat="false" ht="15" hidden="false" customHeight="false" outlineLevel="0" collapsed="false">
      <c r="A10" s="0" t="s">
        <v>61</v>
      </c>
      <c r="B10" s="0" t="s">
        <v>345</v>
      </c>
      <c r="C10" s="0" t="s">
        <v>577</v>
      </c>
      <c r="D10" s="0" t="s">
        <v>147</v>
      </c>
      <c r="E10" s="0" t="s">
        <v>609</v>
      </c>
      <c r="F10" s="0" t="n">
        <v>0</v>
      </c>
      <c r="G10" s="0" t="n">
        <v>2</v>
      </c>
      <c r="H10" s="0" t="s">
        <v>580</v>
      </c>
      <c r="I10" s="0" t="s">
        <v>603</v>
      </c>
      <c r="K10" s="0" t="s">
        <v>610</v>
      </c>
      <c r="L10" s="0" t="s">
        <v>611</v>
      </c>
    </row>
    <row r="11" customFormat="false" ht="15" hidden="false" customHeight="false" outlineLevel="0" collapsed="false">
      <c r="A11" s="0" t="s">
        <v>61</v>
      </c>
      <c r="C11" s="0" t="s">
        <v>577</v>
      </c>
      <c r="D11" s="0" t="s">
        <v>150</v>
      </c>
      <c r="E11" s="0" t="s">
        <v>612</v>
      </c>
      <c r="F11" s="0" t="n">
        <v>0</v>
      </c>
      <c r="G11" s="0" t="n">
        <v>0</v>
      </c>
      <c r="H11" s="0" t="s">
        <v>580</v>
      </c>
      <c r="K11" s="0" t="s">
        <v>613</v>
      </c>
      <c r="L11" s="0" t="s">
        <v>614</v>
      </c>
    </row>
    <row r="12" customFormat="false" ht="15" hidden="false" customHeight="false" outlineLevel="0" collapsed="false">
      <c r="A12" s="0" t="s">
        <v>61</v>
      </c>
      <c r="B12" s="0" t="s">
        <v>266</v>
      </c>
      <c r="C12" s="0" t="s">
        <v>577</v>
      </c>
      <c r="D12" s="0" t="s">
        <v>153</v>
      </c>
      <c r="E12" s="0" t="s">
        <v>615</v>
      </c>
      <c r="F12" s="0" t="n">
        <v>5</v>
      </c>
      <c r="G12" s="0" t="n">
        <v>3</v>
      </c>
      <c r="H12" s="0" t="s">
        <v>585</v>
      </c>
      <c r="I12" s="0" t="s">
        <v>603</v>
      </c>
      <c r="K12" s="0" t="s">
        <v>616</v>
      </c>
      <c r="L12" s="0" t="s">
        <v>617</v>
      </c>
    </row>
    <row r="13" customFormat="false" ht="15" hidden="false" customHeight="false" outlineLevel="0" collapsed="false">
      <c r="A13" s="0" t="s">
        <v>61</v>
      </c>
      <c r="B13" s="0" t="s">
        <v>303</v>
      </c>
      <c r="C13" s="0" t="s">
        <v>577</v>
      </c>
      <c r="D13" s="0" t="s">
        <v>156</v>
      </c>
      <c r="E13" s="0" t="s">
        <v>618</v>
      </c>
      <c r="F13" s="0" t="n">
        <v>5</v>
      </c>
      <c r="G13" s="0" t="n">
        <v>2</v>
      </c>
      <c r="H13" s="0" t="s">
        <v>585</v>
      </c>
      <c r="I13" s="0" t="s">
        <v>619</v>
      </c>
      <c r="K13" s="0" t="s">
        <v>620</v>
      </c>
      <c r="L13" s="0" t="s">
        <v>621</v>
      </c>
    </row>
    <row r="14" customFormat="false" ht="15" hidden="false" customHeight="false" outlineLevel="0" collapsed="false">
      <c r="A14" s="0" t="s">
        <v>61</v>
      </c>
      <c r="C14" s="0" t="s">
        <v>622</v>
      </c>
      <c r="D14" s="0" t="s">
        <v>578</v>
      </c>
      <c r="E14" s="0" t="s">
        <v>623</v>
      </c>
      <c r="F14" s="0" t="n">
        <v>0</v>
      </c>
      <c r="G14" s="0" t="n">
        <v>0</v>
      </c>
      <c r="H14" s="0" t="s">
        <v>580</v>
      </c>
      <c r="K14" s="0" t="s">
        <v>581</v>
      </c>
      <c r="L14" s="0" t="s">
        <v>624</v>
      </c>
    </row>
    <row r="15" customFormat="false" ht="15" hidden="false" customHeight="false" outlineLevel="0" collapsed="false">
      <c r="A15" s="0" t="s">
        <v>61</v>
      </c>
      <c r="C15" s="0" t="s">
        <v>622</v>
      </c>
      <c r="D15" s="0" t="s">
        <v>583</v>
      </c>
      <c r="E15" s="0" t="s">
        <v>625</v>
      </c>
      <c r="F15" s="0" t="n">
        <v>5</v>
      </c>
      <c r="G15" s="0" t="n">
        <v>0</v>
      </c>
      <c r="H15" s="0" t="s">
        <v>585</v>
      </c>
      <c r="K15" s="0" t="s">
        <v>586</v>
      </c>
      <c r="L15" s="0" t="s">
        <v>626</v>
      </c>
    </row>
    <row r="16" customFormat="false" ht="15" hidden="false" customHeight="false" outlineLevel="0" collapsed="false">
      <c r="A16" s="0" t="s">
        <v>61</v>
      </c>
      <c r="C16" s="0" t="s">
        <v>622</v>
      </c>
      <c r="D16" s="0" t="s">
        <v>588</v>
      </c>
      <c r="E16" s="0" t="s">
        <v>627</v>
      </c>
      <c r="F16" s="0" t="n">
        <v>5</v>
      </c>
      <c r="G16" s="0" t="n">
        <v>0</v>
      </c>
      <c r="H16" s="0" t="s">
        <v>585</v>
      </c>
      <c r="K16" s="0" t="s">
        <v>590</v>
      </c>
      <c r="L16" s="0" t="s">
        <v>628</v>
      </c>
    </row>
    <row r="17" customFormat="false" ht="15" hidden="false" customHeight="false" outlineLevel="0" collapsed="false">
      <c r="A17" s="0" t="s">
        <v>61</v>
      </c>
      <c r="B17" s="0" t="s">
        <v>303</v>
      </c>
      <c r="C17" s="0" t="s">
        <v>622</v>
      </c>
      <c r="D17" s="0" t="s">
        <v>127</v>
      </c>
      <c r="E17" s="0" t="s">
        <v>629</v>
      </c>
      <c r="F17" s="0" t="n">
        <v>5</v>
      </c>
      <c r="G17" s="0" t="n">
        <v>1</v>
      </c>
      <c r="H17" s="0" t="s">
        <v>585</v>
      </c>
      <c r="I17" s="0" t="s">
        <v>630</v>
      </c>
      <c r="K17" s="0" t="s">
        <v>594</v>
      </c>
      <c r="L17" s="0" t="s">
        <v>631</v>
      </c>
    </row>
    <row r="18" customFormat="false" ht="15" hidden="false" customHeight="false" outlineLevel="0" collapsed="false">
      <c r="A18" s="0" t="s">
        <v>61</v>
      </c>
      <c r="B18" s="0" t="s">
        <v>303</v>
      </c>
      <c r="C18" s="0" t="s">
        <v>622</v>
      </c>
      <c r="D18" s="0" t="s">
        <v>130</v>
      </c>
      <c r="E18" s="0" t="s">
        <v>632</v>
      </c>
      <c r="F18" s="0" t="n">
        <v>5</v>
      </c>
      <c r="G18" s="0" t="n">
        <v>2</v>
      </c>
      <c r="H18" s="0" t="s">
        <v>585</v>
      </c>
      <c r="I18" s="0" t="s">
        <v>630</v>
      </c>
      <c r="K18" s="0" t="s">
        <v>597</v>
      </c>
      <c r="L18" s="0" t="s">
        <v>633</v>
      </c>
    </row>
    <row r="19" customFormat="false" ht="15" hidden="false" customHeight="false" outlineLevel="0" collapsed="false">
      <c r="A19" s="0" t="s">
        <v>61</v>
      </c>
      <c r="C19" s="0" t="s">
        <v>622</v>
      </c>
      <c r="D19" s="0" t="s">
        <v>133</v>
      </c>
      <c r="E19" s="0" t="s">
        <v>634</v>
      </c>
      <c r="F19" s="0" t="n">
        <v>0</v>
      </c>
      <c r="G19" s="0" t="n">
        <v>0</v>
      </c>
      <c r="H19" s="0" t="s">
        <v>580</v>
      </c>
      <c r="K19" s="0" t="s">
        <v>600</v>
      </c>
      <c r="L19" s="0" t="s">
        <v>635</v>
      </c>
    </row>
    <row r="20" customFormat="false" ht="15" hidden="false" customHeight="false" outlineLevel="0" collapsed="false">
      <c r="A20" s="0" t="s">
        <v>61</v>
      </c>
      <c r="C20" s="0" t="s">
        <v>622</v>
      </c>
      <c r="D20" s="0" t="s">
        <v>141</v>
      </c>
      <c r="E20" s="0" t="s">
        <v>636</v>
      </c>
      <c r="F20" s="0" t="n">
        <v>5</v>
      </c>
      <c r="G20" s="0" t="n">
        <v>0</v>
      </c>
      <c r="H20" s="0" t="s">
        <v>585</v>
      </c>
      <c r="K20" s="0" t="s">
        <v>604</v>
      </c>
      <c r="L20" s="0" t="s">
        <v>637</v>
      </c>
    </row>
    <row r="21" customFormat="false" ht="15" hidden="false" customHeight="false" outlineLevel="0" collapsed="false">
      <c r="A21" s="0" t="s">
        <v>61</v>
      </c>
      <c r="C21" s="0" t="s">
        <v>622</v>
      </c>
      <c r="D21" s="0" t="s">
        <v>144</v>
      </c>
      <c r="E21" s="0" t="s">
        <v>638</v>
      </c>
      <c r="F21" s="0" t="n">
        <v>5</v>
      </c>
      <c r="G21" s="0" t="n">
        <v>0</v>
      </c>
      <c r="H21" s="0" t="s">
        <v>585</v>
      </c>
      <c r="K21" s="0" t="s">
        <v>607</v>
      </c>
      <c r="L21" s="0" t="s">
        <v>639</v>
      </c>
    </row>
    <row r="22" customFormat="false" ht="15" hidden="false" customHeight="false" outlineLevel="0" collapsed="false">
      <c r="A22" s="0" t="s">
        <v>61</v>
      </c>
      <c r="B22" s="0" t="s">
        <v>266</v>
      </c>
      <c r="C22" s="0" t="s">
        <v>622</v>
      </c>
      <c r="D22" s="0" t="s">
        <v>147</v>
      </c>
      <c r="E22" s="0" t="s">
        <v>640</v>
      </c>
      <c r="F22" s="0" t="n">
        <v>0</v>
      </c>
      <c r="G22" s="0" t="n">
        <v>4</v>
      </c>
      <c r="H22" s="0" t="s">
        <v>580</v>
      </c>
      <c r="I22" s="0" t="s">
        <v>641</v>
      </c>
      <c r="K22" s="0" t="s">
        <v>610</v>
      </c>
      <c r="L22" s="0" t="s">
        <v>642</v>
      </c>
    </row>
    <row r="23" customFormat="false" ht="15" hidden="false" customHeight="false" outlineLevel="0" collapsed="false">
      <c r="A23" s="0" t="s">
        <v>61</v>
      </c>
      <c r="C23" s="0" t="s">
        <v>622</v>
      </c>
      <c r="D23" s="0" t="s">
        <v>150</v>
      </c>
      <c r="E23" s="0" t="s">
        <v>643</v>
      </c>
      <c r="F23" s="0" t="n">
        <v>0</v>
      </c>
      <c r="G23" s="0" t="n">
        <v>0</v>
      </c>
      <c r="H23" s="0" t="s">
        <v>580</v>
      </c>
      <c r="K23" s="0" t="s">
        <v>613</v>
      </c>
      <c r="L23" s="0" t="s">
        <v>644</v>
      </c>
    </row>
    <row r="24" customFormat="false" ht="15" hidden="false" customHeight="false" outlineLevel="0" collapsed="false">
      <c r="A24" s="0" t="s">
        <v>61</v>
      </c>
      <c r="C24" s="0" t="s">
        <v>622</v>
      </c>
      <c r="D24" s="0" t="s">
        <v>153</v>
      </c>
      <c r="E24" s="0" t="s">
        <v>645</v>
      </c>
      <c r="F24" s="0" t="n">
        <v>5</v>
      </c>
      <c r="G24" s="0" t="n">
        <v>0</v>
      </c>
      <c r="H24" s="0" t="s">
        <v>585</v>
      </c>
      <c r="K24" s="0" t="s">
        <v>616</v>
      </c>
      <c r="L24" s="0" t="s">
        <v>646</v>
      </c>
    </row>
    <row r="25" customFormat="false" ht="15" hidden="false" customHeight="false" outlineLevel="0" collapsed="false">
      <c r="A25" s="0" t="s">
        <v>61</v>
      </c>
      <c r="B25" s="0" t="s">
        <v>303</v>
      </c>
      <c r="C25" s="0" t="s">
        <v>622</v>
      </c>
      <c r="D25" s="0" t="s">
        <v>156</v>
      </c>
      <c r="E25" s="0" t="s">
        <v>647</v>
      </c>
      <c r="F25" s="0" t="n">
        <v>5</v>
      </c>
      <c r="G25" s="0" t="n">
        <v>4</v>
      </c>
      <c r="H25" s="0" t="s">
        <v>585</v>
      </c>
      <c r="I25" s="0" t="s">
        <v>593</v>
      </c>
      <c r="K25" s="0" t="s">
        <v>620</v>
      </c>
      <c r="L25" s="0" t="s">
        <v>648</v>
      </c>
    </row>
    <row r="26" customFormat="false" ht="15" hidden="false" customHeight="false" outlineLevel="0" collapsed="false">
      <c r="A26" s="0" t="s">
        <v>61</v>
      </c>
      <c r="C26" s="0" t="s">
        <v>649</v>
      </c>
      <c r="D26" s="0" t="s">
        <v>578</v>
      </c>
      <c r="E26" s="0" t="s">
        <v>650</v>
      </c>
      <c r="F26" s="0" t="n">
        <v>0</v>
      </c>
      <c r="G26" s="0" t="n">
        <v>0</v>
      </c>
      <c r="H26" s="0" t="s">
        <v>580</v>
      </c>
      <c r="K26" s="0" t="s">
        <v>581</v>
      </c>
      <c r="L26" s="0" t="s">
        <v>651</v>
      </c>
    </row>
    <row r="27" customFormat="false" ht="15" hidden="false" customHeight="false" outlineLevel="0" collapsed="false">
      <c r="A27" s="0" t="s">
        <v>61</v>
      </c>
      <c r="B27" s="0" t="s">
        <v>303</v>
      </c>
      <c r="C27" s="0" t="s">
        <v>649</v>
      </c>
      <c r="D27" s="0" t="s">
        <v>583</v>
      </c>
      <c r="E27" s="0" t="s">
        <v>652</v>
      </c>
      <c r="F27" s="0" t="n">
        <v>5</v>
      </c>
      <c r="G27" s="0" t="n">
        <v>5</v>
      </c>
      <c r="H27" s="0" t="s">
        <v>580</v>
      </c>
      <c r="I27" s="0" t="s">
        <v>653</v>
      </c>
      <c r="K27" s="0" t="s">
        <v>586</v>
      </c>
      <c r="L27" s="0" t="s">
        <v>654</v>
      </c>
    </row>
    <row r="28" customFormat="false" ht="15" hidden="false" customHeight="false" outlineLevel="0" collapsed="false">
      <c r="A28" s="0" t="s">
        <v>61</v>
      </c>
      <c r="C28" s="0" t="s">
        <v>649</v>
      </c>
      <c r="D28" s="0" t="s">
        <v>588</v>
      </c>
      <c r="E28" s="0" t="s">
        <v>655</v>
      </c>
      <c r="F28" s="0" t="n">
        <v>5</v>
      </c>
      <c r="G28" s="0" t="n">
        <v>0</v>
      </c>
      <c r="H28" s="0" t="s">
        <v>585</v>
      </c>
      <c r="K28" s="0" t="s">
        <v>590</v>
      </c>
      <c r="L28" s="0" t="s">
        <v>656</v>
      </c>
    </row>
    <row r="29" customFormat="false" ht="15" hidden="false" customHeight="false" outlineLevel="0" collapsed="false">
      <c r="A29" s="0" t="s">
        <v>61</v>
      </c>
      <c r="C29" s="0" t="s">
        <v>649</v>
      </c>
      <c r="D29" s="0" t="s">
        <v>127</v>
      </c>
      <c r="E29" s="0" t="s">
        <v>657</v>
      </c>
      <c r="F29" s="0" t="n">
        <v>5</v>
      </c>
      <c r="G29" s="0" t="n">
        <v>0</v>
      </c>
      <c r="H29" s="0" t="s">
        <v>585</v>
      </c>
      <c r="K29" s="0" t="s">
        <v>594</v>
      </c>
      <c r="L29" s="0" t="s">
        <v>658</v>
      </c>
    </row>
    <row r="30" customFormat="false" ht="15" hidden="false" customHeight="false" outlineLevel="0" collapsed="false">
      <c r="A30" s="0" t="s">
        <v>61</v>
      </c>
      <c r="B30" s="0" t="s">
        <v>303</v>
      </c>
      <c r="C30" s="0" t="s">
        <v>649</v>
      </c>
      <c r="D30" s="0" t="s">
        <v>130</v>
      </c>
      <c r="E30" s="0" t="s">
        <v>659</v>
      </c>
      <c r="F30" s="0" t="n">
        <v>5</v>
      </c>
      <c r="G30" s="0" t="n">
        <v>2</v>
      </c>
      <c r="H30" s="0" t="s">
        <v>585</v>
      </c>
      <c r="I30" s="0" t="s">
        <v>653</v>
      </c>
      <c r="K30" s="0" t="s">
        <v>597</v>
      </c>
      <c r="L30" s="0" t="s">
        <v>660</v>
      </c>
    </row>
    <row r="31" customFormat="false" ht="15" hidden="false" customHeight="false" outlineLevel="0" collapsed="false">
      <c r="A31" s="0" t="s">
        <v>61</v>
      </c>
      <c r="C31" s="0" t="s">
        <v>649</v>
      </c>
      <c r="D31" s="0" t="s">
        <v>133</v>
      </c>
      <c r="E31" s="0" t="s">
        <v>661</v>
      </c>
      <c r="F31" s="0" t="n">
        <v>0</v>
      </c>
      <c r="G31" s="0" t="n">
        <v>0</v>
      </c>
      <c r="H31" s="0" t="s">
        <v>580</v>
      </c>
      <c r="K31" s="0" t="s">
        <v>600</v>
      </c>
      <c r="L31" s="0" t="s">
        <v>662</v>
      </c>
    </row>
    <row r="32" customFormat="false" ht="15" hidden="false" customHeight="false" outlineLevel="0" collapsed="false">
      <c r="A32" s="0" t="s">
        <v>61</v>
      </c>
      <c r="B32" s="0" t="s">
        <v>303</v>
      </c>
      <c r="C32" s="0" t="s">
        <v>649</v>
      </c>
      <c r="D32" s="0" t="s">
        <v>141</v>
      </c>
      <c r="E32" s="0" t="s">
        <v>663</v>
      </c>
      <c r="F32" s="0" t="n">
        <v>5</v>
      </c>
      <c r="G32" s="0" t="n">
        <v>0</v>
      </c>
      <c r="H32" s="0" t="s">
        <v>585</v>
      </c>
      <c r="K32" s="0" t="s">
        <v>604</v>
      </c>
      <c r="L32" s="0" t="s">
        <v>664</v>
      </c>
    </row>
    <row r="33" customFormat="false" ht="15" hidden="false" customHeight="false" outlineLevel="0" collapsed="false">
      <c r="A33" s="0" t="s">
        <v>61</v>
      </c>
      <c r="C33" s="0" t="s">
        <v>649</v>
      </c>
      <c r="D33" s="0" t="s">
        <v>144</v>
      </c>
      <c r="E33" s="0" t="s">
        <v>665</v>
      </c>
      <c r="F33" s="0" t="n">
        <v>5</v>
      </c>
      <c r="G33" s="0" t="n">
        <v>0</v>
      </c>
      <c r="H33" s="0" t="s">
        <v>585</v>
      </c>
      <c r="K33" s="0" t="s">
        <v>607</v>
      </c>
      <c r="L33" s="0" t="s">
        <v>666</v>
      </c>
    </row>
    <row r="34" customFormat="false" ht="15" hidden="false" customHeight="false" outlineLevel="0" collapsed="false">
      <c r="A34" s="0" t="s">
        <v>61</v>
      </c>
      <c r="B34" s="0" t="s">
        <v>303</v>
      </c>
      <c r="C34" s="0" t="s">
        <v>649</v>
      </c>
      <c r="D34" s="0" t="s">
        <v>147</v>
      </c>
      <c r="E34" s="0" t="s">
        <v>667</v>
      </c>
      <c r="F34" s="0" t="n">
        <v>0</v>
      </c>
      <c r="G34" s="0" t="n">
        <v>1</v>
      </c>
      <c r="H34" s="0" t="s">
        <v>580</v>
      </c>
      <c r="I34" s="0" t="s">
        <v>630</v>
      </c>
      <c r="K34" s="0" t="s">
        <v>610</v>
      </c>
      <c r="L34" s="0" t="s">
        <v>668</v>
      </c>
    </row>
    <row r="35" customFormat="false" ht="15" hidden="false" customHeight="false" outlineLevel="0" collapsed="false">
      <c r="A35" s="0" t="s">
        <v>61</v>
      </c>
      <c r="B35" s="0" t="s">
        <v>345</v>
      </c>
      <c r="C35" s="0" t="s">
        <v>649</v>
      </c>
      <c r="D35" s="0" t="s">
        <v>150</v>
      </c>
      <c r="E35" s="0" t="s">
        <v>669</v>
      </c>
      <c r="F35" s="0" t="n">
        <v>0</v>
      </c>
      <c r="G35" s="0" t="n">
        <v>3</v>
      </c>
      <c r="H35" s="0" t="s">
        <v>580</v>
      </c>
      <c r="I35" s="0" t="s">
        <v>603</v>
      </c>
      <c r="K35" s="0" t="s">
        <v>613</v>
      </c>
      <c r="L35" s="0" t="s">
        <v>670</v>
      </c>
    </row>
    <row r="36" customFormat="false" ht="15" hidden="false" customHeight="false" outlineLevel="0" collapsed="false">
      <c r="A36" s="0" t="s">
        <v>61</v>
      </c>
      <c r="C36" s="0" t="s">
        <v>649</v>
      </c>
      <c r="D36" s="0" t="s">
        <v>153</v>
      </c>
      <c r="E36" s="0" t="s">
        <v>671</v>
      </c>
      <c r="F36" s="0" t="n">
        <v>5</v>
      </c>
      <c r="G36" s="0" t="n">
        <v>0</v>
      </c>
      <c r="H36" s="0" t="s">
        <v>585</v>
      </c>
      <c r="K36" s="0" t="s">
        <v>616</v>
      </c>
      <c r="L36" s="0" t="s">
        <v>672</v>
      </c>
    </row>
    <row r="37" customFormat="false" ht="15" hidden="false" customHeight="false" outlineLevel="0" collapsed="false">
      <c r="A37" s="0" t="s">
        <v>61</v>
      </c>
      <c r="C37" s="0" t="s">
        <v>649</v>
      </c>
      <c r="D37" s="0" t="s">
        <v>156</v>
      </c>
      <c r="E37" s="0" t="s">
        <v>673</v>
      </c>
      <c r="F37" s="0" t="n">
        <v>5</v>
      </c>
      <c r="G37" s="0" t="n">
        <v>0</v>
      </c>
      <c r="H37" s="0" t="s">
        <v>585</v>
      </c>
      <c r="K37" s="0" t="s">
        <v>620</v>
      </c>
      <c r="L37" s="0" t="s">
        <v>674</v>
      </c>
    </row>
    <row r="38" customFormat="false" ht="15" hidden="false" customHeight="false" outlineLevel="0" collapsed="false">
      <c r="A38" s="0" t="s">
        <v>61</v>
      </c>
      <c r="C38" s="0" t="s">
        <v>675</v>
      </c>
      <c r="D38" s="0" t="s">
        <v>578</v>
      </c>
      <c r="E38" s="0" t="s">
        <v>676</v>
      </c>
      <c r="F38" s="0" t="n">
        <v>0</v>
      </c>
      <c r="G38" s="0" t="n">
        <v>0</v>
      </c>
      <c r="H38" s="0" t="s">
        <v>580</v>
      </c>
      <c r="K38" s="0" t="s">
        <v>581</v>
      </c>
      <c r="L38" s="0" t="s">
        <v>677</v>
      </c>
    </row>
    <row r="39" customFormat="false" ht="15" hidden="false" customHeight="false" outlineLevel="0" collapsed="false">
      <c r="A39" s="0" t="s">
        <v>61</v>
      </c>
      <c r="C39" s="0" t="s">
        <v>675</v>
      </c>
      <c r="D39" s="0" t="s">
        <v>583</v>
      </c>
      <c r="E39" s="0" t="s">
        <v>678</v>
      </c>
      <c r="F39" s="0" t="n">
        <v>5</v>
      </c>
      <c r="G39" s="0" t="n">
        <v>0</v>
      </c>
      <c r="H39" s="0" t="s">
        <v>585</v>
      </c>
      <c r="K39" s="0" t="s">
        <v>586</v>
      </c>
      <c r="L39" s="0" t="s">
        <v>679</v>
      </c>
    </row>
    <row r="40" customFormat="false" ht="15" hidden="false" customHeight="false" outlineLevel="0" collapsed="false">
      <c r="A40" s="0" t="s">
        <v>61</v>
      </c>
      <c r="C40" s="0" t="s">
        <v>675</v>
      </c>
      <c r="D40" s="0" t="s">
        <v>588</v>
      </c>
      <c r="E40" s="0" t="s">
        <v>680</v>
      </c>
      <c r="F40" s="0" t="n">
        <v>5</v>
      </c>
      <c r="G40" s="0" t="n">
        <v>0</v>
      </c>
      <c r="H40" s="0" t="s">
        <v>585</v>
      </c>
      <c r="K40" s="0" t="s">
        <v>590</v>
      </c>
      <c r="L40" s="0" t="s">
        <v>681</v>
      </c>
    </row>
    <row r="41" customFormat="false" ht="15" hidden="false" customHeight="false" outlineLevel="0" collapsed="false">
      <c r="A41" s="0" t="s">
        <v>61</v>
      </c>
      <c r="C41" s="0" t="s">
        <v>675</v>
      </c>
      <c r="D41" s="0" t="s">
        <v>127</v>
      </c>
      <c r="E41" s="0" t="s">
        <v>682</v>
      </c>
      <c r="F41" s="0" t="n">
        <v>5</v>
      </c>
      <c r="G41" s="0" t="n">
        <v>0</v>
      </c>
      <c r="H41" s="0" t="s">
        <v>585</v>
      </c>
      <c r="K41" s="0" t="s">
        <v>594</v>
      </c>
      <c r="L41" s="0" t="s">
        <v>683</v>
      </c>
    </row>
    <row r="42" customFormat="false" ht="15" hidden="false" customHeight="false" outlineLevel="0" collapsed="false">
      <c r="A42" s="0" t="s">
        <v>61</v>
      </c>
      <c r="C42" s="0" t="s">
        <v>675</v>
      </c>
      <c r="D42" s="0" t="s">
        <v>130</v>
      </c>
      <c r="E42" s="0" t="s">
        <v>684</v>
      </c>
      <c r="F42" s="0" t="n">
        <v>5</v>
      </c>
      <c r="G42" s="0" t="n">
        <v>0</v>
      </c>
      <c r="H42" s="0" t="s">
        <v>585</v>
      </c>
      <c r="K42" s="0" t="s">
        <v>597</v>
      </c>
      <c r="L42" s="0" t="s">
        <v>685</v>
      </c>
    </row>
    <row r="43" customFormat="false" ht="15" hidden="false" customHeight="false" outlineLevel="0" collapsed="false">
      <c r="A43" s="0" t="s">
        <v>61</v>
      </c>
      <c r="C43" s="0" t="s">
        <v>675</v>
      </c>
      <c r="D43" s="0" t="s">
        <v>133</v>
      </c>
      <c r="E43" s="0" t="s">
        <v>686</v>
      </c>
      <c r="F43" s="0" t="n">
        <v>0</v>
      </c>
      <c r="G43" s="0" t="n">
        <v>0</v>
      </c>
      <c r="H43" s="0" t="s">
        <v>580</v>
      </c>
      <c r="K43" s="0" t="s">
        <v>600</v>
      </c>
      <c r="L43" s="0" t="s">
        <v>687</v>
      </c>
    </row>
    <row r="44" customFormat="false" ht="15" hidden="false" customHeight="false" outlineLevel="0" collapsed="false">
      <c r="A44" s="0" t="s">
        <v>61</v>
      </c>
      <c r="C44" s="0" t="s">
        <v>675</v>
      </c>
      <c r="D44" s="0" t="s">
        <v>141</v>
      </c>
      <c r="E44" s="0" t="s">
        <v>688</v>
      </c>
      <c r="F44" s="0" t="n">
        <v>5</v>
      </c>
      <c r="G44" s="0" t="n">
        <v>0</v>
      </c>
      <c r="H44" s="0" t="s">
        <v>585</v>
      </c>
      <c r="K44" s="0" t="s">
        <v>604</v>
      </c>
      <c r="L44" s="0" t="s">
        <v>689</v>
      </c>
    </row>
    <row r="45" customFormat="false" ht="15" hidden="false" customHeight="false" outlineLevel="0" collapsed="false">
      <c r="A45" s="0" t="s">
        <v>61</v>
      </c>
      <c r="B45" s="0" t="s">
        <v>266</v>
      </c>
      <c r="C45" s="0" t="s">
        <v>675</v>
      </c>
      <c r="D45" s="0" t="s">
        <v>144</v>
      </c>
      <c r="E45" s="0" t="s">
        <v>690</v>
      </c>
      <c r="F45" s="0" t="n">
        <v>5</v>
      </c>
      <c r="G45" s="0" t="n">
        <v>1</v>
      </c>
      <c r="H45" s="0" t="s">
        <v>585</v>
      </c>
      <c r="I45" s="0" t="s">
        <v>641</v>
      </c>
      <c r="K45" s="0" t="s">
        <v>607</v>
      </c>
      <c r="L45" s="0" t="s">
        <v>691</v>
      </c>
    </row>
    <row r="46" customFormat="false" ht="15" hidden="false" customHeight="false" outlineLevel="0" collapsed="false">
      <c r="A46" s="0" t="s">
        <v>61</v>
      </c>
      <c r="B46" s="0" t="s">
        <v>303</v>
      </c>
      <c r="C46" s="0" t="s">
        <v>675</v>
      </c>
      <c r="D46" s="0" t="s">
        <v>147</v>
      </c>
      <c r="E46" s="0" t="s">
        <v>692</v>
      </c>
      <c r="F46" s="0" t="n">
        <v>0</v>
      </c>
      <c r="G46" s="0" t="n">
        <v>1</v>
      </c>
      <c r="H46" s="0" t="s">
        <v>580</v>
      </c>
      <c r="I46" s="0" t="s">
        <v>641</v>
      </c>
      <c r="K46" s="0" t="s">
        <v>610</v>
      </c>
      <c r="L46" s="0" t="s">
        <v>693</v>
      </c>
    </row>
    <row r="47" customFormat="false" ht="15" hidden="false" customHeight="false" outlineLevel="0" collapsed="false">
      <c r="A47" s="0" t="s">
        <v>61</v>
      </c>
      <c r="B47" s="0" t="s">
        <v>266</v>
      </c>
      <c r="C47" s="0" t="s">
        <v>675</v>
      </c>
      <c r="D47" s="0" t="s">
        <v>150</v>
      </c>
      <c r="E47" s="0" t="s">
        <v>694</v>
      </c>
      <c r="F47" s="0" t="n">
        <v>0</v>
      </c>
      <c r="G47" s="0" t="n">
        <v>1</v>
      </c>
      <c r="H47" s="0" t="s">
        <v>580</v>
      </c>
      <c r="I47" s="0" t="s">
        <v>695</v>
      </c>
      <c r="K47" s="0" t="s">
        <v>613</v>
      </c>
      <c r="L47" s="0" t="s">
        <v>696</v>
      </c>
    </row>
    <row r="48" customFormat="false" ht="15" hidden="false" customHeight="false" outlineLevel="0" collapsed="false">
      <c r="A48" s="0" t="s">
        <v>61</v>
      </c>
      <c r="B48" s="0" t="s">
        <v>266</v>
      </c>
      <c r="C48" s="0" t="s">
        <v>675</v>
      </c>
      <c r="D48" s="0" t="s">
        <v>153</v>
      </c>
      <c r="E48" s="0" t="s">
        <v>697</v>
      </c>
      <c r="F48" s="0" t="n">
        <v>4</v>
      </c>
      <c r="G48" s="0" t="n">
        <v>4</v>
      </c>
      <c r="H48" s="0" t="s">
        <v>580</v>
      </c>
      <c r="I48" s="0" t="s">
        <v>641</v>
      </c>
      <c r="K48" s="0" t="s">
        <v>616</v>
      </c>
      <c r="L48" s="0" t="s">
        <v>698</v>
      </c>
    </row>
    <row r="49" customFormat="false" ht="15" hidden="false" customHeight="false" outlineLevel="0" collapsed="false">
      <c r="A49" s="0" t="s">
        <v>61</v>
      </c>
      <c r="C49" s="0" t="s">
        <v>675</v>
      </c>
      <c r="D49" s="0" t="s">
        <v>156</v>
      </c>
      <c r="E49" s="0" t="s">
        <v>699</v>
      </c>
      <c r="F49" s="0" t="n">
        <v>5</v>
      </c>
      <c r="G49" s="0" t="n">
        <v>0</v>
      </c>
      <c r="H49" s="0" t="s">
        <v>585</v>
      </c>
      <c r="K49" s="0" t="s">
        <v>620</v>
      </c>
      <c r="L49" s="0" t="s">
        <v>700</v>
      </c>
    </row>
    <row r="50" customFormat="false" ht="15" hidden="false" customHeight="false" outlineLevel="0" collapsed="false">
      <c r="A50" s="0" t="s">
        <v>61</v>
      </c>
      <c r="C50" s="0" t="s">
        <v>701</v>
      </c>
      <c r="D50" s="0" t="s">
        <v>578</v>
      </c>
      <c r="E50" s="0" t="s">
        <v>702</v>
      </c>
      <c r="F50" s="0" t="n">
        <v>0</v>
      </c>
      <c r="G50" s="0" t="n">
        <v>0</v>
      </c>
      <c r="H50" s="0" t="s">
        <v>580</v>
      </c>
      <c r="K50" s="0" t="s">
        <v>581</v>
      </c>
      <c r="L50" s="0" t="s">
        <v>703</v>
      </c>
    </row>
    <row r="51" customFormat="false" ht="15" hidden="false" customHeight="false" outlineLevel="0" collapsed="false">
      <c r="A51" s="0" t="s">
        <v>61</v>
      </c>
      <c r="B51" s="0" t="s">
        <v>303</v>
      </c>
      <c r="C51" s="0" t="s">
        <v>701</v>
      </c>
      <c r="D51" s="0" t="s">
        <v>583</v>
      </c>
      <c r="E51" s="0" t="s">
        <v>704</v>
      </c>
      <c r="F51" s="0" t="n">
        <v>5</v>
      </c>
      <c r="G51" s="0" t="n">
        <v>5</v>
      </c>
      <c r="H51" s="0" t="s">
        <v>580</v>
      </c>
      <c r="I51" s="0" t="s">
        <v>705</v>
      </c>
      <c r="K51" s="0" t="s">
        <v>586</v>
      </c>
      <c r="L51" s="0" t="s">
        <v>706</v>
      </c>
    </row>
    <row r="52" customFormat="false" ht="15" hidden="false" customHeight="false" outlineLevel="0" collapsed="false">
      <c r="A52" s="0" t="s">
        <v>61</v>
      </c>
      <c r="C52" s="0" t="s">
        <v>701</v>
      </c>
      <c r="D52" s="0" t="s">
        <v>588</v>
      </c>
      <c r="E52" s="0" t="s">
        <v>707</v>
      </c>
      <c r="F52" s="0" t="n">
        <v>5</v>
      </c>
      <c r="G52" s="0" t="n">
        <v>0</v>
      </c>
      <c r="H52" s="0" t="s">
        <v>585</v>
      </c>
      <c r="K52" s="0" t="s">
        <v>590</v>
      </c>
      <c r="L52" s="0" t="s">
        <v>708</v>
      </c>
    </row>
    <row r="53" customFormat="false" ht="15" hidden="false" customHeight="false" outlineLevel="0" collapsed="false">
      <c r="A53" s="0" t="s">
        <v>61</v>
      </c>
      <c r="C53" s="0" t="s">
        <v>701</v>
      </c>
      <c r="D53" s="0" t="s">
        <v>127</v>
      </c>
      <c r="E53" s="0" t="s">
        <v>709</v>
      </c>
      <c r="F53" s="0" t="n">
        <v>5</v>
      </c>
      <c r="G53" s="0" t="n">
        <v>0</v>
      </c>
      <c r="H53" s="0" t="s">
        <v>585</v>
      </c>
      <c r="K53" s="0" t="s">
        <v>594</v>
      </c>
      <c r="L53" s="0" t="s">
        <v>710</v>
      </c>
    </row>
    <row r="54" customFormat="false" ht="15" hidden="false" customHeight="false" outlineLevel="0" collapsed="false">
      <c r="A54" s="0" t="s">
        <v>61</v>
      </c>
      <c r="C54" s="0" t="s">
        <v>701</v>
      </c>
      <c r="D54" s="0" t="s">
        <v>130</v>
      </c>
      <c r="E54" s="0" t="s">
        <v>711</v>
      </c>
      <c r="F54" s="0" t="n">
        <v>5</v>
      </c>
      <c r="G54" s="0" t="n">
        <v>0</v>
      </c>
      <c r="H54" s="0" t="s">
        <v>585</v>
      </c>
      <c r="K54" s="0" t="s">
        <v>597</v>
      </c>
      <c r="L54" s="0" t="s">
        <v>712</v>
      </c>
    </row>
    <row r="55" customFormat="false" ht="15" hidden="false" customHeight="false" outlineLevel="0" collapsed="false">
      <c r="A55" s="0" t="s">
        <v>61</v>
      </c>
      <c r="C55" s="0" t="s">
        <v>701</v>
      </c>
      <c r="D55" s="0" t="s">
        <v>133</v>
      </c>
      <c r="E55" s="0" t="s">
        <v>713</v>
      </c>
      <c r="F55" s="0" t="n">
        <v>0</v>
      </c>
      <c r="G55" s="0" t="n">
        <v>0</v>
      </c>
      <c r="H55" s="0" t="s">
        <v>580</v>
      </c>
      <c r="K55" s="0" t="s">
        <v>600</v>
      </c>
      <c r="L55" s="0" t="s">
        <v>714</v>
      </c>
    </row>
    <row r="56" customFormat="false" ht="15" hidden="false" customHeight="false" outlineLevel="0" collapsed="false">
      <c r="A56" s="0" t="s">
        <v>61</v>
      </c>
      <c r="C56" s="0" t="s">
        <v>701</v>
      </c>
      <c r="D56" s="0" t="s">
        <v>141</v>
      </c>
      <c r="E56" s="0" t="s">
        <v>715</v>
      </c>
      <c r="F56" s="0" t="n">
        <v>5</v>
      </c>
      <c r="G56" s="0" t="n">
        <v>0</v>
      </c>
      <c r="H56" s="0" t="s">
        <v>585</v>
      </c>
      <c r="K56" s="0" t="s">
        <v>604</v>
      </c>
      <c r="L56" s="0" t="s">
        <v>716</v>
      </c>
    </row>
    <row r="57" customFormat="false" ht="15" hidden="false" customHeight="false" outlineLevel="0" collapsed="false">
      <c r="A57" s="0" t="s">
        <v>61</v>
      </c>
      <c r="B57" s="0" t="s">
        <v>266</v>
      </c>
      <c r="C57" s="0" t="s">
        <v>701</v>
      </c>
      <c r="D57" s="0" t="s">
        <v>144</v>
      </c>
      <c r="E57" s="0" t="s">
        <v>717</v>
      </c>
      <c r="F57" s="0" t="n">
        <v>4</v>
      </c>
      <c r="G57" s="0" t="n">
        <v>3</v>
      </c>
      <c r="H57" s="0" t="s">
        <v>585</v>
      </c>
      <c r="I57" s="0" t="s">
        <v>641</v>
      </c>
      <c r="K57" s="0" t="s">
        <v>607</v>
      </c>
      <c r="L57" s="0" t="s">
        <v>718</v>
      </c>
    </row>
    <row r="58" customFormat="false" ht="15" hidden="false" customHeight="false" outlineLevel="0" collapsed="false">
      <c r="A58" s="0" t="s">
        <v>61</v>
      </c>
      <c r="B58" s="0" t="s">
        <v>345</v>
      </c>
      <c r="C58" s="0" t="s">
        <v>701</v>
      </c>
      <c r="D58" s="0" t="s">
        <v>147</v>
      </c>
      <c r="E58" s="0" t="s">
        <v>719</v>
      </c>
      <c r="F58" s="0" t="n">
        <v>4</v>
      </c>
      <c r="G58" s="0" t="n">
        <v>3</v>
      </c>
      <c r="H58" s="0" t="s">
        <v>585</v>
      </c>
      <c r="I58" s="0" t="s">
        <v>720</v>
      </c>
      <c r="K58" s="0" t="s">
        <v>610</v>
      </c>
      <c r="L58" s="0" t="s">
        <v>721</v>
      </c>
    </row>
    <row r="59" customFormat="false" ht="15" hidden="false" customHeight="false" outlineLevel="0" collapsed="false">
      <c r="A59" s="0" t="s">
        <v>61</v>
      </c>
      <c r="B59" s="0" t="s">
        <v>266</v>
      </c>
      <c r="C59" s="0" t="s">
        <v>701</v>
      </c>
      <c r="D59" s="0" t="s">
        <v>150</v>
      </c>
      <c r="E59" s="0" t="s">
        <v>722</v>
      </c>
      <c r="F59" s="0" t="n">
        <v>4</v>
      </c>
      <c r="G59" s="0" t="n">
        <v>4</v>
      </c>
      <c r="H59" s="0" t="s">
        <v>580</v>
      </c>
      <c r="I59" s="0" t="s">
        <v>705</v>
      </c>
      <c r="K59" s="0" t="s">
        <v>613</v>
      </c>
      <c r="L59" s="0" t="s">
        <v>723</v>
      </c>
    </row>
    <row r="60" customFormat="false" ht="15" hidden="false" customHeight="false" outlineLevel="0" collapsed="false">
      <c r="A60" s="0" t="s">
        <v>61</v>
      </c>
      <c r="B60" s="0" t="s">
        <v>345</v>
      </c>
      <c r="C60" s="0" t="s">
        <v>701</v>
      </c>
      <c r="D60" s="0" t="s">
        <v>153</v>
      </c>
      <c r="E60" s="0" t="s">
        <v>724</v>
      </c>
      <c r="F60" s="0" t="n">
        <v>4</v>
      </c>
      <c r="G60" s="0" t="n">
        <v>3</v>
      </c>
      <c r="H60" s="0" t="s">
        <v>585</v>
      </c>
      <c r="I60" s="0" t="s">
        <v>641</v>
      </c>
      <c r="K60" s="0" t="s">
        <v>616</v>
      </c>
      <c r="L60" s="0" t="s">
        <v>725</v>
      </c>
    </row>
    <row r="61" customFormat="false" ht="15" hidden="false" customHeight="false" outlineLevel="0" collapsed="false">
      <c r="A61" s="0" t="s">
        <v>61</v>
      </c>
      <c r="B61" s="0" t="s">
        <v>303</v>
      </c>
      <c r="C61" s="0" t="s">
        <v>701</v>
      </c>
      <c r="D61" s="0" t="s">
        <v>156</v>
      </c>
      <c r="E61" s="0" t="s">
        <v>726</v>
      </c>
      <c r="F61" s="0" t="n">
        <v>5</v>
      </c>
      <c r="G61" s="0" t="n">
        <v>5</v>
      </c>
      <c r="H61" s="0" t="s">
        <v>580</v>
      </c>
      <c r="I61" s="0" t="s">
        <v>653</v>
      </c>
      <c r="K61" s="0" t="s">
        <v>620</v>
      </c>
      <c r="L61" s="0" t="s">
        <v>727</v>
      </c>
    </row>
    <row r="62" customFormat="false" ht="15" hidden="false" customHeight="false" outlineLevel="0" collapsed="false">
      <c r="A62" s="0" t="s">
        <v>61</v>
      </c>
      <c r="C62" s="0" t="s">
        <v>728</v>
      </c>
      <c r="D62" s="0" t="s">
        <v>578</v>
      </c>
      <c r="E62" s="0" t="s">
        <v>729</v>
      </c>
      <c r="F62" s="0" t="n">
        <v>0</v>
      </c>
      <c r="G62" s="0" t="n">
        <v>0</v>
      </c>
      <c r="H62" s="0" t="s">
        <v>580</v>
      </c>
      <c r="K62" s="0" t="s">
        <v>581</v>
      </c>
      <c r="L62" s="0" t="s">
        <v>730</v>
      </c>
    </row>
    <row r="63" customFormat="false" ht="15" hidden="false" customHeight="false" outlineLevel="0" collapsed="false">
      <c r="A63" s="0" t="s">
        <v>61</v>
      </c>
      <c r="B63" s="0" t="s">
        <v>303</v>
      </c>
      <c r="C63" s="0" t="s">
        <v>728</v>
      </c>
      <c r="D63" s="0" t="s">
        <v>583</v>
      </c>
      <c r="E63" s="0" t="s">
        <v>731</v>
      </c>
      <c r="F63" s="0" t="n">
        <v>5</v>
      </c>
      <c r="G63" s="0" t="n">
        <v>5</v>
      </c>
      <c r="H63" s="0" t="s">
        <v>580</v>
      </c>
      <c r="I63" s="0" t="s">
        <v>732</v>
      </c>
      <c r="K63" s="0" t="s">
        <v>586</v>
      </c>
      <c r="L63" s="0" t="s">
        <v>733</v>
      </c>
    </row>
    <row r="64" customFormat="false" ht="15" hidden="false" customHeight="false" outlineLevel="0" collapsed="false">
      <c r="A64" s="0" t="s">
        <v>61</v>
      </c>
      <c r="B64" s="0" t="s">
        <v>303</v>
      </c>
      <c r="C64" s="0" t="s">
        <v>728</v>
      </c>
      <c r="D64" s="0" t="s">
        <v>588</v>
      </c>
      <c r="E64" s="0" t="s">
        <v>734</v>
      </c>
      <c r="F64" s="0" t="n">
        <v>5</v>
      </c>
      <c r="G64" s="0" t="n">
        <v>5</v>
      </c>
      <c r="H64" s="0" t="s">
        <v>580</v>
      </c>
      <c r="I64" s="0" t="s">
        <v>619</v>
      </c>
      <c r="K64" s="0" t="s">
        <v>590</v>
      </c>
      <c r="L64" s="0" t="s">
        <v>735</v>
      </c>
    </row>
    <row r="65" customFormat="false" ht="15" hidden="false" customHeight="false" outlineLevel="0" collapsed="false">
      <c r="A65" s="0" t="s">
        <v>61</v>
      </c>
      <c r="B65" s="0" t="s">
        <v>303</v>
      </c>
      <c r="C65" s="0" t="s">
        <v>728</v>
      </c>
      <c r="D65" s="0" t="s">
        <v>127</v>
      </c>
      <c r="E65" s="0" t="s">
        <v>736</v>
      </c>
      <c r="F65" s="0" t="n">
        <v>5</v>
      </c>
      <c r="G65" s="0" t="n">
        <v>5</v>
      </c>
      <c r="H65" s="0" t="s">
        <v>580</v>
      </c>
      <c r="I65" s="0" t="s">
        <v>619</v>
      </c>
      <c r="K65" s="0" t="s">
        <v>594</v>
      </c>
      <c r="L65" s="0" t="s">
        <v>737</v>
      </c>
    </row>
    <row r="66" customFormat="false" ht="15" hidden="false" customHeight="false" outlineLevel="0" collapsed="false">
      <c r="A66" s="0" t="s">
        <v>61</v>
      </c>
      <c r="B66" s="0" t="s">
        <v>345</v>
      </c>
      <c r="C66" s="0" t="s">
        <v>728</v>
      </c>
      <c r="D66" s="0" t="s">
        <v>130</v>
      </c>
      <c r="E66" s="0" t="s">
        <v>738</v>
      </c>
      <c r="F66" s="0" t="n">
        <v>4</v>
      </c>
      <c r="G66" s="0" t="n">
        <v>4</v>
      </c>
      <c r="H66" s="0" t="s">
        <v>580</v>
      </c>
      <c r="I66" s="0" t="s">
        <v>641</v>
      </c>
      <c r="K66" s="0" t="s">
        <v>597</v>
      </c>
      <c r="L66" s="0" t="s">
        <v>739</v>
      </c>
    </row>
    <row r="67" customFormat="false" ht="15" hidden="false" customHeight="false" outlineLevel="0" collapsed="false">
      <c r="A67" s="0" t="s">
        <v>61</v>
      </c>
      <c r="B67" s="0" t="s">
        <v>345</v>
      </c>
      <c r="C67" s="0" t="s">
        <v>728</v>
      </c>
      <c r="D67" s="0" t="s">
        <v>133</v>
      </c>
      <c r="E67" s="0" t="s">
        <v>740</v>
      </c>
      <c r="F67" s="0" t="n">
        <v>4</v>
      </c>
      <c r="G67" s="0" t="n">
        <v>2</v>
      </c>
      <c r="H67" s="0" t="s">
        <v>585</v>
      </c>
      <c r="I67" s="0" t="s">
        <v>695</v>
      </c>
      <c r="K67" s="0" t="s">
        <v>600</v>
      </c>
      <c r="L67" s="0" t="s">
        <v>741</v>
      </c>
    </row>
    <row r="68" customFormat="false" ht="15" hidden="false" customHeight="false" outlineLevel="0" collapsed="false">
      <c r="A68" s="0" t="s">
        <v>61</v>
      </c>
      <c r="B68" s="0" t="s">
        <v>303</v>
      </c>
      <c r="C68" s="0" t="s">
        <v>728</v>
      </c>
      <c r="D68" s="0" t="s">
        <v>141</v>
      </c>
      <c r="E68" s="0" t="s">
        <v>742</v>
      </c>
      <c r="F68" s="0" t="n">
        <v>5</v>
      </c>
      <c r="G68" s="0" t="n">
        <v>5</v>
      </c>
      <c r="H68" s="0" t="s">
        <v>580</v>
      </c>
      <c r="I68" s="0" t="s">
        <v>593</v>
      </c>
      <c r="K68" s="0" t="s">
        <v>604</v>
      </c>
      <c r="L68" s="0" t="s">
        <v>743</v>
      </c>
    </row>
    <row r="69" customFormat="false" ht="15" hidden="false" customHeight="false" outlineLevel="0" collapsed="false">
      <c r="A69" s="0" t="s">
        <v>61</v>
      </c>
      <c r="B69" s="0" t="s">
        <v>266</v>
      </c>
      <c r="C69" s="0" t="s">
        <v>728</v>
      </c>
      <c r="D69" s="0" t="s">
        <v>144</v>
      </c>
      <c r="E69" s="0" t="s">
        <v>744</v>
      </c>
      <c r="F69" s="0" t="n">
        <v>4</v>
      </c>
      <c r="G69" s="0" t="n">
        <v>4</v>
      </c>
      <c r="H69" s="0" t="s">
        <v>580</v>
      </c>
      <c r="I69" s="0" t="s">
        <v>695</v>
      </c>
      <c r="K69" s="0" t="s">
        <v>607</v>
      </c>
      <c r="L69" s="0" t="s">
        <v>745</v>
      </c>
    </row>
    <row r="70" customFormat="false" ht="15" hidden="false" customHeight="false" outlineLevel="0" collapsed="false">
      <c r="A70" s="0" t="s">
        <v>61</v>
      </c>
      <c r="B70" s="0" t="s">
        <v>303</v>
      </c>
      <c r="C70" s="0" t="s">
        <v>728</v>
      </c>
      <c r="D70" s="0" t="s">
        <v>147</v>
      </c>
      <c r="E70" s="0" t="s">
        <v>746</v>
      </c>
      <c r="F70" s="0" t="n">
        <v>5</v>
      </c>
      <c r="G70" s="0" t="n">
        <v>5</v>
      </c>
      <c r="H70" s="0" t="s">
        <v>580</v>
      </c>
      <c r="I70" s="0" t="s">
        <v>732</v>
      </c>
      <c r="K70" s="0" t="s">
        <v>610</v>
      </c>
      <c r="L70" s="0" t="s">
        <v>747</v>
      </c>
    </row>
    <row r="71" customFormat="false" ht="15" hidden="false" customHeight="false" outlineLevel="0" collapsed="false">
      <c r="A71" s="0" t="s">
        <v>61</v>
      </c>
      <c r="B71" s="0" t="s">
        <v>345</v>
      </c>
      <c r="C71" s="0" t="s">
        <v>728</v>
      </c>
      <c r="D71" s="0" t="s">
        <v>150</v>
      </c>
      <c r="E71" s="0" t="s">
        <v>748</v>
      </c>
      <c r="F71" s="0" t="n">
        <v>4</v>
      </c>
      <c r="G71" s="0" t="n">
        <v>4</v>
      </c>
      <c r="H71" s="0" t="s">
        <v>580</v>
      </c>
      <c r="I71" s="0" t="s">
        <v>695</v>
      </c>
      <c r="K71" s="0" t="s">
        <v>613</v>
      </c>
      <c r="L71" s="0" t="s">
        <v>749</v>
      </c>
    </row>
    <row r="72" customFormat="false" ht="15" hidden="false" customHeight="false" outlineLevel="0" collapsed="false">
      <c r="A72" s="0" t="s">
        <v>61</v>
      </c>
      <c r="B72" s="0" t="s">
        <v>303</v>
      </c>
      <c r="C72" s="0" t="s">
        <v>728</v>
      </c>
      <c r="D72" s="0" t="s">
        <v>153</v>
      </c>
      <c r="E72" s="0" t="s">
        <v>750</v>
      </c>
      <c r="F72" s="0" t="n">
        <v>5</v>
      </c>
      <c r="G72" s="0" t="n">
        <v>4</v>
      </c>
      <c r="H72" s="0" t="s">
        <v>585</v>
      </c>
      <c r="I72" s="0" t="s">
        <v>593</v>
      </c>
      <c r="K72" s="0" t="s">
        <v>616</v>
      </c>
      <c r="L72" s="0" t="s">
        <v>751</v>
      </c>
    </row>
    <row r="73" customFormat="false" ht="15" hidden="false" customHeight="false" outlineLevel="0" collapsed="false">
      <c r="A73" s="0" t="s">
        <v>61</v>
      </c>
      <c r="C73" s="0" t="s">
        <v>728</v>
      </c>
      <c r="D73" s="0" t="s">
        <v>156</v>
      </c>
      <c r="E73" s="0" t="s">
        <v>752</v>
      </c>
      <c r="F73" s="0" t="n">
        <v>5</v>
      </c>
      <c r="G73" s="0" t="n">
        <v>0</v>
      </c>
      <c r="H73" s="0" t="s">
        <v>585</v>
      </c>
      <c r="K73" s="0" t="s">
        <v>620</v>
      </c>
      <c r="L73" s="0" t="s">
        <v>753</v>
      </c>
    </row>
    <row r="74" customFormat="false" ht="15" hidden="false" customHeight="false" outlineLevel="0" collapsed="false">
      <c r="A74" s="0" t="s">
        <v>61</v>
      </c>
      <c r="C74" s="0" t="s">
        <v>754</v>
      </c>
      <c r="D74" s="0" t="s">
        <v>578</v>
      </c>
      <c r="E74" s="0" t="s">
        <v>755</v>
      </c>
      <c r="F74" s="0" t="n">
        <v>0</v>
      </c>
      <c r="G74" s="0" t="n">
        <v>0</v>
      </c>
      <c r="H74" s="0" t="s">
        <v>580</v>
      </c>
      <c r="K74" s="0" t="s">
        <v>581</v>
      </c>
      <c r="L74" s="0" t="s">
        <v>756</v>
      </c>
    </row>
    <row r="75" customFormat="false" ht="15" hidden="false" customHeight="false" outlineLevel="0" collapsed="false">
      <c r="A75" s="0" t="s">
        <v>61</v>
      </c>
      <c r="B75" s="0" t="s">
        <v>303</v>
      </c>
      <c r="C75" s="0" t="s">
        <v>754</v>
      </c>
      <c r="D75" s="0" t="s">
        <v>583</v>
      </c>
      <c r="E75" s="0" t="s">
        <v>757</v>
      </c>
      <c r="F75" s="0" t="n">
        <v>5</v>
      </c>
      <c r="G75" s="0" t="n">
        <v>5</v>
      </c>
      <c r="H75" s="0" t="s">
        <v>580</v>
      </c>
      <c r="I75" s="0" t="s">
        <v>619</v>
      </c>
      <c r="K75" s="0" t="s">
        <v>586</v>
      </c>
      <c r="L75" s="0" t="s">
        <v>758</v>
      </c>
    </row>
    <row r="76" customFormat="false" ht="15" hidden="false" customHeight="false" outlineLevel="0" collapsed="false">
      <c r="A76" s="0" t="s">
        <v>61</v>
      </c>
      <c r="B76" s="0" t="s">
        <v>303</v>
      </c>
      <c r="C76" s="0" t="s">
        <v>754</v>
      </c>
      <c r="D76" s="0" t="s">
        <v>588</v>
      </c>
      <c r="E76" s="0" t="s">
        <v>759</v>
      </c>
      <c r="F76" s="0" t="n">
        <v>5</v>
      </c>
      <c r="G76" s="0" t="n">
        <v>5</v>
      </c>
      <c r="H76" s="0" t="s">
        <v>580</v>
      </c>
      <c r="I76" s="0" t="s">
        <v>630</v>
      </c>
      <c r="K76" s="0" t="s">
        <v>590</v>
      </c>
      <c r="L76" s="0" t="s">
        <v>760</v>
      </c>
    </row>
    <row r="77" customFormat="false" ht="15" hidden="false" customHeight="false" outlineLevel="0" collapsed="false">
      <c r="A77" s="0" t="s">
        <v>61</v>
      </c>
      <c r="B77" s="0" t="s">
        <v>303</v>
      </c>
      <c r="C77" s="0" t="s">
        <v>754</v>
      </c>
      <c r="D77" s="0" t="s">
        <v>127</v>
      </c>
      <c r="E77" s="0" t="s">
        <v>761</v>
      </c>
      <c r="F77" s="0" t="n">
        <v>5</v>
      </c>
      <c r="G77" s="0" t="n">
        <v>4</v>
      </c>
      <c r="H77" s="0" t="s">
        <v>585</v>
      </c>
      <c r="I77" s="0" t="s">
        <v>653</v>
      </c>
      <c r="K77" s="0" t="s">
        <v>594</v>
      </c>
      <c r="L77" s="0" t="s">
        <v>762</v>
      </c>
    </row>
    <row r="78" customFormat="false" ht="15" hidden="false" customHeight="false" outlineLevel="0" collapsed="false">
      <c r="A78" s="0" t="s">
        <v>61</v>
      </c>
      <c r="B78" s="0" t="s">
        <v>345</v>
      </c>
      <c r="C78" s="0" t="s">
        <v>754</v>
      </c>
      <c r="D78" s="0" t="s">
        <v>130</v>
      </c>
      <c r="E78" s="0" t="s">
        <v>763</v>
      </c>
      <c r="F78" s="0" t="n">
        <v>4</v>
      </c>
      <c r="G78" s="0" t="n">
        <v>4</v>
      </c>
      <c r="H78" s="0" t="s">
        <v>580</v>
      </c>
      <c r="I78" s="0" t="s">
        <v>603</v>
      </c>
      <c r="K78" s="0" t="s">
        <v>597</v>
      </c>
      <c r="L78" s="0" t="s">
        <v>764</v>
      </c>
    </row>
    <row r="79" customFormat="false" ht="15" hidden="false" customHeight="false" outlineLevel="0" collapsed="false">
      <c r="A79" s="0" t="s">
        <v>61</v>
      </c>
      <c r="C79" s="0" t="s">
        <v>754</v>
      </c>
      <c r="D79" s="0" t="s">
        <v>133</v>
      </c>
      <c r="E79" s="0" t="s">
        <v>765</v>
      </c>
      <c r="F79" s="0" t="n">
        <v>5</v>
      </c>
      <c r="G79" s="0" t="n">
        <v>0</v>
      </c>
      <c r="H79" s="0" t="s">
        <v>585</v>
      </c>
      <c r="K79" s="0" t="s">
        <v>600</v>
      </c>
      <c r="L79" s="0" t="s">
        <v>766</v>
      </c>
    </row>
    <row r="80" customFormat="false" ht="15" hidden="false" customHeight="false" outlineLevel="0" collapsed="false">
      <c r="A80" s="0" t="s">
        <v>61</v>
      </c>
      <c r="B80" s="0" t="s">
        <v>303</v>
      </c>
      <c r="C80" s="0" t="s">
        <v>754</v>
      </c>
      <c r="D80" s="0" t="s">
        <v>141</v>
      </c>
      <c r="E80" s="0" t="s">
        <v>767</v>
      </c>
      <c r="F80" s="0" t="n">
        <v>5</v>
      </c>
      <c r="G80" s="0" t="n">
        <v>3</v>
      </c>
      <c r="H80" s="0" t="s">
        <v>585</v>
      </c>
      <c r="I80" s="0" t="s">
        <v>732</v>
      </c>
      <c r="K80" s="0" t="s">
        <v>604</v>
      </c>
      <c r="L80" s="0" t="s">
        <v>768</v>
      </c>
    </row>
    <row r="81" customFormat="false" ht="15" hidden="false" customHeight="false" outlineLevel="0" collapsed="false">
      <c r="A81" s="0" t="s">
        <v>61</v>
      </c>
      <c r="B81" s="0" t="s">
        <v>266</v>
      </c>
      <c r="C81" s="0" t="s">
        <v>754</v>
      </c>
      <c r="D81" s="0" t="s">
        <v>144</v>
      </c>
      <c r="E81" s="0" t="s">
        <v>769</v>
      </c>
      <c r="F81" s="0" t="n">
        <v>4</v>
      </c>
      <c r="G81" s="0" t="n">
        <v>4</v>
      </c>
      <c r="H81" s="0" t="s">
        <v>580</v>
      </c>
      <c r="I81" s="0" t="s">
        <v>593</v>
      </c>
      <c r="K81" s="0" t="s">
        <v>607</v>
      </c>
      <c r="L81" s="0" t="s">
        <v>770</v>
      </c>
    </row>
    <row r="82" customFormat="false" ht="15" hidden="false" customHeight="false" outlineLevel="0" collapsed="false">
      <c r="A82" s="0" t="s">
        <v>61</v>
      </c>
      <c r="B82" s="0" t="s">
        <v>303</v>
      </c>
      <c r="C82" s="0" t="s">
        <v>754</v>
      </c>
      <c r="D82" s="0" t="s">
        <v>147</v>
      </c>
      <c r="E82" s="0" t="s">
        <v>771</v>
      </c>
      <c r="F82" s="0" t="n">
        <v>5</v>
      </c>
      <c r="G82" s="0" t="n">
        <v>4</v>
      </c>
      <c r="H82" s="0" t="s">
        <v>585</v>
      </c>
      <c r="I82" s="0" t="s">
        <v>630</v>
      </c>
      <c r="K82" s="0" t="s">
        <v>610</v>
      </c>
      <c r="L82" s="0" t="s">
        <v>772</v>
      </c>
    </row>
    <row r="83" customFormat="false" ht="15" hidden="false" customHeight="false" outlineLevel="0" collapsed="false">
      <c r="A83" s="0" t="s">
        <v>61</v>
      </c>
      <c r="B83" s="0" t="s">
        <v>266</v>
      </c>
      <c r="C83" s="0" t="s">
        <v>754</v>
      </c>
      <c r="D83" s="0" t="s">
        <v>150</v>
      </c>
      <c r="E83" s="0" t="s">
        <v>773</v>
      </c>
      <c r="F83" s="0" t="n">
        <v>4</v>
      </c>
      <c r="G83" s="0" t="n">
        <v>2</v>
      </c>
      <c r="H83" s="0" t="s">
        <v>585</v>
      </c>
      <c r="I83" s="0" t="s">
        <v>630</v>
      </c>
      <c r="K83" s="0" t="s">
        <v>613</v>
      </c>
      <c r="L83" s="0" t="s">
        <v>774</v>
      </c>
    </row>
    <row r="84" customFormat="false" ht="15" hidden="false" customHeight="false" outlineLevel="0" collapsed="false">
      <c r="A84" s="0" t="s">
        <v>61</v>
      </c>
      <c r="B84" s="0" t="s">
        <v>345</v>
      </c>
      <c r="C84" s="0" t="s">
        <v>754</v>
      </c>
      <c r="D84" s="0" t="s">
        <v>153</v>
      </c>
      <c r="E84" s="0" t="s">
        <v>775</v>
      </c>
      <c r="F84" s="0" t="n">
        <v>4</v>
      </c>
      <c r="G84" s="0" t="n">
        <v>1</v>
      </c>
      <c r="H84" s="0" t="s">
        <v>585</v>
      </c>
      <c r="I84" s="0" t="s">
        <v>720</v>
      </c>
      <c r="K84" s="0" t="s">
        <v>616</v>
      </c>
      <c r="L84" s="0" t="s">
        <v>776</v>
      </c>
    </row>
    <row r="85" customFormat="false" ht="15" hidden="false" customHeight="false" outlineLevel="0" collapsed="false">
      <c r="A85" s="0" t="s">
        <v>61</v>
      </c>
      <c r="C85" s="0" t="s">
        <v>754</v>
      </c>
      <c r="D85" s="0" t="s">
        <v>156</v>
      </c>
      <c r="E85" s="0" t="s">
        <v>777</v>
      </c>
      <c r="F85" s="0" t="n">
        <v>5</v>
      </c>
      <c r="G85" s="0" t="n">
        <v>0</v>
      </c>
      <c r="H85" s="0" t="s">
        <v>585</v>
      </c>
      <c r="K85" s="0" t="s">
        <v>620</v>
      </c>
      <c r="L85" s="0" t="s">
        <v>778</v>
      </c>
    </row>
    <row r="86" customFormat="false" ht="15" hidden="false" customHeight="false" outlineLevel="0" collapsed="false">
      <c r="A86" s="0" t="s">
        <v>61</v>
      </c>
      <c r="B86" s="0" t="s">
        <v>779</v>
      </c>
      <c r="C86" s="0" t="s">
        <v>577</v>
      </c>
      <c r="D86" s="0" t="s">
        <v>780</v>
      </c>
      <c r="E86" s="0" t="s">
        <v>781</v>
      </c>
      <c r="F86" s="0" t="n">
        <v>8</v>
      </c>
      <c r="G86" s="0" t="n">
        <v>0</v>
      </c>
      <c r="H86" s="0" t="s">
        <v>585</v>
      </c>
      <c r="K86" s="0" t="s">
        <v>782</v>
      </c>
      <c r="L86" s="0" t="s">
        <v>783</v>
      </c>
    </row>
    <row r="87" customFormat="false" ht="15" hidden="false" customHeight="false" outlineLevel="0" collapsed="false">
      <c r="A87" s="0" t="s">
        <v>61</v>
      </c>
      <c r="B87" s="0" t="s">
        <v>779</v>
      </c>
      <c r="C87" s="0" t="s">
        <v>622</v>
      </c>
      <c r="D87" s="0" t="s">
        <v>780</v>
      </c>
      <c r="E87" s="0" t="s">
        <v>784</v>
      </c>
      <c r="F87" s="0" t="n">
        <v>8</v>
      </c>
      <c r="G87" s="0" t="n">
        <v>0</v>
      </c>
      <c r="H87" s="0" t="s">
        <v>585</v>
      </c>
      <c r="K87" s="0" t="s">
        <v>782</v>
      </c>
      <c r="L87" s="0" t="s">
        <v>785</v>
      </c>
    </row>
    <row r="88" customFormat="false" ht="15" hidden="false" customHeight="false" outlineLevel="0" collapsed="false">
      <c r="A88" s="0" t="s">
        <v>61</v>
      </c>
      <c r="B88" s="0" t="s">
        <v>779</v>
      </c>
      <c r="C88" s="0" t="s">
        <v>649</v>
      </c>
      <c r="D88" s="0" t="s">
        <v>780</v>
      </c>
      <c r="E88" s="0" t="s">
        <v>786</v>
      </c>
      <c r="F88" s="0" t="n">
        <v>8</v>
      </c>
      <c r="G88" s="0" t="n">
        <v>0</v>
      </c>
      <c r="H88" s="0" t="s">
        <v>585</v>
      </c>
      <c r="K88" s="0" t="s">
        <v>782</v>
      </c>
      <c r="L88" s="0" t="s">
        <v>787</v>
      </c>
    </row>
    <row r="89" customFormat="false" ht="15" hidden="false" customHeight="false" outlineLevel="0" collapsed="false">
      <c r="A89" s="0" t="s">
        <v>61</v>
      </c>
      <c r="B89" s="0" t="s">
        <v>779</v>
      </c>
      <c r="C89" s="0" t="s">
        <v>675</v>
      </c>
      <c r="D89" s="0" t="s">
        <v>780</v>
      </c>
      <c r="E89" s="0" t="s">
        <v>788</v>
      </c>
      <c r="F89" s="0" t="n">
        <v>8</v>
      </c>
      <c r="G89" s="0" t="n">
        <v>0</v>
      </c>
      <c r="H89" s="0" t="s">
        <v>585</v>
      </c>
      <c r="K89" s="0" t="s">
        <v>782</v>
      </c>
      <c r="L89" s="0" t="s">
        <v>789</v>
      </c>
    </row>
    <row r="90" customFormat="false" ht="15" hidden="false" customHeight="false" outlineLevel="0" collapsed="false">
      <c r="A90" s="0" t="s">
        <v>61</v>
      </c>
      <c r="B90" s="0" t="s">
        <v>779</v>
      </c>
      <c r="C90" s="0" t="s">
        <v>701</v>
      </c>
      <c r="D90" s="0" t="s">
        <v>780</v>
      </c>
      <c r="E90" s="0" t="s">
        <v>790</v>
      </c>
      <c r="F90" s="0" t="n">
        <v>8</v>
      </c>
      <c r="G90" s="0" t="n">
        <v>0</v>
      </c>
      <c r="H90" s="0" t="s">
        <v>585</v>
      </c>
      <c r="K90" s="0" t="s">
        <v>782</v>
      </c>
      <c r="L90" s="0" t="s">
        <v>791</v>
      </c>
    </row>
    <row r="91" customFormat="false" ht="15" hidden="false" customHeight="false" outlineLevel="0" collapsed="false">
      <c r="A91" s="0" t="s">
        <v>61</v>
      </c>
      <c r="B91" s="0" t="s">
        <v>779</v>
      </c>
      <c r="C91" s="0" t="s">
        <v>728</v>
      </c>
      <c r="D91" s="0" t="s">
        <v>780</v>
      </c>
      <c r="E91" s="0" t="s">
        <v>792</v>
      </c>
      <c r="F91" s="0" t="n">
        <v>8</v>
      </c>
      <c r="G91" s="0" t="n">
        <v>0</v>
      </c>
      <c r="H91" s="0" t="s">
        <v>585</v>
      </c>
      <c r="K91" s="0" t="s">
        <v>782</v>
      </c>
      <c r="L91" s="0" t="s">
        <v>793</v>
      </c>
    </row>
    <row r="92" customFormat="false" ht="15" hidden="false" customHeight="false" outlineLevel="0" collapsed="false">
      <c r="A92" s="0" t="s">
        <v>61</v>
      </c>
      <c r="B92" s="0" t="s">
        <v>779</v>
      </c>
      <c r="C92" s="0" t="s">
        <v>754</v>
      </c>
      <c r="D92" s="0" t="s">
        <v>780</v>
      </c>
      <c r="E92" s="0" t="s">
        <v>794</v>
      </c>
      <c r="F92" s="0" t="n">
        <v>8</v>
      </c>
      <c r="G92" s="0" t="n">
        <v>0</v>
      </c>
      <c r="H92" s="0" t="s">
        <v>585</v>
      </c>
      <c r="K92" s="0" t="s">
        <v>782</v>
      </c>
      <c r="L92" s="0" t="s">
        <v>795</v>
      </c>
    </row>
    <row r="93" customFormat="false" ht="15" hidden="false" customHeight="false" outlineLevel="0" collapsed="false">
      <c r="A93" s="0" t="s">
        <v>61</v>
      </c>
      <c r="B93" s="0" t="s">
        <v>779</v>
      </c>
      <c r="C93" s="0" t="s">
        <v>577</v>
      </c>
      <c r="D93" s="0" t="s">
        <v>160</v>
      </c>
      <c r="E93" s="0" t="s">
        <v>796</v>
      </c>
      <c r="F93" s="0" t="n">
        <v>8</v>
      </c>
      <c r="G93" s="0" t="n">
        <v>0</v>
      </c>
      <c r="H93" s="0" t="s">
        <v>585</v>
      </c>
      <c r="K93" s="0" t="s">
        <v>782</v>
      </c>
      <c r="L93" s="0" t="s">
        <v>797</v>
      </c>
    </row>
    <row r="94" customFormat="false" ht="15" hidden="false" customHeight="false" outlineLevel="0" collapsed="false">
      <c r="A94" s="0" t="s">
        <v>61</v>
      </c>
      <c r="B94" s="0" t="s">
        <v>779</v>
      </c>
      <c r="C94" s="0" t="s">
        <v>622</v>
      </c>
      <c r="D94" s="0" t="s">
        <v>160</v>
      </c>
      <c r="E94" s="0" t="s">
        <v>798</v>
      </c>
      <c r="F94" s="0" t="n">
        <v>8</v>
      </c>
      <c r="G94" s="0" t="n">
        <v>0</v>
      </c>
      <c r="H94" s="0" t="s">
        <v>585</v>
      </c>
      <c r="K94" s="0" t="s">
        <v>782</v>
      </c>
      <c r="L94" s="0" t="s">
        <v>799</v>
      </c>
    </row>
    <row r="95" customFormat="false" ht="15" hidden="false" customHeight="false" outlineLevel="0" collapsed="false">
      <c r="A95" s="0" t="s">
        <v>61</v>
      </c>
      <c r="B95" s="0" t="s">
        <v>779</v>
      </c>
      <c r="C95" s="0" t="s">
        <v>649</v>
      </c>
      <c r="D95" s="0" t="s">
        <v>160</v>
      </c>
      <c r="E95" s="0" t="s">
        <v>800</v>
      </c>
      <c r="F95" s="0" t="n">
        <v>8</v>
      </c>
      <c r="G95" s="0" t="n">
        <v>0</v>
      </c>
      <c r="H95" s="0" t="s">
        <v>585</v>
      </c>
      <c r="K95" s="0" t="s">
        <v>782</v>
      </c>
      <c r="L95" s="0" t="s">
        <v>801</v>
      </c>
    </row>
    <row r="96" customFormat="false" ht="15" hidden="false" customHeight="false" outlineLevel="0" collapsed="false">
      <c r="A96" s="0" t="s">
        <v>61</v>
      </c>
      <c r="B96" s="0" t="s">
        <v>779</v>
      </c>
      <c r="C96" s="0" t="s">
        <v>675</v>
      </c>
      <c r="D96" s="0" t="s">
        <v>160</v>
      </c>
      <c r="E96" s="0" t="s">
        <v>802</v>
      </c>
      <c r="F96" s="0" t="n">
        <v>8</v>
      </c>
      <c r="G96" s="0" t="n">
        <v>0</v>
      </c>
      <c r="H96" s="0" t="s">
        <v>585</v>
      </c>
      <c r="K96" s="0" t="s">
        <v>782</v>
      </c>
      <c r="L96" s="0" t="s">
        <v>803</v>
      </c>
    </row>
    <row r="97" customFormat="false" ht="15" hidden="false" customHeight="false" outlineLevel="0" collapsed="false">
      <c r="A97" s="0" t="s">
        <v>61</v>
      </c>
      <c r="B97" s="0" t="s">
        <v>779</v>
      </c>
      <c r="C97" s="0" t="s">
        <v>701</v>
      </c>
      <c r="D97" s="0" t="s">
        <v>160</v>
      </c>
      <c r="E97" s="0" t="s">
        <v>804</v>
      </c>
      <c r="F97" s="0" t="n">
        <v>8</v>
      </c>
      <c r="G97" s="0" t="n">
        <v>0</v>
      </c>
      <c r="H97" s="0" t="s">
        <v>585</v>
      </c>
      <c r="K97" s="0" t="s">
        <v>782</v>
      </c>
      <c r="L97" s="0" t="s">
        <v>805</v>
      </c>
    </row>
    <row r="98" customFormat="false" ht="15" hidden="false" customHeight="false" outlineLevel="0" collapsed="false">
      <c r="A98" s="0" t="s">
        <v>61</v>
      </c>
      <c r="B98" s="0" t="s">
        <v>779</v>
      </c>
      <c r="C98" s="0" t="s">
        <v>728</v>
      </c>
      <c r="D98" s="0" t="s">
        <v>160</v>
      </c>
      <c r="E98" s="0" t="s">
        <v>806</v>
      </c>
      <c r="F98" s="0" t="n">
        <v>8</v>
      </c>
      <c r="G98" s="0" t="n">
        <v>0</v>
      </c>
      <c r="H98" s="0" t="s">
        <v>585</v>
      </c>
      <c r="K98" s="0" t="s">
        <v>782</v>
      </c>
      <c r="L98" s="0" t="s">
        <v>807</v>
      </c>
    </row>
    <row r="99" customFormat="false" ht="15" hidden="false" customHeight="false" outlineLevel="0" collapsed="false">
      <c r="A99" s="0" t="s">
        <v>61</v>
      </c>
      <c r="B99" s="0" t="s">
        <v>779</v>
      </c>
      <c r="C99" s="0" t="s">
        <v>754</v>
      </c>
      <c r="D99" s="0" t="s">
        <v>160</v>
      </c>
      <c r="E99" s="0" t="s">
        <v>808</v>
      </c>
      <c r="F99" s="0" t="n">
        <v>8</v>
      </c>
      <c r="G99" s="0" t="n">
        <v>0</v>
      </c>
      <c r="H99" s="0" t="s">
        <v>585</v>
      </c>
      <c r="K99" s="0" t="s">
        <v>782</v>
      </c>
      <c r="L99" s="0" t="s">
        <v>809</v>
      </c>
    </row>
    <row r="100" customFormat="false" ht="15" hidden="false" customHeight="false" outlineLevel="0" collapsed="false">
      <c r="A100" s="0" t="s">
        <v>61</v>
      </c>
      <c r="B100" s="0" t="s">
        <v>42</v>
      </c>
      <c r="C100" s="0" t="s">
        <v>810</v>
      </c>
      <c r="D100" s="0" t="s">
        <v>578</v>
      </c>
      <c r="E100" s="0" t="s">
        <v>811</v>
      </c>
      <c r="F100" s="0" t="n">
        <v>0</v>
      </c>
      <c r="G100" s="0" t="n">
        <v>0</v>
      </c>
      <c r="H100" s="0" t="s">
        <v>580</v>
      </c>
      <c r="K100" s="0" t="s">
        <v>581</v>
      </c>
      <c r="L100" s="0" t="s">
        <v>812</v>
      </c>
    </row>
    <row r="101" customFormat="false" ht="15" hidden="false" customHeight="false" outlineLevel="0" collapsed="false">
      <c r="A101" s="0" t="s">
        <v>61</v>
      </c>
      <c r="B101" s="0" t="s">
        <v>42</v>
      </c>
      <c r="C101" s="0" t="s">
        <v>810</v>
      </c>
      <c r="D101" s="0" t="s">
        <v>583</v>
      </c>
      <c r="E101" s="0" t="s">
        <v>813</v>
      </c>
      <c r="F101" s="0" t="n">
        <v>5</v>
      </c>
      <c r="G101" s="0" t="n">
        <v>3</v>
      </c>
      <c r="H101" s="0" t="s">
        <v>585</v>
      </c>
      <c r="I101" s="0" t="s">
        <v>630</v>
      </c>
      <c r="K101" s="0" t="s">
        <v>586</v>
      </c>
      <c r="L101" s="0" t="s">
        <v>814</v>
      </c>
    </row>
    <row r="102" customFormat="false" ht="15" hidden="false" customHeight="false" outlineLevel="0" collapsed="false">
      <c r="A102" s="0" t="s">
        <v>61</v>
      </c>
      <c r="B102" s="0" t="s">
        <v>42</v>
      </c>
      <c r="C102" s="0" t="s">
        <v>810</v>
      </c>
      <c r="D102" s="0" t="s">
        <v>588</v>
      </c>
      <c r="E102" s="0" t="s">
        <v>815</v>
      </c>
      <c r="F102" s="0" t="n">
        <v>5</v>
      </c>
      <c r="G102" s="0" t="n">
        <v>3</v>
      </c>
      <c r="H102" s="0" t="s">
        <v>585</v>
      </c>
      <c r="I102" s="0" t="s">
        <v>630</v>
      </c>
      <c r="K102" s="0" t="s">
        <v>590</v>
      </c>
      <c r="L102" s="0" t="s">
        <v>816</v>
      </c>
    </row>
    <row r="103" customFormat="false" ht="15" hidden="false" customHeight="false" outlineLevel="0" collapsed="false">
      <c r="A103" s="0" t="s">
        <v>61</v>
      </c>
      <c r="B103" s="0" t="s">
        <v>42</v>
      </c>
      <c r="C103" s="0" t="s">
        <v>810</v>
      </c>
      <c r="D103" s="0" t="s">
        <v>127</v>
      </c>
      <c r="E103" s="0" t="s">
        <v>817</v>
      </c>
      <c r="F103" s="0" t="n">
        <v>5</v>
      </c>
      <c r="G103" s="0" t="n">
        <v>0</v>
      </c>
      <c r="H103" s="0" t="s">
        <v>585</v>
      </c>
      <c r="K103" s="0" t="s">
        <v>594</v>
      </c>
      <c r="L103" s="0" t="s">
        <v>818</v>
      </c>
    </row>
    <row r="104" customFormat="false" ht="15" hidden="false" customHeight="false" outlineLevel="0" collapsed="false">
      <c r="A104" s="0" t="s">
        <v>61</v>
      </c>
      <c r="B104" s="0" t="s">
        <v>42</v>
      </c>
      <c r="C104" s="0" t="s">
        <v>810</v>
      </c>
      <c r="D104" s="0" t="s">
        <v>130</v>
      </c>
      <c r="E104" s="0" t="s">
        <v>819</v>
      </c>
      <c r="F104" s="0" t="n">
        <v>5</v>
      </c>
      <c r="G104" s="0" t="n">
        <v>0</v>
      </c>
      <c r="H104" s="0" t="s">
        <v>585</v>
      </c>
      <c r="K104" s="0" t="s">
        <v>597</v>
      </c>
      <c r="L104" s="0" t="s">
        <v>820</v>
      </c>
    </row>
    <row r="105" customFormat="false" ht="15" hidden="false" customHeight="false" outlineLevel="0" collapsed="false">
      <c r="A105" s="0" t="s">
        <v>61</v>
      </c>
      <c r="B105" s="0" t="s">
        <v>42</v>
      </c>
      <c r="C105" s="0" t="s">
        <v>810</v>
      </c>
      <c r="D105" s="0" t="s">
        <v>133</v>
      </c>
      <c r="E105" s="0" t="s">
        <v>821</v>
      </c>
      <c r="F105" s="0" t="n">
        <v>0</v>
      </c>
      <c r="G105" s="0" t="n">
        <v>0</v>
      </c>
      <c r="H105" s="0" t="s">
        <v>580</v>
      </c>
      <c r="K105" s="0" t="s">
        <v>600</v>
      </c>
      <c r="L105" s="0" t="s">
        <v>822</v>
      </c>
    </row>
    <row r="106" customFormat="false" ht="15" hidden="false" customHeight="false" outlineLevel="0" collapsed="false">
      <c r="A106" s="0" t="s">
        <v>61</v>
      </c>
      <c r="B106" s="0" t="s">
        <v>42</v>
      </c>
      <c r="C106" s="0" t="s">
        <v>810</v>
      </c>
      <c r="D106" s="0" t="s">
        <v>141</v>
      </c>
      <c r="E106" s="0" t="s">
        <v>823</v>
      </c>
      <c r="F106" s="0" t="n">
        <v>5</v>
      </c>
      <c r="G106" s="0" t="n">
        <v>0</v>
      </c>
      <c r="H106" s="0" t="s">
        <v>585</v>
      </c>
      <c r="K106" s="0" t="s">
        <v>604</v>
      </c>
      <c r="L106" s="0" t="s">
        <v>824</v>
      </c>
    </row>
    <row r="107" customFormat="false" ht="15" hidden="false" customHeight="false" outlineLevel="0" collapsed="false">
      <c r="A107" s="0" t="s">
        <v>61</v>
      </c>
      <c r="B107" s="0" t="s">
        <v>42</v>
      </c>
      <c r="C107" s="0" t="s">
        <v>810</v>
      </c>
      <c r="D107" s="0" t="s">
        <v>144</v>
      </c>
      <c r="E107" s="0" t="s">
        <v>825</v>
      </c>
      <c r="F107" s="0" t="n">
        <v>5</v>
      </c>
      <c r="G107" s="0" t="n">
        <v>1</v>
      </c>
      <c r="H107" s="0" t="s">
        <v>585</v>
      </c>
      <c r="I107" s="0" t="s">
        <v>619</v>
      </c>
      <c r="K107" s="0" t="s">
        <v>607</v>
      </c>
      <c r="L107" s="0" t="s">
        <v>826</v>
      </c>
    </row>
    <row r="108" customFormat="false" ht="15" hidden="false" customHeight="false" outlineLevel="0" collapsed="false">
      <c r="A108" s="0" t="s">
        <v>61</v>
      </c>
      <c r="B108" s="0" t="s">
        <v>42</v>
      </c>
      <c r="C108" s="0" t="s">
        <v>810</v>
      </c>
      <c r="D108" s="0" t="s">
        <v>147</v>
      </c>
      <c r="E108" s="0" t="s">
        <v>827</v>
      </c>
      <c r="F108" s="0" t="n">
        <v>0</v>
      </c>
      <c r="G108" s="0" t="n">
        <v>0</v>
      </c>
      <c r="H108" s="0" t="s">
        <v>580</v>
      </c>
      <c r="K108" s="0" t="s">
        <v>610</v>
      </c>
      <c r="L108" s="0" t="s">
        <v>828</v>
      </c>
    </row>
    <row r="109" customFormat="false" ht="15" hidden="false" customHeight="false" outlineLevel="0" collapsed="false">
      <c r="A109" s="0" t="s">
        <v>61</v>
      </c>
      <c r="B109" s="0" t="s">
        <v>42</v>
      </c>
      <c r="C109" s="0" t="s">
        <v>810</v>
      </c>
      <c r="D109" s="0" t="s">
        <v>150</v>
      </c>
      <c r="E109" s="0" t="s">
        <v>829</v>
      </c>
      <c r="F109" s="0" t="n">
        <v>0</v>
      </c>
      <c r="G109" s="0" t="n">
        <v>0</v>
      </c>
      <c r="H109" s="0" t="s">
        <v>580</v>
      </c>
      <c r="K109" s="0" t="s">
        <v>613</v>
      </c>
      <c r="L109" s="0" t="s">
        <v>830</v>
      </c>
    </row>
    <row r="110" customFormat="false" ht="15" hidden="false" customHeight="false" outlineLevel="0" collapsed="false">
      <c r="A110" s="0" t="s">
        <v>61</v>
      </c>
      <c r="B110" s="0" t="s">
        <v>42</v>
      </c>
      <c r="C110" s="0" t="s">
        <v>810</v>
      </c>
      <c r="D110" s="0" t="s">
        <v>153</v>
      </c>
      <c r="E110" s="0" t="s">
        <v>831</v>
      </c>
      <c r="F110" s="0" t="n">
        <v>5</v>
      </c>
      <c r="G110" s="0" t="n">
        <v>0</v>
      </c>
      <c r="H110" s="0" t="s">
        <v>585</v>
      </c>
      <c r="K110" s="0" t="s">
        <v>616</v>
      </c>
      <c r="L110" s="0" t="s">
        <v>832</v>
      </c>
    </row>
    <row r="111" customFormat="false" ht="15" hidden="false" customHeight="false" outlineLevel="0" collapsed="false">
      <c r="A111" s="0" t="s">
        <v>61</v>
      </c>
      <c r="B111" s="0" t="s">
        <v>42</v>
      </c>
      <c r="C111" s="0" t="s">
        <v>810</v>
      </c>
      <c r="D111" s="0" t="s">
        <v>156</v>
      </c>
      <c r="E111" s="0" t="s">
        <v>833</v>
      </c>
      <c r="F111" s="0" t="n">
        <v>5</v>
      </c>
      <c r="G111" s="0" t="n">
        <v>0</v>
      </c>
      <c r="H111" s="0" t="s">
        <v>585</v>
      </c>
      <c r="K111" s="0" t="s">
        <v>620</v>
      </c>
      <c r="L111" s="0" t="s">
        <v>834</v>
      </c>
    </row>
    <row r="112" customFormat="false" ht="15" hidden="false" customHeight="false" outlineLevel="0" collapsed="false">
      <c r="A112" s="0" t="s">
        <v>61</v>
      </c>
      <c r="B112" s="0" t="s">
        <v>42</v>
      </c>
      <c r="C112" s="0" t="s">
        <v>835</v>
      </c>
      <c r="D112" s="0" t="s">
        <v>578</v>
      </c>
      <c r="E112" s="0" t="s">
        <v>836</v>
      </c>
      <c r="F112" s="0" t="n">
        <v>0</v>
      </c>
      <c r="G112" s="0" t="n">
        <v>0</v>
      </c>
      <c r="H112" s="0" t="s">
        <v>580</v>
      </c>
      <c r="K112" s="0" t="s">
        <v>581</v>
      </c>
      <c r="L112" s="0" t="s">
        <v>837</v>
      </c>
    </row>
    <row r="113" customFormat="false" ht="15" hidden="false" customHeight="false" outlineLevel="0" collapsed="false">
      <c r="A113" s="0" t="s">
        <v>61</v>
      </c>
      <c r="B113" s="0" t="s">
        <v>42</v>
      </c>
      <c r="C113" s="0" t="s">
        <v>835</v>
      </c>
      <c r="D113" s="0" t="s">
        <v>583</v>
      </c>
      <c r="E113" s="0" t="s">
        <v>838</v>
      </c>
      <c r="F113" s="0" t="n">
        <v>5</v>
      </c>
      <c r="G113" s="0" t="n">
        <v>5</v>
      </c>
      <c r="H113" s="0" t="s">
        <v>580</v>
      </c>
      <c r="I113" s="0" t="s">
        <v>630</v>
      </c>
      <c r="K113" s="0" t="s">
        <v>586</v>
      </c>
      <c r="L113" s="0" t="s">
        <v>839</v>
      </c>
    </row>
    <row r="114" customFormat="false" ht="15" hidden="false" customHeight="false" outlineLevel="0" collapsed="false">
      <c r="A114" s="0" t="s">
        <v>61</v>
      </c>
      <c r="B114" s="0" t="s">
        <v>42</v>
      </c>
      <c r="C114" s="0" t="s">
        <v>835</v>
      </c>
      <c r="D114" s="0" t="s">
        <v>588</v>
      </c>
      <c r="E114" s="0" t="s">
        <v>840</v>
      </c>
      <c r="F114" s="0" t="n">
        <v>5</v>
      </c>
      <c r="G114" s="0" t="n">
        <v>4</v>
      </c>
      <c r="H114" s="0" t="s">
        <v>585</v>
      </c>
      <c r="I114" s="0" t="s">
        <v>619</v>
      </c>
      <c r="K114" s="0" t="s">
        <v>590</v>
      </c>
      <c r="L114" s="0" t="s">
        <v>841</v>
      </c>
    </row>
    <row r="115" customFormat="false" ht="15" hidden="false" customHeight="false" outlineLevel="0" collapsed="false">
      <c r="A115" s="0" t="s">
        <v>61</v>
      </c>
      <c r="B115" s="0" t="s">
        <v>42</v>
      </c>
      <c r="C115" s="0" t="s">
        <v>835</v>
      </c>
      <c r="D115" s="0" t="s">
        <v>127</v>
      </c>
      <c r="E115" s="0" t="s">
        <v>842</v>
      </c>
      <c r="F115" s="0" t="n">
        <v>5</v>
      </c>
      <c r="G115" s="0" t="n">
        <v>3</v>
      </c>
      <c r="H115" s="0" t="s">
        <v>585</v>
      </c>
      <c r="I115" s="0" t="s">
        <v>619</v>
      </c>
      <c r="K115" s="0" t="s">
        <v>594</v>
      </c>
      <c r="L115" s="0" t="s">
        <v>843</v>
      </c>
    </row>
    <row r="116" customFormat="false" ht="15" hidden="false" customHeight="false" outlineLevel="0" collapsed="false">
      <c r="A116" s="0" t="s">
        <v>61</v>
      </c>
      <c r="B116" s="0" t="s">
        <v>42</v>
      </c>
      <c r="C116" s="0" t="s">
        <v>835</v>
      </c>
      <c r="D116" s="0" t="s">
        <v>130</v>
      </c>
      <c r="E116" s="0" t="s">
        <v>844</v>
      </c>
      <c r="F116" s="0" t="n">
        <v>5</v>
      </c>
      <c r="G116" s="0" t="n">
        <v>0</v>
      </c>
      <c r="H116" s="0" t="s">
        <v>585</v>
      </c>
      <c r="K116" s="0" t="s">
        <v>597</v>
      </c>
      <c r="L116" s="0" t="s">
        <v>845</v>
      </c>
    </row>
    <row r="117" customFormat="false" ht="15" hidden="false" customHeight="false" outlineLevel="0" collapsed="false">
      <c r="A117" s="0" t="s">
        <v>61</v>
      </c>
      <c r="B117" s="0" t="s">
        <v>42</v>
      </c>
      <c r="C117" s="0" t="s">
        <v>835</v>
      </c>
      <c r="D117" s="0" t="s">
        <v>133</v>
      </c>
      <c r="E117" s="0" t="s">
        <v>846</v>
      </c>
      <c r="F117" s="0" t="n">
        <v>0</v>
      </c>
      <c r="G117" s="0" t="n">
        <v>0</v>
      </c>
      <c r="H117" s="0" t="s">
        <v>580</v>
      </c>
      <c r="K117" s="0" t="s">
        <v>600</v>
      </c>
      <c r="L117" s="0" t="s">
        <v>847</v>
      </c>
    </row>
    <row r="118" customFormat="false" ht="15" hidden="false" customHeight="false" outlineLevel="0" collapsed="false">
      <c r="A118" s="0" t="s">
        <v>61</v>
      </c>
      <c r="B118" s="0" t="s">
        <v>42</v>
      </c>
      <c r="C118" s="0" t="s">
        <v>835</v>
      </c>
      <c r="D118" s="0" t="s">
        <v>141</v>
      </c>
      <c r="E118" s="0" t="s">
        <v>848</v>
      </c>
      <c r="F118" s="0" t="n">
        <v>5</v>
      </c>
      <c r="G118" s="0" t="n">
        <v>0</v>
      </c>
      <c r="H118" s="0" t="s">
        <v>585</v>
      </c>
      <c r="K118" s="0" t="s">
        <v>604</v>
      </c>
      <c r="L118" s="0" t="s">
        <v>849</v>
      </c>
    </row>
    <row r="119" customFormat="false" ht="15" hidden="false" customHeight="false" outlineLevel="0" collapsed="false">
      <c r="A119" s="0" t="s">
        <v>61</v>
      </c>
      <c r="B119" s="0" t="s">
        <v>42</v>
      </c>
      <c r="C119" s="0" t="s">
        <v>835</v>
      </c>
      <c r="D119" s="0" t="s">
        <v>144</v>
      </c>
      <c r="E119" s="0" t="s">
        <v>850</v>
      </c>
      <c r="F119" s="0" t="n">
        <v>5</v>
      </c>
      <c r="G119" s="0" t="n">
        <v>2</v>
      </c>
      <c r="H119" s="0" t="s">
        <v>585</v>
      </c>
      <c r="I119" s="0" t="s">
        <v>619</v>
      </c>
      <c r="K119" s="0" t="s">
        <v>607</v>
      </c>
      <c r="L119" s="0" t="s">
        <v>851</v>
      </c>
    </row>
    <row r="120" customFormat="false" ht="15" hidden="false" customHeight="false" outlineLevel="0" collapsed="false">
      <c r="A120" s="0" t="s">
        <v>61</v>
      </c>
      <c r="B120" s="0" t="s">
        <v>42</v>
      </c>
      <c r="C120" s="0" t="s">
        <v>835</v>
      </c>
      <c r="D120" s="0" t="s">
        <v>147</v>
      </c>
      <c r="E120" s="0" t="s">
        <v>852</v>
      </c>
      <c r="F120" s="0" t="n">
        <v>0</v>
      </c>
      <c r="G120" s="0" t="n">
        <v>0</v>
      </c>
      <c r="H120" s="0" t="s">
        <v>580</v>
      </c>
      <c r="K120" s="0" t="s">
        <v>610</v>
      </c>
      <c r="L120" s="0" t="s">
        <v>853</v>
      </c>
    </row>
    <row r="121" customFormat="false" ht="15" hidden="false" customHeight="false" outlineLevel="0" collapsed="false">
      <c r="A121" s="0" t="s">
        <v>61</v>
      </c>
      <c r="B121" s="0" t="s">
        <v>266</v>
      </c>
      <c r="C121" s="0" t="s">
        <v>835</v>
      </c>
      <c r="D121" s="0" t="s">
        <v>150</v>
      </c>
      <c r="E121" s="0" t="s">
        <v>854</v>
      </c>
      <c r="F121" s="0" t="n">
        <v>0</v>
      </c>
      <c r="G121" s="0" t="n">
        <v>4</v>
      </c>
      <c r="H121" s="0" t="s">
        <v>580</v>
      </c>
      <c r="I121" s="0" t="s">
        <v>720</v>
      </c>
      <c r="K121" s="0" t="s">
        <v>613</v>
      </c>
      <c r="L121" s="0" t="s">
        <v>855</v>
      </c>
    </row>
    <row r="122" customFormat="false" ht="15" hidden="false" customHeight="false" outlineLevel="0" collapsed="false">
      <c r="A122" s="0" t="s">
        <v>61</v>
      </c>
      <c r="B122" s="0" t="s">
        <v>42</v>
      </c>
      <c r="C122" s="0" t="s">
        <v>835</v>
      </c>
      <c r="D122" s="0" t="s">
        <v>153</v>
      </c>
      <c r="E122" s="0" t="s">
        <v>856</v>
      </c>
      <c r="F122" s="0" t="n">
        <v>5</v>
      </c>
      <c r="G122" s="0" t="n">
        <v>3</v>
      </c>
      <c r="H122" s="0" t="s">
        <v>585</v>
      </c>
      <c r="I122" s="0" t="s">
        <v>630</v>
      </c>
      <c r="K122" s="0" t="s">
        <v>616</v>
      </c>
      <c r="L122" s="0" t="s">
        <v>857</v>
      </c>
    </row>
    <row r="123" customFormat="false" ht="15" hidden="false" customHeight="false" outlineLevel="0" collapsed="false">
      <c r="A123" s="0" t="s">
        <v>61</v>
      </c>
      <c r="B123" s="0" t="s">
        <v>42</v>
      </c>
      <c r="C123" s="0" t="s">
        <v>835</v>
      </c>
      <c r="D123" s="0" t="s">
        <v>156</v>
      </c>
      <c r="E123" s="0" t="s">
        <v>858</v>
      </c>
      <c r="F123" s="0" t="n">
        <v>5</v>
      </c>
      <c r="G123" s="0" t="n">
        <v>0</v>
      </c>
      <c r="H123" s="0" t="s">
        <v>585</v>
      </c>
      <c r="K123" s="0" t="s">
        <v>620</v>
      </c>
      <c r="L123" s="0" t="s">
        <v>859</v>
      </c>
    </row>
    <row r="124" customFormat="false" ht="15" hidden="false" customHeight="false" outlineLevel="0" collapsed="false">
      <c r="A124" s="0" t="s">
        <v>61</v>
      </c>
      <c r="B124" s="0" t="s">
        <v>42</v>
      </c>
      <c r="C124" s="0" t="s">
        <v>860</v>
      </c>
      <c r="D124" s="0" t="s">
        <v>578</v>
      </c>
      <c r="E124" s="0" t="s">
        <v>861</v>
      </c>
      <c r="F124" s="0" t="n">
        <v>0</v>
      </c>
      <c r="G124" s="0" t="n">
        <v>0</v>
      </c>
      <c r="H124" s="0" t="s">
        <v>580</v>
      </c>
      <c r="K124" s="0" t="s">
        <v>581</v>
      </c>
      <c r="L124" s="0" t="s">
        <v>862</v>
      </c>
    </row>
    <row r="125" customFormat="false" ht="15" hidden="false" customHeight="false" outlineLevel="0" collapsed="false">
      <c r="A125" s="0" t="s">
        <v>61</v>
      </c>
      <c r="B125" s="0" t="s">
        <v>42</v>
      </c>
      <c r="C125" s="0" t="s">
        <v>860</v>
      </c>
      <c r="D125" s="0" t="s">
        <v>583</v>
      </c>
      <c r="E125" s="0" t="s">
        <v>863</v>
      </c>
      <c r="F125" s="0" t="n">
        <v>5</v>
      </c>
      <c r="G125" s="0" t="n">
        <v>4</v>
      </c>
      <c r="H125" s="0" t="s">
        <v>585</v>
      </c>
      <c r="I125" s="0" t="s">
        <v>732</v>
      </c>
      <c r="K125" s="0" t="s">
        <v>586</v>
      </c>
      <c r="L125" s="0" t="s">
        <v>864</v>
      </c>
    </row>
    <row r="126" customFormat="false" ht="15" hidden="false" customHeight="false" outlineLevel="0" collapsed="false">
      <c r="A126" s="0" t="s">
        <v>61</v>
      </c>
      <c r="B126" s="0" t="s">
        <v>42</v>
      </c>
      <c r="C126" s="0" t="s">
        <v>860</v>
      </c>
      <c r="D126" s="0" t="s">
        <v>588</v>
      </c>
      <c r="E126" s="0" t="s">
        <v>865</v>
      </c>
      <c r="F126" s="0" t="n">
        <v>5</v>
      </c>
      <c r="G126" s="0" t="n">
        <v>4</v>
      </c>
      <c r="H126" s="0" t="s">
        <v>585</v>
      </c>
      <c r="I126" s="0" t="s">
        <v>705</v>
      </c>
      <c r="K126" s="0" t="s">
        <v>590</v>
      </c>
      <c r="L126" s="0" t="s">
        <v>866</v>
      </c>
    </row>
    <row r="127" customFormat="false" ht="15" hidden="false" customHeight="false" outlineLevel="0" collapsed="false">
      <c r="A127" s="0" t="s">
        <v>61</v>
      </c>
      <c r="B127" s="0" t="s">
        <v>42</v>
      </c>
      <c r="C127" s="0" t="s">
        <v>860</v>
      </c>
      <c r="D127" s="0" t="s">
        <v>127</v>
      </c>
      <c r="E127" s="0" t="s">
        <v>867</v>
      </c>
      <c r="F127" s="0" t="n">
        <v>5</v>
      </c>
      <c r="G127" s="0" t="n">
        <v>5</v>
      </c>
      <c r="H127" s="0" t="s">
        <v>580</v>
      </c>
      <c r="I127" s="0" t="s">
        <v>705</v>
      </c>
      <c r="K127" s="0" t="s">
        <v>594</v>
      </c>
      <c r="L127" s="0" t="s">
        <v>868</v>
      </c>
    </row>
    <row r="128" customFormat="false" ht="15" hidden="false" customHeight="false" outlineLevel="0" collapsed="false">
      <c r="A128" s="0" t="s">
        <v>61</v>
      </c>
      <c r="B128" s="0" t="s">
        <v>42</v>
      </c>
      <c r="C128" s="0" t="s">
        <v>860</v>
      </c>
      <c r="D128" s="0" t="s">
        <v>130</v>
      </c>
      <c r="E128" s="0" t="s">
        <v>869</v>
      </c>
      <c r="F128" s="0" t="n">
        <v>5</v>
      </c>
      <c r="G128" s="0" t="n">
        <v>0</v>
      </c>
      <c r="H128" s="0" t="s">
        <v>585</v>
      </c>
      <c r="K128" s="0" t="s">
        <v>597</v>
      </c>
      <c r="L128" s="0" t="s">
        <v>870</v>
      </c>
    </row>
    <row r="129" customFormat="false" ht="15" hidden="false" customHeight="false" outlineLevel="0" collapsed="false">
      <c r="A129" s="0" t="s">
        <v>61</v>
      </c>
      <c r="B129" s="0" t="s">
        <v>42</v>
      </c>
      <c r="C129" s="0" t="s">
        <v>860</v>
      </c>
      <c r="D129" s="0" t="s">
        <v>133</v>
      </c>
      <c r="E129" s="0" t="s">
        <v>871</v>
      </c>
      <c r="F129" s="0" t="n">
        <v>0</v>
      </c>
      <c r="G129" s="0" t="n">
        <v>0</v>
      </c>
      <c r="H129" s="0" t="s">
        <v>580</v>
      </c>
      <c r="K129" s="0" t="s">
        <v>600</v>
      </c>
      <c r="L129" s="0" t="s">
        <v>872</v>
      </c>
    </row>
    <row r="130" customFormat="false" ht="15" hidden="false" customHeight="false" outlineLevel="0" collapsed="false">
      <c r="A130" s="0" t="s">
        <v>61</v>
      </c>
      <c r="B130" s="0" t="s">
        <v>42</v>
      </c>
      <c r="C130" s="0" t="s">
        <v>860</v>
      </c>
      <c r="D130" s="0" t="s">
        <v>141</v>
      </c>
      <c r="E130" s="0" t="s">
        <v>873</v>
      </c>
      <c r="F130" s="0" t="n">
        <v>5</v>
      </c>
      <c r="G130" s="0" t="n">
        <v>0</v>
      </c>
      <c r="H130" s="0" t="s">
        <v>585</v>
      </c>
      <c r="K130" s="0" t="s">
        <v>604</v>
      </c>
      <c r="L130" s="0" t="s">
        <v>874</v>
      </c>
    </row>
    <row r="131" customFormat="false" ht="15" hidden="false" customHeight="false" outlineLevel="0" collapsed="false">
      <c r="A131" s="0" t="s">
        <v>61</v>
      </c>
      <c r="B131" s="0" t="s">
        <v>42</v>
      </c>
      <c r="C131" s="0" t="s">
        <v>860</v>
      </c>
      <c r="D131" s="0" t="s">
        <v>144</v>
      </c>
      <c r="E131" s="0" t="s">
        <v>875</v>
      </c>
      <c r="F131" s="0" t="n">
        <v>5</v>
      </c>
      <c r="G131" s="0" t="n">
        <v>0</v>
      </c>
      <c r="H131" s="0" t="s">
        <v>585</v>
      </c>
      <c r="K131" s="0" t="s">
        <v>607</v>
      </c>
      <c r="L131" s="0" t="s">
        <v>876</v>
      </c>
    </row>
    <row r="132" customFormat="false" ht="15" hidden="false" customHeight="false" outlineLevel="0" collapsed="false">
      <c r="A132" s="0" t="s">
        <v>61</v>
      </c>
      <c r="B132" s="0" t="s">
        <v>42</v>
      </c>
      <c r="C132" s="0" t="s">
        <v>860</v>
      </c>
      <c r="D132" s="0" t="s">
        <v>147</v>
      </c>
      <c r="E132" s="0" t="s">
        <v>877</v>
      </c>
      <c r="F132" s="0" t="n">
        <v>0</v>
      </c>
      <c r="G132" s="0" t="n">
        <v>0</v>
      </c>
      <c r="H132" s="0" t="s">
        <v>580</v>
      </c>
      <c r="K132" s="0" t="s">
        <v>610</v>
      </c>
      <c r="L132" s="0" t="s">
        <v>878</v>
      </c>
    </row>
    <row r="133" customFormat="false" ht="15" hidden="false" customHeight="false" outlineLevel="0" collapsed="false">
      <c r="A133" s="0" t="s">
        <v>61</v>
      </c>
      <c r="B133" s="0" t="s">
        <v>42</v>
      </c>
      <c r="C133" s="0" t="s">
        <v>860</v>
      </c>
      <c r="D133" s="0" t="s">
        <v>150</v>
      </c>
      <c r="E133" s="0" t="s">
        <v>879</v>
      </c>
      <c r="F133" s="0" t="n">
        <v>5</v>
      </c>
      <c r="G133" s="0" t="n">
        <v>0</v>
      </c>
      <c r="H133" s="0" t="s">
        <v>585</v>
      </c>
      <c r="K133" s="0" t="s">
        <v>613</v>
      </c>
      <c r="L133" s="0" t="s">
        <v>880</v>
      </c>
    </row>
    <row r="134" customFormat="false" ht="15" hidden="false" customHeight="false" outlineLevel="0" collapsed="false">
      <c r="A134" s="0" t="s">
        <v>61</v>
      </c>
      <c r="B134" s="0" t="s">
        <v>42</v>
      </c>
      <c r="C134" s="0" t="s">
        <v>860</v>
      </c>
      <c r="D134" s="0" t="s">
        <v>153</v>
      </c>
      <c r="E134" s="0" t="s">
        <v>881</v>
      </c>
      <c r="F134" s="0" t="n">
        <v>5</v>
      </c>
      <c r="G134" s="0" t="n">
        <v>5</v>
      </c>
      <c r="H134" s="0" t="s">
        <v>580</v>
      </c>
      <c r="I134" s="0" t="s">
        <v>653</v>
      </c>
      <c r="K134" s="0" t="s">
        <v>616</v>
      </c>
      <c r="L134" s="0" t="s">
        <v>882</v>
      </c>
    </row>
    <row r="135" customFormat="false" ht="15" hidden="false" customHeight="false" outlineLevel="0" collapsed="false">
      <c r="A135" s="0" t="s">
        <v>61</v>
      </c>
      <c r="B135" s="0" t="s">
        <v>42</v>
      </c>
      <c r="C135" s="0" t="s">
        <v>860</v>
      </c>
      <c r="D135" s="0" t="s">
        <v>156</v>
      </c>
      <c r="E135" s="0" t="s">
        <v>883</v>
      </c>
      <c r="F135" s="0" t="n">
        <v>5</v>
      </c>
      <c r="G135" s="0" t="n">
        <v>4</v>
      </c>
      <c r="H135" s="0" t="s">
        <v>585</v>
      </c>
      <c r="I135" s="0" t="s">
        <v>732</v>
      </c>
      <c r="K135" s="0" t="s">
        <v>620</v>
      </c>
      <c r="L135" s="0" t="s">
        <v>884</v>
      </c>
    </row>
    <row r="136" customFormat="false" ht="15" hidden="false" customHeight="false" outlineLevel="0" collapsed="false">
      <c r="A136" s="0" t="s">
        <v>61</v>
      </c>
      <c r="B136" s="0" t="s">
        <v>42</v>
      </c>
      <c r="C136" s="0" t="s">
        <v>885</v>
      </c>
      <c r="D136" s="0" t="s">
        <v>578</v>
      </c>
      <c r="E136" s="0" t="s">
        <v>886</v>
      </c>
      <c r="F136" s="0" t="n">
        <v>0</v>
      </c>
      <c r="G136" s="0" t="n">
        <v>0</v>
      </c>
      <c r="H136" s="0" t="s">
        <v>580</v>
      </c>
      <c r="K136" s="0" t="s">
        <v>581</v>
      </c>
      <c r="L136" s="0" t="s">
        <v>887</v>
      </c>
    </row>
    <row r="137" customFormat="false" ht="15" hidden="false" customHeight="false" outlineLevel="0" collapsed="false">
      <c r="A137" s="0" t="s">
        <v>61</v>
      </c>
      <c r="B137" s="0" t="s">
        <v>42</v>
      </c>
      <c r="C137" s="0" t="s">
        <v>885</v>
      </c>
      <c r="D137" s="0" t="s">
        <v>583</v>
      </c>
      <c r="E137" s="0" t="s">
        <v>888</v>
      </c>
      <c r="F137" s="0" t="n">
        <v>5</v>
      </c>
      <c r="G137" s="0" t="n">
        <v>0</v>
      </c>
      <c r="H137" s="0" t="s">
        <v>585</v>
      </c>
      <c r="K137" s="0" t="s">
        <v>586</v>
      </c>
      <c r="L137" s="0" t="s">
        <v>889</v>
      </c>
    </row>
    <row r="138" customFormat="false" ht="15" hidden="false" customHeight="false" outlineLevel="0" collapsed="false">
      <c r="A138" s="0" t="s">
        <v>61</v>
      </c>
      <c r="B138" s="0" t="s">
        <v>42</v>
      </c>
      <c r="C138" s="0" t="s">
        <v>885</v>
      </c>
      <c r="D138" s="0" t="s">
        <v>588</v>
      </c>
      <c r="E138" s="0" t="s">
        <v>890</v>
      </c>
      <c r="F138" s="0" t="n">
        <v>5</v>
      </c>
      <c r="G138" s="0" t="n">
        <v>4</v>
      </c>
      <c r="H138" s="0" t="s">
        <v>585</v>
      </c>
      <c r="I138" s="0" t="s">
        <v>732</v>
      </c>
      <c r="K138" s="0" t="s">
        <v>590</v>
      </c>
      <c r="L138" s="0" t="s">
        <v>891</v>
      </c>
    </row>
    <row r="139" customFormat="false" ht="15" hidden="false" customHeight="false" outlineLevel="0" collapsed="false">
      <c r="A139" s="0" t="s">
        <v>61</v>
      </c>
      <c r="B139" s="0" t="s">
        <v>42</v>
      </c>
      <c r="C139" s="0" t="s">
        <v>885</v>
      </c>
      <c r="D139" s="0" t="s">
        <v>127</v>
      </c>
      <c r="E139" s="0" t="s">
        <v>892</v>
      </c>
      <c r="F139" s="0" t="n">
        <v>5</v>
      </c>
      <c r="G139" s="0" t="n">
        <v>0</v>
      </c>
      <c r="H139" s="0" t="s">
        <v>585</v>
      </c>
      <c r="K139" s="0" t="s">
        <v>594</v>
      </c>
      <c r="L139" s="0" t="s">
        <v>893</v>
      </c>
    </row>
    <row r="140" customFormat="false" ht="15" hidden="false" customHeight="false" outlineLevel="0" collapsed="false">
      <c r="A140" s="0" t="s">
        <v>61</v>
      </c>
      <c r="B140" s="0" t="s">
        <v>42</v>
      </c>
      <c r="C140" s="0" t="s">
        <v>885</v>
      </c>
      <c r="D140" s="0" t="s">
        <v>130</v>
      </c>
      <c r="E140" s="0" t="s">
        <v>894</v>
      </c>
      <c r="F140" s="0" t="n">
        <v>5</v>
      </c>
      <c r="G140" s="0" t="n">
        <v>0</v>
      </c>
      <c r="H140" s="0" t="s">
        <v>585</v>
      </c>
      <c r="K140" s="0" t="s">
        <v>597</v>
      </c>
      <c r="L140" s="0" t="s">
        <v>895</v>
      </c>
    </row>
    <row r="141" customFormat="false" ht="15" hidden="false" customHeight="false" outlineLevel="0" collapsed="false">
      <c r="A141" s="0" t="s">
        <v>61</v>
      </c>
      <c r="B141" s="0" t="s">
        <v>42</v>
      </c>
      <c r="C141" s="0" t="s">
        <v>885</v>
      </c>
      <c r="D141" s="0" t="s">
        <v>133</v>
      </c>
      <c r="E141" s="0" t="s">
        <v>896</v>
      </c>
      <c r="F141" s="0" t="n">
        <v>0</v>
      </c>
      <c r="G141" s="0" t="n">
        <v>0</v>
      </c>
      <c r="H141" s="0" t="s">
        <v>580</v>
      </c>
      <c r="K141" s="0" t="s">
        <v>600</v>
      </c>
      <c r="L141" s="0" t="s">
        <v>897</v>
      </c>
    </row>
    <row r="142" customFormat="false" ht="15" hidden="false" customHeight="false" outlineLevel="0" collapsed="false">
      <c r="A142" s="0" t="s">
        <v>61</v>
      </c>
      <c r="B142" s="0" t="s">
        <v>42</v>
      </c>
      <c r="C142" s="0" t="s">
        <v>885</v>
      </c>
      <c r="D142" s="0" t="s">
        <v>141</v>
      </c>
      <c r="E142" s="0" t="s">
        <v>898</v>
      </c>
      <c r="F142" s="0" t="n">
        <v>5</v>
      </c>
      <c r="G142" s="0" t="n">
        <v>0</v>
      </c>
      <c r="H142" s="0" t="s">
        <v>585</v>
      </c>
      <c r="K142" s="0" t="s">
        <v>604</v>
      </c>
      <c r="L142" s="0" t="s">
        <v>899</v>
      </c>
    </row>
    <row r="143" customFormat="false" ht="15" hidden="false" customHeight="false" outlineLevel="0" collapsed="false">
      <c r="A143" s="0" t="s">
        <v>61</v>
      </c>
      <c r="B143" s="0" t="s">
        <v>42</v>
      </c>
      <c r="C143" s="0" t="s">
        <v>885</v>
      </c>
      <c r="D143" s="0" t="s">
        <v>144</v>
      </c>
      <c r="E143" s="0" t="s">
        <v>900</v>
      </c>
      <c r="F143" s="0" t="n">
        <v>5</v>
      </c>
      <c r="G143" s="0" t="n">
        <v>0</v>
      </c>
      <c r="H143" s="0" t="s">
        <v>585</v>
      </c>
      <c r="K143" s="0" t="s">
        <v>607</v>
      </c>
      <c r="L143" s="0" t="s">
        <v>901</v>
      </c>
    </row>
    <row r="144" customFormat="false" ht="15" hidden="false" customHeight="false" outlineLevel="0" collapsed="false">
      <c r="A144" s="0" t="s">
        <v>61</v>
      </c>
      <c r="B144" s="0" t="s">
        <v>42</v>
      </c>
      <c r="C144" s="0" t="s">
        <v>885</v>
      </c>
      <c r="D144" s="0" t="s">
        <v>147</v>
      </c>
      <c r="E144" s="0" t="s">
        <v>902</v>
      </c>
      <c r="F144" s="0" t="n">
        <v>0</v>
      </c>
      <c r="G144" s="0" t="n">
        <v>0</v>
      </c>
      <c r="H144" s="0" t="s">
        <v>580</v>
      </c>
      <c r="K144" s="0" t="s">
        <v>610</v>
      </c>
      <c r="L144" s="0" t="s">
        <v>903</v>
      </c>
    </row>
    <row r="145" customFormat="false" ht="15" hidden="false" customHeight="false" outlineLevel="0" collapsed="false">
      <c r="A145" s="0" t="s">
        <v>61</v>
      </c>
      <c r="B145" s="0" t="s">
        <v>42</v>
      </c>
      <c r="C145" s="0" t="s">
        <v>885</v>
      </c>
      <c r="D145" s="0" t="s">
        <v>150</v>
      </c>
      <c r="E145" s="0" t="s">
        <v>904</v>
      </c>
      <c r="F145" s="0" t="n">
        <v>0</v>
      </c>
      <c r="G145" s="0" t="n">
        <v>0</v>
      </c>
      <c r="H145" s="0" t="s">
        <v>580</v>
      </c>
      <c r="K145" s="0" t="s">
        <v>613</v>
      </c>
      <c r="L145" s="0" t="s">
        <v>905</v>
      </c>
    </row>
    <row r="146" customFormat="false" ht="15" hidden="false" customHeight="false" outlineLevel="0" collapsed="false">
      <c r="A146" s="0" t="s">
        <v>61</v>
      </c>
      <c r="B146" s="0" t="s">
        <v>42</v>
      </c>
      <c r="C146" s="0" t="s">
        <v>885</v>
      </c>
      <c r="D146" s="0" t="s">
        <v>153</v>
      </c>
      <c r="E146" s="0" t="s">
        <v>906</v>
      </c>
      <c r="F146" s="0" t="n">
        <v>5</v>
      </c>
      <c r="G146" s="0" t="n">
        <v>0</v>
      </c>
      <c r="H146" s="0" t="s">
        <v>585</v>
      </c>
      <c r="K146" s="0" t="s">
        <v>616</v>
      </c>
      <c r="L146" s="0" t="s">
        <v>907</v>
      </c>
    </row>
    <row r="147" customFormat="false" ht="15" hidden="false" customHeight="false" outlineLevel="0" collapsed="false">
      <c r="A147" s="0" t="s">
        <v>61</v>
      </c>
      <c r="B147" s="0" t="s">
        <v>42</v>
      </c>
      <c r="C147" s="0" t="s">
        <v>885</v>
      </c>
      <c r="D147" s="0" t="s">
        <v>156</v>
      </c>
      <c r="E147" s="0" t="s">
        <v>908</v>
      </c>
      <c r="F147" s="0" t="n">
        <v>5</v>
      </c>
      <c r="G147" s="0" t="n">
        <v>0</v>
      </c>
      <c r="H147" s="0" t="s">
        <v>585</v>
      </c>
      <c r="K147" s="0" t="s">
        <v>620</v>
      </c>
      <c r="L147" s="0" t="s">
        <v>909</v>
      </c>
    </row>
    <row r="148" customFormat="false" ht="15" hidden="false" customHeight="false" outlineLevel="0" collapsed="false">
      <c r="A148" s="0" t="s">
        <v>61</v>
      </c>
      <c r="B148" s="0" t="s">
        <v>42</v>
      </c>
      <c r="C148" s="0" t="s">
        <v>910</v>
      </c>
      <c r="D148" s="0" t="s">
        <v>578</v>
      </c>
      <c r="E148" s="0" t="s">
        <v>911</v>
      </c>
      <c r="F148" s="0" t="n">
        <v>0</v>
      </c>
      <c r="G148" s="0" t="n">
        <v>0</v>
      </c>
      <c r="H148" s="0" t="s">
        <v>580</v>
      </c>
      <c r="K148" s="0" t="s">
        <v>581</v>
      </c>
      <c r="L148" s="0" t="s">
        <v>912</v>
      </c>
    </row>
    <row r="149" customFormat="false" ht="15" hidden="false" customHeight="false" outlineLevel="0" collapsed="false">
      <c r="A149" s="0" t="s">
        <v>61</v>
      </c>
      <c r="B149" s="0" t="s">
        <v>42</v>
      </c>
      <c r="C149" s="0" t="s">
        <v>910</v>
      </c>
      <c r="D149" s="0" t="s">
        <v>583</v>
      </c>
      <c r="E149" s="0" t="s">
        <v>913</v>
      </c>
      <c r="F149" s="0" t="n">
        <v>5</v>
      </c>
      <c r="G149" s="0" t="n">
        <v>2</v>
      </c>
      <c r="H149" s="0" t="s">
        <v>585</v>
      </c>
      <c r="I149" s="0" t="s">
        <v>603</v>
      </c>
      <c r="K149" s="0" t="s">
        <v>586</v>
      </c>
      <c r="L149" s="0" t="s">
        <v>914</v>
      </c>
    </row>
    <row r="150" customFormat="false" ht="15" hidden="false" customHeight="false" outlineLevel="0" collapsed="false">
      <c r="A150" s="0" t="s">
        <v>61</v>
      </c>
      <c r="B150" s="0" t="s">
        <v>42</v>
      </c>
      <c r="C150" s="0" t="s">
        <v>910</v>
      </c>
      <c r="D150" s="0" t="s">
        <v>588</v>
      </c>
      <c r="E150" s="0" t="s">
        <v>915</v>
      </c>
      <c r="F150" s="0" t="n">
        <v>5</v>
      </c>
      <c r="G150" s="0" t="n">
        <v>5</v>
      </c>
      <c r="H150" s="0" t="s">
        <v>580</v>
      </c>
      <c r="I150" s="0" t="s">
        <v>705</v>
      </c>
      <c r="K150" s="0" t="s">
        <v>590</v>
      </c>
      <c r="L150" s="0" t="s">
        <v>916</v>
      </c>
    </row>
    <row r="151" customFormat="false" ht="15" hidden="false" customHeight="false" outlineLevel="0" collapsed="false">
      <c r="A151" s="0" t="s">
        <v>61</v>
      </c>
      <c r="B151" s="0" t="s">
        <v>42</v>
      </c>
      <c r="C151" s="0" t="s">
        <v>910</v>
      </c>
      <c r="D151" s="0" t="s">
        <v>127</v>
      </c>
      <c r="E151" s="0" t="s">
        <v>917</v>
      </c>
      <c r="F151" s="0" t="n">
        <v>5</v>
      </c>
      <c r="G151" s="0" t="n">
        <v>0</v>
      </c>
      <c r="H151" s="0" t="s">
        <v>585</v>
      </c>
      <c r="K151" s="0" t="s">
        <v>594</v>
      </c>
      <c r="L151" s="0" t="s">
        <v>918</v>
      </c>
    </row>
    <row r="152" customFormat="false" ht="15" hidden="false" customHeight="false" outlineLevel="0" collapsed="false">
      <c r="A152" s="0" t="s">
        <v>61</v>
      </c>
      <c r="B152" s="0" t="s">
        <v>42</v>
      </c>
      <c r="C152" s="0" t="s">
        <v>910</v>
      </c>
      <c r="D152" s="0" t="s">
        <v>130</v>
      </c>
      <c r="E152" s="0" t="s">
        <v>919</v>
      </c>
      <c r="F152" s="0" t="n">
        <v>5</v>
      </c>
      <c r="G152" s="0" t="n">
        <v>0</v>
      </c>
      <c r="H152" s="0" t="s">
        <v>585</v>
      </c>
      <c r="K152" s="0" t="s">
        <v>597</v>
      </c>
      <c r="L152" s="0" t="s">
        <v>920</v>
      </c>
    </row>
    <row r="153" customFormat="false" ht="15" hidden="false" customHeight="false" outlineLevel="0" collapsed="false">
      <c r="A153" s="0" t="s">
        <v>61</v>
      </c>
      <c r="B153" s="0" t="s">
        <v>42</v>
      </c>
      <c r="C153" s="0" t="s">
        <v>910</v>
      </c>
      <c r="D153" s="0" t="s">
        <v>133</v>
      </c>
      <c r="E153" s="0" t="s">
        <v>921</v>
      </c>
      <c r="F153" s="0" t="n">
        <v>0</v>
      </c>
      <c r="G153" s="0" t="n">
        <v>0</v>
      </c>
      <c r="H153" s="0" t="s">
        <v>580</v>
      </c>
      <c r="K153" s="0" t="s">
        <v>600</v>
      </c>
      <c r="L153" s="0" t="s">
        <v>922</v>
      </c>
    </row>
    <row r="154" customFormat="false" ht="15" hidden="false" customHeight="false" outlineLevel="0" collapsed="false">
      <c r="A154" s="0" t="s">
        <v>61</v>
      </c>
      <c r="B154" s="0" t="s">
        <v>42</v>
      </c>
      <c r="C154" s="0" t="s">
        <v>910</v>
      </c>
      <c r="D154" s="0" t="s">
        <v>141</v>
      </c>
      <c r="E154" s="0" t="s">
        <v>923</v>
      </c>
      <c r="F154" s="0" t="n">
        <v>5</v>
      </c>
      <c r="G154" s="0" t="n">
        <v>0</v>
      </c>
      <c r="H154" s="0" t="s">
        <v>585</v>
      </c>
      <c r="K154" s="0" t="s">
        <v>604</v>
      </c>
      <c r="L154" s="0" t="s">
        <v>924</v>
      </c>
    </row>
    <row r="155" customFormat="false" ht="15" hidden="false" customHeight="false" outlineLevel="0" collapsed="false">
      <c r="A155" s="0" t="s">
        <v>61</v>
      </c>
      <c r="B155" s="0" t="s">
        <v>42</v>
      </c>
      <c r="C155" s="0" t="s">
        <v>910</v>
      </c>
      <c r="D155" s="0" t="s">
        <v>144</v>
      </c>
      <c r="E155" s="0" t="s">
        <v>925</v>
      </c>
      <c r="F155" s="0" t="n">
        <v>5</v>
      </c>
      <c r="G155" s="0" t="n">
        <v>3</v>
      </c>
      <c r="H155" s="0" t="s">
        <v>585</v>
      </c>
      <c r="I155" s="0" t="s">
        <v>705</v>
      </c>
      <c r="K155" s="0" t="s">
        <v>607</v>
      </c>
      <c r="L155" s="0" t="s">
        <v>926</v>
      </c>
    </row>
    <row r="156" customFormat="false" ht="15" hidden="false" customHeight="false" outlineLevel="0" collapsed="false">
      <c r="A156" s="0" t="s">
        <v>61</v>
      </c>
      <c r="B156" s="0" t="s">
        <v>42</v>
      </c>
      <c r="C156" s="0" t="s">
        <v>910</v>
      </c>
      <c r="D156" s="0" t="s">
        <v>147</v>
      </c>
      <c r="E156" s="0" t="s">
        <v>927</v>
      </c>
      <c r="F156" s="0" t="n">
        <v>0</v>
      </c>
      <c r="G156" s="0" t="n">
        <v>0</v>
      </c>
      <c r="H156" s="0" t="s">
        <v>580</v>
      </c>
      <c r="K156" s="0" t="s">
        <v>610</v>
      </c>
      <c r="L156" s="0" t="s">
        <v>928</v>
      </c>
    </row>
    <row r="157" customFormat="false" ht="15" hidden="false" customHeight="false" outlineLevel="0" collapsed="false">
      <c r="A157" s="0" t="s">
        <v>61</v>
      </c>
      <c r="B157" s="0" t="s">
        <v>266</v>
      </c>
      <c r="C157" s="0" t="s">
        <v>910</v>
      </c>
      <c r="D157" s="0" t="s">
        <v>150</v>
      </c>
      <c r="E157" s="0" t="s">
        <v>929</v>
      </c>
      <c r="F157" s="0" t="n">
        <v>0</v>
      </c>
      <c r="G157" s="0" t="n">
        <v>4</v>
      </c>
      <c r="H157" s="0" t="s">
        <v>580</v>
      </c>
      <c r="I157" s="0" t="s">
        <v>641</v>
      </c>
      <c r="K157" s="0" t="s">
        <v>613</v>
      </c>
      <c r="L157" s="0" t="s">
        <v>930</v>
      </c>
    </row>
    <row r="158" customFormat="false" ht="15" hidden="false" customHeight="false" outlineLevel="0" collapsed="false">
      <c r="A158" s="0" t="s">
        <v>61</v>
      </c>
      <c r="B158" s="0" t="s">
        <v>42</v>
      </c>
      <c r="C158" s="0" t="s">
        <v>910</v>
      </c>
      <c r="D158" s="0" t="s">
        <v>153</v>
      </c>
      <c r="E158" s="0" t="s">
        <v>931</v>
      </c>
      <c r="F158" s="0" t="n">
        <v>5</v>
      </c>
      <c r="G158" s="0" t="n">
        <v>4</v>
      </c>
      <c r="H158" s="0" t="s">
        <v>585</v>
      </c>
      <c r="I158" s="0" t="s">
        <v>705</v>
      </c>
      <c r="K158" s="0" t="s">
        <v>616</v>
      </c>
      <c r="L158" s="0" t="s">
        <v>932</v>
      </c>
    </row>
    <row r="159" customFormat="false" ht="15" hidden="false" customHeight="false" outlineLevel="0" collapsed="false">
      <c r="A159" s="0" t="s">
        <v>61</v>
      </c>
      <c r="B159" s="0" t="s">
        <v>42</v>
      </c>
      <c r="C159" s="0" t="s">
        <v>910</v>
      </c>
      <c r="D159" s="0" t="s">
        <v>156</v>
      </c>
      <c r="E159" s="0" t="s">
        <v>933</v>
      </c>
      <c r="F159" s="0" t="n">
        <v>5</v>
      </c>
      <c r="G159" s="0" t="n">
        <v>3</v>
      </c>
      <c r="H159" s="0" t="s">
        <v>585</v>
      </c>
      <c r="I159" s="0" t="s">
        <v>641</v>
      </c>
      <c r="K159" s="0" t="s">
        <v>620</v>
      </c>
      <c r="L159" s="0" t="s">
        <v>934</v>
      </c>
    </row>
    <row r="160" customFormat="false" ht="15" hidden="false" customHeight="false" outlineLevel="0" collapsed="false">
      <c r="A160" s="0" t="s">
        <v>61</v>
      </c>
      <c r="B160" s="0" t="s">
        <v>42</v>
      </c>
      <c r="C160" s="0" t="s">
        <v>935</v>
      </c>
      <c r="D160" s="0" t="s">
        <v>578</v>
      </c>
      <c r="E160" s="0" t="s">
        <v>936</v>
      </c>
      <c r="F160" s="0" t="n">
        <v>0</v>
      </c>
      <c r="G160" s="0" t="n">
        <v>0</v>
      </c>
      <c r="H160" s="0" t="s">
        <v>580</v>
      </c>
      <c r="K160" s="0" t="s">
        <v>581</v>
      </c>
      <c r="L160" s="0" t="s">
        <v>937</v>
      </c>
    </row>
    <row r="161" customFormat="false" ht="15" hidden="false" customHeight="false" outlineLevel="0" collapsed="false">
      <c r="A161" s="0" t="s">
        <v>61</v>
      </c>
      <c r="B161" s="0" t="s">
        <v>42</v>
      </c>
      <c r="C161" s="0" t="s">
        <v>935</v>
      </c>
      <c r="D161" s="0" t="s">
        <v>583</v>
      </c>
      <c r="E161" s="0" t="s">
        <v>938</v>
      </c>
      <c r="F161" s="0" t="n">
        <v>5</v>
      </c>
      <c r="G161" s="0" t="n">
        <v>5</v>
      </c>
      <c r="H161" s="0" t="s">
        <v>580</v>
      </c>
      <c r="I161" s="0" t="s">
        <v>619</v>
      </c>
      <c r="K161" s="0" t="s">
        <v>586</v>
      </c>
      <c r="L161" s="0" t="s">
        <v>939</v>
      </c>
    </row>
    <row r="162" customFormat="false" ht="15" hidden="false" customHeight="false" outlineLevel="0" collapsed="false">
      <c r="A162" s="0" t="s">
        <v>61</v>
      </c>
      <c r="B162" s="0" t="s">
        <v>42</v>
      </c>
      <c r="C162" s="0" t="s">
        <v>935</v>
      </c>
      <c r="D162" s="0" t="s">
        <v>588</v>
      </c>
      <c r="E162" s="0" t="s">
        <v>940</v>
      </c>
      <c r="F162" s="0" t="n">
        <v>5</v>
      </c>
      <c r="G162" s="0" t="n">
        <v>5</v>
      </c>
      <c r="H162" s="0" t="s">
        <v>580</v>
      </c>
      <c r="I162" s="0" t="s">
        <v>732</v>
      </c>
      <c r="K162" s="0" t="s">
        <v>590</v>
      </c>
      <c r="L162" s="0" t="s">
        <v>941</v>
      </c>
    </row>
    <row r="163" customFormat="false" ht="15" hidden="false" customHeight="false" outlineLevel="0" collapsed="false">
      <c r="A163" s="0" t="s">
        <v>61</v>
      </c>
      <c r="B163" s="0" t="s">
        <v>42</v>
      </c>
      <c r="C163" s="0" t="s">
        <v>935</v>
      </c>
      <c r="D163" s="0" t="s">
        <v>127</v>
      </c>
      <c r="E163" s="0" t="s">
        <v>942</v>
      </c>
      <c r="F163" s="0" t="n">
        <v>5</v>
      </c>
      <c r="G163" s="0" t="n">
        <v>5</v>
      </c>
      <c r="H163" s="0" t="s">
        <v>580</v>
      </c>
      <c r="I163" s="0" t="s">
        <v>732</v>
      </c>
      <c r="K163" s="0" t="s">
        <v>594</v>
      </c>
      <c r="L163" s="0" t="s">
        <v>943</v>
      </c>
    </row>
    <row r="164" customFormat="false" ht="15" hidden="false" customHeight="false" outlineLevel="0" collapsed="false">
      <c r="A164" s="0" t="s">
        <v>61</v>
      </c>
      <c r="B164" s="0" t="s">
        <v>42</v>
      </c>
      <c r="C164" s="0" t="s">
        <v>935</v>
      </c>
      <c r="D164" s="0" t="s">
        <v>130</v>
      </c>
      <c r="E164" s="0" t="s">
        <v>944</v>
      </c>
      <c r="F164" s="0" t="n">
        <v>5</v>
      </c>
      <c r="G164" s="0" t="n">
        <v>4</v>
      </c>
      <c r="H164" s="0" t="s">
        <v>585</v>
      </c>
      <c r="I164" s="0" t="s">
        <v>653</v>
      </c>
      <c r="K164" s="0" t="s">
        <v>597</v>
      </c>
      <c r="L164" s="0" t="s">
        <v>945</v>
      </c>
    </row>
    <row r="165" customFormat="false" ht="15" hidden="false" customHeight="false" outlineLevel="0" collapsed="false">
      <c r="A165" s="0" t="s">
        <v>61</v>
      </c>
      <c r="B165" s="0" t="s">
        <v>946</v>
      </c>
      <c r="C165" s="0" t="s">
        <v>935</v>
      </c>
      <c r="D165" s="0" t="s">
        <v>133</v>
      </c>
      <c r="E165" s="0" t="s">
        <v>947</v>
      </c>
      <c r="F165" s="0" t="n">
        <v>4</v>
      </c>
      <c r="G165" s="0" t="n">
        <v>4</v>
      </c>
      <c r="H165" s="0" t="s">
        <v>580</v>
      </c>
      <c r="I165" s="0" t="s">
        <v>641</v>
      </c>
      <c r="K165" s="0" t="s">
        <v>600</v>
      </c>
      <c r="L165" s="0" t="s">
        <v>948</v>
      </c>
    </row>
    <row r="166" customFormat="false" ht="15" hidden="false" customHeight="false" outlineLevel="0" collapsed="false">
      <c r="A166" s="0" t="s">
        <v>61</v>
      </c>
      <c r="B166" s="0" t="s">
        <v>42</v>
      </c>
      <c r="C166" s="0" t="s">
        <v>935</v>
      </c>
      <c r="D166" s="0" t="s">
        <v>141</v>
      </c>
      <c r="E166" s="0" t="s">
        <v>949</v>
      </c>
      <c r="F166" s="0" t="n">
        <v>5</v>
      </c>
      <c r="G166" s="0" t="n">
        <v>3</v>
      </c>
      <c r="H166" s="0" t="s">
        <v>585</v>
      </c>
      <c r="I166" s="0" t="s">
        <v>630</v>
      </c>
      <c r="K166" s="0" t="s">
        <v>604</v>
      </c>
      <c r="L166" s="0" t="s">
        <v>950</v>
      </c>
    </row>
    <row r="167" customFormat="false" ht="15" hidden="false" customHeight="false" outlineLevel="0" collapsed="false">
      <c r="A167" s="0" t="s">
        <v>61</v>
      </c>
      <c r="B167" s="0" t="s">
        <v>42</v>
      </c>
      <c r="C167" s="0" t="s">
        <v>935</v>
      </c>
      <c r="D167" s="0" t="s">
        <v>144</v>
      </c>
      <c r="E167" s="0" t="s">
        <v>951</v>
      </c>
      <c r="F167" s="0" t="n">
        <v>5</v>
      </c>
      <c r="G167" s="0" t="n">
        <v>5</v>
      </c>
      <c r="H167" s="0" t="s">
        <v>580</v>
      </c>
      <c r="I167" s="0" t="s">
        <v>619</v>
      </c>
      <c r="K167" s="0" t="s">
        <v>607</v>
      </c>
      <c r="L167" s="0" t="s">
        <v>952</v>
      </c>
    </row>
    <row r="168" customFormat="false" ht="15" hidden="false" customHeight="false" outlineLevel="0" collapsed="false">
      <c r="A168" s="0" t="s">
        <v>61</v>
      </c>
      <c r="B168" s="0" t="s">
        <v>42</v>
      </c>
      <c r="C168" s="0" t="s">
        <v>935</v>
      </c>
      <c r="D168" s="0" t="s">
        <v>147</v>
      </c>
      <c r="E168" s="0" t="s">
        <v>953</v>
      </c>
      <c r="F168" s="0" t="n">
        <v>5</v>
      </c>
      <c r="G168" s="0" t="n">
        <v>5</v>
      </c>
      <c r="H168" s="0" t="s">
        <v>580</v>
      </c>
      <c r="I168" s="0" t="s">
        <v>653</v>
      </c>
      <c r="K168" s="0" t="s">
        <v>610</v>
      </c>
      <c r="L168" s="0" t="s">
        <v>954</v>
      </c>
    </row>
    <row r="169" customFormat="false" ht="15" hidden="false" customHeight="false" outlineLevel="0" collapsed="false">
      <c r="A169" s="0" t="s">
        <v>61</v>
      </c>
      <c r="B169" s="0" t="s">
        <v>266</v>
      </c>
      <c r="C169" s="0" t="s">
        <v>935</v>
      </c>
      <c r="D169" s="0" t="s">
        <v>150</v>
      </c>
      <c r="E169" s="0" t="s">
        <v>955</v>
      </c>
      <c r="F169" s="0" t="n">
        <v>4</v>
      </c>
      <c r="G169" s="0" t="n">
        <v>4</v>
      </c>
      <c r="H169" s="0" t="s">
        <v>580</v>
      </c>
      <c r="I169" s="0" t="s">
        <v>603</v>
      </c>
      <c r="K169" s="0" t="s">
        <v>613</v>
      </c>
      <c r="L169" s="0" t="s">
        <v>956</v>
      </c>
    </row>
    <row r="170" customFormat="false" ht="15" hidden="false" customHeight="false" outlineLevel="0" collapsed="false">
      <c r="A170" s="0" t="s">
        <v>61</v>
      </c>
      <c r="B170" s="0" t="s">
        <v>42</v>
      </c>
      <c r="C170" s="0" t="s">
        <v>935</v>
      </c>
      <c r="D170" s="0" t="s">
        <v>153</v>
      </c>
      <c r="E170" s="0" t="s">
        <v>957</v>
      </c>
      <c r="F170" s="0" t="n">
        <v>5</v>
      </c>
      <c r="G170" s="0" t="n">
        <v>5</v>
      </c>
      <c r="H170" s="0" t="s">
        <v>580</v>
      </c>
      <c r="I170" s="0" t="s">
        <v>641</v>
      </c>
      <c r="K170" s="0" t="s">
        <v>616</v>
      </c>
      <c r="L170" s="0" t="s">
        <v>958</v>
      </c>
    </row>
    <row r="171" customFormat="false" ht="15" hidden="false" customHeight="false" outlineLevel="0" collapsed="false">
      <c r="A171" s="0" t="s">
        <v>61</v>
      </c>
      <c r="B171" s="0" t="s">
        <v>42</v>
      </c>
      <c r="C171" s="0" t="s">
        <v>935</v>
      </c>
      <c r="D171" s="0" t="s">
        <v>156</v>
      </c>
      <c r="E171" s="0" t="s">
        <v>959</v>
      </c>
      <c r="F171" s="0" t="n">
        <v>5</v>
      </c>
      <c r="G171" s="0" t="n">
        <v>0</v>
      </c>
      <c r="H171" s="0" t="s">
        <v>585</v>
      </c>
      <c r="K171" s="0" t="s">
        <v>620</v>
      </c>
      <c r="L171" s="0" t="s">
        <v>960</v>
      </c>
    </row>
    <row r="172" customFormat="false" ht="15" hidden="false" customHeight="false" outlineLevel="0" collapsed="false">
      <c r="A172" s="0" t="s">
        <v>61</v>
      </c>
      <c r="B172" s="0" t="s">
        <v>42</v>
      </c>
      <c r="C172" s="0" t="s">
        <v>961</v>
      </c>
      <c r="D172" s="0" t="s">
        <v>578</v>
      </c>
      <c r="E172" s="0" t="s">
        <v>962</v>
      </c>
      <c r="F172" s="0" t="n">
        <v>0</v>
      </c>
      <c r="G172" s="0" t="n">
        <v>0</v>
      </c>
      <c r="H172" s="0" t="s">
        <v>580</v>
      </c>
      <c r="K172" s="0" t="s">
        <v>581</v>
      </c>
      <c r="L172" s="0" t="s">
        <v>963</v>
      </c>
    </row>
    <row r="173" customFormat="false" ht="15" hidden="false" customHeight="false" outlineLevel="0" collapsed="false">
      <c r="A173" s="0" t="s">
        <v>61</v>
      </c>
      <c r="B173" s="0" t="s">
        <v>42</v>
      </c>
      <c r="C173" s="0" t="s">
        <v>961</v>
      </c>
      <c r="D173" s="0" t="s">
        <v>583</v>
      </c>
      <c r="E173" s="0" t="s">
        <v>964</v>
      </c>
      <c r="F173" s="0" t="n">
        <v>5</v>
      </c>
      <c r="G173" s="0" t="n">
        <v>5</v>
      </c>
      <c r="H173" s="0" t="s">
        <v>580</v>
      </c>
      <c r="I173" s="0" t="s">
        <v>593</v>
      </c>
      <c r="K173" s="0" t="s">
        <v>586</v>
      </c>
      <c r="L173" s="0" t="s">
        <v>965</v>
      </c>
    </row>
    <row r="174" customFormat="false" ht="15" hidden="false" customHeight="false" outlineLevel="0" collapsed="false">
      <c r="A174" s="0" t="s">
        <v>61</v>
      </c>
      <c r="B174" s="0" t="s">
        <v>42</v>
      </c>
      <c r="C174" s="0" t="s">
        <v>961</v>
      </c>
      <c r="D174" s="0" t="s">
        <v>588</v>
      </c>
      <c r="E174" s="0" t="s">
        <v>966</v>
      </c>
      <c r="F174" s="0" t="n">
        <v>5</v>
      </c>
      <c r="G174" s="0" t="n">
        <v>4</v>
      </c>
      <c r="H174" s="0" t="s">
        <v>585</v>
      </c>
      <c r="I174" s="0" t="s">
        <v>619</v>
      </c>
      <c r="K174" s="0" t="s">
        <v>590</v>
      </c>
      <c r="L174" s="0" t="s">
        <v>967</v>
      </c>
    </row>
    <row r="175" customFormat="false" ht="15" hidden="false" customHeight="false" outlineLevel="0" collapsed="false">
      <c r="A175" s="0" t="s">
        <v>61</v>
      </c>
      <c r="B175" s="0" t="s">
        <v>42</v>
      </c>
      <c r="C175" s="0" t="s">
        <v>961</v>
      </c>
      <c r="D175" s="0" t="s">
        <v>127</v>
      </c>
      <c r="E175" s="0" t="s">
        <v>968</v>
      </c>
      <c r="F175" s="0" t="n">
        <v>5</v>
      </c>
      <c r="G175" s="0" t="n">
        <v>5</v>
      </c>
      <c r="H175" s="0" t="s">
        <v>580</v>
      </c>
      <c r="I175" s="0" t="s">
        <v>593</v>
      </c>
      <c r="K175" s="0" t="s">
        <v>594</v>
      </c>
      <c r="L175" s="0" t="s">
        <v>969</v>
      </c>
    </row>
    <row r="176" customFormat="false" ht="15" hidden="false" customHeight="false" outlineLevel="0" collapsed="false">
      <c r="A176" s="0" t="s">
        <v>61</v>
      </c>
      <c r="B176" s="0" t="s">
        <v>42</v>
      </c>
      <c r="C176" s="0" t="s">
        <v>961</v>
      </c>
      <c r="D176" s="0" t="s">
        <v>130</v>
      </c>
      <c r="E176" s="0" t="s">
        <v>970</v>
      </c>
      <c r="F176" s="0" t="n">
        <v>5</v>
      </c>
      <c r="G176" s="0" t="n">
        <v>5</v>
      </c>
      <c r="H176" s="0" t="s">
        <v>580</v>
      </c>
      <c r="I176" s="0" t="s">
        <v>705</v>
      </c>
      <c r="K176" s="0" t="s">
        <v>597</v>
      </c>
      <c r="L176" s="0" t="s">
        <v>971</v>
      </c>
    </row>
    <row r="177" customFormat="false" ht="15" hidden="false" customHeight="false" outlineLevel="0" collapsed="false">
      <c r="A177" s="0" t="s">
        <v>61</v>
      </c>
      <c r="B177" s="0" t="s">
        <v>42</v>
      </c>
      <c r="C177" s="0" t="s">
        <v>961</v>
      </c>
      <c r="D177" s="0" t="s">
        <v>133</v>
      </c>
      <c r="E177" s="0" t="s">
        <v>972</v>
      </c>
      <c r="F177" s="0" t="n">
        <v>5</v>
      </c>
      <c r="G177" s="0" t="n">
        <v>2</v>
      </c>
      <c r="H177" s="0" t="s">
        <v>585</v>
      </c>
      <c r="I177" s="0" t="s">
        <v>641</v>
      </c>
      <c r="K177" s="0" t="s">
        <v>600</v>
      </c>
      <c r="L177" s="0" t="s">
        <v>973</v>
      </c>
    </row>
    <row r="178" customFormat="false" ht="15" hidden="false" customHeight="false" outlineLevel="0" collapsed="false">
      <c r="A178" s="0" t="s">
        <v>61</v>
      </c>
      <c r="B178" s="0" t="s">
        <v>42</v>
      </c>
      <c r="C178" s="0" t="s">
        <v>961</v>
      </c>
      <c r="D178" s="0" t="s">
        <v>141</v>
      </c>
      <c r="E178" s="0" t="s">
        <v>974</v>
      </c>
      <c r="F178" s="0" t="n">
        <v>5</v>
      </c>
      <c r="G178" s="0" t="n">
        <v>4</v>
      </c>
      <c r="H178" s="0" t="s">
        <v>585</v>
      </c>
      <c r="I178" s="0" t="s">
        <v>705</v>
      </c>
      <c r="K178" s="0" t="s">
        <v>604</v>
      </c>
      <c r="L178" s="0" t="s">
        <v>975</v>
      </c>
    </row>
    <row r="179" customFormat="false" ht="15" hidden="false" customHeight="false" outlineLevel="0" collapsed="false">
      <c r="A179" s="0" t="s">
        <v>61</v>
      </c>
      <c r="B179" s="0" t="s">
        <v>266</v>
      </c>
      <c r="C179" s="0" t="s">
        <v>961</v>
      </c>
      <c r="D179" s="0" t="s">
        <v>144</v>
      </c>
      <c r="E179" s="0" t="s">
        <v>976</v>
      </c>
      <c r="F179" s="0" t="n">
        <v>4</v>
      </c>
      <c r="G179" s="0" t="n">
        <v>1</v>
      </c>
      <c r="H179" s="0" t="s">
        <v>585</v>
      </c>
      <c r="I179" s="0" t="s">
        <v>641</v>
      </c>
      <c r="K179" s="0" t="s">
        <v>607</v>
      </c>
      <c r="L179" s="0" t="s">
        <v>977</v>
      </c>
    </row>
    <row r="180" customFormat="false" ht="15" hidden="false" customHeight="false" outlineLevel="0" collapsed="false">
      <c r="A180" s="0" t="s">
        <v>61</v>
      </c>
      <c r="B180" s="0" t="s">
        <v>42</v>
      </c>
      <c r="C180" s="0" t="s">
        <v>961</v>
      </c>
      <c r="D180" s="0" t="s">
        <v>147</v>
      </c>
      <c r="E180" s="0" t="s">
        <v>978</v>
      </c>
      <c r="F180" s="0" t="n">
        <v>5</v>
      </c>
      <c r="G180" s="0" t="n">
        <v>3</v>
      </c>
      <c r="H180" s="0" t="s">
        <v>585</v>
      </c>
      <c r="I180" s="0" t="s">
        <v>653</v>
      </c>
      <c r="K180" s="0" t="s">
        <v>610</v>
      </c>
      <c r="L180" s="0" t="s">
        <v>979</v>
      </c>
    </row>
    <row r="181" customFormat="false" ht="15" hidden="false" customHeight="false" outlineLevel="0" collapsed="false">
      <c r="A181" s="0" t="s">
        <v>61</v>
      </c>
      <c r="B181" s="0" t="s">
        <v>42</v>
      </c>
      <c r="C181" s="0" t="s">
        <v>961</v>
      </c>
      <c r="D181" s="0" t="s">
        <v>150</v>
      </c>
      <c r="E181" s="0" t="s">
        <v>980</v>
      </c>
      <c r="F181" s="0" t="n">
        <v>5</v>
      </c>
      <c r="G181" s="0" t="n">
        <v>5</v>
      </c>
      <c r="H181" s="0" t="s">
        <v>580</v>
      </c>
      <c r="I181" s="0" t="s">
        <v>603</v>
      </c>
      <c r="K181" s="0" t="s">
        <v>613</v>
      </c>
      <c r="L181" s="0" t="s">
        <v>981</v>
      </c>
    </row>
    <row r="182" customFormat="false" ht="15" hidden="false" customHeight="false" outlineLevel="0" collapsed="false">
      <c r="A182" s="0" t="s">
        <v>61</v>
      </c>
      <c r="B182" s="0" t="s">
        <v>42</v>
      </c>
      <c r="C182" s="0" t="s">
        <v>961</v>
      </c>
      <c r="D182" s="0" t="s">
        <v>153</v>
      </c>
      <c r="E182" s="0" t="s">
        <v>982</v>
      </c>
      <c r="F182" s="0" t="n">
        <v>5</v>
      </c>
      <c r="G182" s="0" t="n">
        <v>5</v>
      </c>
      <c r="H182" s="0" t="s">
        <v>580</v>
      </c>
      <c r="I182" s="0" t="s">
        <v>653</v>
      </c>
      <c r="K182" s="0" t="s">
        <v>616</v>
      </c>
      <c r="L182" s="0" t="s">
        <v>983</v>
      </c>
    </row>
    <row r="183" customFormat="false" ht="15" hidden="false" customHeight="false" outlineLevel="0" collapsed="false">
      <c r="A183" s="0" t="s">
        <v>61</v>
      </c>
      <c r="B183" s="0" t="s">
        <v>42</v>
      </c>
      <c r="C183" s="0" t="s">
        <v>961</v>
      </c>
      <c r="D183" s="0" t="s">
        <v>156</v>
      </c>
      <c r="E183" s="0" t="s">
        <v>984</v>
      </c>
      <c r="F183" s="0" t="n">
        <v>5</v>
      </c>
      <c r="G183" s="0" t="n">
        <v>0</v>
      </c>
      <c r="H183" s="0" t="s">
        <v>585</v>
      </c>
      <c r="K183" s="0" t="s">
        <v>620</v>
      </c>
      <c r="L183" s="0" t="s">
        <v>985</v>
      </c>
    </row>
    <row r="184" customFormat="false" ht="15" hidden="false" customHeight="false" outlineLevel="0" collapsed="false">
      <c r="A184" s="0" t="s">
        <v>61</v>
      </c>
      <c r="B184" s="0" t="s">
        <v>345</v>
      </c>
      <c r="C184" s="0" t="s">
        <v>986</v>
      </c>
      <c r="D184" s="0" t="s">
        <v>987</v>
      </c>
      <c r="E184" s="0" t="s">
        <v>988</v>
      </c>
      <c r="F184" s="0" t="n">
        <v>0</v>
      </c>
      <c r="G184" s="0" t="n">
        <v>0</v>
      </c>
      <c r="H184" s="0" t="s">
        <v>580</v>
      </c>
      <c r="K184" s="0" t="s">
        <v>581</v>
      </c>
      <c r="L184" s="0" t="s">
        <v>989</v>
      </c>
    </row>
    <row r="185" customFormat="false" ht="15" hidden="false" customHeight="false" outlineLevel="0" collapsed="false">
      <c r="A185" s="0" t="s">
        <v>61</v>
      </c>
      <c r="B185" s="0" t="s">
        <v>345</v>
      </c>
      <c r="C185" s="0" t="s">
        <v>986</v>
      </c>
      <c r="D185" s="0" t="s">
        <v>990</v>
      </c>
      <c r="E185" s="0" t="s">
        <v>991</v>
      </c>
      <c r="F185" s="0" t="n">
        <v>4</v>
      </c>
      <c r="G185" s="0" t="n">
        <v>2</v>
      </c>
      <c r="H185" s="0" t="s">
        <v>585</v>
      </c>
      <c r="I185" s="0" t="s">
        <v>695</v>
      </c>
      <c r="K185" s="0" t="s">
        <v>586</v>
      </c>
      <c r="L185" s="0" t="s">
        <v>992</v>
      </c>
    </row>
    <row r="186" customFormat="false" ht="15" hidden="false" customHeight="false" outlineLevel="0" collapsed="false">
      <c r="A186" s="0" t="s">
        <v>61</v>
      </c>
      <c r="B186" s="0" t="s">
        <v>345</v>
      </c>
      <c r="C186" s="0" t="s">
        <v>986</v>
      </c>
      <c r="D186" s="0" t="s">
        <v>993</v>
      </c>
      <c r="E186" s="0" t="s">
        <v>994</v>
      </c>
      <c r="F186" s="0" t="n">
        <v>4</v>
      </c>
      <c r="G186" s="0" t="n">
        <v>0</v>
      </c>
      <c r="H186" s="0" t="s">
        <v>585</v>
      </c>
      <c r="K186" s="0" t="s">
        <v>590</v>
      </c>
      <c r="L186" s="0" t="s">
        <v>995</v>
      </c>
    </row>
    <row r="187" customFormat="false" ht="15" hidden="false" customHeight="false" outlineLevel="0" collapsed="false">
      <c r="A187" s="0" t="s">
        <v>61</v>
      </c>
      <c r="B187" s="0" t="s">
        <v>345</v>
      </c>
      <c r="C187" s="0" t="s">
        <v>986</v>
      </c>
      <c r="D187" s="0" t="s">
        <v>126</v>
      </c>
      <c r="E187" s="0" t="s">
        <v>996</v>
      </c>
      <c r="F187" s="0" t="n">
        <v>4</v>
      </c>
      <c r="G187" s="0" t="n">
        <v>3</v>
      </c>
      <c r="H187" s="0" t="s">
        <v>585</v>
      </c>
      <c r="I187" s="0" t="s">
        <v>720</v>
      </c>
      <c r="K187" s="0" t="s">
        <v>594</v>
      </c>
      <c r="L187" s="0" t="s">
        <v>997</v>
      </c>
    </row>
    <row r="188" customFormat="false" ht="15" hidden="false" customHeight="false" outlineLevel="0" collapsed="false">
      <c r="A188" s="0" t="s">
        <v>61</v>
      </c>
      <c r="B188" s="0" t="s">
        <v>345</v>
      </c>
      <c r="C188" s="0" t="s">
        <v>986</v>
      </c>
      <c r="D188" s="0" t="s">
        <v>129</v>
      </c>
      <c r="E188" s="0" t="s">
        <v>998</v>
      </c>
      <c r="F188" s="0" t="n">
        <v>4</v>
      </c>
      <c r="G188" s="0" t="n">
        <v>3</v>
      </c>
      <c r="H188" s="0" t="s">
        <v>585</v>
      </c>
      <c r="I188" s="0" t="s">
        <v>619</v>
      </c>
      <c r="K188" s="0" t="s">
        <v>597</v>
      </c>
      <c r="L188" s="0" t="s">
        <v>999</v>
      </c>
    </row>
    <row r="189" customFormat="false" ht="15" hidden="false" customHeight="false" outlineLevel="0" collapsed="false">
      <c r="A189" s="0" t="s">
        <v>61</v>
      </c>
      <c r="B189" s="0" t="s">
        <v>345</v>
      </c>
      <c r="C189" s="0" t="s">
        <v>986</v>
      </c>
      <c r="D189" s="0" t="s">
        <v>132</v>
      </c>
      <c r="E189" s="0" t="s">
        <v>1000</v>
      </c>
      <c r="F189" s="0" t="n">
        <v>0</v>
      </c>
      <c r="G189" s="0" t="n">
        <v>2</v>
      </c>
      <c r="H189" s="0" t="s">
        <v>580</v>
      </c>
      <c r="I189" s="0" t="s">
        <v>603</v>
      </c>
      <c r="K189" s="0" t="s">
        <v>600</v>
      </c>
      <c r="L189" s="0" t="s">
        <v>1001</v>
      </c>
    </row>
    <row r="190" customFormat="false" ht="15" hidden="false" customHeight="false" outlineLevel="0" collapsed="false">
      <c r="A190" s="0" t="s">
        <v>61</v>
      </c>
      <c r="B190" s="0" t="s">
        <v>345</v>
      </c>
      <c r="C190" s="0" t="s">
        <v>986</v>
      </c>
      <c r="D190" s="0" t="s">
        <v>139</v>
      </c>
      <c r="E190" s="0" t="s">
        <v>1002</v>
      </c>
      <c r="F190" s="0" t="n">
        <v>4</v>
      </c>
      <c r="G190" s="0" t="n">
        <v>0</v>
      </c>
      <c r="H190" s="0" t="s">
        <v>585</v>
      </c>
      <c r="K190" s="0" t="s">
        <v>604</v>
      </c>
      <c r="L190" s="0" t="s">
        <v>1003</v>
      </c>
    </row>
    <row r="191" customFormat="false" ht="15" hidden="false" customHeight="false" outlineLevel="0" collapsed="false">
      <c r="A191" s="0" t="s">
        <v>61</v>
      </c>
      <c r="B191" s="0" t="s">
        <v>345</v>
      </c>
      <c r="C191" s="0" t="s">
        <v>986</v>
      </c>
      <c r="D191" s="0" t="s">
        <v>143</v>
      </c>
      <c r="E191" s="0" t="s">
        <v>1004</v>
      </c>
      <c r="F191" s="0" t="n">
        <v>4</v>
      </c>
      <c r="G191" s="0" t="n">
        <v>2</v>
      </c>
      <c r="H191" s="0" t="s">
        <v>585</v>
      </c>
      <c r="I191" s="0" t="s">
        <v>630</v>
      </c>
      <c r="K191" s="0" t="s">
        <v>607</v>
      </c>
      <c r="L191" s="0" t="s">
        <v>1005</v>
      </c>
    </row>
    <row r="192" customFormat="false" ht="15" hidden="false" customHeight="false" outlineLevel="0" collapsed="false">
      <c r="A192" s="0" t="s">
        <v>61</v>
      </c>
      <c r="B192" s="0" t="s">
        <v>345</v>
      </c>
      <c r="C192" s="0" t="s">
        <v>986</v>
      </c>
      <c r="D192" s="0" t="s">
        <v>146</v>
      </c>
      <c r="E192" s="0" t="s">
        <v>1006</v>
      </c>
      <c r="F192" s="0" t="n">
        <v>0</v>
      </c>
      <c r="G192" s="0" t="n">
        <v>3</v>
      </c>
      <c r="H192" s="0" t="s">
        <v>580</v>
      </c>
      <c r="I192" s="0" t="s">
        <v>695</v>
      </c>
      <c r="K192" s="0" t="s">
        <v>610</v>
      </c>
      <c r="L192" s="0" t="s">
        <v>1007</v>
      </c>
    </row>
    <row r="193" customFormat="false" ht="15" hidden="false" customHeight="false" outlineLevel="0" collapsed="false">
      <c r="A193" s="0" t="s">
        <v>61</v>
      </c>
      <c r="B193" s="0" t="s">
        <v>345</v>
      </c>
      <c r="C193" s="0" t="s">
        <v>986</v>
      </c>
      <c r="D193" s="0" t="s">
        <v>149</v>
      </c>
      <c r="E193" s="0" t="s">
        <v>1008</v>
      </c>
      <c r="F193" s="0" t="n">
        <v>4</v>
      </c>
      <c r="G193" s="0" t="n">
        <v>3</v>
      </c>
      <c r="H193" s="0" t="s">
        <v>585</v>
      </c>
      <c r="I193" s="0" t="s">
        <v>720</v>
      </c>
      <c r="K193" s="0" t="s">
        <v>613</v>
      </c>
      <c r="L193" s="0" t="s">
        <v>1009</v>
      </c>
    </row>
    <row r="194" customFormat="false" ht="15" hidden="false" customHeight="false" outlineLevel="0" collapsed="false">
      <c r="A194" s="0" t="s">
        <v>61</v>
      </c>
      <c r="B194" s="0" t="s">
        <v>345</v>
      </c>
      <c r="C194" s="0" t="s">
        <v>986</v>
      </c>
      <c r="D194" s="0" t="s">
        <v>152</v>
      </c>
      <c r="E194" s="0" t="s">
        <v>1010</v>
      </c>
      <c r="F194" s="0" t="n">
        <v>4</v>
      </c>
      <c r="G194" s="0" t="n">
        <v>3</v>
      </c>
      <c r="H194" s="0" t="s">
        <v>585</v>
      </c>
      <c r="I194" s="0" t="s">
        <v>619</v>
      </c>
      <c r="K194" s="0" t="s">
        <v>616</v>
      </c>
      <c r="L194" s="0" t="s">
        <v>1011</v>
      </c>
    </row>
    <row r="195" customFormat="false" ht="15" hidden="false" customHeight="false" outlineLevel="0" collapsed="false">
      <c r="A195" s="0" t="s">
        <v>61</v>
      </c>
      <c r="B195" s="0" t="s">
        <v>345</v>
      </c>
      <c r="C195" s="0" t="s">
        <v>986</v>
      </c>
      <c r="D195" s="0" t="s">
        <v>155</v>
      </c>
      <c r="E195" s="0" t="s">
        <v>1012</v>
      </c>
      <c r="F195" s="0" t="n">
        <v>4</v>
      </c>
      <c r="G195" s="0" t="n">
        <v>4</v>
      </c>
      <c r="H195" s="0" t="s">
        <v>580</v>
      </c>
      <c r="I195" s="0" t="s">
        <v>695</v>
      </c>
      <c r="K195" s="0" t="s">
        <v>620</v>
      </c>
      <c r="L195" s="0" t="s">
        <v>1013</v>
      </c>
    </row>
    <row r="196" customFormat="false" ht="15" hidden="false" customHeight="false" outlineLevel="0" collapsed="false">
      <c r="A196" s="0" t="s">
        <v>61</v>
      </c>
      <c r="B196" s="0" t="s">
        <v>345</v>
      </c>
      <c r="C196" s="0" t="s">
        <v>1014</v>
      </c>
      <c r="D196" s="0" t="s">
        <v>987</v>
      </c>
      <c r="E196" s="0" t="s">
        <v>1015</v>
      </c>
      <c r="F196" s="0" t="n">
        <v>0</v>
      </c>
      <c r="G196" s="0" t="n">
        <v>0</v>
      </c>
      <c r="H196" s="0" t="s">
        <v>580</v>
      </c>
      <c r="K196" s="0" t="s">
        <v>581</v>
      </c>
      <c r="L196" s="0" t="s">
        <v>1016</v>
      </c>
    </row>
    <row r="197" customFormat="false" ht="15" hidden="false" customHeight="false" outlineLevel="0" collapsed="false">
      <c r="A197" s="0" t="s">
        <v>61</v>
      </c>
      <c r="B197" s="0" t="s">
        <v>345</v>
      </c>
      <c r="C197" s="0" t="s">
        <v>1014</v>
      </c>
      <c r="D197" s="0" t="s">
        <v>990</v>
      </c>
      <c r="E197" s="0" t="s">
        <v>1017</v>
      </c>
      <c r="F197" s="0" t="n">
        <v>4</v>
      </c>
      <c r="G197" s="0" t="n">
        <v>3</v>
      </c>
      <c r="H197" s="0" t="s">
        <v>585</v>
      </c>
      <c r="I197" s="0" t="s">
        <v>720</v>
      </c>
      <c r="K197" s="0" t="s">
        <v>586</v>
      </c>
      <c r="L197" s="0" t="s">
        <v>1018</v>
      </c>
    </row>
    <row r="198" customFormat="false" ht="15" hidden="false" customHeight="false" outlineLevel="0" collapsed="false">
      <c r="A198" s="0" t="s">
        <v>61</v>
      </c>
      <c r="B198" s="0" t="s">
        <v>345</v>
      </c>
      <c r="C198" s="0" t="s">
        <v>1014</v>
      </c>
      <c r="D198" s="0" t="s">
        <v>993</v>
      </c>
      <c r="E198" s="0" t="s">
        <v>1019</v>
      </c>
      <c r="F198" s="0" t="n">
        <v>4</v>
      </c>
      <c r="G198" s="0" t="n">
        <v>2</v>
      </c>
      <c r="H198" s="0" t="s">
        <v>585</v>
      </c>
      <c r="I198" s="0" t="s">
        <v>720</v>
      </c>
      <c r="K198" s="0" t="s">
        <v>590</v>
      </c>
      <c r="L198" s="0" t="s">
        <v>1020</v>
      </c>
    </row>
    <row r="199" customFormat="false" ht="15" hidden="false" customHeight="false" outlineLevel="0" collapsed="false">
      <c r="A199" s="0" t="s">
        <v>61</v>
      </c>
      <c r="B199" s="0" t="s">
        <v>345</v>
      </c>
      <c r="C199" s="0" t="s">
        <v>1014</v>
      </c>
      <c r="D199" s="0" t="s">
        <v>126</v>
      </c>
      <c r="E199" s="0" t="s">
        <v>1021</v>
      </c>
      <c r="F199" s="0" t="n">
        <v>4</v>
      </c>
      <c r="G199" s="0" t="n">
        <v>2</v>
      </c>
      <c r="H199" s="0" t="s">
        <v>585</v>
      </c>
      <c r="I199" s="0" t="s">
        <v>593</v>
      </c>
      <c r="K199" s="0" t="s">
        <v>594</v>
      </c>
      <c r="L199" s="0" t="s">
        <v>1022</v>
      </c>
    </row>
    <row r="200" customFormat="false" ht="15" hidden="false" customHeight="false" outlineLevel="0" collapsed="false">
      <c r="A200" s="0" t="s">
        <v>61</v>
      </c>
      <c r="B200" s="0" t="s">
        <v>345</v>
      </c>
      <c r="C200" s="0" t="s">
        <v>1014</v>
      </c>
      <c r="D200" s="0" t="s">
        <v>129</v>
      </c>
      <c r="E200" s="0" t="s">
        <v>1023</v>
      </c>
      <c r="F200" s="0" t="n">
        <v>4</v>
      </c>
      <c r="G200" s="0" t="n">
        <v>4</v>
      </c>
      <c r="H200" s="0" t="s">
        <v>580</v>
      </c>
      <c r="I200" s="0" t="s">
        <v>593</v>
      </c>
      <c r="K200" s="0" t="s">
        <v>597</v>
      </c>
      <c r="L200" s="0" t="s">
        <v>1024</v>
      </c>
    </row>
    <row r="201" customFormat="false" ht="15" hidden="false" customHeight="false" outlineLevel="0" collapsed="false">
      <c r="A201" s="0" t="s">
        <v>61</v>
      </c>
      <c r="B201" s="0" t="s">
        <v>345</v>
      </c>
      <c r="C201" s="0" t="s">
        <v>1014</v>
      </c>
      <c r="D201" s="0" t="s">
        <v>132</v>
      </c>
      <c r="E201" s="0" t="s">
        <v>1025</v>
      </c>
      <c r="F201" s="0" t="n">
        <v>0</v>
      </c>
      <c r="G201" s="0" t="n">
        <v>1</v>
      </c>
      <c r="H201" s="0" t="s">
        <v>580</v>
      </c>
      <c r="I201" s="0" t="s">
        <v>641</v>
      </c>
      <c r="K201" s="0" t="s">
        <v>600</v>
      </c>
      <c r="L201" s="0" t="s">
        <v>1026</v>
      </c>
    </row>
    <row r="202" customFormat="false" ht="15" hidden="false" customHeight="false" outlineLevel="0" collapsed="false">
      <c r="A202" s="0" t="s">
        <v>61</v>
      </c>
      <c r="B202" s="0" t="s">
        <v>345</v>
      </c>
      <c r="C202" s="0" t="s">
        <v>1014</v>
      </c>
      <c r="D202" s="0" t="s">
        <v>139</v>
      </c>
      <c r="E202" s="0" t="s">
        <v>1027</v>
      </c>
      <c r="F202" s="0" t="n">
        <v>4</v>
      </c>
      <c r="G202" s="0" t="n">
        <v>0</v>
      </c>
      <c r="H202" s="0" t="s">
        <v>585</v>
      </c>
      <c r="K202" s="0" t="s">
        <v>604</v>
      </c>
      <c r="L202" s="0" t="s">
        <v>1028</v>
      </c>
    </row>
    <row r="203" customFormat="false" ht="15" hidden="false" customHeight="false" outlineLevel="0" collapsed="false">
      <c r="A203" s="0" t="s">
        <v>61</v>
      </c>
      <c r="B203" s="0" t="s">
        <v>345</v>
      </c>
      <c r="C203" s="0" t="s">
        <v>1014</v>
      </c>
      <c r="D203" s="0" t="s">
        <v>143</v>
      </c>
      <c r="E203" s="0" t="s">
        <v>1029</v>
      </c>
      <c r="F203" s="0" t="n">
        <v>4</v>
      </c>
      <c r="G203" s="0" t="n">
        <v>3</v>
      </c>
      <c r="H203" s="0" t="s">
        <v>585</v>
      </c>
      <c r="I203" s="0" t="s">
        <v>593</v>
      </c>
      <c r="K203" s="0" t="s">
        <v>607</v>
      </c>
      <c r="L203" s="0" t="s">
        <v>1030</v>
      </c>
    </row>
    <row r="204" customFormat="false" ht="15" hidden="false" customHeight="false" outlineLevel="0" collapsed="false">
      <c r="A204" s="0" t="s">
        <v>61</v>
      </c>
      <c r="B204" s="0" t="s">
        <v>345</v>
      </c>
      <c r="C204" s="0" t="s">
        <v>1014</v>
      </c>
      <c r="D204" s="0" t="s">
        <v>146</v>
      </c>
      <c r="E204" s="0" t="s">
        <v>1031</v>
      </c>
      <c r="F204" s="0" t="n">
        <v>4</v>
      </c>
      <c r="G204" s="0" t="n">
        <v>3</v>
      </c>
      <c r="H204" s="0" t="s">
        <v>585</v>
      </c>
      <c r="I204" s="0" t="s">
        <v>619</v>
      </c>
      <c r="K204" s="0" t="s">
        <v>610</v>
      </c>
      <c r="L204" s="0" t="s">
        <v>1032</v>
      </c>
    </row>
    <row r="205" customFormat="false" ht="15" hidden="false" customHeight="false" outlineLevel="0" collapsed="false">
      <c r="A205" s="0" t="s">
        <v>61</v>
      </c>
      <c r="B205" s="0" t="s">
        <v>345</v>
      </c>
      <c r="C205" s="0" t="s">
        <v>1014</v>
      </c>
      <c r="D205" s="0" t="s">
        <v>149</v>
      </c>
      <c r="E205" s="0" t="s">
        <v>1033</v>
      </c>
      <c r="F205" s="0" t="n">
        <v>0</v>
      </c>
      <c r="G205" s="0" t="n">
        <v>0</v>
      </c>
      <c r="H205" s="0" t="s">
        <v>580</v>
      </c>
      <c r="K205" s="0" t="s">
        <v>613</v>
      </c>
      <c r="L205" s="0" t="s">
        <v>1034</v>
      </c>
    </row>
    <row r="206" customFormat="false" ht="15" hidden="false" customHeight="false" outlineLevel="0" collapsed="false">
      <c r="A206" s="0" t="s">
        <v>61</v>
      </c>
      <c r="B206" s="0" t="s">
        <v>345</v>
      </c>
      <c r="C206" s="0" t="s">
        <v>1014</v>
      </c>
      <c r="D206" s="0" t="s">
        <v>152</v>
      </c>
      <c r="E206" s="0" t="s">
        <v>1035</v>
      </c>
      <c r="F206" s="0" t="n">
        <v>4</v>
      </c>
      <c r="G206" s="0" t="n">
        <v>4</v>
      </c>
      <c r="H206" s="0" t="s">
        <v>580</v>
      </c>
      <c r="I206" s="0" t="s">
        <v>619</v>
      </c>
      <c r="K206" s="0" t="s">
        <v>616</v>
      </c>
      <c r="L206" s="0" t="s">
        <v>1036</v>
      </c>
    </row>
    <row r="207" customFormat="false" ht="15" hidden="false" customHeight="false" outlineLevel="0" collapsed="false">
      <c r="A207" s="0" t="s">
        <v>61</v>
      </c>
      <c r="B207" s="0" t="s">
        <v>345</v>
      </c>
      <c r="C207" s="0" t="s">
        <v>1014</v>
      </c>
      <c r="D207" s="0" t="s">
        <v>155</v>
      </c>
      <c r="E207" s="0" t="s">
        <v>1037</v>
      </c>
      <c r="F207" s="0" t="n">
        <v>4</v>
      </c>
      <c r="G207" s="0" t="n">
        <v>4</v>
      </c>
      <c r="H207" s="0" t="s">
        <v>580</v>
      </c>
      <c r="I207" s="0" t="s">
        <v>630</v>
      </c>
      <c r="K207" s="0" t="s">
        <v>620</v>
      </c>
      <c r="L207" s="0" t="s">
        <v>1038</v>
      </c>
    </row>
    <row r="208" customFormat="false" ht="15" hidden="false" customHeight="false" outlineLevel="0" collapsed="false">
      <c r="A208" s="0" t="s">
        <v>61</v>
      </c>
      <c r="B208" s="0" t="s">
        <v>345</v>
      </c>
      <c r="C208" s="0" t="s">
        <v>1039</v>
      </c>
      <c r="D208" s="0" t="s">
        <v>987</v>
      </c>
      <c r="E208" s="0" t="s">
        <v>1040</v>
      </c>
      <c r="F208" s="0" t="n">
        <v>0</v>
      </c>
      <c r="G208" s="0" t="n">
        <v>0</v>
      </c>
      <c r="H208" s="0" t="s">
        <v>580</v>
      </c>
      <c r="K208" s="0" t="s">
        <v>581</v>
      </c>
      <c r="L208" s="0" t="s">
        <v>1041</v>
      </c>
    </row>
    <row r="209" customFormat="false" ht="15" hidden="false" customHeight="false" outlineLevel="0" collapsed="false">
      <c r="A209" s="0" t="s">
        <v>61</v>
      </c>
      <c r="B209" s="0" t="s">
        <v>345</v>
      </c>
      <c r="C209" s="0" t="s">
        <v>1039</v>
      </c>
      <c r="D209" s="0" t="s">
        <v>990</v>
      </c>
      <c r="E209" s="0" t="s">
        <v>1042</v>
      </c>
      <c r="F209" s="0" t="n">
        <v>4</v>
      </c>
      <c r="G209" s="0" t="n">
        <v>3</v>
      </c>
      <c r="H209" s="0" t="s">
        <v>585</v>
      </c>
      <c r="I209" s="0" t="s">
        <v>593</v>
      </c>
      <c r="K209" s="0" t="s">
        <v>586</v>
      </c>
      <c r="L209" s="0" t="s">
        <v>1043</v>
      </c>
    </row>
    <row r="210" customFormat="false" ht="15" hidden="false" customHeight="false" outlineLevel="0" collapsed="false">
      <c r="A210" s="0" t="s">
        <v>61</v>
      </c>
      <c r="B210" s="0" t="s">
        <v>345</v>
      </c>
      <c r="C210" s="0" t="s">
        <v>1039</v>
      </c>
      <c r="D210" s="0" t="s">
        <v>993</v>
      </c>
      <c r="E210" s="0" t="s">
        <v>1044</v>
      </c>
      <c r="F210" s="0" t="n">
        <v>4</v>
      </c>
      <c r="G210" s="0" t="n">
        <v>0</v>
      </c>
      <c r="H210" s="0" t="s">
        <v>585</v>
      </c>
      <c r="K210" s="0" t="s">
        <v>590</v>
      </c>
      <c r="L210" s="0" t="s">
        <v>1045</v>
      </c>
    </row>
    <row r="211" customFormat="false" ht="15" hidden="false" customHeight="false" outlineLevel="0" collapsed="false">
      <c r="A211" s="0" t="s">
        <v>61</v>
      </c>
      <c r="B211" s="0" t="s">
        <v>345</v>
      </c>
      <c r="C211" s="0" t="s">
        <v>1039</v>
      </c>
      <c r="D211" s="0" t="s">
        <v>126</v>
      </c>
      <c r="E211" s="0" t="s">
        <v>1046</v>
      </c>
      <c r="F211" s="0" t="n">
        <v>4</v>
      </c>
      <c r="G211" s="0" t="n">
        <v>1</v>
      </c>
      <c r="H211" s="0" t="s">
        <v>585</v>
      </c>
      <c r="I211" s="0" t="s">
        <v>630</v>
      </c>
      <c r="K211" s="0" t="s">
        <v>594</v>
      </c>
      <c r="L211" s="0" t="s">
        <v>1047</v>
      </c>
    </row>
    <row r="212" customFormat="false" ht="15" hidden="false" customHeight="false" outlineLevel="0" collapsed="false">
      <c r="A212" s="0" t="s">
        <v>61</v>
      </c>
      <c r="B212" s="0" t="s">
        <v>345</v>
      </c>
      <c r="C212" s="0" t="s">
        <v>1039</v>
      </c>
      <c r="D212" s="0" t="s">
        <v>129</v>
      </c>
      <c r="E212" s="0" t="s">
        <v>1048</v>
      </c>
      <c r="F212" s="0" t="n">
        <v>4</v>
      </c>
      <c r="G212" s="0" t="n">
        <v>4</v>
      </c>
      <c r="H212" s="0" t="s">
        <v>580</v>
      </c>
      <c r="I212" s="0" t="s">
        <v>593</v>
      </c>
      <c r="K212" s="0" t="s">
        <v>597</v>
      </c>
      <c r="L212" s="0" t="s">
        <v>1049</v>
      </c>
    </row>
    <row r="213" customFormat="false" ht="15" hidden="false" customHeight="false" outlineLevel="0" collapsed="false">
      <c r="A213" s="0" t="s">
        <v>61</v>
      </c>
      <c r="B213" s="0" t="s">
        <v>345</v>
      </c>
      <c r="C213" s="0" t="s">
        <v>1039</v>
      </c>
      <c r="D213" s="0" t="s">
        <v>132</v>
      </c>
      <c r="E213" s="0" t="s">
        <v>1050</v>
      </c>
      <c r="F213" s="0" t="n">
        <v>0</v>
      </c>
      <c r="G213" s="0" t="n">
        <v>0</v>
      </c>
      <c r="H213" s="0" t="s">
        <v>580</v>
      </c>
      <c r="K213" s="0" t="s">
        <v>600</v>
      </c>
      <c r="L213" s="0" t="s">
        <v>1051</v>
      </c>
    </row>
    <row r="214" customFormat="false" ht="15" hidden="false" customHeight="false" outlineLevel="0" collapsed="false">
      <c r="A214" s="0" t="s">
        <v>61</v>
      </c>
      <c r="B214" s="0" t="s">
        <v>345</v>
      </c>
      <c r="C214" s="0" t="s">
        <v>1039</v>
      </c>
      <c r="D214" s="0" t="s">
        <v>139</v>
      </c>
      <c r="E214" s="0" t="s">
        <v>1052</v>
      </c>
      <c r="F214" s="0" t="n">
        <v>4</v>
      </c>
      <c r="G214" s="0" t="n">
        <v>4</v>
      </c>
      <c r="H214" s="0" t="s">
        <v>580</v>
      </c>
      <c r="I214" s="0" t="s">
        <v>630</v>
      </c>
      <c r="K214" s="0" t="s">
        <v>604</v>
      </c>
      <c r="L214" s="0" t="s">
        <v>1053</v>
      </c>
    </row>
    <row r="215" customFormat="false" ht="15" hidden="false" customHeight="false" outlineLevel="0" collapsed="false">
      <c r="A215" s="0" t="s">
        <v>61</v>
      </c>
      <c r="B215" s="0" t="s">
        <v>345</v>
      </c>
      <c r="C215" s="0" t="s">
        <v>1039</v>
      </c>
      <c r="D215" s="0" t="s">
        <v>143</v>
      </c>
      <c r="E215" s="0" t="s">
        <v>1054</v>
      </c>
      <c r="F215" s="0" t="n">
        <v>4</v>
      </c>
      <c r="G215" s="0" t="n">
        <v>3</v>
      </c>
      <c r="H215" s="0" t="s">
        <v>585</v>
      </c>
      <c r="I215" s="0" t="s">
        <v>732</v>
      </c>
      <c r="K215" s="0" t="s">
        <v>607</v>
      </c>
      <c r="L215" s="0" t="s">
        <v>1055</v>
      </c>
    </row>
    <row r="216" customFormat="false" ht="15" hidden="false" customHeight="false" outlineLevel="0" collapsed="false">
      <c r="A216" s="0" t="s">
        <v>61</v>
      </c>
      <c r="B216" s="0" t="s">
        <v>345</v>
      </c>
      <c r="C216" s="0" t="s">
        <v>1039</v>
      </c>
      <c r="D216" s="0" t="s">
        <v>146</v>
      </c>
      <c r="E216" s="0" t="s">
        <v>1056</v>
      </c>
      <c r="F216" s="0" t="n">
        <v>0</v>
      </c>
      <c r="G216" s="0" t="n">
        <v>2</v>
      </c>
      <c r="H216" s="0" t="s">
        <v>580</v>
      </c>
      <c r="I216" s="0" t="s">
        <v>705</v>
      </c>
      <c r="K216" s="0" t="s">
        <v>610</v>
      </c>
      <c r="L216" s="0" t="s">
        <v>1057</v>
      </c>
    </row>
    <row r="217" customFormat="false" ht="15" hidden="false" customHeight="false" outlineLevel="0" collapsed="false">
      <c r="A217" s="0" t="s">
        <v>61</v>
      </c>
      <c r="B217" s="0" t="s">
        <v>345</v>
      </c>
      <c r="C217" s="0" t="s">
        <v>1039</v>
      </c>
      <c r="D217" s="0" t="s">
        <v>149</v>
      </c>
      <c r="E217" s="0" t="s">
        <v>1058</v>
      </c>
      <c r="F217" s="0" t="n">
        <v>4</v>
      </c>
      <c r="G217" s="0" t="n">
        <v>4</v>
      </c>
      <c r="H217" s="0" t="s">
        <v>580</v>
      </c>
      <c r="I217" s="0" t="s">
        <v>705</v>
      </c>
      <c r="K217" s="0" t="s">
        <v>613</v>
      </c>
      <c r="L217" s="0" t="s">
        <v>1059</v>
      </c>
    </row>
    <row r="218" customFormat="false" ht="15" hidden="false" customHeight="false" outlineLevel="0" collapsed="false">
      <c r="A218" s="0" t="s">
        <v>61</v>
      </c>
      <c r="B218" s="0" t="s">
        <v>345</v>
      </c>
      <c r="C218" s="0" t="s">
        <v>1039</v>
      </c>
      <c r="D218" s="0" t="s">
        <v>152</v>
      </c>
      <c r="E218" s="0" t="s">
        <v>1060</v>
      </c>
      <c r="F218" s="0" t="n">
        <v>4</v>
      </c>
      <c r="G218" s="0" t="n">
        <v>3</v>
      </c>
      <c r="H218" s="0" t="s">
        <v>585</v>
      </c>
      <c r="I218" s="0" t="s">
        <v>732</v>
      </c>
      <c r="K218" s="0" t="s">
        <v>616</v>
      </c>
      <c r="L218" s="0" t="s">
        <v>1061</v>
      </c>
    </row>
    <row r="219" customFormat="false" ht="15" hidden="false" customHeight="false" outlineLevel="0" collapsed="false">
      <c r="A219" s="0" t="s">
        <v>61</v>
      </c>
      <c r="B219" s="0" t="s">
        <v>345</v>
      </c>
      <c r="C219" s="0" t="s">
        <v>1039</v>
      </c>
      <c r="D219" s="0" t="s">
        <v>155</v>
      </c>
      <c r="E219" s="0" t="s">
        <v>1062</v>
      </c>
      <c r="F219" s="0" t="n">
        <v>4</v>
      </c>
      <c r="G219" s="0" t="n">
        <v>4</v>
      </c>
      <c r="H219" s="0" t="s">
        <v>580</v>
      </c>
      <c r="I219" s="0" t="s">
        <v>705</v>
      </c>
      <c r="K219" s="0" t="s">
        <v>620</v>
      </c>
      <c r="L219" s="0" t="s">
        <v>1063</v>
      </c>
    </row>
    <row r="220" customFormat="false" ht="15" hidden="false" customHeight="false" outlineLevel="0" collapsed="false">
      <c r="A220" s="0" t="s">
        <v>61</v>
      </c>
      <c r="B220" s="0" t="s">
        <v>345</v>
      </c>
      <c r="C220" s="0" t="s">
        <v>1064</v>
      </c>
      <c r="D220" s="0" t="s">
        <v>987</v>
      </c>
      <c r="E220" s="0" t="s">
        <v>1065</v>
      </c>
      <c r="F220" s="0" t="n">
        <v>0</v>
      </c>
      <c r="G220" s="0" t="n">
        <v>0</v>
      </c>
      <c r="H220" s="0" t="s">
        <v>580</v>
      </c>
      <c r="K220" s="0" t="s">
        <v>581</v>
      </c>
      <c r="L220" s="0" t="s">
        <v>1066</v>
      </c>
    </row>
    <row r="221" customFormat="false" ht="15" hidden="false" customHeight="false" outlineLevel="0" collapsed="false">
      <c r="A221" s="0" t="s">
        <v>61</v>
      </c>
      <c r="B221" s="0" t="s">
        <v>345</v>
      </c>
      <c r="C221" s="0" t="s">
        <v>1064</v>
      </c>
      <c r="D221" s="0" t="s">
        <v>990</v>
      </c>
      <c r="E221" s="0" t="s">
        <v>1067</v>
      </c>
      <c r="F221" s="0" t="n">
        <v>4</v>
      </c>
      <c r="G221" s="0" t="n">
        <v>4</v>
      </c>
      <c r="H221" s="0" t="s">
        <v>580</v>
      </c>
      <c r="I221" s="0" t="s">
        <v>705</v>
      </c>
      <c r="K221" s="0" t="s">
        <v>586</v>
      </c>
      <c r="L221" s="0" t="s">
        <v>1068</v>
      </c>
    </row>
    <row r="222" customFormat="false" ht="15" hidden="false" customHeight="false" outlineLevel="0" collapsed="false">
      <c r="A222" s="0" t="s">
        <v>61</v>
      </c>
      <c r="B222" s="0" t="s">
        <v>345</v>
      </c>
      <c r="C222" s="0" t="s">
        <v>1064</v>
      </c>
      <c r="D222" s="0" t="s">
        <v>993</v>
      </c>
      <c r="E222" s="0" t="s">
        <v>1069</v>
      </c>
      <c r="F222" s="0" t="n">
        <v>4</v>
      </c>
      <c r="G222" s="0" t="n">
        <v>4</v>
      </c>
      <c r="H222" s="0" t="s">
        <v>580</v>
      </c>
      <c r="I222" s="0" t="s">
        <v>695</v>
      </c>
      <c r="K222" s="0" t="s">
        <v>590</v>
      </c>
      <c r="L222" s="0" t="s">
        <v>1070</v>
      </c>
    </row>
    <row r="223" customFormat="false" ht="15" hidden="false" customHeight="false" outlineLevel="0" collapsed="false">
      <c r="A223" s="0" t="s">
        <v>61</v>
      </c>
      <c r="B223" s="0" t="s">
        <v>345</v>
      </c>
      <c r="C223" s="0" t="s">
        <v>1064</v>
      </c>
      <c r="D223" s="0" t="s">
        <v>126</v>
      </c>
      <c r="E223" s="0" t="s">
        <v>1071</v>
      </c>
      <c r="F223" s="0" t="n">
        <v>4</v>
      </c>
      <c r="G223" s="0" t="n">
        <v>3</v>
      </c>
      <c r="H223" s="0" t="s">
        <v>585</v>
      </c>
      <c r="I223" s="0" t="s">
        <v>732</v>
      </c>
      <c r="K223" s="0" t="s">
        <v>594</v>
      </c>
      <c r="L223" s="0" t="s">
        <v>1072</v>
      </c>
    </row>
    <row r="224" customFormat="false" ht="15" hidden="false" customHeight="false" outlineLevel="0" collapsed="false">
      <c r="A224" s="0" t="s">
        <v>61</v>
      </c>
      <c r="B224" s="0" t="s">
        <v>345</v>
      </c>
      <c r="C224" s="0" t="s">
        <v>1064</v>
      </c>
      <c r="D224" s="0" t="s">
        <v>129</v>
      </c>
      <c r="E224" s="0" t="s">
        <v>1073</v>
      </c>
      <c r="F224" s="0" t="n">
        <v>4</v>
      </c>
      <c r="G224" s="0" t="n">
        <v>3</v>
      </c>
      <c r="H224" s="0" t="s">
        <v>585</v>
      </c>
      <c r="I224" s="0" t="s">
        <v>705</v>
      </c>
      <c r="K224" s="0" t="s">
        <v>597</v>
      </c>
      <c r="L224" s="0" t="s">
        <v>1074</v>
      </c>
    </row>
    <row r="225" customFormat="false" ht="15" hidden="false" customHeight="false" outlineLevel="0" collapsed="false">
      <c r="A225" s="0" t="s">
        <v>61</v>
      </c>
      <c r="B225" s="0" t="s">
        <v>345</v>
      </c>
      <c r="C225" s="0" t="s">
        <v>1064</v>
      </c>
      <c r="D225" s="0" t="s">
        <v>132</v>
      </c>
      <c r="E225" s="0" t="s">
        <v>1075</v>
      </c>
      <c r="F225" s="0" t="n">
        <v>0</v>
      </c>
      <c r="G225" s="0" t="n">
        <v>0</v>
      </c>
      <c r="H225" s="0" t="s">
        <v>580</v>
      </c>
      <c r="K225" s="0" t="s">
        <v>600</v>
      </c>
      <c r="L225" s="0" t="s">
        <v>1076</v>
      </c>
    </row>
    <row r="226" customFormat="false" ht="15" hidden="false" customHeight="false" outlineLevel="0" collapsed="false">
      <c r="A226" s="0" t="s">
        <v>61</v>
      </c>
      <c r="B226" s="0" t="s">
        <v>345</v>
      </c>
      <c r="C226" s="0" t="s">
        <v>1064</v>
      </c>
      <c r="D226" s="0" t="s">
        <v>139</v>
      </c>
      <c r="E226" s="0" t="s">
        <v>1077</v>
      </c>
      <c r="F226" s="0" t="n">
        <v>4</v>
      </c>
      <c r="G226" s="0" t="n">
        <v>3</v>
      </c>
      <c r="H226" s="0" t="s">
        <v>585</v>
      </c>
      <c r="I226" s="0" t="s">
        <v>695</v>
      </c>
      <c r="K226" s="0" t="s">
        <v>604</v>
      </c>
      <c r="L226" s="0" t="s">
        <v>1078</v>
      </c>
    </row>
    <row r="227" customFormat="false" ht="15" hidden="false" customHeight="false" outlineLevel="0" collapsed="false">
      <c r="A227" s="0" t="s">
        <v>61</v>
      </c>
      <c r="B227" s="0" t="s">
        <v>345</v>
      </c>
      <c r="C227" s="0" t="s">
        <v>1064</v>
      </c>
      <c r="D227" s="0" t="s">
        <v>143</v>
      </c>
      <c r="E227" s="0" t="s">
        <v>1079</v>
      </c>
      <c r="F227" s="0" t="n">
        <v>4</v>
      </c>
      <c r="G227" s="0" t="n">
        <v>4</v>
      </c>
      <c r="H227" s="0" t="s">
        <v>580</v>
      </c>
      <c r="I227" s="0" t="s">
        <v>653</v>
      </c>
      <c r="K227" s="0" t="s">
        <v>607</v>
      </c>
      <c r="L227" s="0" t="s">
        <v>1080</v>
      </c>
    </row>
    <row r="228" customFormat="false" ht="15" hidden="false" customHeight="false" outlineLevel="0" collapsed="false">
      <c r="A228" s="0" t="s">
        <v>61</v>
      </c>
      <c r="B228" s="0" t="s">
        <v>345</v>
      </c>
      <c r="C228" s="0" t="s">
        <v>1064</v>
      </c>
      <c r="D228" s="0" t="s">
        <v>146</v>
      </c>
      <c r="E228" s="0" t="s">
        <v>1081</v>
      </c>
      <c r="F228" s="0" t="n">
        <v>0</v>
      </c>
      <c r="G228" s="0" t="n">
        <v>0</v>
      </c>
      <c r="H228" s="0" t="s">
        <v>580</v>
      </c>
      <c r="K228" s="0" t="s">
        <v>610</v>
      </c>
      <c r="L228" s="0" t="s">
        <v>1082</v>
      </c>
    </row>
    <row r="229" customFormat="false" ht="15" hidden="false" customHeight="false" outlineLevel="0" collapsed="false">
      <c r="A229" s="0" t="s">
        <v>61</v>
      </c>
      <c r="B229" s="0" t="s">
        <v>345</v>
      </c>
      <c r="C229" s="0" t="s">
        <v>1064</v>
      </c>
      <c r="D229" s="0" t="s">
        <v>149</v>
      </c>
      <c r="E229" s="0" t="s">
        <v>1083</v>
      </c>
      <c r="F229" s="0" t="n">
        <v>4</v>
      </c>
      <c r="G229" s="0" t="n">
        <v>4</v>
      </c>
      <c r="H229" s="0" t="s">
        <v>580</v>
      </c>
      <c r="I229" s="0" t="s">
        <v>705</v>
      </c>
      <c r="K229" s="0" t="s">
        <v>613</v>
      </c>
      <c r="L229" s="0" t="s">
        <v>1084</v>
      </c>
    </row>
    <row r="230" customFormat="false" ht="15" hidden="false" customHeight="false" outlineLevel="0" collapsed="false">
      <c r="A230" s="0" t="s">
        <v>61</v>
      </c>
      <c r="B230" s="0" t="s">
        <v>345</v>
      </c>
      <c r="C230" s="0" t="s">
        <v>1064</v>
      </c>
      <c r="D230" s="0" t="s">
        <v>152</v>
      </c>
      <c r="E230" s="0" t="s">
        <v>1085</v>
      </c>
      <c r="F230" s="0" t="n">
        <v>4</v>
      </c>
      <c r="G230" s="0" t="n">
        <v>4</v>
      </c>
      <c r="H230" s="0" t="s">
        <v>580</v>
      </c>
      <c r="I230" s="0" t="s">
        <v>705</v>
      </c>
      <c r="K230" s="0" t="s">
        <v>616</v>
      </c>
      <c r="L230" s="0" t="s">
        <v>1086</v>
      </c>
    </row>
    <row r="231" customFormat="false" ht="15" hidden="false" customHeight="false" outlineLevel="0" collapsed="false">
      <c r="A231" s="0" t="s">
        <v>61</v>
      </c>
      <c r="B231" s="0" t="s">
        <v>345</v>
      </c>
      <c r="C231" s="0" t="s">
        <v>1064</v>
      </c>
      <c r="D231" s="0" t="s">
        <v>155</v>
      </c>
      <c r="E231" s="0" t="s">
        <v>1087</v>
      </c>
      <c r="F231" s="0" t="n">
        <v>4</v>
      </c>
      <c r="G231" s="0" t="n">
        <v>4</v>
      </c>
      <c r="H231" s="0" t="s">
        <v>580</v>
      </c>
      <c r="I231" s="0" t="s">
        <v>653</v>
      </c>
      <c r="K231" s="0" t="s">
        <v>620</v>
      </c>
      <c r="L231" s="0" t="s">
        <v>1088</v>
      </c>
    </row>
    <row r="232" customFormat="false" ht="15" hidden="false" customHeight="false" outlineLevel="0" collapsed="false">
      <c r="A232" s="0" t="s">
        <v>61</v>
      </c>
      <c r="B232" s="0" t="s">
        <v>345</v>
      </c>
      <c r="C232" s="0" t="s">
        <v>1089</v>
      </c>
      <c r="D232" s="0" t="s">
        <v>987</v>
      </c>
      <c r="E232" s="0" t="s">
        <v>1090</v>
      </c>
      <c r="F232" s="0" t="n">
        <v>0</v>
      </c>
      <c r="G232" s="0" t="n">
        <v>0</v>
      </c>
      <c r="H232" s="0" t="s">
        <v>580</v>
      </c>
      <c r="K232" s="0" t="s">
        <v>581</v>
      </c>
      <c r="L232" s="0" t="s">
        <v>1091</v>
      </c>
    </row>
    <row r="233" customFormat="false" ht="15" hidden="false" customHeight="false" outlineLevel="0" collapsed="false">
      <c r="A233" s="0" t="s">
        <v>61</v>
      </c>
      <c r="B233" s="0" t="s">
        <v>345</v>
      </c>
      <c r="C233" s="0" t="s">
        <v>1089</v>
      </c>
      <c r="D233" s="0" t="s">
        <v>990</v>
      </c>
      <c r="E233" s="0" t="s">
        <v>1092</v>
      </c>
      <c r="F233" s="0" t="n">
        <v>4</v>
      </c>
      <c r="G233" s="0" t="n">
        <v>0</v>
      </c>
      <c r="H233" s="0" t="s">
        <v>585</v>
      </c>
      <c r="K233" s="0" t="s">
        <v>586</v>
      </c>
      <c r="L233" s="0" t="s">
        <v>1093</v>
      </c>
    </row>
    <row r="234" customFormat="false" ht="15" hidden="false" customHeight="false" outlineLevel="0" collapsed="false">
      <c r="A234" s="0" t="s">
        <v>61</v>
      </c>
      <c r="B234" s="0" t="s">
        <v>345</v>
      </c>
      <c r="C234" s="0" t="s">
        <v>1089</v>
      </c>
      <c r="D234" s="0" t="s">
        <v>993</v>
      </c>
      <c r="E234" s="0" t="s">
        <v>1094</v>
      </c>
      <c r="F234" s="0" t="n">
        <v>4</v>
      </c>
      <c r="G234" s="0" t="n">
        <v>0</v>
      </c>
      <c r="H234" s="0" t="s">
        <v>585</v>
      </c>
      <c r="K234" s="0" t="s">
        <v>590</v>
      </c>
      <c r="L234" s="0" t="s">
        <v>1095</v>
      </c>
    </row>
    <row r="235" customFormat="false" ht="15" hidden="false" customHeight="false" outlineLevel="0" collapsed="false">
      <c r="A235" s="0" t="s">
        <v>61</v>
      </c>
      <c r="B235" s="0" t="s">
        <v>345</v>
      </c>
      <c r="C235" s="0" t="s">
        <v>1089</v>
      </c>
      <c r="D235" s="0" t="s">
        <v>126</v>
      </c>
      <c r="E235" s="0" t="s">
        <v>1096</v>
      </c>
      <c r="F235" s="0" t="n">
        <v>4</v>
      </c>
      <c r="G235" s="0" t="n">
        <v>3</v>
      </c>
      <c r="H235" s="0" t="s">
        <v>585</v>
      </c>
      <c r="I235" s="0" t="s">
        <v>732</v>
      </c>
      <c r="K235" s="0" t="s">
        <v>594</v>
      </c>
      <c r="L235" s="0" t="s">
        <v>1097</v>
      </c>
    </row>
    <row r="236" customFormat="false" ht="15" hidden="false" customHeight="false" outlineLevel="0" collapsed="false">
      <c r="A236" s="0" t="s">
        <v>61</v>
      </c>
      <c r="B236" s="0" t="s">
        <v>345</v>
      </c>
      <c r="C236" s="0" t="s">
        <v>1089</v>
      </c>
      <c r="D236" s="0" t="s">
        <v>129</v>
      </c>
      <c r="E236" s="0" t="s">
        <v>1098</v>
      </c>
      <c r="F236" s="0" t="n">
        <v>4</v>
      </c>
      <c r="G236" s="0" t="n">
        <v>2</v>
      </c>
      <c r="H236" s="0" t="s">
        <v>585</v>
      </c>
      <c r="I236" s="0" t="s">
        <v>619</v>
      </c>
      <c r="K236" s="0" t="s">
        <v>597</v>
      </c>
      <c r="L236" s="0" t="s">
        <v>1099</v>
      </c>
    </row>
    <row r="237" customFormat="false" ht="15" hidden="false" customHeight="false" outlineLevel="0" collapsed="false">
      <c r="A237" s="0" t="s">
        <v>61</v>
      </c>
      <c r="B237" s="0" t="s">
        <v>345</v>
      </c>
      <c r="C237" s="0" t="s">
        <v>1089</v>
      </c>
      <c r="D237" s="0" t="s">
        <v>132</v>
      </c>
      <c r="E237" s="0" t="s">
        <v>1100</v>
      </c>
      <c r="F237" s="0" t="n">
        <v>4</v>
      </c>
      <c r="G237" s="0" t="n">
        <v>3</v>
      </c>
      <c r="H237" s="0" t="s">
        <v>585</v>
      </c>
      <c r="I237" s="0" t="s">
        <v>619</v>
      </c>
      <c r="K237" s="0" t="s">
        <v>600</v>
      </c>
      <c r="L237" s="0" t="s">
        <v>1101</v>
      </c>
    </row>
    <row r="238" customFormat="false" ht="15" hidden="false" customHeight="false" outlineLevel="0" collapsed="false">
      <c r="A238" s="0" t="s">
        <v>61</v>
      </c>
      <c r="B238" s="0" t="s">
        <v>345</v>
      </c>
      <c r="C238" s="0" t="s">
        <v>1089</v>
      </c>
      <c r="D238" s="0" t="s">
        <v>139</v>
      </c>
      <c r="E238" s="0" t="s">
        <v>1102</v>
      </c>
      <c r="F238" s="0" t="n">
        <v>0</v>
      </c>
      <c r="G238" s="0" t="n">
        <v>3</v>
      </c>
      <c r="H238" s="0" t="s">
        <v>580</v>
      </c>
      <c r="I238" s="0" t="s">
        <v>653</v>
      </c>
      <c r="K238" s="0" t="s">
        <v>604</v>
      </c>
      <c r="L238" s="0" t="s">
        <v>1103</v>
      </c>
    </row>
    <row r="239" customFormat="false" ht="15" hidden="false" customHeight="false" outlineLevel="0" collapsed="false">
      <c r="A239" s="0" t="s">
        <v>61</v>
      </c>
      <c r="B239" s="0" t="s">
        <v>345</v>
      </c>
      <c r="C239" s="0" t="s">
        <v>1089</v>
      </c>
      <c r="D239" s="0" t="s">
        <v>143</v>
      </c>
      <c r="E239" s="0" t="s">
        <v>1104</v>
      </c>
      <c r="F239" s="0" t="n">
        <v>4</v>
      </c>
      <c r="G239" s="0" t="n">
        <v>2</v>
      </c>
      <c r="H239" s="0" t="s">
        <v>585</v>
      </c>
      <c r="I239" s="0" t="s">
        <v>720</v>
      </c>
      <c r="K239" s="0" t="s">
        <v>607</v>
      </c>
      <c r="L239" s="0" t="s">
        <v>1105</v>
      </c>
    </row>
    <row r="240" customFormat="false" ht="15" hidden="false" customHeight="false" outlineLevel="0" collapsed="false">
      <c r="A240" s="0" t="s">
        <v>61</v>
      </c>
      <c r="B240" s="0" t="s">
        <v>345</v>
      </c>
      <c r="C240" s="0" t="s">
        <v>1089</v>
      </c>
      <c r="D240" s="0" t="s">
        <v>146</v>
      </c>
      <c r="E240" s="0" t="s">
        <v>1106</v>
      </c>
      <c r="F240" s="0" t="n">
        <v>4</v>
      </c>
      <c r="G240" s="0" t="n">
        <v>4</v>
      </c>
      <c r="H240" s="0" t="s">
        <v>580</v>
      </c>
      <c r="I240" s="0" t="s">
        <v>705</v>
      </c>
      <c r="K240" s="0" t="s">
        <v>610</v>
      </c>
      <c r="L240" s="0" t="s">
        <v>1107</v>
      </c>
    </row>
    <row r="241" customFormat="false" ht="15" hidden="false" customHeight="false" outlineLevel="0" collapsed="false">
      <c r="A241" s="0" t="s">
        <v>61</v>
      </c>
      <c r="B241" s="0" t="s">
        <v>345</v>
      </c>
      <c r="C241" s="0" t="s">
        <v>1089</v>
      </c>
      <c r="D241" s="0" t="s">
        <v>149</v>
      </c>
      <c r="E241" s="0" t="s">
        <v>1108</v>
      </c>
      <c r="F241" s="0" t="n">
        <v>4</v>
      </c>
      <c r="G241" s="0" t="n">
        <v>3</v>
      </c>
      <c r="H241" s="0" t="s">
        <v>585</v>
      </c>
      <c r="I241" s="0" t="s">
        <v>732</v>
      </c>
      <c r="K241" s="0" t="s">
        <v>613</v>
      </c>
      <c r="L241" s="0" t="s">
        <v>1109</v>
      </c>
    </row>
    <row r="242" customFormat="false" ht="15" hidden="false" customHeight="false" outlineLevel="0" collapsed="false">
      <c r="A242" s="0" t="s">
        <v>61</v>
      </c>
      <c r="B242" s="0" t="s">
        <v>345</v>
      </c>
      <c r="C242" s="0" t="s">
        <v>1089</v>
      </c>
      <c r="D242" s="0" t="s">
        <v>152</v>
      </c>
      <c r="E242" s="0" t="s">
        <v>1110</v>
      </c>
      <c r="F242" s="0" t="n">
        <v>4</v>
      </c>
      <c r="G242" s="0" t="n">
        <v>4</v>
      </c>
      <c r="H242" s="0" t="s">
        <v>580</v>
      </c>
      <c r="I242" s="0" t="s">
        <v>695</v>
      </c>
      <c r="K242" s="0" t="s">
        <v>616</v>
      </c>
      <c r="L242" s="0" t="s">
        <v>1111</v>
      </c>
    </row>
    <row r="243" customFormat="false" ht="15" hidden="false" customHeight="false" outlineLevel="0" collapsed="false">
      <c r="A243" s="0" t="s">
        <v>61</v>
      </c>
      <c r="B243" s="0" t="s">
        <v>345</v>
      </c>
      <c r="C243" s="0" t="s">
        <v>1089</v>
      </c>
      <c r="D243" s="0" t="s">
        <v>155</v>
      </c>
      <c r="E243" s="0" t="s">
        <v>1112</v>
      </c>
      <c r="F243" s="0" t="n">
        <v>4</v>
      </c>
      <c r="G243" s="0" t="n">
        <v>4</v>
      </c>
      <c r="H243" s="0" t="s">
        <v>580</v>
      </c>
      <c r="I243" s="0" t="s">
        <v>619</v>
      </c>
      <c r="K243" s="0" t="s">
        <v>620</v>
      </c>
      <c r="L243" s="0" t="s">
        <v>1113</v>
      </c>
    </row>
    <row r="244" customFormat="false" ht="15" hidden="false" customHeight="false" outlineLevel="0" collapsed="false">
      <c r="A244" s="0" t="s">
        <v>61</v>
      </c>
      <c r="B244" s="0" t="s">
        <v>345</v>
      </c>
      <c r="C244" s="0" t="s">
        <v>1114</v>
      </c>
      <c r="D244" s="0" t="s">
        <v>987</v>
      </c>
      <c r="E244" s="0" t="s">
        <v>1115</v>
      </c>
      <c r="F244" s="0" t="n">
        <v>0</v>
      </c>
      <c r="G244" s="0" t="n">
        <v>0</v>
      </c>
      <c r="H244" s="0" t="s">
        <v>580</v>
      </c>
      <c r="K244" s="0" t="s">
        <v>581</v>
      </c>
      <c r="L244" s="0" t="s">
        <v>1116</v>
      </c>
    </row>
    <row r="245" customFormat="false" ht="15" hidden="false" customHeight="false" outlineLevel="0" collapsed="false">
      <c r="A245" s="0" t="s">
        <v>61</v>
      </c>
      <c r="B245" s="0" t="s">
        <v>345</v>
      </c>
      <c r="C245" s="0" t="s">
        <v>1114</v>
      </c>
      <c r="D245" s="0" t="s">
        <v>990</v>
      </c>
      <c r="E245" s="0" t="s">
        <v>1117</v>
      </c>
      <c r="F245" s="0" t="n">
        <v>4</v>
      </c>
      <c r="G245" s="0" t="n">
        <v>4</v>
      </c>
      <c r="H245" s="0" t="s">
        <v>580</v>
      </c>
      <c r="I245" s="0" t="s">
        <v>630</v>
      </c>
      <c r="K245" s="0" t="s">
        <v>586</v>
      </c>
      <c r="L245" s="0" t="s">
        <v>1118</v>
      </c>
    </row>
    <row r="246" customFormat="false" ht="15" hidden="false" customHeight="false" outlineLevel="0" collapsed="false">
      <c r="A246" s="0" t="s">
        <v>61</v>
      </c>
      <c r="B246" s="0" t="s">
        <v>345</v>
      </c>
      <c r="C246" s="0" t="s">
        <v>1114</v>
      </c>
      <c r="D246" s="0" t="s">
        <v>993</v>
      </c>
      <c r="E246" s="0" t="s">
        <v>1119</v>
      </c>
      <c r="F246" s="0" t="n">
        <v>4</v>
      </c>
      <c r="G246" s="0" t="n">
        <v>4</v>
      </c>
      <c r="H246" s="0" t="s">
        <v>580</v>
      </c>
      <c r="I246" s="0" t="s">
        <v>705</v>
      </c>
      <c r="K246" s="0" t="s">
        <v>590</v>
      </c>
      <c r="L246" s="0" t="s">
        <v>1120</v>
      </c>
    </row>
    <row r="247" customFormat="false" ht="15" hidden="false" customHeight="false" outlineLevel="0" collapsed="false">
      <c r="A247" s="0" t="s">
        <v>61</v>
      </c>
      <c r="B247" s="0" t="s">
        <v>345</v>
      </c>
      <c r="C247" s="0" t="s">
        <v>1114</v>
      </c>
      <c r="D247" s="0" t="s">
        <v>126</v>
      </c>
      <c r="E247" s="0" t="s">
        <v>1121</v>
      </c>
      <c r="F247" s="0" t="n">
        <v>4</v>
      </c>
      <c r="G247" s="0" t="n">
        <v>4</v>
      </c>
      <c r="H247" s="0" t="s">
        <v>580</v>
      </c>
      <c r="I247" s="0" t="s">
        <v>630</v>
      </c>
      <c r="K247" s="0" t="s">
        <v>594</v>
      </c>
      <c r="L247" s="0" t="s">
        <v>1122</v>
      </c>
    </row>
    <row r="248" customFormat="false" ht="15" hidden="false" customHeight="false" outlineLevel="0" collapsed="false">
      <c r="A248" s="0" t="s">
        <v>61</v>
      </c>
      <c r="B248" s="0" t="s">
        <v>345</v>
      </c>
      <c r="C248" s="0" t="s">
        <v>1114</v>
      </c>
      <c r="D248" s="0" t="s">
        <v>129</v>
      </c>
      <c r="E248" s="0" t="s">
        <v>1123</v>
      </c>
      <c r="F248" s="0" t="n">
        <v>4</v>
      </c>
      <c r="G248" s="0" t="n">
        <v>4</v>
      </c>
      <c r="H248" s="0" t="s">
        <v>580</v>
      </c>
      <c r="I248" s="0" t="s">
        <v>720</v>
      </c>
      <c r="K248" s="0" t="s">
        <v>597</v>
      </c>
      <c r="L248" s="0" t="s">
        <v>1124</v>
      </c>
    </row>
    <row r="249" customFormat="false" ht="15" hidden="false" customHeight="false" outlineLevel="0" collapsed="false">
      <c r="A249" s="0" t="s">
        <v>61</v>
      </c>
      <c r="B249" s="0" t="s">
        <v>345</v>
      </c>
      <c r="C249" s="0" t="s">
        <v>1114</v>
      </c>
      <c r="D249" s="0" t="s">
        <v>132</v>
      </c>
      <c r="E249" s="0" t="s">
        <v>1125</v>
      </c>
      <c r="F249" s="0" t="n">
        <v>4</v>
      </c>
      <c r="G249" s="0" t="n">
        <v>3</v>
      </c>
      <c r="H249" s="0" t="s">
        <v>585</v>
      </c>
      <c r="I249" s="0" t="s">
        <v>630</v>
      </c>
      <c r="K249" s="0" t="s">
        <v>600</v>
      </c>
      <c r="L249" s="0" t="s">
        <v>1126</v>
      </c>
    </row>
    <row r="250" customFormat="false" ht="15" hidden="false" customHeight="false" outlineLevel="0" collapsed="false">
      <c r="A250" s="0" t="s">
        <v>61</v>
      </c>
      <c r="B250" s="0" t="s">
        <v>345</v>
      </c>
      <c r="C250" s="0" t="s">
        <v>1114</v>
      </c>
      <c r="D250" s="0" t="s">
        <v>139</v>
      </c>
      <c r="E250" s="0" t="s">
        <v>1127</v>
      </c>
      <c r="F250" s="0" t="n">
        <v>4</v>
      </c>
      <c r="G250" s="0" t="n">
        <v>4</v>
      </c>
      <c r="H250" s="0" t="s">
        <v>580</v>
      </c>
      <c r="I250" s="0" t="s">
        <v>619</v>
      </c>
      <c r="K250" s="0" t="s">
        <v>604</v>
      </c>
      <c r="L250" s="0" t="s">
        <v>1128</v>
      </c>
    </row>
    <row r="251" customFormat="false" ht="15" hidden="false" customHeight="false" outlineLevel="0" collapsed="false">
      <c r="A251" s="0" t="s">
        <v>61</v>
      </c>
      <c r="B251" s="0" t="s">
        <v>345</v>
      </c>
      <c r="C251" s="0" t="s">
        <v>1114</v>
      </c>
      <c r="D251" s="0" t="s">
        <v>143</v>
      </c>
      <c r="E251" s="0" t="s">
        <v>1129</v>
      </c>
      <c r="F251" s="0" t="n">
        <v>4</v>
      </c>
      <c r="G251" s="0" t="n">
        <v>2</v>
      </c>
      <c r="H251" s="0" t="s">
        <v>585</v>
      </c>
      <c r="I251" s="0" t="s">
        <v>593</v>
      </c>
      <c r="K251" s="0" t="s">
        <v>607</v>
      </c>
      <c r="L251" s="0" t="s">
        <v>1130</v>
      </c>
    </row>
    <row r="252" customFormat="false" ht="15" hidden="false" customHeight="false" outlineLevel="0" collapsed="false">
      <c r="A252" s="0" t="s">
        <v>61</v>
      </c>
      <c r="B252" s="0" t="s">
        <v>345</v>
      </c>
      <c r="C252" s="0" t="s">
        <v>1114</v>
      </c>
      <c r="D252" s="0" t="s">
        <v>146</v>
      </c>
      <c r="E252" s="0" t="s">
        <v>1131</v>
      </c>
      <c r="F252" s="0" t="n">
        <v>4</v>
      </c>
      <c r="G252" s="0" t="n">
        <v>4</v>
      </c>
      <c r="H252" s="0" t="s">
        <v>580</v>
      </c>
      <c r="I252" s="0" t="s">
        <v>641</v>
      </c>
      <c r="K252" s="0" t="s">
        <v>610</v>
      </c>
      <c r="L252" s="0" t="s">
        <v>1132</v>
      </c>
    </row>
    <row r="253" customFormat="false" ht="15" hidden="false" customHeight="false" outlineLevel="0" collapsed="false">
      <c r="A253" s="0" t="s">
        <v>61</v>
      </c>
      <c r="B253" s="0" t="s">
        <v>345</v>
      </c>
      <c r="C253" s="0" t="s">
        <v>1114</v>
      </c>
      <c r="D253" s="0" t="s">
        <v>149</v>
      </c>
      <c r="E253" s="0" t="s">
        <v>1133</v>
      </c>
      <c r="F253" s="0" t="n">
        <v>4</v>
      </c>
      <c r="G253" s="0" t="n">
        <v>4</v>
      </c>
      <c r="H253" s="0" t="s">
        <v>580</v>
      </c>
      <c r="I253" s="0" t="s">
        <v>630</v>
      </c>
      <c r="K253" s="0" t="s">
        <v>613</v>
      </c>
      <c r="L253" s="0" t="s">
        <v>1134</v>
      </c>
    </row>
    <row r="254" customFormat="false" ht="15" hidden="false" customHeight="false" outlineLevel="0" collapsed="false">
      <c r="A254" s="0" t="s">
        <v>61</v>
      </c>
      <c r="B254" s="0" t="s">
        <v>345</v>
      </c>
      <c r="C254" s="0" t="s">
        <v>1114</v>
      </c>
      <c r="D254" s="0" t="s">
        <v>152</v>
      </c>
      <c r="E254" s="0" t="s">
        <v>1135</v>
      </c>
      <c r="F254" s="0" t="n">
        <v>4</v>
      </c>
      <c r="G254" s="0" t="n">
        <v>4</v>
      </c>
      <c r="H254" s="0" t="s">
        <v>580</v>
      </c>
      <c r="I254" s="0" t="s">
        <v>653</v>
      </c>
      <c r="K254" s="0" t="s">
        <v>616</v>
      </c>
      <c r="L254" s="0" t="s">
        <v>1136</v>
      </c>
    </row>
    <row r="255" customFormat="false" ht="15" hidden="false" customHeight="false" outlineLevel="0" collapsed="false">
      <c r="A255" s="0" t="s">
        <v>61</v>
      </c>
      <c r="B255" s="0" t="s">
        <v>345</v>
      </c>
      <c r="C255" s="0" t="s">
        <v>1114</v>
      </c>
      <c r="D255" s="0" t="s">
        <v>155</v>
      </c>
      <c r="E255" s="0" t="s">
        <v>1137</v>
      </c>
      <c r="F255" s="0" t="n">
        <v>4</v>
      </c>
      <c r="G255" s="0" t="n">
        <v>4</v>
      </c>
      <c r="H255" s="0" t="s">
        <v>580</v>
      </c>
      <c r="I255" s="0" t="s">
        <v>593</v>
      </c>
      <c r="K255" s="0" t="s">
        <v>620</v>
      </c>
      <c r="L255" s="0" t="s">
        <v>1138</v>
      </c>
    </row>
    <row r="256" customFormat="false" ht="15" hidden="false" customHeight="false" outlineLevel="0" collapsed="false">
      <c r="A256" s="0" t="s">
        <v>61</v>
      </c>
      <c r="B256" s="0" t="s">
        <v>345</v>
      </c>
      <c r="C256" s="0" t="s">
        <v>1139</v>
      </c>
      <c r="D256" s="0" t="s">
        <v>987</v>
      </c>
      <c r="E256" s="0" t="s">
        <v>1140</v>
      </c>
      <c r="F256" s="0" t="n">
        <v>0</v>
      </c>
      <c r="G256" s="0" t="n">
        <v>0</v>
      </c>
      <c r="H256" s="0" t="s">
        <v>580</v>
      </c>
      <c r="K256" s="0" t="s">
        <v>581</v>
      </c>
      <c r="L256" s="0" t="s">
        <v>1141</v>
      </c>
    </row>
    <row r="257" customFormat="false" ht="15" hidden="false" customHeight="false" outlineLevel="0" collapsed="false">
      <c r="A257" s="0" t="s">
        <v>61</v>
      </c>
      <c r="B257" s="0" t="s">
        <v>345</v>
      </c>
      <c r="C257" s="0" t="s">
        <v>1139</v>
      </c>
      <c r="D257" s="0" t="s">
        <v>990</v>
      </c>
      <c r="E257" s="0" t="s">
        <v>1142</v>
      </c>
      <c r="F257" s="0" t="n">
        <v>4</v>
      </c>
      <c r="G257" s="0" t="n">
        <v>3</v>
      </c>
      <c r="H257" s="0" t="s">
        <v>585</v>
      </c>
      <c r="I257" s="0" t="s">
        <v>630</v>
      </c>
      <c r="K257" s="0" t="s">
        <v>586</v>
      </c>
      <c r="L257" s="0" t="s">
        <v>1143</v>
      </c>
    </row>
    <row r="258" customFormat="false" ht="15" hidden="false" customHeight="false" outlineLevel="0" collapsed="false">
      <c r="A258" s="0" t="s">
        <v>61</v>
      </c>
      <c r="B258" s="0" t="s">
        <v>345</v>
      </c>
      <c r="C258" s="0" t="s">
        <v>1139</v>
      </c>
      <c r="D258" s="0" t="s">
        <v>993</v>
      </c>
      <c r="E258" s="0" t="s">
        <v>1144</v>
      </c>
      <c r="F258" s="0" t="n">
        <v>4</v>
      </c>
      <c r="G258" s="0" t="n">
        <v>4</v>
      </c>
      <c r="H258" s="0" t="s">
        <v>580</v>
      </c>
      <c r="I258" s="0" t="s">
        <v>705</v>
      </c>
      <c r="K258" s="0" t="s">
        <v>590</v>
      </c>
      <c r="L258" s="0" t="s">
        <v>1145</v>
      </c>
    </row>
    <row r="259" customFormat="false" ht="15" hidden="false" customHeight="false" outlineLevel="0" collapsed="false">
      <c r="A259" s="0" t="s">
        <v>61</v>
      </c>
      <c r="B259" s="0" t="s">
        <v>345</v>
      </c>
      <c r="C259" s="0" t="s">
        <v>1139</v>
      </c>
      <c r="D259" s="0" t="s">
        <v>126</v>
      </c>
      <c r="E259" s="0" t="s">
        <v>1146</v>
      </c>
      <c r="F259" s="0" t="n">
        <v>4</v>
      </c>
      <c r="G259" s="0" t="n">
        <v>4</v>
      </c>
      <c r="H259" s="0" t="s">
        <v>580</v>
      </c>
      <c r="I259" s="0" t="s">
        <v>720</v>
      </c>
      <c r="K259" s="0" t="s">
        <v>594</v>
      </c>
      <c r="L259" s="0" t="s">
        <v>1147</v>
      </c>
    </row>
    <row r="260" customFormat="false" ht="15" hidden="false" customHeight="false" outlineLevel="0" collapsed="false">
      <c r="A260" s="0" t="s">
        <v>61</v>
      </c>
      <c r="B260" s="0" t="s">
        <v>345</v>
      </c>
      <c r="C260" s="0" t="s">
        <v>1139</v>
      </c>
      <c r="D260" s="0" t="s">
        <v>129</v>
      </c>
      <c r="E260" s="0" t="s">
        <v>1148</v>
      </c>
      <c r="F260" s="0" t="n">
        <v>4</v>
      </c>
      <c r="G260" s="0" t="n">
        <v>4</v>
      </c>
      <c r="H260" s="0" t="s">
        <v>580</v>
      </c>
      <c r="I260" s="0" t="s">
        <v>732</v>
      </c>
      <c r="K260" s="0" t="s">
        <v>597</v>
      </c>
      <c r="L260" s="0" t="s">
        <v>1149</v>
      </c>
    </row>
    <row r="261" customFormat="false" ht="15" hidden="false" customHeight="false" outlineLevel="0" collapsed="false">
      <c r="A261" s="0" t="s">
        <v>61</v>
      </c>
      <c r="B261" s="0" t="s">
        <v>345</v>
      </c>
      <c r="C261" s="0" t="s">
        <v>1139</v>
      </c>
      <c r="D261" s="0" t="s">
        <v>132</v>
      </c>
      <c r="E261" s="0" t="s">
        <v>1150</v>
      </c>
      <c r="F261" s="0" t="n">
        <v>4</v>
      </c>
      <c r="G261" s="0" t="n">
        <v>4</v>
      </c>
      <c r="H261" s="0" t="s">
        <v>580</v>
      </c>
      <c r="I261" s="0" t="s">
        <v>653</v>
      </c>
      <c r="K261" s="0" t="s">
        <v>600</v>
      </c>
      <c r="L261" s="0" t="s">
        <v>1151</v>
      </c>
    </row>
    <row r="262" customFormat="false" ht="15" hidden="false" customHeight="false" outlineLevel="0" collapsed="false">
      <c r="A262" s="0" t="s">
        <v>61</v>
      </c>
      <c r="B262" s="0" t="s">
        <v>345</v>
      </c>
      <c r="C262" s="0" t="s">
        <v>1139</v>
      </c>
      <c r="D262" s="0" t="s">
        <v>139</v>
      </c>
      <c r="E262" s="0" t="s">
        <v>1152</v>
      </c>
      <c r="F262" s="0" t="n">
        <v>4</v>
      </c>
      <c r="G262" s="0" t="n">
        <v>3</v>
      </c>
      <c r="H262" s="0" t="s">
        <v>585</v>
      </c>
      <c r="I262" s="0" t="s">
        <v>695</v>
      </c>
      <c r="K262" s="0" t="s">
        <v>604</v>
      </c>
      <c r="L262" s="0" t="s">
        <v>1153</v>
      </c>
    </row>
    <row r="263" customFormat="false" ht="15" hidden="false" customHeight="false" outlineLevel="0" collapsed="false">
      <c r="A263" s="0" t="s">
        <v>61</v>
      </c>
      <c r="B263" s="0" t="s">
        <v>345</v>
      </c>
      <c r="C263" s="0" t="s">
        <v>1139</v>
      </c>
      <c r="D263" s="0" t="s">
        <v>143</v>
      </c>
      <c r="E263" s="0" t="s">
        <v>1154</v>
      </c>
      <c r="F263" s="0" t="n">
        <v>4</v>
      </c>
      <c r="G263" s="0" t="n">
        <v>3</v>
      </c>
      <c r="H263" s="0" t="s">
        <v>585</v>
      </c>
      <c r="I263" s="0" t="s">
        <v>630</v>
      </c>
      <c r="K263" s="0" t="s">
        <v>607</v>
      </c>
      <c r="L263" s="0" t="s">
        <v>1155</v>
      </c>
    </row>
    <row r="264" customFormat="false" ht="15" hidden="false" customHeight="false" outlineLevel="0" collapsed="false">
      <c r="A264" s="0" t="s">
        <v>61</v>
      </c>
      <c r="B264" s="0" t="s">
        <v>345</v>
      </c>
      <c r="C264" s="0" t="s">
        <v>1139</v>
      </c>
      <c r="D264" s="0" t="s">
        <v>146</v>
      </c>
      <c r="E264" s="0" t="s">
        <v>1156</v>
      </c>
      <c r="F264" s="0" t="n">
        <v>4</v>
      </c>
      <c r="G264" s="0" t="n">
        <v>4</v>
      </c>
      <c r="H264" s="0" t="s">
        <v>580</v>
      </c>
      <c r="I264" s="0" t="s">
        <v>619</v>
      </c>
      <c r="K264" s="0" t="s">
        <v>610</v>
      </c>
      <c r="L264" s="0" t="s">
        <v>1157</v>
      </c>
    </row>
    <row r="265" customFormat="false" ht="15" hidden="false" customHeight="false" outlineLevel="0" collapsed="false">
      <c r="A265" s="0" t="s">
        <v>61</v>
      </c>
      <c r="B265" s="0" t="s">
        <v>345</v>
      </c>
      <c r="C265" s="0" t="s">
        <v>1139</v>
      </c>
      <c r="D265" s="0" t="s">
        <v>149</v>
      </c>
      <c r="E265" s="0" t="s">
        <v>1158</v>
      </c>
      <c r="F265" s="0" t="n">
        <v>4</v>
      </c>
      <c r="G265" s="0" t="n">
        <v>4</v>
      </c>
      <c r="H265" s="0" t="s">
        <v>580</v>
      </c>
      <c r="I265" s="0" t="s">
        <v>720</v>
      </c>
      <c r="K265" s="0" t="s">
        <v>613</v>
      </c>
      <c r="L265" s="0" t="s">
        <v>1159</v>
      </c>
    </row>
    <row r="266" customFormat="false" ht="15" hidden="false" customHeight="false" outlineLevel="0" collapsed="false">
      <c r="A266" s="0" t="s">
        <v>61</v>
      </c>
      <c r="B266" s="0" t="s">
        <v>345</v>
      </c>
      <c r="C266" s="0" t="s">
        <v>1139</v>
      </c>
      <c r="D266" s="0" t="s">
        <v>152</v>
      </c>
      <c r="E266" s="0" t="s">
        <v>1160</v>
      </c>
      <c r="F266" s="0" t="n">
        <v>4</v>
      </c>
      <c r="G266" s="0" t="n">
        <v>4</v>
      </c>
      <c r="H266" s="0" t="s">
        <v>580</v>
      </c>
      <c r="I266" s="0" t="s">
        <v>593</v>
      </c>
      <c r="K266" s="0" t="s">
        <v>616</v>
      </c>
      <c r="L266" s="0" t="s">
        <v>1161</v>
      </c>
    </row>
    <row r="267" customFormat="false" ht="15" hidden="false" customHeight="false" outlineLevel="0" collapsed="false">
      <c r="A267" s="0" t="s">
        <v>61</v>
      </c>
      <c r="B267" s="0" t="s">
        <v>345</v>
      </c>
      <c r="C267" s="0" t="s">
        <v>1139</v>
      </c>
      <c r="D267" s="0" t="s">
        <v>155</v>
      </c>
      <c r="E267" s="0" t="s">
        <v>1162</v>
      </c>
      <c r="F267" s="0" t="n">
        <v>4</v>
      </c>
      <c r="G267" s="0" t="n">
        <v>3</v>
      </c>
      <c r="H267" s="0" t="s">
        <v>585</v>
      </c>
      <c r="I267" s="0" t="s">
        <v>732</v>
      </c>
      <c r="K267" s="0" t="s">
        <v>620</v>
      </c>
      <c r="L267" s="0" t="s">
        <v>1163</v>
      </c>
    </row>
    <row r="268" customFormat="false" ht="15" hidden="false" customHeight="false" outlineLevel="0" collapsed="false">
      <c r="A268" s="0" t="s">
        <v>61</v>
      </c>
      <c r="B268" s="0" t="s">
        <v>266</v>
      </c>
      <c r="C268" s="0" t="s">
        <v>1164</v>
      </c>
      <c r="D268" s="0" t="s">
        <v>987</v>
      </c>
      <c r="E268" s="0" t="s">
        <v>1165</v>
      </c>
      <c r="F268" s="0" t="n">
        <v>0</v>
      </c>
      <c r="G268" s="0" t="n">
        <v>0</v>
      </c>
      <c r="H268" s="0" t="s">
        <v>580</v>
      </c>
      <c r="K268" s="0" t="s">
        <v>581</v>
      </c>
      <c r="L268" s="0" t="s">
        <v>1166</v>
      </c>
    </row>
    <row r="269" customFormat="false" ht="15" hidden="false" customHeight="false" outlineLevel="0" collapsed="false">
      <c r="A269" s="0" t="s">
        <v>61</v>
      </c>
      <c r="B269" s="0" t="s">
        <v>266</v>
      </c>
      <c r="C269" s="0" t="s">
        <v>1164</v>
      </c>
      <c r="D269" s="0" t="s">
        <v>990</v>
      </c>
      <c r="E269" s="0" t="s">
        <v>1167</v>
      </c>
      <c r="F269" s="0" t="n">
        <v>4</v>
      </c>
      <c r="G269" s="0" t="n">
        <v>0</v>
      </c>
      <c r="H269" s="0" t="s">
        <v>585</v>
      </c>
      <c r="K269" s="0" t="s">
        <v>586</v>
      </c>
      <c r="L269" s="0" t="s">
        <v>1168</v>
      </c>
    </row>
    <row r="270" customFormat="false" ht="15" hidden="false" customHeight="false" outlineLevel="0" collapsed="false">
      <c r="A270" s="0" t="s">
        <v>61</v>
      </c>
      <c r="B270" s="0" t="s">
        <v>266</v>
      </c>
      <c r="C270" s="0" t="s">
        <v>1164</v>
      </c>
      <c r="D270" s="0" t="s">
        <v>993</v>
      </c>
      <c r="E270" s="0" t="s">
        <v>1169</v>
      </c>
      <c r="F270" s="0" t="n">
        <v>4</v>
      </c>
      <c r="G270" s="0" t="n">
        <v>0</v>
      </c>
      <c r="H270" s="0" t="s">
        <v>585</v>
      </c>
      <c r="K270" s="0" t="s">
        <v>590</v>
      </c>
      <c r="L270" s="0" t="s">
        <v>1170</v>
      </c>
    </row>
    <row r="271" customFormat="false" ht="15" hidden="false" customHeight="false" outlineLevel="0" collapsed="false">
      <c r="A271" s="0" t="s">
        <v>61</v>
      </c>
      <c r="B271" s="0" t="s">
        <v>266</v>
      </c>
      <c r="C271" s="0" t="s">
        <v>1164</v>
      </c>
      <c r="D271" s="0" t="s">
        <v>126</v>
      </c>
      <c r="E271" s="0" t="s">
        <v>1171</v>
      </c>
      <c r="F271" s="0" t="n">
        <v>4</v>
      </c>
      <c r="G271" s="0" t="n">
        <v>0</v>
      </c>
      <c r="H271" s="0" t="s">
        <v>585</v>
      </c>
      <c r="K271" s="0" t="s">
        <v>594</v>
      </c>
      <c r="L271" s="0" t="s">
        <v>1172</v>
      </c>
    </row>
    <row r="272" customFormat="false" ht="15" hidden="false" customHeight="false" outlineLevel="0" collapsed="false">
      <c r="A272" s="0" t="s">
        <v>61</v>
      </c>
      <c r="B272" s="0" t="s">
        <v>266</v>
      </c>
      <c r="C272" s="0" t="s">
        <v>1164</v>
      </c>
      <c r="D272" s="0" t="s">
        <v>129</v>
      </c>
      <c r="E272" s="0" t="s">
        <v>1173</v>
      </c>
      <c r="F272" s="0" t="n">
        <v>4</v>
      </c>
      <c r="G272" s="0" t="n">
        <v>0</v>
      </c>
      <c r="H272" s="0" t="s">
        <v>585</v>
      </c>
      <c r="K272" s="0" t="s">
        <v>597</v>
      </c>
      <c r="L272" s="0" t="s">
        <v>1174</v>
      </c>
    </row>
    <row r="273" customFormat="false" ht="15" hidden="false" customHeight="false" outlineLevel="0" collapsed="false">
      <c r="A273" s="0" t="s">
        <v>61</v>
      </c>
      <c r="B273" s="0" t="s">
        <v>266</v>
      </c>
      <c r="C273" s="0" t="s">
        <v>1164</v>
      </c>
      <c r="D273" s="0" t="s">
        <v>132</v>
      </c>
      <c r="E273" s="0" t="s">
        <v>1175</v>
      </c>
      <c r="F273" s="0" t="n">
        <v>0</v>
      </c>
      <c r="G273" s="0" t="n">
        <v>0</v>
      </c>
      <c r="H273" s="0" t="s">
        <v>580</v>
      </c>
      <c r="K273" s="0" t="s">
        <v>600</v>
      </c>
      <c r="L273" s="0" t="s">
        <v>1176</v>
      </c>
    </row>
    <row r="274" customFormat="false" ht="15" hidden="false" customHeight="false" outlineLevel="0" collapsed="false">
      <c r="A274" s="0" t="s">
        <v>61</v>
      </c>
      <c r="B274" s="0" t="s">
        <v>266</v>
      </c>
      <c r="C274" s="0" t="s">
        <v>1164</v>
      </c>
      <c r="D274" s="0" t="s">
        <v>139</v>
      </c>
      <c r="E274" s="0" t="s">
        <v>1177</v>
      </c>
      <c r="F274" s="0" t="n">
        <v>4</v>
      </c>
      <c r="G274" s="0" t="n">
        <v>3</v>
      </c>
      <c r="H274" s="0" t="s">
        <v>585</v>
      </c>
      <c r="I274" s="0" t="s">
        <v>630</v>
      </c>
      <c r="K274" s="0" t="s">
        <v>604</v>
      </c>
      <c r="L274" s="0" t="s">
        <v>1178</v>
      </c>
    </row>
    <row r="275" customFormat="false" ht="15" hidden="false" customHeight="false" outlineLevel="0" collapsed="false">
      <c r="A275" s="0" t="s">
        <v>61</v>
      </c>
      <c r="B275" s="0" t="s">
        <v>266</v>
      </c>
      <c r="C275" s="0" t="s">
        <v>1164</v>
      </c>
      <c r="D275" s="0" t="s">
        <v>143</v>
      </c>
      <c r="E275" s="0" t="s">
        <v>1179</v>
      </c>
      <c r="F275" s="0" t="n">
        <v>4</v>
      </c>
      <c r="G275" s="0" t="n">
        <v>4</v>
      </c>
      <c r="H275" s="0" t="s">
        <v>580</v>
      </c>
      <c r="I275" s="0" t="s">
        <v>720</v>
      </c>
      <c r="K275" s="0" t="s">
        <v>607</v>
      </c>
      <c r="L275" s="0" t="s">
        <v>1180</v>
      </c>
    </row>
    <row r="276" customFormat="false" ht="15" hidden="false" customHeight="false" outlineLevel="0" collapsed="false">
      <c r="A276" s="0" t="s">
        <v>61</v>
      </c>
      <c r="B276" s="0" t="s">
        <v>266</v>
      </c>
      <c r="C276" s="0" t="s">
        <v>1164</v>
      </c>
      <c r="D276" s="0" t="s">
        <v>146</v>
      </c>
      <c r="E276" s="0" t="s">
        <v>1181</v>
      </c>
      <c r="F276" s="0" t="n">
        <v>4</v>
      </c>
      <c r="G276" s="0" t="n">
        <v>4</v>
      </c>
      <c r="H276" s="0" t="s">
        <v>580</v>
      </c>
      <c r="I276" s="0" t="s">
        <v>593</v>
      </c>
      <c r="K276" s="0" t="s">
        <v>610</v>
      </c>
      <c r="L276" s="0" t="s">
        <v>1182</v>
      </c>
    </row>
    <row r="277" customFormat="false" ht="15" hidden="false" customHeight="false" outlineLevel="0" collapsed="false">
      <c r="A277" s="0" t="s">
        <v>61</v>
      </c>
      <c r="B277" s="0" t="s">
        <v>266</v>
      </c>
      <c r="C277" s="0" t="s">
        <v>1164</v>
      </c>
      <c r="D277" s="0" t="s">
        <v>149</v>
      </c>
      <c r="E277" s="0" t="s">
        <v>1183</v>
      </c>
      <c r="F277" s="0" t="n">
        <v>4</v>
      </c>
      <c r="G277" s="0" t="n">
        <v>2</v>
      </c>
      <c r="H277" s="0" t="s">
        <v>585</v>
      </c>
      <c r="I277" s="0" t="s">
        <v>630</v>
      </c>
      <c r="K277" s="0" t="s">
        <v>613</v>
      </c>
      <c r="L277" s="0" t="s">
        <v>1184</v>
      </c>
    </row>
    <row r="278" customFormat="false" ht="15" hidden="false" customHeight="false" outlineLevel="0" collapsed="false">
      <c r="A278" s="0" t="s">
        <v>61</v>
      </c>
      <c r="B278" s="0" t="s">
        <v>266</v>
      </c>
      <c r="C278" s="0" t="s">
        <v>1164</v>
      </c>
      <c r="D278" s="0" t="s">
        <v>152</v>
      </c>
      <c r="E278" s="0" t="s">
        <v>1185</v>
      </c>
      <c r="F278" s="0" t="n">
        <v>4</v>
      </c>
      <c r="G278" s="0" t="n">
        <v>4</v>
      </c>
      <c r="H278" s="0" t="s">
        <v>580</v>
      </c>
      <c r="I278" s="0" t="s">
        <v>593</v>
      </c>
      <c r="K278" s="0" t="s">
        <v>616</v>
      </c>
      <c r="L278" s="0" t="s">
        <v>1186</v>
      </c>
    </row>
    <row r="279" customFormat="false" ht="15" hidden="false" customHeight="false" outlineLevel="0" collapsed="false">
      <c r="A279" s="0" t="s">
        <v>61</v>
      </c>
      <c r="B279" s="0" t="s">
        <v>266</v>
      </c>
      <c r="C279" s="0" t="s">
        <v>1164</v>
      </c>
      <c r="D279" s="0" t="s">
        <v>155</v>
      </c>
      <c r="E279" s="0" t="s">
        <v>1187</v>
      </c>
      <c r="F279" s="0" t="n">
        <v>4</v>
      </c>
      <c r="G279" s="0" t="n">
        <v>4</v>
      </c>
      <c r="H279" s="0" t="s">
        <v>580</v>
      </c>
      <c r="I279" s="0" t="s">
        <v>720</v>
      </c>
      <c r="K279" s="0" t="s">
        <v>620</v>
      </c>
      <c r="L279" s="0" t="s">
        <v>1188</v>
      </c>
    </row>
    <row r="280" customFormat="false" ht="15" hidden="false" customHeight="false" outlineLevel="0" collapsed="false">
      <c r="A280" s="0" t="s">
        <v>61</v>
      </c>
      <c r="B280" s="0" t="s">
        <v>266</v>
      </c>
      <c r="C280" s="0" t="s">
        <v>1189</v>
      </c>
      <c r="D280" s="0" t="s">
        <v>987</v>
      </c>
      <c r="E280" s="0" t="s">
        <v>1190</v>
      </c>
      <c r="F280" s="0" t="n">
        <v>0</v>
      </c>
      <c r="G280" s="0" t="n">
        <v>0</v>
      </c>
      <c r="H280" s="0" t="s">
        <v>580</v>
      </c>
      <c r="K280" s="0" t="s">
        <v>581</v>
      </c>
      <c r="L280" s="0" t="s">
        <v>1191</v>
      </c>
    </row>
    <row r="281" customFormat="false" ht="15" hidden="false" customHeight="false" outlineLevel="0" collapsed="false">
      <c r="A281" s="0" t="s">
        <v>61</v>
      </c>
      <c r="B281" s="0" t="s">
        <v>266</v>
      </c>
      <c r="C281" s="0" t="s">
        <v>1189</v>
      </c>
      <c r="D281" s="0" t="s">
        <v>990</v>
      </c>
      <c r="E281" s="0" t="s">
        <v>1192</v>
      </c>
      <c r="F281" s="0" t="n">
        <v>4</v>
      </c>
      <c r="G281" s="0" t="n">
        <v>0</v>
      </c>
      <c r="H281" s="0" t="s">
        <v>585</v>
      </c>
      <c r="K281" s="0" t="s">
        <v>586</v>
      </c>
      <c r="L281" s="0" t="s">
        <v>1193</v>
      </c>
    </row>
    <row r="282" customFormat="false" ht="15" hidden="false" customHeight="false" outlineLevel="0" collapsed="false">
      <c r="A282" s="0" t="s">
        <v>61</v>
      </c>
      <c r="B282" s="0" t="s">
        <v>266</v>
      </c>
      <c r="C282" s="0" t="s">
        <v>1189</v>
      </c>
      <c r="D282" s="0" t="s">
        <v>993</v>
      </c>
      <c r="E282" s="0" t="s">
        <v>1194</v>
      </c>
      <c r="F282" s="0" t="n">
        <v>4</v>
      </c>
      <c r="G282" s="0" t="n">
        <v>0</v>
      </c>
      <c r="H282" s="0" t="s">
        <v>585</v>
      </c>
      <c r="K282" s="0" t="s">
        <v>590</v>
      </c>
      <c r="L282" s="0" t="s">
        <v>1195</v>
      </c>
    </row>
    <row r="283" customFormat="false" ht="15" hidden="false" customHeight="false" outlineLevel="0" collapsed="false">
      <c r="A283" s="0" t="s">
        <v>61</v>
      </c>
      <c r="B283" s="0" t="s">
        <v>266</v>
      </c>
      <c r="C283" s="0" t="s">
        <v>1189</v>
      </c>
      <c r="D283" s="0" t="s">
        <v>126</v>
      </c>
      <c r="E283" s="0" t="s">
        <v>1196</v>
      </c>
      <c r="F283" s="0" t="n">
        <v>4</v>
      </c>
      <c r="G283" s="0" t="n">
        <v>0</v>
      </c>
      <c r="H283" s="0" t="s">
        <v>585</v>
      </c>
      <c r="K283" s="0" t="s">
        <v>594</v>
      </c>
      <c r="L283" s="0" t="s">
        <v>1197</v>
      </c>
    </row>
    <row r="284" customFormat="false" ht="15" hidden="false" customHeight="false" outlineLevel="0" collapsed="false">
      <c r="A284" s="0" t="s">
        <v>61</v>
      </c>
      <c r="B284" s="0" t="s">
        <v>266</v>
      </c>
      <c r="C284" s="0" t="s">
        <v>1189</v>
      </c>
      <c r="D284" s="0" t="s">
        <v>129</v>
      </c>
      <c r="E284" s="0" t="s">
        <v>1198</v>
      </c>
      <c r="F284" s="0" t="n">
        <v>4</v>
      </c>
      <c r="G284" s="0" t="n">
        <v>0</v>
      </c>
      <c r="H284" s="0" t="s">
        <v>585</v>
      </c>
      <c r="K284" s="0" t="s">
        <v>597</v>
      </c>
      <c r="L284" s="0" t="s">
        <v>1199</v>
      </c>
    </row>
    <row r="285" customFormat="false" ht="15" hidden="false" customHeight="false" outlineLevel="0" collapsed="false">
      <c r="A285" s="0" t="s">
        <v>61</v>
      </c>
      <c r="B285" s="0" t="s">
        <v>266</v>
      </c>
      <c r="C285" s="0" t="s">
        <v>1189</v>
      </c>
      <c r="D285" s="0" t="s">
        <v>132</v>
      </c>
      <c r="E285" s="0" t="s">
        <v>1200</v>
      </c>
      <c r="F285" s="0" t="n">
        <v>0</v>
      </c>
      <c r="G285" s="0" t="n">
        <v>0</v>
      </c>
      <c r="H285" s="0" t="s">
        <v>580</v>
      </c>
      <c r="K285" s="0" t="s">
        <v>600</v>
      </c>
      <c r="L285" s="0" t="s">
        <v>1201</v>
      </c>
    </row>
    <row r="286" customFormat="false" ht="15" hidden="false" customHeight="false" outlineLevel="0" collapsed="false">
      <c r="A286" s="0" t="s">
        <v>61</v>
      </c>
      <c r="B286" s="0" t="s">
        <v>266</v>
      </c>
      <c r="C286" s="0" t="s">
        <v>1189</v>
      </c>
      <c r="D286" s="0" t="s">
        <v>139</v>
      </c>
      <c r="E286" s="0" t="s">
        <v>1202</v>
      </c>
      <c r="F286" s="0" t="n">
        <v>4</v>
      </c>
      <c r="G286" s="0" t="n">
        <v>3</v>
      </c>
      <c r="H286" s="0" t="s">
        <v>585</v>
      </c>
      <c r="I286" s="0" t="s">
        <v>720</v>
      </c>
      <c r="K286" s="0" t="s">
        <v>604</v>
      </c>
      <c r="L286" s="0" t="s">
        <v>1203</v>
      </c>
    </row>
    <row r="287" customFormat="false" ht="15" hidden="false" customHeight="false" outlineLevel="0" collapsed="false">
      <c r="A287" s="0" t="s">
        <v>61</v>
      </c>
      <c r="B287" s="0" t="s">
        <v>266</v>
      </c>
      <c r="C287" s="0" t="s">
        <v>1189</v>
      </c>
      <c r="D287" s="0" t="s">
        <v>143</v>
      </c>
      <c r="E287" s="0" t="s">
        <v>1204</v>
      </c>
      <c r="F287" s="0" t="n">
        <v>4</v>
      </c>
      <c r="G287" s="0" t="n">
        <v>4</v>
      </c>
      <c r="H287" s="0" t="s">
        <v>580</v>
      </c>
      <c r="I287" s="0" t="s">
        <v>630</v>
      </c>
      <c r="K287" s="0" t="s">
        <v>607</v>
      </c>
      <c r="L287" s="0" t="s">
        <v>1205</v>
      </c>
    </row>
    <row r="288" customFormat="false" ht="15" hidden="false" customHeight="false" outlineLevel="0" collapsed="false">
      <c r="A288" s="0" t="s">
        <v>61</v>
      </c>
      <c r="B288" s="0" t="s">
        <v>266</v>
      </c>
      <c r="C288" s="0" t="s">
        <v>1189</v>
      </c>
      <c r="D288" s="0" t="s">
        <v>146</v>
      </c>
      <c r="E288" s="0" t="s">
        <v>1206</v>
      </c>
      <c r="F288" s="0" t="n">
        <v>4</v>
      </c>
      <c r="G288" s="0" t="n">
        <v>4</v>
      </c>
      <c r="H288" s="0" t="s">
        <v>580</v>
      </c>
      <c r="I288" s="0" t="s">
        <v>720</v>
      </c>
      <c r="K288" s="0" t="s">
        <v>610</v>
      </c>
      <c r="L288" s="0" t="s">
        <v>1207</v>
      </c>
    </row>
    <row r="289" customFormat="false" ht="15" hidden="false" customHeight="false" outlineLevel="0" collapsed="false">
      <c r="A289" s="0" t="s">
        <v>61</v>
      </c>
      <c r="B289" s="0" t="s">
        <v>266</v>
      </c>
      <c r="C289" s="0" t="s">
        <v>1189</v>
      </c>
      <c r="D289" s="0" t="s">
        <v>149</v>
      </c>
      <c r="E289" s="0" t="s">
        <v>1208</v>
      </c>
      <c r="F289" s="0" t="n">
        <v>0</v>
      </c>
      <c r="G289" s="0" t="n">
        <v>4</v>
      </c>
      <c r="H289" s="0" t="s">
        <v>580</v>
      </c>
      <c r="I289" s="0" t="s">
        <v>630</v>
      </c>
      <c r="K289" s="0" t="s">
        <v>613</v>
      </c>
      <c r="L289" s="0" t="s">
        <v>1209</v>
      </c>
    </row>
    <row r="290" customFormat="false" ht="15" hidden="false" customHeight="false" outlineLevel="0" collapsed="false">
      <c r="A290" s="0" t="s">
        <v>61</v>
      </c>
      <c r="B290" s="0" t="s">
        <v>266</v>
      </c>
      <c r="C290" s="0" t="s">
        <v>1189</v>
      </c>
      <c r="D290" s="0" t="s">
        <v>152</v>
      </c>
      <c r="E290" s="0" t="s">
        <v>1210</v>
      </c>
      <c r="F290" s="0" t="n">
        <v>4</v>
      </c>
      <c r="G290" s="0" t="n">
        <v>3</v>
      </c>
      <c r="H290" s="0" t="s">
        <v>585</v>
      </c>
      <c r="I290" s="0" t="s">
        <v>593</v>
      </c>
      <c r="K290" s="0" t="s">
        <v>616</v>
      </c>
      <c r="L290" s="0" t="s">
        <v>1211</v>
      </c>
    </row>
    <row r="291" customFormat="false" ht="15" hidden="false" customHeight="false" outlineLevel="0" collapsed="false">
      <c r="A291" s="0" t="s">
        <v>61</v>
      </c>
      <c r="B291" s="0" t="s">
        <v>266</v>
      </c>
      <c r="C291" s="0" t="s">
        <v>1189</v>
      </c>
      <c r="D291" s="0" t="s">
        <v>155</v>
      </c>
      <c r="E291" s="0" t="s">
        <v>1212</v>
      </c>
      <c r="F291" s="0" t="n">
        <v>4</v>
      </c>
      <c r="G291" s="0" t="n">
        <v>4</v>
      </c>
      <c r="H291" s="0" t="s">
        <v>580</v>
      </c>
      <c r="I291" s="0" t="s">
        <v>619</v>
      </c>
      <c r="K291" s="0" t="s">
        <v>620</v>
      </c>
      <c r="L291" s="0" t="s">
        <v>1213</v>
      </c>
    </row>
    <row r="292" customFormat="false" ht="15" hidden="false" customHeight="false" outlineLevel="0" collapsed="false">
      <c r="A292" s="0" t="s">
        <v>61</v>
      </c>
      <c r="B292" s="0" t="s">
        <v>266</v>
      </c>
      <c r="C292" s="0" t="s">
        <v>1214</v>
      </c>
      <c r="D292" s="0" t="s">
        <v>987</v>
      </c>
      <c r="E292" s="0" t="s">
        <v>1215</v>
      </c>
      <c r="F292" s="0" t="n">
        <v>0</v>
      </c>
      <c r="G292" s="0" t="n">
        <v>0</v>
      </c>
      <c r="H292" s="0" t="s">
        <v>580</v>
      </c>
      <c r="K292" s="0" t="s">
        <v>581</v>
      </c>
      <c r="L292" s="0" t="s">
        <v>1216</v>
      </c>
    </row>
    <row r="293" customFormat="false" ht="15" hidden="false" customHeight="false" outlineLevel="0" collapsed="false">
      <c r="A293" s="0" t="s">
        <v>61</v>
      </c>
      <c r="B293" s="0" t="s">
        <v>266</v>
      </c>
      <c r="C293" s="0" t="s">
        <v>1214</v>
      </c>
      <c r="D293" s="0" t="s">
        <v>990</v>
      </c>
      <c r="E293" s="0" t="s">
        <v>1217</v>
      </c>
      <c r="F293" s="0" t="n">
        <v>4</v>
      </c>
      <c r="G293" s="0" t="n">
        <v>3</v>
      </c>
      <c r="H293" s="0" t="s">
        <v>585</v>
      </c>
      <c r="I293" s="0" t="s">
        <v>603</v>
      </c>
      <c r="K293" s="0" t="s">
        <v>586</v>
      </c>
      <c r="L293" s="0" t="s">
        <v>1218</v>
      </c>
    </row>
    <row r="294" customFormat="false" ht="15" hidden="false" customHeight="false" outlineLevel="0" collapsed="false">
      <c r="A294" s="0" t="s">
        <v>61</v>
      </c>
      <c r="B294" s="0" t="s">
        <v>266</v>
      </c>
      <c r="C294" s="0" t="s">
        <v>1214</v>
      </c>
      <c r="D294" s="0" t="s">
        <v>993</v>
      </c>
      <c r="E294" s="0" t="s">
        <v>1219</v>
      </c>
      <c r="F294" s="0" t="n">
        <v>4</v>
      </c>
      <c r="G294" s="0" t="n">
        <v>0</v>
      </c>
      <c r="H294" s="0" t="s">
        <v>585</v>
      </c>
      <c r="K294" s="0" t="s">
        <v>590</v>
      </c>
      <c r="L294" s="0" t="s">
        <v>1220</v>
      </c>
    </row>
    <row r="295" customFormat="false" ht="15" hidden="false" customHeight="false" outlineLevel="0" collapsed="false">
      <c r="A295" s="0" t="s">
        <v>61</v>
      </c>
      <c r="B295" s="0" t="s">
        <v>266</v>
      </c>
      <c r="C295" s="0" t="s">
        <v>1214</v>
      </c>
      <c r="D295" s="0" t="s">
        <v>126</v>
      </c>
      <c r="E295" s="0" t="s">
        <v>1221</v>
      </c>
      <c r="F295" s="0" t="n">
        <v>4</v>
      </c>
      <c r="G295" s="0" t="n">
        <v>0</v>
      </c>
      <c r="H295" s="0" t="s">
        <v>585</v>
      </c>
      <c r="K295" s="0" t="s">
        <v>594</v>
      </c>
      <c r="L295" s="0" t="s">
        <v>1222</v>
      </c>
    </row>
    <row r="296" customFormat="false" ht="15" hidden="false" customHeight="false" outlineLevel="0" collapsed="false">
      <c r="A296" s="0" t="s">
        <v>61</v>
      </c>
      <c r="B296" s="0" t="s">
        <v>266</v>
      </c>
      <c r="C296" s="0" t="s">
        <v>1214</v>
      </c>
      <c r="D296" s="0" t="s">
        <v>129</v>
      </c>
      <c r="E296" s="0" t="s">
        <v>1223</v>
      </c>
      <c r="F296" s="0" t="n">
        <v>4</v>
      </c>
      <c r="G296" s="0" t="n">
        <v>0</v>
      </c>
      <c r="H296" s="0" t="s">
        <v>585</v>
      </c>
      <c r="K296" s="0" t="s">
        <v>597</v>
      </c>
      <c r="L296" s="0" t="s">
        <v>1224</v>
      </c>
    </row>
    <row r="297" customFormat="false" ht="15" hidden="false" customHeight="false" outlineLevel="0" collapsed="false">
      <c r="A297" s="0" t="s">
        <v>61</v>
      </c>
      <c r="B297" s="0" t="s">
        <v>266</v>
      </c>
      <c r="C297" s="0" t="s">
        <v>1214</v>
      </c>
      <c r="D297" s="0" t="s">
        <v>132</v>
      </c>
      <c r="E297" s="0" t="s">
        <v>1225</v>
      </c>
      <c r="F297" s="0" t="n">
        <v>0</v>
      </c>
      <c r="G297" s="0" t="n">
        <v>0</v>
      </c>
      <c r="H297" s="0" t="s">
        <v>580</v>
      </c>
      <c r="K297" s="0" t="s">
        <v>600</v>
      </c>
      <c r="L297" s="0" t="s">
        <v>1226</v>
      </c>
    </row>
    <row r="298" customFormat="false" ht="15" hidden="false" customHeight="false" outlineLevel="0" collapsed="false">
      <c r="A298" s="0" t="s">
        <v>61</v>
      </c>
      <c r="B298" s="0" t="s">
        <v>266</v>
      </c>
      <c r="C298" s="0" t="s">
        <v>1214</v>
      </c>
      <c r="D298" s="0" t="s">
        <v>139</v>
      </c>
      <c r="E298" s="0" t="s">
        <v>1227</v>
      </c>
      <c r="F298" s="0" t="n">
        <v>4</v>
      </c>
      <c r="G298" s="0" t="n">
        <v>4</v>
      </c>
      <c r="H298" s="0" t="s">
        <v>580</v>
      </c>
      <c r="I298" s="0" t="s">
        <v>705</v>
      </c>
      <c r="K298" s="0" t="s">
        <v>604</v>
      </c>
      <c r="L298" s="0" t="s">
        <v>1228</v>
      </c>
    </row>
    <row r="299" customFormat="false" ht="15" hidden="false" customHeight="false" outlineLevel="0" collapsed="false">
      <c r="A299" s="0" t="s">
        <v>61</v>
      </c>
      <c r="B299" s="0" t="s">
        <v>266</v>
      </c>
      <c r="C299" s="0" t="s">
        <v>1214</v>
      </c>
      <c r="D299" s="0" t="s">
        <v>143</v>
      </c>
      <c r="E299" s="0" t="s">
        <v>1229</v>
      </c>
      <c r="F299" s="0" t="n">
        <v>4</v>
      </c>
      <c r="G299" s="0" t="n">
        <v>4</v>
      </c>
      <c r="H299" s="0" t="s">
        <v>580</v>
      </c>
      <c r="I299" s="0" t="s">
        <v>593</v>
      </c>
      <c r="K299" s="0" t="s">
        <v>607</v>
      </c>
      <c r="L299" s="0" t="s">
        <v>1230</v>
      </c>
    </row>
    <row r="300" customFormat="false" ht="15" hidden="false" customHeight="false" outlineLevel="0" collapsed="false">
      <c r="A300" s="0" t="s">
        <v>61</v>
      </c>
      <c r="B300" s="0" t="s">
        <v>266</v>
      </c>
      <c r="C300" s="0" t="s">
        <v>1214</v>
      </c>
      <c r="D300" s="0" t="s">
        <v>146</v>
      </c>
      <c r="E300" s="0" t="s">
        <v>1231</v>
      </c>
      <c r="F300" s="0" t="n">
        <v>4</v>
      </c>
      <c r="G300" s="0" t="n">
        <v>4</v>
      </c>
      <c r="H300" s="0" t="s">
        <v>580</v>
      </c>
      <c r="I300" s="0" t="s">
        <v>593</v>
      </c>
      <c r="K300" s="0" t="s">
        <v>610</v>
      </c>
      <c r="L300" s="0" t="s">
        <v>1232</v>
      </c>
    </row>
    <row r="301" customFormat="false" ht="15" hidden="false" customHeight="false" outlineLevel="0" collapsed="false">
      <c r="A301" s="0" t="s">
        <v>61</v>
      </c>
      <c r="B301" s="0" t="s">
        <v>266</v>
      </c>
      <c r="C301" s="0" t="s">
        <v>1214</v>
      </c>
      <c r="D301" s="0" t="s">
        <v>149</v>
      </c>
      <c r="E301" s="0" t="s">
        <v>1233</v>
      </c>
      <c r="F301" s="0" t="n">
        <v>4</v>
      </c>
      <c r="G301" s="0" t="n">
        <v>4</v>
      </c>
      <c r="H301" s="0" t="s">
        <v>580</v>
      </c>
      <c r="I301" s="0" t="s">
        <v>593</v>
      </c>
      <c r="K301" s="0" t="s">
        <v>613</v>
      </c>
      <c r="L301" s="0" t="s">
        <v>1234</v>
      </c>
    </row>
    <row r="302" customFormat="false" ht="15" hidden="false" customHeight="false" outlineLevel="0" collapsed="false">
      <c r="A302" s="0" t="s">
        <v>61</v>
      </c>
      <c r="B302" s="0" t="s">
        <v>266</v>
      </c>
      <c r="C302" s="0" t="s">
        <v>1214</v>
      </c>
      <c r="D302" s="0" t="s">
        <v>152</v>
      </c>
      <c r="E302" s="0" t="s">
        <v>1235</v>
      </c>
      <c r="F302" s="0" t="n">
        <v>4</v>
      </c>
      <c r="G302" s="0" t="n">
        <v>4</v>
      </c>
      <c r="H302" s="0" t="s">
        <v>580</v>
      </c>
      <c r="I302" s="0" t="s">
        <v>630</v>
      </c>
      <c r="K302" s="0" t="s">
        <v>616</v>
      </c>
      <c r="L302" s="0" t="s">
        <v>1236</v>
      </c>
    </row>
    <row r="303" customFormat="false" ht="15" hidden="false" customHeight="false" outlineLevel="0" collapsed="false">
      <c r="A303" s="0" t="s">
        <v>61</v>
      </c>
      <c r="B303" s="0" t="s">
        <v>266</v>
      </c>
      <c r="C303" s="0" t="s">
        <v>1214</v>
      </c>
      <c r="D303" s="0" t="s">
        <v>155</v>
      </c>
      <c r="E303" s="0" t="s">
        <v>1237</v>
      </c>
      <c r="F303" s="0" t="n">
        <v>4</v>
      </c>
      <c r="G303" s="0" t="n">
        <v>3</v>
      </c>
      <c r="H303" s="0" t="s">
        <v>585</v>
      </c>
      <c r="I303" s="0" t="s">
        <v>630</v>
      </c>
      <c r="K303" s="0" t="s">
        <v>620</v>
      </c>
      <c r="L303" s="0" t="s">
        <v>1238</v>
      </c>
    </row>
    <row r="304" customFormat="false" ht="15" hidden="false" customHeight="false" outlineLevel="0" collapsed="false">
      <c r="A304" s="0" t="s">
        <v>61</v>
      </c>
      <c r="B304" s="0" t="s">
        <v>266</v>
      </c>
      <c r="C304" s="0" t="s">
        <v>1239</v>
      </c>
      <c r="D304" s="0" t="s">
        <v>987</v>
      </c>
      <c r="E304" s="0" t="s">
        <v>1240</v>
      </c>
      <c r="F304" s="0" t="n">
        <v>0</v>
      </c>
      <c r="G304" s="0" t="n">
        <v>0</v>
      </c>
      <c r="H304" s="0" t="s">
        <v>580</v>
      </c>
      <c r="K304" s="0" t="s">
        <v>581</v>
      </c>
      <c r="L304" s="0" t="s">
        <v>1241</v>
      </c>
    </row>
    <row r="305" customFormat="false" ht="15" hidden="false" customHeight="false" outlineLevel="0" collapsed="false">
      <c r="A305" s="0" t="s">
        <v>61</v>
      </c>
      <c r="B305" s="0" t="s">
        <v>266</v>
      </c>
      <c r="C305" s="0" t="s">
        <v>1239</v>
      </c>
      <c r="D305" s="0" t="s">
        <v>990</v>
      </c>
      <c r="E305" s="0" t="s">
        <v>1242</v>
      </c>
      <c r="F305" s="0" t="n">
        <v>4</v>
      </c>
      <c r="G305" s="0" t="n">
        <v>0</v>
      </c>
      <c r="H305" s="0" t="s">
        <v>585</v>
      </c>
      <c r="K305" s="0" t="s">
        <v>586</v>
      </c>
      <c r="L305" s="0" t="s">
        <v>1243</v>
      </c>
    </row>
    <row r="306" customFormat="false" ht="15" hidden="false" customHeight="false" outlineLevel="0" collapsed="false">
      <c r="A306" s="0" t="s">
        <v>61</v>
      </c>
      <c r="B306" s="0" t="s">
        <v>266</v>
      </c>
      <c r="C306" s="0" t="s">
        <v>1239</v>
      </c>
      <c r="D306" s="0" t="s">
        <v>993</v>
      </c>
      <c r="E306" s="0" t="s">
        <v>1244</v>
      </c>
      <c r="F306" s="0" t="n">
        <v>4</v>
      </c>
      <c r="G306" s="0" t="n">
        <v>3</v>
      </c>
      <c r="H306" s="0" t="s">
        <v>585</v>
      </c>
      <c r="I306" s="0" t="s">
        <v>705</v>
      </c>
      <c r="K306" s="0" t="s">
        <v>590</v>
      </c>
      <c r="L306" s="0" t="s">
        <v>1245</v>
      </c>
    </row>
    <row r="307" customFormat="false" ht="15" hidden="false" customHeight="false" outlineLevel="0" collapsed="false">
      <c r="A307" s="0" t="s">
        <v>61</v>
      </c>
      <c r="B307" s="0" t="s">
        <v>266</v>
      </c>
      <c r="C307" s="0" t="s">
        <v>1239</v>
      </c>
      <c r="D307" s="0" t="s">
        <v>126</v>
      </c>
      <c r="E307" s="0" t="s">
        <v>1246</v>
      </c>
      <c r="F307" s="0" t="n">
        <v>4</v>
      </c>
      <c r="G307" s="0" t="n">
        <v>0</v>
      </c>
      <c r="H307" s="0" t="s">
        <v>585</v>
      </c>
      <c r="K307" s="0" t="s">
        <v>594</v>
      </c>
      <c r="L307" s="0" t="s">
        <v>1247</v>
      </c>
    </row>
    <row r="308" customFormat="false" ht="15" hidden="false" customHeight="false" outlineLevel="0" collapsed="false">
      <c r="A308" s="0" t="s">
        <v>61</v>
      </c>
      <c r="B308" s="0" t="s">
        <v>266</v>
      </c>
      <c r="C308" s="0" t="s">
        <v>1239</v>
      </c>
      <c r="D308" s="0" t="s">
        <v>129</v>
      </c>
      <c r="E308" s="0" t="s">
        <v>1248</v>
      </c>
      <c r="F308" s="0" t="n">
        <v>4</v>
      </c>
      <c r="G308" s="0" t="n">
        <v>0</v>
      </c>
      <c r="H308" s="0" t="s">
        <v>585</v>
      </c>
      <c r="K308" s="0" t="s">
        <v>597</v>
      </c>
      <c r="L308" s="0" t="s">
        <v>1249</v>
      </c>
    </row>
    <row r="309" customFormat="false" ht="15" hidden="false" customHeight="false" outlineLevel="0" collapsed="false">
      <c r="A309" s="0" t="s">
        <v>61</v>
      </c>
      <c r="B309" s="0" t="s">
        <v>266</v>
      </c>
      <c r="C309" s="0" t="s">
        <v>1239</v>
      </c>
      <c r="D309" s="0" t="s">
        <v>132</v>
      </c>
      <c r="E309" s="0" t="s">
        <v>1250</v>
      </c>
      <c r="F309" s="0" t="n">
        <v>0</v>
      </c>
      <c r="G309" s="0" t="n">
        <v>0</v>
      </c>
      <c r="H309" s="0" t="s">
        <v>580</v>
      </c>
      <c r="K309" s="0" t="s">
        <v>600</v>
      </c>
      <c r="L309" s="0" t="s">
        <v>1251</v>
      </c>
    </row>
    <row r="310" customFormat="false" ht="15" hidden="false" customHeight="false" outlineLevel="0" collapsed="false">
      <c r="A310" s="0" t="s">
        <v>61</v>
      </c>
      <c r="B310" s="0" t="s">
        <v>266</v>
      </c>
      <c r="C310" s="0" t="s">
        <v>1239</v>
      </c>
      <c r="D310" s="0" t="s">
        <v>139</v>
      </c>
      <c r="E310" s="0" t="s">
        <v>1252</v>
      </c>
      <c r="F310" s="0" t="n">
        <v>4</v>
      </c>
      <c r="G310" s="0" t="n">
        <v>0</v>
      </c>
      <c r="H310" s="0" t="s">
        <v>585</v>
      </c>
      <c r="K310" s="0" t="s">
        <v>604</v>
      </c>
      <c r="L310" s="0" t="s">
        <v>1253</v>
      </c>
    </row>
    <row r="311" customFormat="false" ht="15" hidden="false" customHeight="false" outlineLevel="0" collapsed="false">
      <c r="A311" s="0" t="s">
        <v>61</v>
      </c>
      <c r="B311" s="0" t="s">
        <v>266</v>
      </c>
      <c r="C311" s="0" t="s">
        <v>1239</v>
      </c>
      <c r="D311" s="0" t="s">
        <v>143</v>
      </c>
      <c r="E311" s="0" t="s">
        <v>1254</v>
      </c>
      <c r="F311" s="0" t="n">
        <v>4</v>
      </c>
      <c r="G311" s="0" t="n">
        <v>3</v>
      </c>
      <c r="H311" s="0" t="s">
        <v>585</v>
      </c>
      <c r="I311" s="0" t="s">
        <v>705</v>
      </c>
      <c r="K311" s="0" t="s">
        <v>607</v>
      </c>
      <c r="L311" s="0" t="s">
        <v>1255</v>
      </c>
    </row>
    <row r="312" customFormat="false" ht="15" hidden="false" customHeight="false" outlineLevel="0" collapsed="false">
      <c r="A312" s="0" t="s">
        <v>61</v>
      </c>
      <c r="B312" s="0" t="s">
        <v>266</v>
      </c>
      <c r="C312" s="0" t="s">
        <v>1239</v>
      </c>
      <c r="D312" s="0" t="s">
        <v>146</v>
      </c>
      <c r="E312" s="0" t="s">
        <v>1256</v>
      </c>
      <c r="F312" s="0" t="n">
        <v>0</v>
      </c>
      <c r="G312" s="0" t="n">
        <v>0</v>
      </c>
      <c r="H312" s="0" t="s">
        <v>580</v>
      </c>
      <c r="K312" s="0" t="s">
        <v>610</v>
      </c>
      <c r="L312" s="0" t="s">
        <v>1257</v>
      </c>
    </row>
    <row r="313" customFormat="false" ht="15" hidden="false" customHeight="false" outlineLevel="0" collapsed="false">
      <c r="A313" s="0" t="s">
        <v>61</v>
      </c>
      <c r="B313" s="0" t="s">
        <v>266</v>
      </c>
      <c r="C313" s="0" t="s">
        <v>1239</v>
      </c>
      <c r="D313" s="0" t="s">
        <v>149</v>
      </c>
      <c r="E313" s="0" t="s">
        <v>1258</v>
      </c>
      <c r="F313" s="0" t="n">
        <v>4</v>
      </c>
      <c r="G313" s="0" t="n">
        <v>3</v>
      </c>
      <c r="H313" s="0" t="s">
        <v>585</v>
      </c>
      <c r="I313" s="0" t="s">
        <v>732</v>
      </c>
      <c r="K313" s="0" t="s">
        <v>613</v>
      </c>
      <c r="L313" s="0" t="s">
        <v>1259</v>
      </c>
    </row>
    <row r="314" customFormat="false" ht="15" hidden="false" customHeight="false" outlineLevel="0" collapsed="false">
      <c r="A314" s="0" t="s">
        <v>61</v>
      </c>
      <c r="B314" s="0" t="s">
        <v>266</v>
      </c>
      <c r="C314" s="0" t="s">
        <v>1239</v>
      </c>
      <c r="D314" s="0" t="s">
        <v>152</v>
      </c>
      <c r="E314" s="0" t="s">
        <v>1260</v>
      </c>
      <c r="F314" s="0" t="n">
        <v>4</v>
      </c>
      <c r="G314" s="0" t="n">
        <v>4</v>
      </c>
      <c r="H314" s="0" t="s">
        <v>580</v>
      </c>
      <c r="I314" s="0" t="s">
        <v>732</v>
      </c>
      <c r="K314" s="0" t="s">
        <v>616</v>
      </c>
      <c r="L314" s="0" t="s">
        <v>1261</v>
      </c>
    </row>
    <row r="315" customFormat="false" ht="15" hidden="false" customHeight="false" outlineLevel="0" collapsed="false">
      <c r="A315" s="0" t="s">
        <v>61</v>
      </c>
      <c r="B315" s="0" t="s">
        <v>266</v>
      </c>
      <c r="C315" s="0" t="s">
        <v>1239</v>
      </c>
      <c r="D315" s="0" t="s">
        <v>155</v>
      </c>
      <c r="E315" s="0" t="s">
        <v>1262</v>
      </c>
      <c r="F315" s="0" t="n">
        <v>4</v>
      </c>
      <c r="G315" s="0" t="n">
        <v>4</v>
      </c>
      <c r="H315" s="0" t="s">
        <v>580</v>
      </c>
      <c r="I315" s="0" t="s">
        <v>695</v>
      </c>
      <c r="K315" s="0" t="s">
        <v>620</v>
      </c>
      <c r="L315" s="0" t="s">
        <v>1263</v>
      </c>
    </row>
    <row r="316" customFormat="false" ht="15" hidden="false" customHeight="false" outlineLevel="0" collapsed="false">
      <c r="A316" s="0" t="s">
        <v>61</v>
      </c>
      <c r="B316" s="0" t="s">
        <v>266</v>
      </c>
      <c r="C316" s="0" t="s">
        <v>1264</v>
      </c>
      <c r="D316" s="0" t="s">
        <v>987</v>
      </c>
      <c r="E316" s="0" t="s">
        <v>1265</v>
      </c>
      <c r="F316" s="0" t="n">
        <v>0</v>
      </c>
      <c r="G316" s="0" t="n">
        <v>0</v>
      </c>
      <c r="H316" s="0" t="s">
        <v>580</v>
      </c>
      <c r="K316" s="0" t="s">
        <v>581</v>
      </c>
      <c r="L316" s="0" t="s">
        <v>1266</v>
      </c>
    </row>
    <row r="317" customFormat="false" ht="15" hidden="false" customHeight="false" outlineLevel="0" collapsed="false">
      <c r="A317" s="0" t="s">
        <v>61</v>
      </c>
      <c r="B317" s="0" t="s">
        <v>266</v>
      </c>
      <c r="C317" s="0" t="s">
        <v>1264</v>
      </c>
      <c r="D317" s="0" t="s">
        <v>990</v>
      </c>
      <c r="E317" s="0" t="s">
        <v>1267</v>
      </c>
      <c r="F317" s="0" t="n">
        <v>4</v>
      </c>
      <c r="G317" s="0" t="n">
        <v>0</v>
      </c>
      <c r="H317" s="0" t="s">
        <v>585</v>
      </c>
      <c r="K317" s="0" t="s">
        <v>586</v>
      </c>
      <c r="L317" s="0" t="s">
        <v>1268</v>
      </c>
    </row>
    <row r="318" customFormat="false" ht="15" hidden="false" customHeight="false" outlineLevel="0" collapsed="false">
      <c r="A318" s="0" t="s">
        <v>61</v>
      </c>
      <c r="B318" s="0" t="s">
        <v>266</v>
      </c>
      <c r="C318" s="0" t="s">
        <v>1264</v>
      </c>
      <c r="D318" s="0" t="s">
        <v>993</v>
      </c>
      <c r="E318" s="0" t="s">
        <v>1269</v>
      </c>
      <c r="F318" s="0" t="n">
        <v>4</v>
      </c>
      <c r="G318" s="0" t="n">
        <v>0</v>
      </c>
      <c r="H318" s="0" t="s">
        <v>585</v>
      </c>
      <c r="K318" s="0" t="s">
        <v>590</v>
      </c>
      <c r="L318" s="0" t="s">
        <v>1270</v>
      </c>
    </row>
    <row r="319" customFormat="false" ht="15" hidden="false" customHeight="false" outlineLevel="0" collapsed="false">
      <c r="A319" s="0" t="s">
        <v>61</v>
      </c>
      <c r="B319" s="0" t="s">
        <v>266</v>
      </c>
      <c r="C319" s="0" t="s">
        <v>1264</v>
      </c>
      <c r="D319" s="0" t="s">
        <v>126</v>
      </c>
      <c r="E319" s="0" t="s">
        <v>1271</v>
      </c>
      <c r="F319" s="0" t="n">
        <v>4</v>
      </c>
      <c r="G319" s="0" t="n">
        <v>3</v>
      </c>
      <c r="H319" s="0" t="s">
        <v>585</v>
      </c>
      <c r="I319" s="0" t="s">
        <v>619</v>
      </c>
      <c r="K319" s="0" t="s">
        <v>594</v>
      </c>
      <c r="L319" s="0" t="s">
        <v>1272</v>
      </c>
    </row>
    <row r="320" customFormat="false" ht="15" hidden="false" customHeight="false" outlineLevel="0" collapsed="false">
      <c r="A320" s="0" t="s">
        <v>61</v>
      </c>
      <c r="B320" s="0" t="s">
        <v>266</v>
      </c>
      <c r="C320" s="0" t="s">
        <v>1264</v>
      </c>
      <c r="D320" s="0" t="s">
        <v>129</v>
      </c>
      <c r="E320" s="0" t="s">
        <v>1273</v>
      </c>
      <c r="F320" s="0" t="n">
        <v>4</v>
      </c>
      <c r="G320" s="0" t="n">
        <v>3</v>
      </c>
      <c r="H320" s="0" t="s">
        <v>585</v>
      </c>
      <c r="I320" s="0" t="s">
        <v>732</v>
      </c>
      <c r="K320" s="0" t="s">
        <v>597</v>
      </c>
      <c r="L320" s="0" t="s">
        <v>1274</v>
      </c>
    </row>
    <row r="321" customFormat="false" ht="15" hidden="false" customHeight="false" outlineLevel="0" collapsed="false">
      <c r="A321" s="0" t="s">
        <v>61</v>
      </c>
      <c r="B321" s="0" t="s">
        <v>266</v>
      </c>
      <c r="C321" s="0" t="s">
        <v>1264</v>
      </c>
      <c r="D321" s="0" t="s">
        <v>132</v>
      </c>
      <c r="E321" s="0" t="s">
        <v>1275</v>
      </c>
      <c r="F321" s="0" t="n">
        <v>0</v>
      </c>
      <c r="G321" s="0" t="n">
        <v>0</v>
      </c>
      <c r="H321" s="0" t="s">
        <v>580</v>
      </c>
      <c r="K321" s="0" t="s">
        <v>600</v>
      </c>
      <c r="L321" s="0" t="s">
        <v>1276</v>
      </c>
    </row>
    <row r="322" customFormat="false" ht="15" hidden="false" customHeight="false" outlineLevel="0" collapsed="false">
      <c r="A322" s="0" t="s">
        <v>61</v>
      </c>
      <c r="B322" s="0" t="s">
        <v>266</v>
      </c>
      <c r="C322" s="0" t="s">
        <v>1264</v>
      </c>
      <c r="D322" s="0" t="s">
        <v>139</v>
      </c>
      <c r="E322" s="0" t="s">
        <v>1277</v>
      </c>
      <c r="F322" s="0" t="n">
        <v>4</v>
      </c>
      <c r="G322" s="0" t="n">
        <v>3</v>
      </c>
      <c r="H322" s="0" t="s">
        <v>585</v>
      </c>
      <c r="I322" s="0" t="s">
        <v>732</v>
      </c>
      <c r="K322" s="0" t="s">
        <v>604</v>
      </c>
      <c r="L322" s="0" t="s">
        <v>1278</v>
      </c>
    </row>
    <row r="323" customFormat="false" ht="15" hidden="false" customHeight="false" outlineLevel="0" collapsed="false">
      <c r="A323" s="0" t="s">
        <v>61</v>
      </c>
      <c r="B323" s="0" t="s">
        <v>266</v>
      </c>
      <c r="C323" s="0" t="s">
        <v>1264</v>
      </c>
      <c r="D323" s="0" t="s">
        <v>143</v>
      </c>
      <c r="E323" s="0" t="s">
        <v>1279</v>
      </c>
      <c r="F323" s="0" t="n">
        <v>4</v>
      </c>
      <c r="G323" s="0" t="n">
        <v>2</v>
      </c>
      <c r="H323" s="0" t="s">
        <v>585</v>
      </c>
      <c r="I323" s="0" t="s">
        <v>695</v>
      </c>
      <c r="K323" s="0" t="s">
        <v>607</v>
      </c>
      <c r="L323" s="0" t="s">
        <v>1280</v>
      </c>
    </row>
    <row r="324" customFormat="false" ht="15" hidden="false" customHeight="false" outlineLevel="0" collapsed="false">
      <c r="A324" s="0" t="s">
        <v>61</v>
      </c>
      <c r="B324" s="0" t="s">
        <v>266</v>
      </c>
      <c r="C324" s="0" t="s">
        <v>1264</v>
      </c>
      <c r="D324" s="0" t="s">
        <v>146</v>
      </c>
      <c r="E324" s="0" t="s">
        <v>1281</v>
      </c>
      <c r="F324" s="0" t="n">
        <v>4</v>
      </c>
      <c r="G324" s="0" t="n">
        <v>4</v>
      </c>
      <c r="H324" s="0" t="s">
        <v>580</v>
      </c>
      <c r="I324" s="0" t="s">
        <v>619</v>
      </c>
      <c r="K324" s="0" t="s">
        <v>610</v>
      </c>
      <c r="L324" s="0" t="s">
        <v>1282</v>
      </c>
    </row>
    <row r="325" customFormat="false" ht="15" hidden="false" customHeight="false" outlineLevel="0" collapsed="false">
      <c r="A325" s="0" t="s">
        <v>61</v>
      </c>
      <c r="B325" s="0" t="s">
        <v>266</v>
      </c>
      <c r="C325" s="0" t="s">
        <v>1264</v>
      </c>
      <c r="D325" s="0" t="s">
        <v>149</v>
      </c>
      <c r="E325" s="0" t="s">
        <v>1283</v>
      </c>
      <c r="F325" s="0" t="n">
        <v>0</v>
      </c>
      <c r="G325" s="0" t="n">
        <v>3</v>
      </c>
      <c r="H325" s="0" t="s">
        <v>580</v>
      </c>
      <c r="I325" s="0" t="s">
        <v>695</v>
      </c>
      <c r="K325" s="0" t="s">
        <v>613</v>
      </c>
      <c r="L325" s="0" t="s">
        <v>1284</v>
      </c>
    </row>
    <row r="326" customFormat="false" ht="15" hidden="false" customHeight="false" outlineLevel="0" collapsed="false">
      <c r="A326" s="0" t="s">
        <v>61</v>
      </c>
      <c r="B326" s="0" t="s">
        <v>266</v>
      </c>
      <c r="C326" s="0" t="s">
        <v>1264</v>
      </c>
      <c r="D326" s="0" t="s">
        <v>152</v>
      </c>
      <c r="E326" s="0" t="s">
        <v>1285</v>
      </c>
      <c r="F326" s="0" t="n">
        <v>4</v>
      </c>
      <c r="G326" s="0" t="n">
        <v>4</v>
      </c>
      <c r="H326" s="0" t="s">
        <v>580</v>
      </c>
      <c r="I326" s="0" t="s">
        <v>720</v>
      </c>
      <c r="K326" s="0" t="s">
        <v>616</v>
      </c>
      <c r="L326" s="0" t="s">
        <v>1286</v>
      </c>
    </row>
    <row r="327" customFormat="false" ht="15" hidden="false" customHeight="false" outlineLevel="0" collapsed="false">
      <c r="A327" s="0" t="s">
        <v>61</v>
      </c>
      <c r="B327" s="0" t="s">
        <v>266</v>
      </c>
      <c r="C327" s="0" t="s">
        <v>1264</v>
      </c>
      <c r="D327" s="0" t="s">
        <v>155</v>
      </c>
      <c r="E327" s="0" t="s">
        <v>1287</v>
      </c>
      <c r="F327" s="0" t="n">
        <v>4</v>
      </c>
      <c r="G327" s="0" t="n">
        <v>4</v>
      </c>
      <c r="H327" s="0" t="s">
        <v>580</v>
      </c>
      <c r="I327" s="0" t="s">
        <v>732</v>
      </c>
      <c r="K327" s="0" t="s">
        <v>620</v>
      </c>
      <c r="L327" s="0" t="s">
        <v>1288</v>
      </c>
    </row>
    <row r="328" customFormat="false" ht="15" hidden="false" customHeight="false" outlineLevel="0" collapsed="false">
      <c r="A328" s="0" t="s">
        <v>61</v>
      </c>
      <c r="B328" s="0" t="s">
        <v>266</v>
      </c>
      <c r="C328" s="0" t="s">
        <v>1289</v>
      </c>
      <c r="D328" s="0" t="s">
        <v>987</v>
      </c>
      <c r="E328" s="0" t="s">
        <v>1290</v>
      </c>
      <c r="F328" s="0" t="n">
        <v>0</v>
      </c>
      <c r="G328" s="0" t="n">
        <v>0</v>
      </c>
      <c r="H328" s="0" t="s">
        <v>580</v>
      </c>
      <c r="K328" s="0" t="s">
        <v>581</v>
      </c>
      <c r="L328" s="0" t="s">
        <v>1291</v>
      </c>
    </row>
    <row r="329" customFormat="false" ht="15" hidden="false" customHeight="false" outlineLevel="0" collapsed="false">
      <c r="A329" s="0" t="s">
        <v>61</v>
      </c>
      <c r="B329" s="0" t="s">
        <v>266</v>
      </c>
      <c r="C329" s="0" t="s">
        <v>1289</v>
      </c>
      <c r="D329" s="0" t="s">
        <v>990</v>
      </c>
      <c r="E329" s="0" t="s">
        <v>1292</v>
      </c>
      <c r="F329" s="0" t="n">
        <v>4</v>
      </c>
      <c r="G329" s="0" t="n">
        <v>4</v>
      </c>
      <c r="H329" s="0" t="s">
        <v>580</v>
      </c>
      <c r="I329" s="0" t="s">
        <v>720</v>
      </c>
      <c r="K329" s="0" t="s">
        <v>586</v>
      </c>
      <c r="L329" s="0" t="s">
        <v>1293</v>
      </c>
    </row>
    <row r="330" customFormat="false" ht="15" hidden="false" customHeight="false" outlineLevel="0" collapsed="false">
      <c r="A330" s="0" t="s">
        <v>61</v>
      </c>
      <c r="B330" s="0" t="s">
        <v>266</v>
      </c>
      <c r="C330" s="0" t="s">
        <v>1289</v>
      </c>
      <c r="D330" s="0" t="s">
        <v>993</v>
      </c>
      <c r="E330" s="0" t="s">
        <v>1294</v>
      </c>
      <c r="F330" s="0" t="n">
        <v>4</v>
      </c>
      <c r="G330" s="0" t="n">
        <v>3</v>
      </c>
      <c r="H330" s="0" t="s">
        <v>585</v>
      </c>
      <c r="I330" s="0" t="s">
        <v>720</v>
      </c>
      <c r="K330" s="0" t="s">
        <v>590</v>
      </c>
      <c r="L330" s="0" t="s">
        <v>1295</v>
      </c>
    </row>
    <row r="331" customFormat="false" ht="15" hidden="false" customHeight="false" outlineLevel="0" collapsed="false">
      <c r="A331" s="0" t="s">
        <v>61</v>
      </c>
      <c r="B331" s="0" t="s">
        <v>266</v>
      </c>
      <c r="C331" s="0" t="s">
        <v>1289</v>
      </c>
      <c r="D331" s="0" t="s">
        <v>126</v>
      </c>
      <c r="E331" s="0" t="s">
        <v>1296</v>
      </c>
      <c r="F331" s="0" t="n">
        <v>4</v>
      </c>
      <c r="G331" s="0" t="n">
        <v>4</v>
      </c>
      <c r="H331" s="0" t="s">
        <v>580</v>
      </c>
      <c r="I331" s="0" t="s">
        <v>593</v>
      </c>
      <c r="K331" s="0" t="s">
        <v>594</v>
      </c>
      <c r="L331" s="0" t="s">
        <v>1297</v>
      </c>
    </row>
    <row r="332" customFormat="false" ht="15" hidden="false" customHeight="false" outlineLevel="0" collapsed="false">
      <c r="A332" s="0" t="s">
        <v>61</v>
      </c>
      <c r="B332" s="0" t="s">
        <v>266</v>
      </c>
      <c r="C332" s="0" t="s">
        <v>1289</v>
      </c>
      <c r="D332" s="0" t="s">
        <v>129</v>
      </c>
      <c r="E332" s="0" t="s">
        <v>1298</v>
      </c>
      <c r="F332" s="0" t="n">
        <v>4</v>
      </c>
      <c r="G332" s="0" t="n">
        <v>4</v>
      </c>
      <c r="H332" s="0" t="s">
        <v>580</v>
      </c>
      <c r="I332" s="0" t="s">
        <v>695</v>
      </c>
      <c r="K332" s="0" t="s">
        <v>597</v>
      </c>
      <c r="L332" s="0" t="s">
        <v>1299</v>
      </c>
    </row>
    <row r="333" customFormat="false" ht="15" hidden="false" customHeight="false" outlineLevel="0" collapsed="false">
      <c r="A333" s="0" t="s">
        <v>61</v>
      </c>
      <c r="B333" s="0" t="s">
        <v>266</v>
      </c>
      <c r="C333" s="0" t="s">
        <v>1289</v>
      </c>
      <c r="D333" s="0" t="s">
        <v>132</v>
      </c>
      <c r="E333" s="0" t="s">
        <v>1300</v>
      </c>
      <c r="F333" s="0" t="n">
        <v>4</v>
      </c>
      <c r="G333" s="0" t="n">
        <v>4</v>
      </c>
      <c r="H333" s="0" t="s">
        <v>580</v>
      </c>
      <c r="I333" s="0" t="s">
        <v>705</v>
      </c>
      <c r="K333" s="0" t="s">
        <v>600</v>
      </c>
      <c r="L333" s="0" t="s">
        <v>1301</v>
      </c>
    </row>
    <row r="334" customFormat="false" ht="15" hidden="false" customHeight="false" outlineLevel="0" collapsed="false">
      <c r="A334" s="0" t="s">
        <v>61</v>
      </c>
      <c r="B334" s="0" t="s">
        <v>266</v>
      </c>
      <c r="C334" s="0" t="s">
        <v>1289</v>
      </c>
      <c r="D334" s="0" t="s">
        <v>139</v>
      </c>
      <c r="E334" s="0" t="s">
        <v>1302</v>
      </c>
      <c r="F334" s="0" t="n">
        <v>4</v>
      </c>
      <c r="G334" s="0" t="n">
        <v>3</v>
      </c>
      <c r="H334" s="0" t="s">
        <v>585</v>
      </c>
      <c r="I334" s="0" t="s">
        <v>705</v>
      </c>
      <c r="K334" s="0" t="s">
        <v>604</v>
      </c>
      <c r="L334" s="0" t="s">
        <v>1303</v>
      </c>
    </row>
    <row r="335" customFormat="false" ht="15" hidden="false" customHeight="false" outlineLevel="0" collapsed="false">
      <c r="A335" s="0" t="s">
        <v>61</v>
      </c>
      <c r="B335" s="0" t="s">
        <v>266</v>
      </c>
      <c r="C335" s="0" t="s">
        <v>1289</v>
      </c>
      <c r="D335" s="0" t="s">
        <v>143</v>
      </c>
      <c r="E335" s="0" t="s">
        <v>1304</v>
      </c>
      <c r="F335" s="0" t="n">
        <v>4</v>
      </c>
      <c r="G335" s="0" t="n">
        <v>4</v>
      </c>
      <c r="H335" s="0" t="s">
        <v>580</v>
      </c>
      <c r="I335" s="0" t="s">
        <v>653</v>
      </c>
      <c r="K335" s="0" t="s">
        <v>607</v>
      </c>
      <c r="L335" s="0" t="s">
        <v>1305</v>
      </c>
    </row>
    <row r="336" customFormat="false" ht="15" hidden="false" customHeight="false" outlineLevel="0" collapsed="false">
      <c r="A336" s="0" t="s">
        <v>61</v>
      </c>
      <c r="B336" s="0" t="s">
        <v>266</v>
      </c>
      <c r="C336" s="0" t="s">
        <v>1289</v>
      </c>
      <c r="D336" s="0" t="s">
        <v>146</v>
      </c>
      <c r="E336" s="0" t="s">
        <v>1306</v>
      </c>
      <c r="F336" s="0" t="n">
        <v>4</v>
      </c>
      <c r="G336" s="0" t="n">
        <v>4</v>
      </c>
      <c r="H336" s="0" t="s">
        <v>580</v>
      </c>
      <c r="I336" s="0" t="s">
        <v>705</v>
      </c>
      <c r="K336" s="0" t="s">
        <v>610</v>
      </c>
      <c r="L336" s="0" t="s">
        <v>1307</v>
      </c>
    </row>
    <row r="337" customFormat="false" ht="15" hidden="false" customHeight="false" outlineLevel="0" collapsed="false">
      <c r="A337" s="0" t="s">
        <v>61</v>
      </c>
      <c r="B337" s="0" t="s">
        <v>266</v>
      </c>
      <c r="C337" s="0" t="s">
        <v>1289</v>
      </c>
      <c r="D337" s="0" t="s">
        <v>149</v>
      </c>
      <c r="E337" s="0" t="s">
        <v>1308</v>
      </c>
      <c r="F337" s="0" t="n">
        <v>4</v>
      </c>
      <c r="G337" s="0" t="n">
        <v>3</v>
      </c>
      <c r="H337" s="0" t="s">
        <v>585</v>
      </c>
      <c r="I337" s="0" t="s">
        <v>720</v>
      </c>
      <c r="K337" s="0" t="s">
        <v>613</v>
      </c>
      <c r="L337" s="0" t="s">
        <v>1309</v>
      </c>
    </row>
    <row r="338" customFormat="false" ht="15" hidden="false" customHeight="false" outlineLevel="0" collapsed="false">
      <c r="A338" s="0" t="s">
        <v>61</v>
      </c>
      <c r="B338" s="0" t="s">
        <v>266</v>
      </c>
      <c r="C338" s="0" t="s">
        <v>1289</v>
      </c>
      <c r="D338" s="0" t="s">
        <v>152</v>
      </c>
      <c r="E338" s="0" t="s">
        <v>1310</v>
      </c>
      <c r="F338" s="0" t="n">
        <v>4</v>
      </c>
      <c r="G338" s="0" t="n">
        <v>3</v>
      </c>
      <c r="H338" s="0" t="s">
        <v>585</v>
      </c>
      <c r="I338" s="0" t="s">
        <v>630</v>
      </c>
      <c r="K338" s="0" t="s">
        <v>616</v>
      </c>
      <c r="L338" s="0" t="s">
        <v>1311</v>
      </c>
    </row>
    <row r="339" customFormat="false" ht="15" hidden="false" customHeight="false" outlineLevel="0" collapsed="false">
      <c r="A339" s="0" t="s">
        <v>61</v>
      </c>
      <c r="B339" s="0" t="s">
        <v>266</v>
      </c>
      <c r="C339" s="0" t="s">
        <v>1289</v>
      </c>
      <c r="D339" s="0" t="s">
        <v>155</v>
      </c>
      <c r="E339" s="0" t="s">
        <v>1312</v>
      </c>
      <c r="F339" s="0" t="n">
        <v>4</v>
      </c>
      <c r="G339" s="0" t="n">
        <v>4</v>
      </c>
      <c r="H339" s="0" t="s">
        <v>580</v>
      </c>
      <c r="I339" s="0" t="s">
        <v>695</v>
      </c>
      <c r="K339" s="0" t="s">
        <v>620</v>
      </c>
      <c r="L339" s="0" t="s">
        <v>1313</v>
      </c>
    </row>
    <row r="340" customFormat="false" ht="15" hidden="false" customHeight="false" outlineLevel="0" collapsed="false">
      <c r="A340" s="0" t="s">
        <v>61</v>
      </c>
      <c r="B340" s="0" t="s">
        <v>266</v>
      </c>
      <c r="C340" s="0" t="s">
        <v>1314</v>
      </c>
      <c r="D340" s="0" t="s">
        <v>987</v>
      </c>
      <c r="E340" s="0" t="s">
        <v>1315</v>
      </c>
      <c r="F340" s="0" t="n">
        <v>0</v>
      </c>
      <c r="G340" s="0" t="n">
        <v>0</v>
      </c>
      <c r="H340" s="0" t="s">
        <v>580</v>
      </c>
      <c r="K340" s="0" t="s">
        <v>581</v>
      </c>
      <c r="L340" s="0" t="s">
        <v>1316</v>
      </c>
    </row>
    <row r="341" customFormat="false" ht="15" hidden="false" customHeight="false" outlineLevel="0" collapsed="false">
      <c r="A341" s="0" t="s">
        <v>61</v>
      </c>
      <c r="B341" s="0" t="s">
        <v>266</v>
      </c>
      <c r="C341" s="0" t="s">
        <v>1314</v>
      </c>
      <c r="D341" s="0" t="s">
        <v>990</v>
      </c>
      <c r="E341" s="0" t="s">
        <v>1317</v>
      </c>
      <c r="F341" s="0" t="n">
        <v>4</v>
      </c>
      <c r="G341" s="0" t="n">
        <v>4</v>
      </c>
      <c r="H341" s="0" t="s">
        <v>580</v>
      </c>
      <c r="I341" s="0" t="s">
        <v>720</v>
      </c>
      <c r="K341" s="0" t="s">
        <v>586</v>
      </c>
      <c r="L341" s="0" t="s">
        <v>1318</v>
      </c>
    </row>
    <row r="342" customFormat="false" ht="15" hidden="false" customHeight="false" outlineLevel="0" collapsed="false">
      <c r="A342" s="0" t="s">
        <v>61</v>
      </c>
      <c r="B342" s="0" t="s">
        <v>266</v>
      </c>
      <c r="C342" s="0" t="s">
        <v>1314</v>
      </c>
      <c r="D342" s="0" t="s">
        <v>993</v>
      </c>
      <c r="E342" s="0" t="s">
        <v>1319</v>
      </c>
      <c r="F342" s="0" t="n">
        <v>4</v>
      </c>
      <c r="G342" s="0" t="n">
        <v>3</v>
      </c>
      <c r="H342" s="0" t="s">
        <v>585</v>
      </c>
      <c r="I342" s="0" t="s">
        <v>732</v>
      </c>
      <c r="K342" s="0" t="s">
        <v>590</v>
      </c>
      <c r="L342" s="0" t="s">
        <v>1320</v>
      </c>
    </row>
    <row r="343" customFormat="false" ht="15" hidden="false" customHeight="false" outlineLevel="0" collapsed="false">
      <c r="A343" s="0" t="s">
        <v>61</v>
      </c>
      <c r="B343" s="0" t="s">
        <v>266</v>
      </c>
      <c r="C343" s="0" t="s">
        <v>1314</v>
      </c>
      <c r="D343" s="0" t="s">
        <v>126</v>
      </c>
      <c r="E343" s="0" t="s">
        <v>1321</v>
      </c>
      <c r="F343" s="0" t="n">
        <v>4</v>
      </c>
      <c r="G343" s="0" t="n">
        <v>4</v>
      </c>
      <c r="H343" s="0" t="s">
        <v>580</v>
      </c>
      <c r="I343" s="0" t="s">
        <v>695</v>
      </c>
      <c r="K343" s="0" t="s">
        <v>594</v>
      </c>
      <c r="L343" s="0" t="s">
        <v>1322</v>
      </c>
    </row>
    <row r="344" customFormat="false" ht="15" hidden="false" customHeight="false" outlineLevel="0" collapsed="false">
      <c r="A344" s="0" t="s">
        <v>61</v>
      </c>
      <c r="B344" s="0" t="s">
        <v>266</v>
      </c>
      <c r="C344" s="0" t="s">
        <v>1314</v>
      </c>
      <c r="D344" s="0" t="s">
        <v>129</v>
      </c>
      <c r="E344" s="0" t="s">
        <v>1323</v>
      </c>
      <c r="F344" s="0" t="n">
        <v>4</v>
      </c>
      <c r="G344" s="0" t="n">
        <v>4</v>
      </c>
      <c r="H344" s="0" t="s">
        <v>580</v>
      </c>
      <c r="I344" s="0" t="s">
        <v>653</v>
      </c>
      <c r="K344" s="0" t="s">
        <v>597</v>
      </c>
      <c r="L344" s="0" t="s">
        <v>1324</v>
      </c>
    </row>
    <row r="345" customFormat="false" ht="15" hidden="false" customHeight="false" outlineLevel="0" collapsed="false">
      <c r="A345" s="0" t="s">
        <v>61</v>
      </c>
      <c r="B345" s="0" t="s">
        <v>266</v>
      </c>
      <c r="C345" s="0" t="s">
        <v>1314</v>
      </c>
      <c r="D345" s="0" t="s">
        <v>132</v>
      </c>
      <c r="E345" s="0" t="s">
        <v>1325</v>
      </c>
      <c r="F345" s="0" t="n">
        <v>4</v>
      </c>
      <c r="G345" s="0" t="n">
        <v>4</v>
      </c>
      <c r="H345" s="0" t="s">
        <v>580</v>
      </c>
      <c r="I345" s="0" t="s">
        <v>630</v>
      </c>
      <c r="K345" s="0" t="s">
        <v>600</v>
      </c>
      <c r="L345" s="0" t="s">
        <v>1326</v>
      </c>
    </row>
    <row r="346" customFormat="false" ht="15" hidden="false" customHeight="false" outlineLevel="0" collapsed="false">
      <c r="A346" s="0" t="s">
        <v>61</v>
      </c>
      <c r="B346" s="0" t="s">
        <v>266</v>
      </c>
      <c r="C346" s="0" t="s">
        <v>1314</v>
      </c>
      <c r="D346" s="0" t="s">
        <v>139</v>
      </c>
      <c r="E346" s="0" t="s">
        <v>1327</v>
      </c>
      <c r="F346" s="0" t="n">
        <v>4</v>
      </c>
      <c r="G346" s="0" t="n">
        <v>4</v>
      </c>
      <c r="H346" s="0" t="s">
        <v>580</v>
      </c>
      <c r="I346" s="0" t="s">
        <v>619</v>
      </c>
      <c r="K346" s="0" t="s">
        <v>604</v>
      </c>
      <c r="L346" s="0" t="s">
        <v>1328</v>
      </c>
    </row>
    <row r="347" customFormat="false" ht="15" hidden="false" customHeight="false" outlineLevel="0" collapsed="false">
      <c r="A347" s="0" t="s">
        <v>61</v>
      </c>
      <c r="B347" s="0" t="s">
        <v>266</v>
      </c>
      <c r="C347" s="0" t="s">
        <v>1314</v>
      </c>
      <c r="D347" s="0" t="s">
        <v>143</v>
      </c>
      <c r="E347" s="0" t="s">
        <v>1329</v>
      </c>
      <c r="F347" s="0" t="n">
        <v>4</v>
      </c>
      <c r="G347" s="0" t="n">
        <v>4</v>
      </c>
      <c r="H347" s="0" t="s">
        <v>580</v>
      </c>
      <c r="I347" s="0" t="s">
        <v>695</v>
      </c>
      <c r="K347" s="0" t="s">
        <v>607</v>
      </c>
      <c r="L347" s="0" t="s">
        <v>1330</v>
      </c>
    </row>
    <row r="348" customFormat="false" ht="15" hidden="false" customHeight="false" outlineLevel="0" collapsed="false">
      <c r="A348" s="0" t="s">
        <v>61</v>
      </c>
      <c r="B348" s="0" t="s">
        <v>266</v>
      </c>
      <c r="C348" s="0" t="s">
        <v>1314</v>
      </c>
      <c r="D348" s="0" t="s">
        <v>146</v>
      </c>
      <c r="E348" s="0" t="s">
        <v>1331</v>
      </c>
      <c r="F348" s="0" t="n">
        <v>4</v>
      </c>
      <c r="G348" s="0" t="n">
        <v>4</v>
      </c>
      <c r="H348" s="0" t="s">
        <v>580</v>
      </c>
      <c r="I348" s="0" t="s">
        <v>720</v>
      </c>
      <c r="K348" s="0" t="s">
        <v>610</v>
      </c>
      <c r="L348" s="0" t="s">
        <v>1332</v>
      </c>
    </row>
    <row r="349" customFormat="false" ht="15" hidden="false" customHeight="false" outlineLevel="0" collapsed="false">
      <c r="A349" s="0" t="s">
        <v>61</v>
      </c>
      <c r="B349" s="0" t="s">
        <v>266</v>
      </c>
      <c r="C349" s="0" t="s">
        <v>1314</v>
      </c>
      <c r="D349" s="0" t="s">
        <v>149</v>
      </c>
      <c r="E349" s="0" t="s">
        <v>1333</v>
      </c>
      <c r="F349" s="0" t="n">
        <v>4</v>
      </c>
      <c r="G349" s="0" t="n">
        <v>4</v>
      </c>
      <c r="H349" s="0" t="s">
        <v>580</v>
      </c>
      <c r="I349" s="0" t="s">
        <v>705</v>
      </c>
      <c r="K349" s="0" t="s">
        <v>613</v>
      </c>
      <c r="L349" s="0" t="s">
        <v>1334</v>
      </c>
    </row>
    <row r="350" customFormat="false" ht="15" hidden="false" customHeight="false" outlineLevel="0" collapsed="false">
      <c r="A350" s="0" t="s">
        <v>61</v>
      </c>
      <c r="B350" s="0" t="s">
        <v>266</v>
      </c>
      <c r="C350" s="0" t="s">
        <v>1314</v>
      </c>
      <c r="D350" s="0" t="s">
        <v>152</v>
      </c>
      <c r="E350" s="0" t="s">
        <v>1335</v>
      </c>
      <c r="F350" s="0" t="n">
        <v>4</v>
      </c>
      <c r="G350" s="0" t="n">
        <v>4</v>
      </c>
      <c r="H350" s="0" t="s">
        <v>580</v>
      </c>
      <c r="I350" s="0" t="s">
        <v>732</v>
      </c>
      <c r="K350" s="0" t="s">
        <v>616</v>
      </c>
      <c r="L350" s="0" t="s">
        <v>1336</v>
      </c>
    </row>
    <row r="351" customFormat="false" ht="15" hidden="false" customHeight="false" outlineLevel="0" collapsed="false">
      <c r="A351" s="0" t="s">
        <v>61</v>
      </c>
      <c r="B351" s="0" t="s">
        <v>266</v>
      </c>
      <c r="C351" s="0" t="s">
        <v>1314</v>
      </c>
      <c r="D351" s="0" t="s">
        <v>155</v>
      </c>
      <c r="E351" s="0" t="s">
        <v>1337</v>
      </c>
      <c r="F351" s="0" t="n">
        <v>4</v>
      </c>
      <c r="G351" s="0" t="n">
        <v>2</v>
      </c>
      <c r="H351" s="0" t="s">
        <v>585</v>
      </c>
      <c r="I351" s="0" t="s">
        <v>1338</v>
      </c>
      <c r="K351" s="0" t="s">
        <v>620</v>
      </c>
      <c r="L351" s="0" t="s">
        <v>1339</v>
      </c>
    </row>
    <row r="352" customFormat="false" ht="15" hidden="false" customHeight="false" outlineLevel="0" collapsed="false">
      <c r="A352" s="0" t="s">
        <v>61</v>
      </c>
      <c r="C352" s="0" t="s">
        <v>1340</v>
      </c>
      <c r="D352" s="0" t="s">
        <v>987</v>
      </c>
      <c r="E352" s="0" t="s">
        <v>1341</v>
      </c>
      <c r="F352" s="0" t="n">
        <v>0</v>
      </c>
      <c r="G352" s="0" t="n">
        <v>0</v>
      </c>
      <c r="H352" s="0" t="s">
        <v>580</v>
      </c>
      <c r="K352" s="0" t="s">
        <v>581</v>
      </c>
      <c r="L352" s="0" t="s">
        <v>1342</v>
      </c>
    </row>
    <row r="353" customFormat="false" ht="15" hidden="false" customHeight="false" outlineLevel="0" collapsed="false">
      <c r="A353" s="0" t="s">
        <v>61</v>
      </c>
      <c r="C353" s="0" t="s">
        <v>1340</v>
      </c>
      <c r="D353" s="0" t="s">
        <v>990</v>
      </c>
      <c r="E353" s="0" t="s">
        <v>1343</v>
      </c>
      <c r="F353" s="0" t="n">
        <v>4</v>
      </c>
      <c r="G353" s="0" t="n">
        <v>0</v>
      </c>
      <c r="H353" s="0" t="s">
        <v>585</v>
      </c>
      <c r="K353" s="0" t="s">
        <v>586</v>
      </c>
      <c r="L353" s="0" t="s">
        <v>1344</v>
      </c>
    </row>
    <row r="354" customFormat="false" ht="15" hidden="false" customHeight="false" outlineLevel="0" collapsed="false">
      <c r="A354" s="0" t="s">
        <v>61</v>
      </c>
      <c r="C354" s="0" t="s">
        <v>1340</v>
      </c>
      <c r="D354" s="0" t="s">
        <v>993</v>
      </c>
      <c r="E354" s="0" t="s">
        <v>1345</v>
      </c>
      <c r="F354" s="0" t="n">
        <v>4</v>
      </c>
      <c r="G354" s="0" t="n">
        <v>0</v>
      </c>
      <c r="H354" s="0" t="s">
        <v>585</v>
      </c>
      <c r="K354" s="0" t="s">
        <v>590</v>
      </c>
      <c r="L354" s="0" t="s">
        <v>1346</v>
      </c>
    </row>
    <row r="355" customFormat="false" ht="15" hidden="false" customHeight="false" outlineLevel="0" collapsed="false">
      <c r="A355" s="0" t="s">
        <v>61</v>
      </c>
      <c r="C355" s="0" t="s">
        <v>1340</v>
      </c>
      <c r="D355" s="0" t="s">
        <v>126</v>
      </c>
      <c r="E355" s="0" t="s">
        <v>1347</v>
      </c>
      <c r="F355" s="0" t="n">
        <v>4</v>
      </c>
      <c r="G355" s="0" t="n">
        <v>0</v>
      </c>
      <c r="H355" s="0" t="s">
        <v>585</v>
      </c>
      <c r="K355" s="0" t="s">
        <v>594</v>
      </c>
      <c r="L355" s="0" t="s">
        <v>1348</v>
      </c>
    </row>
    <row r="356" customFormat="false" ht="15" hidden="false" customHeight="false" outlineLevel="0" collapsed="false">
      <c r="A356" s="0" t="s">
        <v>61</v>
      </c>
      <c r="C356" s="0" t="s">
        <v>1340</v>
      </c>
      <c r="D356" s="0" t="s">
        <v>129</v>
      </c>
      <c r="E356" s="0" t="s">
        <v>1349</v>
      </c>
      <c r="F356" s="0" t="n">
        <v>4</v>
      </c>
      <c r="G356" s="0" t="n">
        <v>0</v>
      </c>
      <c r="H356" s="0" t="s">
        <v>585</v>
      </c>
      <c r="K356" s="0" t="s">
        <v>597</v>
      </c>
      <c r="L356" s="0" t="s">
        <v>1350</v>
      </c>
    </row>
    <row r="357" customFormat="false" ht="15" hidden="false" customHeight="false" outlineLevel="0" collapsed="false">
      <c r="A357" s="0" t="s">
        <v>61</v>
      </c>
      <c r="C357" s="0" t="s">
        <v>1340</v>
      </c>
      <c r="D357" s="0" t="s">
        <v>132</v>
      </c>
      <c r="E357" s="0" t="s">
        <v>1351</v>
      </c>
      <c r="F357" s="0" t="n">
        <v>0</v>
      </c>
      <c r="G357" s="0" t="n">
        <v>0</v>
      </c>
      <c r="H357" s="0" t="s">
        <v>580</v>
      </c>
      <c r="K357" s="0" t="s">
        <v>600</v>
      </c>
      <c r="L357" s="0" t="s">
        <v>1352</v>
      </c>
    </row>
    <row r="358" customFormat="false" ht="15" hidden="false" customHeight="false" outlineLevel="0" collapsed="false">
      <c r="A358" s="0" t="s">
        <v>61</v>
      </c>
      <c r="C358" s="0" t="s">
        <v>1340</v>
      </c>
      <c r="D358" s="0" t="s">
        <v>139</v>
      </c>
      <c r="E358" s="0" t="s">
        <v>1353</v>
      </c>
      <c r="F358" s="0" t="n">
        <v>4</v>
      </c>
      <c r="G358" s="0" t="n">
        <v>0</v>
      </c>
      <c r="H358" s="0" t="s">
        <v>585</v>
      </c>
      <c r="K358" s="0" t="s">
        <v>604</v>
      </c>
      <c r="L358" s="0" t="s">
        <v>1354</v>
      </c>
    </row>
    <row r="359" customFormat="false" ht="15" hidden="false" customHeight="false" outlineLevel="0" collapsed="false">
      <c r="A359" s="0" t="s">
        <v>61</v>
      </c>
      <c r="B359" s="0" t="s">
        <v>345</v>
      </c>
      <c r="C359" s="0" t="s">
        <v>1340</v>
      </c>
      <c r="D359" s="0" t="s">
        <v>143</v>
      </c>
      <c r="E359" s="0" t="s">
        <v>1355</v>
      </c>
      <c r="F359" s="0" t="n">
        <v>4</v>
      </c>
      <c r="G359" s="0" t="n">
        <v>3</v>
      </c>
      <c r="H359" s="0" t="s">
        <v>585</v>
      </c>
      <c r="I359" s="0" t="s">
        <v>695</v>
      </c>
      <c r="K359" s="0" t="s">
        <v>607</v>
      </c>
      <c r="L359" s="0" t="s">
        <v>1356</v>
      </c>
    </row>
    <row r="360" customFormat="false" ht="15" hidden="false" customHeight="false" outlineLevel="0" collapsed="false">
      <c r="A360" s="0" t="s">
        <v>61</v>
      </c>
      <c r="B360" s="0" t="s">
        <v>266</v>
      </c>
      <c r="C360" s="0" t="s">
        <v>1340</v>
      </c>
      <c r="D360" s="0" t="s">
        <v>146</v>
      </c>
      <c r="E360" s="0" t="s">
        <v>1357</v>
      </c>
      <c r="F360" s="0" t="n">
        <v>4</v>
      </c>
      <c r="G360" s="0" t="n">
        <v>4</v>
      </c>
      <c r="H360" s="0" t="s">
        <v>580</v>
      </c>
      <c r="I360" s="0" t="s">
        <v>720</v>
      </c>
      <c r="K360" s="0" t="s">
        <v>610</v>
      </c>
      <c r="L360" s="0" t="s">
        <v>1358</v>
      </c>
    </row>
    <row r="361" customFormat="false" ht="15" hidden="false" customHeight="false" outlineLevel="0" collapsed="false">
      <c r="A361" s="0" t="s">
        <v>61</v>
      </c>
      <c r="B361" s="0" t="s">
        <v>266</v>
      </c>
      <c r="C361" s="0" t="s">
        <v>1340</v>
      </c>
      <c r="D361" s="0" t="s">
        <v>149</v>
      </c>
      <c r="E361" s="0" t="s">
        <v>1359</v>
      </c>
      <c r="F361" s="0" t="n">
        <v>4</v>
      </c>
      <c r="G361" s="0" t="n">
        <v>4</v>
      </c>
      <c r="H361" s="0" t="s">
        <v>580</v>
      </c>
      <c r="I361" s="0" t="s">
        <v>619</v>
      </c>
      <c r="K361" s="0" t="s">
        <v>613</v>
      </c>
      <c r="L361" s="0" t="s">
        <v>1360</v>
      </c>
    </row>
    <row r="362" customFormat="false" ht="15" hidden="false" customHeight="false" outlineLevel="0" collapsed="false">
      <c r="A362" s="0" t="s">
        <v>61</v>
      </c>
      <c r="B362" s="0" t="s">
        <v>266</v>
      </c>
      <c r="C362" s="0" t="s">
        <v>1340</v>
      </c>
      <c r="D362" s="0" t="s">
        <v>152</v>
      </c>
      <c r="E362" s="0" t="s">
        <v>1361</v>
      </c>
      <c r="F362" s="0" t="n">
        <v>4</v>
      </c>
      <c r="G362" s="0" t="n">
        <v>2</v>
      </c>
      <c r="H362" s="0" t="s">
        <v>585</v>
      </c>
      <c r="I362" s="0" t="s">
        <v>695</v>
      </c>
      <c r="K362" s="0" t="s">
        <v>616</v>
      </c>
      <c r="L362" s="0" t="s">
        <v>1362</v>
      </c>
    </row>
    <row r="363" customFormat="false" ht="15" hidden="false" customHeight="false" outlineLevel="0" collapsed="false">
      <c r="A363" s="0" t="s">
        <v>61</v>
      </c>
      <c r="B363" s="0" t="s">
        <v>266</v>
      </c>
      <c r="C363" s="0" t="s">
        <v>1340</v>
      </c>
      <c r="D363" s="0" t="s">
        <v>155</v>
      </c>
      <c r="E363" s="0" t="s">
        <v>1363</v>
      </c>
      <c r="F363" s="0" t="n">
        <v>4</v>
      </c>
      <c r="G363" s="0" t="n">
        <v>4</v>
      </c>
      <c r="H363" s="0" t="s">
        <v>580</v>
      </c>
      <c r="I363" s="0" t="s">
        <v>593</v>
      </c>
      <c r="K363" s="0" t="s">
        <v>620</v>
      </c>
      <c r="L363" s="0" t="s">
        <v>1364</v>
      </c>
    </row>
    <row r="364" customFormat="false" ht="15" hidden="false" customHeight="false" outlineLevel="0" collapsed="false">
      <c r="A364" s="0" t="s">
        <v>61</v>
      </c>
      <c r="C364" s="0" t="s">
        <v>1365</v>
      </c>
      <c r="D364" s="0" t="s">
        <v>987</v>
      </c>
      <c r="E364" s="0" t="s">
        <v>1366</v>
      </c>
      <c r="F364" s="0" t="n">
        <v>0</v>
      </c>
      <c r="G364" s="0" t="n">
        <v>0</v>
      </c>
      <c r="H364" s="0" t="s">
        <v>580</v>
      </c>
      <c r="K364" s="0" t="s">
        <v>581</v>
      </c>
      <c r="L364" s="0" t="s">
        <v>1367</v>
      </c>
    </row>
    <row r="365" customFormat="false" ht="15" hidden="false" customHeight="false" outlineLevel="0" collapsed="false">
      <c r="A365" s="0" t="s">
        <v>61</v>
      </c>
      <c r="C365" s="0" t="s">
        <v>1365</v>
      </c>
      <c r="D365" s="0" t="s">
        <v>990</v>
      </c>
      <c r="E365" s="0" t="s">
        <v>1368</v>
      </c>
      <c r="F365" s="0" t="n">
        <v>4</v>
      </c>
      <c r="G365" s="0" t="n">
        <v>0</v>
      </c>
      <c r="H365" s="0" t="s">
        <v>585</v>
      </c>
      <c r="K365" s="0" t="s">
        <v>586</v>
      </c>
      <c r="L365" s="0" t="s">
        <v>1369</v>
      </c>
    </row>
    <row r="366" customFormat="false" ht="15" hidden="false" customHeight="false" outlineLevel="0" collapsed="false">
      <c r="A366" s="0" t="s">
        <v>61</v>
      </c>
      <c r="C366" s="0" t="s">
        <v>1365</v>
      </c>
      <c r="D366" s="0" t="s">
        <v>993</v>
      </c>
      <c r="E366" s="0" t="s">
        <v>1370</v>
      </c>
      <c r="F366" s="0" t="n">
        <v>4</v>
      </c>
      <c r="G366" s="0" t="n">
        <v>0</v>
      </c>
      <c r="H366" s="0" t="s">
        <v>585</v>
      </c>
      <c r="K366" s="0" t="s">
        <v>590</v>
      </c>
      <c r="L366" s="0" t="s">
        <v>1371</v>
      </c>
    </row>
    <row r="367" customFormat="false" ht="15" hidden="false" customHeight="false" outlineLevel="0" collapsed="false">
      <c r="A367" s="0" t="s">
        <v>61</v>
      </c>
      <c r="C367" s="0" t="s">
        <v>1365</v>
      </c>
      <c r="D367" s="0" t="s">
        <v>126</v>
      </c>
      <c r="E367" s="0" t="s">
        <v>1372</v>
      </c>
      <c r="F367" s="0" t="n">
        <v>4</v>
      </c>
      <c r="G367" s="0" t="n">
        <v>0</v>
      </c>
      <c r="H367" s="0" t="s">
        <v>585</v>
      </c>
      <c r="K367" s="0" t="s">
        <v>594</v>
      </c>
      <c r="L367" s="0" t="s">
        <v>1373</v>
      </c>
    </row>
    <row r="368" customFormat="false" ht="15" hidden="false" customHeight="false" outlineLevel="0" collapsed="false">
      <c r="A368" s="0" t="s">
        <v>61</v>
      </c>
      <c r="C368" s="0" t="s">
        <v>1365</v>
      </c>
      <c r="D368" s="0" t="s">
        <v>129</v>
      </c>
      <c r="E368" s="0" t="s">
        <v>1374</v>
      </c>
      <c r="F368" s="0" t="n">
        <v>4</v>
      </c>
      <c r="G368" s="0" t="n">
        <v>0</v>
      </c>
      <c r="H368" s="0" t="s">
        <v>585</v>
      </c>
      <c r="K368" s="0" t="s">
        <v>597</v>
      </c>
      <c r="L368" s="0" t="s">
        <v>1375</v>
      </c>
    </row>
    <row r="369" customFormat="false" ht="15" hidden="false" customHeight="false" outlineLevel="0" collapsed="false">
      <c r="A369" s="0" t="s">
        <v>61</v>
      </c>
      <c r="C369" s="0" t="s">
        <v>1365</v>
      </c>
      <c r="D369" s="0" t="s">
        <v>132</v>
      </c>
      <c r="E369" s="0" t="s">
        <v>1376</v>
      </c>
      <c r="F369" s="0" t="n">
        <v>0</v>
      </c>
      <c r="G369" s="0" t="n">
        <v>0</v>
      </c>
      <c r="H369" s="0" t="s">
        <v>580</v>
      </c>
      <c r="K369" s="0" t="s">
        <v>600</v>
      </c>
      <c r="L369" s="0" t="s">
        <v>1377</v>
      </c>
    </row>
    <row r="370" customFormat="false" ht="15" hidden="false" customHeight="false" outlineLevel="0" collapsed="false">
      <c r="A370" s="0" t="s">
        <v>61</v>
      </c>
      <c r="C370" s="0" t="s">
        <v>1365</v>
      </c>
      <c r="D370" s="0" t="s">
        <v>139</v>
      </c>
      <c r="E370" s="0" t="s">
        <v>1378</v>
      </c>
      <c r="F370" s="0" t="n">
        <v>4</v>
      </c>
      <c r="G370" s="0" t="n">
        <v>0</v>
      </c>
      <c r="H370" s="0" t="s">
        <v>585</v>
      </c>
      <c r="K370" s="0" t="s">
        <v>604</v>
      </c>
      <c r="L370" s="0" t="s">
        <v>1379</v>
      </c>
    </row>
    <row r="371" customFormat="false" ht="15" hidden="false" customHeight="false" outlineLevel="0" collapsed="false">
      <c r="A371" s="0" t="s">
        <v>61</v>
      </c>
      <c r="B371" s="0" t="s">
        <v>345</v>
      </c>
      <c r="C371" s="0" t="s">
        <v>1365</v>
      </c>
      <c r="D371" s="0" t="s">
        <v>143</v>
      </c>
      <c r="E371" s="0" t="s">
        <v>1380</v>
      </c>
      <c r="F371" s="0" t="n">
        <v>4</v>
      </c>
      <c r="G371" s="0" t="n">
        <v>3</v>
      </c>
      <c r="H371" s="0" t="s">
        <v>585</v>
      </c>
      <c r="I371" s="0" t="s">
        <v>641</v>
      </c>
      <c r="K371" s="0" t="s">
        <v>607</v>
      </c>
      <c r="L371" s="0" t="s">
        <v>1381</v>
      </c>
    </row>
    <row r="372" customFormat="false" ht="15" hidden="false" customHeight="false" outlineLevel="0" collapsed="false">
      <c r="A372" s="0" t="s">
        <v>61</v>
      </c>
      <c r="C372" s="0" t="s">
        <v>1365</v>
      </c>
      <c r="D372" s="0" t="s">
        <v>146</v>
      </c>
      <c r="E372" s="0" t="s">
        <v>1382</v>
      </c>
      <c r="F372" s="0" t="n">
        <v>4</v>
      </c>
      <c r="G372" s="0" t="n">
        <v>0</v>
      </c>
      <c r="H372" s="0" t="s">
        <v>585</v>
      </c>
      <c r="K372" s="0" t="s">
        <v>610</v>
      </c>
      <c r="L372" s="0" t="s">
        <v>1383</v>
      </c>
    </row>
    <row r="373" customFormat="false" ht="15" hidden="false" customHeight="false" outlineLevel="0" collapsed="false">
      <c r="A373" s="0" t="s">
        <v>61</v>
      </c>
      <c r="B373" s="0" t="s">
        <v>345</v>
      </c>
      <c r="C373" s="0" t="s">
        <v>1365</v>
      </c>
      <c r="D373" s="0" t="s">
        <v>149</v>
      </c>
      <c r="E373" s="0" t="s">
        <v>1384</v>
      </c>
      <c r="F373" s="0" t="n">
        <v>4</v>
      </c>
      <c r="G373" s="0" t="n">
        <v>2</v>
      </c>
      <c r="H373" s="0" t="s">
        <v>585</v>
      </c>
      <c r="I373" s="0" t="s">
        <v>593</v>
      </c>
      <c r="K373" s="0" t="s">
        <v>613</v>
      </c>
      <c r="L373" s="0" t="s">
        <v>1385</v>
      </c>
    </row>
    <row r="374" customFormat="false" ht="15" hidden="false" customHeight="false" outlineLevel="0" collapsed="false">
      <c r="A374" s="0" t="s">
        <v>61</v>
      </c>
      <c r="B374" s="0" t="s">
        <v>266</v>
      </c>
      <c r="C374" s="0" t="s">
        <v>1365</v>
      </c>
      <c r="D374" s="0" t="s">
        <v>152</v>
      </c>
      <c r="E374" s="0" t="s">
        <v>1386</v>
      </c>
      <c r="F374" s="0" t="n">
        <v>4</v>
      </c>
      <c r="G374" s="0" t="n">
        <v>4</v>
      </c>
      <c r="H374" s="0" t="s">
        <v>580</v>
      </c>
      <c r="I374" s="0" t="s">
        <v>641</v>
      </c>
      <c r="K374" s="0" t="s">
        <v>616</v>
      </c>
      <c r="L374" s="0" t="s">
        <v>1387</v>
      </c>
    </row>
    <row r="375" customFormat="false" ht="15" hidden="false" customHeight="false" outlineLevel="0" collapsed="false">
      <c r="A375" s="0" t="s">
        <v>61</v>
      </c>
      <c r="B375" s="0" t="s">
        <v>345</v>
      </c>
      <c r="C375" s="0" t="s">
        <v>1365</v>
      </c>
      <c r="D375" s="0" t="s">
        <v>155</v>
      </c>
      <c r="E375" s="0" t="s">
        <v>1388</v>
      </c>
      <c r="F375" s="0" t="n">
        <v>4</v>
      </c>
      <c r="G375" s="0" t="n">
        <v>4</v>
      </c>
      <c r="H375" s="0" t="s">
        <v>580</v>
      </c>
      <c r="I375" s="0" t="s">
        <v>720</v>
      </c>
      <c r="K375" s="0" t="s">
        <v>620</v>
      </c>
      <c r="L375" s="0" t="s">
        <v>1389</v>
      </c>
    </row>
    <row r="376" customFormat="false" ht="15" hidden="false" customHeight="false" outlineLevel="0" collapsed="false">
      <c r="A376" s="0" t="s">
        <v>61</v>
      </c>
      <c r="C376" s="0" t="s">
        <v>1390</v>
      </c>
      <c r="D376" s="0" t="s">
        <v>987</v>
      </c>
      <c r="E376" s="0" t="s">
        <v>1391</v>
      </c>
      <c r="F376" s="0" t="n">
        <v>0</v>
      </c>
      <c r="G376" s="0" t="n">
        <v>0</v>
      </c>
      <c r="H376" s="0" t="s">
        <v>580</v>
      </c>
      <c r="K376" s="0" t="s">
        <v>581</v>
      </c>
      <c r="L376" s="0" t="s">
        <v>1392</v>
      </c>
    </row>
    <row r="377" customFormat="false" ht="15" hidden="false" customHeight="false" outlineLevel="0" collapsed="false">
      <c r="A377" s="0" t="s">
        <v>61</v>
      </c>
      <c r="C377" s="0" t="s">
        <v>1390</v>
      </c>
      <c r="D377" s="0" t="s">
        <v>990</v>
      </c>
      <c r="E377" s="0" t="s">
        <v>1393</v>
      </c>
      <c r="F377" s="0" t="n">
        <v>4</v>
      </c>
      <c r="G377" s="0" t="n">
        <v>0</v>
      </c>
      <c r="H377" s="0" t="s">
        <v>585</v>
      </c>
      <c r="K377" s="0" t="s">
        <v>586</v>
      </c>
      <c r="L377" s="0" t="s">
        <v>1394</v>
      </c>
    </row>
    <row r="378" customFormat="false" ht="15" hidden="false" customHeight="false" outlineLevel="0" collapsed="false">
      <c r="A378" s="0" t="s">
        <v>61</v>
      </c>
      <c r="C378" s="0" t="s">
        <v>1390</v>
      </c>
      <c r="D378" s="0" t="s">
        <v>993</v>
      </c>
      <c r="E378" s="0" t="s">
        <v>1395</v>
      </c>
      <c r="F378" s="0" t="n">
        <v>4</v>
      </c>
      <c r="G378" s="0" t="n">
        <v>0</v>
      </c>
      <c r="H378" s="0" t="s">
        <v>585</v>
      </c>
      <c r="K378" s="0" t="s">
        <v>590</v>
      </c>
      <c r="L378" s="0" t="s">
        <v>1396</v>
      </c>
    </row>
    <row r="379" customFormat="false" ht="15" hidden="false" customHeight="false" outlineLevel="0" collapsed="false">
      <c r="A379" s="0" t="s">
        <v>61</v>
      </c>
      <c r="C379" s="0" t="s">
        <v>1390</v>
      </c>
      <c r="D379" s="0" t="s">
        <v>126</v>
      </c>
      <c r="E379" s="0" t="s">
        <v>1397</v>
      </c>
      <c r="F379" s="0" t="n">
        <v>4</v>
      </c>
      <c r="G379" s="0" t="n">
        <v>0</v>
      </c>
      <c r="H379" s="0" t="s">
        <v>585</v>
      </c>
      <c r="K379" s="0" t="s">
        <v>594</v>
      </c>
      <c r="L379" s="0" t="s">
        <v>1398</v>
      </c>
    </row>
    <row r="380" customFormat="false" ht="15" hidden="false" customHeight="false" outlineLevel="0" collapsed="false">
      <c r="A380" s="0" t="s">
        <v>61</v>
      </c>
      <c r="C380" s="0" t="s">
        <v>1390</v>
      </c>
      <c r="D380" s="0" t="s">
        <v>129</v>
      </c>
      <c r="E380" s="0" t="s">
        <v>1399</v>
      </c>
      <c r="F380" s="0" t="n">
        <v>4</v>
      </c>
      <c r="G380" s="0" t="n">
        <v>0</v>
      </c>
      <c r="H380" s="0" t="s">
        <v>585</v>
      </c>
      <c r="K380" s="0" t="s">
        <v>597</v>
      </c>
      <c r="L380" s="0" t="s">
        <v>1400</v>
      </c>
    </row>
    <row r="381" customFormat="false" ht="15" hidden="false" customHeight="false" outlineLevel="0" collapsed="false">
      <c r="A381" s="0" t="s">
        <v>61</v>
      </c>
      <c r="C381" s="0" t="s">
        <v>1390</v>
      </c>
      <c r="D381" s="0" t="s">
        <v>132</v>
      </c>
      <c r="E381" s="0" t="s">
        <v>1401</v>
      </c>
      <c r="F381" s="0" t="n">
        <v>4</v>
      </c>
      <c r="G381" s="0" t="n">
        <v>0</v>
      </c>
      <c r="H381" s="0" t="s">
        <v>585</v>
      </c>
      <c r="K381" s="0" t="s">
        <v>600</v>
      </c>
      <c r="L381" s="0" t="s">
        <v>1402</v>
      </c>
    </row>
    <row r="382" customFormat="false" ht="15" hidden="false" customHeight="false" outlineLevel="0" collapsed="false">
      <c r="A382" s="0" t="s">
        <v>61</v>
      </c>
      <c r="B382" s="0" t="s">
        <v>345</v>
      </c>
      <c r="C382" s="0" t="s">
        <v>1390</v>
      </c>
      <c r="D382" s="0" t="s">
        <v>139</v>
      </c>
      <c r="E382" s="0" t="s">
        <v>1403</v>
      </c>
      <c r="F382" s="0" t="n">
        <v>4</v>
      </c>
      <c r="G382" s="0" t="n">
        <v>3</v>
      </c>
      <c r="H382" s="0" t="s">
        <v>585</v>
      </c>
      <c r="I382" s="0" t="s">
        <v>732</v>
      </c>
      <c r="K382" s="0" t="s">
        <v>604</v>
      </c>
      <c r="L382" s="0" t="s">
        <v>1404</v>
      </c>
    </row>
    <row r="383" customFormat="false" ht="15" hidden="false" customHeight="false" outlineLevel="0" collapsed="false">
      <c r="A383" s="0" t="s">
        <v>61</v>
      </c>
      <c r="C383" s="0" t="s">
        <v>1390</v>
      </c>
      <c r="D383" s="0" t="s">
        <v>143</v>
      </c>
      <c r="E383" s="0" t="s">
        <v>1405</v>
      </c>
      <c r="F383" s="0" t="n">
        <v>4</v>
      </c>
      <c r="G383" s="0" t="n">
        <v>0</v>
      </c>
      <c r="H383" s="0" t="s">
        <v>585</v>
      </c>
      <c r="K383" s="0" t="s">
        <v>607</v>
      </c>
      <c r="L383" s="0" t="s">
        <v>1406</v>
      </c>
    </row>
    <row r="384" customFormat="false" ht="15" hidden="false" customHeight="false" outlineLevel="0" collapsed="false">
      <c r="A384" s="0" t="s">
        <v>61</v>
      </c>
      <c r="C384" s="0" t="s">
        <v>1390</v>
      </c>
      <c r="D384" s="0" t="s">
        <v>146</v>
      </c>
      <c r="E384" s="0" t="s">
        <v>1407</v>
      </c>
      <c r="F384" s="0" t="n">
        <v>4</v>
      </c>
      <c r="G384" s="0" t="n">
        <v>0</v>
      </c>
      <c r="H384" s="0" t="s">
        <v>585</v>
      </c>
      <c r="K384" s="0" t="s">
        <v>610</v>
      </c>
      <c r="L384" s="0" t="s">
        <v>1408</v>
      </c>
    </row>
    <row r="385" customFormat="false" ht="15" hidden="false" customHeight="false" outlineLevel="0" collapsed="false">
      <c r="A385" s="0" t="s">
        <v>61</v>
      </c>
      <c r="B385" s="0" t="s">
        <v>266</v>
      </c>
      <c r="C385" s="0" t="s">
        <v>1390</v>
      </c>
      <c r="D385" s="0" t="s">
        <v>149</v>
      </c>
      <c r="E385" s="0" t="s">
        <v>1409</v>
      </c>
      <c r="F385" s="0" t="n">
        <v>4</v>
      </c>
      <c r="G385" s="0" t="n">
        <v>4</v>
      </c>
      <c r="H385" s="0" t="s">
        <v>580</v>
      </c>
      <c r="I385" s="0" t="s">
        <v>653</v>
      </c>
      <c r="K385" s="0" t="s">
        <v>613</v>
      </c>
      <c r="L385" s="0" t="s">
        <v>1410</v>
      </c>
    </row>
    <row r="386" customFormat="false" ht="15" hidden="false" customHeight="false" outlineLevel="0" collapsed="false">
      <c r="A386" s="0" t="s">
        <v>61</v>
      </c>
      <c r="B386" s="0" t="s">
        <v>266</v>
      </c>
      <c r="C386" s="0" t="s">
        <v>1390</v>
      </c>
      <c r="D386" s="0" t="s">
        <v>152</v>
      </c>
      <c r="E386" s="0" t="s">
        <v>1411</v>
      </c>
      <c r="F386" s="0" t="n">
        <v>4</v>
      </c>
      <c r="G386" s="0" t="n">
        <v>4</v>
      </c>
      <c r="H386" s="0" t="s">
        <v>580</v>
      </c>
      <c r="I386" s="0" t="s">
        <v>593</v>
      </c>
      <c r="K386" s="0" t="s">
        <v>616</v>
      </c>
      <c r="L386" s="0" t="s">
        <v>1412</v>
      </c>
    </row>
    <row r="387" customFormat="false" ht="15" hidden="false" customHeight="false" outlineLevel="0" collapsed="false">
      <c r="A387" s="0" t="s">
        <v>61</v>
      </c>
      <c r="B387" s="0" t="s">
        <v>266</v>
      </c>
      <c r="C387" s="0" t="s">
        <v>1390</v>
      </c>
      <c r="D387" s="0" t="s">
        <v>155</v>
      </c>
      <c r="E387" s="0" t="s">
        <v>1413</v>
      </c>
      <c r="F387" s="0" t="n">
        <v>4</v>
      </c>
      <c r="G387" s="0" t="n">
        <v>4</v>
      </c>
      <c r="H387" s="0" t="s">
        <v>580</v>
      </c>
      <c r="I387" s="0" t="s">
        <v>653</v>
      </c>
      <c r="K387" s="0" t="s">
        <v>620</v>
      </c>
      <c r="L387" s="0" t="s">
        <v>1414</v>
      </c>
    </row>
    <row r="388" customFormat="false" ht="15" hidden="false" customHeight="false" outlineLevel="0" collapsed="false">
      <c r="A388" s="0" t="s">
        <v>61</v>
      </c>
      <c r="C388" s="0" t="s">
        <v>1415</v>
      </c>
      <c r="D388" s="0" t="s">
        <v>987</v>
      </c>
      <c r="E388" s="0" t="s">
        <v>1416</v>
      </c>
      <c r="F388" s="0" t="n">
        <v>0</v>
      </c>
      <c r="G388" s="0" t="n">
        <v>0</v>
      </c>
      <c r="H388" s="0" t="s">
        <v>580</v>
      </c>
      <c r="K388" s="0" t="s">
        <v>581</v>
      </c>
      <c r="L388" s="0" t="s">
        <v>1417</v>
      </c>
    </row>
    <row r="389" customFormat="false" ht="15" hidden="false" customHeight="false" outlineLevel="0" collapsed="false">
      <c r="A389" s="0" t="s">
        <v>61</v>
      </c>
      <c r="C389" s="0" t="s">
        <v>1415</v>
      </c>
      <c r="D389" s="0" t="s">
        <v>990</v>
      </c>
      <c r="E389" s="0" t="s">
        <v>1418</v>
      </c>
      <c r="F389" s="0" t="n">
        <v>4</v>
      </c>
      <c r="G389" s="0" t="n">
        <v>0</v>
      </c>
      <c r="H389" s="0" t="s">
        <v>585</v>
      </c>
      <c r="K389" s="0" t="s">
        <v>586</v>
      </c>
      <c r="L389" s="0" t="s">
        <v>1419</v>
      </c>
    </row>
    <row r="390" customFormat="false" ht="15" hidden="false" customHeight="false" outlineLevel="0" collapsed="false">
      <c r="A390" s="0" t="s">
        <v>61</v>
      </c>
      <c r="C390" s="0" t="s">
        <v>1415</v>
      </c>
      <c r="D390" s="0" t="s">
        <v>993</v>
      </c>
      <c r="E390" s="0" t="s">
        <v>1420</v>
      </c>
      <c r="F390" s="0" t="n">
        <v>4</v>
      </c>
      <c r="G390" s="0" t="n">
        <v>0</v>
      </c>
      <c r="H390" s="0" t="s">
        <v>585</v>
      </c>
      <c r="K390" s="0" t="s">
        <v>590</v>
      </c>
      <c r="L390" s="0" t="s">
        <v>1421</v>
      </c>
    </row>
    <row r="391" customFormat="false" ht="15" hidden="false" customHeight="false" outlineLevel="0" collapsed="false">
      <c r="A391" s="0" t="s">
        <v>61</v>
      </c>
      <c r="C391" s="0" t="s">
        <v>1415</v>
      </c>
      <c r="D391" s="0" t="s">
        <v>126</v>
      </c>
      <c r="E391" s="0" t="s">
        <v>1422</v>
      </c>
      <c r="F391" s="0" t="n">
        <v>4</v>
      </c>
      <c r="G391" s="0" t="n">
        <v>0</v>
      </c>
      <c r="H391" s="0" t="s">
        <v>585</v>
      </c>
      <c r="K391" s="0" t="s">
        <v>594</v>
      </c>
      <c r="L391" s="0" t="s">
        <v>1423</v>
      </c>
    </row>
    <row r="392" customFormat="false" ht="15" hidden="false" customHeight="false" outlineLevel="0" collapsed="false">
      <c r="A392" s="0" t="s">
        <v>61</v>
      </c>
      <c r="C392" s="0" t="s">
        <v>1415</v>
      </c>
      <c r="D392" s="0" t="s">
        <v>129</v>
      </c>
      <c r="E392" s="0" t="s">
        <v>1424</v>
      </c>
      <c r="F392" s="0" t="n">
        <v>4</v>
      </c>
      <c r="G392" s="0" t="n">
        <v>0</v>
      </c>
      <c r="H392" s="0" t="s">
        <v>585</v>
      </c>
      <c r="K392" s="0" t="s">
        <v>597</v>
      </c>
      <c r="L392" s="0" t="s">
        <v>1425</v>
      </c>
    </row>
    <row r="393" customFormat="false" ht="15" hidden="false" customHeight="false" outlineLevel="0" collapsed="false">
      <c r="A393" s="0" t="s">
        <v>61</v>
      </c>
      <c r="C393" s="0" t="s">
        <v>1415</v>
      </c>
      <c r="D393" s="0" t="s">
        <v>132</v>
      </c>
      <c r="E393" s="0" t="s">
        <v>1426</v>
      </c>
      <c r="F393" s="0" t="n">
        <v>4</v>
      </c>
      <c r="G393" s="0" t="n">
        <v>0</v>
      </c>
      <c r="H393" s="0" t="s">
        <v>585</v>
      </c>
      <c r="K393" s="0" t="s">
        <v>600</v>
      </c>
      <c r="L393" s="0" t="s">
        <v>1427</v>
      </c>
    </row>
    <row r="394" customFormat="false" ht="15" hidden="false" customHeight="false" outlineLevel="0" collapsed="false">
      <c r="A394" s="0" t="s">
        <v>61</v>
      </c>
      <c r="B394" s="0" t="s">
        <v>345</v>
      </c>
      <c r="C394" s="0" t="s">
        <v>1415</v>
      </c>
      <c r="D394" s="0" t="s">
        <v>139</v>
      </c>
      <c r="E394" s="0" t="s">
        <v>1428</v>
      </c>
      <c r="F394" s="0" t="n">
        <v>4</v>
      </c>
      <c r="G394" s="0" t="n">
        <v>2</v>
      </c>
      <c r="H394" s="0" t="s">
        <v>585</v>
      </c>
      <c r="I394" s="0" t="s">
        <v>653</v>
      </c>
      <c r="K394" s="0" t="s">
        <v>604</v>
      </c>
      <c r="L394" s="0" t="s">
        <v>1429</v>
      </c>
    </row>
    <row r="395" customFormat="false" ht="15" hidden="false" customHeight="false" outlineLevel="0" collapsed="false">
      <c r="A395" s="0" t="s">
        <v>61</v>
      </c>
      <c r="B395" s="0" t="s">
        <v>266</v>
      </c>
      <c r="C395" s="0" t="s">
        <v>1415</v>
      </c>
      <c r="D395" s="0" t="s">
        <v>143</v>
      </c>
      <c r="E395" s="0" t="s">
        <v>1430</v>
      </c>
      <c r="F395" s="0" t="n">
        <v>4</v>
      </c>
      <c r="G395" s="0" t="n">
        <v>4</v>
      </c>
      <c r="H395" s="0" t="s">
        <v>580</v>
      </c>
      <c r="I395" s="0" t="s">
        <v>732</v>
      </c>
      <c r="K395" s="0" t="s">
        <v>607</v>
      </c>
      <c r="L395" s="0" t="s">
        <v>1431</v>
      </c>
    </row>
    <row r="396" customFormat="false" ht="15" hidden="false" customHeight="false" outlineLevel="0" collapsed="false">
      <c r="A396" s="0" t="s">
        <v>61</v>
      </c>
      <c r="C396" s="0" t="s">
        <v>1415</v>
      </c>
      <c r="D396" s="0" t="s">
        <v>146</v>
      </c>
      <c r="E396" s="0" t="s">
        <v>1432</v>
      </c>
      <c r="F396" s="0" t="n">
        <v>0</v>
      </c>
      <c r="G396" s="0" t="n">
        <v>0</v>
      </c>
      <c r="H396" s="0" t="s">
        <v>580</v>
      </c>
      <c r="K396" s="0" t="s">
        <v>610</v>
      </c>
      <c r="L396" s="0" t="s">
        <v>1433</v>
      </c>
    </row>
    <row r="397" customFormat="false" ht="15" hidden="false" customHeight="false" outlineLevel="0" collapsed="false">
      <c r="A397" s="0" t="s">
        <v>61</v>
      </c>
      <c r="B397" s="0" t="s">
        <v>266</v>
      </c>
      <c r="C397" s="0" t="s">
        <v>1415</v>
      </c>
      <c r="D397" s="0" t="s">
        <v>149</v>
      </c>
      <c r="E397" s="0" t="s">
        <v>1434</v>
      </c>
      <c r="F397" s="0" t="n">
        <v>0</v>
      </c>
      <c r="G397" s="0" t="n">
        <v>4</v>
      </c>
      <c r="H397" s="0" t="s">
        <v>580</v>
      </c>
      <c r="I397" s="0" t="s">
        <v>653</v>
      </c>
      <c r="K397" s="0" t="s">
        <v>613</v>
      </c>
      <c r="L397" s="0" t="s">
        <v>1435</v>
      </c>
    </row>
    <row r="398" customFormat="false" ht="15" hidden="false" customHeight="false" outlineLevel="0" collapsed="false">
      <c r="A398" s="0" t="s">
        <v>61</v>
      </c>
      <c r="B398" s="0" t="s">
        <v>266</v>
      </c>
      <c r="C398" s="0" t="s">
        <v>1415</v>
      </c>
      <c r="D398" s="0" t="s">
        <v>152</v>
      </c>
      <c r="E398" s="0" t="s">
        <v>1436</v>
      </c>
      <c r="F398" s="0" t="n">
        <v>0</v>
      </c>
      <c r="G398" s="0" t="n">
        <v>4</v>
      </c>
      <c r="H398" s="0" t="s">
        <v>580</v>
      </c>
      <c r="I398" s="0" t="s">
        <v>653</v>
      </c>
      <c r="K398" s="0" t="s">
        <v>616</v>
      </c>
      <c r="L398" s="0" t="s">
        <v>1437</v>
      </c>
    </row>
    <row r="399" customFormat="false" ht="15" hidden="false" customHeight="false" outlineLevel="0" collapsed="false">
      <c r="A399" s="0" t="s">
        <v>61</v>
      </c>
      <c r="B399" s="0" t="s">
        <v>266</v>
      </c>
      <c r="C399" s="0" t="s">
        <v>1415</v>
      </c>
      <c r="D399" s="0" t="s">
        <v>155</v>
      </c>
      <c r="E399" s="0" t="s">
        <v>1438</v>
      </c>
      <c r="F399" s="0" t="n">
        <v>0</v>
      </c>
      <c r="G399" s="0" t="n">
        <v>4</v>
      </c>
      <c r="H399" s="0" t="s">
        <v>580</v>
      </c>
      <c r="I399" s="0" t="s">
        <v>732</v>
      </c>
      <c r="K399" s="0" t="s">
        <v>620</v>
      </c>
      <c r="L399" s="0" t="s">
        <v>1439</v>
      </c>
    </row>
    <row r="400" customFormat="false" ht="15" hidden="false" customHeight="false" outlineLevel="0" collapsed="false">
      <c r="A400" s="0" t="s">
        <v>61</v>
      </c>
      <c r="C400" s="0" t="s">
        <v>1440</v>
      </c>
      <c r="D400" s="0" t="s">
        <v>987</v>
      </c>
      <c r="E400" s="0" t="s">
        <v>1441</v>
      </c>
      <c r="F400" s="0" t="n">
        <v>0</v>
      </c>
      <c r="G400" s="0" t="n">
        <v>0</v>
      </c>
      <c r="H400" s="0" t="s">
        <v>580</v>
      </c>
      <c r="K400" s="0" t="s">
        <v>581</v>
      </c>
      <c r="L400" s="0" t="s">
        <v>1442</v>
      </c>
    </row>
    <row r="401" customFormat="false" ht="15" hidden="false" customHeight="false" outlineLevel="0" collapsed="false">
      <c r="A401" s="0" t="s">
        <v>61</v>
      </c>
      <c r="C401" s="0" t="s">
        <v>1440</v>
      </c>
      <c r="D401" s="0" t="s">
        <v>990</v>
      </c>
      <c r="E401" s="0" t="s">
        <v>1443</v>
      </c>
      <c r="F401" s="0" t="n">
        <v>4</v>
      </c>
      <c r="G401" s="0" t="n">
        <v>0</v>
      </c>
      <c r="H401" s="0" t="s">
        <v>585</v>
      </c>
      <c r="K401" s="0" t="s">
        <v>586</v>
      </c>
      <c r="L401" s="0" t="s">
        <v>1444</v>
      </c>
    </row>
    <row r="402" customFormat="false" ht="15" hidden="false" customHeight="false" outlineLevel="0" collapsed="false">
      <c r="A402" s="0" t="s">
        <v>61</v>
      </c>
      <c r="C402" s="0" t="s">
        <v>1440</v>
      </c>
      <c r="D402" s="0" t="s">
        <v>993</v>
      </c>
      <c r="E402" s="0" t="s">
        <v>1445</v>
      </c>
      <c r="F402" s="0" t="n">
        <v>4</v>
      </c>
      <c r="G402" s="0" t="n">
        <v>0</v>
      </c>
      <c r="H402" s="0" t="s">
        <v>585</v>
      </c>
      <c r="K402" s="0" t="s">
        <v>590</v>
      </c>
      <c r="L402" s="0" t="s">
        <v>1446</v>
      </c>
    </row>
    <row r="403" customFormat="false" ht="15" hidden="false" customHeight="false" outlineLevel="0" collapsed="false">
      <c r="A403" s="0" t="s">
        <v>61</v>
      </c>
      <c r="C403" s="0" t="s">
        <v>1440</v>
      </c>
      <c r="D403" s="0" t="s">
        <v>126</v>
      </c>
      <c r="E403" s="0" t="s">
        <v>1447</v>
      </c>
      <c r="F403" s="0" t="n">
        <v>4</v>
      </c>
      <c r="G403" s="0" t="n">
        <v>0</v>
      </c>
      <c r="H403" s="0" t="s">
        <v>585</v>
      </c>
      <c r="K403" s="0" t="s">
        <v>594</v>
      </c>
      <c r="L403" s="0" t="s">
        <v>1448</v>
      </c>
    </row>
    <row r="404" customFormat="false" ht="15" hidden="false" customHeight="false" outlineLevel="0" collapsed="false">
      <c r="A404" s="0" t="s">
        <v>61</v>
      </c>
      <c r="B404" s="0" t="s">
        <v>266</v>
      </c>
      <c r="C404" s="0" t="s">
        <v>1440</v>
      </c>
      <c r="D404" s="0" t="s">
        <v>129</v>
      </c>
      <c r="E404" s="0" t="s">
        <v>1449</v>
      </c>
      <c r="F404" s="0" t="n">
        <v>4</v>
      </c>
      <c r="G404" s="0" t="n">
        <v>4</v>
      </c>
      <c r="H404" s="0" t="s">
        <v>580</v>
      </c>
      <c r="I404" s="0" t="s">
        <v>603</v>
      </c>
      <c r="K404" s="0" t="s">
        <v>597</v>
      </c>
      <c r="L404" s="0" t="s">
        <v>1450</v>
      </c>
    </row>
    <row r="405" customFormat="false" ht="15" hidden="false" customHeight="false" outlineLevel="0" collapsed="false">
      <c r="A405" s="0" t="s">
        <v>61</v>
      </c>
      <c r="C405" s="0" t="s">
        <v>1440</v>
      </c>
      <c r="D405" s="0" t="s">
        <v>132</v>
      </c>
      <c r="E405" s="0" t="s">
        <v>1451</v>
      </c>
      <c r="F405" s="0" t="n">
        <v>4</v>
      </c>
      <c r="G405" s="0" t="n">
        <v>0</v>
      </c>
      <c r="H405" s="0" t="s">
        <v>585</v>
      </c>
      <c r="K405" s="0" t="s">
        <v>600</v>
      </c>
      <c r="L405" s="0" t="s">
        <v>1452</v>
      </c>
    </row>
    <row r="406" customFormat="false" ht="15" hidden="false" customHeight="false" outlineLevel="0" collapsed="false">
      <c r="A406" s="0" t="s">
        <v>61</v>
      </c>
      <c r="B406" s="0" t="s">
        <v>266</v>
      </c>
      <c r="C406" s="0" t="s">
        <v>1440</v>
      </c>
      <c r="D406" s="0" t="s">
        <v>139</v>
      </c>
      <c r="E406" s="0" t="s">
        <v>1453</v>
      </c>
      <c r="F406" s="0" t="n">
        <v>4</v>
      </c>
      <c r="G406" s="0" t="n">
        <v>4</v>
      </c>
      <c r="H406" s="0" t="s">
        <v>580</v>
      </c>
      <c r="I406" s="0" t="s">
        <v>695</v>
      </c>
      <c r="K406" s="0" t="s">
        <v>604</v>
      </c>
      <c r="L406" s="0" t="s">
        <v>1454</v>
      </c>
    </row>
    <row r="407" customFormat="false" ht="15" hidden="false" customHeight="false" outlineLevel="0" collapsed="false">
      <c r="A407" s="0" t="s">
        <v>61</v>
      </c>
      <c r="B407" s="0" t="s">
        <v>266</v>
      </c>
      <c r="C407" s="0" t="s">
        <v>1440</v>
      </c>
      <c r="D407" s="0" t="s">
        <v>143</v>
      </c>
      <c r="E407" s="0" t="s">
        <v>1455</v>
      </c>
      <c r="F407" s="0" t="n">
        <v>4</v>
      </c>
      <c r="G407" s="0" t="n">
        <v>3</v>
      </c>
      <c r="H407" s="0" t="s">
        <v>585</v>
      </c>
      <c r="I407" s="0" t="s">
        <v>732</v>
      </c>
      <c r="K407" s="0" t="s">
        <v>607</v>
      </c>
      <c r="L407" s="0" t="s">
        <v>1456</v>
      </c>
    </row>
    <row r="408" customFormat="false" ht="15" hidden="false" customHeight="false" outlineLevel="0" collapsed="false">
      <c r="A408" s="0" t="s">
        <v>61</v>
      </c>
      <c r="B408" s="0" t="s">
        <v>345</v>
      </c>
      <c r="C408" s="0" t="s">
        <v>1440</v>
      </c>
      <c r="D408" s="0" t="s">
        <v>146</v>
      </c>
      <c r="E408" s="0" t="s">
        <v>1457</v>
      </c>
      <c r="F408" s="0" t="n">
        <v>4</v>
      </c>
      <c r="G408" s="0" t="n">
        <v>4</v>
      </c>
      <c r="H408" s="0" t="s">
        <v>580</v>
      </c>
      <c r="I408" s="0" t="s">
        <v>653</v>
      </c>
      <c r="K408" s="0" t="s">
        <v>610</v>
      </c>
      <c r="L408" s="0" t="s">
        <v>1458</v>
      </c>
    </row>
    <row r="409" customFormat="false" ht="15" hidden="false" customHeight="false" outlineLevel="0" collapsed="false">
      <c r="A409" s="0" t="s">
        <v>61</v>
      </c>
      <c r="B409" s="0" t="s">
        <v>266</v>
      </c>
      <c r="C409" s="0" t="s">
        <v>1440</v>
      </c>
      <c r="D409" s="0" t="s">
        <v>149</v>
      </c>
      <c r="E409" s="0" t="s">
        <v>1459</v>
      </c>
      <c r="F409" s="0" t="n">
        <v>4</v>
      </c>
      <c r="G409" s="0" t="n">
        <v>4</v>
      </c>
      <c r="H409" s="0" t="s">
        <v>580</v>
      </c>
      <c r="I409" s="0" t="s">
        <v>619</v>
      </c>
      <c r="K409" s="0" t="s">
        <v>613</v>
      </c>
      <c r="L409" s="0" t="s">
        <v>1460</v>
      </c>
    </row>
    <row r="410" customFormat="false" ht="15" hidden="false" customHeight="false" outlineLevel="0" collapsed="false">
      <c r="A410" s="0" t="s">
        <v>61</v>
      </c>
      <c r="B410" s="0" t="s">
        <v>266</v>
      </c>
      <c r="C410" s="0" t="s">
        <v>1440</v>
      </c>
      <c r="D410" s="0" t="s">
        <v>152</v>
      </c>
      <c r="E410" s="0" t="s">
        <v>1461</v>
      </c>
      <c r="F410" s="0" t="n">
        <v>4</v>
      </c>
      <c r="G410" s="0" t="n">
        <v>4</v>
      </c>
      <c r="H410" s="0" t="s">
        <v>580</v>
      </c>
      <c r="I410" s="0" t="s">
        <v>653</v>
      </c>
      <c r="K410" s="0" t="s">
        <v>616</v>
      </c>
      <c r="L410" s="0" t="s">
        <v>1462</v>
      </c>
    </row>
    <row r="411" customFormat="false" ht="15" hidden="false" customHeight="false" outlineLevel="0" collapsed="false">
      <c r="A411" s="0" t="s">
        <v>61</v>
      </c>
      <c r="B411" s="0" t="s">
        <v>345</v>
      </c>
      <c r="C411" s="0" t="s">
        <v>1440</v>
      </c>
      <c r="D411" s="0" t="s">
        <v>155</v>
      </c>
      <c r="E411" s="0" t="s">
        <v>1463</v>
      </c>
      <c r="F411" s="0" t="n">
        <v>4</v>
      </c>
      <c r="G411" s="0" t="n">
        <v>4</v>
      </c>
      <c r="H411" s="0" t="s">
        <v>580</v>
      </c>
      <c r="I411" s="0" t="s">
        <v>695</v>
      </c>
      <c r="K411" s="0" t="s">
        <v>620</v>
      </c>
      <c r="L411" s="0" t="s">
        <v>1464</v>
      </c>
    </row>
    <row r="412" customFormat="false" ht="15" hidden="false" customHeight="false" outlineLevel="0" collapsed="false">
      <c r="A412" s="0" t="s">
        <v>61</v>
      </c>
      <c r="C412" s="0" t="s">
        <v>1465</v>
      </c>
      <c r="D412" s="0" t="s">
        <v>987</v>
      </c>
      <c r="E412" s="0" t="s">
        <v>1466</v>
      </c>
      <c r="F412" s="0" t="n">
        <v>0</v>
      </c>
      <c r="G412" s="0" t="n">
        <v>0</v>
      </c>
      <c r="H412" s="0" t="s">
        <v>580</v>
      </c>
      <c r="K412" s="0" t="s">
        <v>581</v>
      </c>
      <c r="L412" s="0" t="s">
        <v>1467</v>
      </c>
    </row>
    <row r="413" customFormat="false" ht="15" hidden="false" customHeight="false" outlineLevel="0" collapsed="false">
      <c r="A413" s="0" t="s">
        <v>61</v>
      </c>
      <c r="B413" s="0" t="s">
        <v>345</v>
      </c>
      <c r="C413" s="0" t="s">
        <v>1465</v>
      </c>
      <c r="D413" s="0" t="s">
        <v>990</v>
      </c>
      <c r="E413" s="0" t="s">
        <v>1468</v>
      </c>
      <c r="F413" s="0" t="n">
        <v>4</v>
      </c>
      <c r="G413" s="0" t="n">
        <v>4</v>
      </c>
      <c r="H413" s="0" t="s">
        <v>580</v>
      </c>
      <c r="I413" s="0" t="s">
        <v>653</v>
      </c>
      <c r="K413" s="0" t="s">
        <v>586</v>
      </c>
      <c r="L413" s="0" t="s">
        <v>1469</v>
      </c>
    </row>
    <row r="414" customFormat="false" ht="15" hidden="false" customHeight="false" outlineLevel="0" collapsed="false">
      <c r="A414" s="0" t="s">
        <v>61</v>
      </c>
      <c r="B414" s="0" t="s">
        <v>345</v>
      </c>
      <c r="C414" s="0" t="s">
        <v>1465</v>
      </c>
      <c r="D414" s="0" t="s">
        <v>993</v>
      </c>
      <c r="E414" s="0" t="s">
        <v>1470</v>
      </c>
      <c r="F414" s="0" t="n">
        <v>4</v>
      </c>
      <c r="G414" s="0" t="n">
        <v>4</v>
      </c>
      <c r="H414" s="0" t="s">
        <v>580</v>
      </c>
      <c r="I414" s="0" t="s">
        <v>593</v>
      </c>
      <c r="K414" s="0" t="s">
        <v>590</v>
      </c>
      <c r="L414" s="0" t="s">
        <v>1471</v>
      </c>
    </row>
    <row r="415" customFormat="false" ht="15" hidden="false" customHeight="false" outlineLevel="0" collapsed="false">
      <c r="A415" s="0" t="s">
        <v>61</v>
      </c>
      <c r="B415" s="0" t="s">
        <v>266</v>
      </c>
      <c r="C415" s="0" t="s">
        <v>1465</v>
      </c>
      <c r="D415" s="0" t="s">
        <v>126</v>
      </c>
      <c r="E415" s="0" t="s">
        <v>1472</v>
      </c>
      <c r="F415" s="0" t="n">
        <v>4</v>
      </c>
      <c r="G415" s="0" t="n">
        <v>4</v>
      </c>
      <c r="H415" s="0" t="s">
        <v>580</v>
      </c>
      <c r="I415" s="0" t="s">
        <v>653</v>
      </c>
      <c r="K415" s="0" t="s">
        <v>594</v>
      </c>
      <c r="L415" s="0" t="s">
        <v>1473</v>
      </c>
    </row>
    <row r="416" customFormat="false" ht="15" hidden="false" customHeight="false" outlineLevel="0" collapsed="false">
      <c r="A416" s="0" t="s">
        <v>61</v>
      </c>
      <c r="B416" s="0" t="s">
        <v>266</v>
      </c>
      <c r="C416" s="0" t="s">
        <v>1465</v>
      </c>
      <c r="D416" s="0" t="s">
        <v>129</v>
      </c>
      <c r="E416" s="0" t="s">
        <v>1474</v>
      </c>
      <c r="F416" s="0" t="n">
        <v>4</v>
      </c>
      <c r="G416" s="0" t="n">
        <v>4</v>
      </c>
      <c r="H416" s="0" t="s">
        <v>580</v>
      </c>
      <c r="I416" s="0" t="s">
        <v>619</v>
      </c>
      <c r="K416" s="0" t="s">
        <v>597</v>
      </c>
      <c r="L416" s="0" t="s">
        <v>1475</v>
      </c>
    </row>
    <row r="417" customFormat="false" ht="15" hidden="false" customHeight="false" outlineLevel="0" collapsed="false">
      <c r="A417" s="0" t="s">
        <v>61</v>
      </c>
      <c r="B417" s="0" t="s">
        <v>266</v>
      </c>
      <c r="C417" s="0" t="s">
        <v>1465</v>
      </c>
      <c r="D417" s="0" t="s">
        <v>132</v>
      </c>
      <c r="E417" s="0" t="s">
        <v>1476</v>
      </c>
      <c r="F417" s="0" t="n">
        <v>4</v>
      </c>
      <c r="G417" s="0" t="n">
        <v>4</v>
      </c>
      <c r="H417" s="0" t="s">
        <v>580</v>
      </c>
      <c r="I417" s="0" t="s">
        <v>653</v>
      </c>
      <c r="K417" s="0" t="s">
        <v>600</v>
      </c>
      <c r="L417" s="0" t="s">
        <v>1477</v>
      </c>
    </row>
    <row r="418" customFormat="false" ht="15" hidden="false" customHeight="false" outlineLevel="0" collapsed="false">
      <c r="A418" s="0" t="s">
        <v>61</v>
      </c>
      <c r="B418" s="0" t="s">
        <v>345</v>
      </c>
      <c r="C418" s="0" t="s">
        <v>1465</v>
      </c>
      <c r="D418" s="0" t="s">
        <v>139</v>
      </c>
      <c r="E418" s="0" t="s">
        <v>1478</v>
      </c>
      <c r="F418" s="0" t="n">
        <v>4</v>
      </c>
      <c r="G418" s="0" t="n">
        <v>3</v>
      </c>
      <c r="H418" s="0" t="s">
        <v>585</v>
      </c>
      <c r="I418" s="0" t="s">
        <v>732</v>
      </c>
      <c r="K418" s="0" t="s">
        <v>604</v>
      </c>
      <c r="L418" s="0" t="s">
        <v>1479</v>
      </c>
    </row>
    <row r="419" customFormat="false" ht="15" hidden="false" customHeight="false" outlineLevel="0" collapsed="false">
      <c r="A419" s="0" t="s">
        <v>61</v>
      </c>
      <c r="B419" s="0" t="s">
        <v>345</v>
      </c>
      <c r="C419" s="0" t="s">
        <v>1465</v>
      </c>
      <c r="D419" s="0" t="s">
        <v>143</v>
      </c>
      <c r="E419" s="0" t="s">
        <v>1480</v>
      </c>
      <c r="F419" s="0" t="n">
        <v>4</v>
      </c>
      <c r="G419" s="0" t="n">
        <v>4</v>
      </c>
      <c r="H419" s="0" t="s">
        <v>580</v>
      </c>
      <c r="I419" s="0" t="s">
        <v>705</v>
      </c>
      <c r="K419" s="0" t="s">
        <v>607</v>
      </c>
      <c r="L419" s="0" t="s">
        <v>1481</v>
      </c>
    </row>
    <row r="420" customFormat="false" ht="15" hidden="false" customHeight="false" outlineLevel="0" collapsed="false">
      <c r="A420" s="0" t="s">
        <v>61</v>
      </c>
      <c r="B420" s="0" t="s">
        <v>266</v>
      </c>
      <c r="C420" s="0" t="s">
        <v>1465</v>
      </c>
      <c r="D420" s="0" t="s">
        <v>146</v>
      </c>
      <c r="E420" s="0" t="s">
        <v>1482</v>
      </c>
      <c r="F420" s="0" t="n">
        <v>4</v>
      </c>
      <c r="G420" s="0" t="n">
        <v>3</v>
      </c>
      <c r="H420" s="0" t="s">
        <v>585</v>
      </c>
      <c r="I420" s="0" t="s">
        <v>619</v>
      </c>
      <c r="K420" s="0" t="s">
        <v>610</v>
      </c>
      <c r="L420" s="0" t="s">
        <v>1483</v>
      </c>
    </row>
    <row r="421" customFormat="false" ht="15" hidden="false" customHeight="false" outlineLevel="0" collapsed="false">
      <c r="A421" s="0" t="s">
        <v>61</v>
      </c>
      <c r="B421" s="0" t="s">
        <v>266</v>
      </c>
      <c r="C421" s="0" t="s">
        <v>1465</v>
      </c>
      <c r="D421" s="0" t="s">
        <v>149</v>
      </c>
      <c r="E421" s="0" t="s">
        <v>1484</v>
      </c>
      <c r="F421" s="0" t="n">
        <v>4</v>
      </c>
      <c r="G421" s="0" t="n">
        <v>4</v>
      </c>
      <c r="H421" s="0" t="s">
        <v>580</v>
      </c>
      <c r="I421" s="0" t="s">
        <v>593</v>
      </c>
      <c r="K421" s="0" t="s">
        <v>613</v>
      </c>
      <c r="L421" s="0" t="s">
        <v>1485</v>
      </c>
    </row>
    <row r="422" customFormat="false" ht="15" hidden="false" customHeight="false" outlineLevel="0" collapsed="false">
      <c r="A422" s="0" t="s">
        <v>61</v>
      </c>
      <c r="B422" s="0" t="s">
        <v>266</v>
      </c>
      <c r="C422" s="0" t="s">
        <v>1465</v>
      </c>
      <c r="D422" s="0" t="s">
        <v>152</v>
      </c>
      <c r="E422" s="0" t="s">
        <v>1486</v>
      </c>
      <c r="F422" s="0" t="n">
        <v>4</v>
      </c>
      <c r="G422" s="0" t="n">
        <v>4</v>
      </c>
      <c r="H422" s="0" t="s">
        <v>580</v>
      </c>
      <c r="I422" s="0" t="s">
        <v>732</v>
      </c>
      <c r="K422" s="0" t="s">
        <v>616</v>
      </c>
      <c r="L422" s="0" t="s">
        <v>1487</v>
      </c>
    </row>
    <row r="423" customFormat="false" ht="15" hidden="false" customHeight="false" outlineLevel="0" collapsed="false">
      <c r="A423" s="0" t="s">
        <v>61</v>
      </c>
      <c r="B423" s="0" t="s">
        <v>345</v>
      </c>
      <c r="C423" s="0" t="s">
        <v>1465</v>
      </c>
      <c r="D423" s="0" t="s">
        <v>155</v>
      </c>
      <c r="E423" s="0" t="s">
        <v>1488</v>
      </c>
      <c r="F423" s="0" t="n">
        <v>4</v>
      </c>
      <c r="G423" s="0" t="n">
        <v>3</v>
      </c>
      <c r="H423" s="0" t="s">
        <v>585</v>
      </c>
      <c r="I423" s="0" t="s">
        <v>705</v>
      </c>
      <c r="K423" s="0" t="s">
        <v>620</v>
      </c>
      <c r="L423" s="0" t="s">
        <v>1489</v>
      </c>
    </row>
    <row r="424" customFormat="false" ht="15" hidden="false" customHeight="false" outlineLevel="0" collapsed="false">
      <c r="A424" s="0" t="s">
        <v>61</v>
      </c>
      <c r="C424" s="0" t="s">
        <v>1490</v>
      </c>
      <c r="D424" s="0" t="s">
        <v>987</v>
      </c>
      <c r="E424" s="0" t="s">
        <v>1491</v>
      </c>
      <c r="F424" s="0" t="n">
        <v>0</v>
      </c>
      <c r="G424" s="0" t="n">
        <v>0</v>
      </c>
      <c r="H424" s="0" t="s">
        <v>580</v>
      </c>
      <c r="K424" s="0" t="s">
        <v>581</v>
      </c>
      <c r="L424" s="0" t="s">
        <v>1492</v>
      </c>
    </row>
    <row r="425" customFormat="false" ht="15" hidden="false" customHeight="false" outlineLevel="0" collapsed="false">
      <c r="A425" s="0" t="s">
        <v>61</v>
      </c>
      <c r="B425" s="0" t="s">
        <v>345</v>
      </c>
      <c r="C425" s="0" t="s">
        <v>1490</v>
      </c>
      <c r="D425" s="0" t="s">
        <v>990</v>
      </c>
      <c r="E425" s="0" t="s">
        <v>1493</v>
      </c>
      <c r="F425" s="0" t="n">
        <v>4</v>
      </c>
      <c r="G425" s="0" t="n">
        <v>4</v>
      </c>
      <c r="H425" s="0" t="s">
        <v>580</v>
      </c>
      <c r="I425" s="0" t="s">
        <v>695</v>
      </c>
      <c r="K425" s="0" t="s">
        <v>586</v>
      </c>
      <c r="L425" s="0" t="s">
        <v>1494</v>
      </c>
    </row>
    <row r="426" customFormat="false" ht="15" hidden="false" customHeight="false" outlineLevel="0" collapsed="false">
      <c r="A426" s="0" t="s">
        <v>61</v>
      </c>
      <c r="B426" s="0" t="s">
        <v>345</v>
      </c>
      <c r="C426" s="0" t="s">
        <v>1490</v>
      </c>
      <c r="D426" s="0" t="s">
        <v>993</v>
      </c>
      <c r="E426" s="0" t="s">
        <v>1495</v>
      </c>
      <c r="F426" s="0" t="n">
        <v>4</v>
      </c>
      <c r="G426" s="0" t="n">
        <v>4</v>
      </c>
      <c r="H426" s="0" t="s">
        <v>580</v>
      </c>
      <c r="I426" s="0" t="s">
        <v>593</v>
      </c>
      <c r="K426" s="0" t="s">
        <v>590</v>
      </c>
      <c r="L426" s="0" t="s">
        <v>1496</v>
      </c>
    </row>
    <row r="427" customFormat="false" ht="15" hidden="false" customHeight="false" outlineLevel="0" collapsed="false">
      <c r="A427" s="0" t="s">
        <v>61</v>
      </c>
      <c r="B427" s="0" t="s">
        <v>266</v>
      </c>
      <c r="C427" s="0" t="s">
        <v>1490</v>
      </c>
      <c r="D427" s="0" t="s">
        <v>126</v>
      </c>
      <c r="E427" s="0" t="s">
        <v>1497</v>
      </c>
      <c r="F427" s="0" t="n">
        <v>4</v>
      </c>
      <c r="G427" s="0" t="n">
        <v>4</v>
      </c>
      <c r="H427" s="0" t="s">
        <v>580</v>
      </c>
      <c r="I427" s="0" t="s">
        <v>619</v>
      </c>
      <c r="K427" s="0" t="s">
        <v>594</v>
      </c>
      <c r="L427" s="0" t="s">
        <v>1498</v>
      </c>
    </row>
    <row r="428" customFormat="false" ht="15" hidden="false" customHeight="false" outlineLevel="0" collapsed="false">
      <c r="A428" s="0" t="s">
        <v>61</v>
      </c>
      <c r="B428" s="0" t="s">
        <v>345</v>
      </c>
      <c r="C428" s="0" t="s">
        <v>1490</v>
      </c>
      <c r="D428" s="0" t="s">
        <v>129</v>
      </c>
      <c r="E428" s="0" t="s">
        <v>1499</v>
      </c>
      <c r="F428" s="0" t="n">
        <v>4</v>
      </c>
      <c r="G428" s="0" t="n">
        <v>3</v>
      </c>
      <c r="H428" s="0" t="s">
        <v>585</v>
      </c>
      <c r="I428" s="0" t="s">
        <v>720</v>
      </c>
      <c r="K428" s="0" t="s">
        <v>597</v>
      </c>
      <c r="L428" s="0" t="s">
        <v>1500</v>
      </c>
    </row>
    <row r="429" customFormat="false" ht="15" hidden="false" customHeight="false" outlineLevel="0" collapsed="false">
      <c r="A429" s="0" t="s">
        <v>61</v>
      </c>
      <c r="C429" s="0" t="s">
        <v>1490</v>
      </c>
      <c r="D429" s="0" t="s">
        <v>132</v>
      </c>
      <c r="E429" s="0" t="s">
        <v>1501</v>
      </c>
      <c r="F429" s="0" t="n">
        <v>4</v>
      </c>
      <c r="G429" s="0" t="n">
        <v>0</v>
      </c>
      <c r="H429" s="0" t="s">
        <v>585</v>
      </c>
      <c r="K429" s="0" t="s">
        <v>600</v>
      </c>
      <c r="L429" s="0" t="s">
        <v>1502</v>
      </c>
    </row>
    <row r="430" customFormat="false" ht="15" hidden="false" customHeight="false" outlineLevel="0" collapsed="false">
      <c r="A430" s="0" t="s">
        <v>61</v>
      </c>
      <c r="B430" s="0" t="s">
        <v>266</v>
      </c>
      <c r="C430" s="0" t="s">
        <v>1490</v>
      </c>
      <c r="D430" s="0" t="s">
        <v>139</v>
      </c>
      <c r="E430" s="0" t="s">
        <v>1503</v>
      </c>
      <c r="F430" s="0" t="n">
        <v>4</v>
      </c>
      <c r="G430" s="0" t="n">
        <v>4</v>
      </c>
      <c r="H430" s="0" t="s">
        <v>580</v>
      </c>
      <c r="I430" s="0" t="s">
        <v>593</v>
      </c>
      <c r="K430" s="0" t="s">
        <v>604</v>
      </c>
      <c r="L430" s="0" t="s">
        <v>1504</v>
      </c>
    </row>
    <row r="431" customFormat="false" ht="15" hidden="false" customHeight="false" outlineLevel="0" collapsed="false">
      <c r="A431" s="0" t="s">
        <v>61</v>
      </c>
      <c r="B431" s="0" t="s">
        <v>266</v>
      </c>
      <c r="C431" s="0" t="s">
        <v>1490</v>
      </c>
      <c r="D431" s="0" t="s">
        <v>143</v>
      </c>
      <c r="E431" s="0" t="s">
        <v>1505</v>
      </c>
      <c r="F431" s="0" t="n">
        <v>4</v>
      </c>
      <c r="G431" s="0" t="n">
        <v>4</v>
      </c>
      <c r="H431" s="0" t="s">
        <v>580</v>
      </c>
      <c r="I431" s="0" t="s">
        <v>653</v>
      </c>
      <c r="K431" s="0" t="s">
        <v>607</v>
      </c>
      <c r="L431" s="0" t="s">
        <v>1506</v>
      </c>
    </row>
    <row r="432" customFormat="false" ht="15" hidden="false" customHeight="false" outlineLevel="0" collapsed="false">
      <c r="A432" s="0" t="s">
        <v>61</v>
      </c>
      <c r="B432" s="0" t="s">
        <v>345</v>
      </c>
      <c r="C432" s="0" t="s">
        <v>1490</v>
      </c>
      <c r="D432" s="0" t="s">
        <v>146</v>
      </c>
      <c r="E432" s="0" t="s">
        <v>1507</v>
      </c>
      <c r="F432" s="0" t="n">
        <v>4</v>
      </c>
      <c r="G432" s="0" t="n">
        <v>4</v>
      </c>
      <c r="H432" s="0" t="s">
        <v>580</v>
      </c>
      <c r="I432" s="0" t="s">
        <v>695</v>
      </c>
      <c r="K432" s="0" t="s">
        <v>610</v>
      </c>
      <c r="L432" s="0" t="s">
        <v>1508</v>
      </c>
    </row>
    <row r="433" customFormat="false" ht="15" hidden="false" customHeight="false" outlineLevel="0" collapsed="false">
      <c r="A433" s="0" t="s">
        <v>61</v>
      </c>
      <c r="B433" s="0" t="s">
        <v>266</v>
      </c>
      <c r="C433" s="0" t="s">
        <v>1490</v>
      </c>
      <c r="D433" s="0" t="s">
        <v>149</v>
      </c>
      <c r="E433" s="0" t="s">
        <v>1509</v>
      </c>
      <c r="F433" s="0" t="n">
        <v>4</v>
      </c>
      <c r="G433" s="0" t="n">
        <v>4</v>
      </c>
      <c r="H433" s="0" t="s">
        <v>580</v>
      </c>
      <c r="I433" s="0" t="s">
        <v>732</v>
      </c>
      <c r="K433" s="0" t="s">
        <v>613</v>
      </c>
      <c r="L433" s="0" t="s">
        <v>1510</v>
      </c>
    </row>
    <row r="434" customFormat="false" ht="15" hidden="false" customHeight="false" outlineLevel="0" collapsed="false">
      <c r="A434" s="0" t="s">
        <v>61</v>
      </c>
      <c r="B434" s="0" t="s">
        <v>266</v>
      </c>
      <c r="C434" s="0" t="s">
        <v>1490</v>
      </c>
      <c r="D434" s="0" t="s">
        <v>152</v>
      </c>
      <c r="E434" s="0" t="s">
        <v>1511</v>
      </c>
      <c r="F434" s="0" t="n">
        <v>4</v>
      </c>
      <c r="G434" s="0" t="n">
        <v>4</v>
      </c>
      <c r="H434" s="0" t="s">
        <v>580</v>
      </c>
      <c r="I434" s="0" t="s">
        <v>705</v>
      </c>
      <c r="K434" s="0" t="s">
        <v>616</v>
      </c>
      <c r="L434" s="0" t="s">
        <v>1512</v>
      </c>
    </row>
    <row r="435" customFormat="false" ht="15" hidden="false" customHeight="false" outlineLevel="0" collapsed="false">
      <c r="A435" s="0" t="s">
        <v>61</v>
      </c>
      <c r="C435" s="0" t="s">
        <v>1490</v>
      </c>
      <c r="D435" s="0" t="s">
        <v>155</v>
      </c>
      <c r="E435" s="0" t="s">
        <v>1513</v>
      </c>
      <c r="F435" s="0" t="n">
        <v>4</v>
      </c>
      <c r="G435" s="0" t="n">
        <v>0</v>
      </c>
      <c r="H435" s="0" t="s">
        <v>585</v>
      </c>
      <c r="K435" s="0" t="s">
        <v>620</v>
      </c>
      <c r="L435" s="0" t="s">
        <v>1514</v>
      </c>
    </row>
    <row r="436" customFormat="false" ht="15" hidden="false" customHeight="false" outlineLevel="0" collapsed="false">
      <c r="A436" s="0" t="s">
        <v>61</v>
      </c>
      <c r="C436" s="0" t="s">
        <v>1515</v>
      </c>
      <c r="D436" s="0" t="s">
        <v>987</v>
      </c>
      <c r="E436" s="0" t="s">
        <v>1516</v>
      </c>
      <c r="F436" s="0" t="n">
        <v>0</v>
      </c>
      <c r="G436" s="0" t="n">
        <v>0</v>
      </c>
      <c r="H436" s="0" t="s">
        <v>580</v>
      </c>
      <c r="K436" s="0" t="s">
        <v>581</v>
      </c>
      <c r="L436" s="0" t="s">
        <v>1517</v>
      </c>
    </row>
    <row r="437" customFormat="false" ht="15" hidden="false" customHeight="false" outlineLevel="0" collapsed="false">
      <c r="A437" s="0" t="s">
        <v>61</v>
      </c>
      <c r="C437" s="0" t="s">
        <v>1515</v>
      </c>
      <c r="D437" s="0" t="s">
        <v>990</v>
      </c>
      <c r="E437" s="0" t="s">
        <v>1518</v>
      </c>
      <c r="F437" s="0" t="n">
        <v>0</v>
      </c>
      <c r="G437" s="0" t="n">
        <v>0</v>
      </c>
      <c r="H437" s="0" t="s">
        <v>580</v>
      </c>
      <c r="K437" s="0" t="s">
        <v>586</v>
      </c>
      <c r="L437" s="0" t="s">
        <v>1519</v>
      </c>
    </row>
    <row r="438" customFormat="false" ht="15" hidden="false" customHeight="false" outlineLevel="0" collapsed="false">
      <c r="A438" s="0" t="s">
        <v>61</v>
      </c>
      <c r="C438" s="0" t="s">
        <v>1515</v>
      </c>
      <c r="D438" s="0" t="s">
        <v>993</v>
      </c>
      <c r="E438" s="0" t="s">
        <v>1520</v>
      </c>
      <c r="F438" s="0" t="n">
        <v>0</v>
      </c>
      <c r="G438" s="0" t="n">
        <v>0</v>
      </c>
      <c r="H438" s="0" t="s">
        <v>580</v>
      </c>
      <c r="K438" s="0" t="s">
        <v>590</v>
      </c>
      <c r="L438" s="0" t="s">
        <v>1521</v>
      </c>
    </row>
    <row r="439" customFormat="false" ht="15" hidden="false" customHeight="false" outlineLevel="0" collapsed="false">
      <c r="A439" s="0" t="s">
        <v>61</v>
      </c>
      <c r="C439" s="0" t="s">
        <v>1515</v>
      </c>
      <c r="D439" s="0" t="s">
        <v>126</v>
      </c>
      <c r="E439" s="0" t="s">
        <v>1522</v>
      </c>
      <c r="F439" s="0" t="n">
        <v>0</v>
      </c>
      <c r="G439" s="0" t="n">
        <v>0</v>
      </c>
      <c r="H439" s="0" t="s">
        <v>580</v>
      </c>
      <c r="K439" s="0" t="s">
        <v>594</v>
      </c>
      <c r="L439" s="0" t="s">
        <v>1523</v>
      </c>
    </row>
    <row r="440" customFormat="false" ht="15" hidden="false" customHeight="false" outlineLevel="0" collapsed="false">
      <c r="A440" s="0" t="s">
        <v>61</v>
      </c>
      <c r="C440" s="0" t="s">
        <v>1515</v>
      </c>
      <c r="D440" s="0" t="s">
        <v>129</v>
      </c>
      <c r="E440" s="0" t="s">
        <v>1524</v>
      </c>
      <c r="F440" s="0" t="n">
        <v>0</v>
      </c>
      <c r="G440" s="0" t="n">
        <v>0</v>
      </c>
      <c r="H440" s="0" t="s">
        <v>580</v>
      </c>
      <c r="K440" s="0" t="s">
        <v>597</v>
      </c>
      <c r="L440" s="0" t="s">
        <v>1525</v>
      </c>
    </row>
    <row r="441" customFormat="false" ht="15" hidden="false" customHeight="false" outlineLevel="0" collapsed="false">
      <c r="A441" s="0" t="s">
        <v>61</v>
      </c>
      <c r="C441" s="0" t="s">
        <v>1515</v>
      </c>
      <c r="D441" s="0" t="s">
        <v>132</v>
      </c>
      <c r="E441" s="0" t="s">
        <v>1526</v>
      </c>
      <c r="F441" s="0" t="n">
        <v>0</v>
      </c>
      <c r="G441" s="0" t="n">
        <v>0</v>
      </c>
      <c r="H441" s="0" t="s">
        <v>580</v>
      </c>
      <c r="K441" s="0" t="s">
        <v>600</v>
      </c>
      <c r="L441" s="0" t="s">
        <v>1527</v>
      </c>
    </row>
    <row r="442" customFormat="false" ht="15" hidden="false" customHeight="false" outlineLevel="0" collapsed="false">
      <c r="A442" s="0" t="s">
        <v>61</v>
      </c>
      <c r="C442" s="0" t="s">
        <v>1515</v>
      </c>
      <c r="D442" s="0" t="s">
        <v>139</v>
      </c>
      <c r="E442" s="0" t="s">
        <v>1528</v>
      </c>
      <c r="F442" s="0" t="n">
        <v>0</v>
      </c>
      <c r="G442" s="0" t="n">
        <v>0</v>
      </c>
      <c r="H442" s="0" t="s">
        <v>580</v>
      </c>
      <c r="K442" s="0" t="s">
        <v>604</v>
      </c>
      <c r="L442" s="0" t="s">
        <v>1529</v>
      </c>
    </row>
    <row r="443" customFormat="false" ht="15" hidden="false" customHeight="false" outlineLevel="0" collapsed="false">
      <c r="A443" s="0" t="s">
        <v>61</v>
      </c>
      <c r="C443" s="0" t="s">
        <v>1515</v>
      </c>
      <c r="D443" s="0" t="s">
        <v>143</v>
      </c>
      <c r="E443" s="0" t="s">
        <v>1530</v>
      </c>
      <c r="F443" s="0" t="n">
        <v>0</v>
      </c>
      <c r="G443" s="0" t="n">
        <v>0</v>
      </c>
      <c r="H443" s="0" t="s">
        <v>580</v>
      </c>
      <c r="K443" s="0" t="s">
        <v>607</v>
      </c>
      <c r="L443" s="0" t="s">
        <v>1531</v>
      </c>
    </row>
    <row r="444" customFormat="false" ht="15" hidden="false" customHeight="false" outlineLevel="0" collapsed="false">
      <c r="A444" s="0" t="s">
        <v>61</v>
      </c>
      <c r="C444" s="0" t="s">
        <v>1515</v>
      </c>
      <c r="D444" s="0" t="s">
        <v>146</v>
      </c>
      <c r="E444" s="0" t="s">
        <v>1532</v>
      </c>
      <c r="F444" s="0" t="n">
        <v>0</v>
      </c>
      <c r="G444" s="0" t="n">
        <v>0</v>
      </c>
      <c r="H444" s="0" t="s">
        <v>580</v>
      </c>
      <c r="K444" s="0" t="s">
        <v>610</v>
      </c>
      <c r="L444" s="0" t="s">
        <v>1533</v>
      </c>
    </row>
    <row r="445" customFormat="false" ht="15" hidden="false" customHeight="false" outlineLevel="0" collapsed="false">
      <c r="A445" s="0" t="s">
        <v>61</v>
      </c>
      <c r="B445" s="0" t="s">
        <v>266</v>
      </c>
      <c r="C445" s="0" t="s">
        <v>1515</v>
      </c>
      <c r="D445" s="0" t="s">
        <v>149</v>
      </c>
      <c r="E445" s="0" t="s">
        <v>1534</v>
      </c>
      <c r="F445" s="0" t="n">
        <v>0</v>
      </c>
      <c r="G445" s="0" t="n">
        <v>0</v>
      </c>
      <c r="H445" s="0" t="s">
        <v>580</v>
      </c>
      <c r="K445" s="0" t="s">
        <v>613</v>
      </c>
      <c r="L445" s="0" t="s">
        <v>1535</v>
      </c>
    </row>
    <row r="446" customFormat="false" ht="15" hidden="false" customHeight="false" outlineLevel="0" collapsed="false">
      <c r="A446" s="0" t="s">
        <v>61</v>
      </c>
      <c r="B446" s="0" t="s">
        <v>266</v>
      </c>
      <c r="C446" s="0" t="s">
        <v>1515</v>
      </c>
      <c r="D446" s="0" t="s">
        <v>152</v>
      </c>
      <c r="E446" s="0" t="s">
        <v>1536</v>
      </c>
      <c r="F446" s="0" t="n">
        <v>0</v>
      </c>
      <c r="G446" s="0" t="n">
        <v>2</v>
      </c>
      <c r="H446" s="0" t="s">
        <v>580</v>
      </c>
      <c r="I446" s="0" t="s">
        <v>630</v>
      </c>
      <c r="K446" s="0" t="s">
        <v>616</v>
      </c>
      <c r="L446" s="0" t="s">
        <v>1537</v>
      </c>
    </row>
    <row r="447" customFormat="false" ht="15" hidden="false" customHeight="false" outlineLevel="0" collapsed="false">
      <c r="A447" s="0" t="s">
        <v>61</v>
      </c>
      <c r="B447" s="0" t="s">
        <v>42</v>
      </c>
      <c r="C447" s="0" t="s">
        <v>1515</v>
      </c>
      <c r="D447" s="0" t="s">
        <v>155</v>
      </c>
      <c r="E447" s="0" t="s">
        <v>1538</v>
      </c>
      <c r="F447" s="0" t="n">
        <v>0</v>
      </c>
      <c r="G447" s="0" t="n">
        <v>0</v>
      </c>
      <c r="H447" s="0" t="s">
        <v>580</v>
      </c>
      <c r="I447" s="0" t="s">
        <v>630</v>
      </c>
      <c r="K447" s="0" t="s">
        <v>620</v>
      </c>
      <c r="L447" s="0" t="s">
        <v>1539</v>
      </c>
    </row>
    <row r="448" customFormat="false" ht="15" hidden="false" customHeight="false" outlineLevel="0" collapsed="false">
      <c r="A448" s="0" t="s">
        <v>61</v>
      </c>
      <c r="C448" s="0" t="s">
        <v>1540</v>
      </c>
      <c r="D448" s="0" t="s">
        <v>987</v>
      </c>
      <c r="E448" s="0" t="s">
        <v>1541</v>
      </c>
      <c r="F448" s="0" t="n">
        <v>0</v>
      </c>
      <c r="G448" s="0" t="n">
        <v>0</v>
      </c>
      <c r="H448" s="0" t="s">
        <v>580</v>
      </c>
      <c r="K448" s="0" t="s">
        <v>581</v>
      </c>
      <c r="L448" s="0" t="s">
        <v>1542</v>
      </c>
    </row>
    <row r="449" customFormat="false" ht="15" hidden="false" customHeight="false" outlineLevel="0" collapsed="false">
      <c r="A449" s="0" t="s">
        <v>61</v>
      </c>
      <c r="C449" s="0" t="s">
        <v>1540</v>
      </c>
      <c r="D449" s="0" t="s">
        <v>990</v>
      </c>
      <c r="E449" s="0" t="s">
        <v>1543</v>
      </c>
      <c r="F449" s="0" t="n">
        <v>0</v>
      </c>
      <c r="G449" s="0" t="n">
        <v>0</v>
      </c>
      <c r="H449" s="0" t="s">
        <v>580</v>
      </c>
      <c r="K449" s="0" t="s">
        <v>586</v>
      </c>
      <c r="L449" s="0" t="s">
        <v>1544</v>
      </c>
    </row>
    <row r="450" customFormat="false" ht="15" hidden="false" customHeight="false" outlineLevel="0" collapsed="false">
      <c r="A450" s="0" t="s">
        <v>61</v>
      </c>
      <c r="C450" s="0" t="s">
        <v>1540</v>
      </c>
      <c r="D450" s="0" t="s">
        <v>993</v>
      </c>
      <c r="E450" s="0" t="s">
        <v>1545</v>
      </c>
      <c r="F450" s="0" t="n">
        <v>0</v>
      </c>
      <c r="G450" s="0" t="n">
        <v>0</v>
      </c>
      <c r="H450" s="0" t="s">
        <v>580</v>
      </c>
      <c r="K450" s="0" t="s">
        <v>590</v>
      </c>
      <c r="L450" s="0" t="s">
        <v>1546</v>
      </c>
    </row>
    <row r="451" customFormat="false" ht="15" hidden="false" customHeight="false" outlineLevel="0" collapsed="false">
      <c r="A451" s="0" t="s">
        <v>61</v>
      </c>
      <c r="C451" s="0" t="s">
        <v>1540</v>
      </c>
      <c r="D451" s="0" t="s">
        <v>126</v>
      </c>
      <c r="E451" s="0" t="s">
        <v>1547</v>
      </c>
      <c r="F451" s="0" t="n">
        <v>0</v>
      </c>
      <c r="G451" s="0" t="n">
        <v>0</v>
      </c>
      <c r="H451" s="0" t="s">
        <v>580</v>
      </c>
      <c r="I451" s="0" t="s">
        <v>603</v>
      </c>
      <c r="K451" s="0" t="s">
        <v>594</v>
      </c>
      <c r="L451" s="0" t="s">
        <v>1548</v>
      </c>
    </row>
    <row r="452" customFormat="false" ht="15" hidden="false" customHeight="false" outlineLevel="0" collapsed="false">
      <c r="A452" s="0" t="s">
        <v>61</v>
      </c>
      <c r="C452" s="0" t="s">
        <v>1540</v>
      </c>
      <c r="D452" s="0" t="s">
        <v>129</v>
      </c>
      <c r="E452" s="0" t="s">
        <v>1549</v>
      </c>
      <c r="F452" s="0" t="n">
        <v>0</v>
      </c>
      <c r="G452" s="0" t="n">
        <v>0</v>
      </c>
      <c r="H452" s="0" t="s">
        <v>580</v>
      </c>
      <c r="K452" s="0" t="s">
        <v>597</v>
      </c>
      <c r="L452" s="0" t="s">
        <v>1550</v>
      </c>
    </row>
    <row r="453" customFormat="false" ht="15" hidden="false" customHeight="false" outlineLevel="0" collapsed="false">
      <c r="A453" s="0" t="s">
        <v>61</v>
      </c>
      <c r="C453" s="0" t="s">
        <v>1540</v>
      </c>
      <c r="D453" s="0" t="s">
        <v>132</v>
      </c>
      <c r="E453" s="0" t="s">
        <v>1551</v>
      </c>
      <c r="F453" s="0" t="n">
        <v>0</v>
      </c>
      <c r="G453" s="0" t="n">
        <v>0</v>
      </c>
      <c r="H453" s="0" t="s">
        <v>580</v>
      </c>
      <c r="K453" s="0" t="s">
        <v>600</v>
      </c>
      <c r="L453" s="0" t="s">
        <v>1552</v>
      </c>
    </row>
    <row r="454" customFormat="false" ht="15" hidden="false" customHeight="false" outlineLevel="0" collapsed="false">
      <c r="A454" s="0" t="s">
        <v>61</v>
      </c>
      <c r="C454" s="0" t="s">
        <v>1540</v>
      </c>
      <c r="D454" s="0" t="s">
        <v>139</v>
      </c>
      <c r="E454" s="0" t="s">
        <v>1553</v>
      </c>
      <c r="F454" s="0" t="n">
        <v>0</v>
      </c>
      <c r="G454" s="0" t="n">
        <v>0</v>
      </c>
      <c r="H454" s="0" t="s">
        <v>580</v>
      </c>
      <c r="K454" s="0" t="s">
        <v>604</v>
      </c>
      <c r="L454" s="0" t="s">
        <v>1554</v>
      </c>
    </row>
    <row r="455" customFormat="false" ht="15" hidden="false" customHeight="false" outlineLevel="0" collapsed="false">
      <c r="A455" s="0" t="s">
        <v>61</v>
      </c>
      <c r="C455" s="0" t="s">
        <v>1540</v>
      </c>
      <c r="D455" s="0" t="s">
        <v>143</v>
      </c>
      <c r="E455" s="0" t="s">
        <v>1555</v>
      </c>
      <c r="F455" s="0" t="n">
        <v>0</v>
      </c>
      <c r="G455" s="0" t="n">
        <v>0</v>
      </c>
      <c r="H455" s="0" t="s">
        <v>580</v>
      </c>
      <c r="K455" s="0" t="s">
        <v>607</v>
      </c>
      <c r="L455" s="0" t="s">
        <v>1556</v>
      </c>
    </row>
    <row r="456" customFormat="false" ht="15" hidden="false" customHeight="false" outlineLevel="0" collapsed="false">
      <c r="A456" s="0" t="s">
        <v>61</v>
      </c>
      <c r="C456" s="0" t="s">
        <v>1540</v>
      </c>
      <c r="D456" s="0" t="s">
        <v>146</v>
      </c>
      <c r="E456" s="0" t="s">
        <v>1557</v>
      </c>
      <c r="F456" s="0" t="n">
        <v>0</v>
      </c>
      <c r="G456" s="0" t="n">
        <v>0</v>
      </c>
      <c r="H456" s="0" t="s">
        <v>580</v>
      </c>
      <c r="K456" s="0" t="s">
        <v>610</v>
      </c>
      <c r="L456" s="0" t="s">
        <v>1558</v>
      </c>
    </row>
    <row r="457" customFormat="false" ht="15" hidden="false" customHeight="false" outlineLevel="0" collapsed="false">
      <c r="A457" s="0" t="s">
        <v>61</v>
      </c>
      <c r="C457" s="0" t="s">
        <v>1540</v>
      </c>
      <c r="D457" s="0" t="s">
        <v>149</v>
      </c>
      <c r="E457" s="0" t="s">
        <v>1559</v>
      </c>
      <c r="F457" s="0" t="n">
        <v>0</v>
      </c>
      <c r="G457" s="0" t="n">
        <v>0</v>
      </c>
      <c r="H457" s="0" t="s">
        <v>580</v>
      </c>
      <c r="K457" s="0" t="s">
        <v>613</v>
      </c>
      <c r="L457" s="0" t="s">
        <v>1560</v>
      </c>
    </row>
    <row r="458" customFormat="false" ht="15" hidden="false" customHeight="false" outlineLevel="0" collapsed="false">
      <c r="A458" s="0" t="s">
        <v>61</v>
      </c>
      <c r="C458" s="0" t="s">
        <v>1540</v>
      </c>
      <c r="D458" s="0" t="s">
        <v>152</v>
      </c>
      <c r="E458" s="0" t="s">
        <v>1561</v>
      </c>
      <c r="F458" s="0" t="n">
        <v>0</v>
      </c>
      <c r="G458" s="0" t="n">
        <v>0</v>
      </c>
      <c r="H458" s="0" t="s">
        <v>580</v>
      </c>
      <c r="K458" s="0" t="s">
        <v>616</v>
      </c>
      <c r="L458" s="0" t="s">
        <v>1562</v>
      </c>
    </row>
    <row r="459" customFormat="false" ht="15" hidden="false" customHeight="false" outlineLevel="0" collapsed="false">
      <c r="A459" s="0" t="s">
        <v>61</v>
      </c>
      <c r="C459" s="0" t="s">
        <v>1540</v>
      </c>
      <c r="D459" s="0" t="s">
        <v>155</v>
      </c>
      <c r="E459" s="0" t="s">
        <v>1563</v>
      </c>
      <c r="F459" s="0" t="n">
        <v>0</v>
      </c>
      <c r="G459" s="0" t="n">
        <v>0</v>
      </c>
      <c r="H459" s="0" t="s">
        <v>580</v>
      </c>
      <c r="K459" s="0" t="s">
        <v>620</v>
      </c>
      <c r="L459" s="0" t="s">
        <v>1564</v>
      </c>
    </row>
    <row r="460" customFormat="false" ht="15" hidden="false" customHeight="false" outlineLevel="0" collapsed="false">
      <c r="A460" s="0" t="s">
        <v>61</v>
      </c>
      <c r="C460" s="0" t="s">
        <v>1565</v>
      </c>
      <c r="D460" s="0" t="s">
        <v>987</v>
      </c>
      <c r="E460" s="0" t="s">
        <v>1566</v>
      </c>
      <c r="F460" s="0" t="n">
        <v>0</v>
      </c>
      <c r="G460" s="0" t="n">
        <v>0</v>
      </c>
      <c r="H460" s="0" t="s">
        <v>580</v>
      </c>
      <c r="K460" s="0" t="s">
        <v>581</v>
      </c>
      <c r="L460" s="0" t="s">
        <v>1567</v>
      </c>
    </row>
    <row r="461" customFormat="false" ht="15" hidden="false" customHeight="false" outlineLevel="0" collapsed="false">
      <c r="A461" s="0" t="s">
        <v>61</v>
      </c>
      <c r="C461" s="0" t="s">
        <v>1565</v>
      </c>
      <c r="D461" s="0" t="s">
        <v>990</v>
      </c>
      <c r="E461" s="0" t="s">
        <v>1568</v>
      </c>
      <c r="F461" s="0" t="n">
        <v>0</v>
      </c>
      <c r="G461" s="0" t="n">
        <v>0</v>
      </c>
      <c r="H461" s="0" t="s">
        <v>580</v>
      </c>
      <c r="K461" s="0" t="s">
        <v>586</v>
      </c>
      <c r="L461" s="0" t="s">
        <v>1569</v>
      </c>
    </row>
    <row r="462" customFormat="false" ht="15" hidden="false" customHeight="false" outlineLevel="0" collapsed="false">
      <c r="A462" s="0" t="s">
        <v>61</v>
      </c>
      <c r="C462" s="0" t="s">
        <v>1565</v>
      </c>
      <c r="D462" s="0" t="s">
        <v>993</v>
      </c>
      <c r="E462" s="0" t="s">
        <v>1570</v>
      </c>
      <c r="F462" s="0" t="n">
        <v>0</v>
      </c>
      <c r="G462" s="0" t="n">
        <v>0</v>
      </c>
      <c r="H462" s="0" t="s">
        <v>580</v>
      </c>
      <c r="K462" s="0" t="s">
        <v>590</v>
      </c>
      <c r="L462" s="0" t="s">
        <v>1571</v>
      </c>
    </row>
    <row r="463" customFormat="false" ht="15" hidden="false" customHeight="false" outlineLevel="0" collapsed="false">
      <c r="A463" s="0" t="s">
        <v>61</v>
      </c>
      <c r="C463" s="0" t="s">
        <v>1565</v>
      </c>
      <c r="D463" s="0" t="s">
        <v>126</v>
      </c>
      <c r="E463" s="0" t="s">
        <v>1572</v>
      </c>
      <c r="F463" s="0" t="n">
        <v>0</v>
      </c>
      <c r="G463" s="0" t="n">
        <v>0</v>
      </c>
      <c r="H463" s="0" t="s">
        <v>580</v>
      </c>
      <c r="K463" s="0" t="s">
        <v>594</v>
      </c>
      <c r="L463" s="0" t="s">
        <v>1573</v>
      </c>
    </row>
    <row r="464" customFormat="false" ht="15" hidden="false" customHeight="false" outlineLevel="0" collapsed="false">
      <c r="A464" s="0" t="s">
        <v>61</v>
      </c>
      <c r="C464" s="0" t="s">
        <v>1565</v>
      </c>
      <c r="D464" s="0" t="s">
        <v>129</v>
      </c>
      <c r="E464" s="0" t="s">
        <v>1574</v>
      </c>
      <c r="F464" s="0" t="n">
        <v>0</v>
      </c>
      <c r="G464" s="0" t="n">
        <v>0</v>
      </c>
      <c r="H464" s="0" t="s">
        <v>580</v>
      </c>
      <c r="K464" s="0" t="s">
        <v>597</v>
      </c>
      <c r="L464" s="0" t="s">
        <v>1575</v>
      </c>
    </row>
    <row r="465" customFormat="false" ht="15" hidden="false" customHeight="false" outlineLevel="0" collapsed="false">
      <c r="A465" s="0" t="s">
        <v>61</v>
      </c>
      <c r="C465" s="0" t="s">
        <v>1565</v>
      </c>
      <c r="D465" s="0" t="s">
        <v>132</v>
      </c>
      <c r="E465" s="0" t="s">
        <v>1576</v>
      </c>
      <c r="F465" s="0" t="n">
        <v>0</v>
      </c>
      <c r="G465" s="0" t="n">
        <v>0</v>
      </c>
      <c r="H465" s="0" t="s">
        <v>580</v>
      </c>
      <c r="K465" s="0" t="s">
        <v>600</v>
      </c>
      <c r="L465" s="0" t="s">
        <v>1577</v>
      </c>
    </row>
    <row r="466" customFormat="false" ht="15" hidden="false" customHeight="false" outlineLevel="0" collapsed="false">
      <c r="A466" s="0" t="s">
        <v>61</v>
      </c>
      <c r="C466" s="0" t="s">
        <v>1565</v>
      </c>
      <c r="D466" s="0" t="s">
        <v>139</v>
      </c>
      <c r="E466" s="0" t="s">
        <v>1578</v>
      </c>
      <c r="F466" s="0" t="n">
        <v>0</v>
      </c>
      <c r="G466" s="0" t="n">
        <v>0</v>
      </c>
      <c r="H466" s="0" t="s">
        <v>580</v>
      </c>
      <c r="K466" s="0" t="s">
        <v>604</v>
      </c>
      <c r="L466" s="0" t="s">
        <v>1579</v>
      </c>
    </row>
    <row r="467" customFormat="false" ht="15" hidden="false" customHeight="false" outlineLevel="0" collapsed="false">
      <c r="A467" s="0" t="s">
        <v>61</v>
      </c>
      <c r="C467" s="0" t="s">
        <v>1565</v>
      </c>
      <c r="D467" s="0" t="s">
        <v>143</v>
      </c>
      <c r="E467" s="0" t="s">
        <v>1580</v>
      </c>
      <c r="F467" s="0" t="n">
        <v>0</v>
      </c>
      <c r="G467" s="0" t="n">
        <v>0</v>
      </c>
      <c r="H467" s="0" t="s">
        <v>580</v>
      </c>
      <c r="K467" s="0" t="s">
        <v>607</v>
      </c>
      <c r="L467" s="0" t="s">
        <v>1581</v>
      </c>
    </row>
    <row r="468" customFormat="false" ht="15" hidden="false" customHeight="false" outlineLevel="0" collapsed="false">
      <c r="A468" s="0" t="s">
        <v>61</v>
      </c>
      <c r="C468" s="0" t="s">
        <v>1565</v>
      </c>
      <c r="D468" s="0" t="s">
        <v>146</v>
      </c>
      <c r="E468" s="0" t="s">
        <v>1582</v>
      </c>
      <c r="F468" s="0" t="n">
        <v>0</v>
      </c>
      <c r="G468" s="0" t="n">
        <v>0</v>
      </c>
      <c r="H468" s="0" t="s">
        <v>580</v>
      </c>
      <c r="K468" s="0" t="s">
        <v>610</v>
      </c>
      <c r="L468" s="0" t="s">
        <v>1583</v>
      </c>
    </row>
    <row r="469" customFormat="false" ht="15" hidden="false" customHeight="false" outlineLevel="0" collapsed="false">
      <c r="A469" s="0" t="s">
        <v>61</v>
      </c>
      <c r="C469" s="0" t="s">
        <v>1565</v>
      </c>
      <c r="D469" s="0" t="s">
        <v>149</v>
      </c>
      <c r="E469" s="0" t="s">
        <v>1584</v>
      </c>
      <c r="F469" s="0" t="n">
        <v>0</v>
      </c>
      <c r="G469" s="0" t="n">
        <v>0</v>
      </c>
      <c r="H469" s="0" t="s">
        <v>580</v>
      </c>
      <c r="K469" s="0" t="s">
        <v>613</v>
      </c>
      <c r="L469" s="0" t="s">
        <v>1585</v>
      </c>
    </row>
    <row r="470" customFormat="false" ht="15" hidden="false" customHeight="false" outlineLevel="0" collapsed="false">
      <c r="A470" s="0" t="s">
        <v>61</v>
      </c>
      <c r="C470" s="0" t="s">
        <v>1565</v>
      </c>
      <c r="D470" s="0" t="s">
        <v>152</v>
      </c>
      <c r="E470" s="0" t="s">
        <v>1586</v>
      </c>
      <c r="F470" s="0" t="n">
        <v>0</v>
      </c>
      <c r="G470" s="0" t="n">
        <v>0</v>
      </c>
      <c r="H470" s="0" t="s">
        <v>580</v>
      </c>
      <c r="K470" s="0" t="s">
        <v>616</v>
      </c>
      <c r="L470" s="0" t="s">
        <v>1587</v>
      </c>
    </row>
    <row r="471" customFormat="false" ht="15" hidden="false" customHeight="false" outlineLevel="0" collapsed="false">
      <c r="A471" s="0" t="s">
        <v>61</v>
      </c>
      <c r="C471" s="0" t="s">
        <v>1565</v>
      </c>
      <c r="D471" s="0" t="s">
        <v>155</v>
      </c>
      <c r="E471" s="0" t="s">
        <v>1588</v>
      </c>
      <c r="F471" s="0" t="n">
        <v>0</v>
      </c>
      <c r="G471" s="0" t="n">
        <v>0</v>
      </c>
      <c r="H471" s="0" t="s">
        <v>580</v>
      </c>
      <c r="K471" s="0" t="s">
        <v>620</v>
      </c>
      <c r="L471" s="0" t="s">
        <v>1589</v>
      </c>
    </row>
    <row r="472" customFormat="false" ht="15" hidden="false" customHeight="false" outlineLevel="0" collapsed="false">
      <c r="A472" s="0" t="s">
        <v>61</v>
      </c>
      <c r="C472" s="0" t="s">
        <v>1590</v>
      </c>
      <c r="D472" s="0" t="s">
        <v>987</v>
      </c>
      <c r="E472" s="0" t="s">
        <v>1591</v>
      </c>
      <c r="F472" s="0" t="n">
        <v>0</v>
      </c>
      <c r="G472" s="0" t="n">
        <v>0</v>
      </c>
      <c r="H472" s="0" t="s">
        <v>580</v>
      </c>
      <c r="K472" s="0" t="s">
        <v>581</v>
      </c>
      <c r="L472" s="0" t="s">
        <v>1592</v>
      </c>
    </row>
    <row r="473" customFormat="false" ht="15" hidden="false" customHeight="false" outlineLevel="0" collapsed="false">
      <c r="A473" s="0" t="s">
        <v>61</v>
      </c>
      <c r="C473" s="0" t="s">
        <v>1590</v>
      </c>
      <c r="D473" s="0" t="s">
        <v>990</v>
      </c>
      <c r="E473" s="0" t="s">
        <v>1593</v>
      </c>
      <c r="F473" s="0" t="n">
        <v>0</v>
      </c>
      <c r="G473" s="0" t="n">
        <v>0</v>
      </c>
      <c r="H473" s="0" t="s">
        <v>580</v>
      </c>
      <c r="K473" s="0" t="s">
        <v>586</v>
      </c>
      <c r="L473" s="0" t="s">
        <v>1594</v>
      </c>
    </row>
    <row r="474" customFormat="false" ht="15" hidden="false" customHeight="false" outlineLevel="0" collapsed="false">
      <c r="A474" s="0" t="s">
        <v>61</v>
      </c>
      <c r="C474" s="0" t="s">
        <v>1590</v>
      </c>
      <c r="D474" s="0" t="s">
        <v>993</v>
      </c>
      <c r="E474" s="0" t="s">
        <v>1595</v>
      </c>
      <c r="F474" s="0" t="n">
        <v>0</v>
      </c>
      <c r="G474" s="0" t="n">
        <v>0</v>
      </c>
      <c r="H474" s="0" t="s">
        <v>580</v>
      </c>
      <c r="K474" s="0" t="s">
        <v>590</v>
      </c>
      <c r="L474" s="0" t="s">
        <v>1596</v>
      </c>
    </row>
    <row r="475" customFormat="false" ht="15" hidden="false" customHeight="false" outlineLevel="0" collapsed="false">
      <c r="A475" s="0" t="s">
        <v>61</v>
      </c>
      <c r="C475" s="0" t="s">
        <v>1590</v>
      </c>
      <c r="D475" s="0" t="s">
        <v>126</v>
      </c>
      <c r="E475" s="0" t="s">
        <v>1597</v>
      </c>
      <c r="F475" s="0" t="n">
        <v>0</v>
      </c>
      <c r="G475" s="0" t="n">
        <v>0</v>
      </c>
      <c r="H475" s="0" t="s">
        <v>580</v>
      </c>
      <c r="K475" s="0" t="s">
        <v>594</v>
      </c>
      <c r="L475" s="0" t="s">
        <v>1598</v>
      </c>
    </row>
    <row r="476" customFormat="false" ht="15" hidden="false" customHeight="false" outlineLevel="0" collapsed="false">
      <c r="A476" s="0" t="s">
        <v>61</v>
      </c>
      <c r="C476" s="0" t="s">
        <v>1590</v>
      </c>
      <c r="D476" s="0" t="s">
        <v>129</v>
      </c>
      <c r="E476" s="0" t="s">
        <v>1599</v>
      </c>
      <c r="F476" s="0" t="n">
        <v>0</v>
      </c>
      <c r="G476" s="0" t="n">
        <v>0</v>
      </c>
      <c r="H476" s="0" t="s">
        <v>580</v>
      </c>
      <c r="K476" s="0" t="s">
        <v>597</v>
      </c>
      <c r="L476" s="0" t="s">
        <v>1600</v>
      </c>
    </row>
    <row r="477" customFormat="false" ht="15" hidden="false" customHeight="false" outlineLevel="0" collapsed="false">
      <c r="A477" s="0" t="s">
        <v>61</v>
      </c>
      <c r="C477" s="0" t="s">
        <v>1590</v>
      </c>
      <c r="D477" s="0" t="s">
        <v>132</v>
      </c>
      <c r="E477" s="0" t="s">
        <v>1601</v>
      </c>
      <c r="F477" s="0" t="n">
        <v>0</v>
      </c>
      <c r="G477" s="0" t="n">
        <v>0</v>
      </c>
      <c r="H477" s="0" t="s">
        <v>580</v>
      </c>
      <c r="K477" s="0" t="s">
        <v>600</v>
      </c>
      <c r="L477" s="0" t="s">
        <v>1602</v>
      </c>
    </row>
    <row r="478" customFormat="false" ht="15" hidden="false" customHeight="false" outlineLevel="0" collapsed="false">
      <c r="A478" s="0" t="s">
        <v>61</v>
      </c>
      <c r="C478" s="0" t="s">
        <v>1590</v>
      </c>
      <c r="D478" s="0" t="s">
        <v>139</v>
      </c>
      <c r="E478" s="0" t="s">
        <v>1603</v>
      </c>
      <c r="F478" s="0" t="n">
        <v>0</v>
      </c>
      <c r="G478" s="0" t="n">
        <v>0</v>
      </c>
      <c r="H478" s="0" t="s">
        <v>580</v>
      </c>
      <c r="K478" s="0" t="s">
        <v>604</v>
      </c>
      <c r="L478" s="0" t="s">
        <v>1604</v>
      </c>
    </row>
    <row r="479" customFormat="false" ht="15" hidden="false" customHeight="false" outlineLevel="0" collapsed="false">
      <c r="A479" s="0" t="s">
        <v>61</v>
      </c>
      <c r="C479" s="0" t="s">
        <v>1590</v>
      </c>
      <c r="D479" s="0" t="s">
        <v>143</v>
      </c>
      <c r="E479" s="0" t="s">
        <v>1605</v>
      </c>
      <c r="F479" s="0" t="n">
        <v>0</v>
      </c>
      <c r="G479" s="0" t="n">
        <v>0</v>
      </c>
      <c r="H479" s="0" t="s">
        <v>580</v>
      </c>
      <c r="K479" s="0" t="s">
        <v>607</v>
      </c>
      <c r="L479" s="0" t="s">
        <v>1606</v>
      </c>
    </row>
    <row r="480" customFormat="false" ht="15" hidden="false" customHeight="false" outlineLevel="0" collapsed="false">
      <c r="A480" s="0" t="s">
        <v>61</v>
      </c>
      <c r="C480" s="0" t="s">
        <v>1590</v>
      </c>
      <c r="D480" s="0" t="s">
        <v>146</v>
      </c>
      <c r="E480" s="0" t="s">
        <v>1607</v>
      </c>
      <c r="F480" s="0" t="n">
        <v>0</v>
      </c>
      <c r="G480" s="0" t="n">
        <v>0</v>
      </c>
      <c r="H480" s="0" t="s">
        <v>580</v>
      </c>
      <c r="K480" s="0" t="s">
        <v>610</v>
      </c>
      <c r="L480" s="0" t="s">
        <v>1608</v>
      </c>
    </row>
    <row r="481" customFormat="false" ht="15" hidden="false" customHeight="false" outlineLevel="0" collapsed="false">
      <c r="A481" s="0" t="s">
        <v>61</v>
      </c>
      <c r="C481" s="0" t="s">
        <v>1590</v>
      </c>
      <c r="D481" s="0" t="s">
        <v>149</v>
      </c>
      <c r="E481" s="0" t="s">
        <v>1609</v>
      </c>
      <c r="F481" s="0" t="n">
        <v>0</v>
      </c>
      <c r="G481" s="0" t="n">
        <v>0</v>
      </c>
      <c r="H481" s="0" t="s">
        <v>580</v>
      </c>
      <c r="K481" s="0" t="s">
        <v>613</v>
      </c>
      <c r="L481" s="0" t="s">
        <v>1610</v>
      </c>
    </row>
    <row r="482" customFormat="false" ht="15" hidden="false" customHeight="false" outlineLevel="0" collapsed="false">
      <c r="A482" s="0" t="s">
        <v>61</v>
      </c>
      <c r="C482" s="0" t="s">
        <v>1590</v>
      </c>
      <c r="D482" s="0" t="s">
        <v>152</v>
      </c>
      <c r="E482" s="0" t="s">
        <v>1611</v>
      </c>
      <c r="F482" s="0" t="n">
        <v>0</v>
      </c>
      <c r="G482" s="0" t="n">
        <v>0</v>
      </c>
      <c r="H482" s="0" t="s">
        <v>580</v>
      </c>
      <c r="K482" s="0" t="s">
        <v>616</v>
      </c>
      <c r="L482" s="0" t="s">
        <v>1612</v>
      </c>
    </row>
    <row r="483" customFormat="false" ht="15" hidden="false" customHeight="false" outlineLevel="0" collapsed="false">
      <c r="A483" s="0" t="s">
        <v>61</v>
      </c>
      <c r="C483" s="0" t="s">
        <v>1590</v>
      </c>
      <c r="D483" s="0" t="s">
        <v>155</v>
      </c>
      <c r="E483" s="0" t="s">
        <v>1613</v>
      </c>
      <c r="F483" s="0" t="n">
        <v>0</v>
      </c>
      <c r="G483" s="0" t="n">
        <v>0</v>
      </c>
      <c r="H483" s="0" t="s">
        <v>580</v>
      </c>
      <c r="K483" s="0" t="s">
        <v>620</v>
      </c>
      <c r="L483" s="0" t="s">
        <v>1614</v>
      </c>
    </row>
    <row r="484" customFormat="false" ht="15" hidden="false" customHeight="false" outlineLevel="0" collapsed="false">
      <c r="A484" s="0" t="s">
        <v>61</v>
      </c>
      <c r="C484" s="0" t="s">
        <v>1615</v>
      </c>
      <c r="D484" s="0" t="s">
        <v>987</v>
      </c>
      <c r="E484" s="0" t="s">
        <v>1616</v>
      </c>
      <c r="F484" s="0" t="n">
        <v>0</v>
      </c>
      <c r="G484" s="0" t="n">
        <v>0</v>
      </c>
      <c r="H484" s="0" t="s">
        <v>580</v>
      </c>
      <c r="K484" s="0" t="s">
        <v>581</v>
      </c>
      <c r="L484" s="0" t="s">
        <v>1617</v>
      </c>
    </row>
    <row r="485" customFormat="false" ht="15" hidden="false" customHeight="false" outlineLevel="0" collapsed="false">
      <c r="A485" s="0" t="s">
        <v>61</v>
      </c>
      <c r="C485" s="0" t="s">
        <v>1615</v>
      </c>
      <c r="D485" s="0" t="s">
        <v>990</v>
      </c>
      <c r="E485" s="0" t="s">
        <v>1618</v>
      </c>
      <c r="F485" s="0" t="n">
        <v>0</v>
      </c>
      <c r="G485" s="0" t="n">
        <v>0</v>
      </c>
      <c r="H485" s="0" t="s">
        <v>580</v>
      </c>
      <c r="K485" s="0" t="s">
        <v>586</v>
      </c>
      <c r="L485" s="0" t="s">
        <v>1619</v>
      </c>
    </row>
    <row r="486" customFormat="false" ht="15" hidden="false" customHeight="false" outlineLevel="0" collapsed="false">
      <c r="A486" s="0" t="s">
        <v>61</v>
      </c>
      <c r="C486" s="0" t="s">
        <v>1615</v>
      </c>
      <c r="D486" s="0" t="s">
        <v>993</v>
      </c>
      <c r="E486" s="0" t="s">
        <v>1620</v>
      </c>
      <c r="F486" s="0" t="n">
        <v>0</v>
      </c>
      <c r="G486" s="0" t="n">
        <v>0</v>
      </c>
      <c r="H486" s="0" t="s">
        <v>580</v>
      </c>
      <c r="K486" s="0" t="s">
        <v>590</v>
      </c>
      <c r="L486" s="0" t="s">
        <v>1621</v>
      </c>
    </row>
    <row r="487" customFormat="false" ht="15" hidden="false" customHeight="false" outlineLevel="0" collapsed="false">
      <c r="A487" s="0" t="s">
        <v>61</v>
      </c>
      <c r="C487" s="0" t="s">
        <v>1615</v>
      </c>
      <c r="D487" s="0" t="s">
        <v>126</v>
      </c>
      <c r="E487" s="0" t="s">
        <v>1622</v>
      </c>
      <c r="F487" s="0" t="n">
        <v>0</v>
      </c>
      <c r="G487" s="0" t="n">
        <v>0</v>
      </c>
      <c r="H487" s="0" t="s">
        <v>580</v>
      </c>
      <c r="K487" s="0" t="s">
        <v>594</v>
      </c>
      <c r="L487" s="0" t="s">
        <v>1623</v>
      </c>
    </row>
    <row r="488" customFormat="false" ht="15" hidden="false" customHeight="false" outlineLevel="0" collapsed="false">
      <c r="A488" s="0" t="s">
        <v>61</v>
      </c>
      <c r="C488" s="0" t="s">
        <v>1615</v>
      </c>
      <c r="D488" s="0" t="s">
        <v>129</v>
      </c>
      <c r="E488" s="0" t="s">
        <v>1624</v>
      </c>
      <c r="F488" s="0" t="n">
        <v>0</v>
      </c>
      <c r="G488" s="0" t="n">
        <v>0</v>
      </c>
      <c r="H488" s="0" t="s">
        <v>580</v>
      </c>
      <c r="K488" s="0" t="s">
        <v>597</v>
      </c>
      <c r="L488" s="0" t="s">
        <v>1625</v>
      </c>
    </row>
    <row r="489" customFormat="false" ht="15" hidden="false" customHeight="false" outlineLevel="0" collapsed="false">
      <c r="A489" s="0" t="s">
        <v>61</v>
      </c>
      <c r="C489" s="0" t="s">
        <v>1615</v>
      </c>
      <c r="D489" s="0" t="s">
        <v>132</v>
      </c>
      <c r="E489" s="0" t="s">
        <v>1626</v>
      </c>
      <c r="F489" s="0" t="n">
        <v>0</v>
      </c>
      <c r="G489" s="0" t="n">
        <v>0</v>
      </c>
      <c r="H489" s="0" t="s">
        <v>580</v>
      </c>
      <c r="K489" s="0" t="s">
        <v>600</v>
      </c>
      <c r="L489" s="0" t="s">
        <v>1627</v>
      </c>
    </row>
    <row r="490" customFormat="false" ht="15" hidden="false" customHeight="false" outlineLevel="0" collapsed="false">
      <c r="A490" s="0" t="s">
        <v>61</v>
      </c>
      <c r="C490" s="0" t="s">
        <v>1615</v>
      </c>
      <c r="D490" s="0" t="s">
        <v>139</v>
      </c>
      <c r="E490" s="0" t="s">
        <v>1628</v>
      </c>
      <c r="F490" s="0" t="n">
        <v>0</v>
      </c>
      <c r="G490" s="0" t="n">
        <v>0</v>
      </c>
      <c r="H490" s="0" t="s">
        <v>580</v>
      </c>
      <c r="K490" s="0" t="s">
        <v>604</v>
      </c>
      <c r="L490" s="0" t="s">
        <v>1629</v>
      </c>
    </row>
    <row r="491" customFormat="false" ht="15" hidden="false" customHeight="false" outlineLevel="0" collapsed="false">
      <c r="A491" s="0" t="s">
        <v>61</v>
      </c>
      <c r="C491" s="0" t="s">
        <v>1615</v>
      </c>
      <c r="D491" s="0" t="s">
        <v>143</v>
      </c>
      <c r="E491" s="0" t="s">
        <v>1630</v>
      </c>
      <c r="F491" s="0" t="n">
        <v>0</v>
      </c>
      <c r="G491" s="0" t="n">
        <v>0</v>
      </c>
      <c r="H491" s="0" t="s">
        <v>580</v>
      </c>
      <c r="K491" s="0" t="s">
        <v>607</v>
      </c>
      <c r="L491" s="0" t="s">
        <v>1631</v>
      </c>
    </row>
    <row r="492" customFormat="false" ht="15" hidden="false" customHeight="false" outlineLevel="0" collapsed="false">
      <c r="A492" s="0" t="s">
        <v>61</v>
      </c>
      <c r="C492" s="0" t="s">
        <v>1615</v>
      </c>
      <c r="D492" s="0" t="s">
        <v>146</v>
      </c>
      <c r="E492" s="0" t="s">
        <v>1632</v>
      </c>
      <c r="F492" s="0" t="n">
        <v>0</v>
      </c>
      <c r="G492" s="0" t="n">
        <v>0</v>
      </c>
      <c r="H492" s="0" t="s">
        <v>580</v>
      </c>
      <c r="K492" s="0" t="s">
        <v>610</v>
      </c>
      <c r="L492" s="0" t="s">
        <v>1633</v>
      </c>
    </row>
    <row r="493" customFormat="false" ht="15" hidden="false" customHeight="false" outlineLevel="0" collapsed="false">
      <c r="A493" s="0" t="s">
        <v>61</v>
      </c>
      <c r="C493" s="0" t="s">
        <v>1615</v>
      </c>
      <c r="D493" s="0" t="s">
        <v>149</v>
      </c>
      <c r="E493" s="0" t="s">
        <v>1634</v>
      </c>
      <c r="F493" s="0" t="n">
        <v>0</v>
      </c>
      <c r="G493" s="0" t="n">
        <v>0</v>
      </c>
      <c r="H493" s="0" t="s">
        <v>580</v>
      </c>
      <c r="K493" s="0" t="s">
        <v>613</v>
      </c>
      <c r="L493" s="0" t="s">
        <v>1635</v>
      </c>
    </row>
    <row r="494" customFormat="false" ht="15" hidden="false" customHeight="false" outlineLevel="0" collapsed="false">
      <c r="A494" s="0" t="s">
        <v>61</v>
      </c>
      <c r="C494" s="0" t="s">
        <v>1615</v>
      </c>
      <c r="D494" s="0" t="s">
        <v>152</v>
      </c>
      <c r="E494" s="0" t="s">
        <v>1636</v>
      </c>
      <c r="F494" s="0" t="n">
        <v>0</v>
      </c>
      <c r="G494" s="0" t="n">
        <v>0</v>
      </c>
      <c r="H494" s="0" t="s">
        <v>580</v>
      </c>
      <c r="K494" s="0" t="s">
        <v>616</v>
      </c>
      <c r="L494" s="0" t="s">
        <v>1637</v>
      </c>
    </row>
    <row r="495" customFormat="false" ht="15" hidden="false" customHeight="false" outlineLevel="0" collapsed="false">
      <c r="A495" s="0" t="s">
        <v>61</v>
      </c>
      <c r="B495" s="0" t="s">
        <v>266</v>
      </c>
      <c r="C495" s="0" t="s">
        <v>1615</v>
      </c>
      <c r="D495" s="0" t="s">
        <v>155</v>
      </c>
      <c r="E495" s="0" t="s">
        <v>1638</v>
      </c>
      <c r="F495" s="0" t="n">
        <v>0</v>
      </c>
      <c r="G495" s="0" t="n">
        <v>4</v>
      </c>
      <c r="H495" s="0" t="s">
        <v>580</v>
      </c>
      <c r="I495" s="0" t="s">
        <v>603</v>
      </c>
      <c r="K495" s="0" t="s">
        <v>620</v>
      </c>
      <c r="L495" s="0" t="s">
        <v>1639</v>
      </c>
    </row>
    <row r="496" customFormat="false" ht="15" hidden="false" customHeight="false" outlineLevel="0" collapsed="false">
      <c r="A496" s="0" t="s">
        <v>61</v>
      </c>
      <c r="C496" s="0" t="s">
        <v>1640</v>
      </c>
      <c r="D496" s="0" t="s">
        <v>987</v>
      </c>
      <c r="E496" s="0" t="s">
        <v>1641</v>
      </c>
      <c r="F496" s="0" t="n">
        <v>0</v>
      </c>
      <c r="G496" s="0" t="n">
        <v>0</v>
      </c>
      <c r="H496" s="0" t="s">
        <v>580</v>
      </c>
      <c r="K496" s="0" t="s">
        <v>581</v>
      </c>
      <c r="L496" s="0" t="s">
        <v>1642</v>
      </c>
    </row>
    <row r="497" customFormat="false" ht="15" hidden="false" customHeight="false" outlineLevel="0" collapsed="false">
      <c r="A497" s="0" t="s">
        <v>61</v>
      </c>
      <c r="B497" s="0" t="s">
        <v>266</v>
      </c>
      <c r="C497" s="0" t="s">
        <v>1640</v>
      </c>
      <c r="D497" s="0" t="s">
        <v>990</v>
      </c>
      <c r="E497" s="0" t="s">
        <v>1643</v>
      </c>
      <c r="F497" s="0" t="n">
        <v>0</v>
      </c>
      <c r="G497" s="0" t="n">
        <v>4</v>
      </c>
      <c r="H497" s="0" t="s">
        <v>580</v>
      </c>
      <c r="I497" s="0" t="s">
        <v>603</v>
      </c>
      <c r="K497" s="0" t="s">
        <v>586</v>
      </c>
      <c r="L497" s="0" t="s">
        <v>1644</v>
      </c>
    </row>
    <row r="498" customFormat="false" ht="15" hidden="false" customHeight="false" outlineLevel="0" collapsed="false">
      <c r="A498" s="0" t="s">
        <v>61</v>
      </c>
      <c r="B498" s="0" t="s">
        <v>345</v>
      </c>
      <c r="C498" s="0" t="s">
        <v>1640</v>
      </c>
      <c r="D498" s="0" t="s">
        <v>993</v>
      </c>
      <c r="E498" s="0" t="s">
        <v>1645</v>
      </c>
      <c r="F498" s="0" t="n">
        <v>0</v>
      </c>
      <c r="G498" s="0" t="n">
        <v>4</v>
      </c>
      <c r="H498" s="0" t="s">
        <v>580</v>
      </c>
      <c r="I498" s="0" t="s">
        <v>603</v>
      </c>
      <c r="K498" s="0" t="s">
        <v>590</v>
      </c>
      <c r="L498" s="0" t="s">
        <v>1646</v>
      </c>
    </row>
    <row r="499" customFormat="false" ht="15" hidden="false" customHeight="false" outlineLevel="0" collapsed="false">
      <c r="A499" s="0" t="s">
        <v>61</v>
      </c>
      <c r="B499" s="0" t="s">
        <v>266</v>
      </c>
      <c r="C499" s="0" t="s">
        <v>1640</v>
      </c>
      <c r="D499" s="0" t="s">
        <v>126</v>
      </c>
      <c r="E499" s="0" t="s">
        <v>1647</v>
      </c>
      <c r="F499" s="0" t="n">
        <v>0</v>
      </c>
      <c r="G499" s="0" t="n">
        <v>3</v>
      </c>
      <c r="H499" s="0" t="s">
        <v>580</v>
      </c>
      <c r="I499" s="0" t="s">
        <v>1338</v>
      </c>
      <c r="K499" s="0" t="s">
        <v>594</v>
      </c>
      <c r="L499" s="0" t="s">
        <v>1648</v>
      </c>
    </row>
    <row r="500" customFormat="false" ht="15" hidden="false" customHeight="false" outlineLevel="0" collapsed="false">
      <c r="A500" s="0" t="s">
        <v>61</v>
      </c>
      <c r="C500" s="0" t="s">
        <v>1640</v>
      </c>
      <c r="D500" s="0" t="s">
        <v>129</v>
      </c>
      <c r="E500" s="0" t="s">
        <v>1649</v>
      </c>
      <c r="F500" s="0" t="n">
        <v>0</v>
      </c>
      <c r="G500" s="0" t="n">
        <v>0</v>
      </c>
      <c r="H500" s="0" t="s">
        <v>580</v>
      </c>
      <c r="K500" s="0" t="s">
        <v>597</v>
      </c>
      <c r="L500" s="0" t="s">
        <v>1650</v>
      </c>
    </row>
    <row r="501" customFormat="false" ht="15" hidden="false" customHeight="false" outlineLevel="0" collapsed="false">
      <c r="A501" s="0" t="s">
        <v>61</v>
      </c>
      <c r="C501" s="0" t="s">
        <v>1640</v>
      </c>
      <c r="D501" s="0" t="s">
        <v>132</v>
      </c>
      <c r="E501" s="0" t="s">
        <v>1651</v>
      </c>
      <c r="F501" s="0" t="n">
        <v>0</v>
      </c>
      <c r="G501" s="0" t="n">
        <v>0</v>
      </c>
      <c r="H501" s="0" t="s">
        <v>580</v>
      </c>
      <c r="K501" s="0" t="s">
        <v>600</v>
      </c>
      <c r="L501" s="0" t="s">
        <v>1652</v>
      </c>
    </row>
    <row r="502" customFormat="false" ht="15" hidden="false" customHeight="false" outlineLevel="0" collapsed="false">
      <c r="A502" s="0" t="s">
        <v>61</v>
      </c>
      <c r="C502" s="0" t="s">
        <v>1640</v>
      </c>
      <c r="D502" s="0" t="s">
        <v>139</v>
      </c>
      <c r="E502" s="0" t="s">
        <v>1653</v>
      </c>
      <c r="F502" s="0" t="n">
        <v>0</v>
      </c>
      <c r="G502" s="0" t="n">
        <v>0</v>
      </c>
      <c r="H502" s="0" t="s">
        <v>580</v>
      </c>
      <c r="K502" s="0" t="s">
        <v>604</v>
      </c>
      <c r="L502" s="0" t="s">
        <v>1654</v>
      </c>
    </row>
    <row r="503" customFormat="false" ht="15" hidden="false" customHeight="false" outlineLevel="0" collapsed="false">
      <c r="A503" s="0" t="s">
        <v>61</v>
      </c>
      <c r="C503" s="0" t="s">
        <v>1640</v>
      </c>
      <c r="D503" s="0" t="s">
        <v>143</v>
      </c>
      <c r="E503" s="0" t="s">
        <v>1655</v>
      </c>
      <c r="F503" s="0" t="n">
        <v>0</v>
      </c>
      <c r="G503" s="0" t="n">
        <v>0</v>
      </c>
      <c r="H503" s="0" t="s">
        <v>580</v>
      </c>
      <c r="K503" s="0" t="s">
        <v>607</v>
      </c>
      <c r="L503" s="0" t="s">
        <v>1656</v>
      </c>
    </row>
    <row r="504" customFormat="false" ht="15" hidden="false" customHeight="false" outlineLevel="0" collapsed="false">
      <c r="A504" s="0" t="s">
        <v>61</v>
      </c>
      <c r="C504" s="0" t="s">
        <v>1640</v>
      </c>
      <c r="D504" s="0" t="s">
        <v>146</v>
      </c>
      <c r="E504" s="0" t="s">
        <v>1657</v>
      </c>
      <c r="F504" s="0" t="n">
        <v>0</v>
      </c>
      <c r="G504" s="0" t="n">
        <v>0</v>
      </c>
      <c r="H504" s="0" t="s">
        <v>580</v>
      </c>
      <c r="K504" s="0" t="s">
        <v>610</v>
      </c>
      <c r="L504" s="0" t="s">
        <v>1658</v>
      </c>
    </row>
    <row r="505" customFormat="false" ht="15" hidden="false" customHeight="false" outlineLevel="0" collapsed="false">
      <c r="A505" s="0" t="s">
        <v>61</v>
      </c>
      <c r="C505" s="0" t="s">
        <v>1640</v>
      </c>
      <c r="D505" s="0" t="s">
        <v>149</v>
      </c>
      <c r="E505" s="0" t="s">
        <v>1659</v>
      </c>
      <c r="F505" s="0" t="n">
        <v>0</v>
      </c>
      <c r="G505" s="0" t="n">
        <v>0</v>
      </c>
      <c r="H505" s="0" t="s">
        <v>580</v>
      </c>
      <c r="K505" s="0" t="s">
        <v>613</v>
      </c>
      <c r="L505" s="0" t="s">
        <v>1660</v>
      </c>
    </row>
    <row r="506" customFormat="false" ht="15" hidden="false" customHeight="false" outlineLevel="0" collapsed="false">
      <c r="A506" s="0" t="s">
        <v>61</v>
      </c>
      <c r="C506" s="0" t="s">
        <v>1640</v>
      </c>
      <c r="D506" s="0" t="s">
        <v>152</v>
      </c>
      <c r="E506" s="0" t="s">
        <v>1661</v>
      </c>
      <c r="F506" s="0" t="n">
        <v>0</v>
      </c>
      <c r="G506" s="0" t="n">
        <v>0</v>
      </c>
      <c r="H506" s="0" t="s">
        <v>580</v>
      </c>
      <c r="K506" s="0" t="s">
        <v>616</v>
      </c>
      <c r="L506" s="0" t="s">
        <v>1662</v>
      </c>
    </row>
    <row r="507" customFormat="false" ht="15" hidden="false" customHeight="false" outlineLevel="0" collapsed="false">
      <c r="A507" s="0" t="s">
        <v>61</v>
      </c>
      <c r="C507" s="0" t="s">
        <v>1640</v>
      </c>
      <c r="D507" s="0" t="s">
        <v>155</v>
      </c>
      <c r="E507" s="0" t="s">
        <v>1663</v>
      </c>
      <c r="F507" s="0" t="n">
        <v>0</v>
      </c>
      <c r="G507" s="0" t="n">
        <v>0</v>
      </c>
      <c r="H507" s="0" t="s">
        <v>580</v>
      </c>
      <c r="K507" s="0" t="s">
        <v>620</v>
      </c>
      <c r="L507" s="0" t="s">
        <v>1664</v>
      </c>
    </row>
    <row r="508" customFormat="false" ht="15" hidden="false" customHeight="false" outlineLevel="0" collapsed="false">
      <c r="A508" s="0" t="s">
        <v>61</v>
      </c>
      <c r="C508" s="0" t="s">
        <v>1665</v>
      </c>
      <c r="D508" s="0" t="s">
        <v>987</v>
      </c>
      <c r="E508" s="0" t="s">
        <v>1666</v>
      </c>
      <c r="F508" s="0" t="n">
        <v>0</v>
      </c>
      <c r="G508" s="0" t="n">
        <v>0</v>
      </c>
      <c r="H508" s="0" t="s">
        <v>580</v>
      </c>
      <c r="K508" s="0" t="s">
        <v>581</v>
      </c>
      <c r="L508" s="0" t="s">
        <v>1667</v>
      </c>
    </row>
    <row r="509" customFormat="false" ht="15" hidden="false" customHeight="false" outlineLevel="0" collapsed="false">
      <c r="A509" s="0" t="s">
        <v>61</v>
      </c>
      <c r="C509" s="0" t="s">
        <v>1665</v>
      </c>
      <c r="D509" s="0" t="s">
        <v>990</v>
      </c>
      <c r="E509" s="0" t="s">
        <v>1668</v>
      </c>
      <c r="F509" s="0" t="n">
        <v>0</v>
      </c>
      <c r="G509" s="0" t="n">
        <v>0</v>
      </c>
      <c r="H509" s="0" t="s">
        <v>580</v>
      </c>
      <c r="K509" s="0" t="s">
        <v>586</v>
      </c>
      <c r="L509" s="0" t="s">
        <v>1669</v>
      </c>
    </row>
    <row r="510" customFormat="false" ht="15" hidden="false" customHeight="false" outlineLevel="0" collapsed="false">
      <c r="A510" s="0" t="s">
        <v>61</v>
      </c>
      <c r="C510" s="0" t="s">
        <v>1665</v>
      </c>
      <c r="D510" s="0" t="s">
        <v>993</v>
      </c>
      <c r="E510" s="0" t="s">
        <v>1670</v>
      </c>
      <c r="F510" s="0" t="n">
        <v>0</v>
      </c>
      <c r="G510" s="0" t="n">
        <v>0</v>
      </c>
      <c r="H510" s="0" t="s">
        <v>580</v>
      </c>
      <c r="K510" s="0" t="s">
        <v>590</v>
      </c>
      <c r="L510" s="0" t="s">
        <v>1671</v>
      </c>
    </row>
    <row r="511" customFormat="false" ht="15" hidden="false" customHeight="false" outlineLevel="0" collapsed="false">
      <c r="A511" s="0" t="s">
        <v>61</v>
      </c>
      <c r="C511" s="0" t="s">
        <v>1665</v>
      </c>
      <c r="D511" s="0" t="s">
        <v>126</v>
      </c>
      <c r="E511" s="0" t="s">
        <v>1672</v>
      </c>
      <c r="F511" s="0" t="n">
        <v>0</v>
      </c>
      <c r="G511" s="0" t="n">
        <v>0</v>
      </c>
      <c r="H511" s="0" t="s">
        <v>580</v>
      </c>
      <c r="K511" s="0" t="s">
        <v>594</v>
      </c>
      <c r="L511" s="0" t="s">
        <v>1673</v>
      </c>
    </row>
    <row r="512" customFormat="false" ht="15" hidden="false" customHeight="false" outlineLevel="0" collapsed="false">
      <c r="A512" s="0" t="s">
        <v>61</v>
      </c>
      <c r="C512" s="0" t="s">
        <v>1665</v>
      </c>
      <c r="D512" s="0" t="s">
        <v>129</v>
      </c>
      <c r="E512" s="0" t="s">
        <v>1674</v>
      </c>
      <c r="F512" s="0" t="n">
        <v>0</v>
      </c>
      <c r="G512" s="0" t="n">
        <v>0</v>
      </c>
      <c r="H512" s="0" t="s">
        <v>580</v>
      </c>
      <c r="K512" s="0" t="s">
        <v>597</v>
      </c>
      <c r="L512" s="0" t="s">
        <v>1675</v>
      </c>
    </row>
    <row r="513" customFormat="false" ht="15" hidden="false" customHeight="false" outlineLevel="0" collapsed="false">
      <c r="A513" s="0" t="s">
        <v>61</v>
      </c>
      <c r="C513" s="0" t="s">
        <v>1665</v>
      </c>
      <c r="D513" s="0" t="s">
        <v>132</v>
      </c>
      <c r="E513" s="0" t="s">
        <v>1676</v>
      </c>
      <c r="F513" s="0" t="n">
        <v>0</v>
      </c>
      <c r="G513" s="0" t="n">
        <v>0</v>
      </c>
      <c r="H513" s="0" t="s">
        <v>580</v>
      </c>
      <c r="K513" s="0" t="s">
        <v>600</v>
      </c>
      <c r="L513" s="0" t="s">
        <v>1677</v>
      </c>
    </row>
    <row r="514" customFormat="false" ht="15" hidden="false" customHeight="false" outlineLevel="0" collapsed="false">
      <c r="A514" s="0" t="s">
        <v>61</v>
      </c>
      <c r="C514" s="0" t="s">
        <v>1665</v>
      </c>
      <c r="D514" s="0" t="s">
        <v>139</v>
      </c>
      <c r="E514" s="0" t="s">
        <v>1678</v>
      </c>
      <c r="F514" s="0" t="n">
        <v>0</v>
      </c>
      <c r="G514" s="0" t="n">
        <v>0</v>
      </c>
      <c r="H514" s="0" t="s">
        <v>580</v>
      </c>
      <c r="K514" s="0" t="s">
        <v>604</v>
      </c>
      <c r="L514" s="0" t="s">
        <v>1679</v>
      </c>
    </row>
    <row r="515" customFormat="false" ht="15" hidden="false" customHeight="false" outlineLevel="0" collapsed="false">
      <c r="A515" s="0" t="s">
        <v>61</v>
      </c>
      <c r="C515" s="0" t="s">
        <v>1665</v>
      </c>
      <c r="D515" s="0" t="s">
        <v>143</v>
      </c>
      <c r="E515" s="0" t="s">
        <v>1680</v>
      </c>
      <c r="F515" s="0" t="n">
        <v>0</v>
      </c>
      <c r="G515" s="0" t="n">
        <v>0</v>
      </c>
      <c r="H515" s="0" t="s">
        <v>580</v>
      </c>
      <c r="K515" s="0" t="s">
        <v>607</v>
      </c>
      <c r="L515" s="0" t="s">
        <v>1681</v>
      </c>
    </row>
    <row r="516" customFormat="false" ht="15" hidden="false" customHeight="false" outlineLevel="0" collapsed="false">
      <c r="A516" s="0" t="s">
        <v>61</v>
      </c>
      <c r="C516" s="0" t="s">
        <v>1665</v>
      </c>
      <c r="D516" s="0" t="s">
        <v>146</v>
      </c>
      <c r="E516" s="0" t="s">
        <v>1682</v>
      </c>
      <c r="F516" s="0" t="n">
        <v>0</v>
      </c>
      <c r="G516" s="0" t="n">
        <v>0</v>
      </c>
      <c r="H516" s="0" t="s">
        <v>580</v>
      </c>
      <c r="K516" s="0" t="s">
        <v>610</v>
      </c>
      <c r="L516" s="0" t="s">
        <v>1683</v>
      </c>
    </row>
    <row r="517" customFormat="false" ht="15" hidden="false" customHeight="false" outlineLevel="0" collapsed="false">
      <c r="A517" s="0" t="s">
        <v>61</v>
      </c>
      <c r="C517" s="0" t="s">
        <v>1665</v>
      </c>
      <c r="D517" s="0" t="s">
        <v>149</v>
      </c>
      <c r="E517" s="0" t="s">
        <v>1684</v>
      </c>
      <c r="F517" s="0" t="n">
        <v>0</v>
      </c>
      <c r="G517" s="0" t="n">
        <v>0</v>
      </c>
      <c r="H517" s="0" t="s">
        <v>580</v>
      </c>
      <c r="K517" s="0" t="s">
        <v>613</v>
      </c>
      <c r="L517" s="0" t="s">
        <v>1685</v>
      </c>
    </row>
    <row r="518" customFormat="false" ht="15" hidden="false" customHeight="false" outlineLevel="0" collapsed="false">
      <c r="A518" s="0" t="s">
        <v>61</v>
      </c>
      <c r="B518" s="0" t="s">
        <v>345</v>
      </c>
      <c r="C518" s="0" t="s">
        <v>1665</v>
      </c>
      <c r="D518" s="0" t="s">
        <v>152</v>
      </c>
      <c r="E518" s="0" t="s">
        <v>1686</v>
      </c>
      <c r="F518" s="0" t="n">
        <v>0</v>
      </c>
      <c r="G518" s="0" t="n">
        <v>3</v>
      </c>
      <c r="H518" s="0" t="s">
        <v>580</v>
      </c>
      <c r="I518" s="0" t="s">
        <v>603</v>
      </c>
      <c r="K518" s="0" t="s">
        <v>616</v>
      </c>
      <c r="L518" s="0" t="s">
        <v>1687</v>
      </c>
    </row>
    <row r="519" customFormat="false" ht="15" hidden="false" customHeight="false" outlineLevel="0" collapsed="false">
      <c r="A519" s="0" t="s">
        <v>61</v>
      </c>
      <c r="C519" s="0" t="s">
        <v>1665</v>
      </c>
      <c r="D519" s="0" t="s">
        <v>155</v>
      </c>
      <c r="E519" s="0" t="s">
        <v>1688</v>
      </c>
      <c r="F519" s="0" t="n">
        <v>0</v>
      </c>
      <c r="G519" s="0" t="n">
        <v>0</v>
      </c>
      <c r="H519" s="0" t="s">
        <v>580</v>
      </c>
      <c r="K519" s="0" t="s">
        <v>620</v>
      </c>
      <c r="L519" s="0" t="s">
        <v>1689</v>
      </c>
    </row>
    <row r="520" customFormat="false" ht="15" hidden="false" customHeight="false" outlineLevel="0" collapsed="false">
      <c r="A520" s="0" t="s">
        <v>63</v>
      </c>
      <c r="B520" s="0" t="s">
        <v>303</v>
      </c>
      <c r="C520" s="0" t="s">
        <v>577</v>
      </c>
      <c r="D520" s="0" t="s">
        <v>987</v>
      </c>
      <c r="E520" s="0" t="s">
        <v>1690</v>
      </c>
      <c r="F520" s="0" t="n">
        <v>0</v>
      </c>
      <c r="G520" s="0" t="n">
        <v>0</v>
      </c>
      <c r="H520" s="0" t="s">
        <v>580</v>
      </c>
      <c r="K520" s="0" t="s">
        <v>581</v>
      </c>
      <c r="L520" s="0" t="s">
        <v>1691</v>
      </c>
    </row>
    <row r="521" customFormat="false" ht="15" hidden="false" customHeight="false" outlineLevel="0" collapsed="false">
      <c r="A521" s="0" t="s">
        <v>63</v>
      </c>
      <c r="B521" s="0" t="s">
        <v>303</v>
      </c>
      <c r="C521" s="0" t="s">
        <v>577</v>
      </c>
      <c r="D521" s="0" t="s">
        <v>990</v>
      </c>
      <c r="E521" s="0" t="s">
        <v>1692</v>
      </c>
      <c r="F521" s="0" t="n">
        <v>5</v>
      </c>
      <c r="G521" s="0" t="n">
        <v>3</v>
      </c>
      <c r="H521" s="0" t="s">
        <v>585</v>
      </c>
      <c r="I521" s="0" t="s">
        <v>337</v>
      </c>
      <c r="K521" s="0" t="s">
        <v>586</v>
      </c>
      <c r="L521" s="0" t="s">
        <v>1693</v>
      </c>
    </row>
    <row r="522" customFormat="false" ht="15" hidden="false" customHeight="false" outlineLevel="0" collapsed="false">
      <c r="A522" s="0" t="s">
        <v>63</v>
      </c>
      <c r="B522" s="0" t="s">
        <v>303</v>
      </c>
      <c r="C522" s="0" t="s">
        <v>577</v>
      </c>
      <c r="D522" s="0" t="s">
        <v>993</v>
      </c>
      <c r="E522" s="0" t="s">
        <v>1694</v>
      </c>
      <c r="F522" s="0" t="n">
        <v>5</v>
      </c>
      <c r="G522" s="0" t="n">
        <v>0</v>
      </c>
      <c r="H522" s="0" t="s">
        <v>585</v>
      </c>
      <c r="K522" s="0" t="s">
        <v>590</v>
      </c>
      <c r="L522" s="0" t="s">
        <v>1695</v>
      </c>
    </row>
    <row r="523" customFormat="false" ht="15" hidden="false" customHeight="false" outlineLevel="0" collapsed="false">
      <c r="A523" s="0" t="s">
        <v>63</v>
      </c>
      <c r="B523" s="0" t="s">
        <v>303</v>
      </c>
      <c r="C523" s="0" t="s">
        <v>577</v>
      </c>
      <c r="D523" s="0" t="s">
        <v>126</v>
      </c>
      <c r="E523" s="0" t="s">
        <v>1696</v>
      </c>
      <c r="F523" s="0" t="n">
        <v>5</v>
      </c>
      <c r="G523" s="0" t="n">
        <v>0</v>
      </c>
      <c r="H523" s="0" t="s">
        <v>585</v>
      </c>
      <c r="K523" s="0" t="s">
        <v>594</v>
      </c>
      <c r="L523" s="0" t="s">
        <v>1697</v>
      </c>
    </row>
    <row r="524" customFormat="false" ht="15" hidden="false" customHeight="false" outlineLevel="0" collapsed="false">
      <c r="A524" s="0" t="s">
        <v>63</v>
      </c>
      <c r="B524" s="0" t="s">
        <v>303</v>
      </c>
      <c r="C524" s="0" t="s">
        <v>577</v>
      </c>
      <c r="D524" s="0" t="s">
        <v>129</v>
      </c>
      <c r="E524" s="0" t="s">
        <v>1698</v>
      </c>
      <c r="F524" s="0" t="n">
        <v>5</v>
      </c>
      <c r="G524" s="0" t="n">
        <v>0</v>
      </c>
      <c r="H524" s="0" t="s">
        <v>585</v>
      </c>
      <c r="K524" s="0" t="s">
        <v>597</v>
      </c>
      <c r="L524" s="0" t="s">
        <v>1699</v>
      </c>
    </row>
    <row r="525" customFormat="false" ht="15" hidden="false" customHeight="false" outlineLevel="0" collapsed="false">
      <c r="A525" s="0" t="s">
        <v>63</v>
      </c>
      <c r="B525" s="0" t="s">
        <v>303</v>
      </c>
      <c r="C525" s="0" t="s">
        <v>577</v>
      </c>
      <c r="D525" s="0" t="s">
        <v>132</v>
      </c>
      <c r="E525" s="0" t="s">
        <v>1700</v>
      </c>
      <c r="F525" s="0" t="n">
        <v>5</v>
      </c>
      <c r="G525" s="0" t="n">
        <v>0</v>
      </c>
      <c r="H525" s="0" t="s">
        <v>585</v>
      </c>
      <c r="K525" s="0" t="s">
        <v>600</v>
      </c>
      <c r="L525" s="0" t="s">
        <v>1701</v>
      </c>
    </row>
    <row r="526" customFormat="false" ht="15" hidden="false" customHeight="false" outlineLevel="0" collapsed="false">
      <c r="A526" s="0" t="s">
        <v>63</v>
      </c>
      <c r="B526" s="0" t="s">
        <v>303</v>
      </c>
      <c r="C526" s="0" t="s">
        <v>577</v>
      </c>
      <c r="D526" s="0" t="s">
        <v>139</v>
      </c>
      <c r="E526" s="0" t="s">
        <v>1702</v>
      </c>
      <c r="F526" s="0" t="n">
        <v>5</v>
      </c>
      <c r="G526" s="0" t="n">
        <v>0</v>
      </c>
      <c r="H526" s="0" t="s">
        <v>585</v>
      </c>
      <c r="K526" s="0" t="s">
        <v>604</v>
      </c>
      <c r="L526" s="0" t="s">
        <v>1703</v>
      </c>
    </row>
    <row r="527" customFormat="false" ht="15" hidden="false" customHeight="false" outlineLevel="0" collapsed="false">
      <c r="A527" s="0" t="s">
        <v>63</v>
      </c>
      <c r="B527" s="0" t="s">
        <v>303</v>
      </c>
      <c r="C527" s="0" t="s">
        <v>577</v>
      </c>
      <c r="D527" s="0" t="s">
        <v>143</v>
      </c>
      <c r="E527" s="0" t="s">
        <v>1704</v>
      </c>
      <c r="F527" s="0" t="n">
        <v>5</v>
      </c>
      <c r="G527" s="0" t="n">
        <v>0</v>
      </c>
      <c r="H527" s="0" t="s">
        <v>585</v>
      </c>
      <c r="K527" s="0" t="s">
        <v>607</v>
      </c>
      <c r="L527" s="0" t="s">
        <v>1705</v>
      </c>
    </row>
    <row r="528" customFormat="false" ht="15" hidden="false" customHeight="false" outlineLevel="0" collapsed="false">
      <c r="A528" s="0" t="s">
        <v>63</v>
      </c>
      <c r="B528" s="0" t="s">
        <v>303</v>
      </c>
      <c r="C528" s="0" t="s">
        <v>577</v>
      </c>
      <c r="D528" s="0" t="s">
        <v>146</v>
      </c>
      <c r="E528" s="0" t="s">
        <v>1706</v>
      </c>
      <c r="F528" s="0" t="n">
        <v>0</v>
      </c>
      <c r="G528" s="0" t="n">
        <v>0</v>
      </c>
      <c r="H528" s="0" t="s">
        <v>580</v>
      </c>
      <c r="K528" s="0" t="s">
        <v>610</v>
      </c>
      <c r="L528" s="0" t="s">
        <v>1707</v>
      </c>
    </row>
    <row r="529" customFormat="false" ht="15" hidden="false" customHeight="false" outlineLevel="0" collapsed="false">
      <c r="A529" s="0" t="s">
        <v>63</v>
      </c>
      <c r="B529" s="0" t="s">
        <v>303</v>
      </c>
      <c r="C529" s="0" t="s">
        <v>577</v>
      </c>
      <c r="D529" s="0" t="s">
        <v>149</v>
      </c>
      <c r="E529" s="0" t="s">
        <v>1708</v>
      </c>
      <c r="F529" s="0" t="n">
        <v>0</v>
      </c>
      <c r="G529" s="0" t="n">
        <v>0</v>
      </c>
      <c r="H529" s="0" t="s">
        <v>580</v>
      </c>
      <c r="K529" s="0" t="s">
        <v>613</v>
      </c>
      <c r="L529" s="0" t="s">
        <v>1709</v>
      </c>
    </row>
    <row r="530" customFormat="false" ht="15" hidden="false" customHeight="false" outlineLevel="0" collapsed="false">
      <c r="A530" s="0" t="s">
        <v>63</v>
      </c>
      <c r="B530" s="0" t="s">
        <v>303</v>
      </c>
      <c r="C530" s="0" t="s">
        <v>577</v>
      </c>
      <c r="D530" s="0" t="s">
        <v>152</v>
      </c>
      <c r="E530" s="0" t="s">
        <v>1710</v>
      </c>
      <c r="F530" s="0" t="n">
        <v>5</v>
      </c>
      <c r="G530" s="0" t="n">
        <v>0</v>
      </c>
      <c r="H530" s="0" t="s">
        <v>585</v>
      </c>
      <c r="K530" s="0" t="s">
        <v>616</v>
      </c>
      <c r="L530" s="0" t="s">
        <v>1711</v>
      </c>
    </row>
    <row r="531" customFormat="false" ht="15" hidden="false" customHeight="false" outlineLevel="0" collapsed="false">
      <c r="A531" s="0" t="s">
        <v>63</v>
      </c>
      <c r="B531" s="0" t="s">
        <v>303</v>
      </c>
      <c r="C531" s="0" t="s">
        <v>577</v>
      </c>
      <c r="D531" s="0" t="s">
        <v>155</v>
      </c>
      <c r="E531" s="0" t="s">
        <v>1712</v>
      </c>
      <c r="F531" s="0" t="n">
        <v>5</v>
      </c>
      <c r="G531" s="0" t="n">
        <v>0</v>
      </c>
      <c r="H531" s="0" t="s">
        <v>585</v>
      </c>
      <c r="K531" s="0" t="s">
        <v>620</v>
      </c>
      <c r="L531" s="0" t="s">
        <v>1713</v>
      </c>
    </row>
    <row r="532" customFormat="false" ht="15" hidden="false" customHeight="false" outlineLevel="0" collapsed="false">
      <c r="A532" s="0" t="s">
        <v>63</v>
      </c>
      <c r="B532" s="0" t="s">
        <v>303</v>
      </c>
      <c r="C532" s="0" t="s">
        <v>622</v>
      </c>
      <c r="D532" s="0" t="s">
        <v>987</v>
      </c>
      <c r="E532" s="0" t="s">
        <v>1714</v>
      </c>
      <c r="F532" s="0" t="n">
        <v>0</v>
      </c>
      <c r="G532" s="0" t="n">
        <v>0</v>
      </c>
      <c r="H532" s="0" t="s">
        <v>580</v>
      </c>
      <c r="K532" s="0" t="s">
        <v>581</v>
      </c>
      <c r="L532" s="0" t="s">
        <v>1715</v>
      </c>
    </row>
    <row r="533" customFormat="false" ht="15" hidden="false" customHeight="false" outlineLevel="0" collapsed="false">
      <c r="A533" s="0" t="s">
        <v>63</v>
      </c>
      <c r="B533" s="0" t="s">
        <v>303</v>
      </c>
      <c r="C533" s="0" t="s">
        <v>622</v>
      </c>
      <c r="D533" s="0" t="s">
        <v>990</v>
      </c>
      <c r="E533" s="0" t="s">
        <v>1716</v>
      </c>
      <c r="F533" s="0" t="n">
        <v>5</v>
      </c>
      <c r="G533" s="0" t="n">
        <v>0</v>
      </c>
      <c r="H533" s="0" t="s">
        <v>585</v>
      </c>
      <c r="K533" s="0" t="s">
        <v>586</v>
      </c>
      <c r="L533" s="0" t="s">
        <v>1717</v>
      </c>
    </row>
    <row r="534" customFormat="false" ht="15" hidden="false" customHeight="false" outlineLevel="0" collapsed="false">
      <c r="A534" s="0" t="s">
        <v>63</v>
      </c>
      <c r="B534" s="0" t="s">
        <v>303</v>
      </c>
      <c r="C534" s="0" t="s">
        <v>622</v>
      </c>
      <c r="D534" s="0" t="s">
        <v>993</v>
      </c>
      <c r="E534" s="0" t="s">
        <v>1718</v>
      </c>
      <c r="F534" s="0" t="n">
        <v>5</v>
      </c>
      <c r="G534" s="0" t="n">
        <v>2</v>
      </c>
      <c r="H534" s="0" t="s">
        <v>585</v>
      </c>
      <c r="I534" s="0" t="s">
        <v>342</v>
      </c>
      <c r="K534" s="0" t="s">
        <v>590</v>
      </c>
      <c r="L534" s="0" t="s">
        <v>1719</v>
      </c>
    </row>
    <row r="535" customFormat="false" ht="15" hidden="false" customHeight="false" outlineLevel="0" collapsed="false">
      <c r="A535" s="0" t="s">
        <v>63</v>
      </c>
      <c r="B535" s="0" t="s">
        <v>303</v>
      </c>
      <c r="C535" s="0" t="s">
        <v>622</v>
      </c>
      <c r="D535" s="0" t="s">
        <v>126</v>
      </c>
      <c r="E535" s="0" t="s">
        <v>1720</v>
      </c>
      <c r="F535" s="0" t="n">
        <v>5</v>
      </c>
      <c r="G535" s="0" t="n">
        <v>0</v>
      </c>
      <c r="H535" s="0" t="s">
        <v>585</v>
      </c>
      <c r="K535" s="0" t="s">
        <v>594</v>
      </c>
      <c r="L535" s="0" t="s">
        <v>1721</v>
      </c>
    </row>
    <row r="536" customFormat="false" ht="15" hidden="false" customHeight="false" outlineLevel="0" collapsed="false">
      <c r="A536" s="0" t="s">
        <v>63</v>
      </c>
      <c r="B536" s="0" t="s">
        <v>303</v>
      </c>
      <c r="C536" s="0" t="s">
        <v>622</v>
      </c>
      <c r="D536" s="0" t="s">
        <v>129</v>
      </c>
      <c r="E536" s="0" t="s">
        <v>1722</v>
      </c>
      <c r="F536" s="0" t="n">
        <v>5</v>
      </c>
      <c r="G536" s="0" t="n">
        <v>0</v>
      </c>
      <c r="H536" s="0" t="s">
        <v>585</v>
      </c>
      <c r="K536" s="0" t="s">
        <v>597</v>
      </c>
      <c r="L536" s="0" t="s">
        <v>1723</v>
      </c>
    </row>
    <row r="537" customFormat="false" ht="15" hidden="false" customHeight="false" outlineLevel="0" collapsed="false">
      <c r="A537" s="0" t="s">
        <v>63</v>
      </c>
      <c r="B537" s="0" t="s">
        <v>303</v>
      </c>
      <c r="C537" s="0" t="s">
        <v>622</v>
      </c>
      <c r="D537" s="0" t="s">
        <v>132</v>
      </c>
      <c r="E537" s="0" t="s">
        <v>1724</v>
      </c>
      <c r="F537" s="0" t="n">
        <v>0</v>
      </c>
      <c r="G537" s="0" t="n">
        <v>0</v>
      </c>
      <c r="H537" s="0" t="s">
        <v>580</v>
      </c>
      <c r="K537" s="0" t="s">
        <v>600</v>
      </c>
      <c r="L537" s="0" t="s">
        <v>1725</v>
      </c>
    </row>
    <row r="538" customFormat="false" ht="15" hidden="false" customHeight="false" outlineLevel="0" collapsed="false">
      <c r="A538" s="0" t="s">
        <v>63</v>
      </c>
      <c r="B538" s="0" t="s">
        <v>303</v>
      </c>
      <c r="C538" s="0" t="s">
        <v>622</v>
      </c>
      <c r="D538" s="0" t="s">
        <v>139</v>
      </c>
      <c r="E538" s="0" t="s">
        <v>1726</v>
      </c>
      <c r="F538" s="0" t="n">
        <v>5</v>
      </c>
      <c r="G538" s="0" t="n">
        <v>0</v>
      </c>
      <c r="H538" s="0" t="s">
        <v>585</v>
      </c>
      <c r="K538" s="0" t="s">
        <v>604</v>
      </c>
      <c r="L538" s="0" t="s">
        <v>1727</v>
      </c>
    </row>
    <row r="539" customFormat="false" ht="15" hidden="false" customHeight="false" outlineLevel="0" collapsed="false">
      <c r="A539" s="0" t="s">
        <v>63</v>
      </c>
      <c r="B539" s="0" t="s">
        <v>303</v>
      </c>
      <c r="C539" s="0" t="s">
        <v>622</v>
      </c>
      <c r="D539" s="0" t="s">
        <v>143</v>
      </c>
      <c r="E539" s="0" t="s">
        <v>1728</v>
      </c>
      <c r="F539" s="0" t="n">
        <v>5</v>
      </c>
      <c r="G539" s="0" t="n">
        <v>0</v>
      </c>
      <c r="H539" s="0" t="s">
        <v>585</v>
      </c>
      <c r="K539" s="0" t="s">
        <v>607</v>
      </c>
      <c r="L539" s="0" t="s">
        <v>1729</v>
      </c>
    </row>
    <row r="540" customFormat="false" ht="15" hidden="false" customHeight="false" outlineLevel="0" collapsed="false">
      <c r="A540" s="0" t="s">
        <v>63</v>
      </c>
      <c r="B540" s="0" t="s">
        <v>303</v>
      </c>
      <c r="C540" s="0" t="s">
        <v>622</v>
      </c>
      <c r="D540" s="0" t="s">
        <v>146</v>
      </c>
      <c r="E540" s="0" t="s">
        <v>1730</v>
      </c>
      <c r="F540" s="0" t="n">
        <v>5</v>
      </c>
      <c r="G540" s="0" t="n">
        <v>1</v>
      </c>
      <c r="H540" s="0" t="s">
        <v>585</v>
      </c>
      <c r="I540" s="0" t="s">
        <v>342</v>
      </c>
      <c r="K540" s="0" t="s">
        <v>610</v>
      </c>
      <c r="L540" s="0" t="s">
        <v>1731</v>
      </c>
    </row>
    <row r="541" customFormat="false" ht="15" hidden="false" customHeight="false" outlineLevel="0" collapsed="false">
      <c r="A541" s="0" t="s">
        <v>63</v>
      </c>
      <c r="B541" s="0" t="s">
        <v>303</v>
      </c>
      <c r="C541" s="0" t="s">
        <v>622</v>
      </c>
      <c r="D541" s="0" t="s">
        <v>149</v>
      </c>
      <c r="E541" s="0" t="s">
        <v>1732</v>
      </c>
      <c r="F541" s="0" t="n">
        <v>0</v>
      </c>
      <c r="G541" s="0" t="n">
        <v>0</v>
      </c>
      <c r="H541" s="0" t="s">
        <v>580</v>
      </c>
      <c r="K541" s="0" t="s">
        <v>613</v>
      </c>
      <c r="L541" s="0" t="s">
        <v>1733</v>
      </c>
    </row>
    <row r="542" customFormat="false" ht="15" hidden="false" customHeight="false" outlineLevel="0" collapsed="false">
      <c r="A542" s="0" t="s">
        <v>63</v>
      </c>
      <c r="B542" s="0" t="s">
        <v>303</v>
      </c>
      <c r="C542" s="0" t="s">
        <v>622</v>
      </c>
      <c r="D542" s="0" t="s">
        <v>152</v>
      </c>
      <c r="E542" s="0" t="s">
        <v>1734</v>
      </c>
      <c r="F542" s="0" t="n">
        <v>5</v>
      </c>
      <c r="G542" s="0" t="n">
        <v>0</v>
      </c>
      <c r="H542" s="0" t="s">
        <v>585</v>
      </c>
      <c r="K542" s="0" t="s">
        <v>616</v>
      </c>
      <c r="L542" s="0" t="s">
        <v>1735</v>
      </c>
    </row>
    <row r="543" customFormat="false" ht="15" hidden="false" customHeight="false" outlineLevel="0" collapsed="false">
      <c r="A543" s="0" t="s">
        <v>63</v>
      </c>
      <c r="B543" s="0" t="s">
        <v>303</v>
      </c>
      <c r="C543" s="0" t="s">
        <v>622</v>
      </c>
      <c r="D543" s="0" t="s">
        <v>155</v>
      </c>
      <c r="E543" s="0" t="s">
        <v>1736</v>
      </c>
      <c r="F543" s="0" t="n">
        <v>5</v>
      </c>
      <c r="G543" s="0" t="n">
        <v>0</v>
      </c>
      <c r="H543" s="0" t="s">
        <v>585</v>
      </c>
      <c r="K543" s="0" t="s">
        <v>620</v>
      </c>
      <c r="L543" s="0" t="s">
        <v>1737</v>
      </c>
    </row>
    <row r="544" customFormat="false" ht="15" hidden="false" customHeight="false" outlineLevel="0" collapsed="false">
      <c r="A544" s="0" t="s">
        <v>63</v>
      </c>
      <c r="B544" s="0" t="s">
        <v>303</v>
      </c>
      <c r="C544" s="0" t="s">
        <v>649</v>
      </c>
      <c r="D544" s="0" t="s">
        <v>987</v>
      </c>
      <c r="E544" s="0" t="s">
        <v>1738</v>
      </c>
      <c r="F544" s="0" t="n">
        <v>0</v>
      </c>
      <c r="G544" s="0" t="n">
        <v>0</v>
      </c>
      <c r="H544" s="0" t="s">
        <v>580</v>
      </c>
      <c r="K544" s="0" t="s">
        <v>581</v>
      </c>
      <c r="L544" s="0" t="s">
        <v>1739</v>
      </c>
    </row>
    <row r="545" customFormat="false" ht="15" hidden="false" customHeight="false" outlineLevel="0" collapsed="false">
      <c r="A545" s="0" t="s">
        <v>63</v>
      </c>
      <c r="B545" s="0" t="s">
        <v>303</v>
      </c>
      <c r="C545" s="0" t="s">
        <v>649</v>
      </c>
      <c r="D545" s="0" t="s">
        <v>990</v>
      </c>
      <c r="E545" s="0" t="s">
        <v>1740</v>
      </c>
      <c r="F545" s="0" t="n">
        <v>5</v>
      </c>
      <c r="G545" s="0" t="n">
        <v>0</v>
      </c>
      <c r="H545" s="0" t="s">
        <v>585</v>
      </c>
      <c r="K545" s="0" t="s">
        <v>586</v>
      </c>
      <c r="L545" s="0" t="s">
        <v>1741</v>
      </c>
    </row>
    <row r="546" customFormat="false" ht="15" hidden="false" customHeight="false" outlineLevel="0" collapsed="false">
      <c r="A546" s="0" t="s">
        <v>63</v>
      </c>
      <c r="B546" s="0" t="s">
        <v>303</v>
      </c>
      <c r="C546" s="0" t="s">
        <v>649</v>
      </c>
      <c r="D546" s="0" t="s">
        <v>993</v>
      </c>
      <c r="E546" s="0" t="s">
        <v>1742</v>
      </c>
      <c r="F546" s="0" t="n">
        <v>5</v>
      </c>
      <c r="G546" s="0" t="n">
        <v>1</v>
      </c>
      <c r="H546" s="0" t="s">
        <v>585</v>
      </c>
      <c r="I546" s="0" t="s">
        <v>336</v>
      </c>
      <c r="K546" s="0" t="s">
        <v>590</v>
      </c>
      <c r="L546" s="0" t="s">
        <v>1743</v>
      </c>
    </row>
    <row r="547" customFormat="false" ht="15" hidden="false" customHeight="false" outlineLevel="0" collapsed="false">
      <c r="A547" s="0" t="s">
        <v>63</v>
      </c>
      <c r="B547" s="0" t="s">
        <v>303</v>
      </c>
      <c r="C547" s="0" t="s">
        <v>649</v>
      </c>
      <c r="D547" s="0" t="s">
        <v>126</v>
      </c>
      <c r="E547" s="0" t="s">
        <v>1744</v>
      </c>
      <c r="F547" s="0" t="n">
        <v>5</v>
      </c>
      <c r="G547" s="0" t="n">
        <v>0</v>
      </c>
      <c r="H547" s="0" t="s">
        <v>585</v>
      </c>
      <c r="K547" s="0" t="s">
        <v>594</v>
      </c>
      <c r="L547" s="0" t="s">
        <v>1745</v>
      </c>
    </row>
    <row r="548" customFormat="false" ht="15" hidden="false" customHeight="false" outlineLevel="0" collapsed="false">
      <c r="A548" s="0" t="s">
        <v>63</v>
      </c>
      <c r="B548" s="0" t="s">
        <v>303</v>
      </c>
      <c r="C548" s="0" t="s">
        <v>649</v>
      </c>
      <c r="D548" s="0" t="s">
        <v>129</v>
      </c>
      <c r="E548" s="0" t="s">
        <v>1746</v>
      </c>
      <c r="F548" s="0" t="n">
        <v>5</v>
      </c>
      <c r="G548" s="0" t="n">
        <v>2</v>
      </c>
      <c r="H548" s="0" t="s">
        <v>585</v>
      </c>
      <c r="I548" s="0" t="s">
        <v>334</v>
      </c>
      <c r="K548" s="0" t="s">
        <v>597</v>
      </c>
      <c r="L548" s="0" t="s">
        <v>1747</v>
      </c>
    </row>
    <row r="549" customFormat="false" ht="15" hidden="false" customHeight="false" outlineLevel="0" collapsed="false">
      <c r="A549" s="0" t="s">
        <v>63</v>
      </c>
      <c r="B549" s="0" t="s">
        <v>303</v>
      </c>
      <c r="C549" s="0" t="s">
        <v>649</v>
      </c>
      <c r="D549" s="0" t="s">
        <v>132</v>
      </c>
      <c r="E549" s="0" t="s">
        <v>1748</v>
      </c>
      <c r="F549" s="0" t="n">
        <v>0</v>
      </c>
      <c r="G549" s="0" t="n">
        <v>0</v>
      </c>
      <c r="H549" s="0" t="s">
        <v>580</v>
      </c>
      <c r="K549" s="0" t="s">
        <v>600</v>
      </c>
      <c r="L549" s="0" t="s">
        <v>1749</v>
      </c>
    </row>
    <row r="550" customFormat="false" ht="15" hidden="false" customHeight="false" outlineLevel="0" collapsed="false">
      <c r="A550" s="0" t="s">
        <v>63</v>
      </c>
      <c r="B550" s="0" t="s">
        <v>303</v>
      </c>
      <c r="C550" s="0" t="s">
        <v>649</v>
      </c>
      <c r="D550" s="0" t="s">
        <v>139</v>
      </c>
      <c r="E550" s="0" t="s">
        <v>1750</v>
      </c>
      <c r="F550" s="0" t="n">
        <v>5</v>
      </c>
      <c r="G550" s="0" t="n">
        <v>0</v>
      </c>
      <c r="H550" s="0" t="s">
        <v>585</v>
      </c>
      <c r="K550" s="0" t="s">
        <v>604</v>
      </c>
      <c r="L550" s="0" t="s">
        <v>1751</v>
      </c>
    </row>
    <row r="551" customFormat="false" ht="15" hidden="false" customHeight="false" outlineLevel="0" collapsed="false">
      <c r="A551" s="0" t="s">
        <v>63</v>
      </c>
      <c r="B551" s="0" t="s">
        <v>303</v>
      </c>
      <c r="C551" s="0" t="s">
        <v>649</v>
      </c>
      <c r="D551" s="0" t="s">
        <v>143</v>
      </c>
      <c r="E551" s="0" t="s">
        <v>1752</v>
      </c>
      <c r="F551" s="0" t="n">
        <v>5</v>
      </c>
      <c r="G551" s="0" t="n">
        <v>0</v>
      </c>
      <c r="H551" s="0" t="s">
        <v>585</v>
      </c>
      <c r="K551" s="0" t="s">
        <v>607</v>
      </c>
      <c r="L551" s="0" t="s">
        <v>1753</v>
      </c>
    </row>
    <row r="552" customFormat="false" ht="15" hidden="false" customHeight="false" outlineLevel="0" collapsed="false">
      <c r="A552" s="0" t="s">
        <v>63</v>
      </c>
      <c r="B552" s="0" t="s">
        <v>303</v>
      </c>
      <c r="C552" s="0" t="s">
        <v>649</v>
      </c>
      <c r="D552" s="0" t="s">
        <v>146</v>
      </c>
      <c r="E552" s="0" t="s">
        <v>1754</v>
      </c>
      <c r="F552" s="0" t="n">
        <v>5</v>
      </c>
      <c r="G552" s="0" t="n">
        <v>0</v>
      </c>
      <c r="H552" s="0" t="s">
        <v>585</v>
      </c>
      <c r="K552" s="0" t="s">
        <v>610</v>
      </c>
      <c r="L552" s="0" t="s">
        <v>1755</v>
      </c>
    </row>
    <row r="553" customFormat="false" ht="15" hidden="false" customHeight="false" outlineLevel="0" collapsed="false">
      <c r="A553" s="0" t="s">
        <v>63</v>
      </c>
      <c r="B553" s="0" t="s">
        <v>303</v>
      </c>
      <c r="C553" s="0" t="s">
        <v>649</v>
      </c>
      <c r="D553" s="0" t="s">
        <v>149</v>
      </c>
      <c r="E553" s="0" t="s">
        <v>1756</v>
      </c>
      <c r="F553" s="0" t="n">
        <v>5</v>
      </c>
      <c r="G553" s="0" t="n">
        <v>0</v>
      </c>
      <c r="H553" s="0" t="s">
        <v>585</v>
      </c>
      <c r="K553" s="0" t="s">
        <v>613</v>
      </c>
      <c r="L553" s="0" t="s">
        <v>1757</v>
      </c>
    </row>
    <row r="554" customFormat="false" ht="15" hidden="false" customHeight="false" outlineLevel="0" collapsed="false">
      <c r="A554" s="0" t="s">
        <v>63</v>
      </c>
      <c r="B554" s="0" t="s">
        <v>303</v>
      </c>
      <c r="C554" s="0" t="s">
        <v>649</v>
      </c>
      <c r="D554" s="0" t="s">
        <v>152</v>
      </c>
      <c r="E554" s="0" t="s">
        <v>1758</v>
      </c>
      <c r="F554" s="0" t="n">
        <v>5</v>
      </c>
      <c r="G554" s="0" t="n">
        <v>2</v>
      </c>
      <c r="H554" s="0" t="s">
        <v>585</v>
      </c>
      <c r="I554" s="0" t="s">
        <v>337</v>
      </c>
      <c r="K554" s="0" t="s">
        <v>616</v>
      </c>
      <c r="L554" s="0" t="s">
        <v>1759</v>
      </c>
    </row>
    <row r="555" customFormat="false" ht="15" hidden="false" customHeight="false" outlineLevel="0" collapsed="false">
      <c r="A555" s="0" t="s">
        <v>63</v>
      </c>
      <c r="B555" s="0" t="s">
        <v>303</v>
      </c>
      <c r="C555" s="0" t="s">
        <v>649</v>
      </c>
      <c r="D555" s="0" t="s">
        <v>155</v>
      </c>
      <c r="E555" s="0" t="s">
        <v>1760</v>
      </c>
      <c r="F555" s="0" t="n">
        <v>5</v>
      </c>
      <c r="G555" s="0" t="n">
        <v>0</v>
      </c>
      <c r="H555" s="0" t="s">
        <v>585</v>
      </c>
      <c r="K555" s="0" t="s">
        <v>620</v>
      </c>
      <c r="L555" s="0" t="s">
        <v>1761</v>
      </c>
    </row>
    <row r="556" customFormat="false" ht="15" hidden="false" customHeight="false" outlineLevel="0" collapsed="false">
      <c r="A556" s="0" t="s">
        <v>63</v>
      </c>
      <c r="B556" s="0" t="s">
        <v>303</v>
      </c>
      <c r="C556" s="0" t="s">
        <v>675</v>
      </c>
      <c r="D556" s="0" t="s">
        <v>987</v>
      </c>
      <c r="E556" s="0" t="s">
        <v>1762</v>
      </c>
      <c r="F556" s="0" t="n">
        <v>0</v>
      </c>
      <c r="G556" s="0" t="n">
        <v>0</v>
      </c>
      <c r="H556" s="0" t="s">
        <v>580</v>
      </c>
      <c r="K556" s="0" t="s">
        <v>581</v>
      </c>
      <c r="L556" s="0" t="s">
        <v>1763</v>
      </c>
    </row>
    <row r="557" customFormat="false" ht="15" hidden="false" customHeight="false" outlineLevel="0" collapsed="false">
      <c r="A557" s="0" t="s">
        <v>63</v>
      </c>
      <c r="B557" s="0" t="s">
        <v>303</v>
      </c>
      <c r="C557" s="0" t="s">
        <v>675</v>
      </c>
      <c r="D557" s="0" t="s">
        <v>990</v>
      </c>
      <c r="E557" s="0" t="s">
        <v>1764</v>
      </c>
      <c r="F557" s="0" t="n">
        <v>5</v>
      </c>
      <c r="G557" s="0" t="n">
        <v>0</v>
      </c>
      <c r="H557" s="0" t="s">
        <v>585</v>
      </c>
      <c r="K557" s="0" t="s">
        <v>586</v>
      </c>
      <c r="L557" s="0" t="s">
        <v>1765</v>
      </c>
    </row>
    <row r="558" customFormat="false" ht="15" hidden="false" customHeight="false" outlineLevel="0" collapsed="false">
      <c r="A558" s="0" t="s">
        <v>63</v>
      </c>
      <c r="B558" s="0" t="s">
        <v>303</v>
      </c>
      <c r="C558" s="0" t="s">
        <v>675</v>
      </c>
      <c r="D558" s="0" t="s">
        <v>993</v>
      </c>
      <c r="E558" s="0" t="s">
        <v>1766</v>
      </c>
      <c r="F558" s="0" t="n">
        <v>5</v>
      </c>
      <c r="G558" s="0" t="n">
        <v>0</v>
      </c>
      <c r="H558" s="0" t="s">
        <v>585</v>
      </c>
      <c r="K558" s="0" t="s">
        <v>590</v>
      </c>
      <c r="L558" s="0" t="s">
        <v>1767</v>
      </c>
    </row>
    <row r="559" customFormat="false" ht="15" hidden="false" customHeight="false" outlineLevel="0" collapsed="false">
      <c r="A559" s="0" t="s">
        <v>63</v>
      </c>
      <c r="B559" s="0" t="s">
        <v>303</v>
      </c>
      <c r="C559" s="0" t="s">
        <v>675</v>
      </c>
      <c r="D559" s="0" t="s">
        <v>126</v>
      </c>
      <c r="E559" s="0" t="s">
        <v>1768</v>
      </c>
      <c r="F559" s="0" t="n">
        <v>5</v>
      </c>
      <c r="G559" s="0" t="n">
        <v>3</v>
      </c>
      <c r="H559" s="0" t="s">
        <v>585</v>
      </c>
      <c r="I559" s="0" t="s">
        <v>334</v>
      </c>
      <c r="K559" s="0" t="s">
        <v>594</v>
      </c>
      <c r="L559" s="0" t="s">
        <v>1769</v>
      </c>
    </row>
    <row r="560" customFormat="false" ht="15" hidden="false" customHeight="false" outlineLevel="0" collapsed="false">
      <c r="A560" s="0" t="s">
        <v>63</v>
      </c>
      <c r="B560" s="0" t="s">
        <v>303</v>
      </c>
      <c r="C560" s="0" t="s">
        <v>675</v>
      </c>
      <c r="D560" s="0" t="s">
        <v>129</v>
      </c>
      <c r="E560" s="0" t="s">
        <v>1770</v>
      </c>
      <c r="F560" s="0" t="n">
        <v>5</v>
      </c>
      <c r="G560" s="0" t="n">
        <v>0</v>
      </c>
      <c r="H560" s="0" t="s">
        <v>585</v>
      </c>
      <c r="K560" s="0" t="s">
        <v>597</v>
      </c>
      <c r="L560" s="0" t="s">
        <v>1771</v>
      </c>
    </row>
    <row r="561" customFormat="false" ht="15" hidden="false" customHeight="false" outlineLevel="0" collapsed="false">
      <c r="A561" s="0" t="s">
        <v>63</v>
      </c>
      <c r="B561" s="0" t="s">
        <v>303</v>
      </c>
      <c r="C561" s="0" t="s">
        <v>675</v>
      </c>
      <c r="D561" s="0" t="s">
        <v>132</v>
      </c>
      <c r="E561" s="0" t="s">
        <v>1772</v>
      </c>
      <c r="F561" s="0" t="n">
        <v>0</v>
      </c>
      <c r="G561" s="0" t="n">
        <v>0</v>
      </c>
      <c r="H561" s="0" t="s">
        <v>580</v>
      </c>
      <c r="K561" s="0" t="s">
        <v>600</v>
      </c>
      <c r="L561" s="0" t="s">
        <v>1773</v>
      </c>
    </row>
    <row r="562" customFormat="false" ht="15" hidden="false" customHeight="false" outlineLevel="0" collapsed="false">
      <c r="A562" s="0" t="s">
        <v>63</v>
      </c>
      <c r="B562" s="0" t="s">
        <v>303</v>
      </c>
      <c r="C562" s="0" t="s">
        <v>675</v>
      </c>
      <c r="D562" s="0" t="s">
        <v>139</v>
      </c>
      <c r="E562" s="0" t="s">
        <v>1774</v>
      </c>
      <c r="F562" s="0" t="n">
        <v>5</v>
      </c>
      <c r="G562" s="0" t="n">
        <v>0</v>
      </c>
      <c r="H562" s="0" t="s">
        <v>585</v>
      </c>
      <c r="K562" s="0" t="s">
        <v>604</v>
      </c>
      <c r="L562" s="0" t="s">
        <v>1775</v>
      </c>
    </row>
    <row r="563" customFormat="false" ht="15" hidden="false" customHeight="false" outlineLevel="0" collapsed="false">
      <c r="A563" s="0" t="s">
        <v>63</v>
      </c>
      <c r="B563" s="0" t="s">
        <v>303</v>
      </c>
      <c r="C563" s="0" t="s">
        <v>675</v>
      </c>
      <c r="D563" s="0" t="s">
        <v>143</v>
      </c>
      <c r="E563" s="0" t="s">
        <v>1776</v>
      </c>
      <c r="F563" s="0" t="n">
        <v>5</v>
      </c>
      <c r="G563" s="0" t="n">
        <v>0</v>
      </c>
      <c r="H563" s="0" t="s">
        <v>585</v>
      </c>
      <c r="K563" s="0" t="s">
        <v>607</v>
      </c>
      <c r="L563" s="0" t="s">
        <v>1777</v>
      </c>
    </row>
    <row r="564" customFormat="false" ht="15" hidden="false" customHeight="false" outlineLevel="0" collapsed="false">
      <c r="A564" s="0" t="s">
        <v>63</v>
      </c>
      <c r="B564" s="0" t="s">
        <v>303</v>
      </c>
      <c r="C564" s="0" t="s">
        <v>675</v>
      </c>
      <c r="D564" s="0" t="s">
        <v>146</v>
      </c>
      <c r="E564" s="0" t="s">
        <v>1778</v>
      </c>
      <c r="F564" s="0" t="n">
        <v>5</v>
      </c>
      <c r="G564" s="0" t="n">
        <v>0</v>
      </c>
      <c r="H564" s="0" t="s">
        <v>585</v>
      </c>
      <c r="K564" s="0" t="s">
        <v>610</v>
      </c>
      <c r="L564" s="0" t="s">
        <v>1779</v>
      </c>
    </row>
    <row r="565" customFormat="false" ht="15" hidden="false" customHeight="false" outlineLevel="0" collapsed="false">
      <c r="A565" s="0" t="s">
        <v>63</v>
      </c>
      <c r="B565" s="0" t="s">
        <v>303</v>
      </c>
      <c r="C565" s="0" t="s">
        <v>675</v>
      </c>
      <c r="D565" s="0" t="s">
        <v>149</v>
      </c>
      <c r="E565" s="0" t="s">
        <v>1780</v>
      </c>
      <c r="F565" s="0" t="n">
        <v>5</v>
      </c>
      <c r="G565" s="0" t="n">
        <v>0</v>
      </c>
      <c r="H565" s="0" t="s">
        <v>585</v>
      </c>
      <c r="K565" s="0" t="s">
        <v>613</v>
      </c>
      <c r="L565" s="0" t="s">
        <v>1781</v>
      </c>
    </row>
    <row r="566" customFormat="false" ht="15" hidden="false" customHeight="false" outlineLevel="0" collapsed="false">
      <c r="A566" s="0" t="s">
        <v>63</v>
      </c>
      <c r="B566" s="0" t="s">
        <v>303</v>
      </c>
      <c r="C566" s="0" t="s">
        <v>675</v>
      </c>
      <c r="D566" s="0" t="s">
        <v>152</v>
      </c>
      <c r="E566" s="0" t="s">
        <v>1782</v>
      </c>
      <c r="F566" s="0" t="n">
        <v>5</v>
      </c>
      <c r="G566" s="0" t="n">
        <v>1</v>
      </c>
      <c r="H566" s="0" t="s">
        <v>585</v>
      </c>
      <c r="I566" s="0" t="s">
        <v>338</v>
      </c>
      <c r="K566" s="0" t="s">
        <v>616</v>
      </c>
      <c r="L566" s="0" t="s">
        <v>1783</v>
      </c>
    </row>
    <row r="567" customFormat="false" ht="15" hidden="false" customHeight="false" outlineLevel="0" collapsed="false">
      <c r="A567" s="0" t="s">
        <v>63</v>
      </c>
      <c r="B567" s="0" t="s">
        <v>303</v>
      </c>
      <c r="C567" s="0" t="s">
        <v>675</v>
      </c>
      <c r="D567" s="0" t="s">
        <v>155</v>
      </c>
      <c r="E567" s="0" t="s">
        <v>1784</v>
      </c>
      <c r="F567" s="0" t="n">
        <v>5</v>
      </c>
      <c r="G567" s="0" t="n">
        <v>0</v>
      </c>
      <c r="H567" s="0" t="s">
        <v>585</v>
      </c>
      <c r="K567" s="0" t="s">
        <v>620</v>
      </c>
      <c r="L567" s="0" t="s">
        <v>1785</v>
      </c>
    </row>
    <row r="568" customFormat="false" ht="15" hidden="false" customHeight="false" outlineLevel="0" collapsed="false">
      <c r="A568" s="0" t="s">
        <v>63</v>
      </c>
      <c r="B568" s="0" t="s">
        <v>303</v>
      </c>
      <c r="C568" s="0" t="s">
        <v>701</v>
      </c>
      <c r="D568" s="0" t="s">
        <v>987</v>
      </c>
      <c r="E568" s="0" t="s">
        <v>1786</v>
      </c>
      <c r="F568" s="0" t="n">
        <v>0</v>
      </c>
      <c r="G568" s="0" t="n">
        <v>0</v>
      </c>
      <c r="H568" s="0" t="s">
        <v>580</v>
      </c>
      <c r="K568" s="0" t="s">
        <v>581</v>
      </c>
      <c r="L568" s="0" t="s">
        <v>1787</v>
      </c>
    </row>
    <row r="569" customFormat="false" ht="15" hidden="false" customHeight="false" outlineLevel="0" collapsed="false">
      <c r="A569" s="0" t="s">
        <v>63</v>
      </c>
      <c r="B569" s="0" t="s">
        <v>303</v>
      </c>
      <c r="C569" s="0" t="s">
        <v>701</v>
      </c>
      <c r="D569" s="0" t="s">
        <v>990</v>
      </c>
      <c r="E569" s="0" t="s">
        <v>1788</v>
      </c>
      <c r="F569" s="0" t="n">
        <v>5</v>
      </c>
      <c r="G569" s="0" t="n">
        <v>4</v>
      </c>
      <c r="H569" s="0" t="s">
        <v>585</v>
      </c>
      <c r="I569" s="0" t="s">
        <v>334</v>
      </c>
      <c r="K569" s="0" t="s">
        <v>586</v>
      </c>
      <c r="L569" s="0" t="s">
        <v>1789</v>
      </c>
    </row>
    <row r="570" customFormat="false" ht="15" hidden="false" customHeight="false" outlineLevel="0" collapsed="false">
      <c r="A570" s="0" t="s">
        <v>63</v>
      </c>
      <c r="B570" s="0" t="s">
        <v>303</v>
      </c>
      <c r="C570" s="0" t="s">
        <v>701</v>
      </c>
      <c r="D570" s="0" t="s">
        <v>993</v>
      </c>
      <c r="E570" s="0" t="s">
        <v>1790</v>
      </c>
      <c r="F570" s="0" t="n">
        <v>5</v>
      </c>
      <c r="G570" s="0" t="n">
        <v>0</v>
      </c>
      <c r="H570" s="0" t="s">
        <v>585</v>
      </c>
      <c r="K570" s="0" t="s">
        <v>590</v>
      </c>
      <c r="L570" s="0" t="s">
        <v>1791</v>
      </c>
    </row>
    <row r="571" customFormat="false" ht="15" hidden="false" customHeight="false" outlineLevel="0" collapsed="false">
      <c r="A571" s="0" t="s">
        <v>63</v>
      </c>
      <c r="B571" s="0" t="s">
        <v>303</v>
      </c>
      <c r="C571" s="0" t="s">
        <v>701</v>
      </c>
      <c r="D571" s="0" t="s">
        <v>126</v>
      </c>
      <c r="E571" s="0" t="s">
        <v>1792</v>
      </c>
      <c r="F571" s="0" t="n">
        <v>5</v>
      </c>
      <c r="G571" s="0" t="n">
        <v>0</v>
      </c>
      <c r="H571" s="0" t="s">
        <v>585</v>
      </c>
      <c r="K571" s="0" t="s">
        <v>594</v>
      </c>
      <c r="L571" s="0" t="s">
        <v>1793</v>
      </c>
    </row>
    <row r="572" customFormat="false" ht="15" hidden="false" customHeight="false" outlineLevel="0" collapsed="false">
      <c r="A572" s="0" t="s">
        <v>63</v>
      </c>
      <c r="B572" s="0" t="s">
        <v>303</v>
      </c>
      <c r="C572" s="0" t="s">
        <v>701</v>
      </c>
      <c r="D572" s="0" t="s">
        <v>129</v>
      </c>
      <c r="E572" s="0" t="s">
        <v>1794</v>
      </c>
      <c r="F572" s="0" t="n">
        <v>5</v>
      </c>
      <c r="G572" s="0" t="n">
        <v>0</v>
      </c>
      <c r="H572" s="0" t="s">
        <v>585</v>
      </c>
      <c r="K572" s="0" t="s">
        <v>597</v>
      </c>
      <c r="L572" s="0" t="s">
        <v>1795</v>
      </c>
    </row>
    <row r="573" customFormat="false" ht="15" hidden="false" customHeight="false" outlineLevel="0" collapsed="false">
      <c r="A573" s="0" t="s">
        <v>63</v>
      </c>
      <c r="B573" s="0" t="s">
        <v>303</v>
      </c>
      <c r="C573" s="0" t="s">
        <v>701</v>
      </c>
      <c r="D573" s="0" t="s">
        <v>132</v>
      </c>
      <c r="E573" s="0" t="s">
        <v>1796</v>
      </c>
      <c r="F573" s="0" t="n">
        <v>0</v>
      </c>
      <c r="G573" s="0" t="n">
        <v>0</v>
      </c>
      <c r="H573" s="0" t="s">
        <v>580</v>
      </c>
      <c r="K573" s="0" t="s">
        <v>600</v>
      </c>
      <c r="L573" s="0" t="s">
        <v>1797</v>
      </c>
    </row>
    <row r="574" customFormat="false" ht="15" hidden="false" customHeight="false" outlineLevel="0" collapsed="false">
      <c r="A574" s="0" t="s">
        <v>63</v>
      </c>
      <c r="B574" s="0" t="s">
        <v>303</v>
      </c>
      <c r="C574" s="0" t="s">
        <v>701</v>
      </c>
      <c r="D574" s="0" t="s">
        <v>139</v>
      </c>
      <c r="E574" s="0" t="s">
        <v>1798</v>
      </c>
      <c r="F574" s="0" t="n">
        <v>5</v>
      </c>
      <c r="G574" s="0" t="n">
        <v>0</v>
      </c>
      <c r="H574" s="0" t="s">
        <v>585</v>
      </c>
      <c r="K574" s="0" t="s">
        <v>604</v>
      </c>
      <c r="L574" s="0" t="s">
        <v>1799</v>
      </c>
    </row>
    <row r="575" customFormat="false" ht="15" hidden="false" customHeight="false" outlineLevel="0" collapsed="false">
      <c r="A575" s="0" t="s">
        <v>63</v>
      </c>
      <c r="B575" s="0" t="s">
        <v>303</v>
      </c>
      <c r="C575" s="0" t="s">
        <v>701</v>
      </c>
      <c r="D575" s="0" t="s">
        <v>143</v>
      </c>
      <c r="E575" s="0" t="s">
        <v>1800</v>
      </c>
      <c r="F575" s="0" t="n">
        <v>5</v>
      </c>
      <c r="G575" s="0" t="n">
        <v>0</v>
      </c>
      <c r="H575" s="0" t="s">
        <v>585</v>
      </c>
      <c r="K575" s="0" t="s">
        <v>607</v>
      </c>
      <c r="L575" s="0" t="s">
        <v>1801</v>
      </c>
    </row>
    <row r="576" customFormat="false" ht="15" hidden="false" customHeight="false" outlineLevel="0" collapsed="false">
      <c r="A576" s="0" t="s">
        <v>63</v>
      </c>
      <c r="B576" s="0" t="s">
        <v>303</v>
      </c>
      <c r="C576" s="0" t="s">
        <v>701</v>
      </c>
      <c r="D576" s="0" t="s">
        <v>146</v>
      </c>
      <c r="E576" s="0" t="s">
        <v>1802</v>
      </c>
      <c r="F576" s="0" t="n">
        <v>0</v>
      </c>
      <c r="G576" s="0" t="n">
        <v>0</v>
      </c>
      <c r="H576" s="0" t="s">
        <v>580</v>
      </c>
      <c r="K576" s="0" t="s">
        <v>610</v>
      </c>
      <c r="L576" s="0" t="s">
        <v>1803</v>
      </c>
    </row>
    <row r="577" customFormat="false" ht="15" hidden="false" customHeight="false" outlineLevel="0" collapsed="false">
      <c r="A577" s="0" t="s">
        <v>63</v>
      </c>
      <c r="B577" s="0" t="s">
        <v>303</v>
      </c>
      <c r="C577" s="0" t="s">
        <v>701</v>
      </c>
      <c r="D577" s="0" t="s">
        <v>149</v>
      </c>
      <c r="E577" s="0" t="s">
        <v>1804</v>
      </c>
      <c r="F577" s="0" t="n">
        <v>0</v>
      </c>
      <c r="G577" s="0" t="n">
        <v>0</v>
      </c>
      <c r="H577" s="0" t="s">
        <v>580</v>
      </c>
      <c r="K577" s="0" t="s">
        <v>613</v>
      </c>
      <c r="L577" s="0" t="s">
        <v>1805</v>
      </c>
    </row>
    <row r="578" customFormat="false" ht="15" hidden="false" customHeight="false" outlineLevel="0" collapsed="false">
      <c r="A578" s="0" t="s">
        <v>63</v>
      </c>
      <c r="B578" s="0" t="s">
        <v>303</v>
      </c>
      <c r="C578" s="0" t="s">
        <v>701</v>
      </c>
      <c r="D578" s="0" t="s">
        <v>152</v>
      </c>
      <c r="E578" s="0" t="s">
        <v>1806</v>
      </c>
      <c r="F578" s="0" t="n">
        <v>5</v>
      </c>
      <c r="G578" s="0" t="n">
        <v>2</v>
      </c>
      <c r="H578" s="0" t="s">
        <v>585</v>
      </c>
      <c r="I578" s="0" t="s">
        <v>332</v>
      </c>
      <c r="K578" s="0" t="s">
        <v>616</v>
      </c>
      <c r="L578" s="0" t="s">
        <v>1807</v>
      </c>
    </row>
    <row r="579" customFormat="false" ht="15" hidden="false" customHeight="false" outlineLevel="0" collapsed="false">
      <c r="A579" s="0" t="s">
        <v>63</v>
      </c>
      <c r="B579" s="0" t="s">
        <v>303</v>
      </c>
      <c r="C579" s="0" t="s">
        <v>701</v>
      </c>
      <c r="D579" s="0" t="s">
        <v>155</v>
      </c>
      <c r="E579" s="0" t="s">
        <v>1808</v>
      </c>
      <c r="F579" s="0" t="n">
        <v>5</v>
      </c>
      <c r="G579" s="0" t="n">
        <v>0</v>
      </c>
      <c r="H579" s="0" t="s">
        <v>585</v>
      </c>
      <c r="K579" s="0" t="s">
        <v>620</v>
      </c>
      <c r="L579" s="0" t="s">
        <v>1809</v>
      </c>
    </row>
    <row r="580" customFormat="false" ht="15" hidden="false" customHeight="false" outlineLevel="0" collapsed="false">
      <c r="A580" s="0" t="s">
        <v>63</v>
      </c>
      <c r="B580" s="0" t="s">
        <v>303</v>
      </c>
      <c r="C580" s="0" t="s">
        <v>728</v>
      </c>
      <c r="D580" s="0" t="s">
        <v>987</v>
      </c>
      <c r="E580" s="0" t="s">
        <v>1810</v>
      </c>
      <c r="F580" s="0" t="n">
        <v>0</v>
      </c>
      <c r="G580" s="0" t="n">
        <v>0</v>
      </c>
      <c r="H580" s="0" t="s">
        <v>580</v>
      </c>
      <c r="K580" s="0" t="s">
        <v>581</v>
      </c>
      <c r="L580" s="0" t="s">
        <v>1811</v>
      </c>
    </row>
    <row r="581" customFormat="false" ht="15" hidden="false" customHeight="false" outlineLevel="0" collapsed="false">
      <c r="A581" s="0" t="s">
        <v>63</v>
      </c>
      <c r="B581" s="0" t="s">
        <v>303</v>
      </c>
      <c r="C581" s="0" t="s">
        <v>728</v>
      </c>
      <c r="D581" s="0" t="s">
        <v>990</v>
      </c>
      <c r="E581" s="0" t="s">
        <v>1812</v>
      </c>
      <c r="F581" s="0" t="n">
        <v>5</v>
      </c>
      <c r="G581" s="0" t="n">
        <v>5</v>
      </c>
      <c r="H581" s="0" t="s">
        <v>580</v>
      </c>
      <c r="I581" s="0" t="s">
        <v>337</v>
      </c>
      <c r="K581" s="0" t="s">
        <v>586</v>
      </c>
      <c r="L581" s="0" t="s">
        <v>1813</v>
      </c>
    </row>
    <row r="582" customFormat="false" ht="15" hidden="false" customHeight="false" outlineLevel="0" collapsed="false">
      <c r="A582" s="0" t="s">
        <v>63</v>
      </c>
      <c r="B582" s="0" t="s">
        <v>303</v>
      </c>
      <c r="C582" s="0" t="s">
        <v>728</v>
      </c>
      <c r="D582" s="0" t="s">
        <v>993</v>
      </c>
      <c r="E582" s="0" t="s">
        <v>1814</v>
      </c>
      <c r="F582" s="0" t="n">
        <v>5</v>
      </c>
      <c r="G582" s="0" t="n">
        <v>5</v>
      </c>
      <c r="H582" s="0" t="s">
        <v>580</v>
      </c>
      <c r="I582" s="0" t="s">
        <v>337</v>
      </c>
      <c r="K582" s="0" t="s">
        <v>590</v>
      </c>
      <c r="L582" s="0" t="s">
        <v>1815</v>
      </c>
    </row>
    <row r="583" customFormat="false" ht="15" hidden="false" customHeight="false" outlineLevel="0" collapsed="false">
      <c r="A583" s="0" t="s">
        <v>63</v>
      </c>
      <c r="B583" s="0" t="s">
        <v>303</v>
      </c>
      <c r="C583" s="0" t="s">
        <v>728</v>
      </c>
      <c r="D583" s="0" t="s">
        <v>126</v>
      </c>
      <c r="E583" s="0" t="s">
        <v>1816</v>
      </c>
      <c r="F583" s="0" t="n">
        <v>5</v>
      </c>
      <c r="G583" s="0" t="n">
        <v>5</v>
      </c>
      <c r="H583" s="0" t="s">
        <v>580</v>
      </c>
      <c r="I583" s="0" t="s">
        <v>336</v>
      </c>
      <c r="K583" s="0" t="s">
        <v>594</v>
      </c>
      <c r="L583" s="0" t="s">
        <v>1817</v>
      </c>
    </row>
    <row r="584" customFormat="false" ht="15" hidden="false" customHeight="false" outlineLevel="0" collapsed="false">
      <c r="A584" s="0" t="s">
        <v>63</v>
      </c>
      <c r="B584" s="0" t="s">
        <v>303</v>
      </c>
      <c r="C584" s="0" t="s">
        <v>728</v>
      </c>
      <c r="D584" s="0" t="s">
        <v>129</v>
      </c>
      <c r="E584" s="0" t="s">
        <v>1818</v>
      </c>
      <c r="F584" s="0" t="n">
        <v>5</v>
      </c>
      <c r="G584" s="0" t="n">
        <v>2</v>
      </c>
      <c r="H584" s="0" t="s">
        <v>585</v>
      </c>
      <c r="I584" s="0" t="s">
        <v>334</v>
      </c>
      <c r="K584" s="0" t="s">
        <v>597</v>
      </c>
      <c r="L584" s="0" t="s">
        <v>1819</v>
      </c>
    </row>
    <row r="585" customFormat="false" ht="15" hidden="false" customHeight="false" outlineLevel="0" collapsed="false">
      <c r="A585" s="0" t="s">
        <v>63</v>
      </c>
      <c r="B585" s="0" t="s">
        <v>303</v>
      </c>
      <c r="C585" s="0" t="s">
        <v>728</v>
      </c>
      <c r="D585" s="0" t="s">
        <v>132</v>
      </c>
      <c r="E585" s="0" t="s">
        <v>1820</v>
      </c>
      <c r="F585" s="0" t="n">
        <v>5</v>
      </c>
      <c r="G585" s="0" t="n">
        <v>0</v>
      </c>
      <c r="H585" s="0" t="s">
        <v>585</v>
      </c>
      <c r="K585" s="0" t="s">
        <v>600</v>
      </c>
      <c r="L585" s="0" t="s">
        <v>1821</v>
      </c>
    </row>
    <row r="586" customFormat="false" ht="15" hidden="false" customHeight="false" outlineLevel="0" collapsed="false">
      <c r="A586" s="0" t="s">
        <v>63</v>
      </c>
      <c r="B586" s="0" t="s">
        <v>303</v>
      </c>
      <c r="C586" s="0" t="s">
        <v>728</v>
      </c>
      <c r="D586" s="0" t="s">
        <v>139</v>
      </c>
      <c r="E586" s="0" t="s">
        <v>1822</v>
      </c>
      <c r="F586" s="0" t="n">
        <v>5</v>
      </c>
      <c r="G586" s="0" t="n">
        <v>0</v>
      </c>
      <c r="H586" s="0" t="s">
        <v>585</v>
      </c>
      <c r="K586" s="0" t="s">
        <v>604</v>
      </c>
      <c r="L586" s="0" t="s">
        <v>1823</v>
      </c>
    </row>
    <row r="587" customFormat="false" ht="15" hidden="false" customHeight="false" outlineLevel="0" collapsed="false">
      <c r="A587" s="0" t="s">
        <v>63</v>
      </c>
      <c r="B587" s="0" t="s">
        <v>303</v>
      </c>
      <c r="C587" s="0" t="s">
        <v>728</v>
      </c>
      <c r="D587" s="0" t="s">
        <v>143</v>
      </c>
      <c r="E587" s="0" t="s">
        <v>1824</v>
      </c>
      <c r="F587" s="0" t="n">
        <v>5</v>
      </c>
      <c r="G587" s="0" t="n">
        <v>0</v>
      </c>
      <c r="H587" s="0" t="s">
        <v>585</v>
      </c>
      <c r="K587" s="0" t="s">
        <v>607</v>
      </c>
      <c r="L587" s="0" t="s">
        <v>1825</v>
      </c>
    </row>
    <row r="588" customFormat="false" ht="15" hidden="false" customHeight="false" outlineLevel="0" collapsed="false">
      <c r="A588" s="0" t="s">
        <v>63</v>
      </c>
      <c r="B588" s="0" t="s">
        <v>303</v>
      </c>
      <c r="C588" s="0" t="s">
        <v>728</v>
      </c>
      <c r="D588" s="0" t="s">
        <v>146</v>
      </c>
      <c r="E588" s="0" t="s">
        <v>1826</v>
      </c>
      <c r="F588" s="0" t="n">
        <v>5</v>
      </c>
      <c r="G588" s="0" t="n">
        <v>0</v>
      </c>
      <c r="H588" s="0" t="s">
        <v>585</v>
      </c>
      <c r="K588" s="0" t="s">
        <v>610</v>
      </c>
      <c r="L588" s="0" t="s">
        <v>1827</v>
      </c>
    </row>
    <row r="589" customFormat="false" ht="15" hidden="false" customHeight="false" outlineLevel="0" collapsed="false">
      <c r="A589" s="0" t="s">
        <v>63</v>
      </c>
      <c r="B589" s="0" t="s">
        <v>303</v>
      </c>
      <c r="C589" s="0" t="s">
        <v>728</v>
      </c>
      <c r="D589" s="0" t="s">
        <v>149</v>
      </c>
      <c r="E589" s="0" t="s">
        <v>1828</v>
      </c>
      <c r="F589" s="0" t="n">
        <v>5</v>
      </c>
      <c r="G589" s="0" t="n">
        <v>4</v>
      </c>
      <c r="H589" s="0" t="s">
        <v>585</v>
      </c>
      <c r="I589" s="0" t="s">
        <v>336</v>
      </c>
      <c r="K589" s="0" t="s">
        <v>613</v>
      </c>
      <c r="L589" s="0" t="s">
        <v>1829</v>
      </c>
    </row>
    <row r="590" customFormat="false" ht="15" hidden="false" customHeight="false" outlineLevel="0" collapsed="false">
      <c r="A590" s="0" t="s">
        <v>63</v>
      </c>
      <c r="B590" s="0" t="s">
        <v>303</v>
      </c>
      <c r="C590" s="0" t="s">
        <v>728</v>
      </c>
      <c r="D590" s="0" t="s">
        <v>152</v>
      </c>
      <c r="E590" s="0" t="s">
        <v>1830</v>
      </c>
      <c r="F590" s="0" t="n">
        <v>5</v>
      </c>
      <c r="G590" s="0" t="n">
        <v>4</v>
      </c>
      <c r="H590" s="0" t="s">
        <v>585</v>
      </c>
      <c r="I590" s="0" t="s">
        <v>334</v>
      </c>
      <c r="K590" s="0" t="s">
        <v>616</v>
      </c>
      <c r="L590" s="0" t="s">
        <v>1831</v>
      </c>
    </row>
    <row r="591" customFormat="false" ht="15" hidden="false" customHeight="false" outlineLevel="0" collapsed="false">
      <c r="A591" s="0" t="s">
        <v>63</v>
      </c>
      <c r="B591" s="0" t="s">
        <v>303</v>
      </c>
      <c r="C591" s="0" t="s">
        <v>728</v>
      </c>
      <c r="D591" s="0" t="s">
        <v>155</v>
      </c>
      <c r="E591" s="0" t="s">
        <v>1832</v>
      </c>
      <c r="F591" s="0" t="n">
        <v>5</v>
      </c>
      <c r="G591" s="0" t="n">
        <v>0</v>
      </c>
      <c r="H591" s="0" t="s">
        <v>585</v>
      </c>
      <c r="K591" s="0" t="s">
        <v>620</v>
      </c>
      <c r="L591" s="0" t="s">
        <v>1833</v>
      </c>
    </row>
    <row r="592" customFormat="false" ht="15" hidden="false" customHeight="false" outlineLevel="0" collapsed="false">
      <c r="A592" s="0" t="s">
        <v>63</v>
      </c>
      <c r="B592" s="0" t="s">
        <v>303</v>
      </c>
      <c r="C592" s="0" t="s">
        <v>754</v>
      </c>
      <c r="D592" s="0" t="s">
        <v>987</v>
      </c>
      <c r="E592" s="0" t="s">
        <v>1834</v>
      </c>
      <c r="F592" s="0" t="n">
        <v>0</v>
      </c>
      <c r="G592" s="0" t="n">
        <v>0</v>
      </c>
      <c r="H592" s="0" t="s">
        <v>580</v>
      </c>
      <c r="K592" s="0" t="s">
        <v>581</v>
      </c>
      <c r="L592" s="0" t="s">
        <v>1835</v>
      </c>
    </row>
    <row r="593" customFormat="false" ht="15" hidden="false" customHeight="false" outlineLevel="0" collapsed="false">
      <c r="A593" s="0" t="s">
        <v>63</v>
      </c>
      <c r="B593" s="0" t="s">
        <v>303</v>
      </c>
      <c r="C593" s="0" t="s">
        <v>754</v>
      </c>
      <c r="D593" s="0" t="s">
        <v>990</v>
      </c>
      <c r="E593" s="0" t="s">
        <v>1836</v>
      </c>
      <c r="F593" s="0" t="n">
        <v>5</v>
      </c>
      <c r="G593" s="0" t="n">
        <v>5</v>
      </c>
      <c r="H593" s="0" t="s">
        <v>580</v>
      </c>
      <c r="I593" s="0" t="s">
        <v>336</v>
      </c>
      <c r="K593" s="0" t="s">
        <v>586</v>
      </c>
      <c r="L593" s="0" t="s">
        <v>1837</v>
      </c>
    </row>
    <row r="594" customFormat="false" ht="15" hidden="false" customHeight="false" outlineLevel="0" collapsed="false">
      <c r="A594" s="0" t="s">
        <v>63</v>
      </c>
      <c r="B594" s="0" t="s">
        <v>303</v>
      </c>
      <c r="C594" s="0" t="s">
        <v>754</v>
      </c>
      <c r="D594" s="0" t="s">
        <v>993</v>
      </c>
      <c r="E594" s="0" t="s">
        <v>1838</v>
      </c>
      <c r="F594" s="0" t="n">
        <v>5</v>
      </c>
      <c r="G594" s="0" t="n">
        <v>5</v>
      </c>
      <c r="H594" s="0" t="s">
        <v>580</v>
      </c>
      <c r="I594" s="0" t="s">
        <v>334</v>
      </c>
      <c r="K594" s="0" t="s">
        <v>590</v>
      </c>
      <c r="L594" s="0" t="s">
        <v>1839</v>
      </c>
    </row>
    <row r="595" customFormat="false" ht="15" hidden="false" customHeight="false" outlineLevel="0" collapsed="false">
      <c r="A595" s="0" t="s">
        <v>63</v>
      </c>
      <c r="B595" s="0" t="s">
        <v>303</v>
      </c>
      <c r="C595" s="0" t="s">
        <v>754</v>
      </c>
      <c r="D595" s="0" t="s">
        <v>126</v>
      </c>
      <c r="E595" s="0" t="s">
        <v>1840</v>
      </c>
      <c r="F595" s="0" t="n">
        <v>5</v>
      </c>
      <c r="G595" s="0" t="n">
        <v>5</v>
      </c>
      <c r="H595" s="0" t="s">
        <v>580</v>
      </c>
      <c r="I595" s="0" t="s">
        <v>338</v>
      </c>
      <c r="K595" s="0" t="s">
        <v>594</v>
      </c>
      <c r="L595" s="0" t="s">
        <v>1841</v>
      </c>
    </row>
    <row r="596" customFormat="false" ht="15" hidden="false" customHeight="false" outlineLevel="0" collapsed="false">
      <c r="A596" s="0" t="s">
        <v>63</v>
      </c>
      <c r="B596" s="0" t="s">
        <v>303</v>
      </c>
      <c r="C596" s="0" t="s">
        <v>754</v>
      </c>
      <c r="D596" s="0" t="s">
        <v>129</v>
      </c>
      <c r="E596" s="0" t="s">
        <v>1842</v>
      </c>
      <c r="F596" s="0" t="n">
        <v>5</v>
      </c>
      <c r="G596" s="0" t="n">
        <v>3</v>
      </c>
      <c r="H596" s="0" t="s">
        <v>585</v>
      </c>
      <c r="I596" s="0" t="s">
        <v>336</v>
      </c>
      <c r="K596" s="0" t="s">
        <v>597</v>
      </c>
      <c r="L596" s="0" t="s">
        <v>1843</v>
      </c>
    </row>
    <row r="597" customFormat="false" ht="15" hidden="false" customHeight="false" outlineLevel="0" collapsed="false">
      <c r="A597" s="0" t="s">
        <v>63</v>
      </c>
      <c r="B597" s="0" t="s">
        <v>303</v>
      </c>
      <c r="C597" s="0" t="s">
        <v>754</v>
      </c>
      <c r="D597" s="0" t="s">
        <v>132</v>
      </c>
      <c r="E597" s="0" t="s">
        <v>1844</v>
      </c>
      <c r="F597" s="0" t="n">
        <v>5</v>
      </c>
      <c r="G597" s="0" t="n">
        <v>0</v>
      </c>
      <c r="H597" s="0" t="s">
        <v>585</v>
      </c>
      <c r="K597" s="0" t="s">
        <v>600</v>
      </c>
      <c r="L597" s="0" t="s">
        <v>1845</v>
      </c>
    </row>
    <row r="598" customFormat="false" ht="15" hidden="false" customHeight="false" outlineLevel="0" collapsed="false">
      <c r="A598" s="0" t="s">
        <v>63</v>
      </c>
      <c r="B598" s="0" t="s">
        <v>303</v>
      </c>
      <c r="C598" s="0" t="s">
        <v>754</v>
      </c>
      <c r="D598" s="0" t="s">
        <v>139</v>
      </c>
      <c r="E598" s="0" t="s">
        <v>1846</v>
      </c>
      <c r="F598" s="0" t="n">
        <v>5</v>
      </c>
      <c r="G598" s="0" t="n">
        <v>1</v>
      </c>
      <c r="H598" s="0" t="s">
        <v>585</v>
      </c>
      <c r="I598" s="0" t="s">
        <v>334</v>
      </c>
      <c r="K598" s="0" t="s">
        <v>604</v>
      </c>
      <c r="L598" s="0" t="s">
        <v>1847</v>
      </c>
    </row>
    <row r="599" customFormat="false" ht="15" hidden="false" customHeight="false" outlineLevel="0" collapsed="false">
      <c r="A599" s="0" t="s">
        <v>63</v>
      </c>
      <c r="B599" s="0" t="s">
        <v>303</v>
      </c>
      <c r="C599" s="0" t="s">
        <v>754</v>
      </c>
      <c r="D599" s="0" t="s">
        <v>143</v>
      </c>
      <c r="E599" s="0" t="s">
        <v>1848</v>
      </c>
      <c r="F599" s="0" t="n">
        <v>5</v>
      </c>
      <c r="G599" s="0" t="n">
        <v>0</v>
      </c>
      <c r="H599" s="0" t="s">
        <v>585</v>
      </c>
      <c r="K599" s="0" t="s">
        <v>607</v>
      </c>
      <c r="L599" s="0" t="s">
        <v>1849</v>
      </c>
    </row>
    <row r="600" customFormat="false" ht="15" hidden="false" customHeight="false" outlineLevel="0" collapsed="false">
      <c r="A600" s="0" t="s">
        <v>63</v>
      </c>
      <c r="B600" s="0" t="s">
        <v>303</v>
      </c>
      <c r="C600" s="0" t="s">
        <v>754</v>
      </c>
      <c r="D600" s="0" t="s">
        <v>146</v>
      </c>
      <c r="E600" s="0" t="s">
        <v>1850</v>
      </c>
      <c r="F600" s="0" t="n">
        <v>5</v>
      </c>
      <c r="G600" s="0" t="n">
        <v>2</v>
      </c>
      <c r="H600" s="0" t="s">
        <v>585</v>
      </c>
      <c r="I600" s="0" t="s">
        <v>334</v>
      </c>
      <c r="K600" s="0" t="s">
        <v>610</v>
      </c>
      <c r="L600" s="0" t="s">
        <v>1851</v>
      </c>
    </row>
    <row r="601" customFormat="false" ht="15" hidden="false" customHeight="false" outlineLevel="0" collapsed="false">
      <c r="A601" s="0" t="s">
        <v>63</v>
      </c>
      <c r="B601" s="0" t="s">
        <v>303</v>
      </c>
      <c r="C601" s="0" t="s">
        <v>754</v>
      </c>
      <c r="D601" s="0" t="s">
        <v>149</v>
      </c>
      <c r="E601" s="0" t="s">
        <v>1852</v>
      </c>
      <c r="F601" s="0" t="n">
        <v>5</v>
      </c>
      <c r="G601" s="0" t="n">
        <v>2</v>
      </c>
      <c r="H601" s="0" t="s">
        <v>585</v>
      </c>
      <c r="I601" s="0" t="s">
        <v>332</v>
      </c>
      <c r="K601" s="0" t="s">
        <v>613</v>
      </c>
      <c r="L601" s="0" t="s">
        <v>1853</v>
      </c>
    </row>
    <row r="602" customFormat="false" ht="15" hidden="false" customHeight="false" outlineLevel="0" collapsed="false">
      <c r="A602" s="0" t="s">
        <v>63</v>
      </c>
      <c r="B602" s="0" t="s">
        <v>303</v>
      </c>
      <c r="C602" s="0" t="s">
        <v>754</v>
      </c>
      <c r="D602" s="0" t="s">
        <v>152</v>
      </c>
      <c r="E602" s="0" t="s">
        <v>1854</v>
      </c>
      <c r="F602" s="0" t="n">
        <v>5</v>
      </c>
      <c r="G602" s="0" t="n">
        <v>3</v>
      </c>
      <c r="H602" s="0" t="s">
        <v>585</v>
      </c>
      <c r="I602" s="0" t="s">
        <v>342</v>
      </c>
      <c r="K602" s="0" t="s">
        <v>616</v>
      </c>
      <c r="L602" s="0" t="s">
        <v>1855</v>
      </c>
    </row>
    <row r="603" customFormat="false" ht="15" hidden="false" customHeight="false" outlineLevel="0" collapsed="false">
      <c r="A603" s="0" t="s">
        <v>63</v>
      </c>
      <c r="B603" s="0" t="s">
        <v>303</v>
      </c>
      <c r="C603" s="0" t="s">
        <v>754</v>
      </c>
      <c r="D603" s="0" t="s">
        <v>155</v>
      </c>
      <c r="E603" s="0" t="s">
        <v>1856</v>
      </c>
      <c r="F603" s="0" t="n">
        <v>5</v>
      </c>
      <c r="G603" s="0" t="n">
        <v>0</v>
      </c>
      <c r="H603" s="0" t="s">
        <v>585</v>
      </c>
      <c r="K603" s="0" t="s">
        <v>620</v>
      </c>
      <c r="L603" s="0" t="s">
        <v>1857</v>
      </c>
    </row>
    <row r="604" customFormat="false" ht="15" hidden="false" customHeight="false" outlineLevel="0" collapsed="false">
      <c r="A604" s="0" t="s">
        <v>63</v>
      </c>
      <c r="B604" s="0" t="s">
        <v>779</v>
      </c>
      <c r="C604" s="0" t="s">
        <v>577</v>
      </c>
      <c r="D604" s="0" t="s">
        <v>780</v>
      </c>
      <c r="E604" s="0" t="s">
        <v>781</v>
      </c>
      <c r="F604" s="0" t="n">
        <v>8</v>
      </c>
      <c r="G604" s="0" t="n">
        <v>0</v>
      </c>
      <c r="H604" s="0" t="s">
        <v>585</v>
      </c>
      <c r="K604" s="0" t="s">
        <v>782</v>
      </c>
      <c r="L604" s="0" t="s">
        <v>1858</v>
      </c>
    </row>
    <row r="605" customFormat="false" ht="15" hidden="false" customHeight="false" outlineLevel="0" collapsed="false">
      <c r="A605" s="0" t="s">
        <v>63</v>
      </c>
      <c r="B605" s="0" t="s">
        <v>779</v>
      </c>
      <c r="C605" s="0" t="s">
        <v>622</v>
      </c>
      <c r="D605" s="0" t="s">
        <v>780</v>
      </c>
      <c r="E605" s="0" t="s">
        <v>784</v>
      </c>
      <c r="F605" s="0" t="n">
        <v>8</v>
      </c>
      <c r="G605" s="0" t="n">
        <v>0</v>
      </c>
      <c r="H605" s="0" t="s">
        <v>585</v>
      </c>
      <c r="K605" s="0" t="s">
        <v>782</v>
      </c>
      <c r="L605" s="0" t="s">
        <v>1859</v>
      </c>
    </row>
    <row r="606" customFormat="false" ht="15" hidden="false" customHeight="false" outlineLevel="0" collapsed="false">
      <c r="A606" s="0" t="s">
        <v>63</v>
      </c>
      <c r="B606" s="0" t="s">
        <v>779</v>
      </c>
      <c r="C606" s="0" t="s">
        <v>649</v>
      </c>
      <c r="D606" s="0" t="s">
        <v>780</v>
      </c>
      <c r="E606" s="0" t="s">
        <v>786</v>
      </c>
      <c r="F606" s="0" t="n">
        <v>8</v>
      </c>
      <c r="G606" s="0" t="n">
        <v>0</v>
      </c>
      <c r="H606" s="0" t="s">
        <v>585</v>
      </c>
      <c r="K606" s="0" t="s">
        <v>782</v>
      </c>
      <c r="L606" s="0" t="s">
        <v>1860</v>
      </c>
    </row>
    <row r="607" customFormat="false" ht="15" hidden="false" customHeight="false" outlineLevel="0" collapsed="false">
      <c r="A607" s="0" t="s">
        <v>63</v>
      </c>
      <c r="B607" s="0" t="s">
        <v>779</v>
      </c>
      <c r="C607" s="0" t="s">
        <v>675</v>
      </c>
      <c r="D607" s="0" t="s">
        <v>780</v>
      </c>
      <c r="E607" s="0" t="s">
        <v>788</v>
      </c>
      <c r="F607" s="0" t="n">
        <v>8</v>
      </c>
      <c r="G607" s="0" t="n">
        <v>0</v>
      </c>
      <c r="H607" s="0" t="s">
        <v>585</v>
      </c>
      <c r="K607" s="0" t="s">
        <v>782</v>
      </c>
      <c r="L607" s="0" t="s">
        <v>1861</v>
      </c>
    </row>
    <row r="608" customFormat="false" ht="15" hidden="false" customHeight="false" outlineLevel="0" collapsed="false">
      <c r="A608" s="0" t="s">
        <v>63</v>
      </c>
      <c r="B608" s="0" t="s">
        <v>779</v>
      </c>
      <c r="C608" s="0" t="s">
        <v>701</v>
      </c>
      <c r="D608" s="0" t="s">
        <v>780</v>
      </c>
      <c r="E608" s="0" t="s">
        <v>790</v>
      </c>
      <c r="F608" s="0" t="n">
        <v>8</v>
      </c>
      <c r="G608" s="0" t="n">
        <v>0</v>
      </c>
      <c r="H608" s="0" t="s">
        <v>585</v>
      </c>
      <c r="K608" s="0" t="s">
        <v>782</v>
      </c>
      <c r="L608" s="0" t="s">
        <v>1862</v>
      </c>
    </row>
    <row r="609" customFormat="false" ht="15" hidden="false" customHeight="false" outlineLevel="0" collapsed="false">
      <c r="A609" s="0" t="s">
        <v>63</v>
      </c>
      <c r="B609" s="0" t="s">
        <v>779</v>
      </c>
      <c r="C609" s="0" t="s">
        <v>728</v>
      </c>
      <c r="D609" s="0" t="s">
        <v>780</v>
      </c>
      <c r="E609" s="0" t="s">
        <v>792</v>
      </c>
      <c r="F609" s="0" t="n">
        <v>8</v>
      </c>
      <c r="G609" s="0" t="n">
        <v>1</v>
      </c>
      <c r="H609" s="0" t="s">
        <v>585</v>
      </c>
      <c r="I609" s="0" t="s">
        <v>332</v>
      </c>
      <c r="K609" s="0" t="s">
        <v>782</v>
      </c>
      <c r="L609" s="0" t="s">
        <v>1863</v>
      </c>
    </row>
    <row r="610" customFormat="false" ht="15" hidden="false" customHeight="false" outlineLevel="0" collapsed="false">
      <c r="A610" s="0" t="s">
        <v>63</v>
      </c>
      <c r="B610" s="0" t="s">
        <v>779</v>
      </c>
      <c r="C610" s="0" t="s">
        <v>754</v>
      </c>
      <c r="D610" s="0" t="s">
        <v>780</v>
      </c>
      <c r="E610" s="0" t="s">
        <v>794</v>
      </c>
      <c r="F610" s="0" t="n">
        <v>8</v>
      </c>
      <c r="G610" s="0" t="n">
        <v>0</v>
      </c>
      <c r="H610" s="0" t="s">
        <v>585</v>
      </c>
      <c r="K610" s="0" t="s">
        <v>782</v>
      </c>
      <c r="L610" s="0" t="s">
        <v>1864</v>
      </c>
    </row>
    <row r="611" customFormat="false" ht="15" hidden="false" customHeight="false" outlineLevel="0" collapsed="false">
      <c r="A611" s="0" t="s">
        <v>63</v>
      </c>
      <c r="B611" s="0" t="s">
        <v>779</v>
      </c>
      <c r="C611" s="0" t="s">
        <v>577</v>
      </c>
      <c r="D611" s="0" t="s">
        <v>160</v>
      </c>
      <c r="E611" s="0" t="s">
        <v>796</v>
      </c>
      <c r="F611" s="0" t="n">
        <v>8</v>
      </c>
      <c r="G611" s="0" t="n">
        <v>1</v>
      </c>
      <c r="H611" s="0" t="s">
        <v>585</v>
      </c>
      <c r="I611" s="0" t="s">
        <v>337</v>
      </c>
      <c r="K611" s="0" t="s">
        <v>782</v>
      </c>
      <c r="L611" s="0" t="s">
        <v>1865</v>
      </c>
    </row>
    <row r="612" customFormat="false" ht="15" hidden="false" customHeight="false" outlineLevel="0" collapsed="false">
      <c r="A612" s="0" t="s">
        <v>63</v>
      </c>
      <c r="B612" s="0" t="s">
        <v>779</v>
      </c>
      <c r="C612" s="0" t="s">
        <v>622</v>
      </c>
      <c r="D612" s="0" t="s">
        <v>160</v>
      </c>
      <c r="E612" s="0" t="s">
        <v>798</v>
      </c>
      <c r="F612" s="0" t="n">
        <v>8</v>
      </c>
      <c r="G612" s="0" t="n">
        <v>0</v>
      </c>
      <c r="H612" s="0" t="s">
        <v>585</v>
      </c>
      <c r="K612" s="0" t="s">
        <v>782</v>
      </c>
      <c r="L612" s="0" t="s">
        <v>1866</v>
      </c>
    </row>
    <row r="613" customFormat="false" ht="15" hidden="false" customHeight="false" outlineLevel="0" collapsed="false">
      <c r="A613" s="0" t="s">
        <v>63</v>
      </c>
      <c r="B613" s="0" t="s">
        <v>779</v>
      </c>
      <c r="C613" s="0" t="s">
        <v>649</v>
      </c>
      <c r="D613" s="0" t="s">
        <v>160</v>
      </c>
      <c r="E613" s="0" t="s">
        <v>800</v>
      </c>
      <c r="F613" s="0" t="n">
        <v>8</v>
      </c>
      <c r="G613" s="0" t="n">
        <v>1</v>
      </c>
      <c r="H613" s="0" t="s">
        <v>585</v>
      </c>
      <c r="I613" s="0" t="s">
        <v>334</v>
      </c>
      <c r="K613" s="0" t="s">
        <v>782</v>
      </c>
      <c r="L613" s="0" t="s">
        <v>1867</v>
      </c>
    </row>
    <row r="614" customFormat="false" ht="15" hidden="false" customHeight="false" outlineLevel="0" collapsed="false">
      <c r="A614" s="0" t="s">
        <v>63</v>
      </c>
      <c r="B614" s="0" t="s">
        <v>779</v>
      </c>
      <c r="C614" s="0" t="s">
        <v>675</v>
      </c>
      <c r="D614" s="0" t="s">
        <v>160</v>
      </c>
      <c r="E614" s="0" t="s">
        <v>802</v>
      </c>
      <c r="F614" s="0" t="n">
        <v>8</v>
      </c>
      <c r="G614" s="0" t="n">
        <v>0</v>
      </c>
      <c r="H614" s="0" t="s">
        <v>585</v>
      </c>
      <c r="K614" s="0" t="s">
        <v>782</v>
      </c>
      <c r="L614" s="0" t="s">
        <v>1868</v>
      </c>
    </row>
    <row r="615" customFormat="false" ht="15" hidden="false" customHeight="false" outlineLevel="0" collapsed="false">
      <c r="A615" s="0" t="s">
        <v>63</v>
      </c>
      <c r="B615" s="0" t="s">
        <v>779</v>
      </c>
      <c r="C615" s="0" t="s">
        <v>701</v>
      </c>
      <c r="D615" s="0" t="s">
        <v>160</v>
      </c>
      <c r="E615" s="0" t="s">
        <v>804</v>
      </c>
      <c r="F615" s="0" t="n">
        <v>8</v>
      </c>
      <c r="G615" s="0" t="n">
        <v>1</v>
      </c>
      <c r="H615" s="0" t="s">
        <v>585</v>
      </c>
      <c r="I615" s="0" t="s">
        <v>340</v>
      </c>
      <c r="K615" s="0" t="s">
        <v>782</v>
      </c>
      <c r="L615" s="0" t="s">
        <v>1869</v>
      </c>
    </row>
    <row r="616" customFormat="false" ht="15" hidden="false" customHeight="false" outlineLevel="0" collapsed="false">
      <c r="A616" s="0" t="s">
        <v>63</v>
      </c>
      <c r="B616" s="0" t="s">
        <v>779</v>
      </c>
      <c r="C616" s="0" t="s">
        <v>728</v>
      </c>
      <c r="D616" s="0" t="s">
        <v>160</v>
      </c>
      <c r="E616" s="0" t="s">
        <v>806</v>
      </c>
      <c r="F616" s="0" t="n">
        <v>8</v>
      </c>
      <c r="G616" s="0" t="n">
        <v>0</v>
      </c>
      <c r="H616" s="0" t="s">
        <v>585</v>
      </c>
      <c r="K616" s="0" t="s">
        <v>782</v>
      </c>
      <c r="L616" s="0" t="s">
        <v>1870</v>
      </c>
    </row>
    <row r="617" customFormat="false" ht="15" hidden="false" customHeight="false" outlineLevel="0" collapsed="false">
      <c r="A617" s="0" t="s">
        <v>63</v>
      </c>
      <c r="B617" s="0" t="s">
        <v>779</v>
      </c>
      <c r="C617" s="0" t="s">
        <v>754</v>
      </c>
      <c r="D617" s="0" t="s">
        <v>160</v>
      </c>
      <c r="E617" s="0" t="s">
        <v>808</v>
      </c>
      <c r="F617" s="0" t="n">
        <v>8</v>
      </c>
      <c r="G617" s="0" t="n">
        <v>0</v>
      </c>
      <c r="H617" s="0" t="s">
        <v>585</v>
      </c>
      <c r="K617" s="0" t="s">
        <v>782</v>
      </c>
      <c r="L617" s="0" t="s">
        <v>1871</v>
      </c>
    </row>
    <row r="618" customFormat="false" ht="15" hidden="false" customHeight="false" outlineLevel="0" collapsed="false">
      <c r="A618" s="0" t="s">
        <v>63</v>
      </c>
      <c r="B618" s="0" t="s">
        <v>42</v>
      </c>
      <c r="C618" s="0" t="s">
        <v>810</v>
      </c>
      <c r="D618" s="0" t="s">
        <v>987</v>
      </c>
      <c r="E618" s="0" t="s">
        <v>1872</v>
      </c>
      <c r="F618" s="0" t="n">
        <v>0</v>
      </c>
      <c r="G618" s="0" t="n">
        <v>0</v>
      </c>
      <c r="H618" s="0" t="s">
        <v>580</v>
      </c>
      <c r="K618" s="0" t="s">
        <v>581</v>
      </c>
      <c r="L618" s="0" t="s">
        <v>1873</v>
      </c>
    </row>
    <row r="619" customFormat="false" ht="15" hidden="false" customHeight="false" outlineLevel="0" collapsed="false">
      <c r="A619" s="0" t="s">
        <v>63</v>
      </c>
      <c r="B619" s="0" t="s">
        <v>42</v>
      </c>
      <c r="C619" s="0" t="s">
        <v>810</v>
      </c>
      <c r="D619" s="0" t="s">
        <v>990</v>
      </c>
      <c r="E619" s="0" t="s">
        <v>1874</v>
      </c>
      <c r="F619" s="0" t="n">
        <v>5</v>
      </c>
      <c r="G619" s="0" t="n">
        <v>2</v>
      </c>
      <c r="H619" s="0" t="s">
        <v>585</v>
      </c>
      <c r="I619" s="0" t="s">
        <v>342</v>
      </c>
      <c r="K619" s="0" t="s">
        <v>586</v>
      </c>
      <c r="L619" s="0" t="s">
        <v>1875</v>
      </c>
    </row>
    <row r="620" customFormat="false" ht="15" hidden="false" customHeight="false" outlineLevel="0" collapsed="false">
      <c r="A620" s="0" t="s">
        <v>63</v>
      </c>
      <c r="B620" s="0" t="s">
        <v>42</v>
      </c>
      <c r="C620" s="0" t="s">
        <v>810</v>
      </c>
      <c r="D620" s="0" t="s">
        <v>993</v>
      </c>
      <c r="E620" s="0" t="s">
        <v>1876</v>
      </c>
      <c r="F620" s="0" t="n">
        <v>5</v>
      </c>
      <c r="G620" s="0" t="n">
        <v>0</v>
      </c>
      <c r="H620" s="0" t="s">
        <v>585</v>
      </c>
      <c r="K620" s="0" t="s">
        <v>590</v>
      </c>
      <c r="L620" s="0" t="s">
        <v>1877</v>
      </c>
    </row>
    <row r="621" customFormat="false" ht="15" hidden="false" customHeight="false" outlineLevel="0" collapsed="false">
      <c r="A621" s="0" t="s">
        <v>63</v>
      </c>
      <c r="B621" s="0" t="s">
        <v>42</v>
      </c>
      <c r="C621" s="0" t="s">
        <v>810</v>
      </c>
      <c r="D621" s="0" t="s">
        <v>126</v>
      </c>
      <c r="E621" s="0" t="s">
        <v>1878</v>
      </c>
      <c r="F621" s="0" t="n">
        <v>5</v>
      </c>
      <c r="G621" s="0" t="n">
        <v>0</v>
      </c>
      <c r="H621" s="0" t="s">
        <v>585</v>
      </c>
      <c r="K621" s="0" t="s">
        <v>594</v>
      </c>
      <c r="L621" s="0" t="s">
        <v>1879</v>
      </c>
    </row>
    <row r="622" customFormat="false" ht="15" hidden="false" customHeight="false" outlineLevel="0" collapsed="false">
      <c r="A622" s="0" t="s">
        <v>63</v>
      </c>
      <c r="B622" s="0" t="s">
        <v>42</v>
      </c>
      <c r="C622" s="0" t="s">
        <v>810</v>
      </c>
      <c r="D622" s="0" t="s">
        <v>129</v>
      </c>
      <c r="E622" s="0" t="s">
        <v>1880</v>
      </c>
      <c r="F622" s="0" t="n">
        <v>5</v>
      </c>
      <c r="G622" s="0" t="n">
        <v>1</v>
      </c>
      <c r="H622" s="0" t="s">
        <v>585</v>
      </c>
      <c r="I622" s="0" t="s">
        <v>332</v>
      </c>
      <c r="K622" s="0" t="s">
        <v>597</v>
      </c>
      <c r="L622" s="0" t="s">
        <v>1881</v>
      </c>
    </row>
    <row r="623" customFormat="false" ht="15" hidden="false" customHeight="false" outlineLevel="0" collapsed="false">
      <c r="A623" s="0" t="s">
        <v>63</v>
      </c>
      <c r="B623" s="0" t="s">
        <v>42</v>
      </c>
      <c r="C623" s="0" t="s">
        <v>810</v>
      </c>
      <c r="D623" s="0" t="s">
        <v>132</v>
      </c>
      <c r="E623" s="0" t="s">
        <v>1882</v>
      </c>
      <c r="F623" s="0" t="n">
        <v>0</v>
      </c>
      <c r="G623" s="0" t="n">
        <v>0</v>
      </c>
      <c r="H623" s="0" t="s">
        <v>580</v>
      </c>
      <c r="K623" s="0" t="s">
        <v>600</v>
      </c>
      <c r="L623" s="0" t="s">
        <v>1883</v>
      </c>
    </row>
    <row r="624" customFormat="false" ht="15" hidden="false" customHeight="false" outlineLevel="0" collapsed="false">
      <c r="A624" s="0" t="s">
        <v>63</v>
      </c>
      <c r="B624" s="0" t="s">
        <v>42</v>
      </c>
      <c r="C624" s="0" t="s">
        <v>810</v>
      </c>
      <c r="D624" s="0" t="s">
        <v>139</v>
      </c>
      <c r="E624" s="0" t="s">
        <v>1884</v>
      </c>
      <c r="F624" s="0" t="n">
        <v>5</v>
      </c>
      <c r="G624" s="0" t="n">
        <v>0</v>
      </c>
      <c r="H624" s="0" t="s">
        <v>585</v>
      </c>
      <c r="K624" s="0" t="s">
        <v>604</v>
      </c>
      <c r="L624" s="0" t="s">
        <v>1885</v>
      </c>
    </row>
    <row r="625" customFormat="false" ht="15" hidden="false" customHeight="false" outlineLevel="0" collapsed="false">
      <c r="A625" s="0" t="s">
        <v>63</v>
      </c>
      <c r="B625" s="0" t="s">
        <v>42</v>
      </c>
      <c r="C625" s="0" t="s">
        <v>810</v>
      </c>
      <c r="D625" s="0" t="s">
        <v>143</v>
      </c>
      <c r="E625" s="0" t="s">
        <v>1886</v>
      </c>
      <c r="F625" s="0" t="n">
        <v>5</v>
      </c>
      <c r="G625" s="0" t="n">
        <v>0</v>
      </c>
      <c r="H625" s="0" t="s">
        <v>585</v>
      </c>
      <c r="K625" s="0" t="s">
        <v>607</v>
      </c>
      <c r="L625" s="0" t="s">
        <v>1887</v>
      </c>
    </row>
    <row r="626" customFormat="false" ht="15" hidden="false" customHeight="false" outlineLevel="0" collapsed="false">
      <c r="A626" s="0" t="s">
        <v>63</v>
      </c>
      <c r="B626" s="0" t="s">
        <v>42</v>
      </c>
      <c r="C626" s="0" t="s">
        <v>810</v>
      </c>
      <c r="D626" s="0" t="s">
        <v>146</v>
      </c>
      <c r="E626" s="0" t="s">
        <v>1888</v>
      </c>
      <c r="F626" s="0" t="n">
        <v>5</v>
      </c>
      <c r="G626" s="0" t="n">
        <v>1</v>
      </c>
      <c r="H626" s="0" t="s">
        <v>585</v>
      </c>
      <c r="I626" s="0" t="s">
        <v>342</v>
      </c>
      <c r="K626" s="0" t="s">
        <v>610</v>
      </c>
      <c r="L626" s="0" t="s">
        <v>1889</v>
      </c>
    </row>
    <row r="627" customFormat="false" ht="15" hidden="false" customHeight="false" outlineLevel="0" collapsed="false">
      <c r="A627" s="0" t="s">
        <v>63</v>
      </c>
      <c r="B627" s="0" t="s">
        <v>42</v>
      </c>
      <c r="C627" s="0" t="s">
        <v>810</v>
      </c>
      <c r="D627" s="0" t="s">
        <v>149</v>
      </c>
      <c r="E627" s="0" t="s">
        <v>1890</v>
      </c>
      <c r="F627" s="0" t="n">
        <v>0</v>
      </c>
      <c r="G627" s="0" t="n">
        <v>0</v>
      </c>
      <c r="H627" s="0" t="s">
        <v>580</v>
      </c>
      <c r="K627" s="0" t="s">
        <v>613</v>
      </c>
      <c r="L627" s="0" t="s">
        <v>1891</v>
      </c>
    </row>
    <row r="628" customFormat="false" ht="15" hidden="false" customHeight="false" outlineLevel="0" collapsed="false">
      <c r="A628" s="0" t="s">
        <v>63</v>
      </c>
      <c r="B628" s="0" t="s">
        <v>42</v>
      </c>
      <c r="C628" s="0" t="s">
        <v>810</v>
      </c>
      <c r="D628" s="0" t="s">
        <v>152</v>
      </c>
      <c r="E628" s="0" t="s">
        <v>1892</v>
      </c>
      <c r="F628" s="0" t="n">
        <v>5</v>
      </c>
      <c r="G628" s="0" t="n">
        <v>0</v>
      </c>
      <c r="H628" s="0" t="s">
        <v>585</v>
      </c>
      <c r="K628" s="0" t="s">
        <v>616</v>
      </c>
      <c r="L628" s="0" t="s">
        <v>1893</v>
      </c>
    </row>
    <row r="629" customFormat="false" ht="15" hidden="false" customHeight="false" outlineLevel="0" collapsed="false">
      <c r="A629" s="0" t="s">
        <v>63</v>
      </c>
      <c r="B629" s="0" t="s">
        <v>42</v>
      </c>
      <c r="C629" s="0" t="s">
        <v>810</v>
      </c>
      <c r="D629" s="0" t="s">
        <v>155</v>
      </c>
      <c r="E629" s="0" t="s">
        <v>1894</v>
      </c>
      <c r="F629" s="0" t="n">
        <v>5</v>
      </c>
      <c r="G629" s="0" t="n">
        <v>0</v>
      </c>
      <c r="H629" s="0" t="s">
        <v>585</v>
      </c>
      <c r="K629" s="0" t="s">
        <v>620</v>
      </c>
      <c r="L629" s="0" t="s">
        <v>1895</v>
      </c>
    </row>
    <row r="630" customFormat="false" ht="15" hidden="false" customHeight="false" outlineLevel="0" collapsed="false">
      <c r="A630" s="0" t="s">
        <v>63</v>
      </c>
      <c r="B630" s="0" t="s">
        <v>42</v>
      </c>
      <c r="C630" s="0" t="s">
        <v>835</v>
      </c>
      <c r="D630" s="0" t="s">
        <v>987</v>
      </c>
      <c r="E630" s="0" t="s">
        <v>1896</v>
      </c>
      <c r="F630" s="0" t="n">
        <v>0</v>
      </c>
      <c r="G630" s="0" t="n">
        <v>0</v>
      </c>
      <c r="H630" s="0" t="s">
        <v>580</v>
      </c>
      <c r="K630" s="0" t="s">
        <v>581</v>
      </c>
      <c r="L630" s="0" t="s">
        <v>1897</v>
      </c>
    </row>
    <row r="631" customFormat="false" ht="15" hidden="false" customHeight="false" outlineLevel="0" collapsed="false">
      <c r="A631" s="0" t="s">
        <v>63</v>
      </c>
      <c r="B631" s="0" t="s">
        <v>42</v>
      </c>
      <c r="C631" s="0" t="s">
        <v>835</v>
      </c>
      <c r="D631" s="0" t="s">
        <v>990</v>
      </c>
      <c r="E631" s="0" t="s">
        <v>1898</v>
      </c>
      <c r="F631" s="0" t="n">
        <v>5</v>
      </c>
      <c r="G631" s="0" t="n">
        <v>0</v>
      </c>
      <c r="H631" s="0" t="s">
        <v>585</v>
      </c>
      <c r="K631" s="0" t="s">
        <v>586</v>
      </c>
      <c r="L631" s="0" t="s">
        <v>1899</v>
      </c>
    </row>
    <row r="632" customFormat="false" ht="15" hidden="false" customHeight="false" outlineLevel="0" collapsed="false">
      <c r="A632" s="0" t="s">
        <v>63</v>
      </c>
      <c r="B632" s="0" t="s">
        <v>42</v>
      </c>
      <c r="C632" s="0" t="s">
        <v>835</v>
      </c>
      <c r="D632" s="0" t="s">
        <v>993</v>
      </c>
      <c r="E632" s="0" t="s">
        <v>1900</v>
      </c>
      <c r="F632" s="0" t="n">
        <v>5</v>
      </c>
      <c r="G632" s="0" t="n">
        <v>3</v>
      </c>
      <c r="H632" s="0" t="s">
        <v>585</v>
      </c>
      <c r="I632" s="0" t="s">
        <v>332</v>
      </c>
      <c r="K632" s="0" t="s">
        <v>590</v>
      </c>
      <c r="L632" s="0" t="s">
        <v>1901</v>
      </c>
    </row>
    <row r="633" customFormat="false" ht="15" hidden="false" customHeight="false" outlineLevel="0" collapsed="false">
      <c r="A633" s="0" t="s">
        <v>63</v>
      </c>
      <c r="B633" s="0" t="s">
        <v>42</v>
      </c>
      <c r="C633" s="0" t="s">
        <v>835</v>
      </c>
      <c r="D633" s="0" t="s">
        <v>126</v>
      </c>
      <c r="E633" s="0" t="s">
        <v>1902</v>
      </c>
      <c r="F633" s="0" t="n">
        <v>5</v>
      </c>
      <c r="G633" s="0" t="n">
        <v>0</v>
      </c>
      <c r="H633" s="0" t="s">
        <v>585</v>
      </c>
      <c r="K633" s="0" t="s">
        <v>594</v>
      </c>
      <c r="L633" s="0" t="s">
        <v>1903</v>
      </c>
    </row>
    <row r="634" customFormat="false" ht="15" hidden="false" customHeight="false" outlineLevel="0" collapsed="false">
      <c r="A634" s="0" t="s">
        <v>63</v>
      </c>
      <c r="B634" s="0" t="s">
        <v>42</v>
      </c>
      <c r="C634" s="0" t="s">
        <v>835</v>
      </c>
      <c r="D634" s="0" t="s">
        <v>129</v>
      </c>
      <c r="E634" s="0" t="s">
        <v>1904</v>
      </c>
      <c r="F634" s="0" t="n">
        <v>5</v>
      </c>
      <c r="G634" s="0" t="n">
        <v>2</v>
      </c>
      <c r="H634" s="0" t="s">
        <v>585</v>
      </c>
      <c r="I634" s="0" t="s">
        <v>342</v>
      </c>
      <c r="K634" s="0" t="s">
        <v>597</v>
      </c>
      <c r="L634" s="0" t="s">
        <v>1905</v>
      </c>
    </row>
    <row r="635" customFormat="false" ht="15" hidden="false" customHeight="false" outlineLevel="0" collapsed="false">
      <c r="A635" s="0" t="s">
        <v>63</v>
      </c>
      <c r="B635" s="0" t="s">
        <v>42</v>
      </c>
      <c r="C635" s="0" t="s">
        <v>835</v>
      </c>
      <c r="D635" s="0" t="s">
        <v>132</v>
      </c>
      <c r="E635" s="0" t="s">
        <v>1906</v>
      </c>
      <c r="F635" s="0" t="n">
        <v>0</v>
      </c>
      <c r="G635" s="0" t="n">
        <v>0</v>
      </c>
      <c r="H635" s="0" t="s">
        <v>580</v>
      </c>
      <c r="K635" s="0" t="s">
        <v>600</v>
      </c>
      <c r="L635" s="0" t="s">
        <v>1907</v>
      </c>
    </row>
    <row r="636" customFormat="false" ht="15" hidden="false" customHeight="false" outlineLevel="0" collapsed="false">
      <c r="A636" s="0" t="s">
        <v>63</v>
      </c>
      <c r="B636" s="0" t="s">
        <v>42</v>
      </c>
      <c r="C636" s="0" t="s">
        <v>835</v>
      </c>
      <c r="D636" s="0" t="s">
        <v>139</v>
      </c>
      <c r="E636" s="0" t="s">
        <v>1908</v>
      </c>
      <c r="F636" s="0" t="n">
        <v>5</v>
      </c>
      <c r="G636" s="0" t="n">
        <v>0</v>
      </c>
      <c r="H636" s="0" t="s">
        <v>585</v>
      </c>
      <c r="K636" s="0" t="s">
        <v>604</v>
      </c>
      <c r="L636" s="0" t="s">
        <v>1909</v>
      </c>
    </row>
    <row r="637" customFormat="false" ht="15" hidden="false" customHeight="false" outlineLevel="0" collapsed="false">
      <c r="A637" s="0" t="s">
        <v>63</v>
      </c>
      <c r="B637" s="0" t="s">
        <v>42</v>
      </c>
      <c r="C637" s="0" t="s">
        <v>835</v>
      </c>
      <c r="D637" s="0" t="s">
        <v>143</v>
      </c>
      <c r="E637" s="0" t="s">
        <v>1910</v>
      </c>
      <c r="F637" s="0" t="n">
        <v>5</v>
      </c>
      <c r="G637" s="0" t="n">
        <v>0</v>
      </c>
      <c r="H637" s="0" t="s">
        <v>585</v>
      </c>
      <c r="K637" s="0" t="s">
        <v>607</v>
      </c>
      <c r="L637" s="0" t="s">
        <v>1911</v>
      </c>
    </row>
    <row r="638" customFormat="false" ht="15" hidden="false" customHeight="false" outlineLevel="0" collapsed="false">
      <c r="A638" s="0" t="s">
        <v>63</v>
      </c>
      <c r="B638" s="0" t="s">
        <v>42</v>
      </c>
      <c r="C638" s="0" t="s">
        <v>835</v>
      </c>
      <c r="D638" s="0" t="s">
        <v>146</v>
      </c>
      <c r="E638" s="0" t="s">
        <v>1912</v>
      </c>
      <c r="F638" s="0" t="n">
        <v>0</v>
      </c>
      <c r="G638" s="0" t="n">
        <v>0</v>
      </c>
      <c r="H638" s="0" t="s">
        <v>580</v>
      </c>
      <c r="K638" s="0" t="s">
        <v>610</v>
      </c>
      <c r="L638" s="0" t="s">
        <v>1913</v>
      </c>
    </row>
    <row r="639" customFormat="false" ht="15" hidden="false" customHeight="false" outlineLevel="0" collapsed="false">
      <c r="A639" s="0" t="s">
        <v>63</v>
      </c>
      <c r="B639" s="0" t="s">
        <v>42</v>
      </c>
      <c r="C639" s="0" t="s">
        <v>835</v>
      </c>
      <c r="D639" s="0" t="s">
        <v>149</v>
      </c>
      <c r="E639" s="0" t="s">
        <v>1914</v>
      </c>
      <c r="F639" s="0" t="n">
        <v>0</v>
      </c>
      <c r="G639" s="0" t="n">
        <v>0</v>
      </c>
      <c r="H639" s="0" t="s">
        <v>580</v>
      </c>
      <c r="K639" s="0" t="s">
        <v>613</v>
      </c>
      <c r="L639" s="0" t="s">
        <v>1915</v>
      </c>
    </row>
    <row r="640" customFormat="false" ht="15" hidden="false" customHeight="false" outlineLevel="0" collapsed="false">
      <c r="A640" s="0" t="s">
        <v>63</v>
      </c>
      <c r="B640" s="0" t="s">
        <v>42</v>
      </c>
      <c r="C640" s="0" t="s">
        <v>835</v>
      </c>
      <c r="D640" s="0" t="s">
        <v>152</v>
      </c>
      <c r="E640" s="0" t="s">
        <v>1916</v>
      </c>
      <c r="F640" s="0" t="n">
        <v>5</v>
      </c>
      <c r="G640" s="0" t="n">
        <v>0</v>
      </c>
      <c r="H640" s="0" t="s">
        <v>585</v>
      </c>
      <c r="K640" s="0" t="s">
        <v>616</v>
      </c>
      <c r="L640" s="0" t="s">
        <v>1917</v>
      </c>
    </row>
    <row r="641" customFormat="false" ht="15" hidden="false" customHeight="false" outlineLevel="0" collapsed="false">
      <c r="A641" s="0" t="s">
        <v>63</v>
      </c>
      <c r="B641" s="0" t="s">
        <v>42</v>
      </c>
      <c r="C641" s="0" t="s">
        <v>835</v>
      </c>
      <c r="D641" s="0" t="s">
        <v>155</v>
      </c>
      <c r="E641" s="0" t="s">
        <v>1918</v>
      </c>
      <c r="F641" s="0" t="n">
        <v>5</v>
      </c>
      <c r="G641" s="0" t="n">
        <v>0</v>
      </c>
      <c r="H641" s="0" t="s">
        <v>585</v>
      </c>
      <c r="K641" s="0" t="s">
        <v>620</v>
      </c>
      <c r="L641" s="0" t="s">
        <v>1919</v>
      </c>
    </row>
    <row r="642" customFormat="false" ht="15" hidden="false" customHeight="false" outlineLevel="0" collapsed="false">
      <c r="A642" s="0" t="s">
        <v>63</v>
      </c>
      <c r="B642" s="0" t="s">
        <v>42</v>
      </c>
      <c r="C642" s="0" t="s">
        <v>860</v>
      </c>
      <c r="D642" s="0" t="s">
        <v>987</v>
      </c>
      <c r="E642" s="0" t="s">
        <v>1920</v>
      </c>
      <c r="F642" s="0" t="n">
        <v>0</v>
      </c>
      <c r="G642" s="0" t="n">
        <v>0</v>
      </c>
      <c r="H642" s="0" t="s">
        <v>580</v>
      </c>
      <c r="K642" s="0" t="s">
        <v>581</v>
      </c>
      <c r="L642" s="0" t="s">
        <v>1921</v>
      </c>
    </row>
    <row r="643" customFormat="false" ht="15" hidden="false" customHeight="false" outlineLevel="0" collapsed="false">
      <c r="A643" s="0" t="s">
        <v>63</v>
      </c>
      <c r="B643" s="0" t="s">
        <v>42</v>
      </c>
      <c r="C643" s="0" t="s">
        <v>860</v>
      </c>
      <c r="D643" s="0" t="s">
        <v>990</v>
      </c>
      <c r="E643" s="0" t="s">
        <v>1922</v>
      </c>
      <c r="F643" s="0" t="n">
        <v>5</v>
      </c>
      <c r="G643" s="0" t="n">
        <v>0</v>
      </c>
      <c r="H643" s="0" t="s">
        <v>585</v>
      </c>
      <c r="K643" s="0" t="s">
        <v>586</v>
      </c>
      <c r="L643" s="0" t="s">
        <v>1923</v>
      </c>
    </row>
    <row r="644" customFormat="false" ht="15" hidden="false" customHeight="false" outlineLevel="0" collapsed="false">
      <c r="A644" s="0" t="s">
        <v>63</v>
      </c>
      <c r="B644" s="0" t="s">
        <v>42</v>
      </c>
      <c r="C644" s="0" t="s">
        <v>860</v>
      </c>
      <c r="D644" s="0" t="s">
        <v>993</v>
      </c>
      <c r="E644" s="0" t="s">
        <v>1924</v>
      </c>
      <c r="F644" s="0" t="n">
        <v>5</v>
      </c>
      <c r="G644" s="0" t="n">
        <v>2</v>
      </c>
      <c r="H644" s="0" t="s">
        <v>585</v>
      </c>
      <c r="I644" s="0" t="s">
        <v>337</v>
      </c>
      <c r="K644" s="0" t="s">
        <v>590</v>
      </c>
      <c r="L644" s="0" t="s">
        <v>1925</v>
      </c>
    </row>
    <row r="645" customFormat="false" ht="15" hidden="false" customHeight="false" outlineLevel="0" collapsed="false">
      <c r="A645" s="0" t="s">
        <v>63</v>
      </c>
      <c r="B645" s="0" t="s">
        <v>42</v>
      </c>
      <c r="C645" s="0" t="s">
        <v>860</v>
      </c>
      <c r="D645" s="0" t="s">
        <v>126</v>
      </c>
      <c r="E645" s="0" t="s">
        <v>1926</v>
      </c>
      <c r="F645" s="0" t="n">
        <v>5</v>
      </c>
      <c r="G645" s="0" t="n">
        <v>4</v>
      </c>
      <c r="H645" s="0" t="s">
        <v>585</v>
      </c>
      <c r="I645" s="0" t="s">
        <v>338</v>
      </c>
      <c r="K645" s="0" t="s">
        <v>594</v>
      </c>
      <c r="L645" s="0" t="s">
        <v>1927</v>
      </c>
    </row>
    <row r="646" customFormat="false" ht="15" hidden="false" customHeight="false" outlineLevel="0" collapsed="false">
      <c r="A646" s="0" t="s">
        <v>63</v>
      </c>
      <c r="B646" s="0" t="s">
        <v>42</v>
      </c>
      <c r="C646" s="0" t="s">
        <v>860</v>
      </c>
      <c r="D646" s="0" t="s">
        <v>129</v>
      </c>
      <c r="E646" s="0" t="s">
        <v>1928</v>
      </c>
      <c r="F646" s="0" t="n">
        <v>5</v>
      </c>
      <c r="G646" s="0" t="n">
        <v>0</v>
      </c>
      <c r="H646" s="0" t="s">
        <v>585</v>
      </c>
      <c r="K646" s="0" t="s">
        <v>597</v>
      </c>
      <c r="L646" s="0" t="s">
        <v>1929</v>
      </c>
    </row>
    <row r="647" customFormat="false" ht="15" hidden="false" customHeight="false" outlineLevel="0" collapsed="false">
      <c r="A647" s="0" t="s">
        <v>63</v>
      </c>
      <c r="B647" s="0" t="s">
        <v>42</v>
      </c>
      <c r="C647" s="0" t="s">
        <v>860</v>
      </c>
      <c r="D647" s="0" t="s">
        <v>132</v>
      </c>
      <c r="E647" s="0" t="s">
        <v>1930</v>
      </c>
      <c r="F647" s="0" t="n">
        <v>0</v>
      </c>
      <c r="G647" s="0" t="n">
        <v>0</v>
      </c>
      <c r="H647" s="0" t="s">
        <v>580</v>
      </c>
      <c r="K647" s="0" t="s">
        <v>600</v>
      </c>
      <c r="L647" s="0" t="s">
        <v>1931</v>
      </c>
    </row>
    <row r="648" customFormat="false" ht="15" hidden="false" customHeight="false" outlineLevel="0" collapsed="false">
      <c r="A648" s="0" t="s">
        <v>63</v>
      </c>
      <c r="B648" s="0" t="s">
        <v>42</v>
      </c>
      <c r="C648" s="0" t="s">
        <v>860</v>
      </c>
      <c r="D648" s="0" t="s">
        <v>139</v>
      </c>
      <c r="E648" s="0" t="s">
        <v>1932</v>
      </c>
      <c r="F648" s="0" t="n">
        <v>5</v>
      </c>
      <c r="G648" s="0" t="n">
        <v>0</v>
      </c>
      <c r="H648" s="0" t="s">
        <v>585</v>
      </c>
      <c r="K648" s="0" t="s">
        <v>604</v>
      </c>
      <c r="L648" s="0" t="s">
        <v>1933</v>
      </c>
    </row>
    <row r="649" customFormat="false" ht="15" hidden="false" customHeight="false" outlineLevel="0" collapsed="false">
      <c r="A649" s="0" t="s">
        <v>63</v>
      </c>
      <c r="B649" s="0" t="s">
        <v>42</v>
      </c>
      <c r="C649" s="0" t="s">
        <v>860</v>
      </c>
      <c r="D649" s="0" t="s">
        <v>143</v>
      </c>
      <c r="E649" s="0" t="s">
        <v>1934</v>
      </c>
      <c r="F649" s="0" t="n">
        <v>5</v>
      </c>
      <c r="G649" s="0" t="n">
        <v>0</v>
      </c>
      <c r="H649" s="0" t="s">
        <v>585</v>
      </c>
      <c r="K649" s="0" t="s">
        <v>607</v>
      </c>
      <c r="L649" s="0" t="s">
        <v>1935</v>
      </c>
    </row>
    <row r="650" customFormat="false" ht="15" hidden="false" customHeight="false" outlineLevel="0" collapsed="false">
      <c r="A650" s="0" t="s">
        <v>63</v>
      </c>
      <c r="B650" s="0" t="s">
        <v>42</v>
      </c>
      <c r="C650" s="0" t="s">
        <v>860</v>
      </c>
      <c r="D650" s="0" t="s">
        <v>146</v>
      </c>
      <c r="E650" s="0" t="s">
        <v>1936</v>
      </c>
      <c r="F650" s="0" t="n">
        <v>0</v>
      </c>
      <c r="G650" s="0" t="n">
        <v>0</v>
      </c>
      <c r="H650" s="0" t="s">
        <v>580</v>
      </c>
      <c r="K650" s="0" t="s">
        <v>610</v>
      </c>
      <c r="L650" s="0" t="s">
        <v>1937</v>
      </c>
    </row>
    <row r="651" customFormat="false" ht="15" hidden="false" customHeight="false" outlineLevel="0" collapsed="false">
      <c r="A651" s="0" t="s">
        <v>63</v>
      </c>
      <c r="B651" s="0" t="s">
        <v>42</v>
      </c>
      <c r="C651" s="0" t="s">
        <v>860</v>
      </c>
      <c r="D651" s="0" t="s">
        <v>149</v>
      </c>
      <c r="E651" s="0" t="s">
        <v>1938</v>
      </c>
      <c r="F651" s="0" t="n">
        <v>5</v>
      </c>
      <c r="G651" s="0" t="n">
        <v>4</v>
      </c>
      <c r="H651" s="0" t="s">
        <v>585</v>
      </c>
      <c r="I651" s="0" t="s">
        <v>336</v>
      </c>
      <c r="K651" s="0" t="s">
        <v>613</v>
      </c>
      <c r="L651" s="0" t="s">
        <v>1939</v>
      </c>
    </row>
    <row r="652" customFormat="false" ht="15" hidden="false" customHeight="false" outlineLevel="0" collapsed="false">
      <c r="A652" s="0" t="s">
        <v>63</v>
      </c>
      <c r="B652" s="0" t="s">
        <v>42</v>
      </c>
      <c r="C652" s="0" t="s">
        <v>860</v>
      </c>
      <c r="D652" s="0" t="s">
        <v>152</v>
      </c>
      <c r="E652" s="0" t="s">
        <v>1940</v>
      </c>
      <c r="F652" s="0" t="n">
        <v>5</v>
      </c>
      <c r="G652" s="0" t="n">
        <v>0</v>
      </c>
      <c r="H652" s="0" t="s">
        <v>585</v>
      </c>
      <c r="K652" s="0" t="s">
        <v>616</v>
      </c>
      <c r="L652" s="0" t="s">
        <v>1941</v>
      </c>
    </row>
    <row r="653" customFormat="false" ht="15" hidden="false" customHeight="false" outlineLevel="0" collapsed="false">
      <c r="A653" s="0" t="s">
        <v>63</v>
      </c>
      <c r="B653" s="0" t="s">
        <v>42</v>
      </c>
      <c r="C653" s="0" t="s">
        <v>860</v>
      </c>
      <c r="D653" s="0" t="s">
        <v>155</v>
      </c>
      <c r="E653" s="0" t="s">
        <v>1942</v>
      </c>
      <c r="F653" s="0" t="n">
        <v>5</v>
      </c>
      <c r="G653" s="0" t="n">
        <v>3</v>
      </c>
      <c r="H653" s="0" t="s">
        <v>585</v>
      </c>
      <c r="I653" s="0" t="s">
        <v>337</v>
      </c>
      <c r="K653" s="0" t="s">
        <v>620</v>
      </c>
      <c r="L653" s="0" t="s">
        <v>1943</v>
      </c>
    </row>
    <row r="654" customFormat="false" ht="15" hidden="false" customHeight="false" outlineLevel="0" collapsed="false">
      <c r="A654" s="0" t="s">
        <v>63</v>
      </c>
      <c r="B654" s="0" t="s">
        <v>42</v>
      </c>
      <c r="C654" s="0" t="s">
        <v>885</v>
      </c>
      <c r="D654" s="0" t="s">
        <v>987</v>
      </c>
      <c r="E654" s="0" t="s">
        <v>1944</v>
      </c>
      <c r="F654" s="0" t="n">
        <v>0</v>
      </c>
      <c r="G654" s="0" t="n">
        <v>0</v>
      </c>
      <c r="H654" s="0" t="s">
        <v>580</v>
      </c>
      <c r="K654" s="0" t="s">
        <v>581</v>
      </c>
      <c r="L654" s="0" t="s">
        <v>1945</v>
      </c>
    </row>
    <row r="655" customFormat="false" ht="15" hidden="false" customHeight="false" outlineLevel="0" collapsed="false">
      <c r="A655" s="0" t="s">
        <v>63</v>
      </c>
      <c r="B655" s="0" t="s">
        <v>42</v>
      </c>
      <c r="C655" s="0" t="s">
        <v>885</v>
      </c>
      <c r="D655" s="0" t="s">
        <v>990</v>
      </c>
      <c r="E655" s="0" t="s">
        <v>1946</v>
      </c>
      <c r="F655" s="0" t="n">
        <v>5</v>
      </c>
      <c r="G655" s="0" t="n">
        <v>0</v>
      </c>
      <c r="H655" s="0" t="s">
        <v>585</v>
      </c>
      <c r="K655" s="0" t="s">
        <v>586</v>
      </c>
      <c r="L655" s="0" t="s">
        <v>1947</v>
      </c>
    </row>
    <row r="656" customFormat="false" ht="15" hidden="false" customHeight="false" outlineLevel="0" collapsed="false">
      <c r="A656" s="0" t="s">
        <v>63</v>
      </c>
      <c r="B656" s="0" t="s">
        <v>42</v>
      </c>
      <c r="C656" s="0" t="s">
        <v>885</v>
      </c>
      <c r="D656" s="0" t="s">
        <v>993</v>
      </c>
      <c r="E656" s="0" t="s">
        <v>1948</v>
      </c>
      <c r="F656" s="0" t="n">
        <v>5</v>
      </c>
      <c r="G656" s="0" t="n">
        <v>4</v>
      </c>
      <c r="H656" s="0" t="s">
        <v>585</v>
      </c>
      <c r="I656" s="0" t="s">
        <v>334</v>
      </c>
      <c r="K656" s="0" t="s">
        <v>590</v>
      </c>
      <c r="L656" s="0" t="s">
        <v>1949</v>
      </c>
    </row>
    <row r="657" customFormat="false" ht="15" hidden="false" customHeight="false" outlineLevel="0" collapsed="false">
      <c r="A657" s="0" t="s">
        <v>63</v>
      </c>
      <c r="B657" s="0" t="s">
        <v>42</v>
      </c>
      <c r="C657" s="0" t="s">
        <v>885</v>
      </c>
      <c r="D657" s="0" t="s">
        <v>126</v>
      </c>
      <c r="E657" s="0" t="s">
        <v>1950</v>
      </c>
      <c r="F657" s="0" t="n">
        <v>5</v>
      </c>
      <c r="G657" s="0" t="n">
        <v>0</v>
      </c>
      <c r="H657" s="0" t="s">
        <v>585</v>
      </c>
      <c r="K657" s="0" t="s">
        <v>594</v>
      </c>
      <c r="L657" s="0" t="s">
        <v>1951</v>
      </c>
    </row>
    <row r="658" customFormat="false" ht="15" hidden="false" customHeight="false" outlineLevel="0" collapsed="false">
      <c r="A658" s="0" t="s">
        <v>63</v>
      </c>
      <c r="B658" s="0" t="s">
        <v>42</v>
      </c>
      <c r="C658" s="0" t="s">
        <v>885</v>
      </c>
      <c r="D658" s="0" t="s">
        <v>129</v>
      </c>
      <c r="E658" s="0" t="s">
        <v>1952</v>
      </c>
      <c r="F658" s="0" t="n">
        <v>5</v>
      </c>
      <c r="G658" s="0" t="n">
        <v>4</v>
      </c>
      <c r="H658" s="0" t="s">
        <v>585</v>
      </c>
      <c r="I658" s="0" t="s">
        <v>336</v>
      </c>
      <c r="K658" s="0" t="s">
        <v>597</v>
      </c>
      <c r="L658" s="0" t="s">
        <v>1953</v>
      </c>
    </row>
    <row r="659" customFormat="false" ht="15" hidden="false" customHeight="false" outlineLevel="0" collapsed="false">
      <c r="A659" s="0" t="s">
        <v>63</v>
      </c>
      <c r="B659" s="0" t="s">
        <v>42</v>
      </c>
      <c r="C659" s="0" t="s">
        <v>885</v>
      </c>
      <c r="D659" s="0" t="s">
        <v>132</v>
      </c>
      <c r="E659" s="0" t="s">
        <v>1954</v>
      </c>
      <c r="F659" s="0" t="n">
        <v>0</v>
      </c>
      <c r="G659" s="0" t="n">
        <v>0</v>
      </c>
      <c r="H659" s="0" t="s">
        <v>580</v>
      </c>
      <c r="K659" s="0" t="s">
        <v>600</v>
      </c>
      <c r="L659" s="0" t="s">
        <v>1955</v>
      </c>
    </row>
    <row r="660" customFormat="false" ht="15" hidden="false" customHeight="false" outlineLevel="0" collapsed="false">
      <c r="A660" s="0" t="s">
        <v>63</v>
      </c>
      <c r="B660" s="0" t="s">
        <v>42</v>
      </c>
      <c r="C660" s="0" t="s">
        <v>885</v>
      </c>
      <c r="D660" s="0" t="s">
        <v>139</v>
      </c>
      <c r="E660" s="0" t="s">
        <v>1956</v>
      </c>
      <c r="F660" s="0" t="n">
        <v>5</v>
      </c>
      <c r="G660" s="0" t="n">
        <v>0</v>
      </c>
      <c r="H660" s="0" t="s">
        <v>585</v>
      </c>
      <c r="K660" s="0" t="s">
        <v>604</v>
      </c>
      <c r="L660" s="0" t="s">
        <v>1957</v>
      </c>
    </row>
    <row r="661" customFormat="false" ht="15" hidden="false" customHeight="false" outlineLevel="0" collapsed="false">
      <c r="A661" s="0" t="s">
        <v>63</v>
      </c>
      <c r="B661" s="0" t="s">
        <v>42</v>
      </c>
      <c r="C661" s="0" t="s">
        <v>885</v>
      </c>
      <c r="D661" s="0" t="s">
        <v>143</v>
      </c>
      <c r="E661" s="0" t="s">
        <v>1958</v>
      </c>
      <c r="F661" s="0" t="n">
        <v>5</v>
      </c>
      <c r="G661" s="0" t="n">
        <v>1</v>
      </c>
      <c r="H661" s="0" t="s">
        <v>585</v>
      </c>
      <c r="I661" s="0" t="s">
        <v>334</v>
      </c>
      <c r="K661" s="0" t="s">
        <v>607</v>
      </c>
      <c r="L661" s="0" t="s">
        <v>1959</v>
      </c>
    </row>
    <row r="662" customFormat="false" ht="15" hidden="false" customHeight="false" outlineLevel="0" collapsed="false">
      <c r="A662" s="0" t="s">
        <v>63</v>
      </c>
      <c r="B662" s="0" t="s">
        <v>42</v>
      </c>
      <c r="C662" s="0" t="s">
        <v>885</v>
      </c>
      <c r="D662" s="0" t="s">
        <v>146</v>
      </c>
      <c r="E662" s="0" t="s">
        <v>1960</v>
      </c>
      <c r="F662" s="0" t="n">
        <v>5</v>
      </c>
      <c r="G662" s="0" t="n">
        <v>0</v>
      </c>
      <c r="H662" s="0" t="s">
        <v>585</v>
      </c>
      <c r="K662" s="0" t="s">
        <v>610</v>
      </c>
      <c r="L662" s="0" t="s">
        <v>1961</v>
      </c>
    </row>
    <row r="663" customFormat="false" ht="15" hidden="false" customHeight="false" outlineLevel="0" collapsed="false">
      <c r="A663" s="0" t="s">
        <v>63</v>
      </c>
      <c r="B663" s="0" t="s">
        <v>42</v>
      </c>
      <c r="C663" s="0" t="s">
        <v>885</v>
      </c>
      <c r="D663" s="0" t="s">
        <v>149</v>
      </c>
      <c r="E663" s="0" t="s">
        <v>1962</v>
      </c>
      <c r="F663" s="0" t="n">
        <v>5</v>
      </c>
      <c r="G663" s="0" t="n">
        <v>0</v>
      </c>
      <c r="H663" s="0" t="s">
        <v>585</v>
      </c>
      <c r="K663" s="0" t="s">
        <v>613</v>
      </c>
      <c r="L663" s="0" t="s">
        <v>1963</v>
      </c>
    </row>
    <row r="664" customFormat="false" ht="15" hidden="false" customHeight="false" outlineLevel="0" collapsed="false">
      <c r="A664" s="0" t="s">
        <v>63</v>
      </c>
      <c r="B664" s="0" t="s">
        <v>42</v>
      </c>
      <c r="C664" s="0" t="s">
        <v>885</v>
      </c>
      <c r="D664" s="0" t="s">
        <v>152</v>
      </c>
      <c r="E664" s="0" t="s">
        <v>1964</v>
      </c>
      <c r="F664" s="0" t="n">
        <v>5</v>
      </c>
      <c r="G664" s="0" t="n">
        <v>0</v>
      </c>
      <c r="H664" s="0" t="s">
        <v>585</v>
      </c>
      <c r="K664" s="0" t="s">
        <v>616</v>
      </c>
      <c r="L664" s="0" t="s">
        <v>1965</v>
      </c>
    </row>
    <row r="665" customFormat="false" ht="15" hidden="false" customHeight="false" outlineLevel="0" collapsed="false">
      <c r="A665" s="0" t="s">
        <v>63</v>
      </c>
      <c r="B665" s="0" t="s">
        <v>42</v>
      </c>
      <c r="C665" s="0" t="s">
        <v>885</v>
      </c>
      <c r="D665" s="0" t="s">
        <v>155</v>
      </c>
      <c r="E665" s="0" t="s">
        <v>1966</v>
      </c>
      <c r="F665" s="0" t="n">
        <v>5</v>
      </c>
      <c r="G665" s="0" t="n">
        <v>2</v>
      </c>
      <c r="H665" s="0" t="s">
        <v>585</v>
      </c>
      <c r="I665" s="0" t="s">
        <v>334</v>
      </c>
      <c r="K665" s="0" t="s">
        <v>620</v>
      </c>
      <c r="L665" s="0" t="s">
        <v>1967</v>
      </c>
    </row>
    <row r="666" customFormat="false" ht="15" hidden="false" customHeight="false" outlineLevel="0" collapsed="false">
      <c r="A666" s="0" t="s">
        <v>63</v>
      </c>
      <c r="B666" s="0" t="s">
        <v>42</v>
      </c>
      <c r="C666" s="0" t="s">
        <v>910</v>
      </c>
      <c r="D666" s="0" t="s">
        <v>987</v>
      </c>
      <c r="E666" s="0" t="s">
        <v>1968</v>
      </c>
      <c r="F666" s="0" t="n">
        <v>0</v>
      </c>
      <c r="G666" s="0" t="n">
        <v>0</v>
      </c>
      <c r="H666" s="0" t="s">
        <v>580</v>
      </c>
      <c r="K666" s="0" t="s">
        <v>581</v>
      </c>
      <c r="L666" s="0" t="s">
        <v>1969</v>
      </c>
    </row>
    <row r="667" customFormat="false" ht="15" hidden="false" customHeight="false" outlineLevel="0" collapsed="false">
      <c r="A667" s="0" t="s">
        <v>63</v>
      </c>
      <c r="B667" s="0" t="s">
        <v>42</v>
      </c>
      <c r="C667" s="0" t="s">
        <v>910</v>
      </c>
      <c r="D667" s="0" t="s">
        <v>990</v>
      </c>
      <c r="E667" s="0" t="s">
        <v>1970</v>
      </c>
      <c r="F667" s="0" t="n">
        <v>5</v>
      </c>
      <c r="G667" s="0" t="n">
        <v>0</v>
      </c>
      <c r="H667" s="0" t="s">
        <v>585</v>
      </c>
      <c r="K667" s="0" t="s">
        <v>586</v>
      </c>
      <c r="L667" s="0" t="s">
        <v>1971</v>
      </c>
    </row>
    <row r="668" customFormat="false" ht="15" hidden="false" customHeight="false" outlineLevel="0" collapsed="false">
      <c r="A668" s="0" t="s">
        <v>63</v>
      </c>
      <c r="B668" s="0" t="s">
        <v>42</v>
      </c>
      <c r="C668" s="0" t="s">
        <v>910</v>
      </c>
      <c r="D668" s="0" t="s">
        <v>993</v>
      </c>
      <c r="E668" s="0" t="s">
        <v>1972</v>
      </c>
      <c r="F668" s="0" t="n">
        <v>5</v>
      </c>
      <c r="G668" s="0" t="n">
        <v>1</v>
      </c>
      <c r="H668" s="0" t="s">
        <v>585</v>
      </c>
      <c r="I668" s="0" t="s">
        <v>336</v>
      </c>
      <c r="K668" s="0" t="s">
        <v>590</v>
      </c>
      <c r="L668" s="0" t="s">
        <v>1973</v>
      </c>
    </row>
    <row r="669" customFormat="false" ht="15" hidden="false" customHeight="false" outlineLevel="0" collapsed="false">
      <c r="A669" s="0" t="s">
        <v>63</v>
      </c>
      <c r="B669" s="0" t="s">
        <v>42</v>
      </c>
      <c r="C669" s="0" t="s">
        <v>910</v>
      </c>
      <c r="D669" s="0" t="s">
        <v>126</v>
      </c>
      <c r="E669" s="0" t="s">
        <v>1974</v>
      </c>
      <c r="F669" s="0" t="n">
        <v>5</v>
      </c>
      <c r="G669" s="0" t="n">
        <v>3</v>
      </c>
      <c r="H669" s="0" t="s">
        <v>585</v>
      </c>
      <c r="I669" s="0" t="s">
        <v>336</v>
      </c>
      <c r="K669" s="0" t="s">
        <v>594</v>
      </c>
      <c r="L669" s="0" t="s">
        <v>1975</v>
      </c>
    </row>
    <row r="670" customFormat="false" ht="15" hidden="false" customHeight="false" outlineLevel="0" collapsed="false">
      <c r="A670" s="0" t="s">
        <v>63</v>
      </c>
      <c r="B670" s="0" t="s">
        <v>42</v>
      </c>
      <c r="C670" s="0" t="s">
        <v>910</v>
      </c>
      <c r="D670" s="0" t="s">
        <v>129</v>
      </c>
      <c r="E670" s="0" t="s">
        <v>1976</v>
      </c>
      <c r="F670" s="0" t="n">
        <v>5</v>
      </c>
      <c r="G670" s="0" t="n">
        <v>1</v>
      </c>
      <c r="H670" s="0" t="s">
        <v>585</v>
      </c>
      <c r="I670" s="0" t="s">
        <v>338</v>
      </c>
      <c r="K670" s="0" t="s">
        <v>597</v>
      </c>
      <c r="L670" s="0" t="s">
        <v>1977</v>
      </c>
    </row>
    <row r="671" customFormat="false" ht="15" hidden="false" customHeight="false" outlineLevel="0" collapsed="false">
      <c r="A671" s="0" t="s">
        <v>63</v>
      </c>
      <c r="B671" s="0" t="s">
        <v>42</v>
      </c>
      <c r="C671" s="0" t="s">
        <v>910</v>
      </c>
      <c r="D671" s="0" t="s">
        <v>132</v>
      </c>
      <c r="E671" s="0" t="s">
        <v>1978</v>
      </c>
      <c r="F671" s="0" t="n">
        <v>0</v>
      </c>
      <c r="G671" s="0" t="n">
        <v>0</v>
      </c>
      <c r="H671" s="0" t="s">
        <v>580</v>
      </c>
      <c r="K671" s="0" t="s">
        <v>600</v>
      </c>
      <c r="L671" s="0" t="s">
        <v>1979</v>
      </c>
    </row>
    <row r="672" customFormat="false" ht="15" hidden="false" customHeight="false" outlineLevel="0" collapsed="false">
      <c r="A672" s="0" t="s">
        <v>63</v>
      </c>
      <c r="B672" s="0" t="s">
        <v>42</v>
      </c>
      <c r="C672" s="0" t="s">
        <v>910</v>
      </c>
      <c r="D672" s="0" t="s">
        <v>139</v>
      </c>
      <c r="E672" s="0" t="s">
        <v>1980</v>
      </c>
      <c r="F672" s="0" t="n">
        <v>5</v>
      </c>
      <c r="G672" s="0" t="n">
        <v>2</v>
      </c>
      <c r="H672" s="0" t="s">
        <v>585</v>
      </c>
      <c r="I672" s="0" t="s">
        <v>332</v>
      </c>
      <c r="K672" s="0" t="s">
        <v>604</v>
      </c>
      <c r="L672" s="0" t="s">
        <v>1981</v>
      </c>
    </row>
    <row r="673" customFormat="false" ht="15" hidden="false" customHeight="false" outlineLevel="0" collapsed="false">
      <c r="A673" s="0" t="s">
        <v>63</v>
      </c>
      <c r="B673" s="0" t="s">
        <v>42</v>
      </c>
      <c r="C673" s="0" t="s">
        <v>910</v>
      </c>
      <c r="D673" s="0" t="s">
        <v>143</v>
      </c>
      <c r="E673" s="0" t="s">
        <v>1982</v>
      </c>
      <c r="F673" s="0" t="n">
        <v>5</v>
      </c>
      <c r="G673" s="0" t="n">
        <v>0</v>
      </c>
      <c r="H673" s="0" t="s">
        <v>585</v>
      </c>
      <c r="K673" s="0" t="s">
        <v>607</v>
      </c>
      <c r="L673" s="0" t="s">
        <v>1983</v>
      </c>
    </row>
    <row r="674" customFormat="false" ht="15" hidden="false" customHeight="false" outlineLevel="0" collapsed="false">
      <c r="A674" s="0" t="s">
        <v>63</v>
      </c>
      <c r="B674" s="0" t="s">
        <v>42</v>
      </c>
      <c r="C674" s="0" t="s">
        <v>910</v>
      </c>
      <c r="D674" s="0" t="s">
        <v>146</v>
      </c>
      <c r="E674" s="0" t="s">
        <v>1984</v>
      </c>
      <c r="F674" s="0" t="n">
        <v>0</v>
      </c>
      <c r="G674" s="0" t="n">
        <v>0</v>
      </c>
      <c r="H674" s="0" t="s">
        <v>580</v>
      </c>
      <c r="K674" s="0" t="s">
        <v>610</v>
      </c>
      <c r="L674" s="0" t="s">
        <v>1985</v>
      </c>
    </row>
    <row r="675" customFormat="false" ht="15" hidden="false" customHeight="false" outlineLevel="0" collapsed="false">
      <c r="A675" s="0" t="s">
        <v>63</v>
      </c>
      <c r="B675" s="0" t="s">
        <v>42</v>
      </c>
      <c r="C675" s="0" t="s">
        <v>910</v>
      </c>
      <c r="D675" s="0" t="s">
        <v>149</v>
      </c>
      <c r="E675" s="0" t="s">
        <v>1986</v>
      </c>
      <c r="F675" s="0" t="n">
        <v>0</v>
      </c>
      <c r="G675" s="0" t="n">
        <v>0</v>
      </c>
      <c r="H675" s="0" t="s">
        <v>580</v>
      </c>
      <c r="K675" s="0" t="s">
        <v>613</v>
      </c>
      <c r="L675" s="0" t="s">
        <v>1987</v>
      </c>
    </row>
    <row r="676" customFormat="false" ht="15" hidden="false" customHeight="false" outlineLevel="0" collapsed="false">
      <c r="A676" s="0" t="s">
        <v>63</v>
      </c>
      <c r="B676" s="0" t="s">
        <v>42</v>
      </c>
      <c r="C676" s="0" t="s">
        <v>910</v>
      </c>
      <c r="D676" s="0" t="s">
        <v>152</v>
      </c>
      <c r="E676" s="0" t="s">
        <v>1988</v>
      </c>
      <c r="F676" s="0" t="n">
        <v>5</v>
      </c>
      <c r="G676" s="0" t="n">
        <v>2</v>
      </c>
      <c r="H676" s="0" t="s">
        <v>585</v>
      </c>
      <c r="I676" s="0" t="s">
        <v>334</v>
      </c>
      <c r="K676" s="0" t="s">
        <v>616</v>
      </c>
      <c r="L676" s="0" t="s">
        <v>1989</v>
      </c>
    </row>
    <row r="677" customFormat="false" ht="15" hidden="false" customHeight="false" outlineLevel="0" collapsed="false">
      <c r="A677" s="0" t="s">
        <v>63</v>
      </c>
      <c r="B677" s="0" t="s">
        <v>42</v>
      </c>
      <c r="C677" s="0" t="s">
        <v>910</v>
      </c>
      <c r="D677" s="0" t="s">
        <v>155</v>
      </c>
      <c r="E677" s="0" t="s">
        <v>1990</v>
      </c>
      <c r="F677" s="0" t="n">
        <v>5</v>
      </c>
      <c r="G677" s="0" t="n">
        <v>4</v>
      </c>
      <c r="H677" s="0" t="s">
        <v>585</v>
      </c>
      <c r="I677" s="0" t="s">
        <v>334</v>
      </c>
      <c r="K677" s="0" t="s">
        <v>620</v>
      </c>
      <c r="L677" s="0" t="s">
        <v>1991</v>
      </c>
    </row>
    <row r="678" customFormat="false" ht="15" hidden="false" customHeight="false" outlineLevel="0" collapsed="false">
      <c r="A678" s="0" t="s">
        <v>63</v>
      </c>
      <c r="B678" s="0" t="s">
        <v>42</v>
      </c>
      <c r="C678" s="0" t="s">
        <v>935</v>
      </c>
      <c r="D678" s="0" t="s">
        <v>987</v>
      </c>
      <c r="E678" s="0" t="s">
        <v>1992</v>
      </c>
      <c r="F678" s="0" t="n">
        <v>0</v>
      </c>
      <c r="G678" s="0" t="n">
        <v>0</v>
      </c>
      <c r="H678" s="0" t="s">
        <v>580</v>
      </c>
      <c r="K678" s="0" t="s">
        <v>581</v>
      </c>
      <c r="L678" s="0" t="s">
        <v>1993</v>
      </c>
    </row>
    <row r="679" customFormat="false" ht="15" hidden="false" customHeight="false" outlineLevel="0" collapsed="false">
      <c r="A679" s="0" t="s">
        <v>63</v>
      </c>
      <c r="B679" s="0" t="s">
        <v>42</v>
      </c>
      <c r="C679" s="0" t="s">
        <v>935</v>
      </c>
      <c r="D679" s="0" t="s">
        <v>990</v>
      </c>
      <c r="E679" s="0" t="s">
        <v>1994</v>
      </c>
      <c r="F679" s="0" t="n">
        <v>5</v>
      </c>
      <c r="G679" s="0" t="n">
        <v>4</v>
      </c>
      <c r="H679" s="0" t="s">
        <v>585</v>
      </c>
      <c r="I679" s="0" t="s">
        <v>338</v>
      </c>
      <c r="K679" s="0" t="s">
        <v>586</v>
      </c>
      <c r="L679" s="0" t="s">
        <v>1995</v>
      </c>
    </row>
    <row r="680" customFormat="false" ht="15" hidden="false" customHeight="false" outlineLevel="0" collapsed="false">
      <c r="A680" s="0" t="s">
        <v>63</v>
      </c>
      <c r="B680" s="0" t="s">
        <v>42</v>
      </c>
      <c r="C680" s="0" t="s">
        <v>935</v>
      </c>
      <c r="D680" s="0" t="s">
        <v>993</v>
      </c>
      <c r="E680" s="0" t="s">
        <v>1996</v>
      </c>
      <c r="F680" s="0" t="n">
        <v>5</v>
      </c>
      <c r="G680" s="0" t="n">
        <v>3</v>
      </c>
      <c r="H680" s="0" t="s">
        <v>585</v>
      </c>
      <c r="I680" s="0" t="s">
        <v>336</v>
      </c>
      <c r="K680" s="0" t="s">
        <v>590</v>
      </c>
      <c r="L680" s="0" t="s">
        <v>1997</v>
      </c>
    </row>
    <row r="681" customFormat="false" ht="15" hidden="false" customHeight="false" outlineLevel="0" collapsed="false">
      <c r="A681" s="0" t="s">
        <v>63</v>
      </c>
      <c r="B681" s="0" t="s">
        <v>42</v>
      </c>
      <c r="C681" s="0" t="s">
        <v>935</v>
      </c>
      <c r="D681" s="0" t="s">
        <v>126</v>
      </c>
      <c r="E681" s="0" t="s">
        <v>1998</v>
      </c>
      <c r="F681" s="0" t="n">
        <v>5</v>
      </c>
      <c r="G681" s="0" t="n">
        <v>3</v>
      </c>
      <c r="H681" s="0" t="s">
        <v>585</v>
      </c>
      <c r="I681" s="0" t="s">
        <v>342</v>
      </c>
      <c r="K681" s="0" t="s">
        <v>594</v>
      </c>
      <c r="L681" s="0" t="s">
        <v>1999</v>
      </c>
    </row>
    <row r="682" customFormat="false" ht="15" hidden="false" customHeight="false" outlineLevel="0" collapsed="false">
      <c r="A682" s="0" t="s">
        <v>63</v>
      </c>
      <c r="B682" s="0" t="s">
        <v>42</v>
      </c>
      <c r="C682" s="0" t="s">
        <v>935</v>
      </c>
      <c r="D682" s="0" t="s">
        <v>129</v>
      </c>
      <c r="E682" s="0" t="s">
        <v>2000</v>
      </c>
      <c r="F682" s="0" t="n">
        <v>5</v>
      </c>
      <c r="G682" s="0" t="n">
        <v>5</v>
      </c>
      <c r="H682" s="0" t="s">
        <v>580</v>
      </c>
      <c r="I682" s="0" t="s">
        <v>336</v>
      </c>
      <c r="K682" s="0" t="s">
        <v>597</v>
      </c>
      <c r="L682" s="0" t="s">
        <v>2001</v>
      </c>
    </row>
    <row r="683" customFormat="false" ht="15" hidden="false" customHeight="false" outlineLevel="0" collapsed="false">
      <c r="A683" s="0" t="s">
        <v>63</v>
      </c>
      <c r="B683" s="0" t="s">
        <v>42</v>
      </c>
      <c r="C683" s="0" t="s">
        <v>935</v>
      </c>
      <c r="D683" s="0" t="s">
        <v>132</v>
      </c>
      <c r="E683" s="0" t="s">
        <v>2002</v>
      </c>
      <c r="F683" s="0" t="n">
        <v>5</v>
      </c>
      <c r="G683" s="0" t="n">
        <v>2</v>
      </c>
      <c r="H683" s="0" t="s">
        <v>585</v>
      </c>
      <c r="I683" s="0" t="s">
        <v>337</v>
      </c>
      <c r="K683" s="0" t="s">
        <v>600</v>
      </c>
      <c r="L683" s="0" t="s">
        <v>2003</v>
      </c>
    </row>
    <row r="684" customFormat="false" ht="15" hidden="false" customHeight="false" outlineLevel="0" collapsed="false">
      <c r="A684" s="0" t="s">
        <v>63</v>
      </c>
      <c r="B684" s="0" t="s">
        <v>42</v>
      </c>
      <c r="C684" s="0" t="s">
        <v>935</v>
      </c>
      <c r="D684" s="0" t="s">
        <v>139</v>
      </c>
      <c r="E684" s="0" t="s">
        <v>2004</v>
      </c>
      <c r="F684" s="0" t="n">
        <v>5</v>
      </c>
      <c r="G684" s="0" t="n">
        <v>0</v>
      </c>
      <c r="H684" s="0" t="s">
        <v>585</v>
      </c>
      <c r="K684" s="0" t="s">
        <v>604</v>
      </c>
      <c r="L684" s="0" t="s">
        <v>2005</v>
      </c>
    </row>
    <row r="685" customFormat="false" ht="15" hidden="false" customHeight="false" outlineLevel="0" collapsed="false">
      <c r="A685" s="0" t="s">
        <v>63</v>
      </c>
      <c r="B685" s="0" t="s">
        <v>42</v>
      </c>
      <c r="C685" s="0" t="s">
        <v>935</v>
      </c>
      <c r="D685" s="0" t="s">
        <v>143</v>
      </c>
      <c r="E685" s="0" t="s">
        <v>2006</v>
      </c>
      <c r="F685" s="0" t="n">
        <v>5</v>
      </c>
      <c r="G685" s="0" t="n">
        <v>0</v>
      </c>
      <c r="H685" s="0" t="s">
        <v>585</v>
      </c>
      <c r="I685" s="0" t="s">
        <v>342</v>
      </c>
      <c r="K685" s="0" t="s">
        <v>607</v>
      </c>
      <c r="L685" s="0" t="s">
        <v>2007</v>
      </c>
    </row>
    <row r="686" customFormat="false" ht="15" hidden="false" customHeight="false" outlineLevel="0" collapsed="false">
      <c r="A686" s="0" t="s">
        <v>63</v>
      </c>
      <c r="B686" s="0" t="s">
        <v>42</v>
      </c>
      <c r="C686" s="0" t="s">
        <v>935</v>
      </c>
      <c r="D686" s="0" t="s">
        <v>146</v>
      </c>
      <c r="E686" s="0" t="s">
        <v>2008</v>
      </c>
      <c r="F686" s="0" t="n">
        <v>5</v>
      </c>
      <c r="G686" s="0" t="n">
        <v>3</v>
      </c>
      <c r="H686" s="0" t="s">
        <v>585</v>
      </c>
      <c r="I686" s="0" t="s">
        <v>332</v>
      </c>
      <c r="K686" s="0" t="s">
        <v>610</v>
      </c>
      <c r="L686" s="0" t="s">
        <v>2009</v>
      </c>
    </row>
    <row r="687" customFormat="false" ht="15" hidden="false" customHeight="false" outlineLevel="0" collapsed="false">
      <c r="A687" s="0" t="s">
        <v>63</v>
      </c>
      <c r="B687" s="0" t="s">
        <v>42</v>
      </c>
      <c r="C687" s="0" t="s">
        <v>935</v>
      </c>
      <c r="D687" s="0" t="s">
        <v>149</v>
      </c>
      <c r="E687" s="0" t="s">
        <v>2010</v>
      </c>
      <c r="F687" s="0" t="n">
        <v>5</v>
      </c>
      <c r="G687" s="0" t="n">
        <v>2</v>
      </c>
      <c r="H687" s="0" t="s">
        <v>585</v>
      </c>
      <c r="I687" s="0" t="s">
        <v>334</v>
      </c>
      <c r="K687" s="0" t="s">
        <v>613</v>
      </c>
      <c r="L687" s="0" t="s">
        <v>2011</v>
      </c>
    </row>
    <row r="688" customFormat="false" ht="15" hidden="false" customHeight="false" outlineLevel="0" collapsed="false">
      <c r="A688" s="0" t="s">
        <v>63</v>
      </c>
      <c r="B688" s="0" t="s">
        <v>42</v>
      </c>
      <c r="C688" s="0" t="s">
        <v>935</v>
      </c>
      <c r="D688" s="0" t="s">
        <v>152</v>
      </c>
      <c r="E688" s="0" t="s">
        <v>2012</v>
      </c>
      <c r="F688" s="0" t="n">
        <v>5</v>
      </c>
      <c r="G688" s="0" t="n">
        <v>3</v>
      </c>
      <c r="H688" s="0" t="s">
        <v>585</v>
      </c>
      <c r="I688" s="0" t="s">
        <v>338</v>
      </c>
      <c r="K688" s="0" t="s">
        <v>616</v>
      </c>
      <c r="L688" s="0" t="s">
        <v>2013</v>
      </c>
    </row>
    <row r="689" customFormat="false" ht="15" hidden="false" customHeight="false" outlineLevel="0" collapsed="false">
      <c r="A689" s="0" t="s">
        <v>63</v>
      </c>
      <c r="B689" s="0" t="s">
        <v>42</v>
      </c>
      <c r="C689" s="0" t="s">
        <v>935</v>
      </c>
      <c r="D689" s="0" t="s">
        <v>155</v>
      </c>
      <c r="E689" s="0" t="s">
        <v>2014</v>
      </c>
      <c r="F689" s="0" t="n">
        <v>5</v>
      </c>
      <c r="G689" s="0" t="n">
        <v>2</v>
      </c>
      <c r="H689" s="0" t="s">
        <v>585</v>
      </c>
      <c r="I689" s="0" t="s">
        <v>336</v>
      </c>
      <c r="K689" s="0" t="s">
        <v>620</v>
      </c>
      <c r="L689" s="0" t="s">
        <v>2015</v>
      </c>
    </row>
    <row r="690" customFormat="false" ht="15" hidden="false" customHeight="false" outlineLevel="0" collapsed="false">
      <c r="A690" s="0" t="s">
        <v>63</v>
      </c>
      <c r="B690" s="0" t="s">
        <v>42</v>
      </c>
      <c r="C690" s="0" t="s">
        <v>961</v>
      </c>
      <c r="D690" s="0" t="s">
        <v>987</v>
      </c>
      <c r="E690" s="0" t="s">
        <v>2016</v>
      </c>
      <c r="F690" s="0" t="n">
        <v>0</v>
      </c>
      <c r="G690" s="0" t="n">
        <v>0</v>
      </c>
      <c r="H690" s="0" t="s">
        <v>580</v>
      </c>
      <c r="K690" s="0" t="s">
        <v>581</v>
      </c>
      <c r="L690" s="0" t="s">
        <v>2017</v>
      </c>
    </row>
    <row r="691" customFormat="false" ht="15" hidden="false" customHeight="false" outlineLevel="0" collapsed="false">
      <c r="A691" s="0" t="s">
        <v>63</v>
      </c>
      <c r="B691" s="0" t="s">
        <v>42</v>
      </c>
      <c r="C691" s="0" t="s">
        <v>961</v>
      </c>
      <c r="D691" s="0" t="s">
        <v>990</v>
      </c>
      <c r="E691" s="0" t="s">
        <v>2018</v>
      </c>
      <c r="F691" s="0" t="n">
        <v>5</v>
      </c>
      <c r="G691" s="0" t="n">
        <v>5</v>
      </c>
      <c r="H691" s="0" t="s">
        <v>580</v>
      </c>
      <c r="I691" s="0" t="s">
        <v>338</v>
      </c>
      <c r="K691" s="0" t="s">
        <v>586</v>
      </c>
      <c r="L691" s="0" t="s">
        <v>2019</v>
      </c>
    </row>
    <row r="692" customFormat="false" ht="15" hidden="false" customHeight="false" outlineLevel="0" collapsed="false">
      <c r="A692" s="0" t="s">
        <v>63</v>
      </c>
      <c r="B692" s="0" t="s">
        <v>42</v>
      </c>
      <c r="C692" s="0" t="s">
        <v>961</v>
      </c>
      <c r="D692" s="0" t="s">
        <v>993</v>
      </c>
      <c r="E692" s="0" t="s">
        <v>2020</v>
      </c>
      <c r="F692" s="0" t="n">
        <v>5</v>
      </c>
      <c r="G692" s="0" t="n">
        <v>3</v>
      </c>
      <c r="H692" s="0" t="s">
        <v>585</v>
      </c>
      <c r="I692" s="0" t="s">
        <v>338</v>
      </c>
      <c r="K692" s="0" t="s">
        <v>590</v>
      </c>
      <c r="L692" s="0" t="s">
        <v>2021</v>
      </c>
    </row>
    <row r="693" customFormat="false" ht="15" hidden="false" customHeight="false" outlineLevel="0" collapsed="false">
      <c r="A693" s="0" t="s">
        <v>63</v>
      </c>
      <c r="B693" s="0" t="s">
        <v>42</v>
      </c>
      <c r="C693" s="0" t="s">
        <v>961</v>
      </c>
      <c r="D693" s="0" t="s">
        <v>126</v>
      </c>
      <c r="E693" s="0" t="s">
        <v>2022</v>
      </c>
      <c r="F693" s="0" t="n">
        <v>5</v>
      </c>
      <c r="G693" s="0" t="n">
        <v>2</v>
      </c>
      <c r="H693" s="0" t="s">
        <v>585</v>
      </c>
      <c r="I693" s="0" t="s">
        <v>342</v>
      </c>
      <c r="K693" s="0" t="s">
        <v>594</v>
      </c>
      <c r="L693" s="0" t="s">
        <v>2023</v>
      </c>
    </row>
    <row r="694" customFormat="false" ht="15" hidden="false" customHeight="false" outlineLevel="0" collapsed="false">
      <c r="A694" s="0" t="s">
        <v>63</v>
      </c>
      <c r="B694" s="0" t="s">
        <v>42</v>
      </c>
      <c r="C694" s="0" t="s">
        <v>961</v>
      </c>
      <c r="D694" s="0" t="s">
        <v>129</v>
      </c>
      <c r="E694" s="0" t="s">
        <v>2024</v>
      </c>
      <c r="F694" s="0" t="n">
        <v>5</v>
      </c>
      <c r="G694" s="0" t="n">
        <v>3</v>
      </c>
      <c r="H694" s="0" t="s">
        <v>585</v>
      </c>
      <c r="I694" s="0" t="s">
        <v>342</v>
      </c>
      <c r="K694" s="0" t="s">
        <v>597</v>
      </c>
      <c r="L694" s="0" t="s">
        <v>2025</v>
      </c>
    </row>
    <row r="695" customFormat="false" ht="15" hidden="false" customHeight="false" outlineLevel="0" collapsed="false">
      <c r="A695" s="0" t="s">
        <v>63</v>
      </c>
      <c r="B695" s="0" t="s">
        <v>42</v>
      </c>
      <c r="C695" s="0" t="s">
        <v>961</v>
      </c>
      <c r="D695" s="0" t="s">
        <v>132</v>
      </c>
      <c r="E695" s="0" t="s">
        <v>2026</v>
      </c>
      <c r="F695" s="0" t="n">
        <v>5</v>
      </c>
      <c r="G695" s="0" t="n">
        <v>0</v>
      </c>
      <c r="H695" s="0" t="s">
        <v>585</v>
      </c>
      <c r="K695" s="0" t="s">
        <v>600</v>
      </c>
      <c r="L695" s="0" t="s">
        <v>2027</v>
      </c>
    </row>
    <row r="696" customFormat="false" ht="15" hidden="false" customHeight="false" outlineLevel="0" collapsed="false">
      <c r="A696" s="0" t="s">
        <v>63</v>
      </c>
      <c r="B696" s="0" t="s">
        <v>42</v>
      </c>
      <c r="C696" s="0" t="s">
        <v>961</v>
      </c>
      <c r="D696" s="0" t="s">
        <v>139</v>
      </c>
      <c r="E696" s="0" t="s">
        <v>2028</v>
      </c>
      <c r="F696" s="0" t="n">
        <v>5</v>
      </c>
      <c r="G696" s="0" t="n">
        <v>0</v>
      </c>
      <c r="H696" s="0" t="s">
        <v>585</v>
      </c>
      <c r="I696" s="0" t="s">
        <v>2029</v>
      </c>
      <c r="K696" s="0" t="s">
        <v>604</v>
      </c>
      <c r="L696" s="0" t="s">
        <v>2030</v>
      </c>
    </row>
    <row r="697" customFormat="false" ht="15" hidden="false" customHeight="false" outlineLevel="0" collapsed="false">
      <c r="A697" s="0" t="s">
        <v>63</v>
      </c>
      <c r="B697" s="0" t="s">
        <v>42</v>
      </c>
      <c r="C697" s="0" t="s">
        <v>961</v>
      </c>
      <c r="D697" s="0" t="s">
        <v>143</v>
      </c>
      <c r="E697" s="0" t="s">
        <v>2031</v>
      </c>
      <c r="F697" s="0" t="n">
        <v>5</v>
      </c>
      <c r="G697" s="0" t="n">
        <v>0</v>
      </c>
      <c r="H697" s="0" t="s">
        <v>585</v>
      </c>
      <c r="K697" s="0" t="s">
        <v>607</v>
      </c>
      <c r="L697" s="0" t="s">
        <v>2032</v>
      </c>
    </row>
    <row r="698" customFormat="false" ht="15" hidden="false" customHeight="false" outlineLevel="0" collapsed="false">
      <c r="A698" s="0" t="s">
        <v>63</v>
      </c>
      <c r="B698" s="0" t="s">
        <v>42</v>
      </c>
      <c r="C698" s="0" t="s">
        <v>961</v>
      </c>
      <c r="D698" s="0" t="s">
        <v>146</v>
      </c>
      <c r="E698" s="0" t="s">
        <v>2033</v>
      </c>
      <c r="F698" s="0" t="n">
        <v>5</v>
      </c>
      <c r="G698" s="0" t="n">
        <v>0</v>
      </c>
      <c r="H698" s="0" t="s">
        <v>585</v>
      </c>
      <c r="K698" s="0" t="s">
        <v>610</v>
      </c>
      <c r="L698" s="0" t="s">
        <v>2034</v>
      </c>
    </row>
    <row r="699" customFormat="false" ht="15" hidden="false" customHeight="false" outlineLevel="0" collapsed="false">
      <c r="A699" s="0" t="s">
        <v>63</v>
      </c>
      <c r="B699" s="0" t="s">
        <v>42</v>
      </c>
      <c r="C699" s="0" t="s">
        <v>961</v>
      </c>
      <c r="D699" s="0" t="s">
        <v>149</v>
      </c>
      <c r="E699" s="0" t="s">
        <v>2035</v>
      </c>
      <c r="F699" s="0" t="n">
        <v>5</v>
      </c>
      <c r="G699" s="0" t="n">
        <v>4</v>
      </c>
      <c r="H699" s="0" t="s">
        <v>585</v>
      </c>
      <c r="I699" s="0" t="s">
        <v>337</v>
      </c>
      <c r="K699" s="0" t="s">
        <v>613</v>
      </c>
      <c r="L699" s="0" t="s">
        <v>2036</v>
      </c>
    </row>
    <row r="700" customFormat="false" ht="15" hidden="false" customHeight="false" outlineLevel="0" collapsed="false">
      <c r="A700" s="0" t="s">
        <v>63</v>
      </c>
      <c r="B700" s="0" t="s">
        <v>42</v>
      </c>
      <c r="C700" s="0" t="s">
        <v>961</v>
      </c>
      <c r="D700" s="0" t="s">
        <v>152</v>
      </c>
      <c r="E700" s="0" t="s">
        <v>2037</v>
      </c>
      <c r="F700" s="0" t="n">
        <v>5</v>
      </c>
      <c r="G700" s="0" t="n">
        <v>3</v>
      </c>
      <c r="H700" s="0" t="s">
        <v>585</v>
      </c>
      <c r="I700" s="0" t="s">
        <v>332</v>
      </c>
      <c r="K700" s="0" t="s">
        <v>616</v>
      </c>
      <c r="L700" s="0" t="s">
        <v>2038</v>
      </c>
    </row>
    <row r="701" customFormat="false" ht="15" hidden="false" customHeight="false" outlineLevel="0" collapsed="false">
      <c r="A701" s="0" t="s">
        <v>63</v>
      </c>
      <c r="B701" s="0" t="s">
        <v>42</v>
      </c>
      <c r="C701" s="0" t="s">
        <v>961</v>
      </c>
      <c r="D701" s="0" t="s">
        <v>155</v>
      </c>
      <c r="E701" s="0" t="s">
        <v>2039</v>
      </c>
      <c r="F701" s="0" t="n">
        <v>5</v>
      </c>
      <c r="G701" s="0" t="n">
        <v>0</v>
      </c>
      <c r="H701" s="0" t="s">
        <v>585</v>
      </c>
      <c r="I701" s="0" t="s">
        <v>2029</v>
      </c>
      <c r="K701" s="0" t="s">
        <v>620</v>
      </c>
      <c r="L701" s="0" t="s">
        <v>2040</v>
      </c>
    </row>
    <row r="702" customFormat="false" ht="15" hidden="false" customHeight="false" outlineLevel="0" collapsed="false">
      <c r="A702" s="0" t="s">
        <v>63</v>
      </c>
      <c r="B702" s="0" t="s">
        <v>345</v>
      </c>
      <c r="C702" s="0" t="s">
        <v>986</v>
      </c>
      <c r="D702" s="0" t="s">
        <v>578</v>
      </c>
      <c r="E702" s="0" t="s">
        <v>2041</v>
      </c>
      <c r="F702" s="0" t="n">
        <v>0</v>
      </c>
      <c r="G702" s="0" t="n">
        <v>0</v>
      </c>
      <c r="H702" s="0" t="s">
        <v>580</v>
      </c>
      <c r="K702" s="0" t="s">
        <v>581</v>
      </c>
      <c r="L702" s="0" t="s">
        <v>2042</v>
      </c>
    </row>
    <row r="703" customFormat="false" ht="15" hidden="false" customHeight="false" outlineLevel="0" collapsed="false">
      <c r="A703" s="0" t="s">
        <v>63</v>
      </c>
      <c r="B703" s="0" t="s">
        <v>345</v>
      </c>
      <c r="C703" s="0" t="s">
        <v>986</v>
      </c>
      <c r="D703" s="0" t="s">
        <v>583</v>
      </c>
      <c r="E703" s="0" t="s">
        <v>2043</v>
      </c>
      <c r="F703" s="0" t="n">
        <v>4</v>
      </c>
      <c r="G703" s="0" t="n">
        <v>0</v>
      </c>
      <c r="H703" s="0" t="s">
        <v>585</v>
      </c>
      <c r="K703" s="0" t="s">
        <v>586</v>
      </c>
      <c r="L703" s="0" t="s">
        <v>2044</v>
      </c>
    </row>
    <row r="704" customFormat="false" ht="15" hidden="false" customHeight="false" outlineLevel="0" collapsed="false">
      <c r="A704" s="0" t="s">
        <v>63</v>
      </c>
      <c r="B704" s="0" t="s">
        <v>345</v>
      </c>
      <c r="C704" s="0" t="s">
        <v>986</v>
      </c>
      <c r="D704" s="0" t="s">
        <v>588</v>
      </c>
      <c r="E704" s="0" t="s">
        <v>2045</v>
      </c>
      <c r="F704" s="0" t="n">
        <v>4</v>
      </c>
      <c r="G704" s="0" t="n">
        <v>0</v>
      </c>
      <c r="H704" s="0" t="s">
        <v>585</v>
      </c>
      <c r="K704" s="0" t="s">
        <v>590</v>
      </c>
      <c r="L704" s="0" t="s">
        <v>2046</v>
      </c>
    </row>
    <row r="705" customFormat="false" ht="15" hidden="false" customHeight="false" outlineLevel="0" collapsed="false">
      <c r="A705" s="0" t="s">
        <v>63</v>
      </c>
      <c r="B705" s="0" t="s">
        <v>345</v>
      </c>
      <c r="C705" s="0" t="s">
        <v>986</v>
      </c>
      <c r="D705" s="0" t="s">
        <v>127</v>
      </c>
      <c r="E705" s="0" t="s">
        <v>2047</v>
      </c>
      <c r="F705" s="0" t="n">
        <v>4</v>
      </c>
      <c r="G705" s="0" t="n">
        <v>0</v>
      </c>
      <c r="H705" s="0" t="s">
        <v>585</v>
      </c>
      <c r="K705" s="0" t="s">
        <v>594</v>
      </c>
      <c r="L705" s="0" t="s">
        <v>2048</v>
      </c>
    </row>
    <row r="706" customFormat="false" ht="15" hidden="false" customHeight="false" outlineLevel="0" collapsed="false">
      <c r="A706" s="0" t="s">
        <v>63</v>
      </c>
      <c r="B706" s="0" t="s">
        <v>345</v>
      </c>
      <c r="C706" s="0" t="s">
        <v>986</v>
      </c>
      <c r="D706" s="0" t="s">
        <v>130</v>
      </c>
      <c r="E706" s="0" t="s">
        <v>2049</v>
      </c>
      <c r="F706" s="0" t="n">
        <v>4</v>
      </c>
      <c r="G706" s="0" t="n">
        <v>4</v>
      </c>
      <c r="H706" s="0" t="s">
        <v>580</v>
      </c>
      <c r="I706" s="0" t="s">
        <v>337</v>
      </c>
      <c r="K706" s="0" t="s">
        <v>597</v>
      </c>
      <c r="L706" s="0" t="s">
        <v>2050</v>
      </c>
    </row>
    <row r="707" customFormat="false" ht="15" hidden="false" customHeight="false" outlineLevel="0" collapsed="false">
      <c r="A707" s="0" t="s">
        <v>63</v>
      </c>
      <c r="B707" s="0" t="s">
        <v>345</v>
      </c>
      <c r="C707" s="0" t="s">
        <v>986</v>
      </c>
      <c r="D707" s="0" t="s">
        <v>133</v>
      </c>
      <c r="E707" s="0" t="s">
        <v>2051</v>
      </c>
      <c r="F707" s="0" t="n">
        <v>0</v>
      </c>
      <c r="G707" s="0" t="n">
        <v>0</v>
      </c>
      <c r="H707" s="0" t="s">
        <v>580</v>
      </c>
      <c r="K707" s="0" t="s">
        <v>600</v>
      </c>
      <c r="L707" s="0" t="s">
        <v>2052</v>
      </c>
    </row>
    <row r="708" customFormat="false" ht="15" hidden="false" customHeight="false" outlineLevel="0" collapsed="false">
      <c r="A708" s="0" t="s">
        <v>63</v>
      </c>
      <c r="B708" s="0" t="s">
        <v>345</v>
      </c>
      <c r="C708" s="0" t="s">
        <v>986</v>
      </c>
      <c r="D708" s="0" t="s">
        <v>141</v>
      </c>
      <c r="E708" s="0" t="s">
        <v>2053</v>
      </c>
      <c r="F708" s="0" t="n">
        <v>4</v>
      </c>
      <c r="G708" s="0" t="n">
        <v>0</v>
      </c>
      <c r="H708" s="0" t="s">
        <v>585</v>
      </c>
      <c r="K708" s="0" t="s">
        <v>604</v>
      </c>
      <c r="L708" s="0" t="s">
        <v>2054</v>
      </c>
    </row>
    <row r="709" customFormat="false" ht="15" hidden="false" customHeight="false" outlineLevel="0" collapsed="false">
      <c r="A709" s="0" t="s">
        <v>63</v>
      </c>
      <c r="B709" s="0" t="s">
        <v>345</v>
      </c>
      <c r="C709" s="0" t="s">
        <v>986</v>
      </c>
      <c r="D709" s="0" t="s">
        <v>144</v>
      </c>
      <c r="E709" s="0" t="s">
        <v>2055</v>
      </c>
      <c r="F709" s="0" t="n">
        <v>4</v>
      </c>
      <c r="G709" s="0" t="n">
        <v>4</v>
      </c>
      <c r="H709" s="0" t="s">
        <v>580</v>
      </c>
      <c r="I709" s="0" t="s">
        <v>340</v>
      </c>
      <c r="K709" s="0" t="s">
        <v>607</v>
      </c>
      <c r="L709" s="0" t="s">
        <v>2056</v>
      </c>
    </row>
    <row r="710" customFormat="false" ht="15" hidden="false" customHeight="false" outlineLevel="0" collapsed="false">
      <c r="A710" s="0" t="s">
        <v>63</v>
      </c>
      <c r="B710" s="0" t="s">
        <v>345</v>
      </c>
      <c r="C710" s="0" t="s">
        <v>986</v>
      </c>
      <c r="D710" s="0" t="s">
        <v>147</v>
      </c>
      <c r="E710" s="0" t="s">
        <v>2057</v>
      </c>
      <c r="F710" s="0" t="n">
        <v>0</v>
      </c>
      <c r="G710" s="0" t="n">
        <v>0</v>
      </c>
      <c r="H710" s="0" t="s">
        <v>580</v>
      </c>
      <c r="K710" s="0" t="s">
        <v>610</v>
      </c>
      <c r="L710" s="0" t="s">
        <v>2058</v>
      </c>
    </row>
    <row r="711" customFormat="false" ht="15" hidden="false" customHeight="false" outlineLevel="0" collapsed="false">
      <c r="A711" s="0" t="s">
        <v>63</v>
      </c>
      <c r="B711" s="0" t="s">
        <v>345</v>
      </c>
      <c r="C711" s="0" t="s">
        <v>986</v>
      </c>
      <c r="D711" s="0" t="s">
        <v>150</v>
      </c>
      <c r="E711" s="0" t="s">
        <v>2059</v>
      </c>
      <c r="F711" s="0" t="n">
        <v>4</v>
      </c>
      <c r="G711" s="0" t="n">
        <v>4</v>
      </c>
      <c r="H711" s="0" t="s">
        <v>580</v>
      </c>
      <c r="I711" s="0" t="s">
        <v>337</v>
      </c>
      <c r="K711" s="0" t="s">
        <v>613</v>
      </c>
      <c r="L711" s="0" t="s">
        <v>2060</v>
      </c>
    </row>
    <row r="712" customFormat="false" ht="15" hidden="false" customHeight="false" outlineLevel="0" collapsed="false">
      <c r="A712" s="0" t="s">
        <v>63</v>
      </c>
      <c r="B712" s="0" t="s">
        <v>345</v>
      </c>
      <c r="C712" s="0" t="s">
        <v>986</v>
      </c>
      <c r="D712" s="0" t="s">
        <v>153</v>
      </c>
      <c r="E712" s="0" t="s">
        <v>2061</v>
      </c>
      <c r="F712" s="0" t="n">
        <v>4</v>
      </c>
      <c r="G712" s="0" t="n">
        <v>4</v>
      </c>
      <c r="H712" s="0" t="s">
        <v>580</v>
      </c>
      <c r="I712" s="0" t="s">
        <v>332</v>
      </c>
      <c r="K712" s="0" t="s">
        <v>616</v>
      </c>
      <c r="L712" s="0" t="s">
        <v>2062</v>
      </c>
    </row>
    <row r="713" customFormat="false" ht="15" hidden="false" customHeight="false" outlineLevel="0" collapsed="false">
      <c r="A713" s="0" t="s">
        <v>63</v>
      </c>
      <c r="B713" s="0" t="s">
        <v>345</v>
      </c>
      <c r="C713" s="0" t="s">
        <v>986</v>
      </c>
      <c r="D713" s="0" t="s">
        <v>156</v>
      </c>
      <c r="E713" s="0" t="s">
        <v>2063</v>
      </c>
      <c r="F713" s="0" t="n">
        <v>4</v>
      </c>
      <c r="G713" s="0" t="n">
        <v>3</v>
      </c>
      <c r="H713" s="0" t="s">
        <v>585</v>
      </c>
      <c r="I713" s="0" t="s">
        <v>332</v>
      </c>
      <c r="K713" s="0" t="s">
        <v>620</v>
      </c>
      <c r="L713" s="0" t="s">
        <v>2064</v>
      </c>
    </row>
    <row r="714" customFormat="false" ht="15" hidden="false" customHeight="false" outlineLevel="0" collapsed="false">
      <c r="A714" s="0" t="s">
        <v>63</v>
      </c>
      <c r="B714" s="0" t="s">
        <v>345</v>
      </c>
      <c r="C714" s="0" t="s">
        <v>1014</v>
      </c>
      <c r="D714" s="0" t="s">
        <v>578</v>
      </c>
      <c r="E714" s="0" t="s">
        <v>2065</v>
      </c>
      <c r="F714" s="0" t="n">
        <v>0</v>
      </c>
      <c r="G714" s="0" t="n">
        <v>0</v>
      </c>
      <c r="H714" s="0" t="s">
        <v>580</v>
      </c>
      <c r="K714" s="0" t="s">
        <v>581</v>
      </c>
      <c r="L714" s="0" t="s">
        <v>2066</v>
      </c>
    </row>
    <row r="715" customFormat="false" ht="15" hidden="false" customHeight="false" outlineLevel="0" collapsed="false">
      <c r="A715" s="0" t="s">
        <v>63</v>
      </c>
      <c r="B715" s="0" t="s">
        <v>345</v>
      </c>
      <c r="C715" s="0" t="s">
        <v>1014</v>
      </c>
      <c r="D715" s="0" t="s">
        <v>583</v>
      </c>
      <c r="E715" s="0" t="s">
        <v>2067</v>
      </c>
      <c r="F715" s="0" t="n">
        <v>4</v>
      </c>
      <c r="G715" s="0" t="n">
        <v>0</v>
      </c>
      <c r="H715" s="0" t="s">
        <v>585</v>
      </c>
      <c r="K715" s="0" t="s">
        <v>586</v>
      </c>
      <c r="L715" s="0" t="s">
        <v>2068</v>
      </c>
    </row>
    <row r="716" customFormat="false" ht="15" hidden="false" customHeight="false" outlineLevel="0" collapsed="false">
      <c r="A716" s="0" t="s">
        <v>63</v>
      </c>
      <c r="B716" s="0" t="s">
        <v>345</v>
      </c>
      <c r="C716" s="0" t="s">
        <v>1014</v>
      </c>
      <c r="D716" s="0" t="s">
        <v>588</v>
      </c>
      <c r="E716" s="0" t="s">
        <v>2069</v>
      </c>
      <c r="F716" s="0" t="n">
        <v>4</v>
      </c>
      <c r="G716" s="0" t="n">
        <v>2</v>
      </c>
      <c r="H716" s="0" t="s">
        <v>585</v>
      </c>
      <c r="I716" s="0" t="s">
        <v>337</v>
      </c>
      <c r="K716" s="0" t="s">
        <v>590</v>
      </c>
      <c r="L716" s="0" t="s">
        <v>2070</v>
      </c>
    </row>
    <row r="717" customFormat="false" ht="15" hidden="false" customHeight="false" outlineLevel="0" collapsed="false">
      <c r="A717" s="0" t="s">
        <v>63</v>
      </c>
      <c r="B717" s="0" t="s">
        <v>345</v>
      </c>
      <c r="C717" s="0" t="s">
        <v>1014</v>
      </c>
      <c r="D717" s="0" t="s">
        <v>127</v>
      </c>
      <c r="E717" s="0" t="s">
        <v>2071</v>
      </c>
      <c r="F717" s="0" t="n">
        <v>4</v>
      </c>
      <c r="G717" s="0" t="n">
        <v>3</v>
      </c>
      <c r="H717" s="0" t="s">
        <v>585</v>
      </c>
      <c r="I717" s="0" t="s">
        <v>337</v>
      </c>
      <c r="K717" s="0" t="s">
        <v>594</v>
      </c>
      <c r="L717" s="0" t="s">
        <v>2072</v>
      </c>
    </row>
    <row r="718" customFormat="false" ht="15" hidden="false" customHeight="false" outlineLevel="0" collapsed="false">
      <c r="A718" s="0" t="s">
        <v>63</v>
      </c>
      <c r="B718" s="0" t="s">
        <v>345</v>
      </c>
      <c r="C718" s="0" t="s">
        <v>1014</v>
      </c>
      <c r="D718" s="0" t="s">
        <v>130</v>
      </c>
      <c r="E718" s="0" t="s">
        <v>2073</v>
      </c>
      <c r="F718" s="0" t="n">
        <v>4</v>
      </c>
      <c r="G718" s="0" t="n">
        <v>3</v>
      </c>
      <c r="H718" s="0" t="s">
        <v>585</v>
      </c>
      <c r="I718" s="0" t="s">
        <v>340</v>
      </c>
      <c r="K718" s="0" t="s">
        <v>597</v>
      </c>
      <c r="L718" s="0" t="s">
        <v>2074</v>
      </c>
    </row>
    <row r="719" customFormat="false" ht="15" hidden="false" customHeight="false" outlineLevel="0" collapsed="false">
      <c r="A719" s="0" t="s">
        <v>63</v>
      </c>
      <c r="B719" s="0" t="s">
        <v>345</v>
      </c>
      <c r="C719" s="0" t="s">
        <v>1014</v>
      </c>
      <c r="D719" s="0" t="s">
        <v>133</v>
      </c>
      <c r="E719" s="0" t="s">
        <v>2075</v>
      </c>
      <c r="F719" s="0" t="n">
        <v>0</v>
      </c>
      <c r="G719" s="0" t="n">
        <v>0</v>
      </c>
      <c r="H719" s="0" t="s">
        <v>580</v>
      </c>
      <c r="I719" s="0" t="s">
        <v>2029</v>
      </c>
      <c r="K719" s="0" t="s">
        <v>600</v>
      </c>
      <c r="L719" s="0" t="s">
        <v>2076</v>
      </c>
    </row>
    <row r="720" customFormat="false" ht="15" hidden="false" customHeight="false" outlineLevel="0" collapsed="false">
      <c r="A720" s="0" t="s">
        <v>63</v>
      </c>
      <c r="B720" s="0" t="s">
        <v>345</v>
      </c>
      <c r="C720" s="0" t="s">
        <v>1014</v>
      </c>
      <c r="D720" s="0" t="s">
        <v>141</v>
      </c>
      <c r="E720" s="0" t="s">
        <v>2077</v>
      </c>
      <c r="F720" s="0" t="n">
        <v>4</v>
      </c>
      <c r="G720" s="0" t="n">
        <v>4</v>
      </c>
      <c r="H720" s="0" t="s">
        <v>580</v>
      </c>
      <c r="I720" s="0" t="s">
        <v>337</v>
      </c>
      <c r="K720" s="0" t="s">
        <v>604</v>
      </c>
      <c r="L720" s="0" t="s">
        <v>2078</v>
      </c>
    </row>
    <row r="721" customFormat="false" ht="15" hidden="false" customHeight="false" outlineLevel="0" collapsed="false">
      <c r="A721" s="0" t="s">
        <v>63</v>
      </c>
      <c r="B721" s="0" t="s">
        <v>345</v>
      </c>
      <c r="C721" s="0" t="s">
        <v>1014</v>
      </c>
      <c r="D721" s="0" t="s">
        <v>144</v>
      </c>
      <c r="E721" s="0" t="s">
        <v>2079</v>
      </c>
      <c r="F721" s="0" t="n">
        <v>4</v>
      </c>
      <c r="G721" s="0" t="n">
        <v>3</v>
      </c>
      <c r="H721" s="0" t="s">
        <v>585</v>
      </c>
      <c r="I721" s="0" t="s">
        <v>339</v>
      </c>
      <c r="K721" s="0" t="s">
        <v>607</v>
      </c>
      <c r="L721" s="0" t="s">
        <v>2080</v>
      </c>
    </row>
    <row r="722" customFormat="false" ht="15" hidden="false" customHeight="false" outlineLevel="0" collapsed="false">
      <c r="A722" s="0" t="s">
        <v>63</v>
      </c>
      <c r="B722" s="0" t="s">
        <v>345</v>
      </c>
      <c r="C722" s="0" t="s">
        <v>1014</v>
      </c>
      <c r="D722" s="0" t="s">
        <v>147</v>
      </c>
      <c r="E722" s="0" t="s">
        <v>2081</v>
      </c>
      <c r="F722" s="0" t="n">
        <v>4</v>
      </c>
      <c r="G722" s="0" t="n">
        <v>3</v>
      </c>
      <c r="H722" s="0" t="s">
        <v>585</v>
      </c>
      <c r="I722" s="0" t="s">
        <v>332</v>
      </c>
      <c r="K722" s="0" t="s">
        <v>610</v>
      </c>
      <c r="L722" s="0" t="s">
        <v>2082</v>
      </c>
    </row>
    <row r="723" customFormat="false" ht="15" hidden="false" customHeight="false" outlineLevel="0" collapsed="false">
      <c r="A723" s="0" t="s">
        <v>63</v>
      </c>
      <c r="B723" s="0" t="s">
        <v>345</v>
      </c>
      <c r="C723" s="0" t="s">
        <v>1014</v>
      </c>
      <c r="D723" s="0" t="s">
        <v>150</v>
      </c>
      <c r="E723" s="0" t="s">
        <v>2083</v>
      </c>
      <c r="F723" s="0" t="n">
        <v>0</v>
      </c>
      <c r="G723" s="0" t="n">
        <v>2</v>
      </c>
      <c r="H723" s="0" t="s">
        <v>580</v>
      </c>
      <c r="I723" s="0" t="s">
        <v>332</v>
      </c>
      <c r="K723" s="0" t="s">
        <v>613</v>
      </c>
      <c r="L723" s="0" t="s">
        <v>2084</v>
      </c>
    </row>
    <row r="724" customFormat="false" ht="15" hidden="false" customHeight="false" outlineLevel="0" collapsed="false">
      <c r="A724" s="0" t="s">
        <v>63</v>
      </c>
      <c r="B724" s="0" t="s">
        <v>345</v>
      </c>
      <c r="C724" s="0" t="s">
        <v>1014</v>
      </c>
      <c r="D724" s="0" t="s">
        <v>153</v>
      </c>
      <c r="E724" s="0" t="s">
        <v>2085</v>
      </c>
      <c r="F724" s="0" t="n">
        <v>4</v>
      </c>
      <c r="G724" s="0" t="n">
        <v>4</v>
      </c>
      <c r="H724" s="0" t="s">
        <v>580</v>
      </c>
      <c r="I724" s="0" t="s">
        <v>337</v>
      </c>
      <c r="K724" s="0" t="s">
        <v>616</v>
      </c>
      <c r="L724" s="0" t="s">
        <v>2086</v>
      </c>
    </row>
    <row r="725" customFormat="false" ht="15" hidden="false" customHeight="false" outlineLevel="0" collapsed="false">
      <c r="A725" s="0" t="s">
        <v>63</v>
      </c>
      <c r="B725" s="0" t="s">
        <v>345</v>
      </c>
      <c r="C725" s="0" t="s">
        <v>1014</v>
      </c>
      <c r="D725" s="0" t="s">
        <v>156</v>
      </c>
      <c r="E725" s="0" t="s">
        <v>2087</v>
      </c>
      <c r="F725" s="0" t="n">
        <v>4</v>
      </c>
      <c r="G725" s="0" t="n">
        <v>0</v>
      </c>
      <c r="H725" s="0" t="s">
        <v>585</v>
      </c>
      <c r="K725" s="0" t="s">
        <v>620</v>
      </c>
      <c r="L725" s="0" t="s">
        <v>2088</v>
      </c>
    </row>
    <row r="726" customFormat="false" ht="15" hidden="false" customHeight="false" outlineLevel="0" collapsed="false">
      <c r="A726" s="0" t="s">
        <v>63</v>
      </c>
      <c r="B726" s="0" t="s">
        <v>345</v>
      </c>
      <c r="C726" s="0" t="s">
        <v>1039</v>
      </c>
      <c r="D726" s="0" t="s">
        <v>578</v>
      </c>
      <c r="E726" s="0" t="s">
        <v>2089</v>
      </c>
      <c r="F726" s="0" t="n">
        <v>0</v>
      </c>
      <c r="G726" s="0" t="n">
        <v>0</v>
      </c>
      <c r="H726" s="0" t="s">
        <v>580</v>
      </c>
      <c r="K726" s="0" t="s">
        <v>581</v>
      </c>
      <c r="L726" s="0" t="s">
        <v>2090</v>
      </c>
    </row>
    <row r="727" customFormat="false" ht="15" hidden="false" customHeight="false" outlineLevel="0" collapsed="false">
      <c r="A727" s="0" t="s">
        <v>63</v>
      </c>
      <c r="B727" s="0" t="s">
        <v>345</v>
      </c>
      <c r="C727" s="0" t="s">
        <v>1039</v>
      </c>
      <c r="D727" s="0" t="s">
        <v>583</v>
      </c>
      <c r="E727" s="0" t="s">
        <v>2091</v>
      </c>
      <c r="F727" s="0" t="n">
        <v>4</v>
      </c>
      <c r="G727" s="0" t="n">
        <v>2</v>
      </c>
      <c r="H727" s="0" t="s">
        <v>585</v>
      </c>
      <c r="I727" s="0" t="s">
        <v>339</v>
      </c>
      <c r="K727" s="0" t="s">
        <v>586</v>
      </c>
      <c r="L727" s="0" t="s">
        <v>2092</v>
      </c>
    </row>
    <row r="728" customFormat="false" ht="15" hidden="false" customHeight="false" outlineLevel="0" collapsed="false">
      <c r="A728" s="0" t="s">
        <v>63</v>
      </c>
      <c r="B728" s="0" t="s">
        <v>345</v>
      </c>
      <c r="C728" s="0" t="s">
        <v>1039</v>
      </c>
      <c r="D728" s="0" t="s">
        <v>588</v>
      </c>
      <c r="E728" s="0" t="s">
        <v>2093</v>
      </c>
      <c r="F728" s="0" t="n">
        <v>4</v>
      </c>
      <c r="G728" s="0" t="n">
        <v>0</v>
      </c>
      <c r="H728" s="0" t="s">
        <v>585</v>
      </c>
      <c r="K728" s="0" t="s">
        <v>590</v>
      </c>
      <c r="L728" s="0" t="s">
        <v>2094</v>
      </c>
    </row>
    <row r="729" customFormat="false" ht="15" hidden="false" customHeight="false" outlineLevel="0" collapsed="false">
      <c r="A729" s="0" t="s">
        <v>63</v>
      </c>
      <c r="B729" s="0" t="s">
        <v>345</v>
      </c>
      <c r="C729" s="0" t="s">
        <v>1039</v>
      </c>
      <c r="D729" s="0" t="s">
        <v>127</v>
      </c>
      <c r="E729" s="0" t="s">
        <v>2095</v>
      </c>
      <c r="F729" s="0" t="n">
        <v>4</v>
      </c>
      <c r="G729" s="0" t="n">
        <v>0</v>
      </c>
      <c r="H729" s="0" t="s">
        <v>585</v>
      </c>
      <c r="K729" s="0" t="s">
        <v>594</v>
      </c>
      <c r="L729" s="0" t="s">
        <v>2096</v>
      </c>
    </row>
    <row r="730" customFormat="false" ht="15" hidden="false" customHeight="false" outlineLevel="0" collapsed="false">
      <c r="A730" s="0" t="s">
        <v>63</v>
      </c>
      <c r="B730" s="0" t="s">
        <v>345</v>
      </c>
      <c r="C730" s="0" t="s">
        <v>1039</v>
      </c>
      <c r="D730" s="0" t="s">
        <v>130</v>
      </c>
      <c r="E730" s="0" t="s">
        <v>2097</v>
      </c>
      <c r="F730" s="0" t="n">
        <v>4</v>
      </c>
      <c r="G730" s="0" t="n">
        <v>4</v>
      </c>
      <c r="H730" s="0" t="s">
        <v>580</v>
      </c>
      <c r="I730" s="0" t="s">
        <v>338</v>
      </c>
      <c r="K730" s="0" t="s">
        <v>597</v>
      </c>
      <c r="L730" s="0" t="s">
        <v>2098</v>
      </c>
    </row>
    <row r="731" customFormat="false" ht="15" hidden="false" customHeight="false" outlineLevel="0" collapsed="false">
      <c r="A731" s="0" t="s">
        <v>63</v>
      </c>
      <c r="B731" s="0" t="s">
        <v>345</v>
      </c>
      <c r="C731" s="0" t="s">
        <v>1039</v>
      </c>
      <c r="D731" s="0" t="s">
        <v>133</v>
      </c>
      <c r="E731" s="0" t="s">
        <v>2099</v>
      </c>
      <c r="F731" s="0" t="n">
        <v>0</v>
      </c>
      <c r="G731" s="0" t="n">
        <v>0</v>
      </c>
      <c r="H731" s="0" t="s">
        <v>580</v>
      </c>
      <c r="K731" s="0" t="s">
        <v>600</v>
      </c>
      <c r="L731" s="0" t="s">
        <v>2100</v>
      </c>
    </row>
    <row r="732" customFormat="false" ht="15" hidden="false" customHeight="false" outlineLevel="0" collapsed="false">
      <c r="A732" s="0" t="s">
        <v>63</v>
      </c>
      <c r="B732" s="0" t="s">
        <v>345</v>
      </c>
      <c r="C732" s="0" t="s">
        <v>1039</v>
      </c>
      <c r="D732" s="0" t="s">
        <v>141</v>
      </c>
      <c r="E732" s="0" t="s">
        <v>2101</v>
      </c>
      <c r="F732" s="0" t="n">
        <v>4</v>
      </c>
      <c r="G732" s="0" t="n">
        <v>1</v>
      </c>
      <c r="H732" s="0" t="s">
        <v>585</v>
      </c>
      <c r="I732" s="0" t="s">
        <v>334</v>
      </c>
      <c r="K732" s="0" t="s">
        <v>604</v>
      </c>
      <c r="L732" s="0" t="s">
        <v>2102</v>
      </c>
    </row>
    <row r="733" customFormat="false" ht="15" hidden="false" customHeight="false" outlineLevel="0" collapsed="false">
      <c r="A733" s="0" t="s">
        <v>63</v>
      </c>
      <c r="B733" s="0" t="s">
        <v>345</v>
      </c>
      <c r="C733" s="0" t="s">
        <v>1039</v>
      </c>
      <c r="D733" s="0" t="s">
        <v>144</v>
      </c>
      <c r="E733" s="0" t="s">
        <v>2103</v>
      </c>
      <c r="F733" s="0" t="n">
        <v>4</v>
      </c>
      <c r="G733" s="0" t="n">
        <v>3</v>
      </c>
      <c r="H733" s="0" t="s">
        <v>585</v>
      </c>
      <c r="I733" s="0" t="s">
        <v>334</v>
      </c>
      <c r="K733" s="0" t="s">
        <v>607</v>
      </c>
      <c r="L733" s="0" t="s">
        <v>2104</v>
      </c>
    </row>
    <row r="734" customFormat="false" ht="15" hidden="false" customHeight="false" outlineLevel="0" collapsed="false">
      <c r="A734" s="0" t="s">
        <v>63</v>
      </c>
      <c r="B734" s="0" t="s">
        <v>345</v>
      </c>
      <c r="C734" s="0" t="s">
        <v>1039</v>
      </c>
      <c r="D734" s="0" t="s">
        <v>147</v>
      </c>
      <c r="E734" s="0" t="s">
        <v>2105</v>
      </c>
      <c r="F734" s="0" t="n">
        <v>4</v>
      </c>
      <c r="G734" s="0" t="n">
        <v>1</v>
      </c>
      <c r="H734" s="0" t="s">
        <v>585</v>
      </c>
      <c r="I734" s="0" t="s">
        <v>339</v>
      </c>
      <c r="K734" s="0" t="s">
        <v>610</v>
      </c>
      <c r="L734" s="0" t="s">
        <v>2106</v>
      </c>
    </row>
    <row r="735" customFormat="false" ht="15" hidden="false" customHeight="false" outlineLevel="0" collapsed="false">
      <c r="A735" s="0" t="s">
        <v>63</v>
      </c>
      <c r="B735" s="0" t="s">
        <v>345</v>
      </c>
      <c r="C735" s="0" t="s">
        <v>1039</v>
      </c>
      <c r="D735" s="0" t="s">
        <v>150</v>
      </c>
      <c r="E735" s="0" t="s">
        <v>2107</v>
      </c>
      <c r="F735" s="0" t="n">
        <v>4</v>
      </c>
      <c r="G735" s="0" t="n">
        <v>4</v>
      </c>
      <c r="H735" s="0" t="s">
        <v>580</v>
      </c>
      <c r="I735" s="0" t="s">
        <v>338</v>
      </c>
      <c r="K735" s="0" t="s">
        <v>613</v>
      </c>
      <c r="L735" s="0" t="s">
        <v>2108</v>
      </c>
    </row>
    <row r="736" customFormat="false" ht="15" hidden="false" customHeight="false" outlineLevel="0" collapsed="false">
      <c r="A736" s="0" t="s">
        <v>63</v>
      </c>
      <c r="B736" s="0" t="s">
        <v>345</v>
      </c>
      <c r="C736" s="0" t="s">
        <v>1039</v>
      </c>
      <c r="D736" s="0" t="s">
        <v>153</v>
      </c>
      <c r="E736" s="0" t="s">
        <v>2109</v>
      </c>
      <c r="F736" s="0" t="n">
        <v>4</v>
      </c>
      <c r="G736" s="0" t="n">
        <v>3</v>
      </c>
      <c r="H736" s="0" t="s">
        <v>585</v>
      </c>
      <c r="I736" s="0" t="s">
        <v>339</v>
      </c>
      <c r="K736" s="0" t="s">
        <v>616</v>
      </c>
      <c r="L736" s="0" t="s">
        <v>2110</v>
      </c>
    </row>
    <row r="737" customFormat="false" ht="15" hidden="false" customHeight="false" outlineLevel="0" collapsed="false">
      <c r="A737" s="0" t="s">
        <v>63</v>
      </c>
      <c r="B737" s="0" t="s">
        <v>345</v>
      </c>
      <c r="C737" s="0" t="s">
        <v>1039</v>
      </c>
      <c r="D737" s="0" t="s">
        <v>156</v>
      </c>
      <c r="E737" s="0" t="s">
        <v>2111</v>
      </c>
      <c r="F737" s="0" t="n">
        <v>4</v>
      </c>
      <c r="G737" s="0" t="n">
        <v>4</v>
      </c>
      <c r="H737" s="0" t="s">
        <v>580</v>
      </c>
      <c r="I737" s="0" t="s">
        <v>336</v>
      </c>
      <c r="K737" s="0" t="s">
        <v>620</v>
      </c>
      <c r="L737" s="0" t="s">
        <v>2112</v>
      </c>
    </row>
    <row r="738" customFormat="false" ht="15" hidden="false" customHeight="false" outlineLevel="0" collapsed="false">
      <c r="A738" s="0" t="s">
        <v>63</v>
      </c>
      <c r="B738" s="0" t="s">
        <v>345</v>
      </c>
      <c r="C738" s="0" t="s">
        <v>1064</v>
      </c>
      <c r="D738" s="0" t="s">
        <v>578</v>
      </c>
      <c r="E738" s="0" t="s">
        <v>2113</v>
      </c>
      <c r="F738" s="0" t="n">
        <v>0</v>
      </c>
      <c r="G738" s="0" t="n">
        <v>0</v>
      </c>
      <c r="H738" s="0" t="s">
        <v>580</v>
      </c>
      <c r="K738" s="0" t="s">
        <v>581</v>
      </c>
      <c r="L738" s="0" t="s">
        <v>2114</v>
      </c>
    </row>
    <row r="739" customFormat="false" ht="15" hidden="false" customHeight="false" outlineLevel="0" collapsed="false">
      <c r="A739" s="0" t="s">
        <v>63</v>
      </c>
      <c r="B739" s="0" t="s">
        <v>345</v>
      </c>
      <c r="C739" s="0" t="s">
        <v>1064</v>
      </c>
      <c r="D739" s="0" t="s">
        <v>583</v>
      </c>
      <c r="E739" s="0" t="s">
        <v>2115</v>
      </c>
      <c r="F739" s="0" t="n">
        <v>4</v>
      </c>
      <c r="G739" s="0" t="n">
        <v>0</v>
      </c>
      <c r="H739" s="0" t="s">
        <v>585</v>
      </c>
      <c r="K739" s="0" t="s">
        <v>586</v>
      </c>
      <c r="L739" s="0" t="s">
        <v>2116</v>
      </c>
    </row>
    <row r="740" customFormat="false" ht="15" hidden="false" customHeight="false" outlineLevel="0" collapsed="false">
      <c r="A740" s="0" t="s">
        <v>63</v>
      </c>
      <c r="B740" s="0" t="s">
        <v>345</v>
      </c>
      <c r="C740" s="0" t="s">
        <v>1064</v>
      </c>
      <c r="D740" s="0" t="s">
        <v>588</v>
      </c>
      <c r="E740" s="0" t="s">
        <v>2117</v>
      </c>
      <c r="F740" s="0" t="n">
        <v>4</v>
      </c>
      <c r="G740" s="0" t="n">
        <v>2</v>
      </c>
      <c r="H740" s="0" t="s">
        <v>585</v>
      </c>
      <c r="I740" s="0" t="s">
        <v>336</v>
      </c>
      <c r="K740" s="0" t="s">
        <v>590</v>
      </c>
      <c r="L740" s="0" t="s">
        <v>2118</v>
      </c>
    </row>
    <row r="741" customFormat="false" ht="15" hidden="false" customHeight="false" outlineLevel="0" collapsed="false">
      <c r="A741" s="0" t="s">
        <v>63</v>
      </c>
      <c r="B741" s="0" t="s">
        <v>345</v>
      </c>
      <c r="C741" s="0" t="s">
        <v>1064</v>
      </c>
      <c r="D741" s="0" t="s">
        <v>127</v>
      </c>
      <c r="E741" s="0" t="s">
        <v>2119</v>
      </c>
      <c r="F741" s="0" t="n">
        <v>4</v>
      </c>
      <c r="G741" s="0" t="n">
        <v>0</v>
      </c>
      <c r="H741" s="0" t="s">
        <v>585</v>
      </c>
      <c r="K741" s="0" t="s">
        <v>594</v>
      </c>
      <c r="L741" s="0" t="s">
        <v>2120</v>
      </c>
    </row>
    <row r="742" customFormat="false" ht="15" hidden="false" customHeight="false" outlineLevel="0" collapsed="false">
      <c r="A742" s="0" t="s">
        <v>63</v>
      </c>
      <c r="B742" s="0" t="s">
        <v>345</v>
      </c>
      <c r="C742" s="0" t="s">
        <v>1064</v>
      </c>
      <c r="D742" s="0" t="s">
        <v>130</v>
      </c>
      <c r="E742" s="0" t="s">
        <v>2121</v>
      </c>
      <c r="F742" s="0" t="n">
        <v>4</v>
      </c>
      <c r="G742" s="0" t="n">
        <v>2</v>
      </c>
      <c r="H742" s="0" t="s">
        <v>585</v>
      </c>
      <c r="I742" s="0" t="s">
        <v>338</v>
      </c>
      <c r="K742" s="0" t="s">
        <v>597</v>
      </c>
      <c r="L742" s="0" t="s">
        <v>2122</v>
      </c>
    </row>
    <row r="743" customFormat="false" ht="15" hidden="false" customHeight="false" outlineLevel="0" collapsed="false">
      <c r="A743" s="0" t="s">
        <v>63</v>
      </c>
      <c r="B743" s="0" t="s">
        <v>345</v>
      </c>
      <c r="C743" s="0" t="s">
        <v>1064</v>
      </c>
      <c r="D743" s="0" t="s">
        <v>133</v>
      </c>
      <c r="E743" s="0" t="s">
        <v>2123</v>
      </c>
      <c r="F743" s="0" t="n">
        <v>0</v>
      </c>
      <c r="G743" s="0" t="n">
        <v>0</v>
      </c>
      <c r="H743" s="0" t="s">
        <v>580</v>
      </c>
      <c r="K743" s="0" t="s">
        <v>600</v>
      </c>
      <c r="L743" s="0" t="s">
        <v>2124</v>
      </c>
    </row>
    <row r="744" customFormat="false" ht="15" hidden="false" customHeight="false" outlineLevel="0" collapsed="false">
      <c r="A744" s="0" t="s">
        <v>63</v>
      </c>
      <c r="B744" s="0" t="s">
        <v>345</v>
      </c>
      <c r="C744" s="0" t="s">
        <v>1064</v>
      </c>
      <c r="D744" s="0" t="s">
        <v>141</v>
      </c>
      <c r="E744" s="0" t="s">
        <v>2125</v>
      </c>
      <c r="F744" s="0" t="n">
        <v>4</v>
      </c>
      <c r="G744" s="0" t="n">
        <v>0</v>
      </c>
      <c r="H744" s="0" t="s">
        <v>585</v>
      </c>
      <c r="K744" s="0" t="s">
        <v>604</v>
      </c>
      <c r="L744" s="0" t="s">
        <v>2126</v>
      </c>
    </row>
    <row r="745" customFormat="false" ht="15" hidden="false" customHeight="false" outlineLevel="0" collapsed="false">
      <c r="A745" s="0" t="s">
        <v>63</v>
      </c>
      <c r="B745" s="0" t="s">
        <v>345</v>
      </c>
      <c r="C745" s="0" t="s">
        <v>1064</v>
      </c>
      <c r="D745" s="0" t="s">
        <v>144</v>
      </c>
      <c r="E745" s="0" t="s">
        <v>2127</v>
      </c>
      <c r="F745" s="0" t="n">
        <v>4</v>
      </c>
      <c r="G745" s="0" t="n">
        <v>3</v>
      </c>
      <c r="H745" s="0" t="s">
        <v>585</v>
      </c>
      <c r="I745" s="0" t="s">
        <v>338</v>
      </c>
      <c r="K745" s="0" t="s">
        <v>607</v>
      </c>
      <c r="L745" s="0" t="s">
        <v>2128</v>
      </c>
    </row>
    <row r="746" customFormat="false" ht="15" hidden="false" customHeight="false" outlineLevel="0" collapsed="false">
      <c r="A746" s="0" t="s">
        <v>63</v>
      </c>
      <c r="B746" s="0" t="s">
        <v>345</v>
      </c>
      <c r="C746" s="0" t="s">
        <v>1064</v>
      </c>
      <c r="D746" s="0" t="s">
        <v>147</v>
      </c>
      <c r="E746" s="0" t="s">
        <v>2129</v>
      </c>
      <c r="F746" s="0" t="n">
        <v>4</v>
      </c>
      <c r="G746" s="0" t="n">
        <v>3</v>
      </c>
      <c r="H746" s="0" t="s">
        <v>585</v>
      </c>
      <c r="I746" s="0" t="s">
        <v>343</v>
      </c>
      <c r="K746" s="0" t="s">
        <v>610</v>
      </c>
      <c r="L746" s="0" t="s">
        <v>2130</v>
      </c>
    </row>
    <row r="747" customFormat="false" ht="15" hidden="false" customHeight="false" outlineLevel="0" collapsed="false">
      <c r="A747" s="0" t="s">
        <v>63</v>
      </c>
      <c r="B747" s="0" t="s">
        <v>345</v>
      </c>
      <c r="C747" s="0" t="s">
        <v>1064</v>
      </c>
      <c r="D747" s="0" t="s">
        <v>150</v>
      </c>
      <c r="E747" s="0" t="s">
        <v>2131</v>
      </c>
      <c r="F747" s="0" t="n">
        <v>4</v>
      </c>
      <c r="G747" s="0" t="n">
        <v>4</v>
      </c>
      <c r="H747" s="0" t="s">
        <v>580</v>
      </c>
      <c r="I747" s="0" t="s">
        <v>336</v>
      </c>
      <c r="K747" s="0" t="s">
        <v>613</v>
      </c>
      <c r="L747" s="0" t="s">
        <v>2132</v>
      </c>
    </row>
    <row r="748" customFormat="false" ht="15" hidden="false" customHeight="false" outlineLevel="0" collapsed="false">
      <c r="A748" s="0" t="s">
        <v>63</v>
      </c>
      <c r="B748" s="0" t="s">
        <v>345</v>
      </c>
      <c r="C748" s="0" t="s">
        <v>1064</v>
      </c>
      <c r="D748" s="0" t="s">
        <v>153</v>
      </c>
      <c r="E748" s="0" t="s">
        <v>2133</v>
      </c>
      <c r="F748" s="0" t="n">
        <v>4</v>
      </c>
      <c r="G748" s="0" t="n">
        <v>0</v>
      </c>
      <c r="H748" s="0" t="s">
        <v>585</v>
      </c>
      <c r="K748" s="0" t="s">
        <v>616</v>
      </c>
      <c r="L748" s="0" t="s">
        <v>2134</v>
      </c>
    </row>
    <row r="749" customFormat="false" ht="15" hidden="false" customHeight="false" outlineLevel="0" collapsed="false">
      <c r="A749" s="0" t="s">
        <v>63</v>
      </c>
      <c r="B749" s="0" t="s">
        <v>345</v>
      </c>
      <c r="C749" s="0" t="s">
        <v>1064</v>
      </c>
      <c r="D749" s="0" t="s">
        <v>156</v>
      </c>
      <c r="E749" s="0" t="s">
        <v>2135</v>
      </c>
      <c r="F749" s="0" t="n">
        <v>4</v>
      </c>
      <c r="G749" s="0" t="n">
        <v>2</v>
      </c>
      <c r="H749" s="0" t="s">
        <v>585</v>
      </c>
      <c r="I749" s="0" t="s">
        <v>336</v>
      </c>
      <c r="K749" s="0" t="s">
        <v>620</v>
      </c>
      <c r="L749" s="0" t="s">
        <v>2136</v>
      </c>
    </row>
    <row r="750" customFormat="false" ht="15" hidden="false" customHeight="false" outlineLevel="0" collapsed="false">
      <c r="A750" s="0" t="s">
        <v>63</v>
      </c>
      <c r="B750" s="0" t="s">
        <v>345</v>
      </c>
      <c r="C750" s="0" t="s">
        <v>1089</v>
      </c>
      <c r="D750" s="0" t="s">
        <v>578</v>
      </c>
      <c r="E750" s="0" t="s">
        <v>2137</v>
      </c>
      <c r="F750" s="0" t="n">
        <v>0</v>
      </c>
      <c r="G750" s="0" t="n">
        <v>0</v>
      </c>
      <c r="H750" s="0" t="s">
        <v>580</v>
      </c>
      <c r="K750" s="0" t="s">
        <v>581</v>
      </c>
      <c r="L750" s="0" t="s">
        <v>2138</v>
      </c>
    </row>
    <row r="751" customFormat="false" ht="15" hidden="false" customHeight="false" outlineLevel="0" collapsed="false">
      <c r="A751" s="0" t="s">
        <v>63</v>
      </c>
      <c r="B751" s="0" t="s">
        <v>345</v>
      </c>
      <c r="C751" s="0" t="s">
        <v>1089</v>
      </c>
      <c r="D751" s="0" t="s">
        <v>583</v>
      </c>
      <c r="E751" s="0" t="s">
        <v>2139</v>
      </c>
      <c r="F751" s="0" t="n">
        <v>4</v>
      </c>
      <c r="G751" s="0" t="n">
        <v>0</v>
      </c>
      <c r="H751" s="0" t="s">
        <v>585</v>
      </c>
      <c r="K751" s="0" t="s">
        <v>586</v>
      </c>
      <c r="L751" s="0" t="s">
        <v>2140</v>
      </c>
    </row>
    <row r="752" customFormat="false" ht="15" hidden="false" customHeight="false" outlineLevel="0" collapsed="false">
      <c r="A752" s="0" t="s">
        <v>63</v>
      </c>
      <c r="B752" s="0" t="s">
        <v>345</v>
      </c>
      <c r="C752" s="0" t="s">
        <v>1089</v>
      </c>
      <c r="D752" s="0" t="s">
        <v>588</v>
      </c>
      <c r="E752" s="0" t="s">
        <v>2141</v>
      </c>
      <c r="F752" s="0" t="n">
        <v>4</v>
      </c>
      <c r="G752" s="0" t="n">
        <v>3</v>
      </c>
      <c r="H752" s="0" t="s">
        <v>585</v>
      </c>
      <c r="I752" s="0" t="s">
        <v>332</v>
      </c>
      <c r="K752" s="0" t="s">
        <v>590</v>
      </c>
      <c r="L752" s="0" t="s">
        <v>2142</v>
      </c>
    </row>
    <row r="753" customFormat="false" ht="15" hidden="false" customHeight="false" outlineLevel="0" collapsed="false">
      <c r="A753" s="0" t="s">
        <v>63</v>
      </c>
      <c r="B753" s="0" t="s">
        <v>345</v>
      </c>
      <c r="C753" s="0" t="s">
        <v>1089</v>
      </c>
      <c r="D753" s="0" t="s">
        <v>127</v>
      </c>
      <c r="E753" s="0" t="s">
        <v>2143</v>
      </c>
      <c r="F753" s="0" t="n">
        <v>4</v>
      </c>
      <c r="G753" s="0" t="n">
        <v>0</v>
      </c>
      <c r="H753" s="0" t="s">
        <v>585</v>
      </c>
      <c r="K753" s="0" t="s">
        <v>594</v>
      </c>
      <c r="L753" s="0" t="s">
        <v>2144</v>
      </c>
    </row>
    <row r="754" customFormat="false" ht="15" hidden="false" customHeight="false" outlineLevel="0" collapsed="false">
      <c r="A754" s="0" t="s">
        <v>63</v>
      </c>
      <c r="B754" s="0" t="s">
        <v>345</v>
      </c>
      <c r="C754" s="0" t="s">
        <v>1089</v>
      </c>
      <c r="D754" s="0" t="s">
        <v>130</v>
      </c>
      <c r="E754" s="0" t="s">
        <v>2145</v>
      </c>
      <c r="F754" s="0" t="n">
        <v>4</v>
      </c>
      <c r="G754" s="0" t="n">
        <v>0</v>
      </c>
      <c r="H754" s="0" t="s">
        <v>585</v>
      </c>
      <c r="K754" s="0" t="s">
        <v>597</v>
      </c>
      <c r="L754" s="0" t="s">
        <v>2146</v>
      </c>
    </row>
    <row r="755" customFormat="false" ht="15" hidden="false" customHeight="false" outlineLevel="0" collapsed="false">
      <c r="A755" s="0" t="s">
        <v>63</v>
      </c>
      <c r="B755" s="0" t="s">
        <v>345</v>
      </c>
      <c r="C755" s="0" t="s">
        <v>1089</v>
      </c>
      <c r="D755" s="0" t="s">
        <v>133</v>
      </c>
      <c r="E755" s="0" t="s">
        <v>2147</v>
      </c>
      <c r="F755" s="0" t="n">
        <v>0</v>
      </c>
      <c r="G755" s="0" t="n">
        <v>0</v>
      </c>
      <c r="H755" s="0" t="s">
        <v>580</v>
      </c>
      <c r="K755" s="0" t="s">
        <v>600</v>
      </c>
      <c r="L755" s="0" t="s">
        <v>2148</v>
      </c>
    </row>
    <row r="756" customFormat="false" ht="15" hidden="false" customHeight="false" outlineLevel="0" collapsed="false">
      <c r="A756" s="0" t="s">
        <v>63</v>
      </c>
      <c r="B756" s="0" t="s">
        <v>345</v>
      </c>
      <c r="C756" s="0" t="s">
        <v>1089</v>
      </c>
      <c r="D756" s="0" t="s">
        <v>141</v>
      </c>
      <c r="E756" s="0" t="s">
        <v>2149</v>
      </c>
      <c r="F756" s="0" t="n">
        <v>4</v>
      </c>
      <c r="G756" s="0" t="n">
        <v>3</v>
      </c>
      <c r="H756" s="0" t="s">
        <v>585</v>
      </c>
      <c r="I756" s="0" t="s">
        <v>338</v>
      </c>
      <c r="K756" s="0" t="s">
        <v>604</v>
      </c>
      <c r="L756" s="0" t="s">
        <v>2150</v>
      </c>
    </row>
    <row r="757" customFormat="false" ht="15" hidden="false" customHeight="false" outlineLevel="0" collapsed="false">
      <c r="A757" s="0" t="s">
        <v>63</v>
      </c>
      <c r="B757" s="0" t="s">
        <v>345</v>
      </c>
      <c r="C757" s="0" t="s">
        <v>1089</v>
      </c>
      <c r="D757" s="0" t="s">
        <v>144</v>
      </c>
      <c r="E757" s="0" t="s">
        <v>2151</v>
      </c>
      <c r="F757" s="0" t="n">
        <v>4</v>
      </c>
      <c r="G757" s="0" t="n">
        <v>3</v>
      </c>
      <c r="H757" s="0" t="s">
        <v>585</v>
      </c>
      <c r="I757" s="0" t="s">
        <v>336</v>
      </c>
      <c r="K757" s="0" t="s">
        <v>607</v>
      </c>
      <c r="L757" s="0" t="s">
        <v>2152</v>
      </c>
    </row>
    <row r="758" customFormat="false" ht="15" hidden="false" customHeight="false" outlineLevel="0" collapsed="false">
      <c r="A758" s="0" t="s">
        <v>63</v>
      </c>
      <c r="B758" s="0" t="s">
        <v>345</v>
      </c>
      <c r="C758" s="0" t="s">
        <v>1089</v>
      </c>
      <c r="D758" s="0" t="s">
        <v>147</v>
      </c>
      <c r="E758" s="0" t="s">
        <v>2153</v>
      </c>
      <c r="F758" s="0" t="n">
        <v>4</v>
      </c>
      <c r="G758" s="0" t="n">
        <v>3</v>
      </c>
      <c r="H758" s="0" t="s">
        <v>585</v>
      </c>
      <c r="I758" s="0" t="s">
        <v>340</v>
      </c>
      <c r="K758" s="0" t="s">
        <v>610</v>
      </c>
      <c r="L758" s="0" t="s">
        <v>2154</v>
      </c>
    </row>
    <row r="759" customFormat="false" ht="15" hidden="false" customHeight="false" outlineLevel="0" collapsed="false">
      <c r="A759" s="0" t="s">
        <v>63</v>
      </c>
      <c r="B759" s="0" t="s">
        <v>345</v>
      </c>
      <c r="C759" s="0" t="s">
        <v>1089</v>
      </c>
      <c r="D759" s="0" t="s">
        <v>150</v>
      </c>
      <c r="E759" s="0" t="s">
        <v>2155</v>
      </c>
      <c r="F759" s="0" t="n">
        <v>4</v>
      </c>
      <c r="G759" s="0" t="n">
        <v>4</v>
      </c>
      <c r="H759" s="0" t="s">
        <v>580</v>
      </c>
      <c r="I759" s="0" t="s">
        <v>338</v>
      </c>
      <c r="K759" s="0" t="s">
        <v>613</v>
      </c>
      <c r="L759" s="0" t="s">
        <v>2156</v>
      </c>
    </row>
    <row r="760" customFormat="false" ht="15" hidden="false" customHeight="false" outlineLevel="0" collapsed="false">
      <c r="A760" s="0" t="s">
        <v>63</v>
      </c>
      <c r="B760" s="0" t="s">
        <v>345</v>
      </c>
      <c r="C760" s="0" t="s">
        <v>1089</v>
      </c>
      <c r="D760" s="0" t="s">
        <v>153</v>
      </c>
      <c r="E760" s="0" t="s">
        <v>2157</v>
      </c>
      <c r="F760" s="0" t="n">
        <v>4</v>
      </c>
      <c r="G760" s="0" t="n">
        <v>3</v>
      </c>
      <c r="H760" s="0" t="s">
        <v>585</v>
      </c>
      <c r="I760" s="0" t="s">
        <v>336</v>
      </c>
      <c r="K760" s="0" t="s">
        <v>616</v>
      </c>
      <c r="L760" s="0" t="s">
        <v>2158</v>
      </c>
    </row>
    <row r="761" customFormat="false" ht="15" hidden="false" customHeight="false" outlineLevel="0" collapsed="false">
      <c r="A761" s="0" t="s">
        <v>63</v>
      </c>
      <c r="B761" s="0" t="s">
        <v>345</v>
      </c>
      <c r="C761" s="0" t="s">
        <v>1089</v>
      </c>
      <c r="D761" s="0" t="s">
        <v>156</v>
      </c>
      <c r="E761" s="0" t="s">
        <v>2159</v>
      </c>
      <c r="F761" s="0" t="n">
        <v>4</v>
      </c>
      <c r="G761" s="0" t="n">
        <v>4</v>
      </c>
      <c r="H761" s="0" t="s">
        <v>580</v>
      </c>
      <c r="I761" s="0" t="s">
        <v>338</v>
      </c>
      <c r="K761" s="0" t="s">
        <v>620</v>
      </c>
      <c r="L761" s="0" t="s">
        <v>2160</v>
      </c>
    </row>
    <row r="762" customFormat="false" ht="15" hidden="false" customHeight="false" outlineLevel="0" collapsed="false">
      <c r="A762" s="0" t="s">
        <v>63</v>
      </c>
      <c r="B762" s="0" t="s">
        <v>345</v>
      </c>
      <c r="C762" s="0" t="s">
        <v>1114</v>
      </c>
      <c r="D762" s="0" t="s">
        <v>578</v>
      </c>
      <c r="E762" s="0" t="s">
        <v>2161</v>
      </c>
      <c r="F762" s="0" t="n">
        <v>0</v>
      </c>
      <c r="G762" s="0" t="n">
        <v>0</v>
      </c>
      <c r="H762" s="0" t="s">
        <v>580</v>
      </c>
      <c r="K762" s="0" t="s">
        <v>581</v>
      </c>
      <c r="L762" s="0" t="s">
        <v>2162</v>
      </c>
    </row>
    <row r="763" customFormat="false" ht="15" hidden="false" customHeight="false" outlineLevel="0" collapsed="false">
      <c r="A763" s="0" t="s">
        <v>63</v>
      </c>
      <c r="B763" s="0" t="s">
        <v>345</v>
      </c>
      <c r="C763" s="0" t="s">
        <v>1114</v>
      </c>
      <c r="D763" s="0" t="s">
        <v>583</v>
      </c>
      <c r="E763" s="0" t="s">
        <v>2163</v>
      </c>
      <c r="F763" s="0" t="n">
        <v>4</v>
      </c>
      <c r="G763" s="0" t="n">
        <v>4</v>
      </c>
      <c r="H763" s="0" t="s">
        <v>580</v>
      </c>
      <c r="I763" s="0" t="s">
        <v>332</v>
      </c>
      <c r="K763" s="0" t="s">
        <v>586</v>
      </c>
      <c r="L763" s="0" t="s">
        <v>2164</v>
      </c>
    </row>
    <row r="764" customFormat="false" ht="15" hidden="false" customHeight="false" outlineLevel="0" collapsed="false">
      <c r="A764" s="0" t="s">
        <v>63</v>
      </c>
      <c r="B764" s="0" t="s">
        <v>345</v>
      </c>
      <c r="C764" s="0" t="s">
        <v>1114</v>
      </c>
      <c r="D764" s="0" t="s">
        <v>588</v>
      </c>
      <c r="E764" s="0" t="s">
        <v>2165</v>
      </c>
      <c r="F764" s="0" t="n">
        <v>4</v>
      </c>
      <c r="G764" s="0" t="n">
        <v>4</v>
      </c>
      <c r="H764" s="0" t="s">
        <v>580</v>
      </c>
      <c r="I764" s="0" t="s">
        <v>332</v>
      </c>
      <c r="K764" s="0" t="s">
        <v>590</v>
      </c>
      <c r="L764" s="0" t="s">
        <v>2166</v>
      </c>
    </row>
    <row r="765" customFormat="false" ht="15" hidden="false" customHeight="false" outlineLevel="0" collapsed="false">
      <c r="A765" s="0" t="s">
        <v>63</v>
      </c>
      <c r="B765" s="0" t="s">
        <v>345</v>
      </c>
      <c r="C765" s="0" t="s">
        <v>1114</v>
      </c>
      <c r="D765" s="0" t="s">
        <v>127</v>
      </c>
      <c r="E765" s="0" t="s">
        <v>2167</v>
      </c>
      <c r="F765" s="0" t="n">
        <v>4</v>
      </c>
      <c r="G765" s="0" t="n">
        <v>4</v>
      </c>
      <c r="H765" s="0" t="s">
        <v>580</v>
      </c>
      <c r="I765" s="0" t="s">
        <v>338</v>
      </c>
      <c r="K765" s="0" t="s">
        <v>594</v>
      </c>
      <c r="L765" s="0" t="s">
        <v>2168</v>
      </c>
    </row>
    <row r="766" customFormat="false" ht="15" hidden="false" customHeight="false" outlineLevel="0" collapsed="false">
      <c r="A766" s="0" t="s">
        <v>63</v>
      </c>
      <c r="B766" s="0" t="s">
        <v>345</v>
      </c>
      <c r="C766" s="0" t="s">
        <v>1114</v>
      </c>
      <c r="D766" s="0" t="s">
        <v>130</v>
      </c>
      <c r="E766" s="0" t="s">
        <v>2169</v>
      </c>
      <c r="F766" s="0" t="n">
        <v>2</v>
      </c>
      <c r="G766" s="0" t="n">
        <v>2</v>
      </c>
      <c r="H766" s="0" t="s">
        <v>580</v>
      </c>
      <c r="I766" s="0" t="s">
        <v>344</v>
      </c>
      <c r="K766" s="0" t="s">
        <v>597</v>
      </c>
      <c r="L766" s="0" t="s">
        <v>2170</v>
      </c>
    </row>
    <row r="767" customFormat="false" ht="15" hidden="false" customHeight="false" outlineLevel="0" collapsed="false">
      <c r="A767" s="0" t="s">
        <v>63</v>
      </c>
      <c r="B767" s="0" t="s">
        <v>345</v>
      </c>
      <c r="C767" s="0" t="s">
        <v>1114</v>
      </c>
      <c r="D767" s="0" t="s">
        <v>133</v>
      </c>
      <c r="E767" s="0" t="s">
        <v>2171</v>
      </c>
      <c r="F767" s="0" t="n">
        <v>4</v>
      </c>
      <c r="G767" s="0" t="n">
        <v>4</v>
      </c>
      <c r="H767" s="0" t="s">
        <v>580</v>
      </c>
      <c r="I767" s="0" t="s">
        <v>332</v>
      </c>
      <c r="K767" s="0" t="s">
        <v>600</v>
      </c>
      <c r="L767" s="0" t="s">
        <v>2172</v>
      </c>
    </row>
    <row r="768" customFormat="false" ht="15" hidden="false" customHeight="false" outlineLevel="0" collapsed="false">
      <c r="A768" s="0" t="s">
        <v>63</v>
      </c>
      <c r="B768" s="0" t="s">
        <v>345</v>
      </c>
      <c r="C768" s="0" t="s">
        <v>1114</v>
      </c>
      <c r="D768" s="0" t="s">
        <v>141</v>
      </c>
      <c r="E768" s="0" t="s">
        <v>2173</v>
      </c>
      <c r="F768" s="0" t="n">
        <v>4</v>
      </c>
      <c r="G768" s="0" t="n">
        <v>1</v>
      </c>
      <c r="H768" s="0" t="s">
        <v>585</v>
      </c>
      <c r="I768" s="0" t="s">
        <v>338</v>
      </c>
      <c r="K768" s="0" t="s">
        <v>604</v>
      </c>
      <c r="L768" s="0" t="s">
        <v>2174</v>
      </c>
    </row>
    <row r="769" customFormat="false" ht="15" hidden="false" customHeight="false" outlineLevel="0" collapsed="false">
      <c r="A769" s="0" t="s">
        <v>63</v>
      </c>
      <c r="B769" s="0" t="s">
        <v>345</v>
      </c>
      <c r="C769" s="0" t="s">
        <v>1114</v>
      </c>
      <c r="D769" s="0" t="s">
        <v>144</v>
      </c>
      <c r="E769" s="0" t="s">
        <v>2175</v>
      </c>
      <c r="F769" s="0" t="n">
        <v>4</v>
      </c>
      <c r="G769" s="0" t="n">
        <v>4</v>
      </c>
      <c r="H769" s="0" t="s">
        <v>580</v>
      </c>
      <c r="I769" s="0" t="s">
        <v>337</v>
      </c>
      <c r="K769" s="0" t="s">
        <v>607</v>
      </c>
      <c r="L769" s="0" t="s">
        <v>2176</v>
      </c>
    </row>
    <row r="770" customFormat="false" ht="15" hidden="false" customHeight="false" outlineLevel="0" collapsed="false">
      <c r="A770" s="0" t="s">
        <v>63</v>
      </c>
      <c r="B770" s="0" t="s">
        <v>345</v>
      </c>
      <c r="C770" s="0" t="s">
        <v>1114</v>
      </c>
      <c r="D770" s="0" t="s">
        <v>147</v>
      </c>
      <c r="E770" s="0" t="s">
        <v>2177</v>
      </c>
      <c r="F770" s="0" t="n">
        <v>4</v>
      </c>
      <c r="G770" s="0" t="n">
        <v>4</v>
      </c>
      <c r="H770" s="0" t="s">
        <v>580</v>
      </c>
      <c r="I770" s="0" t="s">
        <v>338</v>
      </c>
      <c r="K770" s="0" t="s">
        <v>610</v>
      </c>
      <c r="L770" s="0" t="s">
        <v>2178</v>
      </c>
    </row>
    <row r="771" customFormat="false" ht="15" hidden="false" customHeight="false" outlineLevel="0" collapsed="false">
      <c r="A771" s="0" t="s">
        <v>63</v>
      </c>
      <c r="B771" s="0" t="s">
        <v>345</v>
      </c>
      <c r="C771" s="0" t="s">
        <v>1114</v>
      </c>
      <c r="D771" s="0" t="s">
        <v>150</v>
      </c>
      <c r="E771" s="0" t="s">
        <v>2179</v>
      </c>
      <c r="F771" s="0" t="n">
        <v>4</v>
      </c>
      <c r="G771" s="0" t="n">
        <v>3</v>
      </c>
      <c r="H771" s="0" t="s">
        <v>585</v>
      </c>
      <c r="I771" s="0" t="s">
        <v>337</v>
      </c>
      <c r="K771" s="0" t="s">
        <v>613</v>
      </c>
      <c r="L771" s="0" t="s">
        <v>2180</v>
      </c>
    </row>
    <row r="772" customFormat="false" ht="15" hidden="false" customHeight="false" outlineLevel="0" collapsed="false">
      <c r="A772" s="0" t="s">
        <v>63</v>
      </c>
      <c r="B772" s="0" t="s">
        <v>345</v>
      </c>
      <c r="C772" s="0" t="s">
        <v>1114</v>
      </c>
      <c r="D772" s="0" t="s">
        <v>153</v>
      </c>
      <c r="E772" s="0" t="s">
        <v>2181</v>
      </c>
      <c r="F772" s="0" t="n">
        <v>4</v>
      </c>
      <c r="G772" s="0" t="n">
        <v>3</v>
      </c>
      <c r="H772" s="0" t="s">
        <v>585</v>
      </c>
      <c r="I772" s="0" t="s">
        <v>332</v>
      </c>
      <c r="K772" s="0" t="s">
        <v>616</v>
      </c>
      <c r="L772" s="0" t="s">
        <v>2182</v>
      </c>
    </row>
    <row r="773" customFormat="false" ht="15" hidden="false" customHeight="false" outlineLevel="0" collapsed="false">
      <c r="A773" s="0" t="s">
        <v>63</v>
      </c>
      <c r="B773" s="0" t="s">
        <v>345</v>
      </c>
      <c r="C773" s="0" t="s">
        <v>1114</v>
      </c>
      <c r="D773" s="0" t="s">
        <v>156</v>
      </c>
      <c r="E773" s="0" t="s">
        <v>2183</v>
      </c>
      <c r="F773" s="0" t="n">
        <v>4</v>
      </c>
      <c r="G773" s="0" t="n">
        <v>4</v>
      </c>
      <c r="H773" s="0" t="s">
        <v>580</v>
      </c>
      <c r="I773" s="0" t="s">
        <v>340</v>
      </c>
      <c r="K773" s="0" t="s">
        <v>620</v>
      </c>
      <c r="L773" s="0" t="s">
        <v>2184</v>
      </c>
    </row>
    <row r="774" customFormat="false" ht="15" hidden="false" customHeight="false" outlineLevel="0" collapsed="false">
      <c r="A774" s="0" t="s">
        <v>63</v>
      </c>
      <c r="B774" s="0" t="s">
        <v>345</v>
      </c>
      <c r="C774" s="0" t="s">
        <v>1139</v>
      </c>
      <c r="D774" s="0" t="s">
        <v>578</v>
      </c>
      <c r="E774" s="0" t="s">
        <v>2185</v>
      </c>
      <c r="F774" s="0" t="n">
        <v>0</v>
      </c>
      <c r="G774" s="0" t="n">
        <v>0</v>
      </c>
      <c r="H774" s="0" t="s">
        <v>580</v>
      </c>
      <c r="K774" s="0" t="s">
        <v>581</v>
      </c>
      <c r="L774" s="0" t="s">
        <v>2186</v>
      </c>
    </row>
    <row r="775" customFormat="false" ht="15" hidden="false" customHeight="false" outlineLevel="0" collapsed="false">
      <c r="A775" s="0" t="s">
        <v>63</v>
      </c>
      <c r="B775" s="0" t="s">
        <v>345</v>
      </c>
      <c r="C775" s="0" t="s">
        <v>1139</v>
      </c>
      <c r="D775" s="0" t="s">
        <v>583</v>
      </c>
      <c r="E775" s="0" t="s">
        <v>2187</v>
      </c>
      <c r="F775" s="0" t="n">
        <v>4</v>
      </c>
      <c r="G775" s="0" t="n">
        <v>4</v>
      </c>
      <c r="H775" s="0" t="s">
        <v>580</v>
      </c>
      <c r="I775" s="0" t="s">
        <v>332</v>
      </c>
      <c r="K775" s="0" t="s">
        <v>586</v>
      </c>
      <c r="L775" s="0" t="s">
        <v>2188</v>
      </c>
    </row>
    <row r="776" customFormat="false" ht="15" hidden="false" customHeight="false" outlineLevel="0" collapsed="false">
      <c r="A776" s="0" t="s">
        <v>63</v>
      </c>
      <c r="B776" s="0" t="s">
        <v>345</v>
      </c>
      <c r="C776" s="0" t="s">
        <v>1139</v>
      </c>
      <c r="D776" s="0" t="s">
        <v>588</v>
      </c>
      <c r="E776" s="0" t="s">
        <v>2189</v>
      </c>
      <c r="F776" s="0" t="n">
        <v>4</v>
      </c>
      <c r="G776" s="0" t="n">
        <v>4</v>
      </c>
      <c r="H776" s="0" t="s">
        <v>580</v>
      </c>
      <c r="I776" s="0" t="s">
        <v>337</v>
      </c>
      <c r="K776" s="0" t="s">
        <v>590</v>
      </c>
      <c r="L776" s="0" t="s">
        <v>2190</v>
      </c>
    </row>
    <row r="777" customFormat="false" ht="15" hidden="false" customHeight="false" outlineLevel="0" collapsed="false">
      <c r="A777" s="0" t="s">
        <v>63</v>
      </c>
      <c r="B777" s="0" t="s">
        <v>345</v>
      </c>
      <c r="C777" s="0" t="s">
        <v>1139</v>
      </c>
      <c r="D777" s="0" t="s">
        <v>127</v>
      </c>
      <c r="E777" s="0" t="s">
        <v>2191</v>
      </c>
      <c r="F777" s="0" t="n">
        <v>4</v>
      </c>
      <c r="G777" s="0" t="n">
        <v>4</v>
      </c>
      <c r="H777" s="0" t="s">
        <v>580</v>
      </c>
      <c r="I777" s="0" t="s">
        <v>337</v>
      </c>
      <c r="K777" s="0" t="s">
        <v>594</v>
      </c>
      <c r="L777" s="0" t="s">
        <v>2192</v>
      </c>
    </row>
    <row r="778" customFormat="false" ht="15" hidden="false" customHeight="false" outlineLevel="0" collapsed="false">
      <c r="A778" s="0" t="s">
        <v>63</v>
      </c>
      <c r="B778" s="0" t="s">
        <v>345</v>
      </c>
      <c r="C778" s="0" t="s">
        <v>1139</v>
      </c>
      <c r="D778" s="0" t="s">
        <v>130</v>
      </c>
      <c r="E778" s="0" t="s">
        <v>2193</v>
      </c>
      <c r="F778" s="0" t="n">
        <v>4</v>
      </c>
      <c r="G778" s="0" t="n">
        <v>3</v>
      </c>
      <c r="H778" s="0" t="s">
        <v>585</v>
      </c>
      <c r="I778" s="0" t="s">
        <v>332</v>
      </c>
      <c r="K778" s="0" t="s">
        <v>597</v>
      </c>
      <c r="L778" s="0" t="s">
        <v>2194</v>
      </c>
    </row>
    <row r="779" customFormat="false" ht="15" hidden="false" customHeight="false" outlineLevel="0" collapsed="false">
      <c r="A779" s="0" t="s">
        <v>63</v>
      </c>
      <c r="B779" s="0" t="s">
        <v>345</v>
      </c>
      <c r="C779" s="0" t="s">
        <v>1139</v>
      </c>
      <c r="D779" s="0" t="s">
        <v>133</v>
      </c>
      <c r="E779" s="0" t="s">
        <v>2195</v>
      </c>
      <c r="F779" s="0" t="n">
        <v>4</v>
      </c>
      <c r="G779" s="0" t="n">
        <v>4</v>
      </c>
      <c r="H779" s="0" t="s">
        <v>580</v>
      </c>
      <c r="I779" s="0" t="s">
        <v>338</v>
      </c>
      <c r="K779" s="0" t="s">
        <v>600</v>
      </c>
      <c r="L779" s="0" t="s">
        <v>2196</v>
      </c>
    </row>
    <row r="780" customFormat="false" ht="15" hidden="false" customHeight="false" outlineLevel="0" collapsed="false">
      <c r="A780" s="0" t="s">
        <v>63</v>
      </c>
      <c r="B780" s="0" t="s">
        <v>345</v>
      </c>
      <c r="C780" s="0" t="s">
        <v>1139</v>
      </c>
      <c r="D780" s="0" t="s">
        <v>141</v>
      </c>
      <c r="E780" s="0" t="s">
        <v>2197</v>
      </c>
      <c r="F780" s="0" t="n">
        <v>4</v>
      </c>
      <c r="G780" s="0" t="n">
        <v>1</v>
      </c>
      <c r="H780" s="0" t="s">
        <v>585</v>
      </c>
      <c r="I780" s="0" t="s">
        <v>343</v>
      </c>
      <c r="K780" s="0" t="s">
        <v>604</v>
      </c>
      <c r="L780" s="0" t="s">
        <v>2198</v>
      </c>
    </row>
    <row r="781" customFormat="false" ht="15" hidden="false" customHeight="false" outlineLevel="0" collapsed="false">
      <c r="A781" s="0" t="s">
        <v>63</v>
      </c>
      <c r="B781" s="0" t="s">
        <v>345</v>
      </c>
      <c r="C781" s="0" t="s">
        <v>1139</v>
      </c>
      <c r="D781" s="0" t="s">
        <v>144</v>
      </c>
      <c r="E781" s="0" t="s">
        <v>2199</v>
      </c>
      <c r="F781" s="0" t="n">
        <v>4</v>
      </c>
      <c r="G781" s="0" t="n">
        <v>3</v>
      </c>
      <c r="H781" s="0" t="s">
        <v>585</v>
      </c>
      <c r="I781" s="0" t="s">
        <v>332</v>
      </c>
      <c r="K781" s="0" t="s">
        <v>607</v>
      </c>
      <c r="L781" s="0" t="s">
        <v>2200</v>
      </c>
    </row>
    <row r="782" customFormat="false" ht="15" hidden="false" customHeight="false" outlineLevel="0" collapsed="false">
      <c r="A782" s="0" t="s">
        <v>63</v>
      </c>
      <c r="B782" s="0" t="s">
        <v>345</v>
      </c>
      <c r="C782" s="0" t="s">
        <v>1139</v>
      </c>
      <c r="D782" s="0" t="s">
        <v>147</v>
      </c>
      <c r="E782" s="0" t="s">
        <v>2201</v>
      </c>
      <c r="F782" s="0" t="n">
        <v>4</v>
      </c>
      <c r="G782" s="0" t="n">
        <v>3</v>
      </c>
      <c r="H782" s="0" t="s">
        <v>585</v>
      </c>
      <c r="I782" s="0" t="s">
        <v>342</v>
      </c>
      <c r="K782" s="0" t="s">
        <v>610</v>
      </c>
      <c r="L782" s="0" t="s">
        <v>2202</v>
      </c>
    </row>
    <row r="783" customFormat="false" ht="15" hidden="false" customHeight="false" outlineLevel="0" collapsed="false">
      <c r="A783" s="0" t="s">
        <v>63</v>
      </c>
      <c r="B783" s="0" t="s">
        <v>345</v>
      </c>
      <c r="C783" s="0" t="s">
        <v>1139</v>
      </c>
      <c r="D783" s="0" t="s">
        <v>150</v>
      </c>
      <c r="E783" s="0" t="s">
        <v>2203</v>
      </c>
      <c r="F783" s="0" t="n">
        <v>4</v>
      </c>
      <c r="G783" s="0" t="n">
        <v>4</v>
      </c>
      <c r="H783" s="0" t="s">
        <v>580</v>
      </c>
      <c r="I783" s="0" t="s">
        <v>336</v>
      </c>
      <c r="K783" s="0" t="s">
        <v>613</v>
      </c>
      <c r="L783" s="0" t="s">
        <v>2204</v>
      </c>
    </row>
    <row r="784" customFormat="false" ht="15" hidden="false" customHeight="false" outlineLevel="0" collapsed="false">
      <c r="A784" s="0" t="s">
        <v>63</v>
      </c>
      <c r="B784" s="0" t="s">
        <v>345</v>
      </c>
      <c r="C784" s="0" t="s">
        <v>1139</v>
      </c>
      <c r="D784" s="0" t="s">
        <v>153</v>
      </c>
      <c r="E784" s="0" t="s">
        <v>2205</v>
      </c>
      <c r="F784" s="0" t="n">
        <v>4</v>
      </c>
      <c r="G784" s="0" t="n">
        <v>2</v>
      </c>
      <c r="H784" s="0" t="s">
        <v>585</v>
      </c>
      <c r="I784" s="0" t="s">
        <v>336</v>
      </c>
      <c r="K784" s="0" t="s">
        <v>616</v>
      </c>
      <c r="L784" s="0" t="s">
        <v>2206</v>
      </c>
    </row>
    <row r="785" customFormat="false" ht="15" hidden="false" customHeight="false" outlineLevel="0" collapsed="false">
      <c r="A785" s="0" t="s">
        <v>63</v>
      </c>
      <c r="B785" s="0" t="s">
        <v>345</v>
      </c>
      <c r="C785" s="0" t="s">
        <v>1139</v>
      </c>
      <c r="D785" s="0" t="s">
        <v>156</v>
      </c>
      <c r="E785" s="0" t="s">
        <v>2207</v>
      </c>
      <c r="F785" s="0" t="n">
        <v>4</v>
      </c>
      <c r="G785" s="0" t="n">
        <v>3</v>
      </c>
      <c r="H785" s="0" t="s">
        <v>585</v>
      </c>
      <c r="I785" s="0" t="s">
        <v>332</v>
      </c>
      <c r="K785" s="0" t="s">
        <v>620</v>
      </c>
      <c r="L785" s="0" t="s">
        <v>2208</v>
      </c>
    </row>
    <row r="786" customFormat="false" ht="15" hidden="false" customHeight="false" outlineLevel="0" collapsed="false">
      <c r="A786" s="0" t="s">
        <v>63</v>
      </c>
      <c r="B786" s="0" t="s">
        <v>266</v>
      </c>
      <c r="C786" s="0" t="s">
        <v>1164</v>
      </c>
      <c r="D786" s="0" t="s">
        <v>578</v>
      </c>
      <c r="E786" s="0" t="s">
        <v>2209</v>
      </c>
      <c r="F786" s="0" t="n">
        <v>0</v>
      </c>
      <c r="G786" s="0" t="n">
        <v>0</v>
      </c>
      <c r="H786" s="0" t="s">
        <v>580</v>
      </c>
      <c r="K786" s="0" t="s">
        <v>581</v>
      </c>
      <c r="L786" s="0" t="s">
        <v>2210</v>
      </c>
    </row>
    <row r="787" customFormat="false" ht="15" hidden="false" customHeight="false" outlineLevel="0" collapsed="false">
      <c r="A787" s="0" t="s">
        <v>63</v>
      </c>
      <c r="B787" s="0" t="s">
        <v>266</v>
      </c>
      <c r="C787" s="0" t="s">
        <v>1164</v>
      </c>
      <c r="D787" s="0" t="s">
        <v>583</v>
      </c>
      <c r="E787" s="0" t="s">
        <v>2211</v>
      </c>
      <c r="F787" s="0" t="n">
        <v>4</v>
      </c>
      <c r="G787" s="0" t="n">
        <v>0</v>
      </c>
      <c r="H787" s="0" t="s">
        <v>585</v>
      </c>
      <c r="K787" s="0" t="s">
        <v>586</v>
      </c>
      <c r="L787" s="0" t="s">
        <v>2212</v>
      </c>
    </row>
    <row r="788" customFormat="false" ht="15" hidden="false" customHeight="false" outlineLevel="0" collapsed="false">
      <c r="A788" s="0" t="s">
        <v>63</v>
      </c>
      <c r="B788" s="0" t="s">
        <v>266</v>
      </c>
      <c r="C788" s="0" t="s">
        <v>1164</v>
      </c>
      <c r="D788" s="0" t="s">
        <v>588</v>
      </c>
      <c r="E788" s="0" t="s">
        <v>2213</v>
      </c>
      <c r="F788" s="0" t="n">
        <v>4</v>
      </c>
      <c r="G788" s="0" t="n">
        <v>2</v>
      </c>
      <c r="H788" s="0" t="s">
        <v>585</v>
      </c>
      <c r="I788" s="0" t="s">
        <v>340</v>
      </c>
      <c r="K788" s="0" t="s">
        <v>590</v>
      </c>
      <c r="L788" s="0" t="s">
        <v>2214</v>
      </c>
    </row>
    <row r="789" customFormat="false" ht="15" hidden="false" customHeight="false" outlineLevel="0" collapsed="false">
      <c r="A789" s="0" t="s">
        <v>63</v>
      </c>
      <c r="B789" s="0" t="s">
        <v>266</v>
      </c>
      <c r="C789" s="0" t="s">
        <v>1164</v>
      </c>
      <c r="D789" s="0" t="s">
        <v>127</v>
      </c>
      <c r="E789" s="0" t="s">
        <v>2215</v>
      </c>
      <c r="F789" s="0" t="n">
        <v>4</v>
      </c>
      <c r="G789" s="0" t="n">
        <v>0</v>
      </c>
      <c r="H789" s="0" t="s">
        <v>585</v>
      </c>
      <c r="K789" s="0" t="s">
        <v>594</v>
      </c>
      <c r="L789" s="0" t="s">
        <v>2216</v>
      </c>
    </row>
    <row r="790" customFormat="false" ht="15" hidden="false" customHeight="false" outlineLevel="0" collapsed="false">
      <c r="A790" s="0" t="s">
        <v>63</v>
      </c>
      <c r="B790" s="0" t="s">
        <v>266</v>
      </c>
      <c r="C790" s="0" t="s">
        <v>1164</v>
      </c>
      <c r="D790" s="0" t="s">
        <v>130</v>
      </c>
      <c r="E790" s="0" t="s">
        <v>2217</v>
      </c>
      <c r="F790" s="0" t="n">
        <v>4</v>
      </c>
      <c r="G790" s="0" t="n">
        <v>0</v>
      </c>
      <c r="H790" s="0" t="s">
        <v>585</v>
      </c>
      <c r="K790" s="0" t="s">
        <v>597</v>
      </c>
      <c r="L790" s="0" t="s">
        <v>2218</v>
      </c>
    </row>
    <row r="791" customFormat="false" ht="15" hidden="false" customHeight="false" outlineLevel="0" collapsed="false">
      <c r="A791" s="0" t="s">
        <v>63</v>
      </c>
      <c r="B791" s="0" t="s">
        <v>266</v>
      </c>
      <c r="C791" s="0" t="s">
        <v>1164</v>
      </c>
      <c r="D791" s="0" t="s">
        <v>133</v>
      </c>
      <c r="E791" s="0" t="s">
        <v>2219</v>
      </c>
      <c r="F791" s="0" t="n">
        <v>0</v>
      </c>
      <c r="G791" s="0" t="n">
        <v>0</v>
      </c>
      <c r="H791" s="0" t="s">
        <v>580</v>
      </c>
      <c r="K791" s="0" t="s">
        <v>600</v>
      </c>
      <c r="L791" s="0" t="s">
        <v>2220</v>
      </c>
    </row>
    <row r="792" customFormat="false" ht="15" hidden="false" customHeight="false" outlineLevel="0" collapsed="false">
      <c r="A792" s="0" t="s">
        <v>63</v>
      </c>
      <c r="B792" s="0" t="s">
        <v>266</v>
      </c>
      <c r="C792" s="0" t="s">
        <v>1164</v>
      </c>
      <c r="D792" s="0" t="s">
        <v>141</v>
      </c>
      <c r="E792" s="0" t="s">
        <v>2221</v>
      </c>
      <c r="F792" s="0" t="n">
        <v>4</v>
      </c>
      <c r="G792" s="0" t="n">
        <v>2</v>
      </c>
      <c r="H792" s="0" t="s">
        <v>585</v>
      </c>
      <c r="I792" s="0" t="s">
        <v>337</v>
      </c>
      <c r="K792" s="0" t="s">
        <v>604</v>
      </c>
      <c r="L792" s="0" t="s">
        <v>2222</v>
      </c>
    </row>
    <row r="793" customFormat="false" ht="15" hidden="false" customHeight="false" outlineLevel="0" collapsed="false">
      <c r="A793" s="0" t="s">
        <v>63</v>
      </c>
      <c r="B793" s="0" t="s">
        <v>266</v>
      </c>
      <c r="C793" s="0" t="s">
        <v>1164</v>
      </c>
      <c r="D793" s="0" t="s">
        <v>144</v>
      </c>
      <c r="E793" s="0" t="s">
        <v>2223</v>
      </c>
      <c r="F793" s="0" t="n">
        <v>4</v>
      </c>
      <c r="G793" s="0" t="n">
        <v>3</v>
      </c>
      <c r="H793" s="0" t="s">
        <v>585</v>
      </c>
      <c r="I793" s="0" t="s">
        <v>343</v>
      </c>
      <c r="K793" s="0" t="s">
        <v>607</v>
      </c>
      <c r="L793" s="0" t="s">
        <v>2224</v>
      </c>
    </row>
    <row r="794" customFormat="false" ht="15" hidden="false" customHeight="false" outlineLevel="0" collapsed="false">
      <c r="A794" s="0" t="s">
        <v>63</v>
      </c>
      <c r="B794" s="0" t="s">
        <v>266</v>
      </c>
      <c r="C794" s="0" t="s">
        <v>1164</v>
      </c>
      <c r="D794" s="0" t="s">
        <v>147</v>
      </c>
      <c r="E794" s="0" t="s">
        <v>2225</v>
      </c>
      <c r="F794" s="0" t="n">
        <v>4</v>
      </c>
      <c r="G794" s="0" t="n">
        <v>3</v>
      </c>
      <c r="H794" s="0" t="s">
        <v>585</v>
      </c>
      <c r="I794" s="0" t="s">
        <v>337</v>
      </c>
      <c r="K794" s="0" t="s">
        <v>610</v>
      </c>
      <c r="L794" s="0" t="s">
        <v>2226</v>
      </c>
    </row>
    <row r="795" customFormat="false" ht="15" hidden="false" customHeight="false" outlineLevel="0" collapsed="false">
      <c r="A795" s="0" t="s">
        <v>63</v>
      </c>
      <c r="B795" s="0" t="s">
        <v>266</v>
      </c>
      <c r="C795" s="0" t="s">
        <v>1164</v>
      </c>
      <c r="D795" s="0" t="s">
        <v>150</v>
      </c>
      <c r="E795" s="0" t="s">
        <v>2227</v>
      </c>
      <c r="F795" s="0" t="n">
        <v>4</v>
      </c>
      <c r="G795" s="0" t="n">
        <v>5</v>
      </c>
      <c r="H795" s="0" t="s">
        <v>580</v>
      </c>
      <c r="I795" s="0" t="s">
        <v>332</v>
      </c>
      <c r="K795" s="0" t="s">
        <v>613</v>
      </c>
      <c r="L795" s="0" t="s">
        <v>2228</v>
      </c>
    </row>
    <row r="796" customFormat="false" ht="15" hidden="false" customHeight="false" outlineLevel="0" collapsed="false">
      <c r="A796" s="0" t="s">
        <v>63</v>
      </c>
      <c r="B796" s="0" t="s">
        <v>266</v>
      </c>
      <c r="C796" s="0" t="s">
        <v>1164</v>
      </c>
      <c r="D796" s="0" t="s">
        <v>153</v>
      </c>
      <c r="E796" s="0" t="s">
        <v>2229</v>
      </c>
      <c r="F796" s="0" t="n">
        <v>4</v>
      </c>
      <c r="G796" s="0" t="n">
        <v>4</v>
      </c>
      <c r="H796" s="0" t="s">
        <v>580</v>
      </c>
      <c r="I796" s="0" t="s">
        <v>339</v>
      </c>
      <c r="K796" s="0" t="s">
        <v>616</v>
      </c>
      <c r="L796" s="0" t="s">
        <v>2230</v>
      </c>
    </row>
    <row r="797" customFormat="false" ht="15" hidden="false" customHeight="false" outlineLevel="0" collapsed="false">
      <c r="A797" s="0" t="s">
        <v>63</v>
      </c>
      <c r="B797" s="0" t="s">
        <v>266</v>
      </c>
      <c r="C797" s="0" t="s">
        <v>1164</v>
      </c>
      <c r="D797" s="0" t="s">
        <v>156</v>
      </c>
      <c r="E797" s="0" t="s">
        <v>2231</v>
      </c>
      <c r="F797" s="0" t="n">
        <v>4</v>
      </c>
      <c r="G797" s="0" t="n">
        <v>4</v>
      </c>
      <c r="H797" s="0" t="s">
        <v>580</v>
      </c>
      <c r="I797" s="0" t="s">
        <v>339</v>
      </c>
      <c r="K797" s="0" t="s">
        <v>620</v>
      </c>
      <c r="L797" s="0" t="s">
        <v>2232</v>
      </c>
    </row>
    <row r="798" customFormat="false" ht="15" hidden="false" customHeight="false" outlineLevel="0" collapsed="false">
      <c r="A798" s="0" t="s">
        <v>63</v>
      </c>
      <c r="B798" s="0" t="s">
        <v>266</v>
      </c>
      <c r="C798" s="0" t="s">
        <v>1189</v>
      </c>
      <c r="D798" s="0" t="s">
        <v>578</v>
      </c>
      <c r="E798" s="0" t="s">
        <v>2233</v>
      </c>
      <c r="F798" s="0" t="n">
        <v>0</v>
      </c>
      <c r="G798" s="0" t="n">
        <v>0</v>
      </c>
      <c r="H798" s="0" t="s">
        <v>580</v>
      </c>
      <c r="K798" s="0" t="s">
        <v>581</v>
      </c>
      <c r="L798" s="0" t="s">
        <v>2234</v>
      </c>
    </row>
    <row r="799" customFormat="false" ht="15" hidden="false" customHeight="false" outlineLevel="0" collapsed="false">
      <c r="A799" s="0" t="s">
        <v>63</v>
      </c>
      <c r="B799" s="0" t="s">
        <v>266</v>
      </c>
      <c r="C799" s="0" t="s">
        <v>1189</v>
      </c>
      <c r="D799" s="0" t="s">
        <v>583</v>
      </c>
      <c r="E799" s="0" t="s">
        <v>2235</v>
      </c>
      <c r="F799" s="0" t="n">
        <v>4</v>
      </c>
      <c r="G799" s="0" t="n">
        <v>0</v>
      </c>
      <c r="H799" s="0" t="s">
        <v>585</v>
      </c>
      <c r="K799" s="0" t="s">
        <v>586</v>
      </c>
      <c r="L799" s="0" t="s">
        <v>2236</v>
      </c>
    </row>
    <row r="800" customFormat="false" ht="15" hidden="false" customHeight="false" outlineLevel="0" collapsed="false">
      <c r="A800" s="0" t="s">
        <v>63</v>
      </c>
      <c r="B800" s="0" t="s">
        <v>266</v>
      </c>
      <c r="C800" s="0" t="s">
        <v>1189</v>
      </c>
      <c r="D800" s="0" t="s">
        <v>588</v>
      </c>
      <c r="E800" s="0" t="s">
        <v>2237</v>
      </c>
      <c r="F800" s="0" t="n">
        <v>4</v>
      </c>
      <c r="G800" s="0" t="n">
        <v>0</v>
      </c>
      <c r="H800" s="0" t="s">
        <v>585</v>
      </c>
      <c r="K800" s="0" t="s">
        <v>590</v>
      </c>
      <c r="L800" s="0" t="s">
        <v>2238</v>
      </c>
    </row>
    <row r="801" customFormat="false" ht="15" hidden="false" customHeight="false" outlineLevel="0" collapsed="false">
      <c r="A801" s="0" t="s">
        <v>63</v>
      </c>
      <c r="B801" s="0" t="s">
        <v>266</v>
      </c>
      <c r="C801" s="0" t="s">
        <v>1189</v>
      </c>
      <c r="D801" s="0" t="s">
        <v>127</v>
      </c>
      <c r="E801" s="0" t="s">
        <v>2239</v>
      </c>
      <c r="F801" s="0" t="n">
        <v>4</v>
      </c>
      <c r="G801" s="0" t="n">
        <v>0</v>
      </c>
      <c r="H801" s="0" t="s">
        <v>585</v>
      </c>
      <c r="K801" s="0" t="s">
        <v>594</v>
      </c>
      <c r="L801" s="0" t="s">
        <v>2240</v>
      </c>
    </row>
    <row r="802" customFormat="false" ht="15" hidden="false" customHeight="false" outlineLevel="0" collapsed="false">
      <c r="A802" s="0" t="s">
        <v>63</v>
      </c>
      <c r="B802" s="0" t="s">
        <v>266</v>
      </c>
      <c r="C802" s="0" t="s">
        <v>1189</v>
      </c>
      <c r="D802" s="0" t="s">
        <v>130</v>
      </c>
      <c r="E802" s="0" t="s">
        <v>2241</v>
      </c>
      <c r="F802" s="0" t="n">
        <v>4</v>
      </c>
      <c r="G802" s="0" t="n">
        <v>1</v>
      </c>
      <c r="H802" s="0" t="s">
        <v>585</v>
      </c>
      <c r="I802" s="0" t="s">
        <v>332</v>
      </c>
      <c r="K802" s="0" t="s">
        <v>597</v>
      </c>
      <c r="L802" s="0" t="s">
        <v>2242</v>
      </c>
    </row>
    <row r="803" customFormat="false" ht="15" hidden="false" customHeight="false" outlineLevel="0" collapsed="false">
      <c r="A803" s="0" t="s">
        <v>63</v>
      </c>
      <c r="B803" s="0" t="s">
        <v>266</v>
      </c>
      <c r="C803" s="0" t="s">
        <v>1189</v>
      </c>
      <c r="D803" s="0" t="s">
        <v>133</v>
      </c>
      <c r="E803" s="0" t="s">
        <v>2243</v>
      </c>
      <c r="F803" s="0" t="n">
        <v>0</v>
      </c>
      <c r="G803" s="0" t="n">
        <v>0</v>
      </c>
      <c r="H803" s="0" t="s">
        <v>580</v>
      </c>
      <c r="K803" s="0" t="s">
        <v>600</v>
      </c>
      <c r="L803" s="0" t="s">
        <v>2244</v>
      </c>
    </row>
    <row r="804" customFormat="false" ht="15" hidden="false" customHeight="false" outlineLevel="0" collapsed="false">
      <c r="A804" s="0" t="s">
        <v>63</v>
      </c>
      <c r="B804" s="0" t="s">
        <v>266</v>
      </c>
      <c r="C804" s="0" t="s">
        <v>1189</v>
      </c>
      <c r="D804" s="0" t="s">
        <v>141</v>
      </c>
      <c r="E804" s="0" t="s">
        <v>2245</v>
      </c>
      <c r="F804" s="0" t="n">
        <v>4</v>
      </c>
      <c r="G804" s="0" t="n">
        <v>4</v>
      </c>
      <c r="H804" s="0" t="s">
        <v>580</v>
      </c>
      <c r="I804" s="0" t="s">
        <v>332</v>
      </c>
      <c r="K804" s="0" t="s">
        <v>604</v>
      </c>
      <c r="L804" s="0" t="s">
        <v>2246</v>
      </c>
    </row>
    <row r="805" customFormat="false" ht="15" hidden="false" customHeight="false" outlineLevel="0" collapsed="false">
      <c r="A805" s="0" t="s">
        <v>63</v>
      </c>
      <c r="B805" s="0" t="s">
        <v>266</v>
      </c>
      <c r="C805" s="0" t="s">
        <v>1189</v>
      </c>
      <c r="D805" s="0" t="s">
        <v>144</v>
      </c>
      <c r="E805" s="0" t="s">
        <v>2247</v>
      </c>
      <c r="F805" s="0" t="n">
        <v>4</v>
      </c>
      <c r="G805" s="0" t="n">
        <v>2</v>
      </c>
      <c r="H805" s="0" t="s">
        <v>585</v>
      </c>
      <c r="I805" s="0" t="s">
        <v>337</v>
      </c>
      <c r="K805" s="0" t="s">
        <v>607</v>
      </c>
      <c r="L805" s="0" t="s">
        <v>2248</v>
      </c>
    </row>
    <row r="806" customFormat="false" ht="15" hidden="false" customHeight="false" outlineLevel="0" collapsed="false">
      <c r="A806" s="0" t="s">
        <v>63</v>
      </c>
      <c r="B806" s="0" t="s">
        <v>266</v>
      </c>
      <c r="C806" s="0" t="s">
        <v>1189</v>
      </c>
      <c r="D806" s="0" t="s">
        <v>147</v>
      </c>
      <c r="E806" s="0" t="s">
        <v>2249</v>
      </c>
      <c r="F806" s="0" t="n">
        <v>4</v>
      </c>
      <c r="G806" s="0" t="n">
        <v>2</v>
      </c>
      <c r="H806" s="0" t="s">
        <v>585</v>
      </c>
      <c r="I806" s="0" t="s">
        <v>337</v>
      </c>
      <c r="K806" s="0" t="s">
        <v>610</v>
      </c>
      <c r="L806" s="0" t="s">
        <v>2250</v>
      </c>
    </row>
    <row r="807" customFormat="false" ht="15" hidden="false" customHeight="false" outlineLevel="0" collapsed="false">
      <c r="A807" s="0" t="s">
        <v>63</v>
      </c>
      <c r="B807" s="0" t="s">
        <v>266</v>
      </c>
      <c r="C807" s="0" t="s">
        <v>1189</v>
      </c>
      <c r="D807" s="0" t="s">
        <v>150</v>
      </c>
      <c r="E807" s="0" t="s">
        <v>2251</v>
      </c>
      <c r="F807" s="0" t="n">
        <v>4</v>
      </c>
      <c r="G807" s="0" t="n">
        <v>4</v>
      </c>
      <c r="H807" s="0" t="s">
        <v>580</v>
      </c>
      <c r="I807" s="0" t="s">
        <v>339</v>
      </c>
      <c r="K807" s="0" t="s">
        <v>613</v>
      </c>
      <c r="L807" s="0" t="s">
        <v>2252</v>
      </c>
    </row>
    <row r="808" customFormat="false" ht="15" hidden="false" customHeight="false" outlineLevel="0" collapsed="false">
      <c r="A808" s="0" t="s">
        <v>63</v>
      </c>
      <c r="B808" s="0" t="s">
        <v>266</v>
      </c>
      <c r="C808" s="0" t="s">
        <v>1189</v>
      </c>
      <c r="D808" s="0" t="s">
        <v>153</v>
      </c>
      <c r="E808" s="0" t="s">
        <v>2253</v>
      </c>
      <c r="F808" s="0" t="n">
        <v>4</v>
      </c>
      <c r="G808" s="0" t="n">
        <v>4</v>
      </c>
      <c r="H808" s="0" t="s">
        <v>580</v>
      </c>
      <c r="I808" s="0" t="s">
        <v>332</v>
      </c>
      <c r="K808" s="0" t="s">
        <v>616</v>
      </c>
      <c r="L808" s="0" t="s">
        <v>2254</v>
      </c>
    </row>
    <row r="809" customFormat="false" ht="15" hidden="false" customHeight="false" outlineLevel="0" collapsed="false">
      <c r="A809" s="0" t="s">
        <v>63</v>
      </c>
      <c r="B809" s="0" t="s">
        <v>266</v>
      </c>
      <c r="C809" s="0" t="s">
        <v>1189</v>
      </c>
      <c r="D809" s="0" t="s">
        <v>156</v>
      </c>
      <c r="E809" s="0" t="s">
        <v>2255</v>
      </c>
      <c r="F809" s="0" t="n">
        <v>4</v>
      </c>
      <c r="G809" s="0" t="n">
        <v>1</v>
      </c>
      <c r="H809" s="0" t="s">
        <v>585</v>
      </c>
      <c r="I809" s="0" t="s">
        <v>332</v>
      </c>
      <c r="K809" s="0" t="s">
        <v>620</v>
      </c>
      <c r="L809" s="0" t="s">
        <v>2256</v>
      </c>
    </row>
    <row r="810" customFormat="false" ht="15" hidden="false" customHeight="false" outlineLevel="0" collapsed="false">
      <c r="A810" s="0" t="s">
        <v>63</v>
      </c>
      <c r="B810" s="0" t="s">
        <v>266</v>
      </c>
      <c r="C810" s="0" t="s">
        <v>1214</v>
      </c>
      <c r="D810" s="0" t="s">
        <v>578</v>
      </c>
      <c r="E810" s="0" t="s">
        <v>2257</v>
      </c>
      <c r="F810" s="0" t="n">
        <v>0</v>
      </c>
      <c r="G810" s="0" t="n">
        <v>0</v>
      </c>
      <c r="H810" s="0" t="s">
        <v>580</v>
      </c>
      <c r="K810" s="0" t="s">
        <v>581</v>
      </c>
      <c r="L810" s="0" t="s">
        <v>2258</v>
      </c>
    </row>
    <row r="811" customFormat="false" ht="15" hidden="false" customHeight="false" outlineLevel="0" collapsed="false">
      <c r="A811" s="0" t="s">
        <v>63</v>
      </c>
      <c r="B811" s="0" t="s">
        <v>266</v>
      </c>
      <c r="C811" s="0" t="s">
        <v>1214</v>
      </c>
      <c r="D811" s="0" t="s">
        <v>583</v>
      </c>
      <c r="E811" s="0" t="s">
        <v>2259</v>
      </c>
      <c r="F811" s="0" t="n">
        <v>4</v>
      </c>
      <c r="G811" s="0" t="n">
        <v>0</v>
      </c>
      <c r="H811" s="0" t="s">
        <v>585</v>
      </c>
      <c r="K811" s="0" t="s">
        <v>586</v>
      </c>
      <c r="L811" s="0" t="s">
        <v>2260</v>
      </c>
    </row>
    <row r="812" customFormat="false" ht="15" hidden="false" customHeight="false" outlineLevel="0" collapsed="false">
      <c r="A812" s="0" t="s">
        <v>63</v>
      </c>
      <c r="B812" s="0" t="s">
        <v>266</v>
      </c>
      <c r="C812" s="0" t="s">
        <v>1214</v>
      </c>
      <c r="D812" s="0" t="s">
        <v>588</v>
      </c>
      <c r="E812" s="0" t="s">
        <v>2261</v>
      </c>
      <c r="F812" s="0" t="n">
        <v>4</v>
      </c>
      <c r="G812" s="0" t="n">
        <v>0</v>
      </c>
      <c r="H812" s="0" t="s">
        <v>585</v>
      </c>
      <c r="K812" s="0" t="s">
        <v>590</v>
      </c>
      <c r="L812" s="0" t="s">
        <v>2262</v>
      </c>
    </row>
    <row r="813" customFormat="false" ht="15" hidden="false" customHeight="false" outlineLevel="0" collapsed="false">
      <c r="A813" s="0" t="s">
        <v>63</v>
      </c>
      <c r="B813" s="0" t="s">
        <v>266</v>
      </c>
      <c r="C813" s="0" t="s">
        <v>1214</v>
      </c>
      <c r="D813" s="0" t="s">
        <v>127</v>
      </c>
      <c r="E813" s="0" t="s">
        <v>2263</v>
      </c>
      <c r="F813" s="0" t="n">
        <v>4</v>
      </c>
      <c r="G813" s="0" t="n">
        <v>0</v>
      </c>
      <c r="H813" s="0" t="s">
        <v>585</v>
      </c>
      <c r="K813" s="0" t="s">
        <v>594</v>
      </c>
      <c r="L813" s="0" t="s">
        <v>2264</v>
      </c>
    </row>
    <row r="814" customFormat="false" ht="15" hidden="false" customHeight="false" outlineLevel="0" collapsed="false">
      <c r="A814" s="0" t="s">
        <v>63</v>
      </c>
      <c r="B814" s="0" t="s">
        <v>266</v>
      </c>
      <c r="C814" s="0" t="s">
        <v>1214</v>
      </c>
      <c r="D814" s="0" t="s">
        <v>130</v>
      </c>
      <c r="E814" s="0" t="s">
        <v>2265</v>
      </c>
      <c r="F814" s="0" t="n">
        <v>4</v>
      </c>
      <c r="G814" s="0" t="n">
        <v>2</v>
      </c>
      <c r="H814" s="0" t="s">
        <v>585</v>
      </c>
      <c r="I814" s="0" t="s">
        <v>336</v>
      </c>
      <c r="K814" s="0" t="s">
        <v>597</v>
      </c>
      <c r="L814" s="0" t="s">
        <v>2266</v>
      </c>
    </row>
    <row r="815" customFormat="false" ht="15" hidden="false" customHeight="false" outlineLevel="0" collapsed="false">
      <c r="A815" s="0" t="s">
        <v>63</v>
      </c>
      <c r="B815" s="0" t="s">
        <v>266</v>
      </c>
      <c r="C815" s="0" t="s">
        <v>1214</v>
      </c>
      <c r="D815" s="0" t="s">
        <v>133</v>
      </c>
      <c r="E815" s="0" t="s">
        <v>2267</v>
      </c>
      <c r="F815" s="0" t="n">
        <v>0</v>
      </c>
      <c r="G815" s="0" t="n">
        <v>0</v>
      </c>
      <c r="H815" s="0" t="s">
        <v>580</v>
      </c>
      <c r="K815" s="0" t="s">
        <v>600</v>
      </c>
      <c r="L815" s="0" t="s">
        <v>2268</v>
      </c>
    </row>
    <row r="816" customFormat="false" ht="15" hidden="false" customHeight="false" outlineLevel="0" collapsed="false">
      <c r="A816" s="0" t="s">
        <v>63</v>
      </c>
      <c r="B816" s="0" t="s">
        <v>266</v>
      </c>
      <c r="C816" s="0" t="s">
        <v>1214</v>
      </c>
      <c r="D816" s="0" t="s">
        <v>141</v>
      </c>
      <c r="E816" s="0" t="s">
        <v>2269</v>
      </c>
      <c r="F816" s="0" t="n">
        <v>4</v>
      </c>
      <c r="G816" s="0" t="n">
        <v>2</v>
      </c>
      <c r="H816" s="0" t="s">
        <v>585</v>
      </c>
      <c r="I816" s="0" t="s">
        <v>337</v>
      </c>
      <c r="K816" s="0" t="s">
        <v>604</v>
      </c>
      <c r="L816" s="0" t="s">
        <v>2270</v>
      </c>
    </row>
    <row r="817" customFormat="false" ht="15" hidden="false" customHeight="false" outlineLevel="0" collapsed="false">
      <c r="A817" s="0" t="s">
        <v>63</v>
      </c>
      <c r="B817" s="0" t="s">
        <v>266</v>
      </c>
      <c r="C817" s="0" t="s">
        <v>1214</v>
      </c>
      <c r="D817" s="0" t="s">
        <v>144</v>
      </c>
      <c r="E817" s="0" t="s">
        <v>2271</v>
      </c>
      <c r="F817" s="0" t="n">
        <v>4</v>
      </c>
      <c r="G817" s="0" t="n">
        <v>2</v>
      </c>
      <c r="H817" s="0" t="s">
        <v>585</v>
      </c>
      <c r="I817" s="0" t="s">
        <v>336</v>
      </c>
      <c r="K817" s="0" t="s">
        <v>607</v>
      </c>
      <c r="L817" s="0" t="s">
        <v>2272</v>
      </c>
    </row>
    <row r="818" customFormat="false" ht="15" hidden="false" customHeight="false" outlineLevel="0" collapsed="false">
      <c r="A818" s="0" t="s">
        <v>63</v>
      </c>
      <c r="B818" s="0" t="s">
        <v>266</v>
      </c>
      <c r="C818" s="0" t="s">
        <v>1214</v>
      </c>
      <c r="D818" s="0" t="s">
        <v>147</v>
      </c>
      <c r="E818" s="0" t="s">
        <v>2273</v>
      </c>
      <c r="F818" s="0" t="n">
        <v>4</v>
      </c>
      <c r="G818" s="0" t="n">
        <v>4</v>
      </c>
      <c r="H818" s="0" t="s">
        <v>580</v>
      </c>
      <c r="I818" s="0" t="s">
        <v>337</v>
      </c>
      <c r="K818" s="0" t="s">
        <v>610</v>
      </c>
      <c r="L818" s="0" t="s">
        <v>2274</v>
      </c>
    </row>
    <row r="819" customFormat="false" ht="15" hidden="false" customHeight="false" outlineLevel="0" collapsed="false">
      <c r="A819" s="0" t="s">
        <v>63</v>
      </c>
      <c r="B819" s="0" t="s">
        <v>266</v>
      </c>
      <c r="C819" s="0" t="s">
        <v>1214</v>
      </c>
      <c r="D819" s="0" t="s">
        <v>150</v>
      </c>
      <c r="E819" s="0" t="s">
        <v>2275</v>
      </c>
      <c r="F819" s="0" t="n">
        <v>4</v>
      </c>
      <c r="G819" s="0" t="n">
        <v>4</v>
      </c>
      <c r="H819" s="0" t="s">
        <v>580</v>
      </c>
      <c r="I819" s="0" t="s">
        <v>334</v>
      </c>
      <c r="K819" s="0" t="s">
        <v>613</v>
      </c>
      <c r="L819" s="0" t="s">
        <v>2276</v>
      </c>
    </row>
    <row r="820" customFormat="false" ht="15" hidden="false" customHeight="false" outlineLevel="0" collapsed="false">
      <c r="A820" s="0" t="s">
        <v>63</v>
      </c>
      <c r="B820" s="0" t="s">
        <v>266</v>
      </c>
      <c r="C820" s="0" t="s">
        <v>1214</v>
      </c>
      <c r="D820" s="0" t="s">
        <v>153</v>
      </c>
      <c r="E820" s="0" t="s">
        <v>2277</v>
      </c>
      <c r="F820" s="0" t="n">
        <v>4</v>
      </c>
      <c r="G820" s="0" t="n">
        <v>4</v>
      </c>
      <c r="H820" s="0" t="s">
        <v>580</v>
      </c>
      <c r="I820" s="0" t="s">
        <v>338</v>
      </c>
      <c r="K820" s="0" t="s">
        <v>616</v>
      </c>
      <c r="L820" s="0" t="s">
        <v>2278</v>
      </c>
    </row>
    <row r="821" customFormat="false" ht="15" hidden="false" customHeight="false" outlineLevel="0" collapsed="false">
      <c r="A821" s="0" t="s">
        <v>63</v>
      </c>
      <c r="B821" s="0" t="s">
        <v>266</v>
      </c>
      <c r="C821" s="0" t="s">
        <v>1214</v>
      </c>
      <c r="D821" s="0" t="s">
        <v>156</v>
      </c>
      <c r="E821" s="0" t="s">
        <v>2279</v>
      </c>
      <c r="F821" s="0" t="n">
        <v>4</v>
      </c>
      <c r="G821" s="0" t="n">
        <v>4</v>
      </c>
      <c r="H821" s="0" t="s">
        <v>580</v>
      </c>
      <c r="I821" s="0" t="s">
        <v>339</v>
      </c>
      <c r="K821" s="0" t="s">
        <v>620</v>
      </c>
      <c r="L821" s="0" t="s">
        <v>2280</v>
      </c>
    </row>
    <row r="822" customFormat="false" ht="15" hidden="false" customHeight="false" outlineLevel="0" collapsed="false">
      <c r="A822" s="0" t="s">
        <v>63</v>
      </c>
      <c r="B822" s="0" t="s">
        <v>266</v>
      </c>
      <c r="C822" s="0" t="s">
        <v>1239</v>
      </c>
      <c r="D822" s="0" t="s">
        <v>578</v>
      </c>
      <c r="E822" s="0" t="s">
        <v>2281</v>
      </c>
      <c r="F822" s="0" t="n">
        <v>0</v>
      </c>
      <c r="G822" s="0" t="n">
        <v>0</v>
      </c>
      <c r="H822" s="0" t="s">
        <v>580</v>
      </c>
      <c r="K822" s="0" t="s">
        <v>581</v>
      </c>
      <c r="L822" s="0" t="s">
        <v>2282</v>
      </c>
    </row>
    <row r="823" customFormat="false" ht="15" hidden="false" customHeight="false" outlineLevel="0" collapsed="false">
      <c r="A823" s="0" t="s">
        <v>63</v>
      </c>
      <c r="B823" s="0" t="s">
        <v>266</v>
      </c>
      <c r="C823" s="0" t="s">
        <v>1239</v>
      </c>
      <c r="D823" s="0" t="s">
        <v>583</v>
      </c>
      <c r="E823" s="0" t="s">
        <v>2283</v>
      </c>
      <c r="F823" s="0" t="n">
        <v>4</v>
      </c>
      <c r="G823" s="0" t="n">
        <v>0</v>
      </c>
      <c r="H823" s="0" t="s">
        <v>585</v>
      </c>
      <c r="K823" s="0" t="s">
        <v>586</v>
      </c>
      <c r="L823" s="0" t="s">
        <v>2284</v>
      </c>
    </row>
    <row r="824" customFormat="false" ht="15" hidden="false" customHeight="false" outlineLevel="0" collapsed="false">
      <c r="A824" s="0" t="s">
        <v>63</v>
      </c>
      <c r="B824" s="0" t="s">
        <v>266</v>
      </c>
      <c r="C824" s="0" t="s">
        <v>1239</v>
      </c>
      <c r="D824" s="0" t="s">
        <v>588</v>
      </c>
      <c r="E824" s="0" t="s">
        <v>2285</v>
      </c>
      <c r="F824" s="0" t="n">
        <v>4</v>
      </c>
      <c r="G824" s="0" t="n">
        <v>0</v>
      </c>
      <c r="H824" s="0" t="s">
        <v>585</v>
      </c>
      <c r="K824" s="0" t="s">
        <v>590</v>
      </c>
      <c r="L824" s="0" t="s">
        <v>2286</v>
      </c>
    </row>
    <row r="825" customFormat="false" ht="15" hidden="false" customHeight="false" outlineLevel="0" collapsed="false">
      <c r="A825" s="0" t="s">
        <v>63</v>
      </c>
      <c r="B825" s="0" t="s">
        <v>266</v>
      </c>
      <c r="C825" s="0" t="s">
        <v>1239</v>
      </c>
      <c r="D825" s="0" t="s">
        <v>127</v>
      </c>
      <c r="E825" s="0" t="s">
        <v>2287</v>
      </c>
      <c r="F825" s="0" t="n">
        <v>4</v>
      </c>
      <c r="G825" s="0" t="n">
        <v>0</v>
      </c>
      <c r="H825" s="0" t="s">
        <v>585</v>
      </c>
      <c r="K825" s="0" t="s">
        <v>594</v>
      </c>
      <c r="L825" s="0" t="s">
        <v>2288</v>
      </c>
    </row>
    <row r="826" customFormat="false" ht="15" hidden="false" customHeight="false" outlineLevel="0" collapsed="false">
      <c r="A826" s="0" t="s">
        <v>63</v>
      </c>
      <c r="B826" s="0" t="s">
        <v>266</v>
      </c>
      <c r="C826" s="0" t="s">
        <v>1239</v>
      </c>
      <c r="D826" s="0" t="s">
        <v>130</v>
      </c>
      <c r="E826" s="0" t="s">
        <v>2289</v>
      </c>
      <c r="F826" s="0" t="n">
        <v>4</v>
      </c>
      <c r="G826" s="0" t="n">
        <v>1</v>
      </c>
      <c r="H826" s="0" t="s">
        <v>585</v>
      </c>
      <c r="I826" s="0" t="s">
        <v>334</v>
      </c>
      <c r="K826" s="0" t="s">
        <v>597</v>
      </c>
      <c r="L826" s="0" t="s">
        <v>2290</v>
      </c>
    </row>
    <row r="827" customFormat="false" ht="15" hidden="false" customHeight="false" outlineLevel="0" collapsed="false">
      <c r="A827" s="0" t="s">
        <v>63</v>
      </c>
      <c r="B827" s="0" t="s">
        <v>266</v>
      </c>
      <c r="C827" s="0" t="s">
        <v>1239</v>
      </c>
      <c r="D827" s="0" t="s">
        <v>133</v>
      </c>
      <c r="E827" s="0" t="s">
        <v>2291</v>
      </c>
      <c r="F827" s="0" t="n">
        <v>0</v>
      </c>
      <c r="G827" s="0" t="n">
        <v>0</v>
      </c>
      <c r="H827" s="0" t="s">
        <v>580</v>
      </c>
      <c r="K827" s="0" t="s">
        <v>600</v>
      </c>
      <c r="L827" s="0" t="s">
        <v>2292</v>
      </c>
    </row>
    <row r="828" customFormat="false" ht="15" hidden="false" customHeight="false" outlineLevel="0" collapsed="false">
      <c r="A828" s="0" t="s">
        <v>63</v>
      </c>
      <c r="B828" s="0" t="s">
        <v>266</v>
      </c>
      <c r="C828" s="0" t="s">
        <v>1239</v>
      </c>
      <c r="D828" s="0" t="s">
        <v>141</v>
      </c>
      <c r="E828" s="0" t="s">
        <v>2293</v>
      </c>
      <c r="F828" s="0" t="n">
        <v>4</v>
      </c>
      <c r="G828" s="0" t="n">
        <v>0</v>
      </c>
      <c r="H828" s="0" t="s">
        <v>585</v>
      </c>
      <c r="K828" s="0" t="s">
        <v>604</v>
      </c>
      <c r="L828" s="0" t="s">
        <v>2294</v>
      </c>
    </row>
    <row r="829" customFormat="false" ht="15" hidden="false" customHeight="false" outlineLevel="0" collapsed="false">
      <c r="A829" s="0" t="s">
        <v>63</v>
      </c>
      <c r="B829" s="0" t="s">
        <v>266</v>
      </c>
      <c r="C829" s="0" t="s">
        <v>1239</v>
      </c>
      <c r="D829" s="0" t="s">
        <v>144</v>
      </c>
      <c r="E829" s="0" t="s">
        <v>2295</v>
      </c>
      <c r="F829" s="0" t="n">
        <v>4</v>
      </c>
      <c r="G829" s="0" t="n">
        <v>4</v>
      </c>
      <c r="H829" s="0" t="s">
        <v>580</v>
      </c>
      <c r="I829" s="0" t="s">
        <v>336</v>
      </c>
      <c r="K829" s="0" t="s">
        <v>607</v>
      </c>
      <c r="L829" s="0" t="s">
        <v>2296</v>
      </c>
    </row>
    <row r="830" customFormat="false" ht="15" hidden="false" customHeight="false" outlineLevel="0" collapsed="false">
      <c r="A830" s="0" t="s">
        <v>63</v>
      </c>
      <c r="B830" s="0" t="s">
        <v>266</v>
      </c>
      <c r="C830" s="0" t="s">
        <v>1239</v>
      </c>
      <c r="D830" s="0" t="s">
        <v>147</v>
      </c>
      <c r="E830" s="0" t="s">
        <v>2297</v>
      </c>
      <c r="F830" s="0" t="n">
        <v>4</v>
      </c>
      <c r="G830" s="0" t="n">
        <v>1</v>
      </c>
      <c r="H830" s="0" t="s">
        <v>585</v>
      </c>
      <c r="I830" s="0" t="s">
        <v>334</v>
      </c>
      <c r="K830" s="0" t="s">
        <v>610</v>
      </c>
      <c r="L830" s="0" t="s">
        <v>2298</v>
      </c>
    </row>
    <row r="831" customFormat="false" ht="15" hidden="false" customHeight="false" outlineLevel="0" collapsed="false">
      <c r="A831" s="0" t="s">
        <v>63</v>
      </c>
      <c r="B831" s="0" t="s">
        <v>266</v>
      </c>
      <c r="C831" s="0" t="s">
        <v>1239</v>
      </c>
      <c r="D831" s="0" t="s">
        <v>150</v>
      </c>
      <c r="E831" s="0" t="s">
        <v>2299</v>
      </c>
      <c r="F831" s="0" t="n">
        <v>4</v>
      </c>
      <c r="G831" s="0" t="n">
        <v>1</v>
      </c>
      <c r="H831" s="0" t="s">
        <v>585</v>
      </c>
      <c r="I831" s="0" t="s">
        <v>334</v>
      </c>
      <c r="K831" s="0" t="s">
        <v>613</v>
      </c>
      <c r="L831" s="0" t="s">
        <v>2300</v>
      </c>
    </row>
    <row r="832" customFormat="false" ht="15" hidden="false" customHeight="false" outlineLevel="0" collapsed="false">
      <c r="A832" s="0" t="s">
        <v>63</v>
      </c>
      <c r="B832" s="0" t="s">
        <v>266</v>
      </c>
      <c r="C832" s="0" t="s">
        <v>1239</v>
      </c>
      <c r="D832" s="0" t="s">
        <v>153</v>
      </c>
      <c r="E832" s="0" t="s">
        <v>2301</v>
      </c>
      <c r="F832" s="0" t="n">
        <v>4</v>
      </c>
      <c r="G832" s="0" t="n">
        <v>4</v>
      </c>
      <c r="H832" s="0" t="s">
        <v>580</v>
      </c>
      <c r="I832" s="0" t="s">
        <v>336</v>
      </c>
      <c r="K832" s="0" t="s">
        <v>616</v>
      </c>
      <c r="L832" s="0" t="s">
        <v>2302</v>
      </c>
    </row>
    <row r="833" customFormat="false" ht="15" hidden="false" customHeight="false" outlineLevel="0" collapsed="false">
      <c r="A833" s="0" t="s">
        <v>63</v>
      </c>
      <c r="B833" s="0" t="s">
        <v>266</v>
      </c>
      <c r="C833" s="0" t="s">
        <v>1239</v>
      </c>
      <c r="D833" s="0" t="s">
        <v>156</v>
      </c>
      <c r="E833" s="0" t="s">
        <v>2303</v>
      </c>
      <c r="F833" s="0" t="n">
        <v>4</v>
      </c>
      <c r="G833" s="0" t="n">
        <v>4</v>
      </c>
      <c r="H833" s="0" t="s">
        <v>580</v>
      </c>
      <c r="I833" s="0" t="s">
        <v>338</v>
      </c>
      <c r="K833" s="0" t="s">
        <v>620</v>
      </c>
      <c r="L833" s="0" t="s">
        <v>2304</v>
      </c>
    </row>
    <row r="834" customFormat="false" ht="15" hidden="false" customHeight="false" outlineLevel="0" collapsed="false">
      <c r="A834" s="0" t="s">
        <v>63</v>
      </c>
      <c r="B834" s="0" t="s">
        <v>266</v>
      </c>
      <c r="C834" s="0" t="s">
        <v>1264</v>
      </c>
      <c r="D834" s="0" t="s">
        <v>578</v>
      </c>
      <c r="E834" s="0" t="s">
        <v>2305</v>
      </c>
      <c r="F834" s="0" t="n">
        <v>0</v>
      </c>
      <c r="G834" s="0" t="n">
        <v>0</v>
      </c>
      <c r="H834" s="0" t="s">
        <v>580</v>
      </c>
      <c r="K834" s="0" t="s">
        <v>581</v>
      </c>
      <c r="L834" s="0" t="s">
        <v>2306</v>
      </c>
    </row>
    <row r="835" customFormat="false" ht="15" hidden="false" customHeight="false" outlineLevel="0" collapsed="false">
      <c r="A835" s="0" t="s">
        <v>63</v>
      </c>
      <c r="B835" s="0" t="s">
        <v>266</v>
      </c>
      <c r="C835" s="0" t="s">
        <v>1264</v>
      </c>
      <c r="D835" s="0" t="s">
        <v>583</v>
      </c>
      <c r="E835" s="0" t="s">
        <v>2307</v>
      </c>
      <c r="F835" s="0" t="n">
        <v>4</v>
      </c>
      <c r="G835" s="0" t="n">
        <v>0</v>
      </c>
      <c r="H835" s="0" t="s">
        <v>585</v>
      </c>
      <c r="K835" s="0" t="s">
        <v>586</v>
      </c>
      <c r="L835" s="0" t="s">
        <v>2308</v>
      </c>
    </row>
    <row r="836" customFormat="false" ht="15" hidden="false" customHeight="false" outlineLevel="0" collapsed="false">
      <c r="A836" s="0" t="s">
        <v>63</v>
      </c>
      <c r="B836" s="0" t="s">
        <v>266</v>
      </c>
      <c r="C836" s="0" t="s">
        <v>1264</v>
      </c>
      <c r="D836" s="0" t="s">
        <v>588</v>
      </c>
      <c r="E836" s="0" t="s">
        <v>2309</v>
      </c>
      <c r="F836" s="0" t="n">
        <v>4</v>
      </c>
      <c r="G836" s="0" t="n">
        <v>1</v>
      </c>
      <c r="H836" s="0" t="s">
        <v>585</v>
      </c>
      <c r="I836" s="0" t="s">
        <v>343</v>
      </c>
      <c r="K836" s="0" t="s">
        <v>590</v>
      </c>
      <c r="L836" s="0" t="s">
        <v>2310</v>
      </c>
    </row>
    <row r="837" customFormat="false" ht="15" hidden="false" customHeight="false" outlineLevel="0" collapsed="false">
      <c r="A837" s="0" t="s">
        <v>63</v>
      </c>
      <c r="B837" s="0" t="s">
        <v>266</v>
      </c>
      <c r="C837" s="0" t="s">
        <v>1264</v>
      </c>
      <c r="D837" s="0" t="s">
        <v>127</v>
      </c>
      <c r="E837" s="0" t="s">
        <v>2311</v>
      </c>
      <c r="F837" s="0" t="n">
        <v>4</v>
      </c>
      <c r="G837" s="0" t="n">
        <v>0</v>
      </c>
      <c r="H837" s="0" t="s">
        <v>585</v>
      </c>
      <c r="K837" s="0" t="s">
        <v>594</v>
      </c>
      <c r="L837" s="0" t="s">
        <v>2312</v>
      </c>
    </row>
    <row r="838" customFormat="false" ht="15" hidden="false" customHeight="false" outlineLevel="0" collapsed="false">
      <c r="A838" s="0" t="s">
        <v>63</v>
      </c>
      <c r="B838" s="0" t="s">
        <v>266</v>
      </c>
      <c r="C838" s="0" t="s">
        <v>1264</v>
      </c>
      <c r="D838" s="0" t="s">
        <v>130</v>
      </c>
      <c r="E838" s="0" t="s">
        <v>2313</v>
      </c>
      <c r="F838" s="0" t="n">
        <v>4</v>
      </c>
      <c r="G838" s="0" t="n">
        <v>0</v>
      </c>
      <c r="H838" s="0" t="s">
        <v>585</v>
      </c>
      <c r="K838" s="0" t="s">
        <v>597</v>
      </c>
      <c r="L838" s="0" t="s">
        <v>2314</v>
      </c>
    </row>
    <row r="839" customFormat="false" ht="15" hidden="false" customHeight="false" outlineLevel="0" collapsed="false">
      <c r="A839" s="0" t="s">
        <v>63</v>
      </c>
      <c r="B839" s="0" t="s">
        <v>266</v>
      </c>
      <c r="C839" s="0" t="s">
        <v>1264</v>
      </c>
      <c r="D839" s="0" t="s">
        <v>133</v>
      </c>
      <c r="E839" s="0" t="s">
        <v>2315</v>
      </c>
      <c r="F839" s="0" t="n">
        <v>0</v>
      </c>
      <c r="G839" s="0" t="n">
        <v>0</v>
      </c>
      <c r="H839" s="0" t="s">
        <v>580</v>
      </c>
      <c r="K839" s="0" t="s">
        <v>600</v>
      </c>
      <c r="L839" s="0" t="s">
        <v>2316</v>
      </c>
    </row>
    <row r="840" customFormat="false" ht="15" hidden="false" customHeight="false" outlineLevel="0" collapsed="false">
      <c r="A840" s="0" t="s">
        <v>63</v>
      </c>
      <c r="B840" s="0" t="s">
        <v>266</v>
      </c>
      <c r="C840" s="0" t="s">
        <v>1264</v>
      </c>
      <c r="D840" s="0" t="s">
        <v>141</v>
      </c>
      <c r="E840" s="0" t="s">
        <v>2317</v>
      </c>
      <c r="F840" s="0" t="n">
        <v>4</v>
      </c>
      <c r="G840" s="0" t="n">
        <v>4</v>
      </c>
      <c r="H840" s="0" t="s">
        <v>580</v>
      </c>
      <c r="I840" s="0" t="s">
        <v>343</v>
      </c>
      <c r="K840" s="0" t="s">
        <v>604</v>
      </c>
      <c r="L840" s="0" t="s">
        <v>2318</v>
      </c>
    </row>
    <row r="841" customFormat="false" ht="15" hidden="false" customHeight="false" outlineLevel="0" collapsed="false">
      <c r="A841" s="0" t="s">
        <v>63</v>
      </c>
      <c r="B841" s="0" t="s">
        <v>266</v>
      </c>
      <c r="C841" s="0" t="s">
        <v>1264</v>
      </c>
      <c r="D841" s="0" t="s">
        <v>144</v>
      </c>
      <c r="E841" s="0" t="s">
        <v>2319</v>
      </c>
      <c r="F841" s="0" t="n">
        <v>4</v>
      </c>
      <c r="G841" s="0" t="n">
        <v>4</v>
      </c>
      <c r="H841" s="0" t="s">
        <v>580</v>
      </c>
      <c r="I841" s="0" t="s">
        <v>338</v>
      </c>
      <c r="K841" s="0" t="s">
        <v>607</v>
      </c>
      <c r="L841" s="0" t="s">
        <v>2320</v>
      </c>
    </row>
    <row r="842" customFormat="false" ht="15" hidden="false" customHeight="false" outlineLevel="0" collapsed="false">
      <c r="A842" s="0" t="s">
        <v>63</v>
      </c>
      <c r="B842" s="0" t="s">
        <v>266</v>
      </c>
      <c r="C842" s="0" t="s">
        <v>1264</v>
      </c>
      <c r="D842" s="0" t="s">
        <v>147</v>
      </c>
      <c r="E842" s="0" t="s">
        <v>2321</v>
      </c>
      <c r="F842" s="0" t="n">
        <v>4</v>
      </c>
      <c r="G842" s="0" t="n">
        <v>3</v>
      </c>
      <c r="H842" s="0" t="s">
        <v>585</v>
      </c>
      <c r="I842" s="0" t="s">
        <v>332</v>
      </c>
      <c r="K842" s="0" t="s">
        <v>610</v>
      </c>
      <c r="L842" s="0" t="s">
        <v>2322</v>
      </c>
    </row>
    <row r="843" customFormat="false" ht="15" hidden="false" customHeight="false" outlineLevel="0" collapsed="false">
      <c r="A843" s="0" t="s">
        <v>63</v>
      </c>
      <c r="B843" s="0" t="s">
        <v>266</v>
      </c>
      <c r="C843" s="0" t="s">
        <v>1264</v>
      </c>
      <c r="D843" s="0" t="s">
        <v>150</v>
      </c>
      <c r="E843" s="0" t="s">
        <v>2323</v>
      </c>
      <c r="F843" s="0" t="n">
        <v>4</v>
      </c>
      <c r="G843" s="0" t="n">
        <v>4</v>
      </c>
      <c r="H843" s="0" t="s">
        <v>580</v>
      </c>
      <c r="I843" s="0" t="s">
        <v>343</v>
      </c>
      <c r="K843" s="0" t="s">
        <v>613</v>
      </c>
      <c r="L843" s="0" t="s">
        <v>2324</v>
      </c>
    </row>
    <row r="844" customFormat="false" ht="15" hidden="false" customHeight="false" outlineLevel="0" collapsed="false">
      <c r="A844" s="0" t="s">
        <v>63</v>
      </c>
      <c r="B844" s="0" t="s">
        <v>266</v>
      </c>
      <c r="C844" s="0" t="s">
        <v>1264</v>
      </c>
      <c r="D844" s="0" t="s">
        <v>153</v>
      </c>
      <c r="E844" s="0" t="s">
        <v>2325</v>
      </c>
      <c r="F844" s="0" t="n">
        <v>4</v>
      </c>
      <c r="G844" s="0" t="n">
        <v>4</v>
      </c>
      <c r="H844" s="0" t="s">
        <v>580</v>
      </c>
      <c r="I844" s="0" t="s">
        <v>338</v>
      </c>
      <c r="K844" s="0" t="s">
        <v>616</v>
      </c>
      <c r="L844" s="0" t="s">
        <v>2326</v>
      </c>
    </row>
    <row r="845" customFormat="false" ht="15" hidden="false" customHeight="false" outlineLevel="0" collapsed="false">
      <c r="A845" s="0" t="s">
        <v>63</v>
      </c>
      <c r="B845" s="0" t="s">
        <v>266</v>
      </c>
      <c r="C845" s="0" t="s">
        <v>1264</v>
      </c>
      <c r="D845" s="0" t="s">
        <v>156</v>
      </c>
      <c r="E845" s="0" t="s">
        <v>2327</v>
      </c>
      <c r="F845" s="0" t="n">
        <v>4</v>
      </c>
      <c r="G845" s="0" t="n">
        <v>4</v>
      </c>
      <c r="H845" s="0" t="s">
        <v>580</v>
      </c>
      <c r="I845" s="0" t="s">
        <v>332</v>
      </c>
      <c r="K845" s="0" t="s">
        <v>620</v>
      </c>
      <c r="L845" s="0" t="s">
        <v>2328</v>
      </c>
    </row>
    <row r="846" customFormat="false" ht="15" hidden="false" customHeight="false" outlineLevel="0" collapsed="false">
      <c r="A846" s="0" t="s">
        <v>63</v>
      </c>
      <c r="B846" s="0" t="s">
        <v>266</v>
      </c>
      <c r="C846" s="0" t="s">
        <v>1289</v>
      </c>
      <c r="D846" s="0" t="s">
        <v>578</v>
      </c>
      <c r="E846" s="0" t="s">
        <v>2329</v>
      </c>
      <c r="F846" s="0" t="n">
        <v>0</v>
      </c>
      <c r="G846" s="0" t="n">
        <v>0</v>
      </c>
      <c r="H846" s="0" t="s">
        <v>580</v>
      </c>
      <c r="K846" s="0" t="s">
        <v>581</v>
      </c>
      <c r="L846" s="0" t="s">
        <v>2330</v>
      </c>
    </row>
    <row r="847" customFormat="false" ht="15" hidden="false" customHeight="false" outlineLevel="0" collapsed="false">
      <c r="A847" s="0" t="s">
        <v>63</v>
      </c>
      <c r="B847" s="0" t="s">
        <v>266</v>
      </c>
      <c r="C847" s="0" t="s">
        <v>1289</v>
      </c>
      <c r="D847" s="0" t="s">
        <v>583</v>
      </c>
      <c r="E847" s="0" t="s">
        <v>2331</v>
      </c>
      <c r="F847" s="0" t="n">
        <v>4</v>
      </c>
      <c r="G847" s="0" t="n">
        <v>4</v>
      </c>
      <c r="H847" s="0" t="s">
        <v>580</v>
      </c>
      <c r="I847" s="0" t="s">
        <v>340</v>
      </c>
      <c r="K847" s="0" t="s">
        <v>586</v>
      </c>
      <c r="L847" s="0" t="s">
        <v>2332</v>
      </c>
    </row>
    <row r="848" customFormat="false" ht="15" hidden="false" customHeight="false" outlineLevel="0" collapsed="false">
      <c r="A848" s="0" t="s">
        <v>63</v>
      </c>
      <c r="B848" s="0" t="s">
        <v>266</v>
      </c>
      <c r="C848" s="0" t="s">
        <v>1289</v>
      </c>
      <c r="D848" s="0" t="s">
        <v>588</v>
      </c>
      <c r="E848" s="0" t="s">
        <v>2333</v>
      </c>
      <c r="F848" s="0" t="n">
        <v>4</v>
      </c>
      <c r="G848" s="0" t="n">
        <v>4</v>
      </c>
      <c r="H848" s="0" t="s">
        <v>580</v>
      </c>
      <c r="I848" s="0" t="s">
        <v>338</v>
      </c>
      <c r="K848" s="0" t="s">
        <v>590</v>
      </c>
      <c r="L848" s="0" t="s">
        <v>2334</v>
      </c>
    </row>
    <row r="849" customFormat="false" ht="15" hidden="false" customHeight="false" outlineLevel="0" collapsed="false">
      <c r="A849" s="0" t="s">
        <v>63</v>
      </c>
      <c r="B849" s="0" t="s">
        <v>266</v>
      </c>
      <c r="C849" s="0" t="s">
        <v>1289</v>
      </c>
      <c r="D849" s="0" t="s">
        <v>127</v>
      </c>
      <c r="E849" s="0" t="s">
        <v>2335</v>
      </c>
      <c r="F849" s="0" t="n">
        <v>4</v>
      </c>
      <c r="G849" s="0" t="n">
        <v>3</v>
      </c>
      <c r="H849" s="0" t="s">
        <v>585</v>
      </c>
      <c r="I849" s="0" t="s">
        <v>337</v>
      </c>
      <c r="K849" s="0" t="s">
        <v>594</v>
      </c>
      <c r="L849" s="0" t="s">
        <v>2336</v>
      </c>
    </row>
    <row r="850" customFormat="false" ht="15" hidden="false" customHeight="false" outlineLevel="0" collapsed="false">
      <c r="A850" s="0" t="s">
        <v>63</v>
      </c>
      <c r="B850" s="0" t="s">
        <v>266</v>
      </c>
      <c r="C850" s="0" t="s">
        <v>1289</v>
      </c>
      <c r="D850" s="0" t="s">
        <v>130</v>
      </c>
      <c r="E850" s="0" t="s">
        <v>2337</v>
      </c>
      <c r="F850" s="0" t="n">
        <v>4</v>
      </c>
      <c r="G850" s="0" t="n">
        <v>4</v>
      </c>
      <c r="H850" s="0" t="s">
        <v>580</v>
      </c>
      <c r="I850" s="0" t="s">
        <v>332</v>
      </c>
      <c r="K850" s="0" t="s">
        <v>597</v>
      </c>
      <c r="L850" s="0" t="s">
        <v>2338</v>
      </c>
    </row>
    <row r="851" customFormat="false" ht="15" hidden="false" customHeight="false" outlineLevel="0" collapsed="false">
      <c r="A851" s="0" t="s">
        <v>63</v>
      </c>
      <c r="B851" s="0" t="s">
        <v>266</v>
      </c>
      <c r="C851" s="0" t="s">
        <v>1289</v>
      </c>
      <c r="D851" s="0" t="s">
        <v>133</v>
      </c>
      <c r="E851" s="0" t="s">
        <v>2339</v>
      </c>
      <c r="F851" s="0" t="n">
        <v>4</v>
      </c>
      <c r="G851" s="0" t="n">
        <v>4</v>
      </c>
      <c r="H851" s="0" t="s">
        <v>580</v>
      </c>
      <c r="I851" s="0" t="s">
        <v>338</v>
      </c>
      <c r="K851" s="0" t="s">
        <v>600</v>
      </c>
      <c r="L851" s="0" t="s">
        <v>2340</v>
      </c>
    </row>
    <row r="852" customFormat="false" ht="15" hidden="false" customHeight="false" outlineLevel="0" collapsed="false">
      <c r="A852" s="0" t="s">
        <v>63</v>
      </c>
      <c r="B852" s="0" t="s">
        <v>266</v>
      </c>
      <c r="C852" s="0" t="s">
        <v>1289</v>
      </c>
      <c r="D852" s="0" t="s">
        <v>141</v>
      </c>
      <c r="E852" s="0" t="s">
        <v>2341</v>
      </c>
      <c r="F852" s="0" t="n">
        <v>4</v>
      </c>
      <c r="G852" s="0" t="n">
        <v>4</v>
      </c>
      <c r="H852" s="0" t="s">
        <v>580</v>
      </c>
      <c r="I852" s="0" t="s">
        <v>336</v>
      </c>
      <c r="K852" s="0" t="s">
        <v>604</v>
      </c>
      <c r="L852" s="0" t="s">
        <v>2342</v>
      </c>
    </row>
    <row r="853" customFormat="false" ht="15" hidden="false" customHeight="false" outlineLevel="0" collapsed="false">
      <c r="A853" s="0" t="s">
        <v>63</v>
      </c>
      <c r="B853" s="0" t="s">
        <v>266</v>
      </c>
      <c r="C853" s="0" t="s">
        <v>1289</v>
      </c>
      <c r="D853" s="0" t="s">
        <v>144</v>
      </c>
      <c r="E853" s="0" t="s">
        <v>2343</v>
      </c>
      <c r="F853" s="0" t="n">
        <v>4</v>
      </c>
      <c r="G853" s="0" t="n">
        <v>3</v>
      </c>
      <c r="H853" s="0" t="s">
        <v>585</v>
      </c>
      <c r="I853" s="0" t="s">
        <v>339</v>
      </c>
      <c r="K853" s="0" t="s">
        <v>607</v>
      </c>
      <c r="L853" s="0" t="s">
        <v>2344</v>
      </c>
    </row>
    <row r="854" customFormat="false" ht="15" hidden="false" customHeight="false" outlineLevel="0" collapsed="false">
      <c r="A854" s="0" t="s">
        <v>63</v>
      </c>
      <c r="B854" s="0" t="s">
        <v>266</v>
      </c>
      <c r="C854" s="0" t="s">
        <v>1289</v>
      </c>
      <c r="D854" s="0" t="s">
        <v>147</v>
      </c>
      <c r="E854" s="0" t="s">
        <v>2345</v>
      </c>
      <c r="F854" s="0" t="n">
        <v>4</v>
      </c>
      <c r="G854" s="0" t="n">
        <v>4</v>
      </c>
      <c r="H854" s="0" t="s">
        <v>580</v>
      </c>
      <c r="I854" s="0" t="s">
        <v>340</v>
      </c>
      <c r="K854" s="0" t="s">
        <v>610</v>
      </c>
      <c r="L854" s="0" t="s">
        <v>2346</v>
      </c>
    </row>
    <row r="855" customFormat="false" ht="15" hidden="false" customHeight="false" outlineLevel="0" collapsed="false">
      <c r="A855" s="0" t="s">
        <v>63</v>
      </c>
      <c r="B855" s="0" t="s">
        <v>266</v>
      </c>
      <c r="C855" s="0" t="s">
        <v>1289</v>
      </c>
      <c r="D855" s="0" t="s">
        <v>150</v>
      </c>
      <c r="E855" s="0" t="s">
        <v>2347</v>
      </c>
      <c r="F855" s="0" t="n">
        <v>4</v>
      </c>
      <c r="G855" s="0" t="n">
        <v>4</v>
      </c>
      <c r="H855" s="0" t="s">
        <v>580</v>
      </c>
      <c r="I855" s="0" t="s">
        <v>332</v>
      </c>
      <c r="K855" s="0" t="s">
        <v>613</v>
      </c>
      <c r="L855" s="0" t="s">
        <v>2348</v>
      </c>
    </row>
    <row r="856" customFormat="false" ht="15" hidden="false" customHeight="false" outlineLevel="0" collapsed="false">
      <c r="A856" s="0" t="s">
        <v>63</v>
      </c>
      <c r="B856" s="0" t="s">
        <v>266</v>
      </c>
      <c r="C856" s="0" t="s">
        <v>1289</v>
      </c>
      <c r="D856" s="0" t="s">
        <v>153</v>
      </c>
      <c r="E856" s="0" t="s">
        <v>2349</v>
      </c>
      <c r="F856" s="0" t="n">
        <v>4</v>
      </c>
      <c r="G856" s="0" t="n">
        <v>1</v>
      </c>
      <c r="H856" s="0" t="s">
        <v>585</v>
      </c>
      <c r="I856" s="0" t="s">
        <v>343</v>
      </c>
      <c r="K856" s="0" t="s">
        <v>616</v>
      </c>
      <c r="L856" s="0" t="s">
        <v>2350</v>
      </c>
    </row>
    <row r="857" customFormat="false" ht="15" hidden="false" customHeight="false" outlineLevel="0" collapsed="false">
      <c r="A857" s="0" t="s">
        <v>63</v>
      </c>
      <c r="B857" s="0" t="s">
        <v>266</v>
      </c>
      <c r="C857" s="0" t="s">
        <v>1289</v>
      </c>
      <c r="D857" s="0" t="s">
        <v>156</v>
      </c>
      <c r="E857" s="0" t="s">
        <v>2351</v>
      </c>
      <c r="F857" s="0" t="n">
        <v>4</v>
      </c>
      <c r="G857" s="0" t="n">
        <v>2</v>
      </c>
      <c r="H857" s="0" t="s">
        <v>585</v>
      </c>
      <c r="I857" s="0" t="s">
        <v>343</v>
      </c>
      <c r="K857" s="0" t="s">
        <v>620</v>
      </c>
      <c r="L857" s="0" t="s">
        <v>2352</v>
      </c>
    </row>
    <row r="858" customFormat="false" ht="15" hidden="false" customHeight="false" outlineLevel="0" collapsed="false">
      <c r="A858" s="0" t="s">
        <v>63</v>
      </c>
      <c r="B858" s="0" t="s">
        <v>266</v>
      </c>
      <c r="C858" s="0" t="s">
        <v>1314</v>
      </c>
      <c r="D858" s="0" t="s">
        <v>578</v>
      </c>
      <c r="E858" s="0" t="s">
        <v>2353</v>
      </c>
      <c r="F858" s="0" t="n">
        <v>0</v>
      </c>
      <c r="G858" s="0" t="n">
        <v>0</v>
      </c>
      <c r="H858" s="0" t="s">
        <v>580</v>
      </c>
      <c r="K858" s="0" t="s">
        <v>581</v>
      </c>
      <c r="L858" s="0" t="s">
        <v>2354</v>
      </c>
    </row>
    <row r="859" customFormat="false" ht="15" hidden="false" customHeight="false" outlineLevel="0" collapsed="false">
      <c r="A859" s="0" t="s">
        <v>63</v>
      </c>
      <c r="B859" s="0" t="s">
        <v>266</v>
      </c>
      <c r="C859" s="0" t="s">
        <v>1314</v>
      </c>
      <c r="D859" s="0" t="s">
        <v>583</v>
      </c>
      <c r="E859" s="0" t="s">
        <v>2355</v>
      </c>
      <c r="F859" s="0" t="n">
        <v>4</v>
      </c>
      <c r="G859" s="0" t="n">
        <v>4</v>
      </c>
      <c r="H859" s="0" t="s">
        <v>580</v>
      </c>
      <c r="I859" s="0" t="s">
        <v>337</v>
      </c>
      <c r="K859" s="0" t="s">
        <v>586</v>
      </c>
      <c r="L859" s="0" t="s">
        <v>2356</v>
      </c>
    </row>
    <row r="860" customFormat="false" ht="15" hidden="false" customHeight="false" outlineLevel="0" collapsed="false">
      <c r="A860" s="0" t="s">
        <v>63</v>
      </c>
      <c r="B860" s="0" t="s">
        <v>266</v>
      </c>
      <c r="C860" s="0" t="s">
        <v>1314</v>
      </c>
      <c r="D860" s="0" t="s">
        <v>588</v>
      </c>
      <c r="E860" s="0" t="s">
        <v>2357</v>
      </c>
      <c r="F860" s="0" t="n">
        <v>4</v>
      </c>
      <c r="G860" s="0" t="n">
        <v>4</v>
      </c>
      <c r="H860" s="0" t="s">
        <v>580</v>
      </c>
      <c r="I860" s="0" t="s">
        <v>336</v>
      </c>
      <c r="K860" s="0" t="s">
        <v>590</v>
      </c>
      <c r="L860" s="0" t="s">
        <v>2358</v>
      </c>
    </row>
    <row r="861" customFormat="false" ht="15" hidden="false" customHeight="false" outlineLevel="0" collapsed="false">
      <c r="A861" s="0" t="s">
        <v>63</v>
      </c>
      <c r="B861" s="0" t="s">
        <v>266</v>
      </c>
      <c r="C861" s="0" t="s">
        <v>1314</v>
      </c>
      <c r="D861" s="0" t="s">
        <v>127</v>
      </c>
      <c r="E861" s="0" t="s">
        <v>2359</v>
      </c>
      <c r="F861" s="0" t="n">
        <v>4</v>
      </c>
      <c r="G861" s="0" t="n">
        <v>4</v>
      </c>
      <c r="H861" s="0" t="s">
        <v>580</v>
      </c>
      <c r="I861" s="0" t="s">
        <v>332</v>
      </c>
      <c r="K861" s="0" t="s">
        <v>594</v>
      </c>
      <c r="L861" s="0" t="s">
        <v>2360</v>
      </c>
    </row>
    <row r="862" customFormat="false" ht="15" hidden="false" customHeight="false" outlineLevel="0" collapsed="false">
      <c r="A862" s="0" t="s">
        <v>63</v>
      </c>
      <c r="B862" s="0" t="s">
        <v>266</v>
      </c>
      <c r="C862" s="0" t="s">
        <v>1314</v>
      </c>
      <c r="D862" s="0" t="s">
        <v>130</v>
      </c>
      <c r="E862" s="0" t="s">
        <v>2361</v>
      </c>
      <c r="F862" s="0" t="n">
        <v>4</v>
      </c>
      <c r="G862" s="0" t="n">
        <v>4</v>
      </c>
      <c r="H862" s="0" t="s">
        <v>580</v>
      </c>
      <c r="I862" s="0" t="s">
        <v>340</v>
      </c>
      <c r="K862" s="0" t="s">
        <v>597</v>
      </c>
      <c r="L862" s="0" t="s">
        <v>2362</v>
      </c>
    </row>
    <row r="863" customFormat="false" ht="15" hidden="false" customHeight="false" outlineLevel="0" collapsed="false">
      <c r="A863" s="0" t="s">
        <v>63</v>
      </c>
      <c r="B863" s="0" t="s">
        <v>266</v>
      </c>
      <c r="C863" s="0" t="s">
        <v>1314</v>
      </c>
      <c r="D863" s="0" t="s">
        <v>133</v>
      </c>
      <c r="E863" s="0" t="s">
        <v>2363</v>
      </c>
      <c r="F863" s="0" t="n">
        <v>4</v>
      </c>
      <c r="G863" s="0" t="n">
        <v>4</v>
      </c>
      <c r="H863" s="0" t="s">
        <v>580</v>
      </c>
      <c r="I863" s="0" t="s">
        <v>336</v>
      </c>
      <c r="K863" s="0" t="s">
        <v>600</v>
      </c>
      <c r="L863" s="0" t="s">
        <v>2364</v>
      </c>
    </row>
    <row r="864" customFormat="false" ht="15" hidden="false" customHeight="false" outlineLevel="0" collapsed="false">
      <c r="A864" s="0" t="s">
        <v>63</v>
      </c>
      <c r="B864" s="0" t="s">
        <v>266</v>
      </c>
      <c r="C864" s="0" t="s">
        <v>1314</v>
      </c>
      <c r="D864" s="0" t="s">
        <v>141</v>
      </c>
      <c r="E864" s="0" t="s">
        <v>2365</v>
      </c>
      <c r="F864" s="0" t="n">
        <v>4</v>
      </c>
      <c r="G864" s="0" t="n">
        <v>4</v>
      </c>
      <c r="H864" s="0" t="s">
        <v>580</v>
      </c>
      <c r="I864" s="0" t="s">
        <v>337</v>
      </c>
      <c r="K864" s="0" t="s">
        <v>604</v>
      </c>
      <c r="L864" s="0" t="s">
        <v>2366</v>
      </c>
    </row>
    <row r="865" customFormat="false" ht="15" hidden="false" customHeight="false" outlineLevel="0" collapsed="false">
      <c r="A865" s="0" t="s">
        <v>63</v>
      </c>
      <c r="B865" s="0" t="s">
        <v>266</v>
      </c>
      <c r="C865" s="0" t="s">
        <v>1314</v>
      </c>
      <c r="D865" s="0" t="s">
        <v>144</v>
      </c>
      <c r="E865" s="0" t="s">
        <v>2367</v>
      </c>
      <c r="F865" s="0" t="n">
        <v>4</v>
      </c>
      <c r="G865" s="0" t="n">
        <v>4</v>
      </c>
      <c r="H865" s="0" t="s">
        <v>580</v>
      </c>
      <c r="I865" s="0" t="s">
        <v>338</v>
      </c>
      <c r="K865" s="0" t="s">
        <v>607</v>
      </c>
      <c r="L865" s="0" t="s">
        <v>2368</v>
      </c>
    </row>
    <row r="866" customFormat="false" ht="15" hidden="false" customHeight="false" outlineLevel="0" collapsed="false">
      <c r="A866" s="0" t="s">
        <v>63</v>
      </c>
      <c r="B866" s="0" t="s">
        <v>266</v>
      </c>
      <c r="C866" s="0" t="s">
        <v>1314</v>
      </c>
      <c r="D866" s="0" t="s">
        <v>147</v>
      </c>
      <c r="E866" s="0" t="s">
        <v>2369</v>
      </c>
      <c r="F866" s="0" t="n">
        <v>4</v>
      </c>
      <c r="G866" s="0" t="n">
        <v>3</v>
      </c>
      <c r="H866" s="0" t="s">
        <v>585</v>
      </c>
      <c r="I866" s="0" t="s">
        <v>336</v>
      </c>
      <c r="K866" s="0" t="s">
        <v>610</v>
      </c>
      <c r="L866" s="0" t="s">
        <v>2370</v>
      </c>
    </row>
    <row r="867" customFormat="false" ht="15" hidden="false" customHeight="false" outlineLevel="0" collapsed="false">
      <c r="A867" s="0" t="s">
        <v>63</v>
      </c>
      <c r="B867" s="0" t="s">
        <v>266</v>
      </c>
      <c r="C867" s="0" t="s">
        <v>1314</v>
      </c>
      <c r="D867" s="0" t="s">
        <v>150</v>
      </c>
      <c r="E867" s="0" t="s">
        <v>2371</v>
      </c>
      <c r="F867" s="0" t="n">
        <v>4</v>
      </c>
      <c r="G867" s="0" t="n">
        <v>4</v>
      </c>
      <c r="H867" s="0" t="s">
        <v>580</v>
      </c>
      <c r="I867" s="0" t="s">
        <v>338</v>
      </c>
      <c r="K867" s="0" t="s">
        <v>613</v>
      </c>
      <c r="L867" s="0" t="s">
        <v>2372</v>
      </c>
    </row>
    <row r="868" customFormat="false" ht="15" hidden="false" customHeight="false" outlineLevel="0" collapsed="false">
      <c r="A868" s="0" t="s">
        <v>63</v>
      </c>
      <c r="B868" s="0" t="s">
        <v>266</v>
      </c>
      <c r="C868" s="0" t="s">
        <v>1314</v>
      </c>
      <c r="D868" s="0" t="s">
        <v>153</v>
      </c>
      <c r="E868" s="0" t="s">
        <v>2373</v>
      </c>
      <c r="F868" s="0" t="n">
        <v>4</v>
      </c>
      <c r="G868" s="0" t="n">
        <v>4</v>
      </c>
      <c r="H868" s="0" t="s">
        <v>580</v>
      </c>
      <c r="I868" s="0" t="s">
        <v>337</v>
      </c>
      <c r="K868" s="0" t="s">
        <v>616</v>
      </c>
      <c r="L868" s="0" t="s">
        <v>2374</v>
      </c>
    </row>
    <row r="869" customFormat="false" ht="15" hidden="false" customHeight="false" outlineLevel="0" collapsed="false">
      <c r="A869" s="0" t="s">
        <v>63</v>
      </c>
      <c r="B869" s="0" t="s">
        <v>266</v>
      </c>
      <c r="C869" s="0" t="s">
        <v>1314</v>
      </c>
      <c r="D869" s="0" t="s">
        <v>156</v>
      </c>
      <c r="E869" s="0" t="s">
        <v>2375</v>
      </c>
      <c r="F869" s="0" t="n">
        <v>4</v>
      </c>
      <c r="G869" s="0" t="n">
        <v>4</v>
      </c>
      <c r="H869" s="0" t="s">
        <v>580</v>
      </c>
      <c r="I869" s="0" t="s">
        <v>339</v>
      </c>
      <c r="K869" s="0" t="s">
        <v>620</v>
      </c>
      <c r="L869" s="0" t="s">
        <v>2376</v>
      </c>
    </row>
    <row r="870" customFormat="false" ht="15" hidden="false" customHeight="false" outlineLevel="0" collapsed="false">
      <c r="A870" s="0" t="s">
        <v>63</v>
      </c>
      <c r="C870" s="0" t="s">
        <v>1340</v>
      </c>
      <c r="D870" s="0" t="s">
        <v>987</v>
      </c>
      <c r="E870" s="0" t="s">
        <v>1341</v>
      </c>
      <c r="F870" s="0" t="n">
        <v>0</v>
      </c>
      <c r="G870" s="0" t="n">
        <v>0</v>
      </c>
      <c r="H870" s="0" t="s">
        <v>580</v>
      </c>
      <c r="K870" s="0" t="s">
        <v>581</v>
      </c>
      <c r="L870" s="0" t="s">
        <v>2377</v>
      </c>
    </row>
    <row r="871" customFormat="false" ht="15" hidden="false" customHeight="false" outlineLevel="0" collapsed="false">
      <c r="A871" s="0" t="s">
        <v>63</v>
      </c>
      <c r="C871" s="0" t="s">
        <v>1340</v>
      </c>
      <c r="D871" s="0" t="s">
        <v>990</v>
      </c>
      <c r="E871" s="0" t="s">
        <v>1343</v>
      </c>
      <c r="F871" s="0" t="n">
        <v>5</v>
      </c>
      <c r="G871" s="0" t="n">
        <v>0</v>
      </c>
      <c r="H871" s="0" t="s">
        <v>585</v>
      </c>
      <c r="K871" s="0" t="s">
        <v>586</v>
      </c>
      <c r="L871" s="0" t="s">
        <v>2378</v>
      </c>
    </row>
    <row r="872" customFormat="false" ht="15" hidden="false" customHeight="false" outlineLevel="0" collapsed="false">
      <c r="A872" s="0" t="s">
        <v>63</v>
      </c>
      <c r="C872" s="0" t="s">
        <v>1340</v>
      </c>
      <c r="D872" s="0" t="s">
        <v>993</v>
      </c>
      <c r="E872" s="0" t="s">
        <v>1345</v>
      </c>
      <c r="F872" s="0" t="n">
        <v>5</v>
      </c>
      <c r="G872" s="0" t="n">
        <v>0</v>
      </c>
      <c r="H872" s="0" t="s">
        <v>585</v>
      </c>
      <c r="K872" s="0" t="s">
        <v>590</v>
      </c>
      <c r="L872" s="0" t="s">
        <v>2379</v>
      </c>
    </row>
    <row r="873" customFormat="false" ht="15" hidden="false" customHeight="false" outlineLevel="0" collapsed="false">
      <c r="A873" s="0" t="s">
        <v>63</v>
      </c>
      <c r="C873" s="0" t="s">
        <v>1340</v>
      </c>
      <c r="D873" s="0" t="s">
        <v>126</v>
      </c>
      <c r="E873" s="0" t="s">
        <v>1347</v>
      </c>
      <c r="F873" s="0" t="n">
        <v>5</v>
      </c>
      <c r="G873" s="0" t="n">
        <v>0</v>
      </c>
      <c r="H873" s="0" t="s">
        <v>585</v>
      </c>
      <c r="K873" s="0" t="s">
        <v>594</v>
      </c>
      <c r="L873" s="0" t="s">
        <v>2380</v>
      </c>
    </row>
    <row r="874" customFormat="false" ht="15" hidden="false" customHeight="false" outlineLevel="0" collapsed="false">
      <c r="A874" s="0" t="s">
        <v>63</v>
      </c>
      <c r="C874" s="0" t="s">
        <v>1340</v>
      </c>
      <c r="D874" s="0" t="s">
        <v>129</v>
      </c>
      <c r="E874" s="0" t="s">
        <v>1349</v>
      </c>
      <c r="F874" s="0" t="n">
        <v>5</v>
      </c>
      <c r="G874" s="0" t="n">
        <v>0</v>
      </c>
      <c r="H874" s="0" t="s">
        <v>585</v>
      </c>
      <c r="K874" s="0" t="s">
        <v>597</v>
      </c>
      <c r="L874" s="0" t="s">
        <v>2381</v>
      </c>
    </row>
    <row r="875" customFormat="false" ht="15" hidden="false" customHeight="false" outlineLevel="0" collapsed="false">
      <c r="A875" s="0" t="s">
        <v>63</v>
      </c>
      <c r="C875" s="0" t="s">
        <v>1340</v>
      </c>
      <c r="D875" s="0" t="s">
        <v>132</v>
      </c>
      <c r="E875" s="0" t="s">
        <v>1351</v>
      </c>
      <c r="F875" s="0" t="n">
        <v>0</v>
      </c>
      <c r="G875" s="0" t="n">
        <v>0</v>
      </c>
      <c r="H875" s="0" t="s">
        <v>580</v>
      </c>
      <c r="K875" s="0" t="s">
        <v>600</v>
      </c>
      <c r="L875" s="0" t="s">
        <v>2382</v>
      </c>
    </row>
    <row r="876" customFormat="false" ht="15" hidden="false" customHeight="false" outlineLevel="0" collapsed="false">
      <c r="A876" s="0" t="s">
        <v>63</v>
      </c>
      <c r="C876" s="0" t="s">
        <v>1340</v>
      </c>
      <c r="D876" s="0" t="s">
        <v>139</v>
      </c>
      <c r="E876" s="0" t="s">
        <v>1353</v>
      </c>
      <c r="F876" s="0" t="n">
        <v>5</v>
      </c>
      <c r="G876" s="0" t="n">
        <v>0</v>
      </c>
      <c r="H876" s="0" t="s">
        <v>585</v>
      </c>
      <c r="K876" s="0" t="s">
        <v>604</v>
      </c>
      <c r="L876" s="0" t="s">
        <v>2383</v>
      </c>
    </row>
    <row r="877" customFormat="false" ht="15" hidden="false" customHeight="false" outlineLevel="0" collapsed="false">
      <c r="A877" s="0" t="s">
        <v>63</v>
      </c>
      <c r="C877" s="0" t="s">
        <v>1340</v>
      </c>
      <c r="D877" s="0" t="s">
        <v>143</v>
      </c>
      <c r="E877" s="0" t="s">
        <v>2384</v>
      </c>
      <c r="F877" s="0" t="n">
        <v>5</v>
      </c>
      <c r="G877" s="0" t="n">
        <v>0</v>
      </c>
      <c r="H877" s="0" t="s">
        <v>585</v>
      </c>
      <c r="K877" s="0" t="s">
        <v>607</v>
      </c>
      <c r="L877" s="0" t="s">
        <v>2385</v>
      </c>
    </row>
    <row r="878" customFormat="false" ht="15" hidden="false" customHeight="false" outlineLevel="0" collapsed="false">
      <c r="A878" s="0" t="s">
        <v>63</v>
      </c>
      <c r="C878" s="0" t="s">
        <v>1340</v>
      </c>
      <c r="D878" s="0" t="s">
        <v>146</v>
      </c>
      <c r="E878" s="0" t="s">
        <v>2386</v>
      </c>
      <c r="F878" s="0" t="n">
        <v>5</v>
      </c>
      <c r="G878" s="0" t="n">
        <v>0</v>
      </c>
      <c r="H878" s="0" t="s">
        <v>585</v>
      </c>
      <c r="K878" s="0" t="s">
        <v>610</v>
      </c>
      <c r="L878" s="0" t="s">
        <v>2387</v>
      </c>
    </row>
    <row r="879" customFormat="false" ht="15" hidden="false" customHeight="false" outlineLevel="0" collapsed="false">
      <c r="A879" s="0" t="s">
        <v>63</v>
      </c>
      <c r="B879" s="0" t="s">
        <v>266</v>
      </c>
      <c r="C879" s="0" t="s">
        <v>1340</v>
      </c>
      <c r="D879" s="0" t="s">
        <v>149</v>
      </c>
      <c r="E879" s="0" t="s">
        <v>1359</v>
      </c>
      <c r="F879" s="0" t="n">
        <v>5</v>
      </c>
      <c r="G879" s="0" t="n">
        <v>2</v>
      </c>
      <c r="H879" s="0" t="s">
        <v>585</v>
      </c>
      <c r="I879" s="0" t="s">
        <v>340</v>
      </c>
      <c r="K879" s="0" t="s">
        <v>613</v>
      </c>
      <c r="L879" s="0" t="s">
        <v>2388</v>
      </c>
    </row>
    <row r="880" customFormat="false" ht="15" hidden="false" customHeight="false" outlineLevel="0" collapsed="false">
      <c r="A880" s="0" t="s">
        <v>63</v>
      </c>
      <c r="B880" s="0" t="s">
        <v>345</v>
      </c>
      <c r="C880" s="0" t="s">
        <v>1340</v>
      </c>
      <c r="D880" s="0" t="s">
        <v>152</v>
      </c>
      <c r="E880" s="0" t="s">
        <v>2389</v>
      </c>
      <c r="F880" s="0" t="n">
        <v>5</v>
      </c>
      <c r="G880" s="0" t="n">
        <v>1</v>
      </c>
      <c r="H880" s="0" t="s">
        <v>585</v>
      </c>
      <c r="I880" s="0" t="s">
        <v>342</v>
      </c>
      <c r="K880" s="0" t="s">
        <v>616</v>
      </c>
      <c r="L880" s="0" t="s">
        <v>2390</v>
      </c>
    </row>
    <row r="881" customFormat="false" ht="15" hidden="false" customHeight="false" outlineLevel="0" collapsed="false">
      <c r="A881" s="0" t="s">
        <v>63</v>
      </c>
      <c r="C881" s="0" t="s">
        <v>1340</v>
      </c>
      <c r="D881" s="0" t="s">
        <v>155</v>
      </c>
      <c r="E881" s="0" t="s">
        <v>2391</v>
      </c>
      <c r="F881" s="0" t="n">
        <v>5</v>
      </c>
      <c r="G881" s="0" t="n">
        <v>0</v>
      </c>
      <c r="H881" s="0" t="s">
        <v>585</v>
      </c>
      <c r="K881" s="0" t="s">
        <v>620</v>
      </c>
      <c r="L881" s="0" t="s">
        <v>2392</v>
      </c>
    </row>
    <row r="882" customFormat="false" ht="15" hidden="false" customHeight="false" outlineLevel="0" collapsed="false">
      <c r="A882" s="0" t="s">
        <v>63</v>
      </c>
      <c r="C882" s="0" t="s">
        <v>1365</v>
      </c>
      <c r="D882" s="0" t="s">
        <v>987</v>
      </c>
      <c r="E882" s="0" t="s">
        <v>1366</v>
      </c>
      <c r="F882" s="0" t="n">
        <v>0</v>
      </c>
      <c r="G882" s="0" t="n">
        <v>0</v>
      </c>
      <c r="H882" s="0" t="s">
        <v>580</v>
      </c>
      <c r="K882" s="0" t="s">
        <v>581</v>
      </c>
      <c r="L882" s="0" t="s">
        <v>2393</v>
      </c>
    </row>
    <row r="883" customFormat="false" ht="15" hidden="false" customHeight="false" outlineLevel="0" collapsed="false">
      <c r="A883" s="0" t="s">
        <v>63</v>
      </c>
      <c r="C883" s="0" t="s">
        <v>1365</v>
      </c>
      <c r="D883" s="0" t="s">
        <v>990</v>
      </c>
      <c r="E883" s="0" t="s">
        <v>1368</v>
      </c>
      <c r="F883" s="0" t="n">
        <v>5</v>
      </c>
      <c r="G883" s="0" t="n">
        <v>0</v>
      </c>
      <c r="H883" s="0" t="s">
        <v>585</v>
      </c>
      <c r="K883" s="0" t="s">
        <v>586</v>
      </c>
      <c r="L883" s="0" t="s">
        <v>2394</v>
      </c>
    </row>
    <row r="884" customFormat="false" ht="15" hidden="false" customHeight="false" outlineLevel="0" collapsed="false">
      <c r="A884" s="0" t="s">
        <v>63</v>
      </c>
      <c r="C884" s="0" t="s">
        <v>1365</v>
      </c>
      <c r="D884" s="0" t="s">
        <v>993</v>
      </c>
      <c r="E884" s="0" t="s">
        <v>1370</v>
      </c>
      <c r="F884" s="0" t="n">
        <v>5</v>
      </c>
      <c r="G884" s="0" t="n">
        <v>0</v>
      </c>
      <c r="H884" s="0" t="s">
        <v>585</v>
      </c>
      <c r="K884" s="0" t="s">
        <v>590</v>
      </c>
      <c r="L884" s="0" t="s">
        <v>2395</v>
      </c>
    </row>
    <row r="885" customFormat="false" ht="15" hidden="false" customHeight="false" outlineLevel="0" collapsed="false">
      <c r="A885" s="0" t="s">
        <v>63</v>
      </c>
      <c r="C885" s="0" t="s">
        <v>1365</v>
      </c>
      <c r="D885" s="0" t="s">
        <v>126</v>
      </c>
      <c r="E885" s="0" t="s">
        <v>1372</v>
      </c>
      <c r="F885" s="0" t="n">
        <v>5</v>
      </c>
      <c r="G885" s="0" t="n">
        <v>0</v>
      </c>
      <c r="H885" s="0" t="s">
        <v>585</v>
      </c>
      <c r="K885" s="0" t="s">
        <v>594</v>
      </c>
      <c r="L885" s="0" t="s">
        <v>2396</v>
      </c>
    </row>
    <row r="886" customFormat="false" ht="15" hidden="false" customHeight="false" outlineLevel="0" collapsed="false">
      <c r="A886" s="0" t="s">
        <v>63</v>
      </c>
      <c r="C886" s="0" t="s">
        <v>1365</v>
      </c>
      <c r="D886" s="0" t="s">
        <v>129</v>
      </c>
      <c r="E886" s="0" t="s">
        <v>1374</v>
      </c>
      <c r="F886" s="0" t="n">
        <v>5</v>
      </c>
      <c r="G886" s="0" t="n">
        <v>0</v>
      </c>
      <c r="H886" s="0" t="s">
        <v>585</v>
      </c>
      <c r="K886" s="0" t="s">
        <v>597</v>
      </c>
      <c r="L886" s="0" t="s">
        <v>2397</v>
      </c>
    </row>
    <row r="887" customFormat="false" ht="15" hidden="false" customHeight="false" outlineLevel="0" collapsed="false">
      <c r="A887" s="0" t="s">
        <v>63</v>
      </c>
      <c r="C887" s="0" t="s">
        <v>1365</v>
      </c>
      <c r="D887" s="0" t="s">
        <v>132</v>
      </c>
      <c r="E887" s="0" t="s">
        <v>1376</v>
      </c>
      <c r="F887" s="0" t="n">
        <v>0</v>
      </c>
      <c r="G887" s="0" t="n">
        <v>0</v>
      </c>
      <c r="H887" s="0" t="s">
        <v>580</v>
      </c>
      <c r="K887" s="0" t="s">
        <v>600</v>
      </c>
      <c r="L887" s="0" t="s">
        <v>2398</v>
      </c>
    </row>
    <row r="888" customFormat="false" ht="15" hidden="false" customHeight="false" outlineLevel="0" collapsed="false">
      <c r="A888" s="0" t="s">
        <v>63</v>
      </c>
      <c r="C888" s="0" t="s">
        <v>1365</v>
      </c>
      <c r="D888" s="0" t="s">
        <v>139</v>
      </c>
      <c r="E888" s="0" t="s">
        <v>1378</v>
      </c>
      <c r="F888" s="0" t="n">
        <v>5</v>
      </c>
      <c r="G888" s="0" t="n">
        <v>0</v>
      </c>
      <c r="H888" s="0" t="s">
        <v>585</v>
      </c>
      <c r="K888" s="0" t="s">
        <v>604</v>
      </c>
      <c r="L888" s="0" t="s">
        <v>2399</v>
      </c>
    </row>
    <row r="889" customFormat="false" ht="15" hidden="false" customHeight="false" outlineLevel="0" collapsed="false">
      <c r="A889" s="0" t="s">
        <v>63</v>
      </c>
      <c r="C889" s="0" t="s">
        <v>1365</v>
      </c>
      <c r="D889" s="0" t="s">
        <v>143</v>
      </c>
      <c r="E889" s="0" t="s">
        <v>2400</v>
      </c>
      <c r="F889" s="0" t="n">
        <v>5</v>
      </c>
      <c r="G889" s="0" t="n">
        <v>0</v>
      </c>
      <c r="H889" s="0" t="s">
        <v>585</v>
      </c>
      <c r="K889" s="0" t="s">
        <v>607</v>
      </c>
      <c r="L889" s="0" t="s">
        <v>2401</v>
      </c>
    </row>
    <row r="890" customFormat="false" ht="15" hidden="false" customHeight="false" outlineLevel="0" collapsed="false">
      <c r="A890" s="0" t="s">
        <v>63</v>
      </c>
      <c r="B890" s="0" t="s">
        <v>266</v>
      </c>
      <c r="C890" s="0" t="s">
        <v>1365</v>
      </c>
      <c r="D890" s="0" t="s">
        <v>146</v>
      </c>
      <c r="E890" s="0" t="s">
        <v>2402</v>
      </c>
      <c r="F890" s="0" t="n">
        <v>5</v>
      </c>
      <c r="G890" s="0" t="n">
        <v>1</v>
      </c>
      <c r="H890" s="0" t="s">
        <v>585</v>
      </c>
      <c r="I890" s="0" t="s">
        <v>339</v>
      </c>
      <c r="K890" s="0" t="s">
        <v>610</v>
      </c>
      <c r="L890" s="0" t="s">
        <v>2403</v>
      </c>
    </row>
    <row r="891" customFormat="false" ht="15" hidden="false" customHeight="false" outlineLevel="0" collapsed="false">
      <c r="A891" s="0" t="s">
        <v>63</v>
      </c>
      <c r="C891" s="0" t="s">
        <v>1365</v>
      </c>
      <c r="D891" s="0" t="s">
        <v>149</v>
      </c>
      <c r="E891" s="0" t="s">
        <v>2404</v>
      </c>
      <c r="F891" s="0" t="n">
        <v>5</v>
      </c>
      <c r="G891" s="0" t="n">
        <v>0</v>
      </c>
      <c r="H891" s="0" t="s">
        <v>585</v>
      </c>
      <c r="K891" s="0" t="s">
        <v>613</v>
      </c>
      <c r="L891" s="0" t="s">
        <v>2405</v>
      </c>
    </row>
    <row r="892" customFormat="false" ht="15" hidden="false" customHeight="false" outlineLevel="0" collapsed="false">
      <c r="A892" s="0" t="s">
        <v>63</v>
      </c>
      <c r="B892" s="0" t="s">
        <v>266</v>
      </c>
      <c r="C892" s="0" t="s">
        <v>1365</v>
      </c>
      <c r="D892" s="0" t="s">
        <v>152</v>
      </c>
      <c r="E892" s="0" t="s">
        <v>1386</v>
      </c>
      <c r="F892" s="0" t="n">
        <v>5</v>
      </c>
      <c r="G892" s="0" t="n">
        <v>4</v>
      </c>
      <c r="H892" s="0" t="s">
        <v>585</v>
      </c>
      <c r="I892" s="0" t="s">
        <v>340</v>
      </c>
      <c r="K892" s="0" t="s">
        <v>616</v>
      </c>
      <c r="L892" s="0" t="s">
        <v>2406</v>
      </c>
    </row>
    <row r="893" customFormat="false" ht="15" hidden="false" customHeight="false" outlineLevel="0" collapsed="false">
      <c r="A893" s="0" t="s">
        <v>63</v>
      </c>
      <c r="B893" s="0" t="s">
        <v>345</v>
      </c>
      <c r="C893" s="0" t="s">
        <v>1365</v>
      </c>
      <c r="D893" s="0" t="s">
        <v>155</v>
      </c>
      <c r="E893" s="0" t="s">
        <v>1388</v>
      </c>
      <c r="F893" s="0" t="n">
        <v>5</v>
      </c>
      <c r="G893" s="0" t="n">
        <v>2</v>
      </c>
      <c r="H893" s="0" t="s">
        <v>585</v>
      </c>
      <c r="I893" s="0" t="s">
        <v>339</v>
      </c>
      <c r="K893" s="0" t="s">
        <v>620</v>
      </c>
      <c r="L893" s="0" t="s">
        <v>2407</v>
      </c>
    </row>
    <row r="894" customFormat="false" ht="15" hidden="false" customHeight="false" outlineLevel="0" collapsed="false">
      <c r="A894" s="0" t="s">
        <v>63</v>
      </c>
      <c r="C894" s="0" t="s">
        <v>1390</v>
      </c>
      <c r="D894" s="0" t="s">
        <v>987</v>
      </c>
      <c r="E894" s="0" t="s">
        <v>1391</v>
      </c>
      <c r="F894" s="0" t="n">
        <v>0</v>
      </c>
      <c r="G894" s="0" t="n">
        <v>0</v>
      </c>
      <c r="H894" s="0" t="s">
        <v>580</v>
      </c>
      <c r="K894" s="0" t="s">
        <v>581</v>
      </c>
      <c r="L894" s="0" t="s">
        <v>2408</v>
      </c>
    </row>
    <row r="895" customFormat="false" ht="15" hidden="false" customHeight="false" outlineLevel="0" collapsed="false">
      <c r="A895" s="0" t="s">
        <v>63</v>
      </c>
      <c r="C895" s="0" t="s">
        <v>1390</v>
      </c>
      <c r="D895" s="0" t="s">
        <v>990</v>
      </c>
      <c r="E895" s="0" t="s">
        <v>1393</v>
      </c>
      <c r="F895" s="0" t="n">
        <v>5</v>
      </c>
      <c r="G895" s="0" t="n">
        <v>0</v>
      </c>
      <c r="H895" s="0" t="s">
        <v>585</v>
      </c>
      <c r="K895" s="0" t="s">
        <v>586</v>
      </c>
      <c r="L895" s="0" t="s">
        <v>2409</v>
      </c>
    </row>
    <row r="896" customFormat="false" ht="15" hidden="false" customHeight="false" outlineLevel="0" collapsed="false">
      <c r="A896" s="0" t="s">
        <v>63</v>
      </c>
      <c r="C896" s="0" t="s">
        <v>1390</v>
      </c>
      <c r="D896" s="0" t="s">
        <v>993</v>
      </c>
      <c r="E896" s="0" t="s">
        <v>1395</v>
      </c>
      <c r="F896" s="0" t="n">
        <v>5</v>
      </c>
      <c r="G896" s="0" t="n">
        <v>0</v>
      </c>
      <c r="H896" s="0" t="s">
        <v>585</v>
      </c>
      <c r="K896" s="0" t="s">
        <v>590</v>
      </c>
      <c r="L896" s="0" t="s">
        <v>2410</v>
      </c>
    </row>
    <row r="897" customFormat="false" ht="15" hidden="false" customHeight="false" outlineLevel="0" collapsed="false">
      <c r="A897" s="0" t="s">
        <v>63</v>
      </c>
      <c r="C897" s="0" t="s">
        <v>1390</v>
      </c>
      <c r="D897" s="0" t="s">
        <v>126</v>
      </c>
      <c r="E897" s="0" t="s">
        <v>1397</v>
      </c>
      <c r="F897" s="0" t="n">
        <v>5</v>
      </c>
      <c r="G897" s="0" t="n">
        <v>0</v>
      </c>
      <c r="H897" s="0" t="s">
        <v>585</v>
      </c>
      <c r="K897" s="0" t="s">
        <v>594</v>
      </c>
      <c r="L897" s="0" t="s">
        <v>2411</v>
      </c>
    </row>
    <row r="898" customFormat="false" ht="15" hidden="false" customHeight="false" outlineLevel="0" collapsed="false">
      <c r="A898" s="0" t="s">
        <v>63</v>
      </c>
      <c r="C898" s="0" t="s">
        <v>1390</v>
      </c>
      <c r="D898" s="0" t="s">
        <v>129</v>
      </c>
      <c r="E898" s="0" t="s">
        <v>1399</v>
      </c>
      <c r="F898" s="0" t="n">
        <v>5</v>
      </c>
      <c r="G898" s="0" t="n">
        <v>0</v>
      </c>
      <c r="H898" s="0" t="s">
        <v>585</v>
      </c>
      <c r="K898" s="0" t="s">
        <v>597</v>
      </c>
      <c r="L898" s="0" t="s">
        <v>2412</v>
      </c>
    </row>
    <row r="899" customFormat="false" ht="15" hidden="false" customHeight="false" outlineLevel="0" collapsed="false">
      <c r="A899" s="0" t="s">
        <v>63</v>
      </c>
      <c r="C899" s="0" t="s">
        <v>1390</v>
      </c>
      <c r="D899" s="0" t="s">
        <v>132</v>
      </c>
      <c r="E899" s="0" t="s">
        <v>1401</v>
      </c>
      <c r="F899" s="0" t="n">
        <v>0</v>
      </c>
      <c r="G899" s="0" t="n">
        <v>0</v>
      </c>
      <c r="H899" s="0" t="s">
        <v>580</v>
      </c>
      <c r="K899" s="0" t="s">
        <v>600</v>
      </c>
      <c r="L899" s="0" t="s">
        <v>2413</v>
      </c>
    </row>
    <row r="900" customFormat="false" ht="15" hidden="false" customHeight="false" outlineLevel="0" collapsed="false">
      <c r="A900" s="0" t="s">
        <v>63</v>
      </c>
      <c r="C900" s="0" t="s">
        <v>1390</v>
      </c>
      <c r="D900" s="0" t="s">
        <v>139</v>
      </c>
      <c r="E900" s="0" t="s">
        <v>2414</v>
      </c>
      <c r="F900" s="0" t="n">
        <v>5</v>
      </c>
      <c r="G900" s="0" t="n">
        <v>0</v>
      </c>
      <c r="H900" s="0" t="s">
        <v>585</v>
      </c>
      <c r="K900" s="0" t="s">
        <v>604</v>
      </c>
      <c r="L900" s="0" t="s">
        <v>2415</v>
      </c>
    </row>
    <row r="901" customFormat="false" ht="15" hidden="false" customHeight="false" outlineLevel="0" collapsed="false">
      <c r="A901" s="0" t="s">
        <v>63</v>
      </c>
      <c r="C901" s="0" t="s">
        <v>1390</v>
      </c>
      <c r="D901" s="0" t="s">
        <v>143</v>
      </c>
      <c r="E901" s="0" t="s">
        <v>1405</v>
      </c>
      <c r="F901" s="0" t="n">
        <v>5</v>
      </c>
      <c r="G901" s="0" t="n">
        <v>0</v>
      </c>
      <c r="H901" s="0" t="s">
        <v>585</v>
      </c>
      <c r="K901" s="0" t="s">
        <v>607</v>
      </c>
      <c r="L901" s="0" t="s">
        <v>2416</v>
      </c>
    </row>
    <row r="902" customFormat="false" ht="15" hidden="false" customHeight="false" outlineLevel="0" collapsed="false">
      <c r="A902" s="0" t="s">
        <v>63</v>
      </c>
      <c r="B902" s="0" t="s">
        <v>345</v>
      </c>
      <c r="C902" s="0" t="s">
        <v>1390</v>
      </c>
      <c r="D902" s="0" t="s">
        <v>146</v>
      </c>
      <c r="E902" s="0" t="s">
        <v>2417</v>
      </c>
      <c r="F902" s="0" t="n">
        <v>1</v>
      </c>
      <c r="G902" s="0" t="n">
        <v>1</v>
      </c>
      <c r="H902" s="0" t="s">
        <v>580</v>
      </c>
      <c r="I902" s="0" t="s">
        <v>334</v>
      </c>
      <c r="K902" s="0" t="s">
        <v>610</v>
      </c>
      <c r="L902" s="0" t="s">
        <v>2418</v>
      </c>
    </row>
    <row r="903" customFormat="false" ht="15" hidden="false" customHeight="false" outlineLevel="0" collapsed="false">
      <c r="A903" s="0" t="s">
        <v>63</v>
      </c>
      <c r="B903" s="0" t="s">
        <v>266</v>
      </c>
      <c r="C903" s="0" t="s">
        <v>1390</v>
      </c>
      <c r="D903" s="0" t="s">
        <v>149</v>
      </c>
      <c r="E903" s="0" t="s">
        <v>1409</v>
      </c>
      <c r="F903" s="0" t="n">
        <v>5</v>
      </c>
      <c r="G903" s="0" t="n">
        <v>4</v>
      </c>
      <c r="H903" s="0" t="s">
        <v>585</v>
      </c>
      <c r="I903" s="0" t="s">
        <v>342</v>
      </c>
      <c r="K903" s="0" t="s">
        <v>613</v>
      </c>
      <c r="L903" s="0" t="s">
        <v>2419</v>
      </c>
    </row>
    <row r="904" customFormat="false" ht="15" hidden="false" customHeight="false" outlineLevel="0" collapsed="false">
      <c r="A904" s="0" t="s">
        <v>63</v>
      </c>
      <c r="C904" s="0" t="s">
        <v>1390</v>
      </c>
      <c r="D904" s="0" t="s">
        <v>152</v>
      </c>
      <c r="E904" s="0" t="s">
        <v>2420</v>
      </c>
      <c r="F904" s="0" t="n">
        <v>5</v>
      </c>
      <c r="G904" s="0" t="n">
        <v>0</v>
      </c>
      <c r="H904" s="0" t="s">
        <v>585</v>
      </c>
      <c r="K904" s="0" t="s">
        <v>616</v>
      </c>
      <c r="L904" s="0" t="s">
        <v>2421</v>
      </c>
    </row>
    <row r="905" customFormat="false" ht="15" hidden="false" customHeight="false" outlineLevel="0" collapsed="false">
      <c r="A905" s="0" t="s">
        <v>63</v>
      </c>
      <c r="B905" s="0" t="s">
        <v>266</v>
      </c>
      <c r="C905" s="0" t="s">
        <v>1390</v>
      </c>
      <c r="D905" s="0" t="s">
        <v>155</v>
      </c>
      <c r="E905" s="0" t="s">
        <v>1413</v>
      </c>
      <c r="F905" s="0" t="n">
        <v>5</v>
      </c>
      <c r="G905" s="0" t="n">
        <v>4</v>
      </c>
      <c r="H905" s="0" t="s">
        <v>585</v>
      </c>
      <c r="I905" s="0" t="s">
        <v>334</v>
      </c>
      <c r="K905" s="0" t="s">
        <v>620</v>
      </c>
      <c r="L905" s="0" t="s">
        <v>2422</v>
      </c>
    </row>
    <row r="906" customFormat="false" ht="15" hidden="false" customHeight="false" outlineLevel="0" collapsed="false">
      <c r="A906" s="0" t="s">
        <v>63</v>
      </c>
      <c r="C906" s="0" t="s">
        <v>1415</v>
      </c>
      <c r="D906" s="0" t="s">
        <v>987</v>
      </c>
      <c r="E906" s="0" t="s">
        <v>1416</v>
      </c>
      <c r="F906" s="0" t="n">
        <v>0</v>
      </c>
      <c r="G906" s="0" t="n">
        <v>0</v>
      </c>
      <c r="H906" s="0" t="s">
        <v>580</v>
      </c>
      <c r="K906" s="0" t="s">
        <v>581</v>
      </c>
      <c r="L906" s="0" t="s">
        <v>2423</v>
      </c>
    </row>
    <row r="907" customFormat="false" ht="15" hidden="false" customHeight="false" outlineLevel="0" collapsed="false">
      <c r="A907" s="0" t="s">
        <v>63</v>
      </c>
      <c r="C907" s="0" t="s">
        <v>1415</v>
      </c>
      <c r="D907" s="0" t="s">
        <v>990</v>
      </c>
      <c r="E907" s="0" t="s">
        <v>1418</v>
      </c>
      <c r="F907" s="0" t="n">
        <v>5</v>
      </c>
      <c r="G907" s="0" t="n">
        <v>0</v>
      </c>
      <c r="H907" s="0" t="s">
        <v>585</v>
      </c>
      <c r="K907" s="0" t="s">
        <v>586</v>
      </c>
      <c r="L907" s="0" t="s">
        <v>2424</v>
      </c>
    </row>
    <row r="908" customFormat="false" ht="15" hidden="false" customHeight="false" outlineLevel="0" collapsed="false">
      <c r="A908" s="0" t="s">
        <v>63</v>
      </c>
      <c r="C908" s="0" t="s">
        <v>1415</v>
      </c>
      <c r="D908" s="0" t="s">
        <v>993</v>
      </c>
      <c r="E908" s="0" t="s">
        <v>1420</v>
      </c>
      <c r="F908" s="0" t="n">
        <v>5</v>
      </c>
      <c r="G908" s="0" t="n">
        <v>0</v>
      </c>
      <c r="H908" s="0" t="s">
        <v>585</v>
      </c>
      <c r="K908" s="0" t="s">
        <v>590</v>
      </c>
      <c r="L908" s="0" t="s">
        <v>2425</v>
      </c>
    </row>
    <row r="909" customFormat="false" ht="15" hidden="false" customHeight="false" outlineLevel="0" collapsed="false">
      <c r="A909" s="0" t="s">
        <v>63</v>
      </c>
      <c r="C909" s="0" t="s">
        <v>1415</v>
      </c>
      <c r="D909" s="0" t="s">
        <v>126</v>
      </c>
      <c r="E909" s="0" t="s">
        <v>1422</v>
      </c>
      <c r="F909" s="0" t="n">
        <v>5</v>
      </c>
      <c r="G909" s="0" t="n">
        <v>0</v>
      </c>
      <c r="H909" s="0" t="s">
        <v>585</v>
      </c>
      <c r="K909" s="0" t="s">
        <v>594</v>
      </c>
      <c r="L909" s="0" t="s">
        <v>2426</v>
      </c>
    </row>
    <row r="910" customFormat="false" ht="15" hidden="false" customHeight="false" outlineLevel="0" collapsed="false">
      <c r="A910" s="0" t="s">
        <v>63</v>
      </c>
      <c r="C910" s="0" t="s">
        <v>1415</v>
      </c>
      <c r="D910" s="0" t="s">
        <v>129</v>
      </c>
      <c r="E910" s="0" t="s">
        <v>1424</v>
      </c>
      <c r="F910" s="0" t="n">
        <v>5</v>
      </c>
      <c r="G910" s="0" t="n">
        <v>0</v>
      </c>
      <c r="H910" s="0" t="s">
        <v>585</v>
      </c>
      <c r="K910" s="0" t="s">
        <v>597</v>
      </c>
      <c r="L910" s="0" t="s">
        <v>2427</v>
      </c>
    </row>
    <row r="911" customFormat="false" ht="15" hidden="false" customHeight="false" outlineLevel="0" collapsed="false">
      <c r="A911" s="0" t="s">
        <v>63</v>
      </c>
      <c r="C911" s="0" t="s">
        <v>1415</v>
      </c>
      <c r="D911" s="0" t="s">
        <v>132</v>
      </c>
      <c r="E911" s="0" t="s">
        <v>1426</v>
      </c>
      <c r="F911" s="0" t="n">
        <v>0</v>
      </c>
      <c r="G911" s="0" t="n">
        <v>0</v>
      </c>
      <c r="H911" s="0" t="s">
        <v>580</v>
      </c>
      <c r="K911" s="0" t="s">
        <v>600</v>
      </c>
      <c r="L911" s="0" t="s">
        <v>2428</v>
      </c>
    </row>
    <row r="912" customFormat="false" ht="15" hidden="false" customHeight="false" outlineLevel="0" collapsed="false">
      <c r="A912" s="0" t="s">
        <v>63</v>
      </c>
      <c r="B912" s="0" t="s">
        <v>345</v>
      </c>
      <c r="C912" s="0" t="s">
        <v>1415</v>
      </c>
      <c r="D912" s="0" t="s">
        <v>139</v>
      </c>
      <c r="E912" s="0" t="s">
        <v>1428</v>
      </c>
      <c r="F912" s="0" t="n">
        <v>5</v>
      </c>
      <c r="G912" s="0" t="n">
        <v>1</v>
      </c>
      <c r="H912" s="0" t="s">
        <v>585</v>
      </c>
      <c r="I912" s="0" t="s">
        <v>334</v>
      </c>
      <c r="K912" s="0" t="s">
        <v>604</v>
      </c>
      <c r="L912" s="0" t="s">
        <v>2429</v>
      </c>
    </row>
    <row r="913" customFormat="false" ht="15" hidden="false" customHeight="false" outlineLevel="0" collapsed="false">
      <c r="A913" s="0" t="s">
        <v>63</v>
      </c>
      <c r="C913" s="0" t="s">
        <v>1415</v>
      </c>
      <c r="D913" s="0" t="s">
        <v>143</v>
      </c>
      <c r="E913" s="0" t="s">
        <v>2430</v>
      </c>
      <c r="F913" s="0" t="n">
        <v>5</v>
      </c>
      <c r="G913" s="0" t="n">
        <v>0</v>
      </c>
      <c r="H913" s="0" t="s">
        <v>585</v>
      </c>
      <c r="K913" s="0" t="s">
        <v>607</v>
      </c>
      <c r="L913" s="0" t="s">
        <v>2431</v>
      </c>
    </row>
    <row r="914" customFormat="false" ht="15" hidden="false" customHeight="false" outlineLevel="0" collapsed="false">
      <c r="A914" s="0" t="s">
        <v>63</v>
      </c>
      <c r="C914" s="0" t="s">
        <v>1415</v>
      </c>
      <c r="D914" s="0" t="s">
        <v>146</v>
      </c>
      <c r="E914" s="0" t="s">
        <v>1432</v>
      </c>
      <c r="F914" s="0" t="n">
        <v>5</v>
      </c>
      <c r="G914" s="0" t="n">
        <v>0</v>
      </c>
      <c r="H914" s="0" t="s">
        <v>585</v>
      </c>
      <c r="K914" s="0" t="s">
        <v>610</v>
      </c>
      <c r="L914" s="0" t="s">
        <v>2432</v>
      </c>
    </row>
    <row r="915" customFormat="false" ht="15" hidden="false" customHeight="false" outlineLevel="0" collapsed="false">
      <c r="A915" s="0" t="s">
        <v>63</v>
      </c>
      <c r="C915" s="0" t="s">
        <v>1415</v>
      </c>
      <c r="D915" s="0" t="s">
        <v>149</v>
      </c>
      <c r="E915" s="0" t="s">
        <v>2433</v>
      </c>
      <c r="F915" s="0" t="n">
        <v>5</v>
      </c>
      <c r="G915" s="0" t="n">
        <v>0</v>
      </c>
      <c r="H915" s="0" t="s">
        <v>585</v>
      </c>
      <c r="K915" s="0" t="s">
        <v>613</v>
      </c>
      <c r="L915" s="0" t="s">
        <v>2434</v>
      </c>
    </row>
    <row r="916" customFormat="false" ht="15" hidden="false" customHeight="false" outlineLevel="0" collapsed="false">
      <c r="A916" s="0" t="s">
        <v>63</v>
      </c>
      <c r="C916" s="0" t="s">
        <v>1415</v>
      </c>
      <c r="D916" s="0" t="s">
        <v>152</v>
      </c>
      <c r="E916" s="0" t="s">
        <v>2435</v>
      </c>
      <c r="F916" s="0" t="n">
        <v>5</v>
      </c>
      <c r="G916" s="0" t="n">
        <v>0</v>
      </c>
      <c r="H916" s="0" t="s">
        <v>585</v>
      </c>
      <c r="K916" s="0" t="s">
        <v>616</v>
      </c>
      <c r="L916" s="0" t="s">
        <v>2436</v>
      </c>
    </row>
    <row r="917" customFormat="false" ht="15" hidden="false" customHeight="false" outlineLevel="0" collapsed="false">
      <c r="A917" s="0" t="s">
        <v>63</v>
      </c>
      <c r="C917" s="0" t="s">
        <v>1415</v>
      </c>
      <c r="D917" s="0" t="s">
        <v>155</v>
      </c>
      <c r="E917" s="0" t="s">
        <v>2437</v>
      </c>
      <c r="F917" s="0" t="n">
        <v>5</v>
      </c>
      <c r="G917" s="0" t="n">
        <v>0</v>
      </c>
      <c r="H917" s="0" t="s">
        <v>585</v>
      </c>
      <c r="K917" s="0" t="s">
        <v>620</v>
      </c>
      <c r="L917" s="0" t="s">
        <v>2438</v>
      </c>
    </row>
    <row r="918" customFormat="false" ht="15" hidden="false" customHeight="false" outlineLevel="0" collapsed="false">
      <c r="A918" s="0" t="s">
        <v>63</v>
      </c>
      <c r="C918" s="0" t="s">
        <v>1440</v>
      </c>
      <c r="D918" s="0" t="s">
        <v>987</v>
      </c>
      <c r="E918" s="0" t="s">
        <v>1441</v>
      </c>
      <c r="F918" s="0" t="n">
        <v>0</v>
      </c>
      <c r="G918" s="0" t="n">
        <v>0</v>
      </c>
      <c r="H918" s="0" t="s">
        <v>580</v>
      </c>
      <c r="K918" s="0" t="s">
        <v>581</v>
      </c>
      <c r="L918" s="0" t="s">
        <v>2439</v>
      </c>
    </row>
    <row r="919" customFormat="false" ht="15" hidden="false" customHeight="false" outlineLevel="0" collapsed="false">
      <c r="A919" s="0" t="s">
        <v>63</v>
      </c>
      <c r="C919" s="0" t="s">
        <v>1440</v>
      </c>
      <c r="D919" s="0" t="s">
        <v>990</v>
      </c>
      <c r="E919" s="0" t="s">
        <v>1443</v>
      </c>
      <c r="F919" s="0" t="n">
        <v>5</v>
      </c>
      <c r="G919" s="0" t="n">
        <v>0</v>
      </c>
      <c r="H919" s="0" t="s">
        <v>585</v>
      </c>
      <c r="K919" s="0" t="s">
        <v>586</v>
      </c>
      <c r="L919" s="0" t="s">
        <v>2440</v>
      </c>
    </row>
    <row r="920" customFormat="false" ht="15" hidden="false" customHeight="false" outlineLevel="0" collapsed="false">
      <c r="A920" s="0" t="s">
        <v>63</v>
      </c>
      <c r="C920" s="0" t="s">
        <v>1440</v>
      </c>
      <c r="D920" s="0" t="s">
        <v>993</v>
      </c>
      <c r="E920" s="0" t="s">
        <v>1445</v>
      </c>
      <c r="F920" s="0" t="n">
        <v>5</v>
      </c>
      <c r="G920" s="0" t="n">
        <v>0</v>
      </c>
      <c r="H920" s="0" t="s">
        <v>585</v>
      </c>
      <c r="K920" s="0" t="s">
        <v>590</v>
      </c>
      <c r="L920" s="0" t="s">
        <v>2441</v>
      </c>
    </row>
    <row r="921" customFormat="false" ht="15" hidden="false" customHeight="false" outlineLevel="0" collapsed="false">
      <c r="A921" s="0" t="s">
        <v>63</v>
      </c>
      <c r="C921" s="0" t="s">
        <v>1440</v>
      </c>
      <c r="D921" s="0" t="s">
        <v>126</v>
      </c>
      <c r="E921" s="0" t="s">
        <v>1447</v>
      </c>
      <c r="F921" s="0" t="n">
        <v>5</v>
      </c>
      <c r="G921" s="0" t="n">
        <v>0</v>
      </c>
      <c r="H921" s="0" t="s">
        <v>585</v>
      </c>
      <c r="K921" s="0" t="s">
        <v>594</v>
      </c>
      <c r="L921" s="0" t="s">
        <v>2442</v>
      </c>
    </row>
    <row r="922" customFormat="false" ht="15" hidden="false" customHeight="false" outlineLevel="0" collapsed="false">
      <c r="A922" s="0" t="s">
        <v>63</v>
      </c>
      <c r="C922" s="0" t="s">
        <v>1440</v>
      </c>
      <c r="D922" s="0" t="s">
        <v>129</v>
      </c>
      <c r="E922" s="0" t="s">
        <v>2443</v>
      </c>
      <c r="F922" s="0" t="n">
        <v>5</v>
      </c>
      <c r="G922" s="0" t="n">
        <v>0</v>
      </c>
      <c r="H922" s="0" t="s">
        <v>585</v>
      </c>
      <c r="K922" s="0" t="s">
        <v>597</v>
      </c>
      <c r="L922" s="0" t="s">
        <v>2444</v>
      </c>
    </row>
    <row r="923" customFormat="false" ht="15" hidden="false" customHeight="false" outlineLevel="0" collapsed="false">
      <c r="A923" s="0" t="s">
        <v>63</v>
      </c>
      <c r="C923" s="0" t="s">
        <v>1440</v>
      </c>
      <c r="D923" s="0" t="s">
        <v>132</v>
      </c>
      <c r="E923" s="0" t="s">
        <v>1451</v>
      </c>
      <c r="F923" s="0" t="n">
        <v>0</v>
      </c>
      <c r="G923" s="0" t="n">
        <v>0</v>
      </c>
      <c r="H923" s="0" t="s">
        <v>580</v>
      </c>
      <c r="K923" s="0" t="s">
        <v>600</v>
      </c>
      <c r="L923" s="0" t="s">
        <v>2445</v>
      </c>
    </row>
    <row r="924" customFormat="false" ht="15" hidden="false" customHeight="false" outlineLevel="0" collapsed="false">
      <c r="A924" s="0" t="s">
        <v>63</v>
      </c>
      <c r="B924" s="0" t="s">
        <v>345</v>
      </c>
      <c r="C924" s="0" t="s">
        <v>1440</v>
      </c>
      <c r="D924" s="0" t="s">
        <v>139</v>
      </c>
      <c r="E924" s="0" t="s">
        <v>2446</v>
      </c>
      <c r="F924" s="0" t="n">
        <v>4</v>
      </c>
      <c r="G924" s="0" t="n">
        <v>1</v>
      </c>
      <c r="H924" s="0" t="s">
        <v>585</v>
      </c>
      <c r="I924" s="0" t="s">
        <v>336</v>
      </c>
      <c r="K924" s="0" t="s">
        <v>604</v>
      </c>
      <c r="L924" s="0" t="s">
        <v>2447</v>
      </c>
    </row>
    <row r="925" customFormat="false" ht="15" hidden="false" customHeight="false" outlineLevel="0" collapsed="false">
      <c r="A925" s="0" t="s">
        <v>63</v>
      </c>
      <c r="B925" s="0" t="s">
        <v>266</v>
      </c>
      <c r="C925" s="0" t="s">
        <v>1440</v>
      </c>
      <c r="D925" s="0" t="s">
        <v>143</v>
      </c>
      <c r="E925" s="0" t="s">
        <v>1455</v>
      </c>
      <c r="F925" s="0" t="n">
        <v>1</v>
      </c>
      <c r="G925" s="0" t="n">
        <v>1</v>
      </c>
      <c r="H925" s="0" t="s">
        <v>580</v>
      </c>
      <c r="I925" s="0" t="s">
        <v>340</v>
      </c>
      <c r="K925" s="0" t="s">
        <v>607</v>
      </c>
      <c r="L925" s="0" t="s">
        <v>2448</v>
      </c>
    </row>
    <row r="926" customFormat="false" ht="15" hidden="false" customHeight="false" outlineLevel="0" collapsed="false">
      <c r="A926" s="0" t="s">
        <v>63</v>
      </c>
      <c r="B926" s="0" t="s">
        <v>266</v>
      </c>
      <c r="C926" s="0" t="s">
        <v>1440</v>
      </c>
      <c r="D926" s="0" t="s">
        <v>146</v>
      </c>
      <c r="E926" s="0" t="s">
        <v>2449</v>
      </c>
      <c r="F926" s="0" t="n">
        <v>4</v>
      </c>
      <c r="G926" s="0" t="n">
        <v>4</v>
      </c>
      <c r="H926" s="0" t="s">
        <v>580</v>
      </c>
      <c r="I926" s="0" t="s">
        <v>334</v>
      </c>
      <c r="K926" s="0" t="s">
        <v>610</v>
      </c>
      <c r="L926" s="0" t="s">
        <v>2450</v>
      </c>
    </row>
    <row r="927" customFormat="false" ht="15" hidden="false" customHeight="false" outlineLevel="0" collapsed="false">
      <c r="A927" s="0" t="s">
        <v>63</v>
      </c>
      <c r="B927" s="0" t="s">
        <v>266</v>
      </c>
      <c r="C927" s="0" t="s">
        <v>1440</v>
      </c>
      <c r="D927" s="0" t="s">
        <v>149</v>
      </c>
      <c r="E927" s="0" t="s">
        <v>1459</v>
      </c>
      <c r="F927" s="0" t="n">
        <v>4</v>
      </c>
      <c r="G927" s="0" t="n">
        <v>4</v>
      </c>
      <c r="H927" s="0" t="s">
        <v>580</v>
      </c>
      <c r="I927" s="0" t="s">
        <v>336</v>
      </c>
      <c r="K927" s="0" t="s">
        <v>613</v>
      </c>
      <c r="L927" s="0" t="s">
        <v>2451</v>
      </c>
    </row>
    <row r="928" customFormat="false" ht="15" hidden="false" customHeight="false" outlineLevel="0" collapsed="false">
      <c r="A928" s="0" t="s">
        <v>63</v>
      </c>
      <c r="B928" s="0" t="s">
        <v>345</v>
      </c>
      <c r="C928" s="0" t="s">
        <v>1440</v>
      </c>
      <c r="D928" s="0" t="s">
        <v>152</v>
      </c>
      <c r="E928" s="0" t="s">
        <v>2452</v>
      </c>
      <c r="F928" s="0" t="n">
        <v>4</v>
      </c>
      <c r="G928" s="0" t="n">
        <v>3</v>
      </c>
      <c r="H928" s="0" t="s">
        <v>585</v>
      </c>
      <c r="I928" s="0" t="s">
        <v>340</v>
      </c>
      <c r="K928" s="0" t="s">
        <v>616</v>
      </c>
      <c r="L928" s="0" t="s">
        <v>2453</v>
      </c>
    </row>
    <row r="929" customFormat="false" ht="15" hidden="false" customHeight="false" outlineLevel="0" collapsed="false">
      <c r="A929" s="0" t="s">
        <v>63</v>
      </c>
      <c r="B929" s="0" t="s">
        <v>266</v>
      </c>
      <c r="C929" s="0" t="s">
        <v>1440</v>
      </c>
      <c r="D929" s="0" t="s">
        <v>155</v>
      </c>
      <c r="E929" s="0" t="s">
        <v>2454</v>
      </c>
      <c r="F929" s="0" t="n">
        <v>5</v>
      </c>
      <c r="G929" s="0" t="n">
        <v>4</v>
      </c>
      <c r="H929" s="0" t="s">
        <v>585</v>
      </c>
      <c r="I929" s="0" t="s">
        <v>343</v>
      </c>
      <c r="K929" s="0" t="s">
        <v>620</v>
      </c>
      <c r="L929" s="0" t="s">
        <v>2455</v>
      </c>
    </row>
    <row r="930" customFormat="false" ht="15" hidden="false" customHeight="false" outlineLevel="0" collapsed="false">
      <c r="A930" s="0" t="s">
        <v>63</v>
      </c>
      <c r="C930" s="0" t="s">
        <v>1465</v>
      </c>
      <c r="D930" s="0" t="s">
        <v>987</v>
      </c>
      <c r="E930" s="0" t="s">
        <v>1466</v>
      </c>
      <c r="F930" s="0" t="n">
        <v>0</v>
      </c>
      <c r="G930" s="0" t="n">
        <v>0</v>
      </c>
      <c r="H930" s="0" t="s">
        <v>580</v>
      </c>
      <c r="K930" s="0" t="s">
        <v>581</v>
      </c>
      <c r="L930" s="0" t="s">
        <v>2456</v>
      </c>
    </row>
    <row r="931" customFormat="false" ht="15" hidden="false" customHeight="false" outlineLevel="0" collapsed="false">
      <c r="A931" s="0" t="s">
        <v>63</v>
      </c>
      <c r="B931" s="0" t="s">
        <v>266</v>
      </c>
      <c r="C931" s="0" t="s">
        <v>1465</v>
      </c>
      <c r="D931" s="0" t="s">
        <v>990</v>
      </c>
      <c r="E931" s="0" t="s">
        <v>2457</v>
      </c>
      <c r="F931" s="0" t="n">
        <v>4</v>
      </c>
      <c r="G931" s="0" t="n">
        <v>4</v>
      </c>
      <c r="H931" s="0" t="s">
        <v>580</v>
      </c>
      <c r="I931" s="0" t="s">
        <v>339</v>
      </c>
      <c r="K931" s="0" t="s">
        <v>586</v>
      </c>
      <c r="L931" s="0" t="s">
        <v>2458</v>
      </c>
    </row>
    <row r="932" customFormat="false" ht="15" hidden="false" customHeight="false" outlineLevel="0" collapsed="false">
      <c r="A932" s="0" t="s">
        <v>63</v>
      </c>
      <c r="B932" s="0" t="s">
        <v>345</v>
      </c>
      <c r="C932" s="0" t="s">
        <v>1465</v>
      </c>
      <c r="D932" s="0" t="s">
        <v>993</v>
      </c>
      <c r="E932" s="0" t="s">
        <v>1470</v>
      </c>
      <c r="F932" s="0" t="n">
        <v>4</v>
      </c>
      <c r="G932" s="0" t="n">
        <v>4</v>
      </c>
      <c r="H932" s="0" t="s">
        <v>580</v>
      </c>
      <c r="I932" s="0" t="s">
        <v>343</v>
      </c>
      <c r="J932" s="0" t="s">
        <v>339</v>
      </c>
      <c r="K932" s="0" t="s">
        <v>590</v>
      </c>
      <c r="L932" s="0" t="s">
        <v>2459</v>
      </c>
    </row>
    <row r="933" customFormat="false" ht="15" hidden="false" customHeight="false" outlineLevel="0" collapsed="false">
      <c r="A933" s="0" t="s">
        <v>63</v>
      </c>
      <c r="B933" s="0" t="s">
        <v>42</v>
      </c>
      <c r="C933" s="0" t="s">
        <v>1465</v>
      </c>
      <c r="D933" s="0" t="s">
        <v>126</v>
      </c>
      <c r="E933" s="0" t="s">
        <v>2460</v>
      </c>
      <c r="F933" s="0" t="n">
        <v>5</v>
      </c>
      <c r="G933" s="0" t="n">
        <v>3</v>
      </c>
      <c r="H933" s="0" t="s">
        <v>585</v>
      </c>
      <c r="I933" s="0" t="s">
        <v>334</v>
      </c>
      <c r="K933" s="0" t="s">
        <v>594</v>
      </c>
      <c r="L933" s="0" t="s">
        <v>2461</v>
      </c>
    </row>
    <row r="934" customFormat="false" ht="15" hidden="false" customHeight="false" outlineLevel="0" collapsed="false">
      <c r="A934" s="0" t="s">
        <v>63</v>
      </c>
      <c r="B934" s="0" t="s">
        <v>266</v>
      </c>
      <c r="C934" s="0" t="s">
        <v>1465</v>
      </c>
      <c r="D934" s="0" t="s">
        <v>129</v>
      </c>
      <c r="E934" s="0" t="s">
        <v>1474</v>
      </c>
      <c r="F934" s="0" t="n">
        <v>4</v>
      </c>
      <c r="G934" s="0" t="n">
        <v>4</v>
      </c>
      <c r="H934" s="0" t="s">
        <v>580</v>
      </c>
      <c r="I934" s="0" t="s">
        <v>340</v>
      </c>
      <c r="K934" s="0" t="s">
        <v>597</v>
      </c>
      <c r="L934" s="0" t="s">
        <v>2462</v>
      </c>
    </row>
    <row r="935" customFormat="false" ht="15" hidden="false" customHeight="false" outlineLevel="0" collapsed="false">
      <c r="A935" s="0" t="s">
        <v>63</v>
      </c>
      <c r="B935" s="0" t="s">
        <v>345</v>
      </c>
      <c r="C935" s="0" t="s">
        <v>1465</v>
      </c>
      <c r="D935" s="0" t="s">
        <v>132</v>
      </c>
      <c r="E935" s="0" t="s">
        <v>2463</v>
      </c>
      <c r="F935" s="0" t="n">
        <v>4</v>
      </c>
      <c r="G935" s="0" t="n">
        <v>2</v>
      </c>
      <c r="H935" s="0" t="s">
        <v>585</v>
      </c>
      <c r="I935" s="0" t="s">
        <v>343</v>
      </c>
      <c r="K935" s="0" t="s">
        <v>600</v>
      </c>
      <c r="L935" s="0" t="s">
        <v>2464</v>
      </c>
    </row>
    <row r="936" customFormat="false" ht="15" hidden="false" customHeight="false" outlineLevel="0" collapsed="false">
      <c r="A936" s="0" t="s">
        <v>63</v>
      </c>
      <c r="B936" s="0" t="s">
        <v>266</v>
      </c>
      <c r="C936" s="0" t="s">
        <v>1465</v>
      </c>
      <c r="D936" s="0" t="s">
        <v>139</v>
      </c>
      <c r="E936" s="0" t="s">
        <v>2465</v>
      </c>
      <c r="F936" s="0" t="n">
        <v>5</v>
      </c>
      <c r="G936" s="0" t="n">
        <v>4</v>
      </c>
      <c r="H936" s="0" t="s">
        <v>585</v>
      </c>
      <c r="I936" s="0" t="s">
        <v>339</v>
      </c>
      <c r="K936" s="0" t="s">
        <v>604</v>
      </c>
      <c r="L936" s="0" t="s">
        <v>2466</v>
      </c>
    </row>
    <row r="937" customFormat="false" ht="15" hidden="false" customHeight="false" outlineLevel="0" collapsed="false">
      <c r="A937" s="0" t="s">
        <v>63</v>
      </c>
      <c r="B937" s="0" t="s">
        <v>345</v>
      </c>
      <c r="C937" s="0" t="s">
        <v>1465</v>
      </c>
      <c r="D937" s="0" t="s">
        <v>143</v>
      </c>
      <c r="E937" s="0" t="s">
        <v>1480</v>
      </c>
      <c r="F937" s="0" t="n">
        <v>4</v>
      </c>
      <c r="G937" s="0" t="n">
        <v>3</v>
      </c>
      <c r="H937" s="0" t="s">
        <v>585</v>
      </c>
      <c r="I937" s="0" t="s">
        <v>334</v>
      </c>
      <c r="K937" s="0" t="s">
        <v>607</v>
      </c>
      <c r="L937" s="0" t="s">
        <v>2467</v>
      </c>
    </row>
    <row r="938" customFormat="false" ht="15" hidden="false" customHeight="false" outlineLevel="0" collapsed="false">
      <c r="A938" s="0" t="s">
        <v>63</v>
      </c>
      <c r="B938" s="0" t="s">
        <v>42</v>
      </c>
      <c r="C938" s="0" t="s">
        <v>1465</v>
      </c>
      <c r="D938" s="0" t="s">
        <v>146</v>
      </c>
      <c r="E938" s="0" t="s">
        <v>2468</v>
      </c>
      <c r="F938" s="0" t="n">
        <v>5</v>
      </c>
      <c r="G938" s="0" t="n">
        <v>3</v>
      </c>
      <c r="H938" s="0" t="s">
        <v>585</v>
      </c>
      <c r="I938" s="0" t="s">
        <v>334</v>
      </c>
      <c r="K938" s="0" t="s">
        <v>610</v>
      </c>
      <c r="L938" s="0" t="s">
        <v>2469</v>
      </c>
    </row>
    <row r="939" customFormat="false" ht="15" hidden="false" customHeight="false" outlineLevel="0" collapsed="false">
      <c r="A939" s="0" t="s">
        <v>63</v>
      </c>
      <c r="B939" s="0" t="s">
        <v>266</v>
      </c>
      <c r="C939" s="0" t="s">
        <v>1465</v>
      </c>
      <c r="D939" s="0" t="s">
        <v>149</v>
      </c>
      <c r="E939" s="0" t="s">
        <v>1484</v>
      </c>
      <c r="F939" s="0" t="n">
        <v>5</v>
      </c>
      <c r="G939" s="0" t="n">
        <v>4</v>
      </c>
      <c r="H939" s="0" t="s">
        <v>585</v>
      </c>
      <c r="I939" s="0" t="s">
        <v>343</v>
      </c>
      <c r="K939" s="0" t="s">
        <v>613</v>
      </c>
      <c r="L939" s="0" t="s">
        <v>2470</v>
      </c>
    </row>
    <row r="940" customFormat="false" ht="15" hidden="false" customHeight="false" outlineLevel="0" collapsed="false">
      <c r="A940" s="0" t="s">
        <v>63</v>
      </c>
      <c r="B940" s="0" t="s">
        <v>266</v>
      </c>
      <c r="C940" s="0" t="s">
        <v>1465</v>
      </c>
      <c r="D940" s="0" t="s">
        <v>152</v>
      </c>
      <c r="E940" s="0" t="s">
        <v>1486</v>
      </c>
      <c r="F940" s="0" t="n">
        <v>4</v>
      </c>
      <c r="G940" s="0" t="n">
        <v>4</v>
      </c>
      <c r="H940" s="0" t="s">
        <v>580</v>
      </c>
      <c r="I940" s="0" t="s">
        <v>339</v>
      </c>
      <c r="K940" s="0" t="s">
        <v>616</v>
      </c>
      <c r="L940" s="0" t="s">
        <v>2471</v>
      </c>
    </row>
    <row r="941" customFormat="false" ht="15" hidden="false" customHeight="false" outlineLevel="0" collapsed="false">
      <c r="A941" s="0" t="s">
        <v>63</v>
      </c>
      <c r="B941" s="0" t="s">
        <v>266</v>
      </c>
      <c r="C941" s="0" t="s">
        <v>1465</v>
      </c>
      <c r="D941" s="0" t="s">
        <v>155</v>
      </c>
      <c r="E941" s="0" t="s">
        <v>2472</v>
      </c>
      <c r="F941" s="0" t="n">
        <v>5</v>
      </c>
      <c r="G941" s="0" t="n">
        <v>3</v>
      </c>
      <c r="H941" s="0" t="s">
        <v>585</v>
      </c>
      <c r="I941" s="0" t="s">
        <v>342</v>
      </c>
      <c r="K941" s="0" t="s">
        <v>620</v>
      </c>
      <c r="L941" s="0" t="s">
        <v>2473</v>
      </c>
    </row>
    <row r="942" customFormat="false" ht="15" hidden="false" customHeight="false" outlineLevel="0" collapsed="false">
      <c r="A942" s="0" t="s">
        <v>63</v>
      </c>
      <c r="C942" s="0" t="s">
        <v>1490</v>
      </c>
      <c r="D942" s="0" t="s">
        <v>987</v>
      </c>
      <c r="E942" s="0" t="s">
        <v>1491</v>
      </c>
      <c r="F942" s="0" t="n">
        <v>0</v>
      </c>
      <c r="G942" s="0" t="n">
        <v>0</v>
      </c>
      <c r="H942" s="0" t="s">
        <v>580</v>
      </c>
      <c r="K942" s="0" t="s">
        <v>581</v>
      </c>
      <c r="L942" s="0" t="s">
        <v>2474</v>
      </c>
    </row>
    <row r="943" customFormat="false" ht="15" hidden="false" customHeight="false" outlineLevel="0" collapsed="false">
      <c r="A943" s="0" t="s">
        <v>63</v>
      </c>
      <c r="B943" s="0" t="s">
        <v>266</v>
      </c>
      <c r="C943" s="0" t="s">
        <v>1490</v>
      </c>
      <c r="D943" s="0" t="s">
        <v>990</v>
      </c>
      <c r="E943" s="0" t="s">
        <v>2475</v>
      </c>
      <c r="F943" s="0" t="n">
        <v>3</v>
      </c>
      <c r="G943" s="0" t="n">
        <v>4</v>
      </c>
      <c r="H943" s="0" t="s">
        <v>580</v>
      </c>
      <c r="I943" s="0" t="s">
        <v>343</v>
      </c>
      <c r="K943" s="0" t="s">
        <v>586</v>
      </c>
      <c r="L943" s="0" t="s">
        <v>2476</v>
      </c>
    </row>
    <row r="944" customFormat="false" ht="15" hidden="false" customHeight="false" outlineLevel="0" collapsed="false">
      <c r="A944" s="0" t="s">
        <v>63</v>
      </c>
      <c r="B944" s="0" t="s">
        <v>345</v>
      </c>
      <c r="C944" s="0" t="s">
        <v>1490</v>
      </c>
      <c r="D944" s="0" t="s">
        <v>993</v>
      </c>
      <c r="E944" s="0" t="s">
        <v>1495</v>
      </c>
      <c r="F944" s="0" t="n">
        <v>4</v>
      </c>
      <c r="G944" s="0" t="n">
        <v>3</v>
      </c>
      <c r="H944" s="0" t="s">
        <v>585</v>
      </c>
      <c r="I944" s="0" t="s">
        <v>340</v>
      </c>
      <c r="K944" s="0" t="s">
        <v>590</v>
      </c>
      <c r="L944" s="0" t="s">
        <v>2477</v>
      </c>
    </row>
    <row r="945" customFormat="false" ht="15" hidden="false" customHeight="false" outlineLevel="0" collapsed="false">
      <c r="A945" s="0" t="s">
        <v>63</v>
      </c>
      <c r="B945" s="0" t="s">
        <v>266</v>
      </c>
      <c r="C945" s="0" t="s">
        <v>1490</v>
      </c>
      <c r="D945" s="0" t="s">
        <v>126</v>
      </c>
      <c r="E945" s="0" t="s">
        <v>1497</v>
      </c>
      <c r="F945" s="0" t="n">
        <v>4</v>
      </c>
      <c r="G945" s="0" t="n">
        <v>4</v>
      </c>
      <c r="H945" s="0" t="s">
        <v>580</v>
      </c>
      <c r="I945" s="0" t="s">
        <v>334</v>
      </c>
      <c r="K945" s="0" t="s">
        <v>594</v>
      </c>
      <c r="L945" s="0" t="s">
        <v>2478</v>
      </c>
    </row>
    <row r="946" customFormat="false" ht="15" hidden="false" customHeight="false" outlineLevel="0" collapsed="false">
      <c r="A946" s="0" t="s">
        <v>63</v>
      </c>
      <c r="B946" s="0" t="s">
        <v>266</v>
      </c>
      <c r="C946" s="0" t="s">
        <v>1490</v>
      </c>
      <c r="D946" s="0" t="s">
        <v>129</v>
      </c>
      <c r="E946" s="0" t="s">
        <v>2479</v>
      </c>
      <c r="F946" s="0" t="n">
        <v>5</v>
      </c>
      <c r="G946" s="0" t="n">
        <v>4</v>
      </c>
      <c r="H946" s="0" t="s">
        <v>585</v>
      </c>
      <c r="I946" s="0" t="s">
        <v>334</v>
      </c>
      <c r="K946" s="0" t="s">
        <v>597</v>
      </c>
      <c r="L946" s="0" t="s">
        <v>2480</v>
      </c>
    </row>
    <row r="947" customFormat="false" ht="15" hidden="false" customHeight="false" outlineLevel="0" collapsed="false">
      <c r="A947" s="0" t="s">
        <v>63</v>
      </c>
      <c r="B947" s="0" t="s">
        <v>345</v>
      </c>
      <c r="C947" s="0" t="s">
        <v>1490</v>
      </c>
      <c r="D947" s="0" t="s">
        <v>132</v>
      </c>
      <c r="E947" s="0" t="s">
        <v>2481</v>
      </c>
      <c r="F947" s="0" t="n">
        <v>5</v>
      </c>
      <c r="G947" s="0" t="n">
        <v>0</v>
      </c>
      <c r="H947" s="0" t="s">
        <v>585</v>
      </c>
      <c r="K947" s="0" t="s">
        <v>600</v>
      </c>
      <c r="L947" s="0" t="s">
        <v>2482</v>
      </c>
    </row>
    <row r="948" customFormat="false" ht="15" hidden="false" customHeight="false" outlineLevel="0" collapsed="false">
      <c r="A948" s="0" t="s">
        <v>63</v>
      </c>
      <c r="B948" s="0" t="s">
        <v>266</v>
      </c>
      <c r="C948" s="0" t="s">
        <v>1490</v>
      </c>
      <c r="D948" s="0" t="s">
        <v>139</v>
      </c>
      <c r="E948" s="0" t="s">
        <v>1503</v>
      </c>
      <c r="F948" s="0" t="n">
        <v>4</v>
      </c>
      <c r="G948" s="0" t="n">
        <v>3</v>
      </c>
      <c r="H948" s="0" t="s">
        <v>585</v>
      </c>
      <c r="I948" s="0" t="s">
        <v>332</v>
      </c>
      <c r="K948" s="0" t="s">
        <v>604</v>
      </c>
      <c r="L948" s="0" t="s">
        <v>2483</v>
      </c>
    </row>
    <row r="949" customFormat="false" ht="15" hidden="false" customHeight="false" outlineLevel="0" collapsed="false">
      <c r="A949" s="0" t="s">
        <v>63</v>
      </c>
      <c r="B949" s="0" t="s">
        <v>266</v>
      </c>
      <c r="C949" s="0" t="s">
        <v>1490</v>
      </c>
      <c r="D949" s="0" t="s">
        <v>143</v>
      </c>
      <c r="E949" s="0" t="s">
        <v>1505</v>
      </c>
      <c r="F949" s="0" t="n">
        <v>5</v>
      </c>
      <c r="G949" s="0" t="n">
        <v>4</v>
      </c>
      <c r="H949" s="0" t="s">
        <v>585</v>
      </c>
      <c r="I949" s="0" t="s">
        <v>339</v>
      </c>
      <c r="K949" s="0" t="s">
        <v>607</v>
      </c>
      <c r="L949" s="0" t="s">
        <v>2484</v>
      </c>
    </row>
    <row r="950" customFormat="false" ht="15" hidden="false" customHeight="false" outlineLevel="0" collapsed="false">
      <c r="A950" s="0" t="s">
        <v>63</v>
      </c>
      <c r="B950" s="0" t="s">
        <v>345</v>
      </c>
      <c r="C950" s="0" t="s">
        <v>1490</v>
      </c>
      <c r="D950" s="0" t="s">
        <v>146</v>
      </c>
      <c r="E950" s="0" t="s">
        <v>1507</v>
      </c>
      <c r="F950" s="0" t="n">
        <v>4</v>
      </c>
      <c r="G950" s="0" t="n">
        <v>0</v>
      </c>
      <c r="H950" s="0" t="s">
        <v>585</v>
      </c>
      <c r="I950" s="0" t="s">
        <v>339</v>
      </c>
      <c r="K950" s="0" t="s">
        <v>610</v>
      </c>
      <c r="L950" s="0" t="s">
        <v>2485</v>
      </c>
    </row>
    <row r="951" customFormat="false" ht="15" hidden="false" customHeight="false" outlineLevel="0" collapsed="false">
      <c r="A951" s="0" t="s">
        <v>63</v>
      </c>
      <c r="B951" s="0" t="s">
        <v>266</v>
      </c>
      <c r="C951" s="0" t="s">
        <v>1490</v>
      </c>
      <c r="D951" s="0" t="s">
        <v>149</v>
      </c>
      <c r="E951" s="0" t="s">
        <v>1509</v>
      </c>
      <c r="F951" s="0" t="n">
        <v>5</v>
      </c>
      <c r="G951" s="0" t="n">
        <v>2</v>
      </c>
      <c r="H951" s="0" t="s">
        <v>585</v>
      </c>
      <c r="I951" s="0" t="s">
        <v>334</v>
      </c>
      <c r="K951" s="0" t="s">
        <v>613</v>
      </c>
      <c r="L951" s="0" t="s">
        <v>2486</v>
      </c>
    </row>
    <row r="952" customFormat="false" ht="15" hidden="false" customHeight="false" outlineLevel="0" collapsed="false">
      <c r="A952" s="0" t="s">
        <v>63</v>
      </c>
      <c r="B952" s="0" t="s">
        <v>266</v>
      </c>
      <c r="C952" s="0" t="s">
        <v>1490</v>
      </c>
      <c r="D952" s="0" t="s">
        <v>152</v>
      </c>
      <c r="E952" s="0" t="s">
        <v>1511</v>
      </c>
      <c r="F952" s="0" t="n">
        <v>5</v>
      </c>
      <c r="G952" s="0" t="n">
        <v>2</v>
      </c>
      <c r="H952" s="0" t="s">
        <v>585</v>
      </c>
      <c r="I952" s="0" t="s">
        <v>340</v>
      </c>
      <c r="K952" s="0" t="s">
        <v>616</v>
      </c>
      <c r="L952" s="0" t="s">
        <v>2487</v>
      </c>
    </row>
    <row r="953" customFormat="false" ht="15" hidden="false" customHeight="false" outlineLevel="0" collapsed="false">
      <c r="A953" s="0" t="s">
        <v>63</v>
      </c>
      <c r="B953" s="0" t="s">
        <v>345</v>
      </c>
      <c r="C953" s="0" t="s">
        <v>1490</v>
      </c>
      <c r="D953" s="0" t="s">
        <v>155</v>
      </c>
      <c r="E953" s="0" t="s">
        <v>2488</v>
      </c>
      <c r="F953" s="0" t="n">
        <v>5</v>
      </c>
      <c r="G953" s="0" t="n">
        <v>0</v>
      </c>
      <c r="H953" s="0" t="s">
        <v>585</v>
      </c>
      <c r="K953" s="0" t="s">
        <v>620</v>
      </c>
      <c r="L953" s="0" t="s">
        <v>2489</v>
      </c>
    </row>
    <row r="954" customFormat="false" ht="15" hidden="false" customHeight="false" outlineLevel="0" collapsed="false">
      <c r="A954" s="0" t="s">
        <v>63</v>
      </c>
      <c r="C954" s="0" t="s">
        <v>1515</v>
      </c>
      <c r="D954" s="0" t="s">
        <v>987</v>
      </c>
      <c r="E954" s="0" t="s">
        <v>1516</v>
      </c>
      <c r="F954" s="0" t="n">
        <v>0</v>
      </c>
      <c r="G954" s="0" t="n">
        <v>0</v>
      </c>
      <c r="H954" s="0" t="s">
        <v>580</v>
      </c>
      <c r="K954" s="0" t="s">
        <v>581</v>
      </c>
      <c r="L954" s="0" t="s">
        <v>2490</v>
      </c>
    </row>
    <row r="955" customFormat="false" ht="15" hidden="false" customHeight="false" outlineLevel="0" collapsed="false">
      <c r="A955" s="0" t="s">
        <v>63</v>
      </c>
      <c r="C955" s="0" t="s">
        <v>1515</v>
      </c>
      <c r="D955" s="0" t="s">
        <v>990</v>
      </c>
      <c r="E955" s="0" t="s">
        <v>1518</v>
      </c>
      <c r="F955" s="0" t="n">
        <v>0</v>
      </c>
      <c r="G955" s="0" t="n">
        <v>0</v>
      </c>
      <c r="H955" s="0" t="s">
        <v>580</v>
      </c>
      <c r="K955" s="0" t="s">
        <v>586</v>
      </c>
      <c r="L955" s="0" t="s">
        <v>2491</v>
      </c>
    </row>
    <row r="956" customFormat="false" ht="15" hidden="false" customHeight="false" outlineLevel="0" collapsed="false">
      <c r="A956" s="0" t="s">
        <v>63</v>
      </c>
      <c r="C956" s="0" t="s">
        <v>1515</v>
      </c>
      <c r="D956" s="0" t="s">
        <v>993</v>
      </c>
      <c r="E956" s="0" t="s">
        <v>1520</v>
      </c>
      <c r="F956" s="0" t="n">
        <v>0</v>
      </c>
      <c r="G956" s="0" t="n">
        <v>0</v>
      </c>
      <c r="H956" s="0" t="s">
        <v>580</v>
      </c>
      <c r="K956" s="0" t="s">
        <v>590</v>
      </c>
      <c r="L956" s="0" t="s">
        <v>2492</v>
      </c>
    </row>
    <row r="957" customFormat="false" ht="15" hidden="false" customHeight="false" outlineLevel="0" collapsed="false">
      <c r="A957" s="0" t="s">
        <v>63</v>
      </c>
      <c r="C957" s="0" t="s">
        <v>1515</v>
      </c>
      <c r="D957" s="0" t="s">
        <v>126</v>
      </c>
      <c r="E957" s="0" t="s">
        <v>1522</v>
      </c>
      <c r="F957" s="0" t="n">
        <v>0</v>
      </c>
      <c r="G957" s="0" t="n">
        <v>0</v>
      </c>
      <c r="H957" s="0" t="s">
        <v>580</v>
      </c>
      <c r="K957" s="0" t="s">
        <v>594</v>
      </c>
      <c r="L957" s="0" t="s">
        <v>2493</v>
      </c>
    </row>
    <row r="958" customFormat="false" ht="15" hidden="false" customHeight="false" outlineLevel="0" collapsed="false">
      <c r="A958" s="0" t="s">
        <v>63</v>
      </c>
      <c r="C958" s="0" t="s">
        <v>1515</v>
      </c>
      <c r="D958" s="0" t="s">
        <v>129</v>
      </c>
      <c r="E958" s="0" t="s">
        <v>1524</v>
      </c>
      <c r="F958" s="0" t="n">
        <v>0</v>
      </c>
      <c r="G958" s="0" t="n">
        <v>0</v>
      </c>
      <c r="H958" s="0" t="s">
        <v>580</v>
      </c>
      <c r="K958" s="0" t="s">
        <v>597</v>
      </c>
      <c r="L958" s="0" t="s">
        <v>2494</v>
      </c>
    </row>
    <row r="959" customFormat="false" ht="15" hidden="false" customHeight="false" outlineLevel="0" collapsed="false">
      <c r="A959" s="0" t="s">
        <v>63</v>
      </c>
      <c r="C959" s="0" t="s">
        <v>1515</v>
      </c>
      <c r="D959" s="0" t="s">
        <v>132</v>
      </c>
      <c r="E959" s="0" t="s">
        <v>1526</v>
      </c>
      <c r="F959" s="0" t="n">
        <v>0</v>
      </c>
      <c r="G959" s="0" t="n">
        <v>0</v>
      </c>
      <c r="H959" s="0" t="s">
        <v>580</v>
      </c>
      <c r="K959" s="0" t="s">
        <v>600</v>
      </c>
      <c r="L959" s="0" t="s">
        <v>2495</v>
      </c>
    </row>
    <row r="960" customFormat="false" ht="15" hidden="false" customHeight="false" outlineLevel="0" collapsed="false">
      <c r="A960" s="0" t="s">
        <v>63</v>
      </c>
      <c r="C960" s="0" t="s">
        <v>1515</v>
      </c>
      <c r="D960" s="0" t="s">
        <v>139</v>
      </c>
      <c r="E960" s="0" t="s">
        <v>1528</v>
      </c>
      <c r="F960" s="0" t="n">
        <v>0</v>
      </c>
      <c r="G960" s="0" t="n">
        <v>0</v>
      </c>
      <c r="H960" s="0" t="s">
        <v>580</v>
      </c>
      <c r="K960" s="0" t="s">
        <v>604</v>
      </c>
      <c r="L960" s="0" t="s">
        <v>2496</v>
      </c>
    </row>
    <row r="961" customFormat="false" ht="15" hidden="false" customHeight="false" outlineLevel="0" collapsed="false">
      <c r="A961" s="0" t="s">
        <v>63</v>
      </c>
      <c r="C961" s="0" t="s">
        <v>1515</v>
      </c>
      <c r="D961" s="0" t="s">
        <v>143</v>
      </c>
      <c r="E961" s="0" t="s">
        <v>1530</v>
      </c>
      <c r="F961" s="0" t="n">
        <v>0</v>
      </c>
      <c r="G961" s="0" t="n">
        <v>0</v>
      </c>
      <c r="H961" s="0" t="s">
        <v>580</v>
      </c>
      <c r="K961" s="0" t="s">
        <v>607</v>
      </c>
      <c r="L961" s="0" t="s">
        <v>2497</v>
      </c>
    </row>
    <row r="962" customFormat="false" ht="15" hidden="false" customHeight="false" outlineLevel="0" collapsed="false">
      <c r="A962" s="0" t="s">
        <v>63</v>
      </c>
      <c r="C962" s="0" t="s">
        <v>1515</v>
      </c>
      <c r="D962" s="0" t="s">
        <v>146</v>
      </c>
      <c r="E962" s="0" t="s">
        <v>1532</v>
      </c>
      <c r="F962" s="0" t="n">
        <v>0</v>
      </c>
      <c r="G962" s="0" t="n">
        <v>0</v>
      </c>
      <c r="H962" s="0" t="s">
        <v>580</v>
      </c>
      <c r="K962" s="0" t="s">
        <v>610</v>
      </c>
      <c r="L962" s="0" t="s">
        <v>2498</v>
      </c>
    </row>
    <row r="963" customFormat="false" ht="15" hidden="false" customHeight="false" outlineLevel="0" collapsed="false">
      <c r="A963" s="0" t="s">
        <v>63</v>
      </c>
      <c r="C963" s="0" t="s">
        <v>1515</v>
      </c>
      <c r="D963" s="0" t="s">
        <v>149</v>
      </c>
      <c r="E963" s="0" t="s">
        <v>2499</v>
      </c>
      <c r="F963" s="0" t="n">
        <v>0</v>
      </c>
      <c r="G963" s="0" t="n">
        <v>0</v>
      </c>
      <c r="H963" s="0" t="s">
        <v>580</v>
      </c>
      <c r="K963" s="0" t="s">
        <v>613</v>
      </c>
      <c r="L963" s="0" t="s">
        <v>2500</v>
      </c>
    </row>
    <row r="964" customFormat="false" ht="15" hidden="false" customHeight="false" outlineLevel="0" collapsed="false">
      <c r="A964" s="0" t="s">
        <v>63</v>
      </c>
      <c r="C964" s="0" t="s">
        <v>1515</v>
      </c>
      <c r="D964" s="0" t="s">
        <v>152</v>
      </c>
      <c r="E964" s="0" t="s">
        <v>2501</v>
      </c>
      <c r="F964" s="0" t="n">
        <v>0</v>
      </c>
      <c r="G964" s="0" t="n">
        <v>0</v>
      </c>
      <c r="H964" s="0" t="s">
        <v>580</v>
      </c>
      <c r="K964" s="0" t="s">
        <v>616</v>
      </c>
      <c r="L964" s="0" t="s">
        <v>2502</v>
      </c>
    </row>
    <row r="965" customFormat="false" ht="15" hidden="false" customHeight="false" outlineLevel="0" collapsed="false">
      <c r="A965" s="0" t="s">
        <v>63</v>
      </c>
      <c r="C965" s="0" t="s">
        <v>1515</v>
      </c>
      <c r="D965" s="0" t="s">
        <v>155</v>
      </c>
      <c r="E965" s="0" t="s">
        <v>2503</v>
      </c>
      <c r="F965" s="0" t="n">
        <v>0</v>
      </c>
      <c r="G965" s="0" t="n">
        <v>0</v>
      </c>
      <c r="H965" s="0" t="s">
        <v>580</v>
      </c>
      <c r="K965" s="0" t="s">
        <v>620</v>
      </c>
      <c r="L965" s="0" t="s">
        <v>2504</v>
      </c>
    </row>
    <row r="966" customFormat="false" ht="15" hidden="false" customHeight="false" outlineLevel="0" collapsed="false">
      <c r="A966" s="0" t="s">
        <v>63</v>
      </c>
      <c r="C966" s="0" t="s">
        <v>1540</v>
      </c>
      <c r="D966" s="0" t="s">
        <v>987</v>
      </c>
      <c r="E966" s="0" t="s">
        <v>1541</v>
      </c>
      <c r="F966" s="0" t="n">
        <v>0</v>
      </c>
      <c r="G966" s="0" t="n">
        <v>0</v>
      </c>
      <c r="H966" s="0" t="s">
        <v>580</v>
      </c>
      <c r="K966" s="0" t="s">
        <v>581</v>
      </c>
      <c r="L966" s="0" t="s">
        <v>2505</v>
      </c>
    </row>
    <row r="967" customFormat="false" ht="15" hidden="false" customHeight="false" outlineLevel="0" collapsed="false">
      <c r="A967" s="0" t="s">
        <v>63</v>
      </c>
      <c r="C967" s="0" t="s">
        <v>1540</v>
      </c>
      <c r="D967" s="0" t="s">
        <v>990</v>
      </c>
      <c r="E967" s="0" t="s">
        <v>1543</v>
      </c>
      <c r="F967" s="0" t="n">
        <v>0</v>
      </c>
      <c r="G967" s="0" t="n">
        <v>0</v>
      </c>
      <c r="H967" s="0" t="s">
        <v>580</v>
      </c>
      <c r="K967" s="0" t="s">
        <v>586</v>
      </c>
      <c r="L967" s="0" t="s">
        <v>2506</v>
      </c>
    </row>
    <row r="968" customFormat="false" ht="15" hidden="false" customHeight="false" outlineLevel="0" collapsed="false">
      <c r="A968" s="0" t="s">
        <v>63</v>
      </c>
      <c r="C968" s="0" t="s">
        <v>1540</v>
      </c>
      <c r="D968" s="0" t="s">
        <v>993</v>
      </c>
      <c r="E968" s="0" t="s">
        <v>1545</v>
      </c>
      <c r="F968" s="0" t="n">
        <v>0</v>
      </c>
      <c r="G968" s="0" t="n">
        <v>0</v>
      </c>
      <c r="H968" s="0" t="s">
        <v>580</v>
      </c>
      <c r="K968" s="0" t="s">
        <v>590</v>
      </c>
      <c r="L968" s="0" t="s">
        <v>2507</v>
      </c>
    </row>
    <row r="969" customFormat="false" ht="15" hidden="false" customHeight="false" outlineLevel="0" collapsed="false">
      <c r="A969" s="0" t="s">
        <v>63</v>
      </c>
      <c r="C969" s="0" t="s">
        <v>1540</v>
      </c>
      <c r="D969" s="0" t="s">
        <v>126</v>
      </c>
      <c r="E969" s="0" t="s">
        <v>1547</v>
      </c>
      <c r="F969" s="0" t="n">
        <v>0</v>
      </c>
      <c r="G969" s="0" t="n">
        <v>0</v>
      </c>
      <c r="H969" s="0" t="s">
        <v>580</v>
      </c>
      <c r="K969" s="0" t="s">
        <v>594</v>
      </c>
      <c r="L969" s="0" t="s">
        <v>2508</v>
      </c>
    </row>
    <row r="970" customFormat="false" ht="15" hidden="false" customHeight="false" outlineLevel="0" collapsed="false">
      <c r="A970" s="0" t="s">
        <v>63</v>
      </c>
      <c r="C970" s="0" t="s">
        <v>1540</v>
      </c>
      <c r="D970" s="0" t="s">
        <v>129</v>
      </c>
      <c r="E970" s="0" t="s">
        <v>1549</v>
      </c>
      <c r="F970" s="0" t="n">
        <v>0</v>
      </c>
      <c r="G970" s="0" t="n">
        <v>0</v>
      </c>
      <c r="H970" s="0" t="s">
        <v>580</v>
      </c>
      <c r="K970" s="0" t="s">
        <v>597</v>
      </c>
      <c r="L970" s="0" t="s">
        <v>2509</v>
      </c>
    </row>
    <row r="971" customFormat="false" ht="15" hidden="false" customHeight="false" outlineLevel="0" collapsed="false">
      <c r="A971" s="0" t="s">
        <v>63</v>
      </c>
      <c r="C971" s="0" t="s">
        <v>1540</v>
      </c>
      <c r="D971" s="0" t="s">
        <v>132</v>
      </c>
      <c r="E971" s="0" t="s">
        <v>1551</v>
      </c>
      <c r="F971" s="0" t="n">
        <v>0</v>
      </c>
      <c r="G971" s="0" t="n">
        <v>0</v>
      </c>
      <c r="H971" s="0" t="s">
        <v>580</v>
      </c>
      <c r="K971" s="0" t="s">
        <v>600</v>
      </c>
      <c r="L971" s="0" t="s">
        <v>2510</v>
      </c>
    </row>
    <row r="972" customFormat="false" ht="15" hidden="false" customHeight="false" outlineLevel="0" collapsed="false">
      <c r="A972" s="0" t="s">
        <v>63</v>
      </c>
      <c r="C972" s="0" t="s">
        <v>1540</v>
      </c>
      <c r="D972" s="0" t="s">
        <v>139</v>
      </c>
      <c r="E972" s="0" t="s">
        <v>1553</v>
      </c>
      <c r="F972" s="0" t="n">
        <v>0</v>
      </c>
      <c r="G972" s="0" t="n">
        <v>0</v>
      </c>
      <c r="H972" s="0" t="s">
        <v>580</v>
      </c>
      <c r="K972" s="0" t="s">
        <v>604</v>
      </c>
      <c r="L972" s="0" t="s">
        <v>2511</v>
      </c>
    </row>
    <row r="973" customFormat="false" ht="15" hidden="false" customHeight="false" outlineLevel="0" collapsed="false">
      <c r="A973" s="0" t="s">
        <v>63</v>
      </c>
      <c r="C973" s="0" t="s">
        <v>1540</v>
      </c>
      <c r="D973" s="0" t="s">
        <v>143</v>
      </c>
      <c r="E973" s="0" t="s">
        <v>1555</v>
      </c>
      <c r="F973" s="0" t="n">
        <v>0</v>
      </c>
      <c r="G973" s="0" t="n">
        <v>0</v>
      </c>
      <c r="H973" s="0" t="s">
        <v>580</v>
      </c>
      <c r="K973" s="0" t="s">
        <v>607</v>
      </c>
      <c r="L973" s="0" t="s">
        <v>2512</v>
      </c>
    </row>
    <row r="974" customFormat="false" ht="15" hidden="false" customHeight="false" outlineLevel="0" collapsed="false">
      <c r="A974" s="0" t="s">
        <v>63</v>
      </c>
      <c r="C974" s="0" t="s">
        <v>1540</v>
      </c>
      <c r="D974" s="0" t="s">
        <v>146</v>
      </c>
      <c r="E974" s="0" t="s">
        <v>1557</v>
      </c>
      <c r="F974" s="0" t="n">
        <v>0</v>
      </c>
      <c r="G974" s="0" t="n">
        <v>0</v>
      </c>
      <c r="H974" s="0" t="s">
        <v>580</v>
      </c>
      <c r="K974" s="0" t="s">
        <v>610</v>
      </c>
      <c r="L974" s="0" t="s">
        <v>2513</v>
      </c>
    </row>
    <row r="975" customFormat="false" ht="15" hidden="false" customHeight="false" outlineLevel="0" collapsed="false">
      <c r="A975" s="0" t="s">
        <v>63</v>
      </c>
      <c r="C975" s="0" t="s">
        <v>1540</v>
      </c>
      <c r="D975" s="0" t="s">
        <v>149</v>
      </c>
      <c r="E975" s="0" t="s">
        <v>1559</v>
      </c>
      <c r="F975" s="0" t="n">
        <v>0</v>
      </c>
      <c r="G975" s="0" t="n">
        <v>0</v>
      </c>
      <c r="H975" s="0" t="s">
        <v>580</v>
      </c>
      <c r="K975" s="0" t="s">
        <v>613</v>
      </c>
      <c r="L975" s="0" t="s">
        <v>2514</v>
      </c>
    </row>
    <row r="976" customFormat="false" ht="15" hidden="false" customHeight="false" outlineLevel="0" collapsed="false">
      <c r="A976" s="0" t="s">
        <v>63</v>
      </c>
      <c r="C976" s="0" t="s">
        <v>1540</v>
      </c>
      <c r="D976" s="0" t="s">
        <v>152</v>
      </c>
      <c r="E976" s="0" t="s">
        <v>1561</v>
      </c>
      <c r="F976" s="0" t="n">
        <v>0</v>
      </c>
      <c r="G976" s="0" t="n">
        <v>0</v>
      </c>
      <c r="H976" s="0" t="s">
        <v>580</v>
      </c>
      <c r="K976" s="0" t="s">
        <v>616</v>
      </c>
      <c r="L976" s="0" t="s">
        <v>2515</v>
      </c>
    </row>
    <row r="977" customFormat="false" ht="15" hidden="false" customHeight="false" outlineLevel="0" collapsed="false">
      <c r="A977" s="0" t="s">
        <v>63</v>
      </c>
      <c r="C977" s="0" t="s">
        <v>1540</v>
      </c>
      <c r="D977" s="0" t="s">
        <v>155</v>
      </c>
      <c r="E977" s="0" t="s">
        <v>1563</v>
      </c>
      <c r="F977" s="0" t="n">
        <v>0</v>
      </c>
      <c r="G977" s="0" t="n">
        <v>0</v>
      </c>
      <c r="H977" s="0" t="s">
        <v>580</v>
      </c>
      <c r="K977" s="0" t="s">
        <v>620</v>
      </c>
      <c r="L977" s="0" t="s">
        <v>2516</v>
      </c>
    </row>
    <row r="978" customFormat="false" ht="15" hidden="false" customHeight="false" outlineLevel="0" collapsed="false">
      <c r="A978" s="0" t="s">
        <v>63</v>
      </c>
      <c r="C978" s="0" t="s">
        <v>1565</v>
      </c>
      <c r="D978" s="0" t="s">
        <v>987</v>
      </c>
      <c r="E978" s="0" t="s">
        <v>1566</v>
      </c>
      <c r="F978" s="0" t="n">
        <v>0</v>
      </c>
      <c r="G978" s="0" t="n">
        <v>0</v>
      </c>
      <c r="H978" s="0" t="s">
        <v>580</v>
      </c>
      <c r="K978" s="0" t="s">
        <v>581</v>
      </c>
      <c r="L978" s="0" t="s">
        <v>2517</v>
      </c>
    </row>
    <row r="979" customFormat="false" ht="15" hidden="false" customHeight="false" outlineLevel="0" collapsed="false">
      <c r="A979" s="0" t="s">
        <v>63</v>
      </c>
      <c r="C979" s="0" t="s">
        <v>1565</v>
      </c>
      <c r="D979" s="0" t="s">
        <v>990</v>
      </c>
      <c r="E979" s="0" t="s">
        <v>1568</v>
      </c>
      <c r="F979" s="0" t="n">
        <v>0</v>
      </c>
      <c r="G979" s="0" t="n">
        <v>0</v>
      </c>
      <c r="H979" s="0" t="s">
        <v>580</v>
      </c>
      <c r="K979" s="0" t="s">
        <v>586</v>
      </c>
      <c r="L979" s="0" t="s">
        <v>2518</v>
      </c>
    </row>
    <row r="980" customFormat="false" ht="15" hidden="false" customHeight="false" outlineLevel="0" collapsed="false">
      <c r="A980" s="0" t="s">
        <v>63</v>
      </c>
      <c r="C980" s="0" t="s">
        <v>1565</v>
      </c>
      <c r="D980" s="0" t="s">
        <v>993</v>
      </c>
      <c r="E980" s="0" t="s">
        <v>1570</v>
      </c>
      <c r="F980" s="0" t="n">
        <v>0</v>
      </c>
      <c r="G980" s="0" t="n">
        <v>0</v>
      </c>
      <c r="H980" s="0" t="s">
        <v>580</v>
      </c>
      <c r="K980" s="0" t="s">
        <v>590</v>
      </c>
      <c r="L980" s="0" t="s">
        <v>2519</v>
      </c>
    </row>
    <row r="981" customFormat="false" ht="15" hidden="false" customHeight="false" outlineLevel="0" collapsed="false">
      <c r="A981" s="0" t="s">
        <v>63</v>
      </c>
      <c r="C981" s="0" t="s">
        <v>1565</v>
      </c>
      <c r="D981" s="0" t="s">
        <v>126</v>
      </c>
      <c r="E981" s="0" t="s">
        <v>1572</v>
      </c>
      <c r="F981" s="0" t="n">
        <v>0</v>
      </c>
      <c r="G981" s="0" t="n">
        <v>0</v>
      </c>
      <c r="H981" s="0" t="s">
        <v>580</v>
      </c>
      <c r="K981" s="0" t="s">
        <v>594</v>
      </c>
      <c r="L981" s="0" t="s">
        <v>2520</v>
      </c>
    </row>
    <row r="982" customFormat="false" ht="15" hidden="false" customHeight="false" outlineLevel="0" collapsed="false">
      <c r="A982" s="0" t="s">
        <v>63</v>
      </c>
      <c r="C982" s="0" t="s">
        <v>1565</v>
      </c>
      <c r="D982" s="0" t="s">
        <v>129</v>
      </c>
      <c r="E982" s="0" t="s">
        <v>1574</v>
      </c>
      <c r="F982" s="0" t="n">
        <v>0</v>
      </c>
      <c r="G982" s="0" t="n">
        <v>0</v>
      </c>
      <c r="H982" s="0" t="s">
        <v>580</v>
      </c>
      <c r="K982" s="0" t="s">
        <v>597</v>
      </c>
      <c r="L982" s="0" t="s">
        <v>2521</v>
      </c>
    </row>
    <row r="983" customFormat="false" ht="15" hidden="false" customHeight="false" outlineLevel="0" collapsed="false">
      <c r="A983" s="0" t="s">
        <v>63</v>
      </c>
      <c r="C983" s="0" t="s">
        <v>1565</v>
      </c>
      <c r="D983" s="0" t="s">
        <v>132</v>
      </c>
      <c r="E983" s="0" t="s">
        <v>1576</v>
      </c>
      <c r="F983" s="0" t="n">
        <v>0</v>
      </c>
      <c r="G983" s="0" t="n">
        <v>0</v>
      </c>
      <c r="H983" s="0" t="s">
        <v>580</v>
      </c>
      <c r="K983" s="0" t="s">
        <v>600</v>
      </c>
      <c r="L983" s="0" t="s">
        <v>2522</v>
      </c>
    </row>
    <row r="984" customFormat="false" ht="15" hidden="false" customHeight="false" outlineLevel="0" collapsed="false">
      <c r="A984" s="0" t="s">
        <v>63</v>
      </c>
      <c r="C984" s="0" t="s">
        <v>1565</v>
      </c>
      <c r="D984" s="0" t="s">
        <v>139</v>
      </c>
      <c r="E984" s="0" t="s">
        <v>1578</v>
      </c>
      <c r="F984" s="0" t="n">
        <v>0</v>
      </c>
      <c r="G984" s="0" t="n">
        <v>0</v>
      </c>
      <c r="H984" s="0" t="s">
        <v>580</v>
      </c>
      <c r="K984" s="0" t="s">
        <v>604</v>
      </c>
      <c r="L984" s="0" t="s">
        <v>2523</v>
      </c>
    </row>
    <row r="985" customFormat="false" ht="15" hidden="false" customHeight="false" outlineLevel="0" collapsed="false">
      <c r="A985" s="0" t="s">
        <v>63</v>
      </c>
      <c r="C985" s="0" t="s">
        <v>1565</v>
      </c>
      <c r="D985" s="0" t="s">
        <v>143</v>
      </c>
      <c r="E985" s="0" t="s">
        <v>1580</v>
      </c>
      <c r="F985" s="0" t="n">
        <v>0</v>
      </c>
      <c r="G985" s="0" t="n">
        <v>0</v>
      </c>
      <c r="H985" s="0" t="s">
        <v>580</v>
      </c>
      <c r="K985" s="0" t="s">
        <v>607</v>
      </c>
      <c r="L985" s="0" t="s">
        <v>2524</v>
      </c>
    </row>
    <row r="986" customFormat="false" ht="15" hidden="false" customHeight="false" outlineLevel="0" collapsed="false">
      <c r="A986" s="0" t="s">
        <v>63</v>
      </c>
      <c r="C986" s="0" t="s">
        <v>1565</v>
      </c>
      <c r="D986" s="0" t="s">
        <v>146</v>
      </c>
      <c r="E986" s="0" t="s">
        <v>1582</v>
      </c>
      <c r="F986" s="0" t="n">
        <v>0</v>
      </c>
      <c r="G986" s="0" t="n">
        <v>0</v>
      </c>
      <c r="H986" s="0" t="s">
        <v>580</v>
      </c>
      <c r="K986" s="0" t="s">
        <v>610</v>
      </c>
      <c r="L986" s="0" t="s">
        <v>2525</v>
      </c>
    </row>
    <row r="987" customFormat="false" ht="15" hidden="false" customHeight="false" outlineLevel="0" collapsed="false">
      <c r="A987" s="0" t="s">
        <v>63</v>
      </c>
      <c r="C987" s="0" t="s">
        <v>1565</v>
      </c>
      <c r="D987" s="0" t="s">
        <v>149</v>
      </c>
      <c r="E987" s="0" t="s">
        <v>1584</v>
      </c>
      <c r="F987" s="0" t="n">
        <v>0</v>
      </c>
      <c r="G987" s="0" t="n">
        <v>0</v>
      </c>
      <c r="H987" s="0" t="s">
        <v>580</v>
      </c>
      <c r="K987" s="0" t="s">
        <v>613</v>
      </c>
      <c r="L987" s="0" t="s">
        <v>2526</v>
      </c>
    </row>
    <row r="988" customFormat="false" ht="15" hidden="false" customHeight="false" outlineLevel="0" collapsed="false">
      <c r="A988" s="0" t="s">
        <v>63</v>
      </c>
      <c r="C988" s="0" t="s">
        <v>1565</v>
      </c>
      <c r="D988" s="0" t="s">
        <v>152</v>
      </c>
      <c r="E988" s="0" t="s">
        <v>1586</v>
      </c>
      <c r="F988" s="0" t="n">
        <v>0</v>
      </c>
      <c r="G988" s="0" t="n">
        <v>0</v>
      </c>
      <c r="H988" s="0" t="s">
        <v>580</v>
      </c>
      <c r="K988" s="0" t="s">
        <v>616</v>
      </c>
      <c r="L988" s="0" t="s">
        <v>2527</v>
      </c>
    </row>
    <row r="989" customFormat="false" ht="15" hidden="false" customHeight="false" outlineLevel="0" collapsed="false">
      <c r="A989" s="0" t="s">
        <v>63</v>
      </c>
      <c r="C989" s="0" t="s">
        <v>1565</v>
      </c>
      <c r="D989" s="0" t="s">
        <v>155</v>
      </c>
      <c r="E989" s="0" t="s">
        <v>1588</v>
      </c>
      <c r="F989" s="0" t="n">
        <v>0</v>
      </c>
      <c r="G989" s="0" t="n">
        <v>0</v>
      </c>
      <c r="H989" s="0" t="s">
        <v>580</v>
      </c>
      <c r="K989" s="0" t="s">
        <v>620</v>
      </c>
      <c r="L989" s="0" t="s">
        <v>2528</v>
      </c>
    </row>
    <row r="990" customFormat="false" ht="15" hidden="false" customHeight="false" outlineLevel="0" collapsed="false">
      <c r="A990" s="0" t="s">
        <v>63</v>
      </c>
      <c r="C990" s="0" t="s">
        <v>1590</v>
      </c>
      <c r="D990" s="0" t="s">
        <v>987</v>
      </c>
      <c r="E990" s="0" t="s">
        <v>1591</v>
      </c>
      <c r="F990" s="0" t="n">
        <v>0</v>
      </c>
      <c r="G990" s="0" t="n">
        <v>0</v>
      </c>
      <c r="H990" s="0" t="s">
        <v>580</v>
      </c>
      <c r="K990" s="0" t="s">
        <v>581</v>
      </c>
      <c r="L990" s="0" t="s">
        <v>2529</v>
      </c>
    </row>
    <row r="991" customFormat="false" ht="15" hidden="false" customHeight="false" outlineLevel="0" collapsed="false">
      <c r="A991" s="0" t="s">
        <v>63</v>
      </c>
      <c r="C991" s="0" t="s">
        <v>1590</v>
      </c>
      <c r="D991" s="0" t="s">
        <v>990</v>
      </c>
      <c r="E991" s="0" t="s">
        <v>1593</v>
      </c>
      <c r="F991" s="0" t="n">
        <v>0</v>
      </c>
      <c r="G991" s="0" t="n">
        <v>0</v>
      </c>
      <c r="H991" s="0" t="s">
        <v>580</v>
      </c>
      <c r="K991" s="0" t="s">
        <v>586</v>
      </c>
      <c r="L991" s="0" t="s">
        <v>2530</v>
      </c>
    </row>
    <row r="992" customFormat="false" ht="15" hidden="false" customHeight="false" outlineLevel="0" collapsed="false">
      <c r="A992" s="0" t="s">
        <v>63</v>
      </c>
      <c r="C992" s="0" t="s">
        <v>1590</v>
      </c>
      <c r="D992" s="0" t="s">
        <v>993</v>
      </c>
      <c r="E992" s="0" t="s">
        <v>1595</v>
      </c>
      <c r="F992" s="0" t="n">
        <v>0</v>
      </c>
      <c r="G992" s="0" t="n">
        <v>0</v>
      </c>
      <c r="H992" s="0" t="s">
        <v>580</v>
      </c>
      <c r="K992" s="0" t="s">
        <v>590</v>
      </c>
      <c r="L992" s="0" t="s">
        <v>2531</v>
      </c>
    </row>
    <row r="993" customFormat="false" ht="15" hidden="false" customHeight="false" outlineLevel="0" collapsed="false">
      <c r="A993" s="0" t="s">
        <v>63</v>
      </c>
      <c r="C993" s="0" t="s">
        <v>1590</v>
      </c>
      <c r="D993" s="0" t="s">
        <v>126</v>
      </c>
      <c r="E993" s="0" t="s">
        <v>1597</v>
      </c>
      <c r="F993" s="0" t="n">
        <v>0</v>
      </c>
      <c r="G993" s="0" t="n">
        <v>0</v>
      </c>
      <c r="H993" s="0" t="s">
        <v>580</v>
      </c>
      <c r="K993" s="0" t="s">
        <v>594</v>
      </c>
      <c r="L993" s="0" t="s">
        <v>2532</v>
      </c>
    </row>
    <row r="994" customFormat="false" ht="15" hidden="false" customHeight="false" outlineLevel="0" collapsed="false">
      <c r="A994" s="0" t="s">
        <v>63</v>
      </c>
      <c r="C994" s="0" t="s">
        <v>1590</v>
      </c>
      <c r="D994" s="0" t="s">
        <v>129</v>
      </c>
      <c r="E994" s="0" t="s">
        <v>1599</v>
      </c>
      <c r="F994" s="0" t="n">
        <v>0</v>
      </c>
      <c r="G994" s="0" t="n">
        <v>0</v>
      </c>
      <c r="H994" s="0" t="s">
        <v>580</v>
      </c>
      <c r="K994" s="0" t="s">
        <v>597</v>
      </c>
      <c r="L994" s="0" t="s">
        <v>2533</v>
      </c>
    </row>
    <row r="995" customFormat="false" ht="15" hidden="false" customHeight="false" outlineLevel="0" collapsed="false">
      <c r="A995" s="0" t="s">
        <v>63</v>
      </c>
      <c r="C995" s="0" t="s">
        <v>1590</v>
      </c>
      <c r="D995" s="0" t="s">
        <v>132</v>
      </c>
      <c r="E995" s="0" t="s">
        <v>1601</v>
      </c>
      <c r="F995" s="0" t="n">
        <v>0</v>
      </c>
      <c r="G995" s="0" t="n">
        <v>0</v>
      </c>
      <c r="H995" s="0" t="s">
        <v>580</v>
      </c>
      <c r="K995" s="0" t="s">
        <v>600</v>
      </c>
      <c r="L995" s="0" t="s">
        <v>2534</v>
      </c>
    </row>
    <row r="996" customFormat="false" ht="15" hidden="false" customHeight="false" outlineLevel="0" collapsed="false">
      <c r="A996" s="0" t="s">
        <v>63</v>
      </c>
      <c r="C996" s="0" t="s">
        <v>1590</v>
      </c>
      <c r="D996" s="0" t="s">
        <v>139</v>
      </c>
      <c r="E996" s="0" t="s">
        <v>1603</v>
      </c>
      <c r="F996" s="0" t="n">
        <v>0</v>
      </c>
      <c r="G996" s="0" t="n">
        <v>0</v>
      </c>
      <c r="H996" s="0" t="s">
        <v>580</v>
      </c>
      <c r="K996" s="0" t="s">
        <v>604</v>
      </c>
      <c r="L996" s="0" t="s">
        <v>2535</v>
      </c>
    </row>
    <row r="997" customFormat="false" ht="15" hidden="false" customHeight="false" outlineLevel="0" collapsed="false">
      <c r="A997" s="0" t="s">
        <v>63</v>
      </c>
      <c r="C997" s="0" t="s">
        <v>1590</v>
      </c>
      <c r="D997" s="0" t="s">
        <v>143</v>
      </c>
      <c r="E997" s="0" t="s">
        <v>1605</v>
      </c>
      <c r="F997" s="0" t="n">
        <v>0</v>
      </c>
      <c r="G997" s="0" t="n">
        <v>0</v>
      </c>
      <c r="H997" s="0" t="s">
        <v>580</v>
      </c>
      <c r="K997" s="0" t="s">
        <v>607</v>
      </c>
      <c r="L997" s="0" t="s">
        <v>2536</v>
      </c>
    </row>
    <row r="998" customFormat="false" ht="15" hidden="false" customHeight="false" outlineLevel="0" collapsed="false">
      <c r="A998" s="0" t="s">
        <v>63</v>
      </c>
      <c r="C998" s="0" t="s">
        <v>1590</v>
      </c>
      <c r="D998" s="0" t="s">
        <v>146</v>
      </c>
      <c r="E998" s="0" t="s">
        <v>1607</v>
      </c>
      <c r="F998" s="0" t="n">
        <v>0</v>
      </c>
      <c r="G998" s="0" t="n">
        <v>0</v>
      </c>
      <c r="H998" s="0" t="s">
        <v>580</v>
      </c>
      <c r="K998" s="0" t="s">
        <v>610</v>
      </c>
      <c r="L998" s="0" t="s">
        <v>2537</v>
      </c>
    </row>
    <row r="999" customFormat="false" ht="15" hidden="false" customHeight="false" outlineLevel="0" collapsed="false">
      <c r="A999" s="0" t="s">
        <v>63</v>
      </c>
      <c r="C999" s="0" t="s">
        <v>1590</v>
      </c>
      <c r="D999" s="0" t="s">
        <v>149</v>
      </c>
      <c r="E999" s="0" t="s">
        <v>1609</v>
      </c>
      <c r="F999" s="0" t="n">
        <v>0</v>
      </c>
      <c r="G999" s="0" t="n">
        <v>0</v>
      </c>
      <c r="H999" s="0" t="s">
        <v>580</v>
      </c>
      <c r="K999" s="0" t="s">
        <v>613</v>
      </c>
      <c r="L999" s="0" t="s">
        <v>2538</v>
      </c>
    </row>
    <row r="1000" customFormat="false" ht="15" hidden="false" customHeight="false" outlineLevel="0" collapsed="false">
      <c r="A1000" s="0" t="s">
        <v>63</v>
      </c>
      <c r="C1000" s="0" t="s">
        <v>1590</v>
      </c>
      <c r="D1000" s="0" t="s">
        <v>152</v>
      </c>
      <c r="E1000" s="0" t="s">
        <v>1611</v>
      </c>
      <c r="F1000" s="0" t="n">
        <v>0</v>
      </c>
      <c r="G1000" s="0" t="n">
        <v>0</v>
      </c>
      <c r="H1000" s="0" t="s">
        <v>580</v>
      </c>
      <c r="K1000" s="0" t="s">
        <v>616</v>
      </c>
      <c r="L1000" s="0" t="s">
        <v>2539</v>
      </c>
    </row>
    <row r="1001" customFormat="false" ht="15" hidden="false" customHeight="false" outlineLevel="0" collapsed="false">
      <c r="A1001" s="0" t="s">
        <v>63</v>
      </c>
      <c r="C1001" s="0" t="s">
        <v>1590</v>
      </c>
      <c r="D1001" s="0" t="s">
        <v>155</v>
      </c>
      <c r="E1001" s="0" t="s">
        <v>1613</v>
      </c>
      <c r="F1001" s="0" t="n">
        <v>0</v>
      </c>
      <c r="G1001" s="0" t="n">
        <v>0</v>
      </c>
      <c r="H1001" s="0" t="s">
        <v>580</v>
      </c>
      <c r="K1001" s="0" t="s">
        <v>620</v>
      </c>
      <c r="L1001" s="0" t="s">
        <v>2540</v>
      </c>
    </row>
    <row r="1002" customFormat="false" ht="15" hidden="false" customHeight="false" outlineLevel="0" collapsed="false">
      <c r="A1002" s="0" t="s">
        <v>63</v>
      </c>
      <c r="C1002" s="0" t="s">
        <v>1615</v>
      </c>
      <c r="D1002" s="0" t="s">
        <v>987</v>
      </c>
      <c r="E1002" s="0" t="s">
        <v>1616</v>
      </c>
      <c r="F1002" s="0" t="n">
        <v>0</v>
      </c>
      <c r="G1002" s="0" t="n">
        <v>0</v>
      </c>
      <c r="H1002" s="0" t="s">
        <v>580</v>
      </c>
      <c r="K1002" s="0" t="s">
        <v>581</v>
      </c>
      <c r="L1002" s="0" t="s">
        <v>2541</v>
      </c>
    </row>
    <row r="1003" customFormat="false" ht="15" hidden="false" customHeight="false" outlineLevel="0" collapsed="false">
      <c r="A1003" s="0" t="s">
        <v>63</v>
      </c>
      <c r="C1003" s="0" t="s">
        <v>1615</v>
      </c>
      <c r="D1003" s="0" t="s">
        <v>990</v>
      </c>
      <c r="E1003" s="0" t="s">
        <v>1618</v>
      </c>
      <c r="F1003" s="0" t="n">
        <v>0</v>
      </c>
      <c r="G1003" s="0" t="n">
        <v>0</v>
      </c>
      <c r="H1003" s="0" t="s">
        <v>580</v>
      </c>
      <c r="K1003" s="0" t="s">
        <v>586</v>
      </c>
      <c r="L1003" s="0" t="s">
        <v>2542</v>
      </c>
    </row>
    <row r="1004" customFormat="false" ht="15" hidden="false" customHeight="false" outlineLevel="0" collapsed="false">
      <c r="A1004" s="0" t="s">
        <v>63</v>
      </c>
      <c r="C1004" s="0" t="s">
        <v>1615</v>
      </c>
      <c r="D1004" s="0" t="s">
        <v>993</v>
      </c>
      <c r="E1004" s="0" t="s">
        <v>1620</v>
      </c>
      <c r="F1004" s="0" t="n">
        <v>0</v>
      </c>
      <c r="G1004" s="0" t="n">
        <v>0</v>
      </c>
      <c r="H1004" s="0" t="s">
        <v>580</v>
      </c>
      <c r="K1004" s="0" t="s">
        <v>590</v>
      </c>
      <c r="L1004" s="0" t="s">
        <v>2543</v>
      </c>
    </row>
    <row r="1005" customFormat="false" ht="15" hidden="false" customHeight="false" outlineLevel="0" collapsed="false">
      <c r="A1005" s="0" t="s">
        <v>63</v>
      </c>
      <c r="C1005" s="0" t="s">
        <v>1615</v>
      </c>
      <c r="D1005" s="0" t="s">
        <v>126</v>
      </c>
      <c r="E1005" s="0" t="s">
        <v>1622</v>
      </c>
      <c r="F1005" s="0" t="n">
        <v>0</v>
      </c>
      <c r="G1005" s="0" t="n">
        <v>0</v>
      </c>
      <c r="H1005" s="0" t="s">
        <v>580</v>
      </c>
      <c r="K1005" s="0" t="s">
        <v>594</v>
      </c>
      <c r="L1005" s="0" t="s">
        <v>2544</v>
      </c>
    </row>
    <row r="1006" customFormat="false" ht="15" hidden="false" customHeight="false" outlineLevel="0" collapsed="false">
      <c r="A1006" s="0" t="s">
        <v>63</v>
      </c>
      <c r="C1006" s="0" t="s">
        <v>1615</v>
      </c>
      <c r="D1006" s="0" t="s">
        <v>129</v>
      </c>
      <c r="E1006" s="0" t="s">
        <v>1624</v>
      </c>
      <c r="F1006" s="0" t="n">
        <v>0</v>
      </c>
      <c r="G1006" s="0" t="n">
        <v>0</v>
      </c>
      <c r="H1006" s="0" t="s">
        <v>580</v>
      </c>
      <c r="K1006" s="0" t="s">
        <v>597</v>
      </c>
      <c r="L1006" s="0" t="s">
        <v>2545</v>
      </c>
    </row>
    <row r="1007" customFormat="false" ht="15" hidden="false" customHeight="false" outlineLevel="0" collapsed="false">
      <c r="A1007" s="0" t="s">
        <v>63</v>
      </c>
      <c r="C1007" s="0" t="s">
        <v>1615</v>
      </c>
      <c r="D1007" s="0" t="s">
        <v>132</v>
      </c>
      <c r="E1007" s="0" t="s">
        <v>1626</v>
      </c>
      <c r="F1007" s="0" t="n">
        <v>0</v>
      </c>
      <c r="G1007" s="0" t="n">
        <v>0</v>
      </c>
      <c r="H1007" s="0" t="s">
        <v>580</v>
      </c>
      <c r="K1007" s="0" t="s">
        <v>600</v>
      </c>
      <c r="L1007" s="0" t="s">
        <v>2546</v>
      </c>
    </row>
    <row r="1008" customFormat="false" ht="15" hidden="false" customHeight="false" outlineLevel="0" collapsed="false">
      <c r="A1008" s="0" t="s">
        <v>63</v>
      </c>
      <c r="C1008" s="0" t="s">
        <v>1615</v>
      </c>
      <c r="D1008" s="0" t="s">
        <v>139</v>
      </c>
      <c r="E1008" s="0" t="s">
        <v>1628</v>
      </c>
      <c r="F1008" s="0" t="n">
        <v>0</v>
      </c>
      <c r="G1008" s="0" t="n">
        <v>0</v>
      </c>
      <c r="H1008" s="0" t="s">
        <v>580</v>
      </c>
      <c r="K1008" s="0" t="s">
        <v>604</v>
      </c>
      <c r="L1008" s="0" t="s">
        <v>2547</v>
      </c>
    </row>
    <row r="1009" customFormat="false" ht="15" hidden="false" customHeight="false" outlineLevel="0" collapsed="false">
      <c r="A1009" s="0" t="s">
        <v>63</v>
      </c>
      <c r="C1009" s="0" t="s">
        <v>1615</v>
      </c>
      <c r="D1009" s="0" t="s">
        <v>143</v>
      </c>
      <c r="E1009" s="0" t="s">
        <v>1630</v>
      </c>
      <c r="F1009" s="0" t="n">
        <v>0</v>
      </c>
      <c r="G1009" s="0" t="n">
        <v>0</v>
      </c>
      <c r="H1009" s="0" t="s">
        <v>580</v>
      </c>
      <c r="K1009" s="0" t="s">
        <v>607</v>
      </c>
      <c r="L1009" s="0" t="s">
        <v>2548</v>
      </c>
    </row>
    <row r="1010" customFormat="false" ht="15" hidden="false" customHeight="false" outlineLevel="0" collapsed="false">
      <c r="A1010" s="0" t="s">
        <v>63</v>
      </c>
      <c r="C1010" s="0" t="s">
        <v>1615</v>
      </c>
      <c r="D1010" s="0" t="s">
        <v>146</v>
      </c>
      <c r="E1010" s="0" t="s">
        <v>1632</v>
      </c>
      <c r="F1010" s="0" t="n">
        <v>0</v>
      </c>
      <c r="G1010" s="0" t="n">
        <v>0</v>
      </c>
      <c r="H1010" s="0" t="s">
        <v>580</v>
      </c>
      <c r="K1010" s="0" t="s">
        <v>610</v>
      </c>
      <c r="L1010" s="0" t="s">
        <v>2549</v>
      </c>
    </row>
    <row r="1011" customFormat="false" ht="15" hidden="false" customHeight="false" outlineLevel="0" collapsed="false">
      <c r="A1011" s="0" t="s">
        <v>63</v>
      </c>
      <c r="C1011" s="0" t="s">
        <v>1615</v>
      </c>
      <c r="D1011" s="0" t="s">
        <v>149</v>
      </c>
      <c r="E1011" s="0" t="s">
        <v>1634</v>
      </c>
      <c r="F1011" s="0" t="n">
        <v>0</v>
      </c>
      <c r="G1011" s="0" t="n">
        <v>0</v>
      </c>
      <c r="H1011" s="0" t="s">
        <v>580</v>
      </c>
      <c r="K1011" s="0" t="s">
        <v>613</v>
      </c>
      <c r="L1011" s="0" t="s">
        <v>2550</v>
      </c>
    </row>
    <row r="1012" customFormat="false" ht="15" hidden="false" customHeight="false" outlineLevel="0" collapsed="false">
      <c r="A1012" s="0" t="s">
        <v>63</v>
      </c>
      <c r="C1012" s="0" t="s">
        <v>1615</v>
      </c>
      <c r="D1012" s="0" t="s">
        <v>152</v>
      </c>
      <c r="E1012" s="0" t="s">
        <v>1636</v>
      </c>
      <c r="F1012" s="0" t="n">
        <v>0</v>
      </c>
      <c r="G1012" s="0" t="n">
        <v>0</v>
      </c>
      <c r="H1012" s="0" t="s">
        <v>580</v>
      </c>
      <c r="K1012" s="0" t="s">
        <v>616</v>
      </c>
      <c r="L1012" s="0" t="s">
        <v>2551</v>
      </c>
    </row>
    <row r="1013" customFormat="false" ht="15" hidden="false" customHeight="false" outlineLevel="0" collapsed="false">
      <c r="A1013" s="0" t="s">
        <v>63</v>
      </c>
      <c r="C1013" s="0" t="s">
        <v>1615</v>
      </c>
      <c r="D1013" s="0" t="s">
        <v>155</v>
      </c>
      <c r="E1013" s="0" t="s">
        <v>2552</v>
      </c>
      <c r="F1013" s="0" t="n">
        <v>0</v>
      </c>
      <c r="G1013" s="0" t="n">
        <v>0</v>
      </c>
      <c r="H1013" s="0" t="s">
        <v>580</v>
      </c>
      <c r="K1013" s="0" t="s">
        <v>620</v>
      </c>
      <c r="L1013" s="0" t="s">
        <v>2553</v>
      </c>
    </row>
    <row r="1014" customFormat="false" ht="15" hidden="false" customHeight="false" outlineLevel="0" collapsed="false">
      <c r="A1014" s="0" t="s">
        <v>63</v>
      </c>
      <c r="C1014" s="0" t="s">
        <v>1640</v>
      </c>
      <c r="D1014" s="0" t="s">
        <v>987</v>
      </c>
      <c r="E1014" s="0" t="s">
        <v>1641</v>
      </c>
      <c r="F1014" s="0" t="n">
        <v>0</v>
      </c>
      <c r="G1014" s="0" t="n">
        <v>0</v>
      </c>
      <c r="H1014" s="0" t="s">
        <v>580</v>
      </c>
      <c r="K1014" s="0" t="s">
        <v>581</v>
      </c>
      <c r="L1014" s="0" t="s">
        <v>2554</v>
      </c>
    </row>
    <row r="1015" customFormat="false" ht="15" hidden="false" customHeight="false" outlineLevel="0" collapsed="false">
      <c r="A1015" s="0" t="s">
        <v>63</v>
      </c>
      <c r="C1015" s="0" t="s">
        <v>1640</v>
      </c>
      <c r="D1015" s="0" t="s">
        <v>990</v>
      </c>
      <c r="E1015" s="0" t="s">
        <v>2555</v>
      </c>
      <c r="F1015" s="0" t="n">
        <v>0</v>
      </c>
      <c r="G1015" s="0" t="n">
        <v>0</v>
      </c>
      <c r="H1015" s="0" t="s">
        <v>580</v>
      </c>
      <c r="K1015" s="0" t="s">
        <v>586</v>
      </c>
      <c r="L1015" s="0" t="s">
        <v>2556</v>
      </c>
    </row>
    <row r="1016" customFormat="false" ht="15" hidden="false" customHeight="false" outlineLevel="0" collapsed="false">
      <c r="A1016" s="0" t="s">
        <v>63</v>
      </c>
      <c r="C1016" s="0" t="s">
        <v>1640</v>
      </c>
      <c r="D1016" s="0" t="s">
        <v>993</v>
      </c>
      <c r="E1016" s="0" t="s">
        <v>2557</v>
      </c>
      <c r="F1016" s="0" t="n">
        <v>0</v>
      </c>
      <c r="G1016" s="0" t="n">
        <v>0</v>
      </c>
      <c r="H1016" s="0" t="s">
        <v>580</v>
      </c>
      <c r="K1016" s="0" t="s">
        <v>590</v>
      </c>
      <c r="L1016" s="0" t="s">
        <v>2558</v>
      </c>
    </row>
    <row r="1017" customFormat="false" ht="15" hidden="false" customHeight="false" outlineLevel="0" collapsed="false">
      <c r="A1017" s="0" t="s">
        <v>63</v>
      </c>
      <c r="C1017" s="0" t="s">
        <v>1640</v>
      </c>
      <c r="D1017" s="0" t="s">
        <v>126</v>
      </c>
      <c r="E1017" s="0" t="s">
        <v>2559</v>
      </c>
      <c r="F1017" s="0" t="n">
        <v>0</v>
      </c>
      <c r="G1017" s="0" t="n">
        <v>0</v>
      </c>
      <c r="H1017" s="0" t="s">
        <v>580</v>
      </c>
      <c r="K1017" s="0" t="s">
        <v>594</v>
      </c>
      <c r="L1017" s="0" t="s">
        <v>2560</v>
      </c>
    </row>
    <row r="1018" customFormat="false" ht="15" hidden="false" customHeight="false" outlineLevel="0" collapsed="false">
      <c r="A1018" s="0" t="s">
        <v>63</v>
      </c>
      <c r="C1018" s="0" t="s">
        <v>1640</v>
      </c>
      <c r="D1018" s="0" t="s">
        <v>129</v>
      </c>
      <c r="E1018" s="0" t="s">
        <v>1649</v>
      </c>
      <c r="F1018" s="0" t="n">
        <v>0</v>
      </c>
      <c r="G1018" s="0" t="n">
        <v>0</v>
      </c>
      <c r="H1018" s="0" t="s">
        <v>580</v>
      </c>
      <c r="K1018" s="0" t="s">
        <v>597</v>
      </c>
      <c r="L1018" s="0" t="s">
        <v>2561</v>
      </c>
    </row>
    <row r="1019" customFormat="false" ht="15" hidden="false" customHeight="false" outlineLevel="0" collapsed="false">
      <c r="A1019" s="0" t="s">
        <v>63</v>
      </c>
      <c r="C1019" s="0" t="s">
        <v>1640</v>
      </c>
      <c r="D1019" s="0" t="s">
        <v>132</v>
      </c>
      <c r="E1019" s="0" t="s">
        <v>1651</v>
      </c>
      <c r="F1019" s="0" t="n">
        <v>0</v>
      </c>
      <c r="G1019" s="0" t="n">
        <v>0</v>
      </c>
      <c r="H1019" s="0" t="s">
        <v>580</v>
      </c>
      <c r="K1019" s="0" t="s">
        <v>600</v>
      </c>
      <c r="L1019" s="0" t="s">
        <v>2562</v>
      </c>
    </row>
    <row r="1020" customFormat="false" ht="15" hidden="false" customHeight="false" outlineLevel="0" collapsed="false">
      <c r="A1020" s="0" t="s">
        <v>63</v>
      </c>
      <c r="C1020" s="0" t="s">
        <v>1640</v>
      </c>
      <c r="D1020" s="0" t="s">
        <v>139</v>
      </c>
      <c r="E1020" s="0" t="s">
        <v>1653</v>
      </c>
      <c r="F1020" s="0" t="n">
        <v>0</v>
      </c>
      <c r="G1020" s="0" t="n">
        <v>0</v>
      </c>
      <c r="H1020" s="0" t="s">
        <v>580</v>
      </c>
      <c r="K1020" s="0" t="s">
        <v>604</v>
      </c>
      <c r="L1020" s="0" t="s">
        <v>2563</v>
      </c>
    </row>
    <row r="1021" customFormat="false" ht="15" hidden="false" customHeight="false" outlineLevel="0" collapsed="false">
      <c r="A1021" s="0" t="s">
        <v>63</v>
      </c>
      <c r="C1021" s="0" t="s">
        <v>1640</v>
      </c>
      <c r="D1021" s="0" t="s">
        <v>143</v>
      </c>
      <c r="E1021" s="0" t="s">
        <v>1655</v>
      </c>
      <c r="F1021" s="0" t="n">
        <v>0</v>
      </c>
      <c r="G1021" s="0" t="n">
        <v>0</v>
      </c>
      <c r="H1021" s="0" t="s">
        <v>580</v>
      </c>
      <c r="K1021" s="0" t="s">
        <v>607</v>
      </c>
      <c r="L1021" s="0" t="s">
        <v>2564</v>
      </c>
    </row>
    <row r="1022" customFormat="false" ht="15" hidden="false" customHeight="false" outlineLevel="0" collapsed="false">
      <c r="A1022" s="0" t="s">
        <v>63</v>
      </c>
      <c r="C1022" s="0" t="s">
        <v>1640</v>
      </c>
      <c r="D1022" s="0" t="s">
        <v>146</v>
      </c>
      <c r="E1022" s="0" t="s">
        <v>1657</v>
      </c>
      <c r="F1022" s="0" t="n">
        <v>0</v>
      </c>
      <c r="G1022" s="0" t="n">
        <v>0</v>
      </c>
      <c r="H1022" s="0" t="s">
        <v>580</v>
      </c>
      <c r="K1022" s="0" t="s">
        <v>610</v>
      </c>
      <c r="L1022" s="0" t="s">
        <v>2565</v>
      </c>
    </row>
    <row r="1023" customFormat="false" ht="15" hidden="false" customHeight="false" outlineLevel="0" collapsed="false">
      <c r="A1023" s="0" t="s">
        <v>63</v>
      </c>
      <c r="C1023" s="0" t="s">
        <v>1640</v>
      </c>
      <c r="D1023" s="0" t="s">
        <v>149</v>
      </c>
      <c r="E1023" s="0" t="s">
        <v>1659</v>
      </c>
      <c r="F1023" s="0" t="n">
        <v>0</v>
      </c>
      <c r="G1023" s="0" t="n">
        <v>0</v>
      </c>
      <c r="H1023" s="0" t="s">
        <v>580</v>
      </c>
      <c r="K1023" s="0" t="s">
        <v>613</v>
      </c>
      <c r="L1023" s="0" t="s">
        <v>2566</v>
      </c>
    </row>
    <row r="1024" customFormat="false" ht="15" hidden="false" customHeight="false" outlineLevel="0" collapsed="false">
      <c r="A1024" s="0" t="s">
        <v>63</v>
      </c>
      <c r="C1024" s="0" t="s">
        <v>1640</v>
      </c>
      <c r="D1024" s="0" t="s">
        <v>152</v>
      </c>
      <c r="E1024" s="0" t="s">
        <v>1661</v>
      </c>
      <c r="F1024" s="0" t="n">
        <v>0</v>
      </c>
      <c r="G1024" s="0" t="n">
        <v>0</v>
      </c>
      <c r="H1024" s="0" t="s">
        <v>580</v>
      </c>
      <c r="K1024" s="0" t="s">
        <v>616</v>
      </c>
      <c r="L1024" s="0" t="s">
        <v>2567</v>
      </c>
    </row>
    <row r="1025" customFormat="false" ht="15" hidden="false" customHeight="false" outlineLevel="0" collapsed="false">
      <c r="A1025" s="0" t="s">
        <v>63</v>
      </c>
      <c r="C1025" s="0" t="s">
        <v>1640</v>
      </c>
      <c r="D1025" s="0" t="s">
        <v>155</v>
      </c>
      <c r="E1025" s="0" t="s">
        <v>1663</v>
      </c>
      <c r="F1025" s="0" t="n">
        <v>0</v>
      </c>
      <c r="G1025" s="0" t="n">
        <v>0</v>
      </c>
      <c r="H1025" s="0" t="s">
        <v>580</v>
      </c>
      <c r="K1025" s="0" t="s">
        <v>620</v>
      </c>
      <c r="L1025" s="0" t="s">
        <v>2568</v>
      </c>
    </row>
    <row r="1026" customFormat="false" ht="15" hidden="false" customHeight="false" outlineLevel="0" collapsed="false">
      <c r="A1026" s="0" t="s">
        <v>63</v>
      </c>
      <c r="C1026" s="0" t="s">
        <v>1665</v>
      </c>
      <c r="D1026" s="0" t="s">
        <v>987</v>
      </c>
      <c r="E1026" s="0" t="s">
        <v>1666</v>
      </c>
      <c r="F1026" s="0" t="n">
        <v>0</v>
      </c>
      <c r="G1026" s="0" t="n">
        <v>0</v>
      </c>
      <c r="H1026" s="0" t="s">
        <v>580</v>
      </c>
      <c r="K1026" s="0" t="s">
        <v>581</v>
      </c>
      <c r="L1026" s="0" t="s">
        <v>2569</v>
      </c>
    </row>
    <row r="1027" customFormat="false" ht="15" hidden="false" customHeight="false" outlineLevel="0" collapsed="false">
      <c r="A1027" s="0" t="s">
        <v>63</v>
      </c>
      <c r="C1027" s="0" t="s">
        <v>1665</v>
      </c>
      <c r="D1027" s="0" t="s">
        <v>990</v>
      </c>
      <c r="E1027" s="0" t="s">
        <v>1668</v>
      </c>
      <c r="F1027" s="0" t="n">
        <v>0</v>
      </c>
      <c r="G1027" s="0" t="n">
        <v>0</v>
      </c>
      <c r="H1027" s="0" t="s">
        <v>580</v>
      </c>
      <c r="K1027" s="0" t="s">
        <v>586</v>
      </c>
      <c r="L1027" s="0" t="s">
        <v>2570</v>
      </c>
    </row>
    <row r="1028" customFormat="false" ht="15" hidden="false" customHeight="false" outlineLevel="0" collapsed="false">
      <c r="A1028" s="0" t="s">
        <v>63</v>
      </c>
      <c r="C1028" s="0" t="s">
        <v>1665</v>
      </c>
      <c r="D1028" s="0" t="s">
        <v>993</v>
      </c>
      <c r="E1028" s="0" t="s">
        <v>1670</v>
      </c>
      <c r="F1028" s="0" t="n">
        <v>0</v>
      </c>
      <c r="G1028" s="0" t="n">
        <v>0</v>
      </c>
      <c r="H1028" s="0" t="s">
        <v>580</v>
      </c>
      <c r="K1028" s="0" t="s">
        <v>590</v>
      </c>
      <c r="L1028" s="0" t="s">
        <v>2571</v>
      </c>
    </row>
    <row r="1029" customFormat="false" ht="15" hidden="false" customHeight="false" outlineLevel="0" collapsed="false">
      <c r="A1029" s="0" t="s">
        <v>63</v>
      </c>
      <c r="C1029" s="0" t="s">
        <v>1665</v>
      </c>
      <c r="D1029" s="0" t="s">
        <v>126</v>
      </c>
      <c r="E1029" s="0" t="s">
        <v>1672</v>
      </c>
      <c r="F1029" s="0" t="n">
        <v>0</v>
      </c>
      <c r="G1029" s="0" t="n">
        <v>0</v>
      </c>
      <c r="H1029" s="0" t="s">
        <v>580</v>
      </c>
      <c r="K1029" s="0" t="s">
        <v>594</v>
      </c>
      <c r="L1029" s="0" t="s">
        <v>2572</v>
      </c>
    </row>
    <row r="1030" customFormat="false" ht="15" hidden="false" customHeight="false" outlineLevel="0" collapsed="false">
      <c r="A1030" s="0" t="s">
        <v>63</v>
      </c>
      <c r="C1030" s="0" t="s">
        <v>1665</v>
      </c>
      <c r="D1030" s="0" t="s">
        <v>129</v>
      </c>
      <c r="E1030" s="0" t="s">
        <v>1674</v>
      </c>
      <c r="F1030" s="0" t="n">
        <v>0</v>
      </c>
      <c r="G1030" s="0" t="n">
        <v>0</v>
      </c>
      <c r="H1030" s="0" t="s">
        <v>580</v>
      </c>
      <c r="K1030" s="0" t="s">
        <v>597</v>
      </c>
      <c r="L1030" s="0" t="s">
        <v>2573</v>
      </c>
    </row>
    <row r="1031" customFormat="false" ht="15" hidden="false" customHeight="false" outlineLevel="0" collapsed="false">
      <c r="A1031" s="0" t="s">
        <v>63</v>
      </c>
      <c r="C1031" s="0" t="s">
        <v>1665</v>
      </c>
      <c r="D1031" s="0" t="s">
        <v>132</v>
      </c>
      <c r="E1031" s="0" t="s">
        <v>1676</v>
      </c>
      <c r="F1031" s="0" t="n">
        <v>0</v>
      </c>
      <c r="G1031" s="0" t="n">
        <v>0</v>
      </c>
      <c r="H1031" s="0" t="s">
        <v>580</v>
      </c>
      <c r="K1031" s="0" t="s">
        <v>600</v>
      </c>
      <c r="L1031" s="0" t="s">
        <v>2574</v>
      </c>
    </row>
    <row r="1032" customFormat="false" ht="15" hidden="false" customHeight="false" outlineLevel="0" collapsed="false">
      <c r="A1032" s="0" t="s">
        <v>63</v>
      </c>
      <c r="C1032" s="0" t="s">
        <v>1665</v>
      </c>
      <c r="D1032" s="0" t="s">
        <v>139</v>
      </c>
      <c r="E1032" s="0" t="s">
        <v>1678</v>
      </c>
      <c r="F1032" s="0" t="n">
        <v>0</v>
      </c>
      <c r="G1032" s="0" t="n">
        <v>0</v>
      </c>
      <c r="H1032" s="0" t="s">
        <v>580</v>
      </c>
      <c r="K1032" s="0" t="s">
        <v>604</v>
      </c>
      <c r="L1032" s="0" t="s">
        <v>2575</v>
      </c>
    </row>
    <row r="1033" customFormat="false" ht="15" hidden="false" customHeight="false" outlineLevel="0" collapsed="false">
      <c r="A1033" s="0" t="s">
        <v>63</v>
      </c>
      <c r="C1033" s="0" t="s">
        <v>1665</v>
      </c>
      <c r="D1033" s="0" t="s">
        <v>143</v>
      </c>
      <c r="E1033" s="0" t="s">
        <v>1680</v>
      </c>
      <c r="F1033" s="0" t="n">
        <v>0</v>
      </c>
      <c r="G1033" s="0" t="n">
        <v>0</v>
      </c>
      <c r="H1033" s="0" t="s">
        <v>580</v>
      </c>
      <c r="K1033" s="0" t="s">
        <v>607</v>
      </c>
      <c r="L1033" s="0" t="s">
        <v>2576</v>
      </c>
    </row>
    <row r="1034" customFormat="false" ht="15" hidden="false" customHeight="false" outlineLevel="0" collapsed="false">
      <c r="A1034" s="0" t="s">
        <v>63</v>
      </c>
      <c r="C1034" s="0" t="s">
        <v>1665</v>
      </c>
      <c r="D1034" s="0" t="s">
        <v>146</v>
      </c>
      <c r="E1034" s="0" t="s">
        <v>1682</v>
      </c>
      <c r="F1034" s="0" t="n">
        <v>0</v>
      </c>
      <c r="G1034" s="0" t="n">
        <v>0</v>
      </c>
      <c r="H1034" s="0" t="s">
        <v>580</v>
      </c>
      <c r="K1034" s="0" t="s">
        <v>610</v>
      </c>
      <c r="L1034" s="0" t="s">
        <v>2577</v>
      </c>
    </row>
    <row r="1035" customFormat="false" ht="15" hidden="false" customHeight="false" outlineLevel="0" collapsed="false">
      <c r="A1035" s="0" t="s">
        <v>63</v>
      </c>
      <c r="C1035" s="0" t="s">
        <v>1665</v>
      </c>
      <c r="D1035" s="0" t="s">
        <v>149</v>
      </c>
      <c r="E1035" s="0" t="s">
        <v>1684</v>
      </c>
      <c r="F1035" s="0" t="n">
        <v>0</v>
      </c>
      <c r="G1035" s="0" t="n">
        <v>0</v>
      </c>
      <c r="H1035" s="0" t="s">
        <v>580</v>
      </c>
      <c r="K1035" s="0" t="s">
        <v>613</v>
      </c>
      <c r="L1035" s="0" t="s">
        <v>2578</v>
      </c>
    </row>
    <row r="1036" customFormat="false" ht="15" hidden="false" customHeight="false" outlineLevel="0" collapsed="false">
      <c r="A1036" s="0" t="s">
        <v>63</v>
      </c>
      <c r="C1036" s="0" t="s">
        <v>1665</v>
      </c>
      <c r="D1036" s="0" t="s">
        <v>152</v>
      </c>
      <c r="E1036" s="0" t="s">
        <v>2579</v>
      </c>
      <c r="F1036" s="0" t="n">
        <v>0</v>
      </c>
      <c r="G1036" s="0" t="n">
        <v>0</v>
      </c>
      <c r="H1036" s="0" t="s">
        <v>580</v>
      </c>
      <c r="K1036" s="0" t="s">
        <v>616</v>
      </c>
      <c r="L1036" s="0" t="s">
        <v>2580</v>
      </c>
    </row>
    <row r="1037" customFormat="false" ht="15" hidden="false" customHeight="false" outlineLevel="0" collapsed="false">
      <c r="A1037" s="0" t="s">
        <v>63</v>
      </c>
      <c r="C1037" s="0" t="s">
        <v>1665</v>
      </c>
      <c r="D1037" s="0" t="s">
        <v>155</v>
      </c>
      <c r="E1037" s="0" t="s">
        <v>1688</v>
      </c>
      <c r="F1037" s="0" t="n">
        <v>0</v>
      </c>
      <c r="G1037" s="0" t="n">
        <v>0</v>
      </c>
      <c r="H1037" s="0" t="s">
        <v>580</v>
      </c>
      <c r="K1037" s="0" t="s">
        <v>620</v>
      </c>
      <c r="L1037" s="0" t="s">
        <v>2581</v>
      </c>
    </row>
    <row r="1038" customFormat="false" ht="15" hidden="false" customHeight="false" outlineLevel="0" collapsed="false">
      <c r="A1038" s="0" t="s">
        <v>65</v>
      </c>
      <c r="B1038" s="0" t="s">
        <v>303</v>
      </c>
      <c r="C1038" s="0" t="s">
        <v>577</v>
      </c>
      <c r="D1038" s="0" t="s">
        <v>578</v>
      </c>
      <c r="E1038" s="0" t="s">
        <v>2582</v>
      </c>
      <c r="F1038" s="0" t="n">
        <v>0</v>
      </c>
      <c r="G1038" s="0" t="n">
        <v>0</v>
      </c>
      <c r="H1038" s="0" t="s">
        <v>580</v>
      </c>
      <c r="K1038" s="0" t="s">
        <v>581</v>
      </c>
      <c r="L1038" s="0" t="s">
        <v>2583</v>
      </c>
    </row>
    <row r="1039" customFormat="false" ht="15" hidden="false" customHeight="false" outlineLevel="0" collapsed="false">
      <c r="A1039" s="0" t="s">
        <v>65</v>
      </c>
      <c r="B1039" s="0" t="s">
        <v>303</v>
      </c>
      <c r="C1039" s="0" t="s">
        <v>577</v>
      </c>
      <c r="D1039" s="0" t="s">
        <v>583</v>
      </c>
      <c r="E1039" s="0" t="s">
        <v>2584</v>
      </c>
      <c r="F1039" s="0" t="n">
        <v>5</v>
      </c>
      <c r="G1039" s="0" t="n">
        <v>2</v>
      </c>
      <c r="H1039" s="0" t="s">
        <v>585</v>
      </c>
      <c r="I1039" s="0" t="s">
        <v>402</v>
      </c>
      <c r="K1039" s="0" t="s">
        <v>586</v>
      </c>
      <c r="L1039" s="0" t="s">
        <v>2585</v>
      </c>
    </row>
    <row r="1040" customFormat="false" ht="15" hidden="false" customHeight="false" outlineLevel="0" collapsed="false">
      <c r="A1040" s="0" t="s">
        <v>65</v>
      </c>
      <c r="B1040" s="0" t="s">
        <v>303</v>
      </c>
      <c r="C1040" s="0" t="s">
        <v>577</v>
      </c>
      <c r="D1040" s="0" t="s">
        <v>588</v>
      </c>
      <c r="E1040" s="0" t="s">
        <v>2586</v>
      </c>
      <c r="F1040" s="0" t="n">
        <v>5</v>
      </c>
      <c r="G1040" s="0" t="n">
        <v>3</v>
      </c>
      <c r="H1040" s="0" t="s">
        <v>585</v>
      </c>
      <c r="I1040" s="0" t="s">
        <v>402</v>
      </c>
      <c r="K1040" s="0" t="s">
        <v>590</v>
      </c>
      <c r="L1040" s="0" t="s">
        <v>2587</v>
      </c>
    </row>
    <row r="1041" customFormat="false" ht="15" hidden="false" customHeight="false" outlineLevel="0" collapsed="false">
      <c r="A1041" s="0" t="s">
        <v>65</v>
      </c>
      <c r="B1041" s="0" t="s">
        <v>303</v>
      </c>
      <c r="C1041" s="0" t="s">
        <v>577</v>
      </c>
      <c r="D1041" s="0" t="s">
        <v>127</v>
      </c>
      <c r="E1041" s="0" t="s">
        <v>592</v>
      </c>
      <c r="F1041" s="0" t="n">
        <v>5</v>
      </c>
      <c r="G1041" s="0" t="n">
        <v>2</v>
      </c>
      <c r="H1041" s="0" t="s">
        <v>585</v>
      </c>
      <c r="I1041" s="0" t="s">
        <v>402</v>
      </c>
      <c r="K1041" s="0" t="s">
        <v>594</v>
      </c>
      <c r="L1041" s="0" t="s">
        <v>2588</v>
      </c>
    </row>
    <row r="1042" customFormat="false" ht="15" hidden="false" customHeight="false" outlineLevel="0" collapsed="false">
      <c r="A1042" s="0" t="s">
        <v>65</v>
      </c>
      <c r="B1042" s="0" t="s">
        <v>303</v>
      </c>
      <c r="C1042" s="0" t="s">
        <v>577</v>
      </c>
      <c r="D1042" s="0" t="s">
        <v>130</v>
      </c>
      <c r="E1042" s="0" t="s">
        <v>2589</v>
      </c>
      <c r="F1042" s="0" t="n">
        <v>5</v>
      </c>
      <c r="G1042" s="0" t="n">
        <v>0</v>
      </c>
      <c r="H1042" s="0" t="s">
        <v>585</v>
      </c>
      <c r="K1042" s="0" t="s">
        <v>597</v>
      </c>
      <c r="L1042" s="0" t="s">
        <v>2590</v>
      </c>
    </row>
    <row r="1043" customFormat="false" ht="15" hidden="false" customHeight="false" outlineLevel="0" collapsed="false">
      <c r="A1043" s="0" t="s">
        <v>65</v>
      </c>
      <c r="B1043" s="0" t="s">
        <v>303</v>
      </c>
      <c r="C1043" s="0" t="s">
        <v>577</v>
      </c>
      <c r="D1043" s="0" t="s">
        <v>133</v>
      </c>
      <c r="E1043" s="0" t="s">
        <v>599</v>
      </c>
      <c r="F1043" s="0" t="n">
        <v>0</v>
      </c>
      <c r="G1043" s="0" t="n">
        <v>0</v>
      </c>
      <c r="H1043" s="0" t="s">
        <v>580</v>
      </c>
      <c r="K1043" s="0" t="s">
        <v>600</v>
      </c>
      <c r="L1043" s="0" t="s">
        <v>2591</v>
      </c>
    </row>
    <row r="1044" customFormat="false" ht="15" hidden="false" customHeight="false" outlineLevel="0" collapsed="false">
      <c r="A1044" s="0" t="s">
        <v>65</v>
      </c>
      <c r="B1044" s="0" t="s">
        <v>303</v>
      </c>
      <c r="C1044" s="0" t="s">
        <v>577</v>
      </c>
      <c r="D1044" s="0" t="s">
        <v>141</v>
      </c>
      <c r="E1044" s="0" t="s">
        <v>2592</v>
      </c>
      <c r="F1044" s="0" t="n">
        <v>5</v>
      </c>
      <c r="G1044" s="0" t="n">
        <v>0</v>
      </c>
      <c r="H1044" s="0" t="s">
        <v>585</v>
      </c>
      <c r="K1044" s="0" t="s">
        <v>604</v>
      </c>
      <c r="L1044" s="0" t="s">
        <v>2593</v>
      </c>
    </row>
    <row r="1045" customFormat="false" ht="15" hidden="false" customHeight="false" outlineLevel="0" collapsed="false">
      <c r="A1045" s="0" t="s">
        <v>65</v>
      </c>
      <c r="B1045" s="0" t="s">
        <v>303</v>
      </c>
      <c r="C1045" s="0" t="s">
        <v>577</v>
      </c>
      <c r="D1045" s="0" t="s">
        <v>144</v>
      </c>
      <c r="E1045" s="0" t="s">
        <v>2594</v>
      </c>
      <c r="F1045" s="0" t="n">
        <v>5</v>
      </c>
      <c r="G1045" s="0" t="n">
        <v>0</v>
      </c>
      <c r="H1045" s="0" t="s">
        <v>585</v>
      </c>
      <c r="K1045" s="0" t="s">
        <v>607</v>
      </c>
      <c r="L1045" s="0" t="s">
        <v>2595</v>
      </c>
    </row>
    <row r="1046" customFormat="false" ht="15" hidden="false" customHeight="false" outlineLevel="0" collapsed="false">
      <c r="A1046" s="0" t="s">
        <v>65</v>
      </c>
      <c r="C1046" s="0" t="s">
        <v>577</v>
      </c>
      <c r="D1046" s="0" t="s">
        <v>147</v>
      </c>
      <c r="E1046" s="0" t="s">
        <v>2596</v>
      </c>
      <c r="F1046" s="0" t="n">
        <v>5</v>
      </c>
      <c r="G1046" s="0" t="n">
        <v>0</v>
      </c>
      <c r="H1046" s="0" t="s">
        <v>585</v>
      </c>
      <c r="K1046" s="0" t="s">
        <v>610</v>
      </c>
      <c r="L1046" s="0" t="s">
        <v>2597</v>
      </c>
    </row>
    <row r="1047" customFormat="false" ht="15" hidden="false" customHeight="false" outlineLevel="0" collapsed="false">
      <c r="A1047" s="0" t="s">
        <v>65</v>
      </c>
      <c r="C1047" s="0" t="s">
        <v>577</v>
      </c>
      <c r="D1047" s="0" t="s">
        <v>150</v>
      </c>
      <c r="E1047" s="0" t="s">
        <v>612</v>
      </c>
      <c r="F1047" s="0" t="n">
        <v>5</v>
      </c>
      <c r="G1047" s="0" t="n">
        <v>0</v>
      </c>
      <c r="H1047" s="0" t="s">
        <v>585</v>
      </c>
      <c r="K1047" s="0" t="s">
        <v>613</v>
      </c>
      <c r="L1047" s="0" t="s">
        <v>2598</v>
      </c>
    </row>
    <row r="1048" customFormat="false" ht="15" hidden="false" customHeight="false" outlineLevel="0" collapsed="false">
      <c r="A1048" s="0" t="s">
        <v>65</v>
      </c>
      <c r="C1048" s="0" t="s">
        <v>577</v>
      </c>
      <c r="D1048" s="0" t="s">
        <v>153</v>
      </c>
      <c r="E1048" s="0" t="s">
        <v>2599</v>
      </c>
      <c r="F1048" s="0" t="n">
        <v>5</v>
      </c>
      <c r="G1048" s="0" t="n">
        <v>0</v>
      </c>
      <c r="H1048" s="0" t="s">
        <v>585</v>
      </c>
      <c r="K1048" s="0" t="s">
        <v>616</v>
      </c>
      <c r="L1048" s="0" t="s">
        <v>2600</v>
      </c>
    </row>
    <row r="1049" customFormat="false" ht="15" hidden="false" customHeight="false" outlineLevel="0" collapsed="false">
      <c r="A1049" s="0" t="s">
        <v>65</v>
      </c>
      <c r="B1049" s="0" t="s">
        <v>303</v>
      </c>
      <c r="C1049" s="0" t="s">
        <v>577</v>
      </c>
      <c r="D1049" s="0" t="s">
        <v>156</v>
      </c>
      <c r="E1049" s="0" t="s">
        <v>618</v>
      </c>
      <c r="F1049" s="0" t="n">
        <v>5</v>
      </c>
      <c r="G1049" s="0" t="n">
        <v>0</v>
      </c>
      <c r="H1049" s="0" t="s">
        <v>585</v>
      </c>
      <c r="K1049" s="0" t="s">
        <v>620</v>
      </c>
      <c r="L1049" s="0" t="s">
        <v>2601</v>
      </c>
    </row>
    <row r="1050" customFormat="false" ht="15" hidden="false" customHeight="false" outlineLevel="0" collapsed="false">
      <c r="A1050" s="0" t="s">
        <v>65</v>
      </c>
      <c r="B1050" s="0" t="s">
        <v>303</v>
      </c>
      <c r="C1050" s="0" t="s">
        <v>622</v>
      </c>
      <c r="D1050" s="0" t="s">
        <v>578</v>
      </c>
      <c r="E1050" s="0" t="s">
        <v>2602</v>
      </c>
      <c r="F1050" s="0" t="n">
        <v>0</v>
      </c>
      <c r="G1050" s="0" t="n">
        <v>0</v>
      </c>
      <c r="H1050" s="0" t="s">
        <v>580</v>
      </c>
      <c r="K1050" s="0" t="s">
        <v>581</v>
      </c>
      <c r="L1050" s="0" t="s">
        <v>2603</v>
      </c>
    </row>
    <row r="1051" customFormat="false" ht="15" hidden="false" customHeight="false" outlineLevel="0" collapsed="false">
      <c r="A1051" s="0" t="s">
        <v>65</v>
      </c>
      <c r="B1051" s="0" t="s">
        <v>303</v>
      </c>
      <c r="C1051" s="0" t="s">
        <v>622</v>
      </c>
      <c r="D1051" s="0" t="s">
        <v>583</v>
      </c>
      <c r="E1051" s="0" t="s">
        <v>2604</v>
      </c>
      <c r="F1051" s="0" t="n">
        <v>5</v>
      </c>
      <c r="G1051" s="0" t="n">
        <v>0</v>
      </c>
      <c r="H1051" s="0" t="s">
        <v>585</v>
      </c>
      <c r="K1051" s="0" t="s">
        <v>586</v>
      </c>
      <c r="L1051" s="0" t="s">
        <v>2605</v>
      </c>
    </row>
    <row r="1052" customFormat="false" ht="15" hidden="false" customHeight="false" outlineLevel="0" collapsed="false">
      <c r="A1052" s="0" t="s">
        <v>65</v>
      </c>
      <c r="B1052" s="0" t="s">
        <v>303</v>
      </c>
      <c r="C1052" s="0" t="s">
        <v>622</v>
      </c>
      <c r="D1052" s="0" t="s">
        <v>588</v>
      </c>
      <c r="E1052" s="0" t="s">
        <v>2606</v>
      </c>
      <c r="F1052" s="0" t="n">
        <v>5</v>
      </c>
      <c r="G1052" s="0" t="n">
        <v>0</v>
      </c>
      <c r="H1052" s="0" t="s">
        <v>585</v>
      </c>
      <c r="K1052" s="0" t="s">
        <v>590</v>
      </c>
      <c r="L1052" s="0" t="s">
        <v>2607</v>
      </c>
    </row>
    <row r="1053" customFormat="false" ht="15" hidden="false" customHeight="false" outlineLevel="0" collapsed="false">
      <c r="A1053" s="0" t="s">
        <v>65</v>
      </c>
      <c r="B1053" s="0" t="s">
        <v>303</v>
      </c>
      <c r="C1053" s="0" t="s">
        <v>622</v>
      </c>
      <c r="D1053" s="0" t="s">
        <v>127</v>
      </c>
      <c r="E1053" s="0" t="s">
        <v>629</v>
      </c>
      <c r="F1053" s="0" t="n">
        <v>5</v>
      </c>
      <c r="G1053" s="0" t="n">
        <v>0</v>
      </c>
      <c r="H1053" s="0" t="s">
        <v>585</v>
      </c>
      <c r="K1053" s="0" t="s">
        <v>594</v>
      </c>
      <c r="L1053" s="0" t="s">
        <v>2608</v>
      </c>
    </row>
    <row r="1054" customFormat="false" ht="15" hidden="false" customHeight="false" outlineLevel="0" collapsed="false">
      <c r="A1054" s="0" t="s">
        <v>65</v>
      </c>
      <c r="B1054" s="0" t="s">
        <v>303</v>
      </c>
      <c r="C1054" s="0" t="s">
        <v>622</v>
      </c>
      <c r="D1054" s="0" t="s">
        <v>130</v>
      </c>
      <c r="E1054" s="0" t="s">
        <v>632</v>
      </c>
      <c r="F1054" s="0" t="n">
        <v>5</v>
      </c>
      <c r="G1054" s="0" t="n">
        <v>0</v>
      </c>
      <c r="H1054" s="0" t="s">
        <v>585</v>
      </c>
      <c r="K1054" s="0" t="s">
        <v>597</v>
      </c>
      <c r="L1054" s="0" t="s">
        <v>2609</v>
      </c>
    </row>
    <row r="1055" customFormat="false" ht="15" hidden="false" customHeight="false" outlineLevel="0" collapsed="false">
      <c r="A1055" s="0" t="s">
        <v>65</v>
      </c>
      <c r="B1055" s="0" t="s">
        <v>303</v>
      </c>
      <c r="C1055" s="0" t="s">
        <v>622</v>
      </c>
      <c r="D1055" s="0" t="s">
        <v>133</v>
      </c>
      <c r="E1055" s="0" t="s">
        <v>2610</v>
      </c>
      <c r="F1055" s="0" t="n">
        <v>0</v>
      </c>
      <c r="G1055" s="0" t="n">
        <v>0</v>
      </c>
      <c r="H1055" s="0" t="s">
        <v>580</v>
      </c>
      <c r="K1055" s="0" t="s">
        <v>600</v>
      </c>
      <c r="L1055" s="0" t="s">
        <v>2611</v>
      </c>
    </row>
    <row r="1056" customFormat="false" ht="15" hidden="false" customHeight="false" outlineLevel="0" collapsed="false">
      <c r="A1056" s="0" t="s">
        <v>65</v>
      </c>
      <c r="B1056" s="0" t="s">
        <v>303</v>
      </c>
      <c r="C1056" s="0" t="s">
        <v>622</v>
      </c>
      <c r="D1056" s="0" t="s">
        <v>141</v>
      </c>
      <c r="E1056" s="0" t="s">
        <v>2612</v>
      </c>
      <c r="F1056" s="0" t="n">
        <v>5</v>
      </c>
      <c r="G1056" s="0" t="n">
        <v>0</v>
      </c>
      <c r="H1056" s="0" t="s">
        <v>585</v>
      </c>
      <c r="K1056" s="0" t="s">
        <v>604</v>
      </c>
      <c r="L1056" s="0" t="s">
        <v>2613</v>
      </c>
    </row>
    <row r="1057" customFormat="false" ht="15" hidden="false" customHeight="false" outlineLevel="0" collapsed="false">
      <c r="A1057" s="0" t="s">
        <v>65</v>
      </c>
      <c r="B1057" s="0" t="s">
        <v>303</v>
      </c>
      <c r="C1057" s="0" t="s">
        <v>622</v>
      </c>
      <c r="D1057" s="0" t="s">
        <v>144</v>
      </c>
      <c r="E1057" s="0" t="s">
        <v>2614</v>
      </c>
      <c r="F1057" s="0" t="n">
        <v>5</v>
      </c>
      <c r="G1057" s="0" t="n">
        <v>0</v>
      </c>
      <c r="H1057" s="0" t="s">
        <v>585</v>
      </c>
      <c r="K1057" s="0" t="s">
        <v>607</v>
      </c>
      <c r="L1057" s="0" t="s">
        <v>2615</v>
      </c>
    </row>
    <row r="1058" customFormat="false" ht="15" hidden="false" customHeight="false" outlineLevel="0" collapsed="false">
      <c r="A1058" s="0" t="s">
        <v>65</v>
      </c>
      <c r="C1058" s="0" t="s">
        <v>622</v>
      </c>
      <c r="D1058" s="0" t="s">
        <v>147</v>
      </c>
      <c r="E1058" s="0" t="s">
        <v>2616</v>
      </c>
      <c r="F1058" s="0" t="n">
        <v>0</v>
      </c>
      <c r="G1058" s="0" t="n">
        <v>0</v>
      </c>
      <c r="H1058" s="0" t="s">
        <v>580</v>
      </c>
      <c r="K1058" s="0" t="s">
        <v>610</v>
      </c>
      <c r="L1058" s="0" t="s">
        <v>2617</v>
      </c>
    </row>
    <row r="1059" customFormat="false" ht="15" hidden="false" customHeight="false" outlineLevel="0" collapsed="false">
      <c r="A1059" s="0" t="s">
        <v>65</v>
      </c>
      <c r="C1059" s="0" t="s">
        <v>622</v>
      </c>
      <c r="D1059" s="0" t="s">
        <v>150</v>
      </c>
      <c r="E1059" s="0" t="s">
        <v>643</v>
      </c>
      <c r="F1059" s="0" t="n">
        <v>0</v>
      </c>
      <c r="G1059" s="0" t="n">
        <v>0</v>
      </c>
      <c r="H1059" s="0" t="s">
        <v>580</v>
      </c>
      <c r="K1059" s="0" t="s">
        <v>613</v>
      </c>
      <c r="L1059" s="0" t="s">
        <v>2618</v>
      </c>
    </row>
    <row r="1060" customFormat="false" ht="15" hidden="false" customHeight="false" outlineLevel="0" collapsed="false">
      <c r="A1060" s="0" t="s">
        <v>65</v>
      </c>
      <c r="C1060" s="0" t="s">
        <v>622</v>
      </c>
      <c r="D1060" s="0" t="s">
        <v>153</v>
      </c>
      <c r="E1060" s="0" t="s">
        <v>645</v>
      </c>
      <c r="F1060" s="0" t="n">
        <v>5</v>
      </c>
      <c r="G1060" s="0" t="n">
        <v>0</v>
      </c>
      <c r="H1060" s="0" t="s">
        <v>585</v>
      </c>
      <c r="K1060" s="0" t="s">
        <v>616</v>
      </c>
      <c r="L1060" s="0" t="s">
        <v>2619</v>
      </c>
    </row>
    <row r="1061" customFormat="false" ht="15" hidden="false" customHeight="false" outlineLevel="0" collapsed="false">
      <c r="A1061" s="0" t="s">
        <v>65</v>
      </c>
      <c r="C1061" s="0" t="s">
        <v>622</v>
      </c>
      <c r="D1061" s="0" t="s">
        <v>156</v>
      </c>
      <c r="E1061" s="0" t="s">
        <v>2620</v>
      </c>
      <c r="F1061" s="0" t="n">
        <v>5</v>
      </c>
      <c r="G1061" s="0" t="n">
        <v>0</v>
      </c>
      <c r="H1061" s="0" t="s">
        <v>585</v>
      </c>
      <c r="K1061" s="0" t="s">
        <v>620</v>
      </c>
      <c r="L1061" s="0" t="s">
        <v>2621</v>
      </c>
    </row>
    <row r="1062" customFormat="false" ht="15" hidden="false" customHeight="false" outlineLevel="0" collapsed="false">
      <c r="A1062" s="0" t="s">
        <v>65</v>
      </c>
      <c r="B1062" s="0" t="s">
        <v>303</v>
      </c>
      <c r="C1062" s="0" t="s">
        <v>649</v>
      </c>
      <c r="D1062" s="0" t="s">
        <v>578</v>
      </c>
      <c r="E1062" s="0" t="s">
        <v>2622</v>
      </c>
      <c r="F1062" s="0" t="n">
        <v>0</v>
      </c>
      <c r="G1062" s="0" t="n">
        <v>0</v>
      </c>
      <c r="H1062" s="0" t="s">
        <v>580</v>
      </c>
      <c r="K1062" s="0" t="s">
        <v>581</v>
      </c>
      <c r="L1062" s="0" t="s">
        <v>2623</v>
      </c>
    </row>
    <row r="1063" customFormat="false" ht="15" hidden="false" customHeight="false" outlineLevel="0" collapsed="false">
      <c r="A1063" s="0" t="s">
        <v>65</v>
      </c>
      <c r="B1063" s="0" t="s">
        <v>303</v>
      </c>
      <c r="C1063" s="0" t="s">
        <v>649</v>
      </c>
      <c r="D1063" s="0" t="s">
        <v>583</v>
      </c>
      <c r="E1063" s="0" t="s">
        <v>652</v>
      </c>
      <c r="F1063" s="0" t="n">
        <v>5</v>
      </c>
      <c r="G1063" s="0" t="n">
        <v>0</v>
      </c>
      <c r="H1063" s="0" t="s">
        <v>585</v>
      </c>
      <c r="K1063" s="0" t="s">
        <v>586</v>
      </c>
      <c r="L1063" s="0" t="s">
        <v>2624</v>
      </c>
    </row>
    <row r="1064" customFormat="false" ht="15" hidden="false" customHeight="false" outlineLevel="0" collapsed="false">
      <c r="A1064" s="0" t="s">
        <v>65</v>
      </c>
      <c r="B1064" s="0" t="s">
        <v>303</v>
      </c>
      <c r="C1064" s="0" t="s">
        <v>649</v>
      </c>
      <c r="D1064" s="0" t="s">
        <v>588</v>
      </c>
      <c r="E1064" s="0" t="s">
        <v>2625</v>
      </c>
      <c r="F1064" s="0" t="n">
        <v>5</v>
      </c>
      <c r="G1064" s="0" t="n">
        <v>2</v>
      </c>
      <c r="H1064" s="0" t="s">
        <v>585</v>
      </c>
      <c r="I1064" s="0" t="s">
        <v>405</v>
      </c>
      <c r="K1064" s="0" t="s">
        <v>590</v>
      </c>
      <c r="L1064" s="0" t="s">
        <v>2626</v>
      </c>
    </row>
    <row r="1065" customFormat="false" ht="15" hidden="false" customHeight="false" outlineLevel="0" collapsed="false">
      <c r="A1065" s="0" t="s">
        <v>65</v>
      </c>
      <c r="B1065" s="0" t="s">
        <v>303</v>
      </c>
      <c r="C1065" s="0" t="s">
        <v>649</v>
      </c>
      <c r="D1065" s="0" t="s">
        <v>127</v>
      </c>
      <c r="E1065" s="0" t="s">
        <v>2627</v>
      </c>
      <c r="F1065" s="0" t="n">
        <v>5</v>
      </c>
      <c r="G1065" s="0" t="n">
        <v>0</v>
      </c>
      <c r="H1065" s="0" t="s">
        <v>585</v>
      </c>
      <c r="K1065" s="0" t="s">
        <v>594</v>
      </c>
      <c r="L1065" s="0" t="s">
        <v>2628</v>
      </c>
    </row>
    <row r="1066" customFormat="false" ht="15" hidden="false" customHeight="false" outlineLevel="0" collapsed="false">
      <c r="A1066" s="0" t="s">
        <v>65</v>
      </c>
      <c r="B1066" s="0" t="s">
        <v>303</v>
      </c>
      <c r="C1066" s="0" t="s">
        <v>649</v>
      </c>
      <c r="D1066" s="0" t="s">
        <v>130</v>
      </c>
      <c r="E1066" s="0" t="s">
        <v>659</v>
      </c>
      <c r="F1066" s="0" t="n">
        <v>5</v>
      </c>
      <c r="G1066" s="0" t="n">
        <v>0</v>
      </c>
      <c r="H1066" s="0" t="s">
        <v>585</v>
      </c>
      <c r="K1066" s="0" t="s">
        <v>597</v>
      </c>
      <c r="L1066" s="0" t="s">
        <v>2629</v>
      </c>
    </row>
    <row r="1067" customFormat="false" ht="15" hidden="false" customHeight="false" outlineLevel="0" collapsed="false">
      <c r="A1067" s="0" t="s">
        <v>65</v>
      </c>
      <c r="B1067" s="0" t="s">
        <v>303</v>
      </c>
      <c r="C1067" s="0" t="s">
        <v>649</v>
      </c>
      <c r="D1067" s="0" t="s">
        <v>133</v>
      </c>
      <c r="E1067" s="0" t="s">
        <v>2630</v>
      </c>
      <c r="F1067" s="0" t="n">
        <v>0</v>
      </c>
      <c r="G1067" s="0" t="n">
        <v>0</v>
      </c>
      <c r="H1067" s="0" t="s">
        <v>580</v>
      </c>
      <c r="K1067" s="0" t="s">
        <v>600</v>
      </c>
      <c r="L1067" s="0" t="s">
        <v>2631</v>
      </c>
    </row>
    <row r="1068" customFormat="false" ht="15" hidden="false" customHeight="false" outlineLevel="0" collapsed="false">
      <c r="A1068" s="0" t="s">
        <v>65</v>
      </c>
      <c r="B1068" s="0" t="s">
        <v>345</v>
      </c>
      <c r="C1068" s="0" t="s">
        <v>649</v>
      </c>
      <c r="D1068" s="0" t="s">
        <v>141</v>
      </c>
      <c r="E1068" s="0" t="s">
        <v>2632</v>
      </c>
      <c r="F1068" s="0" t="n">
        <v>4</v>
      </c>
      <c r="G1068" s="0" t="n">
        <v>2</v>
      </c>
      <c r="H1068" s="0" t="s">
        <v>585</v>
      </c>
      <c r="I1068" s="0" t="s">
        <v>405</v>
      </c>
      <c r="K1068" s="0" t="s">
        <v>604</v>
      </c>
      <c r="L1068" s="0" t="s">
        <v>2633</v>
      </c>
    </row>
    <row r="1069" customFormat="false" ht="15" hidden="false" customHeight="false" outlineLevel="0" collapsed="false">
      <c r="A1069" s="0" t="s">
        <v>65</v>
      </c>
      <c r="B1069" s="0" t="s">
        <v>303</v>
      </c>
      <c r="C1069" s="0" t="s">
        <v>649</v>
      </c>
      <c r="D1069" s="0" t="s">
        <v>144</v>
      </c>
      <c r="E1069" s="0" t="s">
        <v>2634</v>
      </c>
      <c r="F1069" s="0" t="n">
        <v>5</v>
      </c>
      <c r="G1069" s="0" t="n">
        <v>0</v>
      </c>
      <c r="H1069" s="0" t="s">
        <v>585</v>
      </c>
      <c r="K1069" s="0" t="s">
        <v>607</v>
      </c>
      <c r="L1069" s="0" t="s">
        <v>2635</v>
      </c>
    </row>
    <row r="1070" customFormat="false" ht="15" hidden="false" customHeight="false" outlineLevel="0" collapsed="false">
      <c r="A1070" s="0" t="s">
        <v>65</v>
      </c>
      <c r="C1070" s="0" t="s">
        <v>649</v>
      </c>
      <c r="D1070" s="0" t="s">
        <v>147</v>
      </c>
      <c r="E1070" s="0" t="s">
        <v>2636</v>
      </c>
      <c r="F1070" s="0" t="n">
        <v>5</v>
      </c>
      <c r="G1070" s="0" t="n">
        <v>0</v>
      </c>
      <c r="H1070" s="0" t="s">
        <v>585</v>
      </c>
      <c r="K1070" s="0" t="s">
        <v>610</v>
      </c>
      <c r="L1070" s="0" t="s">
        <v>2637</v>
      </c>
    </row>
    <row r="1071" customFormat="false" ht="15" hidden="false" customHeight="false" outlineLevel="0" collapsed="false">
      <c r="A1071" s="0" t="s">
        <v>65</v>
      </c>
      <c r="C1071" s="0" t="s">
        <v>649</v>
      </c>
      <c r="D1071" s="0" t="s">
        <v>150</v>
      </c>
      <c r="E1071" s="0" t="s">
        <v>2638</v>
      </c>
      <c r="F1071" s="0" t="n">
        <v>5</v>
      </c>
      <c r="G1071" s="0" t="n">
        <v>0</v>
      </c>
      <c r="H1071" s="0" t="s">
        <v>585</v>
      </c>
      <c r="K1071" s="0" t="s">
        <v>613</v>
      </c>
      <c r="L1071" s="0" t="s">
        <v>2639</v>
      </c>
    </row>
    <row r="1072" customFormat="false" ht="15" hidden="false" customHeight="false" outlineLevel="0" collapsed="false">
      <c r="A1072" s="0" t="s">
        <v>65</v>
      </c>
      <c r="B1072" s="0" t="s">
        <v>303</v>
      </c>
      <c r="C1072" s="0" t="s">
        <v>649</v>
      </c>
      <c r="D1072" s="0" t="s">
        <v>153</v>
      </c>
      <c r="E1072" s="0" t="s">
        <v>2640</v>
      </c>
      <c r="F1072" s="0" t="n">
        <v>5</v>
      </c>
      <c r="G1072" s="0" t="n">
        <v>0</v>
      </c>
      <c r="H1072" s="0" t="s">
        <v>585</v>
      </c>
      <c r="K1072" s="0" t="s">
        <v>616</v>
      </c>
      <c r="L1072" s="0" t="s">
        <v>2641</v>
      </c>
    </row>
    <row r="1073" customFormat="false" ht="15" hidden="false" customHeight="false" outlineLevel="0" collapsed="false">
      <c r="A1073" s="0" t="s">
        <v>65</v>
      </c>
      <c r="C1073" s="0" t="s">
        <v>649</v>
      </c>
      <c r="D1073" s="0" t="s">
        <v>156</v>
      </c>
      <c r="E1073" s="0" t="s">
        <v>673</v>
      </c>
      <c r="F1073" s="0" t="n">
        <v>5</v>
      </c>
      <c r="G1073" s="0" t="n">
        <v>0</v>
      </c>
      <c r="H1073" s="0" t="s">
        <v>585</v>
      </c>
      <c r="K1073" s="0" t="s">
        <v>620</v>
      </c>
      <c r="L1073" s="0" t="s">
        <v>2642</v>
      </c>
    </row>
    <row r="1074" customFormat="false" ht="15" hidden="false" customHeight="false" outlineLevel="0" collapsed="false">
      <c r="A1074" s="0" t="s">
        <v>65</v>
      </c>
      <c r="B1074" s="0" t="s">
        <v>303</v>
      </c>
      <c r="C1074" s="0" t="s">
        <v>675</v>
      </c>
      <c r="D1074" s="0" t="s">
        <v>578</v>
      </c>
      <c r="E1074" s="0" t="s">
        <v>2643</v>
      </c>
      <c r="F1074" s="0" t="n">
        <v>0</v>
      </c>
      <c r="G1074" s="0" t="n">
        <v>0</v>
      </c>
      <c r="H1074" s="0" t="s">
        <v>580</v>
      </c>
      <c r="K1074" s="0" t="s">
        <v>581</v>
      </c>
      <c r="L1074" s="0" t="s">
        <v>2644</v>
      </c>
    </row>
    <row r="1075" customFormat="false" ht="15" hidden="false" customHeight="false" outlineLevel="0" collapsed="false">
      <c r="A1075" s="0" t="s">
        <v>65</v>
      </c>
      <c r="B1075" s="0" t="s">
        <v>303</v>
      </c>
      <c r="C1075" s="0" t="s">
        <v>675</v>
      </c>
      <c r="D1075" s="0" t="s">
        <v>583</v>
      </c>
      <c r="E1075" s="0" t="s">
        <v>2645</v>
      </c>
      <c r="F1075" s="0" t="n">
        <v>5</v>
      </c>
      <c r="G1075" s="0" t="n">
        <v>0</v>
      </c>
      <c r="H1075" s="0" t="s">
        <v>585</v>
      </c>
      <c r="K1075" s="0" t="s">
        <v>586</v>
      </c>
      <c r="L1075" s="0" t="s">
        <v>2646</v>
      </c>
    </row>
    <row r="1076" customFormat="false" ht="15" hidden="false" customHeight="false" outlineLevel="0" collapsed="false">
      <c r="A1076" s="0" t="s">
        <v>65</v>
      </c>
      <c r="B1076" s="0" t="s">
        <v>303</v>
      </c>
      <c r="C1076" s="0" t="s">
        <v>675</v>
      </c>
      <c r="D1076" s="0" t="s">
        <v>588</v>
      </c>
      <c r="E1076" s="0" t="s">
        <v>2647</v>
      </c>
      <c r="F1076" s="0" t="n">
        <v>5</v>
      </c>
      <c r="G1076" s="0" t="n">
        <v>0</v>
      </c>
      <c r="H1076" s="0" t="s">
        <v>585</v>
      </c>
      <c r="K1076" s="0" t="s">
        <v>590</v>
      </c>
      <c r="L1076" s="0" t="s">
        <v>2648</v>
      </c>
    </row>
    <row r="1077" customFormat="false" ht="15" hidden="false" customHeight="false" outlineLevel="0" collapsed="false">
      <c r="A1077" s="0" t="s">
        <v>65</v>
      </c>
      <c r="B1077" s="0" t="s">
        <v>303</v>
      </c>
      <c r="C1077" s="0" t="s">
        <v>675</v>
      </c>
      <c r="D1077" s="0" t="s">
        <v>127</v>
      </c>
      <c r="E1077" s="0" t="s">
        <v>2649</v>
      </c>
      <c r="F1077" s="0" t="n">
        <v>5</v>
      </c>
      <c r="G1077" s="0" t="n">
        <v>0</v>
      </c>
      <c r="H1077" s="0" t="s">
        <v>585</v>
      </c>
      <c r="K1077" s="0" t="s">
        <v>594</v>
      </c>
      <c r="L1077" s="0" t="s">
        <v>2650</v>
      </c>
    </row>
    <row r="1078" customFormat="false" ht="15" hidden="false" customHeight="false" outlineLevel="0" collapsed="false">
      <c r="A1078" s="0" t="s">
        <v>65</v>
      </c>
      <c r="B1078" s="0" t="s">
        <v>303</v>
      </c>
      <c r="C1078" s="0" t="s">
        <v>675</v>
      </c>
      <c r="D1078" s="0" t="s">
        <v>130</v>
      </c>
      <c r="E1078" s="0" t="s">
        <v>2651</v>
      </c>
      <c r="F1078" s="0" t="n">
        <v>5</v>
      </c>
      <c r="G1078" s="0" t="n">
        <v>0</v>
      </c>
      <c r="H1078" s="0" t="s">
        <v>585</v>
      </c>
      <c r="K1078" s="0" t="s">
        <v>597</v>
      </c>
      <c r="L1078" s="0" t="s">
        <v>2652</v>
      </c>
    </row>
    <row r="1079" customFormat="false" ht="15" hidden="false" customHeight="false" outlineLevel="0" collapsed="false">
      <c r="A1079" s="0" t="s">
        <v>65</v>
      </c>
      <c r="B1079" s="0" t="s">
        <v>303</v>
      </c>
      <c r="C1079" s="0" t="s">
        <v>675</v>
      </c>
      <c r="D1079" s="0" t="s">
        <v>133</v>
      </c>
      <c r="E1079" s="0" t="s">
        <v>2653</v>
      </c>
      <c r="F1079" s="0" t="n">
        <v>0</v>
      </c>
      <c r="G1079" s="0" t="n">
        <v>0</v>
      </c>
      <c r="H1079" s="0" t="s">
        <v>580</v>
      </c>
      <c r="K1079" s="0" t="s">
        <v>600</v>
      </c>
      <c r="L1079" s="0" t="s">
        <v>2654</v>
      </c>
    </row>
    <row r="1080" customFormat="false" ht="15" hidden="false" customHeight="false" outlineLevel="0" collapsed="false">
      <c r="A1080" s="0" t="s">
        <v>65</v>
      </c>
      <c r="B1080" s="0" t="s">
        <v>303</v>
      </c>
      <c r="C1080" s="0" t="s">
        <v>675</v>
      </c>
      <c r="D1080" s="0" t="s">
        <v>141</v>
      </c>
      <c r="E1080" s="0" t="s">
        <v>2655</v>
      </c>
      <c r="F1080" s="0" t="n">
        <v>5</v>
      </c>
      <c r="G1080" s="0" t="n">
        <v>0</v>
      </c>
      <c r="H1080" s="0" t="s">
        <v>585</v>
      </c>
      <c r="K1080" s="0" t="s">
        <v>604</v>
      </c>
      <c r="L1080" s="0" t="s">
        <v>2656</v>
      </c>
    </row>
    <row r="1081" customFormat="false" ht="15" hidden="false" customHeight="false" outlineLevel="0" collapsed="false">
      <c r="A1081" s="0" t="s">
        <v>65</v>
      </c>
      <c r="B1081" s="0" t="s">
        <v>303</v>
      </c>
      <c r="C1081" s="0" t="s">
        <v>675</v>
      </c>
      <c r="D1081" s="0" t="s">
        <v>144</v>
      </c>
      <c r="E1081" s="0" t="s">
        <v>2657</v>
      </c>
      <c r="F1081" s="0" t="n">
        <v>5</v>
      </c>
      <c r="G1081" s="0" t="n">
        <v>0</v>
      </c>
      <c r="H1081" s="0" t="s">
        <v>585</v>
      </c>
      <c r="K1081" s="0" t="s">
        <v>607</v>
      </c>
      <c r="L1081" s="0" t="s">
        <v>2658</v>
      </c>
    </row>
    <row r="1082" customFormat="false" ht="15" hidden="false" customHeight="false" outlineLevel="0" collapsed="false">
      <c r="A1082" s="0" t="s">
        <v>65</v>
      </c>
      <c r="B1082" s="0" t="s">
        <v>303</v>
      </c>
      <c r="C1082" s="0" t="s">
        <v>675</v>
      </c>
      <c r="D1082" s="0" t="s">
        <v>147</v>
      </c>
      <c r="E1082" s="0" t="s">
        <v>692</v>
      </c>
      <c r="F1082" s="0" t="n">
        <v>5</v>
      </c>
      <c r="G1082" s="0" t="n">
        <v>0</v>
      </c>
      <c r="H1082" s="0" t="s">
        <v>585</v>
      </c>
      <c r="I1082" s="0" t="s">
        <v>405</v>
      </c>
      <c r="K1082" s="0" t="s">
        <v>610</v>
      </c>
      <c r="L1082" s="0" t="s">
        <v>2659</v>
      </c>
    </row>
    <row r="1083" customFormat="false" ht="15" hidden="false" customHeight="false" outlineLevel="0" collapsed="false">
      <c r="A1083" s="0" t="s">
        <v>65</v>
      </c>
      <c r="C1083" s="0" t="s">
        <v>675</v>
      </c>
      <c r="D1083" s="0" t="s">
        <v>150</v>
      </c>
      <c r="E1083" s="0" t="s">
        <v>2660</v>
      </c>
      <c r="F1083" s="0" t="n">
        <v>5</v>
      </c>
      <c r="G1083" s="0" t="n">
        <v>0</v>
      </c>
      <c r="H1083" s="0" t="s">
        <v>585</v>
      </c>
      <c r="K1083" s="0" t="s">
        <v>613</v>
      </c>
      <c r="L1083" s="0" t="s">
        <v>2661</v>
      </c>
    </row>
    <row r="1084" customFormat="false" ht="15" hidden="false" customHeight="false" outlineLevel="0" collapsed="false">
      <c r="A1084" s="0" t="s">
        <v>65</v>
      </c>
      <c r="B1084" s="0" t="s">
        <v>946</v>
      </c>
      <c r="C1084" s="0" t="s">
        <v>675</v>
      </c>
      <c r="D1084" s="0" t="s">
        <v>153</v>
      </c>
      <c r="E1084" s="0" t="s">
        <v>2662</v>
      </c>
      <c r="F1084" s="0" t="n">
        <v>5</v>
      </c>
      <c r="G1084" s="0" t="n">
        <v>3</v>
      </c>
      <c r="H1084" s="0" t="s">
        <v>585</v>
      </c>
      <c r="I1084" s="0" t="s">
        <v>404</v>
      </c>
      <c r="K1084" s="0" t="s">
        <v>616</v>
      </c>
      <c r="L1084" s="0" t="s">
        <v>2663</v>
      </c>
    </row>
    <row r="1085" customFormat="false" ht="15" hidden="false" customHeight="false" outlineLevel="0" collapsed="false">
      <c r="A1085" s="0" t="s">
        <v>65</v>
      </c>
      <c r="C1085" s="0" t="s">
        <v>675</v>
      </c>
      <c r="D1085" s="0" t="s">
        <v>156</v>
      </c>
      <c r="E1085" s="0" t="s">
        <v>699</v>
      </c>
      <c r="F1085" s="0" t="n">
        <v>5</v>
      </c>
      <c r="G1085" s="0" t="n">
        <v>0</v>
      </c>
      <c r="H1085" s="0" t="s">
        <v>585</v>
      </c>
      <c r="K1085" s="0" t="s">
        <v>620</v>
      </c>
      <c r="L1085" s="0" t="s">
        <v>2664</v>
      </c>
    </row>
    <row r="1086" customFormat="false" ht="15" hidden="false" customHeight="false" outlineLevel="0" collapsed="false">
      <c r="A1086" s="0" t="s">
        <v>65</v>
      </c>
      <c r="B1086" s="0" t="s">
        <v>303</v>
      </c>
      <c r="C1086" s="0" t="s">
        <v>701</v>
      </c>
      <c r="D1086" s="0" t="s">
        <v>578</v>
      </c>
      <c r="E1086" s="0" t="s">
        <v>2665</v>
      </c>
      <c r="F1086" s="0" t="n">
        <v>0</v>
      </c>
      <c r="G1086" s="0" t="n">
        <v>0</v>
      </c>
      <c r="H1086" s="0" t="s">
        <v>580</v>
      </c>
      <c r="K1086" s="0" t="s">
        <v>581</v>
      </c>
      <c r="L1086" s="0" t="s">
        <v>2666</v>
      </c>
    </row>
    <row r="1087" customFormat="false" ht="15" hidden="false" customHeight="false" outlineLevel="0" collapsed="false">
      <c r="A1087" s="0" t="s">
        <v>65</v>
      </c>
      <c r="B1087" s="0" t="s">
        <v>303</v>
      </c>
      <c r="C1087" s="0" t="s">
        <v>701</v>
      </c>
      <c r="D1087" s="0" t="s">
        <v>583</v>
      </c>
      <c r="E1087" s="0" t="s">
        <v>704</v>
      </c>
      <c r="F1087" s="0" t="n">
        <v>5</v>
      </c>
      <c r="G1087" s="0" t="n">
        <v>5</v>
      </c>
      <c r="H1087" s="0" t="s">
        <v>580</v>
      </c>
      <c r="I1087" s="0" t="s">
        <v>400</v>
      </c>
      <c r="K1087" s="0" t="s">
        <v>586</v>
      </c>
      <c r="L1087" s="0" t="s">
        <v>2667</v>
      </c>
    </row>
    <row r="1088" customFormat="false" ht="15" hidden="false" customHeight="false" outlineLevel="0" collapsed="false">
      <c r="A1088" s="0" t="s">
        <v>65</v>
      </c>
      <c r="B1088" s="0" t="s">
        <v>303</v>
      </c>
      <c r="C1088" s="0" t="s">
        <v>701</v>
      </c>
      <c r="D1088" s="0" t="s">
        <v>588</v>
      </c>
      <c r="E1088" s="0" t="s">
        <v>2668</v>
      </c>
      <c r="F1088" s="0" t="n">
        <v>5</v>
      </c>
      <c r="G1088" s="0" t="n">
        <v>0</v>
      </c>
      <c r="H1088" s="0" t="s">
        <v>585</v>
      </c>
      <c r="K1088" s="0" t="s">
        <v>590</v>
      </c>
      <c r="L1088" s="0" t="s">
        <v>2669</v>
      </c>
    </row>
    <row r="1089" customFormat="false" ht="15" hidden="false" customHeight="false" outlineLevel="0" collapsed="false">
      <c r="A1089" s="0" t="s">
        <v>65</v>
      </c>
      <c r="B1089" s="0" t="s">
        <v>303</v>
      </c>
      <c r="C1089" s="0" t="s">
        <v>701</v>
      </c>
      <c r="D1089" s="0" t="s">
        <v>127</v>
      </c>
      <c r="E1089" s="0" t="s">
        <v>2670</v>
      </c>
      <c r="F1089" s="0" t="n">
        <v>5</v>
      </c>
      <c r="G1089" s="0" t="n">
        <v>4</v>
      </c>
      <c r="H1089" s="0" t="s">
        <v>585</v>
      </c>
      <c r="I1089" s="0" t="s">
        <v>405</v>
      </c>
      <c r="K1089" s="0" t="s">
        <v>594</v>
      </c>
      <c r="L1089" s="0" t="s">
        <v>2671</v>
      </c>
    </row>
    <row r="1090" customFormat="false" ht="15" hidden="false" customHeight="false" outlineLevel="0" collapsed="false">
      <c r="A1090" s="0" t="s">
        <v>65</v>
      </c>
      <c r="B1090" s="0" t="s">
        <v>303</v>
      </c>
      <c r="C1090" s="0" t="s">
        <v>701</v>
      </c>
      <c r="D1090" s="0" t="s">
        <v>130</v>
      </c>
      <c r="E1090" s="0" t="s">
        <v>2672</v>
      </c>
      <c r="F1090" s="0" t="n">
        <v>0</v>
      </c>
      <c r="G1090" s="0" t="n">
        <v>0</v>
      </c>
      <c r="H1090" s="0" t="s">
        <v>580</v>
      </c>
      <c r="K1090" s="0" t="s">
        <v>597</v>
      </c>
      <c r="L1090" s="0" t="s">
        <v>2673</v>
      </c>
    </row>
    <row r="1091" customFormat="false" ht="15" hidden="false" customHeight="false" outlineLevel="0" collapsed="false">
      <c r="A1091" s="0" t="s">
        <v>65</v>
      </c>
      <c r="B1091" s="0" t="s">
        <v>303</v>
      </c>
      <c r="C1091" s="0" t="s">
        <v>701</v>
      </c>
      <c r="D1091" s="0" t="s">
        <v>133</v>
      </c>
      <c r="E1091" s="0" t="s">
        <v>2674</v>
      </c>
      <c r="F1091" s="0" t="n">
        <v>0</v>
      </c>
      <c r="G1091" s="0" t="n">
        <v>0</v>
      </c>
      <c r="H1091" s="0" t="s">
        <v>580</v>
      </c>
      <c r="K1091" s="0" t="s">
        <v>600</v>
      </c>
      <c r="L1091" s="0" t="s">
        <v>2675</v>
      </c>
    </row>
    <row r="1092" customFormat="false" ht="15" hidden="false" customHeight="false" outlineLevel="0" collapsed="false">
      <c r="A1092" s="0" t="s">
        <v>65</v>
      </c>
      <c r="B1092" s="0" t="s">
        <v>946</v>
      </c>
      <c r="C1092" s="0" t="s">
        <v>701</v>
      </c>
      <c r="D1092" s="0" t="s">
        <v>141</v>
      </c>
      <c r="E1092" s="0" t="s">
        <v>2676</v>
      </c>
      <c r="F1092" s="0" t="n">
        <v>5</v>
      </c>
      <c r="G1092" s="0" t="n">
        <v>4</v>
      </c>
      <c r="H1092" s="0" t="s">
        <v>585</v>
      </c>
      <c r="I1092" s="0" t="s">
        <v>400</v>
      </c>
      <c r="K1092" s="0" t="s">
        <v>604</v>
      </c>
      <c r="L1092" s="0" t="s">
        <v>2677</v>
      </c>
    </row>
    <row r="1093" customFormat="false" ht="15" hidden="false" customHeight="false" outlineLevel="0" collapsed="false">
      <c r="A1093" s="0" t="s">
        <v>65</v>
      </c>
      <c r="B1093" s="0" t="s">
        <v>303</v>
      </c>
      <c r="C1093" s="0" t="s">
        <v>701</v>
      </c>
      <c r="D1093" s="0" t="s">
        <v>144</v>
      </c>
      <c r="E1093" s="0" t="s">
        <v>2678</v>
      </c>
      <c r="F1093" s="0" t="n">
        <v>5</v>
      </c>
      <c r="G1093" s="0" t="n">
        <v>0</v>
      </c>
      <c r="H1093" s="0" t="s">
        <v>585</v>
      </c>
      <c r="K1093" s="0" t="s">
        <v>607</v>
      </c>
      <c r="L1093" s="0" t="s">
        <v>2679</v>
      </c>
    </row>
    <row r="1094" customFormat="false" ht="15" hidden="false" customHeight="false" outlineLevel="0" collapsed="false">
      <c r="A1094" s="0" t="s">
        <v>65</v>
      </c>
      <c r="C1094" s="0" t="s">
        <v>701</v>
      </c>
      <c r="D1094" s="0" t="s">
        <v>147</v>
      </c>
      <c r="E1094" s="0" t="s">
        <v>2680</v>
      </c>
      <c r="F1094" s="0" t="n">
        <v>5</v>
      </c>
      <c r="G1094" s="0" t="n">
        <v>0</v>
      </c>
      <c r="H1094" s="0" t="s">
        <v>585</v>
      </c>
      <c r="K1094" s="0" t="s">
        <v>610</v>
      </c>
      <c r="L1094" s="0" t="s">
        <v>2681</v>
      </c>
    </row>
    <row r="1095" customFormat="false" ht="15" hidden="false" customHeight="false" outlineLevel="0" collapsed="false">
      <c r="A1095" s="0" t="s">
        <v>65</v>
      </c>
      <c r="B1095" s="0" t="s">
        <v>946</v>
      </c>
      <c r="C1095" s="0" t="s">
        <v>701</v>
      </c>
      <c r="D1095" s="0" t="s">
        <v>150</v>
      </c>
      <c r="E1095" s="0" t="s">
        <v>2682</v>
      </c>
      <c r="F1095" s="0" t="n">
        <v>5</v>
      </c>
      <c r="G1095" s="0" t="n">
        <v>3</v>
      </c>
      <c r="H1095" s="0" t="s">
        <v>585</v>
      </c>
      <c r="I1095" s="0" t="s">
        <v>404</v>
      </c>
      <c r="K1095" s="0" t="s">
        <v>613</v>
      </c>
      <c r="L1095" s="0" t="s">
        <v>2683</v>
      </c>
    </row>
    <row r="1096" customFormat="false" ht="15" hidden="false" customHeight="false" outlineLevel="0" collapsed="false">
      <c r="A1096" s="0" t="s">
        <v>65</v>
      </c>
      <c r="B1096" s="0" t="s">
        <v>303</v>
      </c>
      <c r="C1096" s="0" t="s">
        <v>701</v>
      </c>
      <c r="D1096" s="0" t="s">
        <v>153</v>
      </c>
      <c r="E1096" s="0" t="s">
        <v>2684</v>
      </c>
      <c r="F1096" s="0" t="n">
        <v>5</v>
      </c>
      <c r="G1096" s="0" t="n">
        <v>2</v>
      </c>
      <c r="H1096" s="0" t="s">
        <v>585</v>
      </c>
      <c r="I1096" s="0" t="s">
        <v>400</v>
      </c>
      <c r="K1096" s="0" t="s">
        <v>616</v>
      </c>
      <c r="L1096" s="0" t="s">
        <v>2685</v>
      </c>
    </row>
    <row r="1097" customFormat="false" ht="15" hidden="false" customHeight="false" outlineLevel="0" collapsed="false">
      <c r="A1097" s="0" t="s">
        <v>65</v>
      </c>
      <c r="B1097" s="0" t="s">
        <v>303</v>
      </c>
      <c r="C1097" s="0" t="s">
        <v>701</v>
      </c>
      <c r="D1097" s="0" t="s">
        <v>156</v>
      </c>
      <c r="E1097" s="0" t="s">
        <v>726</v>
      </c>
      <c r="F1097" s="0" t="n">
        <v>5</v>
      </c>
      <c r="G1097" s="0" t="n">
        <v>0</v>
      </c>
      <c r="H1097" s="0" t="s">
        <v>585</v>
      </c>
      <c r="K1097" s="0" t="s">
        <v>620</v>
      </c>
      <c r="L1097" s="0" t="s">
        <v>2686</v>
      </c>
    </row>
    <row r="1098" customFormat="false" ht="15" hidden="false" customHeight="false" outlineLevel="0" collapsed="false">
      <c r="A1098" s="0" t="s">
        <v>65</v>
      </c>
      <c r="B1098" s="0" t="s">
        <v>2687</v>
      </c>
      <c r="C1098" s="0" t="s">
        <v>728</v>
      </c>
      <c r="D1098" s="0" t="s">
        <v>578</v>
      </c>
      <c r="E1098" s="0" t="s">
        <v>2688</v>
      </c>
      <c r="F1098" s="0" t="n">
        <v>0</v>
      </c>
      <c r="G1098" s="0" t="n">
        <v>0</v>
      </c>
      <c r="H1098" s="0" t="s">
        <v>580</v>
      </c>
      <c r="K1098" s="0" t="s">
        <v>581</v>
      </c>
      <c r="L1098" s="0" t="s">
        <v>2689</v>
      </c>
    </row>
    <row r="1099" customFormat="false" ht="15" hidden="false" customHeight="false" outlineLevel="0" collapsed="false">
      <c r="A1099" s="0" t="s">
        <v>65</v>
      </c>
      <c r="B1099" s="0" t="s">
        <v>303</v>
      </c>
      <c r="C1099" s="0" t="s">
        <v>728</v>
      </c>
      <c r="D1099" s="0" t="s">
        <v>583</v>
      </c>
      <c r="E1099" s="0" t="s">
        <v>731</v>
      </c>
      <c r="F1099" s="0" t="n">
        <v>5</v>
      </c>
      <c r="G1099" s="0" t="n">
        <v>4</v>
      </c>
      <c r="H1099" s="0" t="s">
        <v>585</v>
      </c>
      <c r="I1099" s="0" t="s">
        <v>404</v>
      </c>
      <c r="K1099" s="0" t="s">
        <v>586</v>
      </c>
      <c r="L1099" s="0" t="s">
        <v>2690</v>
      </c>
    </row>
    <row r="1100" customFormat="false" ht="15" hidden="false" customHeight="false" outlineLevel="0" collapsed="false">
      <c r="A1100" s="0" t="s">
        <v>65</v>
      </c>
      <c r="B1100" s="0" t="s">
        <v>303</v>
      </c>
      <c r="C1100" s="0" t="s">
        <v>728</v>
      </c>
      <c r="D1100" s="0" t="s">
        <v>588</v>
      </c>
      <c r="E1100" s="0" t="s">
        <v>734</v>
      </c>
      <c r="F1100" s="0" t="n">
        <v>5</v>
      </c>
      <c r="G1100" s="0" t="n">
        <v>5</v>
      </c>
      <c r="H1100" s="0" t="s">
        <v>580</v>
      </c>
      <c r="I1100" s="0" t="s">
        <v>402</v>
      </c>
      <c r="K1100" s="0" t="s">
        <v>590</v>
      </c>
      <c r="L1100" s="0" t="s">
        <v>2691</v>
      </c>
    </row>
    <row r="1101" customFormat="false" ht="15" hidden="false" customHeight="false" outlineLevel="0" collapsed="false">
      <c r="A1101" s="0" t="s">
        <v>65</v>
      </c>
      <c r="B1101" s="0" t="s">
        <v>303</v>
      </c>
      <c r="C1101" s="0" t="s">
        <v>728</v>
      </c>
      <c r="D1101" s="0" t="s">
        <v>127</v>
      </c>
      <c r="E1101" s="0" t="s">
        <v>736</v>
      </c>
      <c r="F1101" s="0" t="n">
        <v>5</v>
      </c>
      <c r="G1101" s="0" t="n">
        <v>0</v>
      </c>
      <c r="H1101" s="0" t="s">
        <v>585</v>
      </c>
      <c r="K1101" s="0" t="s">
        <v>594</v>
      </c>
      <c r="L1101" s="0" t="s">
        <v>2692</v>
      </c>
    </row>
    <row r="1102" customFormat="false" ht="15" hidden="false" customHeight="false" outlineLevel="0" collapsed="false">
      <c r="A1102" s="0" t="s">
        <v>65</v>
      </c>
      <c r="B1102" s="0" t="s">
        <v>303</v>
      </c>
      <c r="C1102" s="0" t="s">
        <v>728</v>
      </c>
      <c r="D1102" s="0" t="s">
        <v>130</v>
      </c>
      <c r="E1102" s="0" t="s">
        <v>2693</v>
      </c>
      <c r="F1102" s="0" t="n">
        <v>5</v>
      </c>
      <c r="G1102" s="0" t="n">
        <v>5</v>
      </c>
      <c r="H1102" s="0" t="s">
        <v>580</v>
      </c>
      <c r="I1102" s="0" t="s">
        <v>400</v>
      </c>
      <c r="K1102" s="0" t="s">
        <v>597</v>
      </c>
      <c r="L1102" s="0" t="s">
        <v>2694</v>
      </c>
    </row>
    <row r="1103" customFormat="false" ht="15" hidden="false" customHeight="false" outlineLevel="0" collapsed="false">
      <c r="A1103" s="0" t="s">
        <v>65</v>
      </c>
      <c r="B1103" s="0" t="s">
        <v>303</v>
      </c>
      <c r="C1103" s="0" t="s">
        <v>728</v>
      </c>
      <c r="D1103" s="0" t="s">
        <v>133</v>
      </c>
      <c r="E1103" s="0" t="s">
        <v>2695</v>
      </c>
      <c r="F1103" s="0" t="n">
        <v>5</v>
      </c>
      <c r="G1103" s="0" t="n">
        <v>0</v>
      </c>
      <c r="H1103" s="0" t="s">
        <v>585</v>
      </c>
      <c r="K1103" s="0" t="s">
        <v>600</v>
      </c>
      <c r="L1103" s="0" t="s">
        <v>2696</v>
      </c>
    </row>
    <row r="1104" customFormat="false" ht="15" hidden="false" customHeight="false" outlineLevel="0" collapsed="false">
      <c r="A1104" s="0" t="s">
        <v>65</v>
      </c>
      <c r="B1104" s="0" t="s">
        <v>303</v>
      </c>
      <c r="C1104" s="0" t="s">
        <v>728</v>
      </c>
      <c r="D1104" s="0" t="s">
        <v>141</v>
      </c>
      <c r="E1104" s="0" t="s">
        <v>742</v>
      </c>
      <c r="F1104" s="0" t="n">
        <v>5</v>
      </c>
      <c r="G1104" s="0" t="n">
        <v>0</v>
      </c>
      <c r="H1104" s="0" t="s">
        <v>585</v>
      </c>
      <c r="K1104" s="0" t="s">
        <v>604</v>
      </c>
      <c r="L1104" s="0" t="s">
        <v>2697</v>
      </c>
    </row>
    <row r="1105" customFormat="false" ht="15" hidden="false" customHeight="false" outlineLevel="0" collapsed="false">
      <c r="A1105" s="0" t="s">
        <v>65</v>
      </c>
      <c r="B1105" s="0" t="s">
        <v>303</v>
      </c>
      <c r="C1105" s="0" t="s">
        <v>728</v>
      </c>
      <c r="D1105" s="0" t="s">
        <v>144</v>
      </c>
      <c r="E1105" s="0" t="s">
        <v>2698</v>
      </c>
      <c r="F1105" s="0" t="n">
        <v>5</v>
      </c>
      <c r="G1105" s="0" t="n">
        <v>0</v>
      </c>
      <c r="H1105" s="0" t="s">
        <v>585</v>
      </c>
      <c r="K1105" s="0" t="s">
        <v>607</v>
      </c>
      <c r="L1105" s="0" t="s">
        <v>2699</v>
      </c>
    </row>
    <row r="1106" customFormat="false" ht="15" hidden="false" customHeight="false" outlineLevel="0" collapsed="false">
      <c r="A1106" s="0" t="s">
        <v>65</v>
      </c>
      <c r="B1106" s="0" t="s">
        <v>303</v>
      </c>
      <c r="C1106" s="0" t="s">
        <v>728</v>
      </c>
      <c r="D1106" s="0" t="s">
        <v>147</v>
      </c>
      <c r="E1106" s="0" t="s">
        <v>746</v>
      </c>
      <c r="F1106" s="0" t="n">
        <v>5</v>
      </c>
      <c r="G1106" s="0" t="n">
        <v>0</v>
      </c>
      <c r="H1106" s="0" t="s">
        <v>585</v>
      </c>
      <c r="K1106" s="0" t="s">
        <v>610</v>
      </c>
      <c r="L1106" s="0" t="s">
        <v>2700</v>
      </c>
    </row>
    <row r="1107" customFormat="false" ht="15" hidden="false" customHeight="false" outlineLevel="0" collapsed="false">
      <c r="A1107" s="0" t="s">
        <v>65</v>
      </c>
      <c r="B1107" s="0" t="s">
        <v>303</v>
      </c>
      <c r="C1107" s="0" t="s">
        <v>728</v>
      </c>
      <c r="D1107" s="0" t="s">
        <v>150</v>
      </c>
      <c r="E1107" s="0" t="s">
        <v>2701</v>
      </c>
      <c r="F1107" s="0" t="n">
        <v>5</v>
      </c>
      <c r="G1107" s="0" t="n">
        <v>0</v>
      </c>
      <c r="H1107" s="0" t="s">
        <v>585</v>
      </c>
      <c r="K1107" s="0" t="s">
        <v>613</v>
      </c>
      <c r="L1107" s="0" t="s">
        <v>2702</v>
      </c>
    </row>
    <row r="1108" customFormat="false" ht="15" hidden="false" customHeight="false" outlineLevel="0" collapsed="false">
      <c r="A1108" s="0" t="s">
        <v>65</v>
      </c>
      <c r="B1108" s="0" t="s">
        <v>303</v>
      </c>
      <c r="C1108" s="0" t="s">
        <v>728</v>
      </c>
      <c r="D1108" s="0" t="s">
        <v>153</v>
      </c>
      <c r="E1108" s="0" t="s">
        <v>750</v>
      </c>
      <c r="F1108" s="0" t="n">
        <v>5</v>
      </c>
      <c r="G1108" s="0" t="n">
        <v>4</v>
      </c>
      <c r="H1108" s="0" t="s">
        <v>585</v>
      </c>
      <c r="I1108" s="0" t="s">
        <v>399</v>
      </c>
      <c r="K1108" s="0" t="s">
        <v>616</v>
      </c>
      <c r="L1108" s="0" t="s">
        <v>2703</v>
      </c>
    </row>
    <row r="1109" customFormat="false" ht="15" hidden="false" customHeight="false" outlineLevel="0" collapsed="false">
      <c r="A1109" s="0" t="s">
        <v>65</v>
      </c>
      <c r="B1109" s="0" t="s">
        <v>303</v>
      </c>
      <c r="C1109" s="0" t="s">
        <v>728</v>
      </c>
      <c r="D1109" s="0" t="s">
        <v>156</v>
      </c>
      <c r="E1109" s="0" t="s">
        <v>2704</v>
      </c>
      <c r="F1109" s="0" t="n">
        <v>5</v>
      </c>
      <c r="G1109" s="0" t="n">
        <v>0</v>
      </c>
      <c r="H1109" s="0" t="s">
        <v>585</v>
      </c>
      <c r="K1109" s="0" t="s">
        <v>620</v>
      </c>
      <c r="L1109" s="0" t="s">
        <v>2705</v>
      </c>
    </row>
    <row r="1110" customFormat="false" ht="15" hidden="false" customHeight="false" outlineLevel="0" collapsed="false">
      <c r="A1110" s="0" t="s">
        <v>65</v>
      </c>
      <c r="B1110" s="0" t="s">
        <v>303</v>
      </c>
      <c r="C1110" s="0" t="s">
        <v>754</v>
      </c>
      <c r="D1110" s="0" t="s">
        <v>578</v>
      </c>
      <c r="E1110" s="0" t="s">
        <v>2706</v>
      </c>
      <c r="F1110" s="0" t="n">
        <v>0</v>
      </c>
      <c r="G1110" s="0" t="n">
        <v>0</v>
      </c>
      <c r="H1110" s="0" t="s">
        <v>580</v>
      </c>
      <c r="K1110" s="0" t="s">
        <v>581</v>
      </c>
      <c r="L1110" s="0" t="s">
        <v>2707</v>
      </c>
    </row>
    <row r="1111" customFormat="false" ht="15" hidden="false" customHeight="false" outlineLevel="0" collapsed="false">
      <c r="A1111" s="0" t="s">
        <v>65</v>
      </c>
      <c r="B1111" s="0" t="s">
        <v>303</v>
      </c>
      <c r="C1111" s="0" t="s">
        <v>754</v>
      </c>
      <c r="D1111" s="0" t="s">
        <v>583</v>
      </c>
      <c r="E1111" s="0" t="s">
        <v>757</v>
      </c>
      <c r="F1111" s="0" t="n">
        <v>5</v>
      </c>
      <c r="G1111" s="0" t="n">
        <v>3</v>
      </c>
      <c r="H1111" s="0" t="s">
        <v>585</v>
      </c>
      <c r="I1111" s="0" t="s">
        <v>405</v>
      </c>
      <c r="K1111" s="0" t="s">
        <v>586</v>
      </c>
      <c r="L1111" s="0" t="s">
        <v>2708</v>
      </c>
    </row>
    <row r="1112" customFormat="false" ht="15" hidden="false" customHeight="false" outlineLevel="0" collapsed="false">
      <c r="A1112" s="0" t="s">
        <v>65</v>
      </c>
      <c r="B1112" s="0" t="s">
        <v>303</v>
      </c>
      <c r="C1112" s="0" t="s">
        <v>754</v>
      </c>
      <c r="D1112" s="0" t="s">
        <v>588</v>
      </c>
      <c r="E1112" s="0" t="s">
        <v>759</v>
      </c>
      <c r="F1112" s="0" t="n">
        <v>5</v>
      </c>
      <c r="G1112" s="0" t="n">
        <v>2</v>
      </c>
      <c r="H1112" s="0" t="s">
        <v>585</v>
      </c>
      <c r="I1112" s="0" t="s">
        <v>404</v>
      </c>
      <c r="K1112" s="0" t="s">
        <v>590</v>
      </c>
      <c r="L1112" s="0" t="s">
        <v>2709</v>
      </c>
    </row>
    <row r="1113" customFormat="false" ht="15" hidden="false" customHeight="false" outlineLevel="0" collapsed="false">
      <c r="A1113" s="0" t="s">
        <v>65</v>
      </c>
      <c r="B1113" s="0" t="s">
        <v>303</v>
      </c>
      <c r="C1113" s="0" t="s">
        <v>754</v>
      </c>
      <c r="D1113" s="0" t="s">
        <v>127</v>
      </c>
      <c r="E1113" s="0" t="s">
        <v>761</v>
      </c>
      <c r="F1113" s="0" t="n">
        <v>5</v>
      </c>
      <c r="G1113" s="0" t="n">
        <v>5</v>
      </c>
      <c r="H1113" s="0" t="s">
        <v>580</v>
      </c>
      <c r="I1113" s="0" t="s">
        <v>402</v>
      </c>
      <c r="K1113" s="0" t="s">
        <v>594</v>
      </c>
      <c r="L1113" s="0" t="s">
        <v>2710</v>
      </c>
    </row>
    <row r="1114" customFormat="false" ht="15" hidden="false" customHeight="false" outlineLevel="0" collapsed="false">
      <c r="A1114" s="0" t="s">
        <v>65</v>
      </c>
      <c r="B1114" s="0" t="s">
        <v>303</v>
      </c>
      <c r="C1114" s="0" t="s">
        <v>754</v>
      </c>
      <c r="D1114" s="0" t="s">
        <v>130</v>
      </c>
      <c r="E1114" s="0" t="s">
        <v>2711</v>
      </c>
      <c r="F1114" s="0" t="n">
        <v>5</v>
      </c>
      <c r="G1114" s="0" t="n">
        <v>0</v>
      </c>
      <c r="H1114" s="0" t="s">
        <v>585</v>
      </c>
      <c r="K1114" s="0" t="s">
        <v>597</v>
      </c>
      <c r="L1114" s="0" t="s">
        <v>2712</v>
      </c>
    </row>
    <row r="1115" customFormat="false" ht="15" hidden="false" customHeight="false" outlineLevel="0" collapsed="false">
      <c r="A1115" s="0" t="s">
        <v>65</v>
      </c>
      <c r="B1115" s="0" t="s">
        <v>303</v>
      </c>
      <c r="C1115" s="0" t="s">
        <v>754</v>
      </c>
      <c r="D1115" s="0" t="s">
        <v>133</v>
      </c>
      <c r="E1115" s="0" t="s">
        <v>2713</v>
      </c>
      <c r="F1115" s="0" t="n">
        <v>5</v>
      </c>
      <c r="G1115" s="0" t="n">
        <v>0</v>
      </c>
      <c r="H1115" s="0" t="s">
        <v>585</v>
      </c>
      <c r="K1115" s="0" t="s">
        <v>600</v>
      </c>
      <c r="L1115" s="0" t="s">
        <v>2714</v>
      </c>
    </row>
    <row r="1116" customFormat="false" ht="15" hidden="false" customHeight="false" outlineLevel="0" collapsed="false">
      <c r="A1116" s="0" t="s">
        <v>65</v>
      </c>
      <c r="B1116" s="0" t="s">
        <v>303</v>
      </c>
      <c r="C1116" s="0" t="s">
        <v>754</v>
      </c>
      <c r="D1116" s="0" t="s">
        <v>141</v>
      </c>
      <c r="E1116" s="0" t="s">
        <v>767</v>
      </c>
      <c r="F1116" s="0" t="n">
        <v>5</v>
      </c>
      <c r="G1116" s="0" t="n">
        <v>1</v>
      </c>
      <c r="H1116" s="0" t="s">
        <v>585</v>
      </c>
      <c r="I1116" s="0" t="s">
        <v>400</v>
      </c>
      <c r="K1116" s="0" t="s">
        <v>604</v>
      </c>
      <c r="L1116" s="0" t="s">
        <v>2715</v>
      </c>
    </row>
    <row r="1117" customFormat="false" ht="15" hidden="false" customHeight="false" outlineLevel="0" collapsed="false">
      <c r="A1117" s="0" t="s">
        <v>65</v>
      </c>
      <c r="B1117" s="0" t="s">
        <v>303</v>
      </c>
      <c r="C1117" s="0" t="s">
        <v>754</v>
      </c>
      <c r="D1117" s="0" t="s">
        <v>144</v>
      </c>
      <c r="E1117" s="0" t="s">
        <v>2716</v>
      </c>
      <c r="F1117" s="0" t="n">
        <v>5</v>
      </c>
      <c r="G1117" s="0" t="n">
        <v>0</v>
      </c>
      <c r="H1117" s="0" t="s">
        <v>585</v>
      </c>
      <c r="K1117" s="0" t="s">
        <v>607</v>
      </c>
      <c r="L1117" s="0" t="s">
        <v>2717</v>
      </c>
    </row>
    <row r="1118" customFormat="false" ht="15" hidden="false" customHeight="false" outlineLevel="0" collapsed="false">
      <c r="A1118" s="0" t="s">
        <v>65</v>
      </c>
      <c r="B1118" s="0" t="s">
        <v>303</v>
      </c>
      <c r="C1118" s="0" t="s">
        <v>754</v>
      </c>
      <c r="D1118" s="0" t="s">
        <v>147</v>
      </c>
      <c r="E1118" s="0" t="s">
        <v>771</v>
      </c>
      <c r="F1118" s="0" t="n">
        <v>5</v>
      </c>
      <c r="G1118" s="0" t="n">
        <v>0</v>
      </c>
      <c r="H1118" s="0" t="s">
        <v>585</v>
      </c>
      <c r="K1118" s="0" t="s">
        <v>610</v>
      </c>
      <c r="L1118" s="0" t="s">
        <v>2718</v>
      </c>
    </row>
    <row r="1119" customFormat="false" ht="15" hidden="false" customHeight="false" outlineLevel="0" collapsed="false">
      <c r="A1119" s="0" t="s">
        <v>65</v>
      </c>
      <c r="B1119" s="0" t="s">
        <v>946</v>
      </c>
      <c r="C1119" s="0" t="s">
        <v>754</v>
      </c>
      <c r="D1119" s="0" t="s">
        <v>150</v>
      </c>
      <c r="E1119" s="0" t="s">
        <v>2719</v>
      </c>
      <c r="F1119" s="0" t="n">
        <v>5</v>
      </c>
      <c r="G1119" s="0" t="n">
        <v>4</v>
      </c>
      <c r="H1119" s="0" t="s">
        <v>585</v>
      </c>
      <c r="I1119" s="0" t="s">
        <v>400</v>
      </c>
      <c r="K1119" s="0" t="s">
        <v>613</v>
      </c>
      <c r="L1119" s="0" t="s">
        <v>2720</v>
      </c>
    </row>
    <row r="1120" customFormat="false" ht="15" hidden="false" customHeight="false" outlineLevel="0" collapsed="false">
      <c r="A1120" s="0" t="s">
        <v>65</v>
      </c>
      <c r="B1120" s="0" t="s">
        <v>303</v>
      </c>
      <c r="C1120" s="0" t="s">
        <v>754</v>
      </c>
      <c r="D1120" s="0" t="s">
        <v>153</v>
      </c>
      <c r="E1120" s="0" t="s">
        <v>2721</v>
      </c>
      <c r="F1120" s="0" t="n">
        <v>5</v>
      </c>
      <c r="G1120" s="0" t="n">
        <v>0</v>
      </c>
      <c r="H1120" s="0" t="s">
        <v>585</v>
      </c>
      <c r="K1120" s="0" t="s">
        <v>616</v>
      </c>
      <c r="L1120" s="0" t="s">
        <v>2722</v>
      </c>
    </row>
    <row r="1121" customFormat="false" ht="15" hidden="false" customHeight="false" outlineLevel="0" collapsed="false">
      <c r="A1121" s="0" t="s">
        <v>65</v>
      </c>
      <c r="B1121" s="0" t="s">
        <v>303</v>
      </c>
      <c r="C1121" s="0" t="s">
        <v>754</v>
      </c>
      <c r="D1121" s="0" t="s">
        <v>156</v>
      </c>
      <c r="E1121" s="0" t="s">
        <v>2723</v>
      </c>
      <c r="F1121" s="0" t="n">
        <v>5</v>
      </c>
      <c r="G1121" s="0" t="n">
        <v>0</v>
      </c>
      <c r="H1121" s="0" t="s">
        <v>585</v>
      </c>
      <c r="K1121" s="0" t="s">
        <v>620</v>
      </c>
      <c r="L1121" s="0" t="s">
        <v>2724</v>
      </c>
    </row>
    <row r="1122" customFormat="false" ht="15" hidden="false" customHeight="false" outlineLevel="0" collapsed="false">
      <c r="A1122" s="0" t="s">
        <v>65</v>
      </c>
      <c r="B1122" s="0" t="s">
        <v>779</v>
      </c>
      <c r="C1122" s="0" t="s">
        <v>577</v>
      </c>
      <c r="D1122" s="0" t="s">
        <v>780</v>
      </c>
      <c r="E1122" s="0" t="s">
        <v>781</v>
      </c>
      <c r="F1122" s="0" t="n">
        <v>8</v>
      </c>
      <c r="G1122" s="0" t="n">
        <v>0</v>
      </c>
      <c r="H1122" s="0" t="s">
        <v>585</v>
      </c>
      <c r="K1122" s="0" t="s">
        <v>782</v>
      </c>
      <c r="L1122" s="0" t="s">
        <v>2725</v>
      </c>
    </row>
    <row r="1123" customFormat="false" ht="15" hidden="false" customHeight="false" outlineLevel="0" collapsed="false">
      <c r="A1123" s="0" t="s">
        <v>65</v>
      </c>
      <c r="B1123" s="0" t="s">
        <v>779</v>
      </c>
      <c r="C1123" s="0" t="s">
        <v>622</v>
      </c>
      <c r="D1123" s="0" t="s">
        <v>780</v>
      </c>
      <c r="E1123" s="0" t="s">
        <v>784</v>
      </c>
      <c r="F1123" s="0" t="n">
        <v>8</v>
      </c>
      <c r="G1123" s="0" t="n">
        <v>0</v>
      </c>
      <c r="H1123" s="0" t="s">
        <v>585</v>
      </c>
      <c r="K1123" s="0" t="s">
        <v>782</v>
      </c>
      <c r="L1123" s="0" t="s">
        <v>2726</v>
      </c>
    </row>
    <row r="1124" customFormat="false" ht="15" hidden="false" customHeight="false" outlineLevel="0" collapsed="false">
      <c r="A1124" s="0" t="s">
        <v>65</v>
      </c>
      <c r="B1124" s="0" t="s">
        <v>779</v>
      </c>
      <c r="C1124" s="0" t="s">
        <v>649</v>
      </c>
      <c r="D1124" s="0" t="s">
        <v>780</v>
      </c>
      <c r="E1124" s="0" t="s">
        <v>786</v>
      </c>
      <c r="F1124" s="0" t="n">
        <v>8</v>
      </c>
      <c r="G1124" s="0" t="n">
        <v>0</v>
      </c>
      <c r="H1124" s="0" t="s">
        <v>585</v>
      </c>
      <c r="K1124" s="0" t="s">
        <v>782</v>
      </c>
      <c r="L1124" s="0" t="s">
        <v>2727</v>
      </c>
    </row>
    <row r="1125" customFormat="false" ht="15" hidden="false" customHeight="false" outlineLevel="0" collapsed="false">
      <c r="A1125" s="0" t="s">
        <v>65</v>
      </c>
      <c r="B1125" s="0" t="s">
        <v>779</v>
      </c>
      <c r="C1125" s="0" t="s">
        <v>675</v>
      </c>
      <c r="D1125" s="0" t="s">
        <v>780</v>
      </c>
      <c r="E1125" s="0" t="s">
        <v>788</v>
      </c>
      <c r="F1125" s="0" t="n">
        <v>8</v>
      </c>
      <c r="G1125" s="0" t="n">
        <v>0</v>
      </c>
      <c r="H1125" s="0" t="s">
        <v>585</v>
      </c>
      <c r="K1125" s="0" t="s">
        <v>782</v>
      </c>
      <c r="L1125" s="0" t="s">
        <v>2728</v>
      </c>
    </row>
    <row r="1126" customFormat="false" ht="15" hidden="false" customHeight="false" outlineLevel="0" collapsed="false">
      <c r="A1126" s="0" t="s">
        <v>65</v>
      </c>
      <c r="B1126" s="0" t="s">
        <v>779</v>
      </c>
      <c r="C1126" s="0" t="s">
        <v>701</v>
      </c>
      <c r="D1126" s="0" t="s">
        <v>780</v>
      </c>
      <c r="E1126" s="0" t="s">
        <v>790</v>
      </c>
      <c r="F1126" s="0" t="n">
        <v>8</v>
      </c>
      <c r="G1126" s="0" t="n">
        <v>0</v>
      </c>
      <c r="H1126" s="0" t="s">
        <v>585</v>
      </c>
      <c r="K1126" s="0" t="s">
        <v>782</v>
      </c>
      <c r="L1126" s="0" t="s">
        <v>2729</v>
      </c>
    </row>
    <row r="1127" customFormat="false" ht="15" hidden="false" customHeight="false" outlineLevel="0" collapsed="false">
      <c r="A1127" s="0" t="s">
        <v>65</v>
      </c>
      <c r="B1127" s="0" t="s">
        <v>779</v>
      </c>
      <c r="C1127" s="0" t="s">
        <v>728</v>
      </c>
      <c r="D1127" s="0" t="s">
        <v>780</v>
      </c>
      <c r="E1127" s="0" t="s">
        <v>792</v>
      </c>
      <c r="F1127" s="0" t="n">
        <v>8</v>
      </c>
      <c r="G1127" s="0" t="n">
        <v>0</v>
      </c>
      <c r="H1127" s="0" t="s">
        <v>585</v>
      </c>
      <c r="K1127" s="0" t="s">
        <v>782</v>
      </c>
      <c r="L1127" s="0" t="s">
        <v>2730</v>
      </c>
    </row>
    <row r="1128" customFormat="false" ht="15" hidden="false" customHeight="false" outlineLevel="0" collapsed="false">
      <c r="A1128" s="0" t="s">
        <v>65</v>
      </c>
      <c r="B1128" s="0" t="s">
        <v>779</v>
      </c>
      <c r="C1128" s="0" t="s">
        <v>754</v>
      </c>
      <c r="D1128" s="0" t="s">
        <v>780</v>
      </c>
      <c r="E1128" s="0" t="s">
        <v>794</v>
      </c>
      <c r="F1128" s="0" t="n">
        <v>8</v>
      </c>
      <c r="G1128" s="0" t="n">
        <v>0</v>
      </c>
      <c r="H1128" s="0" t="s">
        <v>585</v>
      </c>
      <c r="K1128" s="0" t="s">
        <v>782</v>
      </c>
      <c r="L1128" s="0" t="s">
        <v>2731</v>
      </c>
    </row>
    <row r="1129" customFormat="false" ht="15" hidden="false" customHeight="false" outlineLevel="0" collapsed="false">
      <c r="A1129" s="0" t="s">
        <v>65</v>
      </c>
      <c r="B1129" s="0" t="s">
        <v>779</v>
      </c>
      <c r="C1129" s="0" t="s">
        <v>577</v>
      </c>
      <c r="D1129" s="0" t="s">
        <v>160</v>
      </c>
      <c r="E1129" s="0" t="s">
        <v>796</v>
      </c>
      <c r="F1129" s="0" t="n">
        <v>8</v>
      </c>
      <c r="G1129" s="0" t="n">
        <v>0</v>
      </c>
      <c r="H1129" s="0" t="s">
        <v>585</v>
      </c>
      <c r="K1129" s="0" t="s">
        <v>782</v>
      </c>
      <c r="L1129" s="0" t="s">
        <v>2732</v>
      </c>
    </row>
    <row r="1130" customFormat="false" ht="15" hidden="false" customHeight="false" outlineLevel="0" collapsed="false">
      <c r="A1130" s="0" t="s">
        <v>65</v>
      </c>
      <c r="B1130" s="0" t="s">
        <v>779</v>
      </c>
      <c r="C1130" s="0" t="s">
        <v>622</v>
      </c>
      <c r="D1130" s="0" t="s">
        <v>160</v>
      </c>
      <c r="E1130" s="0" t="s">
        <v>798</v>
      </c>
      <c r="F1130" s="0" t="n">
        <v>8</v>
      </c>
      <c r="G1130" s="0" t="n">
        <v>0</v>
      </c>
      <c r="H1130" s="0" t="s">
        <v>585</v>
      </c>
      <c r="K1130" s="0" t="s">
        <v>782</v>
      </c>
      <c r="L1130" s="0" t="s">
        <v>2733</v>
      </c>
    </row>
    <row r="1131" customFormat="false" ht="15" hidden="false" customHeight="false" outlineLevel="0" collapsed="false">
      <c r="A1131" s="0" t="s">
        <v>65</v>
      </c>
      <c r="B1131" s="0" t="s">
        <v>779</v>
      </c>
      <c r="C1131" s="0" t="s">
        <v>649</v>
      </c>
      <c r="D1131" s="0" t="s">
        <v>160</v>
      </c>
      <c r="E1131" s="0" t="s">
        <v>800</v>
      </c>
      <c r="F1131" s="0" t="n">
        <v>8</v>
      </c>
      <c r="G1131" s="0" t="n">
        <v>0</v>
      </c>
      <c r="H1131" s="0" t="s">
        <v>585</v>
      </c>
      <c r="K1131" s="0" t="s">
        <v>782</v>
      </c>
      <c r="L1131" s="0" t="s">
        <v>2734</v>
      </c>
    </row>
    <row r="1132" customFormat="false" ht="15" hidden="false" customHeight="false" outlineLevel="0" collapsed="false">
      <c r="A1132" s="0" t="s">
        <v>65</v>
      </c>
      <c r="B1132" s="0" t="s">
        <v>779</v>
      </c>
      <c r="C1132" s="0" t="s">
        <v>675</v>
      </c>
      <c r="D1132" s="0" t="s">
        <v>160</v>
      </c>
      <c r="E1132" s="0" t="s">
        <v>802</v>
      </c>
      <c r="F1132" s="0" t="n">
        <v>8</v>
      </c>
      <c r="G1132" s="0" t="n">
        <v>3</v>
      </c>
      <c r="H1132" s="0" t="s">
        <v>585</v>
      </c>
      <c r="I1132" s="0" t="s">
        <v>402</v>
      </c>
      <c r="K1132" s="0" t="s">
        <v>782</v>
      </c>
      <c r="L1132" s="0" t="s">
        <v>2735</v>
      </c>
    </row>
    <row r="1133" customFormat="false" ht="15" hidden="false" customHeight="false" outlineLevel="0" collapsed="false">
      <c r="A1133" s="0" t="s">
        <v>65</v>
      </c>
      <c r="B1133" s="0" t="s">
        <v>779</v>
      </c>
      <c r="C1133" s="0" t="s">
        <v>701</v>
      </c>
      <c r="D1133" s="0" t="s">
        <v>160</v>
      </c>
      <c r="E1133" s="0" t="s">
        <v>804</v>
      </c>
      <c r="F1133" s="0" t="n">
        <v>8</v>
      </c>
      <c r="G1133" s="0" t="n">
        <v>0</v>
      </c>
      <c r="H1133" s="0" t="s">
        <v>585</v>
      </c>
      <c r="K1133" s="0" t="s">
        <v>782</v>
      </c>
      <c r="L1133" s="0" t="s">
        <v>2736</v>
      </c>
    </row>
    <row r="1134" customFormat="false" ht="15" hidden="false" customHeight="false" outlineLevel="0" collapsed="false">
      <c r="A1134" s="0" t="s">
        <v>65</v>
      </c>
      <c r="B1134" s="0" t="s">
        <v>779</v>
      </c>
      <c r="C1134" s="0" t="s">
        <v>728</v>
      </c>
      <c r="D1134" s="0" t="s">
        <v>160</v>
      </c>
      <c r="E1134" s="0" t="s">
        <v>806</v>
      </c>
      <c r="F1134" s="0" t="n">
        <v>8</v>
      </c>
      <c r="G1134" s="0" t="n">
        <v>0</v>
      </c>
      <c r="H1134" s="0" t="s">
        <v>585</v>
      </c>
      <c r="K1134" s="0" t="s">
        <v>782</v>
      </c>
      <c r="L1134" s="0" t="s">
        <v>2737</v>
      </c>
    </row>
    <row r="1135" customFormat="false" ht="15" hidden="false" customHeight="false" outlineLevel="0" collapsed="false">
      <c r="A1135" s="0" t="s">
        <v>65</v>
      </c>
      <c r="B1135" s="0" t="s">
        <v>779</v>
      </c>
      <c r="C1135" s="0" t="s">
        <v>754</v>
      </c>
      <c r="D1135" s="0" t="s">
        <v>160</v>
      </c>
      <c r="E1135" s="0" t="s">
        <v>808</v>
      </c>
      <c r="F1135" s="0" t="n">
        <v>8</v>
      </c>
      <c r="G1135" s="0" t="n">
        <v>0</v>
      </c>
      <c r="H1135" s="0" t="s">
        <v>585</v>
      </c>
      <c r="K1135" s="0" t="s">
        <v>782</v>
      </c>
      <c r="L1135" s="0" t="s">
        <v>2738</v>
      </c>
    </row>
    <row r="1136" customFormat="false" ht="15" hidden="false" customHeight="false" outlineLevel="0" collapsed="false">
      <c r="A1136" s="0" t="s">
        <v>65</v>
      </c>
      <c r="B1136" s="0" t="s">
        <v>42</v>
      </c>
      <c r="C1136" s="0" t="s">
        <v>810</v>
      </c>
      <c r="D1136" s="0" t="s">
        <v>578</v>
      </c>
      <c r="E1136" s="0" t="s">
        <v>811</v>
      </c>
      <c r="F1136" s="0" t="n">
        <v>0</v>
      </c>
      <c r="G1136" s="0" t="n">
        <v>0</v>
      </c>
      <c r="H1136" s="0" t="s">
        <v>580</v>
      </c>
      <c r="K1136" s="0" t="s">
        <v>581</v>
      </c>
      <c r="L1136" s="0" t="s">
        <v>2739</v>
      </c>
    </row>
    <row r="1137" customFormat="false" ht="15" hidden="false" customHeight="false" outlineLevel="0" collapsed="false">
      <c r="A1137" s="0" t="s">
        <v>65</v>
      </c>
      <c r="B1137" s="0" t="s">
        <v>42</v>
      </c>
      <c r="C1137" s="0" t="s">
        <v>810</v>
      </c>
      <c r="D1137" s="0" t="s">
        <v>583</v>
      </c>
      <c r="E1137" s="0" t="s">
        <v>813</v>
      </c>
      <c r="F1137" s="0" t="n">
        <v>5</v>
      </c>
      <c r="G1137" s="0" t="n">
        <v>0</v>
      </c>
      <c r="H1137" s="0" t="s">
        <v>585</v>
      </c>
      <c r="K1137" s="0" t="s">
        <v>586</v>
      </c>
      <c r="L1137" s="0" t="s">
        <v>2740</v>
      </c>
    </row>
    <row r="1138" customFormat="false" ht="15" hidden="false" customHeight="false" outlineLevel="0" collapsed="false">
      <c r="A1138" s="0" t="s">
        <v>65</v>
      </c>
      <c r="B1138" s="0" t="s">
        <v>42</v>
      </c>
      <c r="C1138" s="0" t="s">
        <v>810</v>
      </c>
      <c r="D1138" s="0" t="s">
        <v>588</v>
      </c>
      <c r="E1138" s="0" t="s">
        <v>815</v>
      </c>
      <c r="F1138" s="0" t="n">
        <v>5</v>
      </c>
      <c r="G1138" s="0" t="n">
        <v>3</v>
      </c>
      <c r="H1138" s="0" t="s">
        <v>585</v>
      </c>
      <c r="I1138" s="0" t="s">
        <v>400</v>
      </c>
      <c r="K1138" s="0" t="s">
        <v>590</v>
      </c>
      <c r="L1138" s="0" t="s">
        <v>2741</v>
      </c>
    </row>
    <row r="1139" customFormat="false" ht="15" hidden="false" customHeight="false" outlineLevel="0" collapsed="false">
      <c r="A1139" s="0" t="s">
        <v>65</v>
      </c>
      <c r="B1139" s="0" t="s">
        <v>42</v>
      </c>
      <c r="C1139" s="0" t="s">
        <v>810</v>
      </c>
      <c r="D1139" s="0" t="s">
        <v>127</v>
      </c>
      <c r="E1139" s="0" t="s">
        <v>817</v>
      </c>
      <c r="F1139" s="0" t="n">
        <v>5</v>
      </c>
      <c r="G1139" s="0" t="n">
        <v>0</v>
      </c>
      <c r="H1139" s="0" t="s">
        <v>585</v>
      </c>
      <c r="K1139" s="0" t="s">
        <v>594</v>
      </c>
      <c r="L1139" s="0" t="s">
        <v>2742</v>
      </c>
    </row>
    <row r="1140" customFormat="false" ht="15" hidden="false" customHeight="false" outlineLevel="0" collapsed="false">
      <c r="A1140" s="0" t="s">
        <v>65</v>
      </c>
      <c r="B1140" s="0" t="s">
        <v>42</v>
      </c>
      <c r="C1140" s="0" t="s">
        <v>810</v>
      </c>
      <c r="D1140" s="0" t="s">
        <v>130</v>
      </c>
      <c r="E1140" s="0" t="s">
        <v>819</v>
      </c>
      <c r="F1140" s="0" t="n">
        <v>5</v>
      </c>
      <c r="G1140" s="0" t="n">
        <v>0</v>
      </c>
      <c r="H1140" s="0" t="s">
        <v>585</v>
      </c>
      <c r="K1140" s="0" t="s">
        <v>597</v>
      </c>
      <c r="L1140" s="0" t="s">
        <v>2743</v>
      </c>
    </row>
    <row r="1141" customFormat="false" ht="15" hidden="false" customHeight="false" outlineLevel="0" collapsed="false">
      <c r="A1141" s="0" t="s">
        <v>65</v>
      </c>
      <c r="B1141" s="0" t="s">
        <v>42</v>
      </c>
      <c r="C1141" s="0" t="s">
        <v>810</v>
      </c>
      <c r="D1141" s="0" t="s">
        <v>133</v>
      </c>
      <c r="E1141" s="0" t="s">
        <v>821</v>
      </c>
      <c r="F1141" s="0" t="n">
        <v>0</v>
      </c>
      <c r="G1141" s="0" t="n">
        <v>0</v>
      </c>
      <c r="H1141" s="0" t="s">
        <v>580</v>
      </c>
      <c r="K1141" s="0" t="s">
        <v>600</v>
      </c>
      <c r="L1141" s="0" t="s">
        <v>2744</v>
      </c>
    </row>
    <row r="1142" customFormat="false" ht="15" hidden="false" customHeight="false" outlineLevel="0" collapsed="false">
      <c r="A1142" s="0" t="s">
        <v>65</v>
      </c>
      <c r="B1142" s="0" t="s">
        <v>42</v>
      </c>
      <c r="C1142" s="0" t="s">
        <v>810</v>
      </c>
      <c r="D1142" s="0" t="s">
        <v>141</v>
      </c>
      <c r="E1142" s="0" t="s">
        <v>823</v>
      </c>
      <c r="F1142" s="0" t="n">
        <v>5</v>
      </c>
      <c r="G1142" s="0" t="n">
        <v>0</v>
      </c>
      <c r="H1142" s="0" t="s">
        <v>585</v>
      </c>
      <c r="K1142" s="0" t="s">
        <v>604</v>
      </c>
      <c r="L1142" s="0" t="s">
        <v>2745</v>
      </c>
    </row>
    <row r="1143" customFormat="false" ht="15" hidden="false" customHeight="false" outlineLevel="0" collapsed="false">
      <c r="A1143" s="0" t="s">
        <v>65</v>
      </c>
      <c r="B1143" s="0" t="s">
        <v>42</v>
      </c>
      <c r="C1143" s="0" t="s">
        <v>810</v>
      </c>
      <c r="D1143" s="0" t="s">
        <v>144</v>
      </c>
      <c r="E1143" s="0" t="s">
        <v>825</v>
      </c>
      <c r="F1143" s="0" t="n">
        <v>5</v>
      </c>
      <c r="G1143" s="0" t="n">
        <v>0</v>
      </c>
      <c r="H1143" s="0" t="s">
        <v>585</v>
      </c>
      <c r="K1143" s="0" t="s">
        <v>607</v>
      </c>
      <c r="L1143" s="0" t="s">
        <v>2746</v>
      </c>
    </row>
    <row r="1144" customFormat="false" ht="15" hidden="false" customHeight="false" outlineLevel="0" collapsed="false">
      <c r="A1144" s="0" t="s">
        <v>65</v>
      </c>
      <c r="C1144" s="0" t="s">
        <v>810</v>
      </c>
      <c r="D1144" s="0" t="s">
        <v>147</v>
      </c>
      <c r="E1144" s="0" t="s">
        <v>2747</v>
      </c>
      <c r="F1144" s="0" t="n">
        <v>0</v>
      </c>
      <c r="G1144" s="0" t="n">
        <v>0</v>
      </c>
      <c r="H1144" s="0" t="s">
        <v>580</v>
      </c>
      <c r="K1144" s="0" t="s">
        <v>610</v>
      </c>
      <c r="L1144" s="0" t="s">
        <v>2748</v>
      </c>
    </row>
    <row r="1145" customFormat="false" ht="15" hidden="false" customHeight="false" outlineLevel="0" collapsed="false">
      <c r="A1145" s="0" t="s">
        <v>65</v>
      </c>
      <c r="C1145" s="0" t="s">
        <v>810</v>
      </c>
      <c r="D1145" s="0" t="s">
        <v>150</v>
      </c>
      <c r="E1145" s="0" t="s">
        <v>2749</v>
      </c>
      <c r="F1145" s="0" t="n">
        <v>0</v>
      </c>
      <c r="G1145" s="0" t="n">
        <v>0</v>
      </c>
      <c r="H1145" s="0" t="s">
        <v>580</v>
      </c>
      <c r="K1145" s="0" t="s">
        <v>613</v>
      </c>
      <c r="L1145" s="0" t="s">
        <v>2750</v>
      </c>
    </row>
    <row r="1146" customFormat="false" ht="15" hidden="false" customHeight="false" outlineLevel="0" collapsed="false">
      <c r="A1146" s="0" t="s">
        <v>65</v>
      </c>
      <c r="C1146" s="0" t="s">
        <v>810</v>
      </c>
      <c r="D1146" s="0" t="s">
        <v>153</v>
      </c>
      <c r="E1146" s="0" t="s">
        <v>2751</v>
      </c>
      <c r="F1146" s="0" t="n">
        <v>5</v>
      </c>
      <c r="G1146" s="0" t="n">
        <v>0</v>
      </c>
      <c r="H1146" s="0" t="s">
        <v>585</v>
      </c>
      <c r="K1146" s="0" t="s">
        <v>616</v>
      </c>
      <c r="L1146" s="0" t="s">
        <v>2752</v>
      </c>
    </row>
    <row r="1147" customFormat="false" ht="15" hidden="false" customHeight="false" outlineLevel="0" collapsed="false">
      <c r="A1147" s="0" t="s">
        <v>65</v>
      </c>
      <c r="C1147" s="0" t="s">
        <v>810</v>
      </c>
      <c r="D1147" s="0" t="s">
        <v>156</v>
      </c>
      <c r="E1147" s="0" t="s">
        <v>2753</v>
      </c>
      <c r="F1147" s="0" t="n">
        <v>5</v>
      </c>
      <c r="G1147" s="0" t="n">
        <v>0</v>
      </c>
      <c r="H1147" s="0" t="s">
        <v>585</v>
      </c>
      <c r="K1147" s="0" t="s">
        <v>620</v>
      </c>
      <c r="L1147" s="0" t="s">
        <v>2754</v>
      </c>
    </row>
    <row r="1148" customFormat="false" ht="15" hidden="false" customHeight="false" outlineLevel="0" collapsed="false">
      <c r="A1148" s="0" t="s">
        <v>65</v>
      </c>
      <c r="B1148" s="0" t="s">
        <v>42</v>
      </c>
      <c r="C1148" s="0" t="s">
        <v>835</v>
      </c>
      <c r="D1148" s="0" t="s">
        <v>578</v>
      </c>
      <c r="E1148" s="0" t="s">
        <v>836</v>
      </c>
      <c r="F1148" s="0" t="n">
        <v>0</v>
      </c>
      <c r="G1148" s="0" t="n">
        <v>0</v>
      </c>
      <c r="H1148" s="0" t="s">
        <v>580</v>
      </c>
      <c r="K1148" s="0" t="s">
        <v>581</v>
      </c>
      <c r="L1148" s="0" t="s">
        <v>2755</v>
      </c>
    </row>
    <row r="1149" customFormat="false" ht="15" hidden="false" customHeight="false" outlineLevel="0" collapsed="false">
      <c r="A1149" s="0" t="s">
        <v>65</v>
      </c>
      <c r="B1149" s="0" t="s">
        <v>42</v>
      </c>
      <c r="C1149" s="0" t="s">
        <v>835</v>
      </c>
      <c r="D1149" s="0" t="s">
        <v>583</v>
      </c>
      <c r="E1149" s="0" t="s">
        <v>838</v>
      </c>
      <c r="F1149" s="0" t="n">
        <v>5</v>
      </c>
      <c r="G1149" s="0" t="n">
        <v>3</v>
      </c>
      <c r="H1149" s="0" t="s">
        <v>585</v>
      </c>
      <c r="I1149" s="0" t="s">
        <v>404</v>
      </c>
      <c r="K1149" s="0" t="s">
        <v>586</v>
      </c>
      <c r="L1149" s="0" t="s">
        <v>2756</v>
      </c>
    </row>
    <row r="1150" customFormat="false" ht="15" hidden="false" customHeight="false" outlineLevel="0" collapsed="false">
      <c r="A1150" s="0" t="s">
        <v>65</v>
      </c>
      <c r="B1150" s="0" t="s">
        <v>42</v>
      </c>
      <c r="C1150" s="0" t="s">
        <v>835</v>
      </c>
      <c r="D1150" s="0" t="s">
        <v>588</v>
      </c>
      <c r="E1150" s="0" t="s">
        <v>840</v>
      </c>
      <c r="F1150" s="0" t="n">
        <v>5</v>
      </c>
      <c r="G1150" s="0" t="n">
        <v>1</v>
      </c>
      <c r="H1150" s="0" t="s">
        <v>585</v>
      </c>
      <c r="I1150" s="0" t="s">
        <v>404</v>
      </c>
      <c r="K1150" s="0" t="s">
        <v>590</v>
      </c>
      <c r="L1150" s="0" t="s">
        <v>2757</v>
      </c>
    </row>
    <row r="1151" customFormat="false" ht="15" hidden="false" customHeight="false" outlineLevel="0" collapsed="false">
      <c r="A1151" s="0" t="s">
        <v>65</v>
      </c>
      <c r="B1151" s="0" t="s">
        <v>42</v>
      </c>
      <c r="C1151" s="0" t="s">
        <v>835</v>
      </c>
      <c r="D1151" s="0" t="s">
        <v>127</v>
      </c>
      <c r="E1151" s="0" t="s">
        <v>842</v>
      </c>
      <c r="F1151" s="0" t="n">
        <v>5</v>
      </c>
      <c r="G1151" s="0" t="n">
        <v>0</v>
      </c>
      <c r="H1151" s="0" t="s">
        <v>585</v>
      </c>
      <c r="K1151" s="0" t="s">
        <v>594</v>
      </c>
      <c r="L1151" s="0" t="s">
        <v>2758</v>
      </c>
    </row>
    <row r="1152" customFormat="false" ht="15" hidden="false" customHeight="false" outlineLevel="0" collapsed="false">
      <c r="A1152" s="0" t="s">
        <v>65</v>
      </c>
      <c r="B1152" s="0" t="s">
        <v>42</v>
      </c>
      <c r="C1152" s="0" t="s">
        <v>835</v>
      </c>
      <c r="D1152" s="0" t="s">
        <v>130</v>
      </c>
      <c r="E1152" s="0" t="s">
        <v>844</v>
      </c>
      <c r="F1152" s="0" t="n">
        <v>5</v>
      </c>
      <c r="G1152" s="0" t="n">
        <v>3</v>
      </c>
      <c r="H1152" s="0" t="s">
        <v>585</v>
      </c>
      <c r="I1152" s="0" t="s">
        <v>404</v>
      </c>
      <c r="K1152" s="0" t="s">
        <v>597</v>
      </c>
      <c r="L1152" s="0" t="s">
        <v>2759</v>
      </c>
    </row>
    <row r="1153" customFormat="false" ht="15" hidden="false" customHeight="false" outlineLevel="0" collapsed="false">
      <c r="A1153" s="0" t="s">
        <v>65</v>
      </c>
      <c r="B1153" s="0" t="s">
        <v>42</v>
      </c>
      <c r="C1153" s="0" t="s">
        <v>835</v>
      </c>
      <c r="D1153" s="0" t="s">
        <v>133</v>
      </c>
      <c r="E1153" s="0" t="s">
        <v>846</v>
      </c>
      <c r="F1153" s="0" t="n">
        <v>0</v>
      </c>
      <c r="G1153" s="0" t="n">
        <v>0</v>
      </c>
      <c r="H1153" s="0" t="s">
        <v>580</v>
      </c>
      <c r="K1153" s="0" t="s">
        <v>600</v>
      </c>
      <c r="L1153" s="0" t="s">
        <v>2760</v>
      </c>
    </row>
    <row r="1154" customFormat="false" ht="15" hidden="false" customHeight="false" outlineLevel="0" collapsed="false">
      <c r="A1154" s="0" t="s">
        <v>65</v>
      </c>
      <c r="B1154" s="0" t="s">
        <v>42</v>
      </c>
      <c r="C1154" s="0" t="s">
        <v>835</v>
      </c>
      <c r="D1154" s="0" t="s">
        <v>141</v>
      </c>
      <c r="E1154" s="0" t="s">
        <v>848</v>
      </c>
      <c r="F1154" s="0" t="n">
        <v>5</v>
      </c>
      <c r="G1154" s="0" t="n">
        <v>0</v>
      </c>
      <c r="H1154" s="0" t="s">
        <v>585</v>
      </c>
      <c r="K1154" s="0" t="s">
        <v>604</v>
      </c>
      <c r="L1154" s="0" t="s">
        <v>2761</v>
      </c>
    </row>
    <row r="1155" customFormat="false" ht="15" hidden="false" customHeight="false" outlineLevel="0" collapsed="false">
      <c r="A1155" s="0" t="s">
        <v>65</v>
      </c>
      <c r="B1155" s="0" t="s">
        <v>42</v>
      </c>
      <c r="C1155" s="0" t="s">
        <v>835</v>
      </c>
      <c r="D1155" s="0" t="s">
        <v>144</v>
      </c>
      <c r="E1155" s="0" t="s">
        <v>850</v>
      </c>
      <c r="F1155" s="0" t="n">
        <v>5</v>
      </c>
      <c r="G1155" s="0" t="n">
        <v>0</v>
      </c>
      <c r="H1155" s="0" t="s">
        <v>585</v>
      </c>
      <c r="K1155" s="0" t="s">
        <v>607</v>
      </c>
      <c r="L1155" s="0" t="s">
        <v>2762</v>
      </c>
    </row>
    <row r="1156" customFormat="false" ht="15" hidden="false" customHeight="false" outlineLevel="0" collapsed="false">
      <c r="A1156" s="0" t="s">
        <v>65</v>
      </c>
      <c r="C1156" s="0" t="s">
        <v>835</v>
      </c>
      <c r="D1156" s="0" t="s">
        <v>147</v>
      </c>
      <c r="E1156" s="0" t="s">
        <v>2763</v>
      </c>
      <c r="F1156" s="0" t="n">
        <v>0</v>
      </c>
      <c r="G1156" s="0" t="n">
        <v>0</v>
      </c>
      <c r="H1156" s="0" t="s">
        <v>580</v>
      </c>
      <c r="K1156" s="0" t="s">
        <v>610</v>
      </c>
      <c r="L1156" s="0" t="s">
        <v>2764</v>
      </c>
    </row>
    <row r="1157" customFormat="false" ht="15" hidden="false" customHeight="false" outlineLevel="0" collapsed="false">
      <c r="A1157" s="0" t="s">
        <v>65</v>
      </c>
      <c r="C1157" s="0" t="s">
        <v>835</v>
      </c>
      <c r="D1157" s="0" t="s">
        <v>150</v>
      </c>
      <c r="E1157" s="0" t="s">
        <v>2765</v>
      </c>
      <c r="F1157" s="0" t="n">
        <v>0</v>
      </c>
      <c r="G1157" s="0" t="n">
        <v>0</v>
      </c>
      <c r="H1157" s="0" t="s">
        <v>580</v>
      </c>
      <c r="K1157" s="0" t="s">
        <v>613</v>
      </c>
      <c r="L1157" s="0" t="s">
        <v>2766</v>
      </c>
    </row>
    <row r="1158" customFormat="false" ht="15" hidden="false" customHeight="false" outlineLevel="0" collapsed="false">
      <c r="A1158" s="0" t="s">
        <v>65</v>
      </c>
      <c r="B1158" s="0" t="s">
        <v>42</v>
      </c>
      <c r="C1158" s="0" t="s">
        <v>835</v>
      </c>
      <c r="D1158" s="0" t="s">
        <v>153</v>
      </c>
      <c r="E1158" s="0" t="s">
        <v>856</v>
      </c>
      <c r="F1158" s="0" t="n">
        <v>5</v>
      </c>
      <c r="G1158" s="0" t="n">
        <v>2</v>
      </c>
      <c r="H1158" s="0" t="s">
        <v>585</v>
      </c>
      <c r="I1158" s="0" t="s">
        <v>400</v>
      </c>
      <c r="K1158" s="0" t="s">
        <v>616</v>
      </c>
      <c r="L1158" s="0" t="s">
        <v>2767</v>
      </c>
    </row>
    <row r="1159" customFormat="false" ht="15" hidden="false" customHeight="false" outlineLevel="0" collapsed="false">
      <c r="A1159" s="0" t="s">
        <v>65</v>
      </c>
      <c r="C1159" s="0" t="s">
        <v>835</v>
      </c>
      <c r="D1159" s="0" t="s">
        <v>156</v>
      </c>
      <c r="E1159" s="0" t="s">
        <v>2768</v>
      </c>
      <c r="F1159" s="0" t="n">
        <v>5</v>
      </c>
      <c r="G1159" s="0" t="n">
        <v>0</v>
      </c>
      <c r="H1159" s="0" t="s">
        <v>585</v>
      </c>
      <c r="K1159" s="0" t="s">
        <v>620</v>
      </c>
      <c r="L1159" s="0" t="s">
        <v>2769</v>
      </c>
    </row>
    <row r="1160" customFormat="false" ht="15" hidden="false" customHeight="false" outlineLevel="0" collapsed="false">
      <c r="A1160" s="0" t="s">
        <v>65</v>
      </c>
      <c r="B1160" s="0" t="s">
        <v>42</v>
      </c>
      <c r="C1160" s="0" t="s">
        <v>860</v>
      </c>
      <c r="D1160" s="0" t="s">
        <v>578</v>
      </c>
      <c r="E1160" s="0" t="s">
        <v>861</v>
      </c>
      <c r="F1160" s="0" t="n">
        <v>0</v>
      </c>
      <c r="G1160" s="0" t="n">
        <v>0</v>
      </c>
      <c r="H1160" s="0" t="s">
        <v>580</v>
      </c>
      <c r="K1160" s="0" t="s">
        <v>581</v>
      </c>
      <c r="L1160" s="0" t="s">
        <v>2770</v>
      </c>
    </row>
    <row r="1161" customFormat="false" ht="15" hidden="false" customHeight="false" outlineLevel="0" collapsed="false">
      <c r="A1161" s="0" t="s">
        <v>65</v>
      </c>
      <c r="B1161" s="0" t="s">
        <v>42</v>
      </c>
      <c r="C1161" s="0" t="s">
        <v>860</v>
      </c>
      <c r="D1161" s="0" t="s">
        <v>583</v>
      </c>
      <c r="E1161" s="0" t="s">
        <v>863</v>
      </c>
      <c r="F1161" s="0" t="n">
        <v>5</v>
      </c>
      <c r="G1161" s="0" t="n">
        <v>0</v>
      </c>
      <c r="H1161" s="0" t="s">
        <v>585</v>
      </c>
      <c r="K1161" s="0" t="s">
        <v>586</v>
      </c>
      <c r="L1161" s="0" t="s">
        <v>2771</v>
      </c>
    </row>
    <row r="1162" customFormat="false" ht="15" hidden="false" customHeight="false" outlineLevel="0" collapsed="false">
      <c r="A1162" s="0" t="s">
        <v>65</v>
      </c>
      <c r="B1162" s="0" t="s">
        <v>42</v>
      </c>
      <c r="C1162" s="0" t="s">
        <v>860</v>
      </c>
      <c r="D1162" s="0" t="s">
        <v>588</v>
      </c>
      <c r="E1162" s="0" t="s">
        <v>865</v>
      </c>
      <c r="F1162" s="0" t="n">
        <v>5</v>
      </c>
      <c r="G1162" s="0" t="n">
        <v>3</v>
      </c>
      <c r="H1162" s="0" t="s">
        <v>585</v>
      </c>
      <c r="I1162" s="0" t="s">
        <v>399</v>
      </c>
      <c r="K1162" s="0" t="s">
        <v>590</v>
      </c>
      <c r="L1162" s="0" t="s">
        <v>2772</v>
      </c>
    </row>
    <row r="1163" customFormat="false" ht="15" hidden="false" customHeight="false" outlineLevel="0" collapsed="false">
      <c r="A1163" s="0" t="s">
        <v>65</v>
      </c>
      <c r="B1163" s="0" t="s">
        <v>42</v>
      </c>
      <c r="C1163" s="0" t="s">
        <v>860</v>
      </c>
      <c r="D1163" s="0" t="s">
        <v>127</v>
      </c>
      <c r="E1163" s="0" t="s">
        <v>867</v>
      </c>
      <c r="F1163" s="0" t="n">
        <v>5</v>
      </c>
      <c r="G1163" s="0" t="n">
        <v>2</v>
      </c>
      <c r="H1163" s="0" t="s">
        <v>585</v>
      </c>
      <c r="I1163" s="0" t="s">
        <v>399</v>
      </c>
      <c r="K1163" s="0" t="s">
        <v>594</v>
      </c>
      <c r="L1163" s="0" t="s">
        <v>2773</v>
      </c>
    </row>
    <row r="1164" customFormat="false" ht="15" hidden="false" customHeight="false" outlineLevel="0" collapsed="false">
      <c r="A1164" s="0" t="s">
        <v>65</v>
      </c>
      <c r="B1164" s="0" t="s">
        <v>42</v>
      </c>
      <c r="C1164" s="0" t="s">
        <v>860</v>
      </c>
      <c r="D1164" s="0" t="s">
        <v>130</v>
      </c>
      <c r="E1164" s="0" t="s">
        <v>869</v>
      </c>
      <c r="F1164" s="0" t="n">
        <v>5</v>
      </c>
      <c r="G1164" s="0" t="n">
        <v>0</v>
      </c>
      <c r="H1164" s="0" t="s">
        <v>585</v>
      </c>
      <c r="K1164" s="0" t="s">
        <v>597</v>
      </c>
      <c r="L1164" s="0" t="s">
        <v>2774</v>
      </c>
    </row>
    <row r="1165" customFormat="false" ht="15" hidden="false" customHeight="false" outlineLevel="0" collapsed="false">
      <c r="A1165" s="0" t="s">
        <v>65</v>
      </c>
      <c r="B1165" s="0" t="s">
        <v>42</v>
      </c>
      <c r="C1165" s="0" t="s">
        <v>860</v>
      </c>
      <c r="D1165" s="0" t="s">
        <v>133</v>
      </c>
      <c r="E1165" s="0" t="s">
        <v>871</v>
      </c>
      <c r="F1165" s="0" t="n">
        <v>0</v>
      </c>
      <c r="G1165" s="0" t="n">
        <v>0</v>
      </c>
      <c r="H1165" s="0" t="s">
        <v>580</v>
      </c>
      <c r="K1165" s="0" t="s">
        <v>600</v>
      </c>
      <c r="L1165" s="0" t="s">
        <v>2775</v>
      </c>
    </row>
    <row r="1166" customFormat="false" ht="15" hidden="false" customHeight="false" outlineLevel="0" collapsed="false">
      <c r="A1166" s="0" t="s">
        <v>65</v>
      </c>
      <c r="B1166" s="0" t="s">
        <v>42</v>
      </c>
      <c r="C1166" s="0" t="s">
        <v>860</v>
      </c>
      <c r="D1166" s="0" t="s">
        <v>141</v>
      </c>
      <c r="E1166" s="0" t="s">
        <v>873</v>
      </c>
      <c r="F1166" s="0" t="n">
        <v>5</v>
      </c>
      <c r="G1166" s="0" t="n">
        <v>0</v>
      </c>
      <c r="H1166" s="0" t="s">
        <v>585</v>
      </c>
      <c r="K1166" s="0" t="s">
        <v>604</v>
      </c>
      <c r="L1166" s="0" t="s">
        <v>2776</v>
      </c>
    </row>
    <row r="1167" customFormat="false" ht="15" hidden="false" customHeight="false" outlineLevel="0" collapsed="false">
      <c r="A1167" s="0" t="s">
        <v>65</v>
      </c>
      <c r="B1167" s="0" t="s">
        <v>42</v>
      </c>
      <c r="C1167" s="0" t="s">
        <v>860</v>
      </c>
      <c r="D1167" s="0" t="s">
        <v>144</v>
      </c>
      <c r="E1167" s="0" t="s">
        <v>875</v>
      </c>
      <c r="F1167" s="0" t="n">
        <v>5</v>
      </c>
      <c r="G1167" s="0" t="n">
        <v>0</v>
      </c>
      <c r="H1167" s="0" t="s">
        <v>585</v>
      </c>
      <c r="K1167" s="0" t="s">
        <v>607</v>
      </c>
      <c r="L1167" s="0" t="s">
        <v>2777</v>
      </c>
    </row>
    <row r="1168" customFormat="false" ht="15" hidden="false" customHeight="false" outlineLevel="0" collapsed="false">
      <c r="A1168" s="0" t="s">
        <v>65</v>
      </c>
      <c r="C1168" s="0" t="s">
        <v>860</v>
      </c>
      <c r="D1168" s="0" t="s">
        <v>147</v>
      </c>
      <c r="E1168" s="0" t="s">
        <v>2778</v>
      </c>
      <c r="F1168" s="0" t="n">
        <v>0</v>
      </c>
      <c r="G1168" s="0" t="n">
        <v>0</v>
      </c>
      <c r="H1168" s="0" t="s">
        <v>580</v>
      </c>
      <c r="K1168" s="0" t="s">
        <v>610</v>
      </c>
      <c r="L1168" s="0" t="s">
        <v>2779</v>
      </c>
    </row>
    <row r="1169" customFormat="false" ht="15" hidden="false" customHeight="false" outlineLevel="0" collapsed="false">
      <c r="A1169" s="0" t="s">
        <v>65</v>
      </c>
      <c r="C1169" s="0" t="s">
        <v>860</v>
      </c>
      <c r="D1169" s="0" t="s">
        <v>150</v>
      </c>
      <c r="E1169" s="0" t="s">
        <v>2780</v>
      </c>
      <c r="F1169" s="0" t="n">
        <v>5</v>
      </c>
      <c r="G1169" s="0" t="n">
        <v>0</v>
      </c>
      <c r="H1169" s="0" t="s">
        <v>585</v>
      </c>
      <c r="K1169" s="0" t="s">
        <v>613</v>
      </c>
      <c r="L1169" s="0" t="s">
        <v>2781</v>
      </c>
    </row>
    <row r="1170" customFormat="false" ht="15" hidden="false" customHeight="false" outlineLevel="0" collapsed="false">
      <c r="A1170" s="0" t="s">
        <v>65</v>
      </c>
      <c r="B1170" s="0" t="s">
        <v>42</v>
      </c>
      <c r="C1170" s="0" t="s">
        <v>860</v>
      </c>
      <c r="D1170" s="0" t="s">
        <v>153</v>
      </c>
      <c r="E1170" s="0" t="s">
        <v>881</v>
      </c>
      <c r="F1170" s="0" t="n">
        <v>5</v>
      </c>
      <c r="G1170" s="0" t="n">
        <v>1</v>
      </c>
      <c r="H1170" s="0" t="s">
        <v>585</v>
      </c>
      <c r="I1170" s="0" t="s">
        <v>405</v>
      </c>
      <c r="K1170" s="0" t="s">
        <v>616</v>
      </c>
      <c r="L1170" s="0" t="s">
        <v>2782</v>
      </c>
    </row>
    <row r="1171" customFormat="false" ht="15" hidden="false" customHeight="false" outlineLevel="0" collapsed="false">
      <c r="A1171" s="0" t="s">
        <v>65</v>
      </c>
      <c r="C1171" s="0" t="s">
        <v>860</v>
      </c>
      <c r="D1171" s="0" t="s">
        <v>156</v>
      </c>
      <c r="E1171" s="0" t="s">
        <v>2783</v>
      </c>
      <c r="F1171" s="0" t="n">
        <v>5</v>
      </c>
      <c r="G1171" s="0" t="n">
        <v>0</v>
      </c>
      <c r="H1171" s="0" t="s">
        <v>585</v>
      </c>
      <c r="K1171" s="0" t="s">
        <v>620</v>
      </c>
      <c r="L1171" s="0" t="s">
        <v>2784</v>
      </c>
    </row>
    <row r="1172" customFormat="false" ht="15" hidden="false" customHeight="false" outlineLevel="0" collapsed="false">
      <c r="A1172" s="0" t="s">
        <v>65</v>
      </c>
      <c r="B1172" s="0" t="s">
        <v>42</v>
      </c>
      <c r="C1172" s="0" t="s">
        <v>885</v>
      </c>
      <c r="D1172" s="0" t="s">
        <v>578</v>
      </c>
      <c r="E1172" s="0" t="s">
        <v>886</v>
      </c>
      <c r="F1172" s="0" t="n">
        <v>0</v>
      </c>
      <c r="G1172" s="0" t="n">
        <v>0</v>
      </c>
      <c r="H1172" s="0" t="s">
        <v>580</v>
      </c>
      <c r="K1172" s="0" t="s">
        <v>581</v>
      </c>
      <c r="L1172" s="0" t="s">
        <v>2785</v>
      </c>
    </row>
    <row r="1173" customFormat="false" ht="15" hidden="false" customHeight="false" outlineLevel="0" collapsed="false">
      <c r="A1173" s="0" t="s">
        <v>65</v>
      </c>
      <c r="B1173" s="0" t="s">
        <v>42</v>
      </c>
      <c r="C1173" s="0" t="s">
        <v>885</v>
      </c>
      <c r="D1173" s="0" t="s">
        <v>583</v>
      </c>
      <c r="E1173" s="0" t="s">
        <v>888</v>
      </c>
      <c r="F1173" s="0" t="n">
        <v>5</v>
      </c>
      <c r="G1173" s="0" t="n">
        <v>0</v>
      </c>
      <c r="H1173" s="0" t="s">
        <v>585</v>
      </c>
      <c r="K1173" s="0" t="s">
        <v>586</v>
      </c>
      <c r="L1173" s="0" t="s">
        <v>2786</v>
      </c>
    </row>
    <row r="1174" customFormat="false" ht="15" hidden="false" customHeight="false" outlineLevel="0" collapsed="false">
      <c r="A1174" s="0" t="s">
        <v>65</v>
      </c>
      <c r="B1174" s="0" t="s">
        <v>42</v>
      </c>
      <c r="C1174" s="0" t="s">
        <v>885</v>
      </c>
      <c r="D1174" s="0" t="s">
        <v>588</v>
      </c>
      <c r="E1174" s="0" t="s">
        <v>890</v>
      </c>
      <c r="F1174" s="0" t="n">
        <v>5</v>
      </c>
      <c r="G1174" s="0" t="n">
        <v>3</v>
      </c>
      <c r="H1174" s="0" t="s">
        <v>585</v>
      </c>
      <c r="I1174" s="0" t="s">
        <v>402</v>
      </c>
      <c r="K1174" s="0" t="s">
        <v>590</v>
      </c>
      <c r="L1174" s="0" t="s">
        <v>2787</v>
      </c>
    </row>
    <row r="1175" customFormat="false" ht="15" hidden="false" customHeight="false" outlineLevel="0" collapsed="false">
      <c r="A1175" s="0" t="s">
        <v>65</v>
      </c>
      <c r="B1175" s="0" t="s">
        <v>42</v>
      </c>
      <c r="C1175" s="0" t="s">
        <v>885</v>
      </c>
      <c r="D1175" s="0" t="s">
        <v>127</v>
      </c>
      <c r="E1175" s="0" t="s">
        <v>892</v>
      </c>
      <c r="F1175" s="0" t="n">
        <v>5</v>
      </c>
      <c r="G1175" s="0" t="n">
        <v>0</v>
      </c>
      <c r="H1175" s="0" t="s">
        <v>585</v>
      </c>
      <c r="K1175" s="0" t="s">
        <v>594</v>
      </c>
      <c r="L1175" s="0" t="s">
        <v>2788</v>
      </c>
    </row>
    <row r="1176" customFormat="false" ht="15" hidden="false" customHeight="false" outlineLevel="0" collapsed="false">
      <c r="A1176" s="0" t="s">
        <v>65</v>
      </c>
      <c r="B1176" s="0" t="s">
        <v>42</v>
      </c>
      <c r="C1176" s="0" t="s">
        <v>885</v>
      </c>
      <c r="D1176" s="0" t="s">
        <v>130</v>
      </c>
      <c r="E1176" s="0" t="s">
        <v>894</v>
      </c>
      <c r="F1176" s="0" t="n">
        <v>5</v>
      </c>
      <c r="G1176" s="0" t="n">
        <v>1</v>
      </c>
      <c r="H1176" s="0" t="s">
        <v>585</v>
      </c>
      <c r="I1176" s="0" t="s">
        <v>405</v>
      </c>
      <c r="K1176" s="0" t="s">
        <v>597</v>
      </c>
      <c r="L1176" s="0" t="s">
        <v>2789</v>
      </c>
    </row>
    <row r="1177" customFormat="false" ht="15" hidden="false" customHeight="false" outlineLevel="0" collapsed="false">
      <c r="A1177" s="0" t="s">
        <v>65</v>
      </c>
      <c r="B1177" s="0" t="s">
        <v>42</v>
      </c>
      <c r="C1177" s="0" t="s">
        <v>885</v>
      </c>
      <c r="D1177" s="0" t="s">
        <v>133</v>
      </c>
      <c r="E1177" s="0" t="s">
        <v>896</v>
      </c>
      <c r="F1177" s="0" t="n">
        <v>0</v>
      </c>
      <c r="G1177" s="0" t="n">
        <v>0</v>
      </c>
      <c r="H1177" s="0" t="s">
        <v>580</v>
      </c>
      <c r="K1177" s="0" t="s">
        <v>600</v>
      </c>
      <c r="L1177" s="0" t="s">
        <v>2790</v>
      </c>
    </row>
    <row r="1178" customFormat="false" ht="15" hidden="false" customHeight="false" outlineLevel="0" collapsed="false">
      <c r="A1178" s="0" t="s">
        <v>65</v>
      </c>
      <c r="B1178" s="0" t="s">
        <v>42</v>
      </c>
      <c r="C1178" s="0" t="s">
        <v>885</v>
      </c>
      <c r="D1178" s="0" t="s">
        <v>141</v>
      </c>
      <c r="E1178" s="0" t="s">
        <v>898</v>
      </c>
      <c r="F1178" s="0" t="n">
        <v>5</v>
      </c>
      <c r="G1178" s="0" t="n">
        <v>0</v>
      </c>
      <c r="H1178" s="0" t="s">
        <v>585</v>
      </c>
      <c r="K1178" s="0" t="s">
        <v>604</v>
      </c>
      <c r="L1178" s="0" t="s">
        <v>2791</v>
      </c>
    </row>
    <row r="1179" customFormat="false" ht="15" hidden="false" customHeight="false" outlineLevel="0" collapsed="false">
      <c r="A1179" s="0" t="s">
        <v>65</v>
      </c>
      <c r="B1179" s="0" t="s">
        <v>42</v>
      </c>
      <c r="C1179" s="0" t="s">
        <v>885</v>
      </c>
      <c r="D1179" s="0" t="s">
        <v>144</v>
      </c>
      <c r="E1179" s="0" t="s">
        <v>900</v>
      </c>
      <c r="F1179" s="0" t="n">
        <v>5</v>
      </c>
      <c r="G1179" s="0" t="n">
        <v>0</v>
      </c>
      <c r="H1179" s="0" t="s">
        <v>585</v>
      </c>
      <c r="K1179" s="0" t="s">
        <v>607</v>
      </c>
      <c r="L1179" s="0" t="s">
        <v>2792</v>
      </c>
    </row>
    <row r="1180" customFormat="false" ht="15" hidden="false" customHeight="false" outlineLevel="0" collapsed="false">
      <c r="A1180" s="0" t="s">
        <v>65</v>
      </c>
      <c r="C1180" s="0" t="s">
        <v>885</v>
      </c>
      <c r="D1180" s="0" t="s">
        <v>147</v>
      </c>
      <c r="E1180" s="0" t="s">
        <v>2793</v>
      </c>
      <c r="F1180" s="0" t="n">
        <v>0</v>
      </c>
      <c r="G1180" s="0" t="n">
        <v>0</v>
      </c>
      <c r="H1180" s="0" t="s">
        <v>580</v>
      </c>
      <c r="K1180" s="0" t="s">
        <v>610</v>
      </c>
      <c r="L1180" s="0" t="s">
        <v>2794</v>
      </c>
    </row>
    <row r="1181" customFormat="false" ht="15" hidden="false" customHeight="false" outlineLevel="0" collapsed="false">
      <c r="A1181" s="0" t="s">
        <v>65</v>
      </c>
      <c r="C1181" s="0" t="s">
        <v>885</v>
      </c>
      <c r="D1181" s="0" t="s">
        <v>150</v>
      </c>
      <c r="E1181" s="0" t="s">
        <v>2795</v>
      </c>
      <c r="F1181" s="0" t="n">
        <v>0</v>
      </c>
      <c r="G1181" s="0" t="n">
        <v>0</v>
      </c>
      <c r="H1181" s="0" t="s">
        <v>580</v>
      </c>
      <c r="K1181" s="0" t="s">
        <v>613</v>
      </c>
      <c r="L1181" s="0" t="s">
        <v>2796</v>
      </c>
    </row>
    <row r="1182" customFormat="false" ht="15" hidden="false" customHeight="false" outlineLevel="0" collapsed="false">
      <c r="A1182" s="0" t="s">
        <v>65</v>
      </c>
      <c r="B1182" s="0" t="s">
        <v>42</v>
      </c>
      <c r="C1182" s="0" t="s">
        <v>885</v>
      </c>
      <c r="D1182" s="0" t="s">
        <v>153</v>
      </c>
      <c r="E1182" s="0" t="s">
        <v>906</v>
      </c>
      <c r="F1182" s="0" t="n">
        <v>5</v>
      </c>
      <c r="G1182" s="0" t="n">
        <v>1</v>
      </c>
      <c r="H1182" s="0" t="s">
        <v>585</v>
      </c>
      <c r="I1182" s="0" t="s">
        <v>405</v>
      </c>
      <c r="K1182" s="0" t="s">
        <v>616</v>
      </c>
      <c r="L1182" s="0" t="s">
        <v>2797</v>
      </c>
    </row>
    <row r="1183" customFormat="false" ht="15" hidden="false" customHeight="false" outlineLevel="0" collapsed="false">
      <c r="A1183" s="0" t="s">
        <v>65</v>
      </c>
      <c r="C1183" s="0" t="s">
        <v>885</v>
      </c>
      <c r="D1183" s="0" t="s">
        <v>156</v>
      </c>
      <c r="E1183" s="0" t="s">
        <v>2798</v>
      </c>
      <c r="F1183" s="0" t="n">
        <v>5</v>
      </c>
      <c r="G1183" s="0" t="n">
        <v>0</v>
      </c>
      <c r="H1183" s="0" t="s">
        <v>585</v>
      </c>
      <c r="K1183" s="0" t="s">
        <v>620</v>
      </c>
      <c r="L1183" s="0" t="s">
        <v>2799</v>
      </c>
    </row>
    <row r="1184" customFormat="false" ht="15" hidden="false" customHeight="false" outlineLevel="0" collapsed="false">
      <c r="A1184" s="0" t="s">
        <v>65</v>
      </c>
      <c r="B1184" s="0" t="s">
        <v>42</v>
      </c>
      <c r="C1184" s="0" t="s">
        <v>910</v>
      </c>
      <c r="D1184" s="0" t="s">
        <v>578</v>
      </c>
      <c r="E1184" s="0" t="s">
        <v>911</v>
      </c>
      <c r="F1184" s="0" t="n">
        <v>0</v>
      </c>
      <c r="G1184" s="0" t="n">
        <v>0</v>
      </c>
      <c r="H1184" s="0" t="s">
        <v>580</v>
      </c>
      <c r="K1184" s="0" t="s">
        <v>581</v>
      </c>
      <c r="L1184" s="0" t="s">
        <v>2800</v>
      </c>
    </row>
    <row r="1185" customFormat="false" ht="15" hidden="false" customHeight="false" outlineLevel="0" collapsed="false">
      <c r="A1185" s="0" t="s">
        <v>65</v>
      </c>
      <c r="B1185" s="0" t="s">
        <v>42</v>
      </c>
      <c r="C1185" s="0" t="s">
        <v>910</v>
      </c>
      <c r="D1185" s="0" t="s">
        <v>583</v>
      </c>
      <c r="E1185" s="0" t="s">
        <v>913</v>
      </c>
      <c r="F1185" s="0" t="n">
        <v>5</v>
      </c>
      <c r="G1185" s="0" t="n">
        <v>2</v>
      </c>
      <c r="H1185" s="0" t="s">
        <v>585</v>
      </c>
      <c r="I1185" s="0" t="s">
        <v>399</v>
      </c>
      <c r="K1185" s="0" t="s">
        <v>586</v>
      </c>
      <c r="L1185" s="0" t="s">
        <v>2801</v>
      </c>
    </row>
    <row r="1186" customFormat="false" ht="15" hidden="false" customHeight="false" outlineLevel="0" collapsed="false">
      <c r="A1186" s="0" t="s">
        <v>65</v>
      </c>
      <c r="B1186" s="0" t="s">
        <v>42</v>
      </c>
      <c r="C1186" s="0" t="s">
        <v>910</v>
      </c>
      <c r="D1186" s="0" t="s">
        <v>588</v>
      </c>
      <c r="E1186" s="0" t="s">
        <v>915</v>
      </c>
      <c r="F1186" s="0" t="n">
        <v>5</v>
      </c>
      <c r="G1186" s="0" t="n">
        <v>2</v>
      </c>
      <c r="H1186" s="0" t="s">
        <v>585</v>
      </c>
      <c r="I1186" s="0" t="s">
        <v>402</v>
      </c>
      <c r="K1186" s="0" t="s">
        <v>590</v>
      </c>
      <c r="L1186" s="0" t="s">
        <v>2802</v>
      </c>
    </row>
    <row r="1187" customFormat="false" ht="15" hidden="false" customHeight="false" outlineLevel="0" collapsed="false">
      <c r="A1187" s="0" t="s">
        <v>65</v>
      </c>
      <c r="B1187" s="0" t="s">
        <v>42</v>
      </c>
      <c r="C1187" s="0" t="s">
        <v>910</v>
      </c>
      <c r="D1187" s="0" t="s">
        <v>127</v>
      </c>
      <c r="E1187" s="0" t="s">
        <v>917</v>
      </c>
      <c r="F1187" s="0" t="n">
        <v>5</v>
      </c>
      <c r="G1187" s="0" t="n">
        <v>0</v>
      </c>
      <c r="H1187" s="0" t="s">
        <v>585</v>
      </c>
      <c r="K1187" s="0" t="s">
        <v>594</v>
      </c>
      <c r="L1187" s="0" t="s">
        <v>2803</v>
      </c>
    </row>
    <row r="1188" customFormat="false" ht="15" hidden="false" customHeight="false" outlineLevel="0" collapsed="false">
      <c r="A1188" s="0" t="s">
        <v>65</v>
      </c>
      <c r="B1188" s="0" t="s">
        <v>42</v>
      </c>
      <c r="C1188" s="0" t="s">
        <v>910</v>
      </c>
      <c r="D1188" s="0" t="s">
        <v>130</v>
      </c>
      <c r="E1188" s="0" t="s">
        <v>919</v>
      </c>
      <c r="F1188" s="0" t="n">
        <v>5</v>
      </c>
      <c r="G1188" s="0" t="n">
        <v>0</v>
      </c>
      <c r="H1188" s="0" t="s">
        <v>585</v>
      </c>
      <c r="K1188" s="0" t="s">
        <v>597</v>
      </c>
      <c r="L1188" s="0" t="s">
        <v>2804</v>
      </c>
    </row>
    <row r="1189" customFormat="false" ht="15" hidden="false" customHeight="false" outlineLevel="0" collapsed="false">
      <c r="A1189" s="0" t="s">
        <v>65</v>
      </c>
      <c r="B1189" s="0" t="s">
        <v>42</v>
      </c>
      <c r="C1189" s="0" t="s">
        <v>910</v>
      </c>
      <c r="D1189" s="0" t="s">
        <v>133</v>
      </c>
      <c r="E1189" s="0" t="s">
        <v>921</v>
      </c>
      <c r="F1189" s="0" t="n">
        <v>0</v>
      </c>
      <c r="G1189" s="0" t="n">
        <v>0</v>
      </c>
      <c r="H1189" s="0" t="s">
        <v>580</v>
      </c>
      <c r="K1189" s="0" t="s">
        <v>600</v>
      </c>
      <c r="L1189" s="0" t="s">
        <v>2805</v>
      </c>
    </row>
    <row r="1190" customFormat="false" ht="15" hidden="false" customHeight="false" outlineLevel="0" collapsed="false">
      <c r="A1190" s="0" t="s">
        <v>65</v>
      </c>
      <c r="B1190" s="0" t="s">
        <v>42</v>
      </c>
      <c r="C1190" s="0" t="s">
        <v>910</v>
      </c>
      <c r="D1190" s="0" t="s">
        <v>141</v>
      </c>
      <c r="E1190" s="0" t="s">
        <v>923</v>
      </c>
      <c r="F1190" s="0" t="n">
        <v>5</v>
      </c>
      <c r="G1190" s="0" t="n">
        <v>0</v>
      </c>
      <c r="H1190" s="0" t="s">
        <v>585</v>
      </c>
      <c r="K1190" s="0" t="s">
        <v>604</v>
      </c>
      <c r="L1190" s="0" t="s">
        <v>2806</v>
      </c>
    </row>
    <row r="1191" customFormat="false" ht="15" hidden="false" customHeight="false" outlineLevel="0" collapsed="false">
      <c r="A1191" s="0" t="s">
        <v>65</v>
      </c>
      <c r="B1191" s="0" t="s">
        <v>42</v>
      </c>
      <c r="C1191" s="0" t="s">
        <v>910</v>
      </c>
      <c r="D1191" s="0" t="s">
        <v>144</v>
      </c>
      <c r="E1191" s="0" t="s">
        <v>925</v>
      </c>
      <c r="F1191" s="0" t="n">
        <v>5</v>
      </c>
      <c r="G1191" s="0" t="n">
        <v>0</v>
      </c>
      <c r="H1191" s="0" t="s">
        <v>585</v>
      </c>
      <c r="K1191" s="0" t="s">
        <v>607</v>
      </c>
      <c r="L1191" s="0" t="s">
        <v>2807</v>
      </c>
    </row>
    <row r="1192" customFormat="false" ht="15" hidden="false" customHeight="false" outlineLevel="0" collapsed="false">
      <c r="A1192" s="0" t="s">
        <v>65</v>
      </c>
      <c r="B1192" s="0" t="s">
        <v>42</v>
      </c>
      <c r="C1192" s="0" t="s">
        <v>910</v>
      </c>
      <c r="D1192" s="0" t="s">
        <v>147</v>
      </c>
      <c r="E1192" s="0" t="s">
        <v>927</v>
      </c>
      <c r="F1192" s="0" t="n">
        <v>5</v>
      </c>
      <c r="G1192" s="0" t="n">
        <v>0</v>
      </c>
      <c r="H1192" s="0" t="s">
        <v>585</v>
      </c>
      <c r="K1192" s="0" t="s">
        <v>610</v>
      </c>
      <c r="L1192" s="0" t="s">
        <v>2808</v>
      </c>
    </row>
    <row r="1193" customFormat="false" ht="15" hidden="false" customHeight="false" outlineLevel="0" collapsed="false">
      <c r="A1193" s="0" t="s">
        <v>65</v>
      </c>
      <c r="B1193" s="0" t="s">
        <v>42</v>
      </c>
      <c r="C1193" s="0" t="s">
        <v>910</v>
      </c>
      <c r="D1193" s="0" t="s">
        <v>150</v>
      </c>
      <c r="E1193" s="0" t="s">
        <v>2809</v>
      </c>
      <c r="F1193" s="0" t="n">
        <v>5</v>
      </c>
      <c r="G1193" s="0" t="n">
        <v>2</v>
      </c>
      <c r="H1193" s="0" t="s">
        <v>585</v>
      </c>
      <c r="I1193" s="0" t="s">
        <v>402</v>
      </c>
      <c r="K1193" s="0" t="s">
        <v>613</v>
      </c>
      <c r="L1193" s="0" t="s">
        <v>2810</v>
      </c>
    </row>
    <row r="1194" customFormat="false" ht="15" hidden="false" customHeight="false" outlineLevel="0" collapsed="false">
      <c r="A1194" s="0" t="s">
        <v>65</v>
      </c>
      <c r="B1194" s="0" t="s">
        <v>42</v>
      </c>
      <c r="C1194" s="0" t="s">
        <v>910</v>
      </c>
      <c r="D1194" s="0" t="s">
        <v>153</v>
      </c>
      <c r="E1194" s="0" t="s">
        <v>931</v>
      </c>
      <c r="F1194" s="0" t="n">
        <v>5</v>
      </c>
      <c r="G1194" s="0" t="n">
        <v>4</v>
      </c>
      <c r="H1194" s="0" t="s">
        <v>585</v>
      </c>
      <c r="I1194" s="0" t="s">
        <v>404</v>
      </c>
      <c r="K1194" s="0" t="s">
        <v>616</v>
      </c>
      <c r="L1194" s="0" t="s">
        <v>2811</v>
      </c>
    </row>
    <row r="1195" customFormat="false" ht="15" hidden="false" customHeight="false" outlineLevel="0" collapsed="false">
      <c r="A1195" s="0" t="s">
        <v>65</v>
      </c>
      <c r="B1195" s="0" t="s">
        <v>42</v>
      </c>
      <c r="C1195" s="0" t="s">
        <v>910</v>
      </c>
      <c r="D1195" s="0" t="s">
        <v>156</v>
      </c>
      <c r="E1195" s="0" t="s">
        <v>933</v>
      </c>
      <c r="F1195" s="0" t="n">
        <v>5</v>
      </c>
      <c r="G1195" s="0" t="n">
        <v>5</v>
      </c>
      <c r="H1195" s="0" t="s">
        <v>580</v>
      </c>
      <c r="I1195" s="0" t="s">
        <v>399</v>
      </c>
      <c r="K1195" s="0" t="s">
        <v>620</v>
      </c>
      <c r="L1195" s="0" t="s">
        <v>2812</v>
      </c>
    </row>
    <row r="1196" customFormat="false" ht="15" hidden="false" customHeight="false" outlineLevel="0" collapsed="false">
      <c r="A1196" s="0" t="s">
        <v>65</v>
      </c>
      <c r="B1196" s="0" t="s">
        <v>42</v>
      </c>
      <c r="C1196" s="0" t="s">
        <v>935</v>
      </c>
      <c r="D1196" s="0" t="s">
        <v>578</v>
      </c>
      <c r="E1196" s="0" t="s">
        <v>936</v>
      </c>
      <c r="F1196" s="0" t="n">
        <v>0</v>
      </c>
      <c r="G1196" s="0" t="n">
        <v>0</v>
      </c>
      <c r="H1196" s="0" t="s">
        <v>580</v>
      </c>
      <c r="K1196" s="0" t="s">
        <v>581</v>
      </c>
      <c r="L1196" s="0" t="s">
        <v>2813</v>
      </c>
    </row>
    <row r="1197" customFormat="false" ht="15" hidden="false" customHeight="false" outlineLevel="0" collapsed="false">
      <c r="A1197" s="0" t="s">
        <v>65</v>
      </c>
      <c r="B1197" s="0" t="s">
        <v>42</v>
      </c>
      <c r="C1197" s="0" t="s">
        <v>935</v>
      </c>
      <c r="D1197" s="0" t="s">
        <v>583</v>
      </c>
      <c r="E1197" s="0" t="s">
        <v>938</v>
      </c>
      <c r="F1197" s="0" t="n">
        <v>5</v>
      </c>
      <c r="G1197" s="0" t="n">
        <v>4</v>
      </c>
      <c r="H1197" s="0" t="s">
        <v>585</v>
      </c>
      <c r="I1197" s="0" t="s">
        <v>400</v>
      </c>
      <c r="K1197" s="0" t="s">
        <v>586</v>
      </c>
      <c r="L1197" s="0" t="s">
        <v>2814</v>
      </c>
    </row>
    <row r="1198" customFormat="false" ht="15" hidden="false" customHeight="false" outlineLevel="0" collapsed="false">
      <c r="A1198" s="0" t="s">
        <v>65</v>
      </c>
      <c r="B1198" s="0" t="s">
        <v>42</v>
      </c>
      <c r="C1198" s="0" t="s">
        <v>935</v>
      </c>
      <c r="D1198" s="0" t="s">
        <v>588</v>
      </c>
      <c r="E1198" s="0" t="s">
        <v>940</v>
      </c>
      <c r="F1198" s="0" t="n">
        <v>5</v>
      </c>
      <c r="G1198" s="0" t="n">
        <v>4</v>
      </c>
      <c r="H1198" s="0" t="s">
        <v>585</v>
      </c>
      <c r="I1198" s="0" t="s">
        <v>405</v>
      </c>
      <c r="K1198" s="0" t="s">
        <v>590</v>
      </c>
      <c r="L1198" s="0" t="s">
        <v>2815</v>
      </c>
    </row>
    <row r="1199" customFormat="false" ht="15" hidden="false" customHeight="false" outlineLevel="0" collapsed="false">
      <c r="A1199" s="0" t="s">
        <v>65</v>
      </c>
      <c r="B1199" s="0" t="s">
        <v>42</v>
      </c>
      <c r="C1199" s="0" t="s">
        <v>935</v>
      </c>
      <c r="D1199" s="0" t="s">
        <v>127</v>
      </c>
      <c r="E1199" s="0" t="s">
        <v>942</v>
      </c>
      <c r="F1199" s="0" t="n">
        <v>5</v>
      </c>
      <c r="G1199" s="0" t="n">
        <v>3</v>
      </c>
      <c r="H1199" s="0" t="s">
        <v>585</v>
      </c>
      <c r="I1199" s="0" t="s">
        <v>399</v>
      </c>
      <c r="K1199" s="0" t="s">
        <v>594</v>
      </c>
      <c r="L1199" s="0" t="s">
        <v>2816</v>
      </c>
    </row>
    <row r="1200" customFormat="false" ht="15" hidden="false" customHeight="false" outlineLevel="0" collapsed="false">
      <c r="A1200" s="0" t="s">
        <v>65</v>
      </c>
      <c r="B1200" s="0" t="s">
        <v>42</v>
      </c>
      <c r="C1200" s="0" t="s">
        <v>935</v>
      </c>
      <c r="D1200" s="0" t="s">
        <v>130</v>
      </c>
      <c r="E1200" s="0" t="s">
        <v>944</v>
      </c>
      <c r="F1200" s="0" t="n">
        <v>5</v>
      </c>
      <c r="G1200" s="0" t="n">
        <v>4</v>
      </c>
      <c r="H1200" s="0" t="s">
        <v>585</v>
      </c>
      <c r="I1200" s="0" t="s">
        <v>405</v>
      </c>
      <c r="K1200" s="0" t="s">
        <v>597</v>
      </c>
      <c r="L1200" s="0" t="s">
        <v>2817</v>
      </c>
    </row>
    <row r="1201" customFormat="false" ht="15" hidden="false" customHeight="false" outlineLevel="0" collapsed="false">
      <c r="A1201" s="0" t="s">
        <v>65</v>
      </c>
      <c r="B1201" s="0" t="s">
        <v>42</v>
      </c>
      <c r="C1201" s="0" t="s">
        <v>935</v>
      </c>
      <c r="D1201" s="0" t="s">
        <v>133</v>
      </c>
      <c r="E1201" s="0" t="s">
        <v>2818</v>
      </c>
      <c r="F1201" s="0" t="n">
        <v>5</v>
      </c>
      <c r="G1201" s="0" t="n">
        <v>0</v>
      </c>
      <c r="H1201" s="0" t="s">
        <v>585</v>
      </c>
      <c r="K1201" s="0" t="s">
        <v>600</v>
      </c>
      <c r="L1201" s="0" t="s">
        <v>2819</v>
      </c>
    </row>
    <row r="1202" customFormat="false" ht="15" hidden="false" customHeight="false" outlineLevel="0" collapsed="false">
      <c r="A1202" s="0" t="s">
        <v>65</v>
      </c>
      <c r="B1202" s="0" t="s">
        <v>42</v>
      </c>
      <c r="C1202" s="0" t="s">
        <v>935</v>
      </c>
      <c r="D1202" s="0" t="s">
        <v>141</v>
      </c>
      <c r="E1202" s="0" t="s">
        <v>949</v>
      </c>
      <c r="F1202" s="0" t="n">
        <v>5</v>
      </c>
      <c r="G1202" s="0" t="n">
        <v>0</v>
      </c>
      <c r="H1202" s="0" t="s">
        <v>585</v>
      </c>
      <c r="K1202" s="0" t="s">
        <v>604</v>
      </c>
      <c r="L1202" s="0" t="s">
        <v>2820</v>
      </c>
    </row>
    <row r="1203" customFormat="false" ht="15" hidden="false" customHeight="false" outlineLevel="0" collapsed="false">
      <c r="A1203" s="0" t="s">
        <v>65</v>
      </c>
      <c r="B1203" s="0" t="s">
        <v>42</v>
      </c>
      <c r="C1203" s="0" t="s">
        <v>935</v>
      </c>
      <c r="D1203" s="0" t="s">
        <v>144</v>
      </c>
      <c r="E1203" s="0" t="s">
        <v>951</v>
      </c>
      <c r="F1203" s="0" t="n">
        <v>5</v>
      </c>
      <c r="G1203" s="0" t="n">
        <v>0</v>
      </c>
      <c r="H1203" s="0" t="s">
        <v>585</v>
      </c>
      <c r="K1203" s="0" t="s">
        <v>607</v>
      </c>
      <c r="L1203" s="0" t="s">
        <v>2821</v>
      </c>
    </row>
    <row r="1204" customFormat="false" ht="15" hidden="false" customHeight="false" outlineLevel="0" collapsed="false">
      <c r="A1204" s="0" t="s">
        <v>65</v>
      </c>
      <c r="B1204" s="0" t="s">
        <v>42</v>
      </c>
      <c r="C1204" s="0" t="s">
        <v>935</v>
      </c>
      <c r="D1204" s="0" t="s">
        <v>147</v>
      </c>
      <c r="E1204" s="0" t="s">
        <v>953</v>
      </c>
      <c r="F1204" s="0" t="n">
        <v>5</v>
      </c>
      <c r="G1204" s="0" t="n">
        <v>2</v>
      </c>
      <c r="H1204" s="0" t="s">
        <v>585</v>
      </c>
      <c r="I1204" s="0" t="s">
        <v>404</v>
      </c>
      <c r="K1204" s="0" t="s">
        <v>610</v>
      </c>
      <c r="L1204" s="0" t="s">
        <v>2822</v>
      </c>
    </row>
    <row r="1205" customFormat="false" ht="15" hidden="false" customHeight="false" outlineLevel="0" collapsed="false">
      <c r="A1205" s="0" t="s">
        <v>65</v>
      </c>
      <c r="B1205" s="0" t="s">
        <v>42</v>
      </c>
      <c r="C1205" s="0" t="s">
        <v>935</v>
      </c>
      <c r="D1205" s="0" t="s">
        <v>150</v>
      </c>
      <c r="E1205" s="0" t="s">
        <v>2823</v>
      </c>
      <c r="F1205" s="0" t="n">
        <v>5</v>
      </c>
      <c r="G1205" s="0" t="n">
        <v>3</v>
      </c>
      <c r="H1205" s="0" t="s">
        <v>585</v>
      </c>
      <c r="I1205" s="0" t="s">
        <v>399</v>
      </c>
      <c r="K1205" s="0" t="s">
        <v>613</v>
      </c>
      <c r="L1205" s="0" t="s">
        <v>2824</v>
      </c>
    </row>
    <row r="1206" customFormat="false" ht="15" hidden="false" customHeight="false" outlineLevel="0" collapsed="false">
      <c r="A1206" s="0" t="s">
        <v>65</v>
      </c>
      <c r="B1206" s="0" t="s">
        <v>42</v>
      </c>
      <c r="C1206" s="0" t="s">
        <v>935</v>
      </c>
      <c r="D1206" s="0" t="s">
        <v>153</v>
      </c>
      <c r="E1206" s="0" t="s">
        <v>957</v>
      </c>
      <c r="F1206" s="0" t="n">
        <v>5</v>
      </c>
      <c r="G1206" s="0" t="n">
        <v>2</v>
      </c>
      <c r="H1206" s="0" t="s">
        <v>585</v>
      </c>
      <c r="I1206" s="0" t="s">
        <v>404</v>
      </c>
      <c r="K1206" s="0" t="s">
        <v>616</v>
      </c>
      <c r="L1206" s="0" t="s">
        <v>2825</v>
      </c>
    </row>
    <row r="1207" customFormat="false" ht="15" hidden="false" customHeight="false" outlineLevel="0" collapsed="false">
      <c r="A1207" s="0" t="s">
        <v>65</v>
      </c>
      <c r="B1207" s="0" t="s">
        <v>42</v>
      </c>
      <c r="C1207" s="0" t="s">
        <v>935</v>
      </c>
      <c r="D1207" s="0" t="s">
        <v>156</v>
      </c>
      <c r="E1207" s="0" t="s">
        <v>959</v>
      </c>
      <c r="F1207" s="0" t="n">
        <v>5</v>
      </c>
      <c r="G1207" s="0" t="n">
        <v>0</v>
      </c>
      <c r="H1207" s="0" t="s">
        <v>585</v>
      </c>
      <c r="K1207" s="0" t="s">
        <v>620</v>
      </c>
      <c r="L1207" s="0" t="s">
        <v>2826</v>
      </c>
    </row>
    <row r="1208" customFormat="false" ht="15" hidden="false" customHeight="false" outlineLevel="0" collapsed="false">
      <c r="A1208" s="0" t="s">
        <v>65</v>
      </c>
      <c r="B1208" s="0" t="s">
        <v>42</v>
      </c>
      <c r="C1208" s="0" t="s">
        <v>961</v>
      </c>
      <c r="D1208" s="0" t="s">
        <v>578</v>
      </c>
      <c r="E1208" s="0" t="s">
        <v>962</v>
      </c>
      <c r="F1208" s="0" t="n">
        <v>0</v>
      </c>
      <c r="G1208" s="0" t="n">
        <v>0</v>
      </c>
      <c r="H1208" s="0" t="s">
        <v>580</v>
      </c>
      <c r="K1208" s="0" t="s">
        <v>581</v>
      </c>
      <c r="L1208" s="0" t="s">
        <v>2827</v>
      </c>
    </row>
    <row r="1209" customFormat="false" ht="15" hidden="false" customHeight="false" outlineLevel="0" collapsed="false">
      <c r="A1209" s="0" t="s">
        <v>65</v>
      </c>
      <c r="B1209" s="0" t="s">
        <v>42</v>
      </c>
      <c r="C1209" s="0" t="s">
        <v>961</v>
      </c>
      <c r="D1209" s="0" t="s">
        <v>583</v>
      </c>
      <c r="E1209" s="0" t="s">
        <v>964</v>
      </c>
      <c r="F1209" s="0" t="n">
        <v>5</v>
      </c>
      <c r="G1209" s="0" t="n">
        <v>0</v>
      </c>
      <c r="H1209" s="0" t="s">
        <v>585</v>
      </c>
      <c r="K1209" s="0" t="s">
        <v>586</v>
      </c>
      <c r="L1209" s="0" t="s">
        <v>2828</v>
      </c>
    </row>
    <row r="1210" customFormat="false" ht="15" hidden="false" customHeight="false" outlineLevel="0" collapsed="false">
      <c r="A1210" s="0" t="s">
        <v>65</v>
      </c>
      <c r="B1210" s="0" t="s">
        <v>42</v>
      </c>
      <c r="C1210" s="0" t="s">
        <v>961</v>
      </c>
      <c r="D1210" s="0" t="s">
        <v>588</v>
      </c>
      <c r="E1210" s="0" t="s">
        <v>966</v>
      </c>
      <c r="F1210" s="0" t="n">
        <v>5</v>
      </c>
      <c r="G1210" s="0" t="n">
        <v>5</v>
      </c>
      <c r="H1210" s="0" t="s">
        <v>580</v>
      </c>
      <c r="I1210" s="0" t="s">
        <v>400</v>
      </c>
      <c r="K1210" s="0" t="s">
        <v>590</v>
      </c>
      <c r="L1210" s="0" t="s">
        <v>2829</v>
      </c>
    </row>
    <row r="1211" customFormat="false" ht="15" hidden="false" customHeight="false" outlineLevel="0" collapsed="false">
      <c r="A1211" s="0" t="s">
        <v>65</v>
      </c>
      <c r="B1211" s="0" t="s">
        <v>42</v>
      </c>
      <c r="C1211" s="0" t="s">
        <v>961</v>
      </c>
      <c r="D1211" s="0" t="s">
        <v>127</v>
      </c>
      <c r="E1211" s="0" t="s">
        <v>968</v>
      </c>
      <c r="F1211" s="0" t="n">
        <v>5</v>
      </c>
      <c r="G1211" s="0" t="n">
        <v>0</v>
      </c>
      <c r="H1211" s="0" t="s">
        <v>585</v>
      </c>
      <c r="K1211" s="0" t="s">
        <v>594</v>
      </c>
      <c r="L1211" s="0" t="s">
        <v>2830</v>
      </c>
    </row>
    <row r="1212" customFormat="false" ht="15" hidden="false" customHeight="false" outlineLevel="0" collapsed="false">
      <c r="A1212" s="0" t="s">
        <v>65</v>
      </c>
      <c r="B1212" s="0" t="s">
        <v>42</v>
      </c>
      <c r="C1212" s="0" t="s">
        <v>961</v>
      </c>
      <c r="D1212" s="0" t="s">
        <v>130</v>
      </c>
      <c r="E1212" s="0" t="s">
        <v>970</v>
      </c>
      <c r="F1212" s="0" t="n">
        <v>5</v>
      </c>
      <c r="G1212" s="0" t="n">
        <v>4</v>
      </c>
      <c r="H1212" s="0" t="s">
        <v>585</v>
      </c>
      <c r="I1212" s="0" t="s">
        <v>400</v>
      </c>
      <c r="K1212" s="0" t="s">
        <v>597</v>
      </c>
      <c r="L1212" s="0" t="s">
        <v>2831</v>
      </c>
    </row>
    <row r="1213" customFormat="false" ht="15" hidden="false" customHeight="false" outlineLevel="0" collapsed="false">
      <c r="A1213" s="0" t="s">
        <v>65</v>
      </c>
      <c r="B1213" s="0" t="s">
        <v>42</v>
      </c>
      <c r="C1213" s="0" t="s">
        <v>961</v>
      </c>
      <c r="D1213" s="0" t="s">
        <v>133</v>
      </c>
      <c r="E1213" s="0" t="s">
        <v>972</v>
      </c>
      <c r="F1213" s="0" t="n">
        <v>5</v>
      </c>
      <c r="G1213" s="0" t="n">
        <v>0</v>
      </c>
      <c r="H1213" s="0" t="s">
        <v>585</v>
      </c>
      <c r="K1213" s="0" t="s">
        <v>600</v>
      </c>
      <c r="L1213" s="0" t="s">
        <v>2832</v>
      </c>
    </row>
    <row r="1214" customFormat="false" ht="15" hidden="false" customHeight="false" outlineLevel="0" collapsed="false">
      <c r="A1214" s="0" t="s">
        <v>65</v>
      </c>
      <c r="B1214" s="0" t="s">
        <v>42</v>
      </c>
      <c r="C1214" s="0" t="s">
        <v>961</v>
      </c>
      <c r="D1214" s="0" t="s">
        <v>141</v>
      </c>
      <c r="E1214" s="0" t="s">
        <v>974</v>
      </c>
      <c r="F1214" s="0" t="n">
        <v>5</v>
      </c>
      <c r="G1214" s="0" t="n">
        <v>0</v>
      </c>
      <c r="H1214" s="0" t="s">
        <v>585</v>
      </c>
      <c r="K1214" s="0" t="s">
        <v>604</v>
      </c>
      <c r="L1214" s="0" t="s">
        <v>2833</v>
      </c>
    </row>
    <row r="1215" customFormat="false" ht="15" hidden="false" customHeight="false" outlineLevel="0" collapsed="false">
      <c r="A1215" s="0" t="s">
        <v>65</v>
      </c>
      <c r="B1215" s="0" t="s">
        <v>42</v>
      </c>
      <c r="C1215" s="0" t="s">
        <v>961</v>
      </c>
      <c r="D1215" s="0" t="s">
        <v>144</v>
      </c>
      <c r="E1215" s="0" t="s">
        <v>2834</v>
      </c>
      <c r="F1215" s="0" t="n">
        <v>5</v>
      </c>
      <c r="G1215" s="0" t="n">
        <v>0</v>
      </c>
      <c r="H1215" s="0" t="s">
        <v>585</v>
      </c>
      <c r="K1215" s="0" t="s">
        <v>607</v>
      </c>
      <c r="L1215" s="0" t="s">
        <v>2835</v>
      </c>
    </row>
    <row r="1216" customFormat="false" ht="15" hidden="false" customHeight="false" outlineLevel="0" collapsed="false">
      <c r="A1216" s="0" t="s">
        <v>65</v>
      </c>
      <c r="B1216" s="0" t="s">
        <v>42</v>
      </c>
      <c r="C1216" s="0" t="s">
        <v>961</v>
      </c>
      <c r="D1216" s="0" t="s">
        <v>147</v>
      </c>
      <c r="E1216" s="0" t="s">
        <v>978</v>
      </c>
      <c r="F1216" s="0" t="n">
        <v>5</v>
      </c>
      <c r="G1216" s="0" t="n">
        <v>3</v>
      </c>
      <c r="H1216" s="0" t="s">
        <v>585</v>
      </c>
      <c r="I1216" s="0" t="s">
        <v>399</v>
      </c>
      <c r="K1216" s="0" t="s">
        <v>610</v>
      </c>
      <c r="L1216" s="0" t="s">
        <v>2836</v>
      </c>
    </row>
    <row r="1217" customFormat="false" ht="15" hidden="false" customHeight="false" outlineLevel="0" collapsed="false">
      <c r="A1217" s="0" t="s">
        <v>65</v>
      </c>
      <c r="B1217" s="0" t="s">
        <v>42</v>
      </c>
      <c r="C1217" s="0" t="s">
        <v>961</v>
      </c>
      <c r="D1217" s="0" t="s">
        <v>150</v>
      </c>
      <c r="E1217" s="0" t="s">
        <v>980</v>
      </c>
      <c r="F1217" s="0" t="n">
        <v>5</v>
      </c>
      <c r="G1217" s="0" t="n">
        <v>0</v>
      </c>
      <c r="H1217" s="0" t="s">
        <v>585</v>
      </c>
      <c r="K1217" s="0" t="s">
        <v>613</v>
      </c>
      <c r="L1217" s="0" t="s">
        <v>2837</v>
      </c>
    </row>
    <row r="1218" customFormat="false" ht="15" hidden="false" customHeight="false" outlineLevel="0" collapsed="false">
      <c r="A1218" s="0" t="s">
        <v>65</v>
      </c>
      <c r="B1218" s="0" t="s">
        <v>42</v>
      </c>
      <c r="C1218" s="0" t="s">
        <v>961</v>
      </c>
      <c r="D1218" s="0" t="s">
        <v>153</v>
      </c>
      <c r="E1218" s="0" t="s">
        <v>982</v>
      </c>
      <c r="F1218" s="0" t="n">
        <v>5</v>
      </c>
      <c r="G1218" s="0" t="n">
        <v>2</v>
      </c>
      <c r="H1218" s="0" t="s">
        <v>585</v>
      </c>
      <c r="I1218" s="0" t="s">
        <v>405</v>
      </c>
      <c r="K1218" s="0" t="s">
        <v>616</v>
      </c>
      <c r="L1218" s="0" t="s">
        <v>2838</v>
      </c>
    </row>
    <row r="1219" customFormat="false" ht="15" hidden="false" customHeight="false" outlineLevel="0" collapsed="false">
      <c r="A1219" s="0" t="s">
        <v>65</v>
      </c>
      <c r="B1219" s="0" t="s">
        <v>42</v>
      </c>
      <c r="C1219" s="0" t="s">
        <v>961</v>
      </c>
      <c r="D1219" s="0" t="s">
        <v>156</v>
      </c>
      <c r="E1219" s="0" t="s">
        <v>984</v>
      </c>
      <c r="F1219" s="0" t="n">
        <v>5</v>
      </c>
      <c r="G1219" s="0" t="n">
        <v>0</v>
      </c>
      <c r="H1219" s="0" t="s">
        <v>585</v>
      </c>
      <c r="K1219" s="0" t="s">
        <v>620</v>
      </c>
      <c r="L1219" s="0" t="s">
        <v>2839</v>
      </c>
    </row>
    <row r="1220" customFormat="false" ht="15" hidden="false" customHeight="false" outlineLevel="0" collapsed="false">
      <c r="A1220" s="0" t="s">
        <v>65</v>
      </c>
      <c r="B1220" s="0" t="s">
        <v>345</v>
      </c>
      <c r="C1220" s="0" t="s">
        <v>986</v>
      </c>
      <c r="D1220" s="0" t="s">
        <v>987</v>
      </c>
      <c r="E1220" s="0" t="s">
        <v>988</v>
      </c>
      <c r="F1220" s="0" t="n">
        <v>0</v>
      </c>
      <c r="G1220" s="0" t="n">
        <v>0</v>
      </c>
      <c r="H1220" s="0" t="s">
        <v>580</v>
      </c>
      <c r="K1220" s="0" t="s">
        <v>581</v>
      </c>
      <c r="L1220" s="0" t="s">
        <v>2840</v>
      </c>
    </row>
    <row r="1221" customFormat="false" ht="15" hidden="false" customHeight="false" outlineLevel="0" collapsed="false">
      <c r="A1221" s="0" t="s">
        <v>65</v>
      </c>
      <c r="B1221" s="0" t="s">
        <v>345</v>
      </c>
      <c r="C1221" s="0" t="s">
        <v>986</v>
      </c>
      <c r="D1221" s="0" t="s">
        <v>990</v>
      </c>
      <c r="E1221" s="0" t="s">
        <v>991</v>
      </c>
      <c r="F1221" s="0" t="n">
        <v>4</v>
      </c>
      <c r="G1221" s="0" t="n">
        <v>0</v>
      </c>
      <c r="H1221" s="0" t="s">
        <v>585</v>
      </c>
      <c r="K1221" s="0" t="s">
        <v>586</v>
      </c>
      <c r="L1221" s="0" t="s">
        <v>2841</v>
      </c>
    </row>
    <row r="1222" customFormat="false" ht="15" hidden="false" customHeight="false" outlineLevel="0" collapsed="false">
      <c r="A1222" s="0" t="s">
        <v>65</v>
      </c>
      <c r="B1222" s="0" t="s">
        <v>345</v>
      </c>
      <c r="C1222" s="0" t="s">
        <v>986</v>
      </c>
      <c r="D1222" s="0" t="s">
        <v>993</v>
      </c>
      <c r="E1222" s="0" t="s">
        <v>994</v>
      </c>
      <c r="F1222" s="0" t="n">
        <v>4</v>
      </c>
      <c r="G1222" s="0" t="n">
        <v>2</v>
      </c>
      <c r="H1222" s="0" t="s">
        <v>585</v>
      </c>
      <c r="I1222" s="0" t="s">
        <v>406</v>
      </c>
      <c r="K1222" s="0" t="s">
        <v>590</v>
      </c>
      <c r="L1222" s="0" t="s">
        <v>2842</v>
      </c>
    </row>
    <row r="1223" customFormat="false" ht="15" hidden="false" customHeight="false" outlineLevel="0" collapsed="false">
      <c r="A1223" s="0" t="s">
        <v>65</v>
      </c>
      <c r="B1223" s="0" t="s">
        <v>345</v>
      </c>
      <c r="C1223" s="0" t="s">
        <v>986</v>
      </c>
      <c r="D1223" s="0" t="s">
        <v>126</v>
      </c>
      <c r="E1223" s="0" t="s">
        <v>996</v>
      </c>
      <c r="F1223" s="0" t="n">
        <v>4</v>
      </c>
      <c r="G1223" s="0" t="n">
        <v>2</v>
      </c>
      <c r="H1223" s="0" t="s">
        <v>585</v>
      </c>
      <c r="I1223" s="0" t="s">
        <v>400</v>
      </c>
      <c r="K1223" s="0" t="s">
        <v>594</v>
      </c>
      <c r="L1223" s="0" t="s">
        <v>2843</v>
      </c>
    </row>
    <row r="1224" customFormat="false" ht="15" hidden="false" customHeight="false" outlineLevel="0" collapsed="false">
      <c r="A1224" s="0" t="s">
        <v>65</v>
      </c>
      <c r="B1224" s="0" t="s">
        <v>345</v>
      </c>
      <c r="C1224" s="0" t="s">
        <v>986</v>
      </c>
      <c r="D1224" s="0" t="s">
        <v>129</v>
      </c>
      <c r="E1224" s="0" t="s">
        <v>998</v>
      </c>
      <c r="F1224" s="0" t="n">
        <v>4</v>
      </c>
      <c r="G1224" s="0" t="n">
        <v>1</v>
      </c>
      <c r="H1224" s="0" t="s">
        <v>585</v>
      </c>
      <c r="I1224" s="0" t="s">
        <v>402</v>
      </c>
      <c r="K1224" s="0" t="s">
        <v>597</v>
      </c>
      <c r="L1224" s="0" t="s">
        <v>2844</v>
      </c>
    </row>
    <row r="1225" customFormat="false" ht="15" hidden="false" customHeight="false" outlineLevel="0" collapsed="false">
      <c r="A1225" s="0" t="s">
        <v>65</v>
      </c>
      <c r="B1225" s="0" t="s">
        <v>345</v>
      </c>
      <c r="C1225" s="0" t="s">
        <v>986</v>
      </c>
      <c r="D1225" s="0" t="s">
        <v>132</v>
      </c>
      <c r="E1225" s="0" t="s">
        <v>1000</v>
      </c>
      <c r="F1225" s="0" t="n">
        <v>0</v>
      </c>
      <c r="G1225" s="0" t="n">
        <v>0</v>
      </c>
      <c r="H1225" s="0" t="s">
        <v>580</v>
      </c>
      <c r="K1225" s="0" t="s">
        <v>600</v>
      </c>
      <c r="L1225" s="0" t="s">
        <v>2845</v>
      </c>
    </row>
    <row r="1226" customFormat="false" ht="15" hidden="false" customHeight="false" outlineLevel="0" collapsed="false">
      <c r="A1226" s="0" t="s">
        <v>65</v>
      </c>
      <c r="B1226" s="0" t="s">
        <v>345</v>
      </c>
      <c r="C1226" s="0" t="s">
        <v>986</v>
      </c>
      <c r="D1226" s="0" t="s">
        <v>139</v>
      </c>
      <c r="E1226" s="0" t="s">
        <v>1002</v>
      </c>
      <c r="F1226" s="0" t="n">
        <v>4</v>
      </c>
      <c r="G1226" s="0" t="n">
        <v>0</v>
      </c>
      <c r="H1226" s="0" t="s">
        <v>585</v>
      </c>
      <c r="K1226" s="0" t="s">
        <v>604</v>
      </c>
      <c r="L1226" s="0" t="s">
        <v>2846</v>
      </c>
    </row>
    <row r="1227" customFormat="false" ht="15" hidden="false" customHeight="false" outlineLevel="0" collapsed="false">
      <c r="A1227" s="0" t="s">
        <v>65</v>
      </c>
      <c r="B1227" s="0" t="s">
        <v>345</v>
      </c>
      <c r="C1227" s="0" t="s">
        <v>986</v>
      </c>
      <c r="D1227" s="0" t="s">
        <v>143</v>
      </c>
      <c r="E1227" s="0" t="s">
        <v>1004</v>
      </c>
      <c r="F1227" s="0" t="n">
        <v>4</v>
      </c>
      <c r="G1227" s="0" t="n">
        <v>0</v>
      </c>
      <c r="H1227" s="0" t="s">
        <v>585</v>
      </c>
      <c r="K1227" s="0" t="s">
        <v>607</v>
      </c>
      <c r="L1227" s="0" t="s">
        <v>2847</v>
      </c>
    </row>
    <row r="1228" customFormat="false" ht="15" hidden="false" customHeight="false" outlineLevel="0" collapsed="false">
      <c r="A1228" s="0" t="s">
        <v>65</v>
      </c>
      <c r="B1228" s="0" t="s">
        <v>345</v>
      </c>
      <c r="C1228" s="0" t="s">
        <v>986</v>
      </c>
      <c r="D1228" s="0" t="s">
        <v>146</v>
      </c>
      <c r="E1228" s="0" t="s">
        <v>1006</v>
      </c>
      <c r="F1228" s="0" t="n">
        <v>4</v>
      </c>
      <c r="G1228" s="0" t="n">
        <v>0</v>
      </c>
      <c r="H1228" s="0" t="s">
        <v>585</v>
      </c>
      <c r="K1228" s="0" t="s">
        <v>610</v>
      </c>
      <c r="L1228" s="0" t="s">
        <v>2848</v>
      </c>
    </row>
    <row r="1229" customFormat="false" ht="15" hidden="false" customHeight="false" outlineLevel="0" collapsed="false">
      <c r="A1229" s="0" t="s">
        <v>65</v>
      </c>
      <c r="B1229" s="0" t="s">
        <v>345</v>
      </c>
      <c r="C1229" s="0" t="s">
        <v>986</v>
      </c>
      <c r="D1229" s="0" t="s">
        <v>149</v>
      </c>
      <c r="E1229" s="0" t="s">
        <v>1008</v>
      </c>
      <c r="F1229" s="0" t="n">
        <v>4</v>
      </c>
      <c r="G1229" s="0" t="n">
        <v>4</v>
      </c>
      <c r="H1229" s="0" t="s">
        <v>580</v>
      </c>
      <c r="I1229" s="0" t="s">
        <v>400</v>
      </c>
      <c r="K1229" s="0" t="s">
        <v>613</v>
      </c>
      <c r="L1229" s="0" t="s">
        <v>2849</v>
      </c>
    </row>
    <row r="1230" customFormat="false" ht="15" hidden="false" customHeight="false" outlineLevel="0" collapsed="false">
      <c r="A1230" s="0" t="s">
        <v>65</v>
      </c>
      <c r="B1230" s="0" t="s">
        <v>345</v>
      </c>
      <c r="C1230" s="0" t="s">
        <v>986</v>
      </c>
      <c r="D1230" s="0" t="s">
        <v>152</v>
      </c>
      <c r="E1230" s="0" t="s">
        <v>1010</v>
      </c>
      <c r="F1230" s="0" t="n">
        <v>4</v>
      </c>
      <c r="G1230" s="0" t="n">
        <v>3</v>
      </c>
      <c r="H1230" s="0" t="s">
        <v>585</v>
      </c>
      <c r="I1230" s="0" t="s">
        <v>402</v>
      </c>
      <c r="K1230" s="0" t="s">
        <v>616</v>
      </c>
      <c r="L1230" s="0" t="s">
        <v>2850</v>
      </c>
    </row>
    <row r="1231" customFormat="false" ht="15" hidden="false" customHeight="false" outlineLevel="0" collapsed="false">
      <c r="A1231" s="0" t="s">
        <v>65</v>
      </c>
      <c r="B1231" s="0" t="s">
        <v>345</v>
      </c>
      <c r="C1231" s="0" t="s">
        <v>986</v>
      </c>
      <c r="D1231" s="0" t="s">
        <v>155</v>
      </c>
      <c r="E1231" s="0" t="s">
        <v>1012</v>
      </c>
      <c r="F1231" s="0" t="n">
        <v>4</v>
      </c>
      <c r="G1231" s="0" t="n">
        <v>0</v>
      </c>
      <c r="H1231" s="0" t="s">
        <v>585</v>
      </c>
      <c r="K1231" s="0" t="s">
        <v>620</v>
      </c>
      <c r="L1231" s="0" t="s">
        <v>2851</v>
      </c>
    </row>
    <row r="1232" customFormat="false" ht="15" hidden="false" customHeight="false" outlineLevel="0" collapsed="false">
      <c r="A1232" s="0" t="s">
        <v>65</v>
      </c>
      <c r="B1232" s="0" t="s">
        <v>345</v>
      </c>
      <c r="C1232" s="0" t="s">
        <v>1014</v>
      </c>
      <c r="D1232" s="0" t="s">
        <v>987</v>
      </c>
      <c r="E1232" s="0" t="s">
        <v>1015</v>
      </c>
      <c r="F1232" s="0" t="n">
        <v>0</v>
      </c>
      <c r="G1232" s="0" t="n">
        <v>0</v>
      </c>
      <c r="H1232" s="0" t="s">
        <v>580</v>
      </c>
      <c r="K1232" s="0" t="s">
        <v>581</v>
      </c>
      <c r="L1232" s="0" t="s">
        <v>2852</v>
      </c>
    </row>
    <row r="1233" customFormat="false" ht="15" hidden="false" customHeight="false" outlineLevel="0" collapsed="false">
      <c r="A1233" s="0" t="s">
        <v>65</v>
      </c>
      <c r="B1233" s="0" t="s">
        <v>345</v>
      </c>
      <c r="C1233" s="0" t="s">
        <v>1014</v>
      </c>
      <c r="D1233" s="0" t="s">
        <v>990</v>
      </c>
      <c r="E1233" s="0" t="s">
        <v>1017</v>
      </c>
      <c r="F1233" s="0" t="n">
        <v>4</v>
      </c>
      <c r="G1233" s="0" t="n">
        <v>0</v>
      </c>
      <c r="H1233" s="0" t="s">
        <v>585</v>
      </c>
      <c r="K1233" s="0" t="s">
        <v>586</v>
      </c>
      <c r="L1233" s="0" t="s">
        <v>2853</v>
      </c>
    </row>
    <row r="1234" customFormat="false" ht="15" hidden="false" customHeight="false" outlineLevel="0" collapsed="false">
      <c r="A1234" s="0" t="s">
        <v>65</v>
      </c>
      <c r="B1234" s="0" t="s">
        <v>345</v>
      </c>
      <c r="C1234" s="0" t="s">
        <v>1014</v>
      </c>
      <c r="D1234" s="0" t="s">
        <v>993</v>
      </c>
      <c r="E1234" s="0" t="s">
        <v>1019</v>
      </c>
      <c r="F1234" s="0" t="n">
        <v>4</v>
      </c>
      <c r="G1234" s="0" t="n">
        <v>2</v>
      </c>
      <c r="H1234" s="0" t="s">
        <v>585</v>
      </c>
      <c r="I1234" s="0" t="s">
        <v>400</v>
      </c>
      <c r="K1234" s="0" t="s">
        <v>590</v>
      </c>
      <c r="L1234" s="0" t="s">
        <v>2854</v>
      </c>
    </row>
    <row r="1235" customFormat="false" ht="15" hidden="false" customHeight="false" outlineLevel="0" collapsed="false">
      <c r="A1235" s="0" t="s">
        <v>65</v>
      </c>
      <c r="B1235" s="0" t="s">
        <v>345</v>
      </c>
      <c r="C1235" s="0" t="s">
        <v>1014</v>
      </c>
      <c r="D1235" s="0" t="s">
        <v>126</v>
      </c>
      <c r="E1235" s="0" t="s">
        <v>1021</v>
      </c>
      <c r="F1235" s="0" t="n">
        <v>4</v>
      </c>
      <c r="G1235" s="0" t="n">
        <v>2</v>
      </c>
      <c r="H1235" s="0" t="s">
        <v>585</v>
      </c>
      <c r="I1235" s="0" t="s">
        <v>400</v>
      </c>
      <c r="K1235" s="0" t="s">
        <v>594</v>
      </c>
      <c r="L1235" s="0" t="s">
        <v>2855</v>
      </c>
    </row>
    <row r="1236" customFormat="false" ht="15" hidden="false" customHeight="false" outlineLevel="0" collapsed="false">
      <c r="A1236" s="0" t="s">
        <v>65</v>
      </c>
      <c r="B1236" s="0" t="s">
        <v>345</v>
      </c>
      <c r="C1236" s="0" t="s">
        <v>1014</v>
      </c>
      <c r="D1236" s="0" t="s">
        <v>129</v>
      </c>
      <c r="E1236" s="0" t="s">
        <v>1023</v>
      </c>
      <c r="F1236" s="0" t="n">
        <v>4</v>
      </c>
      <c r="G1236" s="0" t="n">
        <v>0</v>
      </c>
      <c r="H1236" s="0" t="s">
        <v>585</v>
      </c>
      <c r="K1236" s="0" t="s">
        <v>597</v>
      </c>
      <c r="L1236" s="0" t="s">
        <v>2856</v>
      </c>
    </row>
    <row r="1237" customFormat="false" ht="15" hidden="false" customHeight="false" outlineLevel="0" collapsed="false">
      <c r="A1237" s="0" t="s">
        <v>65</v>
      </c>
      <c r="B1237" s="0" t="s">
        <v>345</v>
      </c>
      <c r="C1237" s="0" t="s">
        <v>1014</v>
      </c>
      <c r="D1237" s="0" t="s">
        <v>132</v>
      </c>
      <c r="E1237" s="0" t="s">
        <v>1025</v>
      </c>
      <c r="F1237" s="0" t="n">
        <v>0</v>
      </c>
      <c r="G1237" s="0" t="n">
        <v>0</v>
      </c>
      <c r="H1237" s="0" t="s">
        <v>580</v>
      </c>
      <c r="K1237" s="0" t="s">
        <v>600</v>
      </c>
      <c r="L1237" s="0" t="s">
        <v>2857</v>
      </c>
    </row>
    <row r="1238" customFormat="false" ht="15" hidden="false" customHeight="false" outlineLevel="0" collapsed="false">
      <c r="A1238" s="0" t="s">
        <v>65</v>
      </c>
      <c r="B1238" s="0" t="s">
        <v>345</v>
      </c>
      <c r="C1238" s="0" t="s">
        <v>1014</v>
      </c>
      <c r="D1238" s="0" t="s">
        <v>139</v>
      </c>
      <c r="E1238" s="0" t="s">
        <v>1027</v>
      </c>
      <c r="F1238" s="0" t="n">
        <v>4</v>
      </c>
      <c r="G1238" s="0" t="n">
        <v>0</v>
      </c>
      <c r="H1238" s="0" t="s">
        <v>585</v>
      </c>
      <c r="K1238" s="0" t="s">
        <v>604</v>
      </c>
      <c r="L1238" s="0" t="s">
        <v>2858</v>
      </c>
    </row>
    <row r="1239" customFormat="false" ht="15" hidden="false" customHeight="false" outlineLevel="0" collapsed="false">
      <c r="A1239" s="0" t="s">
        <v>65</v>
      </c>
      <c r="B1239" s="0" t="s">
        <v>345</v>
      </c>
      <c r="C1239" s="0" t="s">
        <v>1014</v>
      </c>
      <c r="D1239" s="0" t="s">
        <v>143</v>
      </c>
      <c r="E1239" s="0" t="s">
        <v>1029</v>
      </c>
      <c r="F1239" s="0" t="n">
        <v>4</v>
      </c>
      <c r="G1239" s="0" t="n">
        <v>1</v>
      </c>
      <c r="H1239" s="0" t="s">
        <v>585</v>
      </c>
      <c r="I1239" s="0" t="s">
        <v>406</v>
      </c>
      <c r="K1239" s="0" t="s">
        <v>607</v>
      </c>
      <c r="L1239" s="0" t="s">
        <v>2859</v>
      </c>
    </row>
    <row r="1240" customFormat="false" ht="15" hidden="false" customHeight="false" outlineLevel="0" collapsed="false">
      <c r="A1240" s="0" t="s">
        <v>65</v>
      </c>
      <c r="B1240" s="0" t="s">
        <v>345</v>
      </c>
      <c r="C1240" s="0" t="s">
        <v>1014</v>
      </c>
      <c r="D1240" s="0" t="s">
        <v>146</v>
      </c>
      <c r="E1240" s="0" t="s">
        <v>1031</v>
      </c>
      <c r="F1240" s="0" t="n">
        <v>4</v>
      </c>
      <c r="G1240" s="0" t="n">
        <v>2</v>
      </c>
      <c r="H1240" s="0" t="s">
        <v>585</v>
      </c>
      <c r="I1240" s="0" t="s">
        <v>407</v>
      </c>
      <c r="K1240" s="0" t="s">
        <v>610</v>
      </c>
      <c r="L1240" s="0" t="s">
        <v>2860</v>
      </c>
    </row>
    <row r="1241" customFormat="false" ht="15" hidden="false" customHeight="false" outlineLevel="0" collapsed="false">
      <c r="A1241" s="0" t="s">
        <v>65</v>
      </c>
      <c r="B1241" s="0" t="s">
        <v>345</v>
      </c>
      <c r="C1241" s="0" t="s">
        <v>1014</v>
      </c>
      <c r="D1241" s="0" t="s">
        <v>149</v>
      </c>
      <c r="E1241" s="0" t="s">
        <v>1033</v>
      </c>
      <c r="F1241" s="0" t="n">
        <v>4</v>
      </c>
      <c r="G1241" s="0" t="n">
        <v>3</v>
      </c>
      <c r="H1241" s="0" t="s">
        <v>585</v>
      </c>
      <c r="I1241" s="0" t="s">
        <v>407</v>
      </c>
      <c r="K1241" s="0" t="s">
        <v>613</v>
      </c>
      <c r="L1241" s="0" t="s">
        <v>2861</v>
      </c>
    </row>
    <row r="1242" customFormat="false" ht="15" hidden="false" customHeight="false" outlineLevel="0" collapsed="false">
      <c r="A1242" s="0" t="s">
        <v>65</v>
      </c>
      <c r="B1242" s="0" t="s">
        <v>345</v>
      </c>
      <c r="C1242" s="0" t="s">
        <v>1014</v>
      </c>
      <c r="D1242" s="0" t="s">
        <v>152</v>
      </c>
      <c r="E1242" s="0" t="s">
        <v>1035</v>
      </c>
      <c r="F1242" s="0" t="n">
        <v>4</v>
      </c>
      <c r="G1242" s="0" t="n">
        <v>4</v>
      </c>
      <c r="H1242" s="0" t="s">
        <v>580</v>
      </c>
      <c r="I1242" s="0" t="s">
        <v>406</v>
      </c>
      <c r="K1242" s="0" t="s">
        <v>616</v>
      </c>
      <c r="L1242" s="0" t="s">
        <v>2862</v>
      </c>
    </row>
    <row r="1243" customFormat="false" ht="15" hidden="false" customHeight="false" outlineLevel="0" collapsed="false">
      <c r="A1243" s="0" t="s">
        <v>65</v>
      </c>
      <c r="B1243" s="0" t="s">
        <v>345</v>
      </c>
      <c r="C1243" s="0" t="s">
        <v>1014</v>
      </c>
      <c r="D1243" s="0" t="s">
        <v>155</v>
      </c>
      <c r="E1243" s="0" t="s">
        <v>1037</v>
      </c>
      <c r="F1243" s="0" t="n">
        <v>4</v>
      </c>
      <c r="G1243" s="0" t="n">
        <v>1</v>
      </c>
      <c r="H1243" s="0" t="s">
        <v>585</v>
      </c>
      <c r="I1243" s="0" t="s">
        <v>406</v>
      </c>
      <c r="K1243" s="0" t="s">
        <v>620</v>
      </c>
      <c r="L1243" s="0" t="s">
        <v>2863</v>
      </c>
    </row>
    <row r="1244" customFormat="false" ht="15" hidden="false" customHeight="false" outlineLevel="0" collapsed="false">
      <c r="A1244" s="0" t="s">
        <v>65</v>
      </c>
      <c r="B1244" s="0" t="s">
        <v>345</v>
      </c>
      <c r="C1244" s="0" t="s">
        <v>1039</v>
      </c>
      <c r="D1244" s="0" t="s">
        <v>987</v>
      </c>
      <c r="E1244" s="0" t="s">
        <v>1040</v>
      </c>
      <c r="F1244" s="0" t="n">
        <v>0</v>
      </c>
      <c r="G1244" s="0" t="n">
        <v>0</v>
      </c>
      <c r="H1244" s="0" t="s">
        <v>580</v>
      </c>
      <c r="K1244" s="0" t="s">
        <v>581</v>
      </c>
      <c r="L1244" s="0" t="s">
        <v>2864</v>
      </c>
    </row>
    <row r="1245" customFormat="false" ht="15" hidden="false" customHeight="false" outlineLevel="0" collapsed="false">
      <c r="A1245" s="0" t="s">
        <v>65</v>
      </c>
      <c r="B1245" s="0" t="s">
        <v>345</v>
      </c>
      <c r="C1245" s="0" t="s">
        <v>1039</v>
      </c>
      <c r="D1245" s="0" t="s">
        <v>990</v>
      </c>
      <c r="E1245" s="0" t="s">
        <v>1042</v>
      </c>
      <c r="F1245" s="0" t="n">
        <v>4</v>
      </c>
      <c r="G1245" s="0" t="n">
        <v>0</v>
      </c>
      <c r="H1245" s="0" t="s">
        <v>585</v>
      </c>
      <c r="K1245" s="0" t="s">
        <v>586</v>
      </c>
      <c r="L1245" s="0" t="s">
        <v>2865</v>
      </c>
    </row>
    <row r="1246" customFormat="false" ht="15" hidden="false" customHeight="false" outlineLevel="0" collapsed="false">
      <c r="A1246" s="0" t="s">
        <v>65</v>
      </c>
      <c r="B1246" s="0" t="s">
        <v>345</v>
      </c>
      <c r="C1246" s="0" t="s">
        <v>1039</v>
      </c>
      <c r="D1246" s="0" t="s">
        <v>993</v>
      </c>
      <c r="E1246" s="0" t="s">
        <v>1044</v>
      </c>
      <c r="F1246" s="0" t="n">
        <v>4</v>
      </c>
      <c r="G1246" s="0" t="n">
        <v>0</v>
      </c>
      <c r="H1246" s="0" t="s">
        <v>585</v>
      </c>
      <c r="K1246" s="0" t="s">
        <v>590</v>
      </c>
      <c r="L1246" s="0" t="s">
        <v>2866</v>
      </c>
    </row>
    <row r="1247" customFormat="false" ht="15" hidden="false" customHeight="false" outlineLevel="0" collapsed="false">
      <c r="A1247" s="0" t="s">
        <v>65</v>
      </c>
      <c r="B1247" s="0" t="s">
        <v>345</v>
      </c>
      <c r="C1247" s="0" t="s">
        <v>1039</v>
      </c>
      <c r="D1247" s="0" t="s">
        <v>126</v>
      </c>
      <c r="E1247" s="0" t="s">
        <v>1046</v>
      </c>
      <c r="F1247" s="0" t="n">
        <v>4</v>
      </c>
      <c r="G1247" s="0" t="n">
        <v>0</v>
      </c>
      <c r="H1247" s="0" t="s">
        <v>585</v>
      </c>
      <c r="K1247" s="0" t="s">
        <v>594</v>
      </c>
      <c r="L1247" s="0" t="s">
        <v>2867</v>
      </c>
    </row>
    <row r="1248" customFormat="false" ht="15" hidden="false" customHeight="false" outlineLevel="0" collapsed="false">
      <c r="A1248" s="0" t="s">
        <v>65</v>
      </c>
      <c r="B1248" s="0" t="s">
        <v>345</v>
      </c>
      <c r="C1248" s="0" t="s">
        <v>1039</v>
      </c>
      <c r="D1248" s="0" t="s">
        <v>129</v>
      </c>
      <c r="E1248" s="0" t="s">
        <v>1048</v>
      </c>
      <c r="F1248" s="0" t="n">
        <v>4</v>
      </c>
      <c r="G1248" s="0" t="n">
        <v>2</v>
      </c>
      <c r="H1248" s="0" t="s">
        <v>585</v>
      </c>
      <c r="I1248" s="0" t="s">
        <v>2868</v>
      </c>
      <c r="K1248" s="0" t="s">
        <v>597</v>
      </c>
      <c r="L1248" s="0" t="s">
        <v>2869</v>
      </c>
    </row>
    <row r="1249" customFormat="false" ht="15" hidden="false" customHeight="false" outlineLevel="0" collapsed="false">
      <c r="A1249" s="0" t="s">
        <v>65</v>
      </c>
      <c r="B1249" s="0" t="s">
        <v>345</v>
      </c>
      <c r="C1249" s="0" t="s">
        <v>1039</v>
      </c>
      <c r="D1249" s="0" t="s">
        <v>132</v>
      </c>
      <c r="E1249" s="0" t="s">
        <v>1050</v>
      </c>
      <c r="F1249" s="0" t="n">
        <v>0</v>
      </c>
      <c r="G1249" s="0" t="n">
        <v>0</v>
      </c>
      <c r="H1249" s="0" t="s">
        <v>580</v>
      </c>
      <c r="K1249" s="0" t="s">
        <v>600</v>
      </c>
      <c r="L1249" s="0" t="s">
        <v>2870</v>
      </c>
    </row>
    <row r="1250" customFormat="false" ht="15" hidden="false" customHeight="false" outlineLevel="0" collapsed="false">
      <c r="A1250" s="0" t="s">
        <v>65</v>
      </c>
      <c r="B1250" s="0" t="s">
        <v>345</v>
      </c>
      <c r="C1250" s="0" t="s">
        <v>1039</v>
      </c>
      <c r="D1250" s="0" t="s">
        <v>139</v>
      </c>
      <c r="E1250" s="0" t="s">
        <v>1052</v>
      </c>
      <c r="F1250" s="0" t="n">
        <v>4</v>
      </c>
      <c r="G1250" s="0" t="n">
        <v>0</v>
      </c>
      <c r="H1250" s="0" t="s">
        <v>585</v>
      </c>
      <c r="K1250" s="0" t="s">
        <v>604</v>
      </c>
      <c r="L1250" s="0" t="s">
        <v>2871</v>
      </c>
    </row>
    <row r="1251" customFormat="false" ht="15" hidden="false" customHeight="false" outlineLevel="0" collapsed="false">
      <c r="A1251" s="0" t="s">
        <v>65</v>
      </c>
      <c r="B1251" s="0" t="s">
        <v>345</v>
      </c>
      <c r="C1251" s="0" t="s">
        <v>1039</v>
      </c>
      <c r="D1251" s="0" t="s">
        <v>143</v>
      </c>
      <c r="E1251" s="0" t="s">
        <v>1054</v>
      </c>
      <c r="F1251" s="0" t="n">
        <v>4</v>
      </c>
      <c r="G1251" s="0" t="n">
        <v>4</v>
      </c>
      <c r="H1251" s="0" t="s">
        <v>580</v>
      </c>
      <c r="I1251" s="0" t="s">
        <v>399</v>
      </c>
      <c r="K1251" s="0" t="s">
        <v>607</v>
      </c>
      <c r="L1251" s="0" t="s">
        <v>2872</v>
      </c>
    </row>
    <row r="1252" customFormat="false" ht="15" hidden="false" customHeight="false" outlineLevel="0" collapsed="false">
      <c r="A1252" s="0" t="s">
        <v>65</v>
      </c>
      <c r="B1252" s="0" t="s">
        <v>345</v>
      </c>
      <c r="C1252" s="0" t="s">
        <v>1039</v>
      </c>
      <c r="D1252" s="0" t="s">
        <v>146</v>
      </c>
      <c r="E1252" s="0" t="s">
        <v>1056</v>
      </c>
      <c r="F1252" s="0" t="n">
        <v>0</v>
      </c>
      <c r="G1252" s="0" t="n">
        <v>3</v>
      </c>
      <c r="H1252" s="0" t="s">
        <v>580</v>
      </c>
      <c r="I1252" s="0" t="s">
        <v>406</v>
      </c>
      <c r="K1252" s="0" t="s">
        <v>610</v>
      </c>
      <c r="L1252" s="0" t="s">
        <v>2873</v>
      </c>
    </row>
    <row r="1253" customFormat="false" ht="15" hidden="false" customHeight="false" outlineLevel="0" collapsed="false">
      <c r="A1253" s="0" t="s">
        <v>65</v>
      </c>
      <c r="B1253" s="0" t="s">
        <v>345</v>
      </c>
      <c r="C1253" s="0" t="s">
        <v>1039</v>
      </c>
      <c r="D1253" s="0" t="s">
        <v>149</v>
      </c>
      <c r="E1253" s="0" t="s">
        <v>1058</v>
      </c>
      <c r="F1253" s="0" t="n">
        <v>4</v>
      </c>
      <c r="G1253" s="0" t="n">
        <v>4</v>
      </c>
      <c r="H1253" s="0" t="s">
        <v>580</v>
      </c>
      <c r="I1253" s="0" t="s">
        <v>399</v>
      </c>
      <c r="K1253" s="0" t="s">
        <v>613</v>
      </c>
      <c r="L1253" s="0" t="s">
        <v>2874</v>
      </c>
    </row>
    <row r="1254" customFormat="false" ht="15" hidden="false" customHeight="false" outlineLevel="0" collapsed="false">
      <c r="A1254" s="0" t="s">
        <v>65</v>
      </c>
      <c r="B1254" s="0" t="s">
        <v>345</v>
      </c>
      <c r="C1254" s="0" t="s">
        <v>1039</v>
      </c>
      <c r="D1254" s="0" t="s">
        <v>152</v>
      </c>
      <c r="E1254" s="0" t="s">
        <v>1060</v>
      </c>
      <c r="F1254" s="0" t="n">
        <v>4</v>
      </c>
      <c r="G1254" s="0" t="n">
        <v>3</v>
      </c>
      <c r="H1254" s="0" t="s">
        <v>585</v>
      </c>
      <c r="I1254" s="0" t="s">
        <v>399</v>
      </c>
      <c r="K1254" s="0" t="s">
        <v>616</v>
      </c>
      <c r="L1254" s="0" t="s">
        <v>2875</v>
      </c>
    </row>
    <row r="1255" customFormat="false" ht="15" hidden="false" customHeight="false" outlineLevel="0" collapsed="false">
      <c r="A1255" s="0" t="s">
        <v>65</v>
      </c>
      <c r="B1255" s="0" t="s">
        <v>345</v>
      </c>
      <c r="C1255" s="0" t="s">
        <v>1039</v>
      </c>
      <c r="D1255" s="0" t="s">
        <v>155</v>
      </c>
      <c r="E1255" s="0" t="s">
        <v>1062</v>
      </c>
      <c r="F1255" s="0" t="n">
        <v>4</v>
      </c>
      <c r="G1255" s="0" t="n">
        <v>3</v>
      </c>
      <c r="H1255" s="0" t="s">
        <v>585</v>
      </c>
      <c r="I1255" s="0" t="s">
        <v>406</v>
      </c>
      <c r="K1255" s="0" t="s">
        <v>620</v>
      </c>
      <c r="L1255" s="0" t="s">
        <v>2876</v>
      </c>
    </row>
    <row r="1256" customFormat="false" ht="15" hidden="false" customHeight="false" outlineLevel="0" collapsed="false">
      <c r="A1256" s="0" t="s">
        <v>65</v>
      </c>
      <c r="B1256" s="0" t="s">
        <v>345</v>
      </c>
      <c r="C1256" s="0" t="s">
        <v>1064</v>
      </c>
      <c r="D1256" s="0" t="s">
        <v>987</v>
      </c>
      <c r="E1256" s="0" t="s">
        <v>1065</v>
      </c>
      <c r="F1256" s="0" t="n">
        <v>0</v>
      </c>
      <c r="G1256" s="0" t="n">
        <v>0</v>
      </c>
      <c r="H1256" s="0" t="s">
        <v>580</v>
      </c>
      <c r="K1256" s="0" t="s">
        <v>581</v>
      </c>
      <c r="L1256" s="0" t="s">
        <v>2877</v>
      </c>
    </row>
    <row r="1257" customFormat="false" ht="15" hidden="false" customHeight="false" outlineLevel="0" collapsed="false">
      <c r="A1257" s="0" t="s">
        <v>65</v>
      </c>
      <c r="B1257" s="0" t="s">
        <v>345</v>
      </c>
      <c r="C1257" s="0" t="s">
        <v>1064</v>
      </c>
      <c r="D1257" s="0" t="s">
        <v>990</v>
      </c>
      <c r="E1257" s="0" t="s">
        <v>1067</v>
      </c>
      <c r="F1257" s="0" t="n">
        <v>4</v>
      </c>
      <c r="G1257" s="0" t="n">
        <v>0</v>
      </c>
      <c r="H1257" s="0" t="s">
        <v>585</v>
      </c>
      <c r="K1257" s="0" t="s">
        <v>586</v>
      </c>
      <c r="L1257" s="0" t="s">
        <v>2878</v>
      </c>
    </row>
    <row r="1258" customFormat="false" ht="15" hidden="false" customHeight="false" outlineLevel="0" collapsed="false">
      <c r="A1258" s="0" t="s">
        <v>65</v>
      </c>
      <c r="B1258" s="0" t="s">
        <v>345</v>
      </c>
      <c r="C1258" s="0" t="s">
        <v>1064</v>
      </c>
      <c r="D1258" s="0" t="s">
        <v>993</v>
      </c>
      <c r="E1258" s="0" t="s">
        <v>1069</v>
      </c>
      <c r="F1258" s="0" t="n">
        <v>4</v>
      </c>
      <c r="G1258" s="0" t="n">
        <v>3</v>
      </c>
      <c r="H1258" s="0" t="s">
        <v>585</v>
      </c>
      <c r="I1258" s="0" t="s">
        <v>403</v>
      </c>
      <c r="K1258" s="0" t="s">
        <v>590</v>
      </c>
      <c r="L1258" s="0" t="s">
        <v>2879</v>
      </c>
    </row>
    <row r="1259" customFormat="false" ht="15" hidden="false" customHeight="false" outlineLevel="0" collapsed="false">
      <c r="A1259" s="0" t="s">
        <v>65</v>
      </c>
      <c r="B1259" s="0" t="s">
        <v>345</v>
      </c>
      <c r="C1259" s="0" t="s">
        <v>1064</v>
      </c>
      <c r="D1259" s="0" t="s">
        <v>126</v>
      </c>
      <c r="E1259" s="0" t="s">
        <v>1071</v>
      </c>
      <c r="F1259" s="0" t="n">
        <v>4</v>
      </c>
      <c r="G1259" s="0" t="n">
        <v>2</v>
      </c>
      <c r="H1259" s="0" t="s">
        <v>585</v>
      </c>
      <c r="I1259" s="0" t="s">
        <v>399</v>
      </c>
      <c r="K1259" s="0" t="s">
        <v>594</v>
      </c>
      <c r="L1259" s="0" t="s">
        <v>2880</v>
      </c>
    </row>
    <row r="1260" customFormat="false" ht="15" hidden="false" customHeight="false" outlineLevel="0" collapsed="false">
      <c r="A1260" s="0" t="s">
        <v>65</v>
      </c>
      <c r="B1260" s="0" t="s">
        <v>345</v>
      </c>
      <c r="C1260" s="0" t="s">
        <v>1064</v>
      </c>
      <c r="D1260" s="0" t="s">
        <v>129</v>
      </c>
      <c r="E1260" s="0" t="s">
        <v>1073</v>
      </c>
      <c r="F1260" s="0" t="n">
        <v>4</v>
      </c>
      <c r="G1260" s="0" t="n">
        <v>2</v>
      </c>
      <c r="H1260" s="0" t="s">
        <v>585</v>
      </c>
      <c r="I1260" s="0" t="s">
        <v>399</v>
      </c>
      <c r="K1260" s="0" t="s">
        <v>597</v>
      </c>
      <c r="L1260" s="0" t="s">
        <v>2881</v>
      </c>
    </row>
    <row r="1261" customFormat="false" ht="15" hidden="false" customHeight="false" outlineLevel="0" collapsed="false">
      <c r="A1261" s="0" t="s">
        <v>65</v>
      </c>
      <c r="B1261" s="0" t="s">
        <v>345</v>
      </c>
      <c r="C1261" s="0" t="s">
        <v>1064</v>
      </c>
      <c r="D1261" s="0" t="s">
        <v>132</v>
      </c>
      <c r="E1261" s="0" t="s">
        <v>1075</v>
      </c>
      <c r="F1261" s="0" t="n">
        <v>0</v>
      </c>
      <c r="G1261" s="0" t="n">
        <v>0</v>
      </c>
      <c r="H1261" s="0" t="s">
        <v>580</v>
      </c>
      <c r="K1261" s="0" t="s">
        <v>600</v>
      </c>
      <c r="L1261" s="0" t="s">
        <v>2882</v>
      </c>
    </row>
    <row r="1262" customFormat="false" ht="15" hidden="false" customHeight="false" outlineLevel="0" collapsed="false">
      <c r="A1262" s="0" t="s">
        <v>65</v>
      </c>
      <c r="B1262" s="0" t="s">
        <v>345</v>
      </c>
      <c r="C1262" s="0" t="s">
        <v>1064</v>
      </c>
      <c r="D1262" s="0" t="s">
        <v>139</v>
      </c>
      <c r="E1262" s="0" t="s">
        <v>1077</v>
      </c>
      <c r="F1262" s="0" t="n">
        <v>4</v>
      </c>
      <c r="G1262" s="0" t="n">
        <v>0</v>
      </c>
      <c r="H1262" s="0" t="s">
        <v>585</v>
      </c>
      <c r="K1262" s="0" t="s">
        <v>604</v>
      </c>
      <c r="L1262" s="0" t="s">
        <v>2883</v>
      </c>
    </row>
    <row r="1263" customFormat="false" ht="15" hidden="false" customHeight="false" outlineLevel="0" collapsed="false">
      <c r="A1263" s="0" t="s">
        <v>65</v>
      </c>
      <c r="B1263" s="0" t="s">
        <v>345</v>
      </c>
      <c r="C1263" s="0" t="s">
        <v>1064</v>
      </c>
      <c r="D1263" s="0" t="s">
        <v>143</v>
      </c>
      <c r="E1263" s="0" t="s">
        <v>1079</v>
      </c>
      <c r="F1263" s="0" t="n">
        <v>4</v>
      </c>
      <c r="G1263" s="0" t="n">
        <v>2</v>
      </c>
      <c r="H1263" s="0" t="s">
        <v>585</v>
      </c>
      <c r="I1263" s="0" t="s">
        <v>403</v>
      </c>
      <c r="K1263" s="0" t="s">
        <v>607</v>
      </c>
      <c r="L1263" s="0" t="s">
        <v>2884</v>
      </c>
    </row>
    <row r="1264" customFormat="false" ht="15" hidden="false" customHeight="false" outlineLevel="0" collapsed="false">
      <c r="A1264" s="0" t="s">
        <v>65</v>
      </c>
      <c r="B1264" s="0" t="s">
        <v>345</v>
      </c>
      <c r="C1264" s="0" t="s">
        <v>1064</v>
      </c>
      <c r="D1264" s="0" t="s">
        <v>146</v>
      </c>
      <c r="E1264" s="0" t="s">
        <v>1081</v>
      </c>
      <c r="F1264" s="0" t="n">
        <v>0</v>
      </c>
      <c r="G1264" s="0" t="n">
        <v>2</v>
      </c>
      <c r="H1264" s="0" t="s">
        <v>580</v>
      </c>
      <c r="I1264" s="0" t="s">
        <v>404</v>
      </c>
      <c r="K1264" s="0" t="s">
        <v>610</v>
      </c>
      <c r="L1264" s="0" t="s">
        <v>2885</v>
      </c>
    </row>
    <row r="1265" customFormat="false" ht="15" hidden="false" customHeight="false" outlineLevel="0" collapsed="false">
      <c r="A1265" s="0" t="s">
        <v>65</v>
      </c>
      <c r="B1265" s="0" t="s">
        <v>345</v>
      </c>
      <c r="C1265" s="0" t="s">
        <v>1064</v>
      </c>
      <c r="D1265" s="0" t="s">
        <v>149</v>
      </c>
      <c r="E1265" s="0" t="s">
        <v>1083</v>
      </c>
      <c r="F1265" s="0" t="n">
        <v>4</v>
      </c>
      <c r="G1265" s="0" t="n">
        <v>3</v>
      </c>
      <c r="H1265" s="0" t="s">
        <v>585</v>
      </c>
      <c r="I1265" s="0" t="s">
        <v>403</v>
      </c>
      <c r="K1265" s="0" t="s">
        <v>613</v>
      </c>
      <c r="L1265" s="0" t="s">
        <v>2886</v>
      </c>
    </row>
    <row r="1266" customFormat="false" ht="15" hidden="false" customHeight="false" outlineLevel="0" collapsed="false">
      <c r="A1266" s="0" t="s">
        <v>65</v>
      </c>
      <c r="B1266" s="0" t="s">
        <v>345</v>
      </c>
      <c r="C1266" s="0" t="s">
        <v>1064</v>
      </c>
      <c r="D1266" s="0" t="s">
        <v>152</v>
      </c>
      <c r="E1266" s="0" t="s">
        <v>1085</v>
      </c>
      <c r="F1266" s="0" t="n">
        <v>4</v>
      </c>
      <c r="G1266" s="0" t="n">
        <v>4</v>
      </c>
      <c r="H1266" s="0" t="s">
        <v>580</v>
      </c>
      <c r="I1266" s="0" t="s">
        <v>403</v>
      </c>
      <c r="K1266" s="0" t="s">
        <v>616</v>
      </c>
      <c r="L1266" s="0" t="s">
        <v>2887</v>
      </c>
    </row>
    <row r="1267" customFormat="false" ht="15" hidden="false" customHeight="false" outlineLevel="0" collapsed="false">
      <c r="A1267" s="0" t="s">
        <v>65</v>
      </c>
      <c r="B1267" s="0" t="s">
        <v>345</v>
      </c>
      <c r="C1267" s="0" t="s">
        <v>1064</v>
      </c>
      <c r="D1267" s="0" t="s">
        <v>155</v>
      </c>
      <c r="E1267" s="0" t="s">
        <v>1087</v>
      </c>
      <c r="F1267" s="0" t="n">
        <v>4</v>
      </c>
      <c r="G1267" s="0" t="n">
        <v>4</v>
      </c>
      <c r="H1267" s="0" t="s">
        <v>580</v>
      </c>
      <c r="I1267" s="0" t="s">
        <v>403</v>
      </c>
      <c r="K1267" s="0" t="s">
        <v>620</v>
      </c>
      <c r="L1267" s="0" t="s">
        <v>2888</v>
      </c>
    </row>
    <row r="1268" customFormat="false" ht="15" hidden="false" customHeight="false" outlineLevel="0" collapsed="false">
      <c r="A1268" s="0" t="s">
        <v>65</v>
      </c>
      <c r="B1268" s="0" t="s">
        <v>345</v>
      </c>
      <c r="C1268" s="0" t="s">
        <v>1089</v>
      </c>
      <c r="D1268" s="0" t="s">
        <v>987</v>
      </c>
      <c r="E1268" s="0" t="s">
        <v>1090</v>
      </c>
      <c r="F1268" s="0" t="n">
        <v>0</v>
      </c>
      <c r="G1268" s="0" t="n">
        <v>0</v>
      </c>
      <c r="H1268" s="0" t="s">
        <v>580</v>
      </c>
      <c r="K1268" s="0" t="s">
        <v>581</v>
      </c>
      <c r="L1268" s="0" t="s">
        <v>2889</v>
      </c>
    </row>
    <row r="1269" customFormat="false" ht="15" hidden="false" customHeight="false" outlineLevel="0" collapsed="false">
      <c r="A1269" s="0" t="s">
        <v>65</v>
      </c>
      <c r="B1269" s="0" t="s">
        <v>345</v>
      </c>
      <c r="C1269" s="0" t="s">
        <v>1089</v>
      </c>
      <c r="D1269" s="0" t="s">
        <v>990</v>
      </c>
      <c r="E1269" s="0" t="s">
        <v>1092</v>
      </c>
      <c r="F1269" s="0" t="n">
        <v>4</v>
      </c>
      <c r="G1269" s="0" t="n">
        <v>2</v>
      </c>
      <c r="H1269" s="0" t="s">
        <v>585</v>
      </c>
      <c r="I1269" s="0" t="s">
        <v>405</v>
      </c>
      <c r="K1269" s="0" t="s">
        <v>586</v>
      </c>
      <c r="L1269" s="0" t="s">
        <v>2890</v>
      </c>
    </row>
    <row r="1270" customFormat="false" ht="15" hidden="false" customHeight="false" outlineLevel="0" collapsed="false">
      <c r="A1270" s="0" t="s">
        <v>65</v>
      </c>
      <c r="B1270" s="0" t="s">
        <v>345</v>
      </c>
      <c r="C1270" s="0" t="s">
        <v>1089</v>
      </c>
      <c r="D1270" s="0" t="s">
        <v>993</v>
      </c>
      <c r="E1270" s="0" t="s">
        <v>1094</v>
      </c>
      <c r="F1270" s="0" t="n">
        <v>4</v>
      </c>
      <c r="G1270" s="0" t="n">
        <v>4</v>
      </c>
      <c r="H1270" s="0" t="s">
        <v>580</v>
      </c>
      <c r="I1270" s="0" t="s">
        <v>399</v>
      </c>
      <c r="K1270" s="0" t="s">
        <v>590</v>
      </c>
      <c r="L1270" s="0" t="s">
        <v>2891</v>
      </c>
    </row>
    <row r="1271" customFormat="false" ht="15" hidden="false" customHeight="false" outlineLevel="0" collapsed="false">
      <c r="A1271" s="0" t="s">
        <v>65</v>
      </c>
      <c r="B1271" s="0" t="s">
        <v>345</v>
      </c>
      <c r="C1271" s="0" t="s">
        <v>1089</v>
      </c>
      <c r="D1271" s="0" t="s">
        <v>126</v>
      </c>
      <c r="E1271" s="0" t="s">
        <v>1096</v>
      </c>
      <c r="F1271" s="0" t="n">
        <v>4</v>
      </c>
      <c r="G1271" s="0" t="n">
        <v>3</v>
      </c>
      <c r="H1271" s="0" t="s">
        <v>585</v>
      </c>
      <c r="I1271" s="0" t="s">
        <v>400</v>
      </c>
      <c r="K1271" s="0" t="s">
        <v>594</v>
      </c>
      <c r="L1271" s="0" t="s">
        <v>2892</v>
      </c>
    </row>
    <row r="1272" customFormat="false" ht="15" hidden="false" customHeight="false" outlineLevel="0" collapsed="false">
      <c r="A1272" s="0" t="s">
        <v>65</v>
      </c>
      <c r="B1272" s="0" t="s">
        <v>345</v>
      </c>
      <c r="C1272" s="0" t="s">
        <v>1089</v>
      </c>
      <c r="D1272" s="0" t="s">
        <v>129</v>
      </c>
      <c r="E1272" s="0" t="s">
        <v>1098</v>
      </c>
      <c r="F1272" s="0" t="n">
        <v>4</v>
      </c>
      <c r="G1272" s="0" t="n">
        <v>0</v>
      </c>
      <c r="H1272" s="0" t="s">
        <v>585</v>
      </c>
      <c r="K1272" s="0" t="s">
        <v>597</v>
      </c>
      <c r="L1272" s="0" t="s">
        <v>2893</v>
      </c>
    </row>
    <row r="1273" customFormat="false" ht="15" hidden="false" customHeight="false" outlineLevel="0" collapsed="false">
      <c r="A1273" s="0" t="s">
        <v>65</v>
      </c>
      <c r="B1273" s="0" t="s">
        <v>345</v>
      </c>
      <c r="C1273" s="0" t="s">
        <v>1089</v>
      </c>
      <c r="D1273" s="0" t="s">
        <v>132</v>
      </c>
      <c r="E1273" s="0" t="s">
        <v>1100</v>
      </c>
      <c r="F1273" s="0" t="n">
        <v>0</v>
      </c>
      <c r="G1273" s="0" t="n">
        <v>0</v>
      </c>
      <c r="H1273" s="0" t="s">
        <v>580</v>
      </c>
      <c r="K1273" s="0" t="s">
        <v>600</v>
      </c>
      <c r="L1273" s="0" t="s">
        <v>2894</v>
      </c>
    </row>
    <row r="1274" customFormat="false" ht="15" hidden="false" customHeight="false" outlineLevel="0" collapsed="false">
      <c r="A1274" s="0" t="s">
        <v>65</v>
      </c>
      <c r="B1274" s="0" t="s">
        <v>345</v>
      </c>
      <c r="C1274" s="0" t="s">
        <v>1089</v>
      </c>
      <c r="D1274" s="0" t="s">
        <v>139</v>
      </c>
      <c r="E1274" s="0" t="s">
        <v>1102</v>
      </c>
      <c r="F1274" s="0" t="n">
        <v>0</v>
      </c>
      <c r="G1274" s="0" t="n">
        <v>0</v>
      </c>
      <c r="H1274" s="0" t="s">
        <v>580</v>
      </c>
      <c r="K1274" s="0" t="s">
        <v>604</v>
      </c>
      <c r="L1274" s="0" t="s">
        <v>2895</v>
      </c>
    </row>
    <row r="1275" customFormat="false" ht="15" hidden="false" customHeight="false" outlineLevel="0" collapsed="false">
      <c r="A1275" s="0" t="s">
        <v>65</v>
      </c>
      <c r="B1275" s="0" t="s">
        <v>345</v>
      </c>
      <c r="C1275" s="0" t="s">
        <v>1089</v>
      </c>
      <c r="D1275" s="0" t="s">
        <v>143</v>
      </c>
      <c r="E1275" s="0" t="s">
        <v>1104</v>
      </c>
      <c r="F1275" s="0" t="n">
        <v>4</v>
      </c>
      <c r="G1275" s="0" t="n">
        <v>3</v>
      </c>
      <c r="H1275" s="0" t="s">
        <v>585</v>
      </c>
      <c r="I1275" s="0" t="s">
        <v>402</v>
      </c>
      <c r="K1275" s="0" t="s">
        <v>607</v>
      </c>
      <c r="L1275" s="0" t="s">
        <v>2896</v>
      </c>
    </row>
    <row r="1276" customFormat="false" ht="15" hidden="false" customHeight="false" outlineLevel="0" collapsed="false">
      <c r="A1276" s="0" t="s">
        <v>65</v>
      </c>
      <c r="B1276" s="0" t="s">
        <v>345</v>
      </c>
      <c r="C1276" s="0" t="s">
        <v>1089</v>
      </c>
      <c r="D1276" s="0" t="s">
        <v>146</v>
      </c>
      <c r="E1276" s="0" t="s">
        <v>1106</v>
      </c>
      <c r="F1276" s="0" t="n">
        <v>4</v>
      </c>
      <c r="G1276" s="0" t="n">
        <v>3</v>
      </c>
      <c r="H1276" s="0" t="s">
        <v>585</v>
      </c>
      <c r="I1276" s="0" t="s">
        <v>403</v>
      </c>
      <c r="K1276" s="0" t="s">
        <v>610</v>
      </c>
      <c r="L1276" s="0" t="s">
        <v>2897</v>
      </c>
    </row>
    <row r="1277" customFormat="false" ht="15" hidden="false" customHeight="false" outlineLevel="0" collapsed="false">
      <c r="A1277" s="0" t="s">
        <v>65</v>
      </c>
      <c r="B1277" s="0" t="s">
        <v>345</v>
      </c>
      <c r="C1277" s="0" t="s">
        <v>1089</v>
      </c>
      <c r="D1277" s="0" t="s">
        <v>149</v>
      </c>
      <c r="E1277" s="0" t="s">
        <v>1108</v>
      </c>
      <c r="F1277" s="0" t="n">
        <v>4</v>
      </c>
      <c r="G1277" s="0" t="n">
        <v>3</v>
      </c>
      <c r="H1277" s="0" t="s">
        <v>585</v>
      </c>
      <c r="I1277" s="0" t="s">
        <v>399</v>
      </c>
      <c r="K1277" s="0" t="s">
        <v>613</v>
      </c>
      <c r="L1277" s="0" t="s">
        <v>2898</v>
      </c>
    </row>
    <row r="1278" customFormat="false" ht="15" hidden="false" customHeight="false" outlineLevel="0" collapsed="false">
      <c r="A1278" s="0" t="s">
        <v>65</v>
      </c>
      <c r="B1278" s="0" t="s">
        <v>345</v>
      </c>
      <c r="C1278" s="0" t="s">
        <v>1089</v>
      </c>
      <c r="D1278" s="0" t="s">
        <v>152</v>
      </c>
      <c r="E1278" s="0" t="s">
        <v>1110</v>
      </c>
      <c r="F1278" s="0" t="n">
        <v>4</v>
      </c>
      <c r="G1278" s="0" t="n">
        <v>4</v>
      </c>
      <c r="H1278" s="0" t="s">
        <v>580</v>
      </c>
      <c r="I1278" s="0" t="s">
        <v>402</v>
      </c>
      <c r="K1278" s="0" t="s">
        <v>616</v>
      </c>
      <c r="L1278" s="0" t="s">
        <v>2899</v>
      </c>
    </row>
    <row r="1279" customFormat="false" ht="15" hidden="false" customHeight="false" outlineLevel="0" collapsed="false">
      <c r="A1279" s="0" t="s">
        <v>65</v>
      </c>
      <c r="B1279" s="0" t="s">
        <v>345</v>
      </c>
      <c r="C1279" s="0" t="s">
        <v>1089</v>
      </c>
      <c r="D1279" s="0" t="s">
        <v>155</v>
      </c>
      <c r="E1279" s="0" t="s">
        <v>1112</v>
      </c>
      <c r="F1279" s="0" t="n">
        <v>4</v>
      </c>
      <c r="G1279" s="0" t="n">
        <v>3</v>
      </c>
      <c r="H1279" s="0" t="s">
        <v>585</v>
      </c>
      <c r="I1279" s="0" t="s">
        <v>400</v>
      </c>
      <c r="K1279" s="0" t="s">
        <v>620</v>
      </c>
      <c r="L1279" s="0" t="s">
        <v>2900</v>
      </c>
    </row>
    <row r="1280" customFormat="false" ht="15" hidden="false" customHeight="false" outlineLevel="0" collapsed="false">
      <c r="A1280" s="0" t="s">
        <v>65</v>
      </c>
      <c r="B1280" s="0" t="s">
        <v>345</v>
      </c>
      <c r="C1280" s="0" t="s">
        <v>1114</v>
      </c>
      <c r="D1280" s="0" t="s">
        <v>987</v>
      </c>
      <c r="E1280" s="0" t="s">
        <v>1115</v>
      </c>
      <c r="F1280" s="0" t="n">
        <v>0</v>
      </c>
      <c r="G1280" s="0" t="n">
        <v>0</v>
      </c>
      <c r="H1280" s="0" t="s">
        <v>580</v>
      </c>
      <c r="K1280" s="0" t="s">
        <v>581</v>
      </c>
      <c r="L1280" s="0" t="s">
        <v>2901</v>
      </c>
    </row>
    <row r="1281" customFormat="false" ht="15" hidden="false" customHeight="false" outlineLevel="0" collapsed="false">
      <c r="A1281" s="0" t="s">
        <v>65</v>
      </c>
      <c r="B1281" s="0" t="s">
        <v>345</v>
      </c>
      <c r="C1281" s="0" t="s">
        <v>1114</v>
      </c>
      <c r="D1281" s="0" t="s">
        <v>990</v>
      </c>
      <c r="E1281" s="0" t="s">
        <v>1117</v>
      </c>
      <c r="F1281" s="0" t="n">
        <v>4</v>
      </c>
      <c r="G1281" s="0" t="n">
        <v>3</v>
      </c>
      <c r="H1281" s="0" t="s">
        <v>585</v>
      </c>
      <c r="I1281" s="0" t="s">
        <v>405</v>
      </c>
      <c r="K1281" s="0" t="s">
        <v>586</v>
      </c>
      <c r="L1281" s="0" t="s">
        <v>2902</v>
      </c>
    </row>
    <row r="1282" customFormat="false" ht="15" hidden="false" customHeight="false" outlineLevel="0" collapsed="false">
      <c r="A1282" s="0" t="s">
        <v>65</v>
      </c>
      <c r="B1282" s="0" t="s">
        <v>345</v>
      </c>
      <c r="C1282" s="0" t="s">
        <v>1114</v>
      </c>
      <c r="D1282" s="0" t="s">
        <v>993</v>
      </c>
      <c r="E1282" s="0" t="s">
        <v>1119</v>
      </c>
      <c r="F1282" s="0" t="n">
        <v>4</v>
      </c>
      <c r="G1282" s="0" t="n">
        <v>4</v>
      </c>
      <c r="H1282" s="0" t="s">
        <v>580</v>
      </c>
      <c r="I1282" s="0" t="s">
        <v>399</v>
      </c>
      <c r="K1282" s="0" t="s">
        <v>590</v>
      </c>
      <c r="L1282" s="0" t="s">
        <v>2903</v>
      </c>
    </row>
    <row r="1283" customFormat="false" ht="15" hidden="false" customHeight="false" outlineLevel="0" collapsed="false">
      <c r="A1283" s="0" t="s">
        <v>65</v>
      </c>
      <c r="B1283" s="0" t="s">
        <v>345</v>
      </c>
      <c r="C1283" s="0" t="s">
        <v>1114</v>
      </c>
      <c r="D1283" s="0" t="s">
        <v>126</v>
      </c>
      <c r="E1283" s="0" t="s">
        <v>1121</v>
      </c>
      <c r="F1283" s="0" t="n">
        <v>4</v>
      </c>
      <c r="G1283" s="0" t="n">
        <v>4</v>
      </c>
      <c r="H1283" s="0" t="s">
        <v>580</v>
      </c>
      <c r="I1283" s="0" t="s">
        <v>404</v>
      </c>
      <c r="K1283" s="0" t="s">
        <v>594</v>
      </c>
      <c r="L1283" s="0" t="s">
        <v>2904</v>
      </c>
    </row>
    <row r="1284" customFormat="false" ht="15" hidden="false" customHeight="false" outlineLevel="0" collapsed="false">
      <c r="A1284" s="0" t="s">
        <v>65</v>
      </c>
      <c r="B1284" s="0" t="s">
        <v>345</v>
      </c>
      <c r="C1284" s="0" t="s">
        <v>1114</v>
      </c>
      <c r="D1284" s="0" t="s">
        <v>129</v>
      </c>
      <c r="E1284" s="0" t="s">
        <v>1123</v>
      </c>
      <c r="F1284" s="0" t="n">
        <v>4</v>
      </c>
      <c r="G1284" s="0" t="n">
        <v>4</v>
      </c>
      <c r="H1284" s="0" t="s">
        <v>580</v>
      </c>
      <c r="I1284" s="0" t="s">
        <v>399</v>
      </c>
      <c r="K1284" s="0" t="s">
        <v>597</v>
      </c>
      <c r="L1284" s="0" t="s">
        <v>2905</v>
      </c>
    </row>
    <row r="1285" customFormat="false" ht="15" hidden="false" customHeight="false" outlineLevel="0" collapsed="false">
      <c r="A1285" s="0" t="s">
        <v>65</v>
      </c>
      <c r="B1285" s="0" t="s">
        <v>345</v>
      </c>
      <c r="C1285" s="0" t="s">
        <v>1114</v>
      </c>
      <c r="D1285" s="0" t="s">
        <v>132</v>
      </c>
      <c r="E1285" s="0" t="s">
        <v>1125</v>
      </c>
      <c r="F1285" s="0" t="n">
        <v>4</v>
      </c>
      <c r="G1285" s="0" t="n">
        <v>4</v>
      </c>
      <c r="H1285" s="0" t="s">
        <v>580</v>
      </c>
      <c r="I1285" s="0" t="s">
        <v>403</v>
      </c>
      <c r="K1285" s="0" t="s">
        <v>600</v>
      </c>
      <c r="L1285" s="0" t="s">
        <v>2906</v>
      </c>
    </row>
    <row r="1286" customFormat="false" ht="15" hidden="false" customHeight="false" outlineLevel="0" collapsed="false">
      <c r="A1286" s="0" t="s">
        <v>65</v>
      </c>
      <c r="B1286" s="0" t="s">
        <v>345</v>
      </c>
      <c r="C1286" s="0" t="s">
        <v>1114</v>
      </c>
      <c r="D1286" s="0" t="s">
        <v>139</v>
      </c>
      <c r="E1286" s="0" t="s">
        <v>1127</v>
      </c>
      <c r="F1286" s="0" t="n">
        <v>4</v>
      </c>
      <c r="G1286" s="0" t="n">
        <v>0</v>
      </c>
      <c r="H1286" s="0" t="s">
        <v>585</v>
      </c>
      <c r="K1286" s="0" t="s">
        <v>604</v>
      </c>
      <c r="L1286" s="0" t="s">
        <v>2907</v>
      </c>
    </row>
    <row r="1287" customFormat="false" ht="15" hidden="false" customHeight="false" outlineLevel="0" collapsed="false">
      <c r="A1287" s="0" t="s">
        <v>65</v>
      </c>
      <c r="B1287" s="0" t="s">
        <v>345</v>
      </c>
      <c r="C1287" s="0" t="s">
        <v>1114</v>
      </c>
      <c r="D1287" s="0" t="s">
        <v>143</v>
      </c>
      <c r="E1287" s="0" t="s">
        <v>1129</v>
      </c>
      <c r="F1287" s="0" t="n">
        <v>4</v>
      </c>
      <c r="G1287" s="0" t="n">
        <v>0</v>
      </c>
      <c r="H1287" s="0" t="s">
        <v>585</v>
      </c>
      <c r="K1287" s="0" t="s">
        <v>607</v>
      </c>
      <c r="L1287" s="0" t="s">
        <v>2908</v>
      </c>
    </row>
    <row r="1288" customFormat="false" ht="15" hidden="false" customHeight="false" outlineLevel="0" collapsed="false">
      <c r="A1288" s="0" t="s">
        <v>65</v>
      </c>
      <c r="B1288" s="0" t="s">
        <v>345</v>
      </c>
      <c r="C1288" s="0" t="s">
        <v>1114</v>
      </c>
      <c r="D1288" s="0" t="s">
        <v>146</v>
      </c>
      <c r="E1288" s="0" t="s">
        <v>1131</v>
      </c>
      <c r="F1288" s="0" t="n">
        <v>4</v>
      </c>
      <c r="G1288" s="0" t="n">
        <v>3</v>
      </c>
      <c r="H1288" s="0" t="s">
        <v>585</v>
      </c>
      <c r="I1288" s="0" t="s">
        <v>400</v>
      </c>
      <c r="K1288" s="0" t="s">
        <v>610</v>
      </c>
      <c r="L1288" s="0" t="s">
        <v>2909</v>
      </c>
    </row>
    <row r="1289" customFormat="false" ht="15" hidden="false" customHeight="false" outlineLevel="0" collapsed="false">
      <c r="A1289" s="0" t="s">
        <v>65</v>
      </c>
      <c r="B1289" s="0" t="s">
        <v>345</v>
      </c>
      <c r="C1289" s="0" t="s">
        <v>1114</v>
      </c>
      <c r="D1289" s="0" t="s">
        <v>149</v>
      </c>
      <c r="E1289" s="0" t="s">
        <v>1133</v>
      </c>
      <c r="F1289" s="0" t="n">
        <v>4</v>
      </c>
      <c r="G1289" s="0" t="n">
        <v>4</v>
      </c>
      <c r="H1289" s="0" t="s">
        <v>580</v>
      </c>
      <c r="I1289" s="0" t="s">
        <v>402</v>
      </c>
      <c r="K1289" s="0" t="s">
        <v>613</v>
      </c>
      <c r="L1289" s="0" t="s">
        <v>2910</v>
      </c>
    </row>
    <row r="1290" customFormat="false" ht="15" hidden="false" customHeight="false" outlineLevel="0" collapsed="false">
      <c r="A1290" s="0" t="s">
        <v>65</v>
      </c>
      <c r="B1290" s="0" t="s">
        <v>345</v>
      </c>
      <c r="C1290" s="0" t="s">
        <v>1114</v>
      </c>
      <c r="D1290" s="0" t="s">
        <v>152</v>
      </c>
      <c r="E1290" s="0" t="s">
        <v>1135</v>
      </c>
      <c r="F1290" s="0" t="n">
        <v>4</v>
      </c>
      <c r="G1290" s="0" t="n">
        <v>4</v>
      </c>
      <c r="H1290" s="0" t="s">
        <v>580</v>
      </c>
      <c r="I1290" s="0" t="s">
        <v>402</v>
      </c>
      <c r="K1290" s="0" t="s">
        <v>616</v>
      </c>
      <c r="L1290" s="0" t="s">
        <v>2911</v>
      </c>
    </row>
    <row r="1291" customFormat="false" ht="15" hidden="false" customHeight="false" outlineLevel="0" collapsed="false">
      <c r="A1291" s="0" t="s">
        <v>65</v>
      </c>
      <c r="B1291" s="0" t="s">
        <v>345</v>
      </c>
      <c r="C1291" s="0" t="s">
        <v>1114</v>
      </c>
      <c r="D1291" s="0" t="s">
        <v>155</v>
      </c>
      <c r="E1291" s="0" t="s">
        <v>1137</v>
      </c>
      <c r="F1291" s="0" t="n">
        <v>4</v>
      </c>
      <c r="G1291" s="0" t="n">
        <v>0</v>
      </c>
      <c r="H1291" s="0" t="s">
        <v>585</v>
      </c>
      <c r="K1291" s="0" t="s">
        <v>620</v>
      </c>
      <c r="L1291" s="0" t="s">
        <v>2912</v>
      </c>
    </row>
    <row r="1292" customFormat="false" ht="15" hidden="false" customHeight="false" outlineLevel="0" collapsed="false">
      <c r="A1292" s="0" t="s">
        <v>65</v>
      </c>
      <c r="B1292" s="0" t="s">
        <v>345</v>
      </c>
      <c r="C1292" s="0" t="s">
        <v>1139</v>
      </c>
      <c r="D1292" s="0" t="s">
        <v>987</v>
      </c>
      <c r="E1292" s="0" t="s">
        <v>1140</v>
      </c>
      <c r="F1292" s="0" t="n">
        <v>0</v>
      </c>
      <c r="G1292" s="0" t="n">
        <v>0</v>
      </c>
      <c r="H1292" s="0" t="s">
        <v>580</v>
      </c>
      <c r="K1292" s="0" t="s">
        <v>581</v>
      </c>
      <c r="L1292" s="0" t="s">
        <v>2913</v>
      </c>
    </row>
    <row r="1293" customFormat="false" ht="15" hidden="false" customHeight="false" outlineLevel="0" collapsed="false">
      <c r="A1293" s="0" t="s">
        <v>65</v>
      </c>
      <c r="B1293" s="0" t="s">
        <v>345</v>
      </c>
      <c r="C1293" s="0" t="s">
        <v>1139</v>
      </c>
      <c r="D1293" s="0" t="s">
        <v>990</v>
      </c>
      <c r="E1293" s="0" t="s">
        <v>1142</v>
      </c>
      <c r="F1293" s="0" t="n">
        <v>4</v>
      </c>
      <c r="G1293" s="0" t="n">
        <v>4</v>
      </c>
      <c r="H1293" s="0" t="s">
        <v>580</v>
      </c>
      <c r="I1293" s="0" t="s">
        <v>404</v>
      </c>
      <c r="K1293" s="0" t="s">
        <v>586</v>
      </c>
      <c r="L1293" s="0" t="s">
        <v>2914</v>
      </c>
    </row>
    <row r="1294" customFormat="false" ht="15" hidden="false" customHeight="false" outlineLevel="0" collapsed="false">
      <c r="A1294" s="0" t="s">
        <v>65</v>
      </c>
      <c r="B1294" s="0" t="s">
        <v>345</v>
      </c>
      <c r="C1294" s="0" t="s">
        <v>1139</v>
      </c>
      <c r="D1294" s="0" t="s">
        <v>993</v>
      </c>
      <c r="E1294" s="0" t="s">
        <v>1144</v>
      </c>
      <c r="F1294" s="0" t="n">
        <v>4</v>
      </c>
      <c r="G1294" s="0" t="n">
        <v>4</v>
      </c>
      <c r="H1294" s="0" t="s">
        <v>580</v>
      </c>
      <c r="I1294" s="0" t="s">
        <v>399</v>
      </c>
      <c r="K1294" s="0" t="s">
        <v>590</v>
      </c>
      <c r="L1294" s="0" t="s">
        <v>2915</v>
      </c>
    </row>
    <row r="1295" customFormat="false" ht="15" hidden="false" customHeight="false" outlineLevel="0" collapsed="false">
      <c r="A1295" s="0" t="s">
        <v>65</v>
      </c>
      <c r="B1295" s="0" t="s">
        <v>345</v>
      </c>
      <c r="C1295" s="0" t="s">
        <v>1139</v>
      </c>
      <c r="D1295" s="0" t="s">
        <v>126</v>
      </c>
      <c r="E1295" s="0" t="s">
        <v>1146</v>
      </c>
      <c r="F1295" s="0" t="n">
        <v>4</v>
      </c>
      <c r="G1295" s="0" t="n">
        <v>4</v>
      </c>
      <c r="H1295" s="0" t="s">
        <v>580</v>
      </c>
      <c r="I1295" s="0" t="s">
        <v>403</v>
      </c>
      <c r="K1295" s="0" t="s">
        <v>594</v>
      </c>
      <c r="L1295" s="0" t="s">
        <v>2916</v>
      </c>
    </row>
    <row r="1296" customFormat="false" ht="15" hidden="false" customHeight="false" outlineLevel="0" collapsed="false">
      <c r="A1296" s="0" t="s">
        <v>65</v>
      </c>
      <c r="B1296" s="0" t="s">
        <v>345</v>
      </c>
      <c r="C1296" s="0" t="s">
        <v>1139</v>
      </c>
      <c r="D1296" s="0" t="s">
        <v>129</v>
      </c>
      <c r="E1296" s="0" t="s">
        <v>1148</v>
      </c>
      <c r="F1296" s="0" t="n">
        <v>4</v>
      </c>
      <c r="G1296" s="0" t="n">
        <v>4</v>
      </c>
      <c r="H1296" s="0" t="s">
        <v>580</v>
      </c>
      <c r="I1296" s="0" t="s">
        <v>403</v>
      </c>
      <c r="K1296" s="0" t="s">
        <v>597</v>
      </c>
      <c r="L1296" s="0" t="s">
        <v>2917</v>
      </c>
    </row>
    <row r="1297" customFormat="false" ht="15" hidden="false" customHeight="false" outlineLevel="0" collapsed="false">
      <c r="A1297" s="0" t="s">
        <v>65</v>
      </c>
      <c r="B1297" s="0" t="s">
        <v>345</v>
      </c>
      <c r="C1297" s="0" t="s">
        <v>1139</v>
      </c>
      <c r="D1297" s="0" t="s">
        <v>132</v>
      </c>
      <c r="E1297" s="0" t="s">
        <v>1150</v>
      </c>
      <c r="F1297" s="0" t="n">
        <v>4</v>
      </c>
      <c r="G1297" s="0" t="n">
        <v>3</v>
      </c>
      <c r="H1297" s="0" t="s">
        <v>585</v>
      </c>
      <c r="I1297" s="0" t="s">
        <v>404</v>
      </c>
      <c r="K1297" s="0" t="s">
        <v>600</v>
      </c>
      <c r="L1297" s="0" t="s">
        <v>2918</v>
      </c>
    </row>
    <row r="1298" customFormat="false" ht="15" hidden="false" customHeight="false" outlineLevel="0" collapsed="false">
      <c r="A1298" s="0" t="s">
        <v>65</v>
      </c>
      <c r="B1298" s="0" t="s">
        <v>345</v>
      </c>
      <c r="C1298" s="0" t="s">
        <v>1139</v>
      </c>
      <c r="D1298" s="0" t="s">
        <v>139</v>
      </c>
      <c r="E1298" s="0" t="s">
        <v>1152</v>
      </c>
      <c r="F1298" s="0" t="n">
        <v>4</v>
      </c>
      <c r="G1298" s="0" t="n">
        <v>3</v>
      </c>
      <c r="H1298" s="0" t="s">
        <v>585</v>
      </c>
      <c r="I1298" s="0" t="s">
        <v>405</v>
      </c>
      <c r="K1298" s="0" t="s">
        <v>604</v>
      </c>
      <c r="L1298" s="0" t="s">
        <v>2919</v>
      </c>
    </row>
    <row r="1299" customFormat="false" ht="15" hidden="false" customHeight="false" outlineLevel="0" collapsed="false">
      <c r="A1299" s="0" t="s">
        <v>65</v>
      </c>
      <c r="B1299" s="0" t="s">
        <v>345</v>
      </c>
      <c r="C1299" s="0" t="s">
        <v>1139</v>
      </c>
      <c r="D1299" s="0" t="s">
        <v>143</v>
      </c>
      <c r="E1299" s="0" t="s">
        <v>1154</v>
      </c>
      <c r="F1299" s="0" t="n">
        <v>4</v>
      </c>
      <c r="G1299" s="0" t="n">
        <v>3</v>
      </c>
      <c r="H1299" s="0" t="s">
        <v>585</v>
      </c>
      <c r="I1299" s="0" t="s">
        <v>399</v>
      </c>
      <c r="K1299" s="0" t="s">
        <v>607</v>
      </c>
      <c r="L1299" s="0" t="s">
        <v>2920</v>
      </c>
    </row>
    <row r="1300" customFormat="false" ht="15" hidden="false" customHeight="false" outlineLevel="0" collapsed="false">
      <c r="A1300" s="0" t="s">
        <v>65</v>
      </c>
      <c r="B1300" s="0" t="s">
        <v>345</v>
      </c>
      <c r="C1300" s="0" t="s">
        <v>1139</v>
      </c>
      <c r="D1300" s="0" t="s">
        <v>146</v>
      </c>
      <c r="E1300" s="0" t="s">
        <v>1156</v>
      </c>
      <c r="F1300" s="0" t="n">
        <v>4</v>
      </c>
      <c r="G1300" s="0" t="n">
        <v>2</v>
      </c>
      <c r="H1300" s="0" t="s">
        <v>585</v>
      </c>
      <c r="I1300" s="0" t="s">
        <v>405</v>
      </c>
      <c r="K1300" s="0" t="s">
        <v>610</v>
      </c>
      <c r="L1300" s="0" t="s">
        <v>2921</v>
      </c>
    </row>
    <row r="1301" customFormat="false" ht="15" hidden="false" customHeight="false" outlineLevel="0" collapsed="false">
      <c r="A1301" s="0" t="s">
        <v>65</v>
      </c>
      <c r="B1301" s="0" t="s">
        <v>345</v>
      </c>
      <c r="C1301" s="0" t="s">
        <v>1139</v>
      </c>
      <c r="D1301" s="0" t="s">
        <v>149</v>
      </c>
      <c r="E1301" s="0" t="s">
        <v>1158</v>
      </c>
      <c r="F1301" s="0" t="n">
        <v>4</v>
      </c>
      <c r="G1301" s="0" t="n">
        <v>2</v>
      </c>
      <c r="H1301" s="0" t="s">
        <v>585</v>
      </c>
      <c r="I1301" s="0" t="s">
        <v>406</v>
      </c>
      <c r="K1301" s="0" t="s">
        <v>613</v>
      </c>
      <c r="L1301" s="0" t="s">
        <v>2922</v>
      </c>
    </row>
    <row r="1302" customFormat="false" ht="15" hidden="false" customHeight="false" outlineLevel="0" collapsed="false">
      <c r="A1302" s="0" t="s">
        <v>65</v>
      </c>
      <c r="B1302" s="0" t="s">
        <v>345</v>
      </c>
      <c r="C1302" s="0" t="s">
        <v>1139</v>
      </c>
      <c r="D1302" s="0" t="s">
        <v>152</v>
      </c>
      <c r="E1302" s="0" t="s">
        <v>1160</v>
      </c>
      <c r="F1302" s="0" t="n">
        <v>4</v>
      </c>
      <c r="G1302" s="0" t="n">
        <v>3</v>
      </c>
      <c r="H1302" s="0" t="s">
        <v>585</v>
      </c>
      <c r="I1302" s="0" t="s">
        <v>403</v>
      </c>
      <c r="K1302" s="0" t="s">
        <v>616</v>
      </c>
      <c r="L1302" s="0" t="s">
        <v>2923</v>
      </c>
    </row>
    <row r="1303" customFormat="false" ht="15" hidden="false" customHeight="false" outlineLevel="0" collapsed="false">
      <c r="A1303" s="0" t="s">
        <v>65</v>
      </c>
      <c r="B1303" s="0" t="s">
        <v>345</v>
      </c>
      <c r="C1303" s="0" t="s">
        <v>1139</v>
      </c>
      <c r="D1303" s="0" t="s">
        <v>155</v>
      </c>
      <c r="E1303" s="0" t="s">
        <v>1162</v>
      </c>
      <c r="F1303" s="0" t="n">
        <v>4</v>
      </c>
      <c r="G1303" s="0" t="n">
        <v>3</v>
      </c>
      <c r="H1303" s="0" t="s">
        <v>585</v>
      </c>
      <c r="I1303" s="0" t="s">
        <v>403</v>
      </c>
      <c r="K1303" s="0" t="s">
        <v>620</v>
      </c>
      <c r="L1303" s="0" t="s">
        <v>2924</v>
      </c>
    </row>
    <row r="1304" customFormat="false" ht="15" hidden="false" customHeight="false" outlineLevel="0" collapsed="false">
      <c r="A1304" s="0" t="s">
        <v>65</v>
      </c>
      <c r="B1304" s="0" t="s">
        <v>266</v>
      </c>
      <c r="C1304" s="0" t="s">
        <v>1164</v>
      </c>
      <c r="D1304" s="0" t="s">
        <v>987</v>
      </c>
      <c r="E1304" s="0" t="s">
        <v>1165</v>
      </c>
      <c r="F1304" s="0" t="n">
        <v>0</v>
      </c>
      <c r="G1304" s="0" t="n">
        <v>0</v>
      </c>
      <c r="H1304" s="0" t="s">
        <v>580</v>
      </c>
      <c r="K1304" s="0" t="s">
        <v>581</v>
      </c>
      <c r="L1304" s="0" t="s">
        <v>2925</v>
      </c>
    </row>
    <row r="1305" customFormat="false" ht="15" hidden="false" customHeight="false" outlineLevel="0" collapsed="false">
      <c r="A1305" s="0" t="s">
        <v>65</v>
      </c>
      <c r="B1305" s="0" t="s">
        <v>266</v>
      </c>
      <c r="C1305" s="0" t="s">
        <v>1164</v>
      </c>
      <c r="D1305" s="0" t="s">
        <v>990</v>
      </c>
      <c r="E1305" s="0" t="s">
        <v>1167</v>
      </c>
      <c r="F1305" s="0" t="n">
        <v>4</v>
      </c>
      <c r="G1305" s="0" t="n">
        <v>0</v>
      </c>
      <c r="H1305" s="0" t="s">
        <v>585</v>
      </c>
      <c r="K1305" s="0" t="s">
        <v>586</v>
      </c>
      <c r="L1305" s="0" t="s">
        <v>2926</v>
      </c>
    </row>
    <row r="1306" customFormat="false" ht="15" hidden="false" customHeight="false" outlineLevel="0" collapsed="false">
      <c r="A1306" s="0" t="s">
        <v>65</v>
      </c>
      <c r="B1306" s="0" t="s">
        <v>266</v>
      </c>
      <c r="C1306" s="0" t="s">
        <v>1164</v>
      </c>
      <c r="D1306" s="0" t="s">
        <v>993</v>
      </c>
      <c r="E1306" s="0" t="s">
        <v>1169</v>
      </c>
      <c r="F1306" s="0" t="n">
        <v>4</v>
      </c>
      <c r="G1306" s="0" t="n">
        <v>1</v>
      </c>
      <c r="H1306" s="0" t="s">
        <v>585</v>
      </c>
      <c r="K1306" s="0" t="s">
        <v>590</v>
      </c>
      <c r="L1306" s="0" t="s">
        <v>2927</v>
      </c>
    </row>
    <row r="1307" customFormat="false" ht="15" hidden="false" customHeight="false" outlineLevel="0" collapsed="false">
      <c r="A1307" s="0" t="s">
        <v>65</v>
      </c>
      <c r="B1307" s="0" t="s">
        <v>266</v>
      </c>
      <c r="C1307" s="0" t="s">
        <v>1164</v>
      </c>
      <c r="D1307" s="0" t="s">
        <v>126</v>
      </c>
      <c r="E1307" s="0" t="s">
        <v>1171</v>
      </c>
      <c r="F1307" s="0" t="n">
        <v>4</v>
      </c>
      <c r="G1307" s="0" t="n">
        <v>0</v>
      </c>
      <c r="H1307" s="0" t="s">
        <v>585</v>
      </c>
      <c r="K1307" s="0" t="s">
        <v>594</v>
      </c>
      <c r="L1307" s="0" t="s">
        <v>2928</v>
      </c>
    </row>
    <row r="1308" customFormat="false" ht="15" hidden="false" customHeight="false" outlineLevel="0" collapsed="false">
      <c r="A1308" s="0" t="s">
        <v>65</v>
      </c>
      <c r="B1308" s="0" t="s">
        <v>266</v>
      </c>
      <c r="C1308" s="0" t="s">
        <v>1164</v>
      </c>
      <c r="D1308" s="0" t="s">
        <v>129</v>
      </c>
      <c r="E1308" s="0" t="s">
        <v>1173</v>
      </c>
      <c r="F1308" s="0" t="n">
        <v>4</v>
      </c>
      <c r="G1308" s="0" t="n">
        <v>0</v>
      </c>
      <c r="H1308" s="0" t="s">
        <v>585</v>
      </c>
      <c r="K1308" s="0" t="s">
        <v>597</v>
      </c>
      <c r="L1308" s="0" t="s">
        <v>2929</v>
      </c>
    </row>
    <row r="1309" customFormat="false" ht="15" hidden="false" customHeight="false" outlineLevel="0" collapsed="false">
      <c r="A1309" s="0" t="s">
        <v>65</v>
      </c>
      <c r="B1309" s="0" t="s">
        <v>266</v>
      </c>
      <c r="C1309" s="0" t="s">
        <v>1164</v>
      </c>
      <c r="D1309" s="0" t="s">
        <v>132</v>
      </c>
      <c r="E1309" s="0" t="s">
        <v>1175</v>
      </c>
      <c r="F1309" s="0" t="n">
        <v>0</v>
      </c>
      <c r="G1309" s="0" t="n">
        <v>0</v>
      </c>
      <c r="H1309" s="0" t="s">
        <v>580</v>
      </c>
      <c r="K1309" s="0" t="s">
        <v>600</v>
      </c>
      <c r="L1309" s="0" t="s">
        <v>2930</v>
      </c>
    </row>
    <row r="1310" customFormat="false" ht="15" hidden="false" customHeight="false" outlineLevel="0" collapsed="false">
      <c r="A1310" s="0" t="s">
        <v>65</v>
      </c>
      <c r="B1310" s="0" t="s">
        <v>266</v>
      </c>
      <c r="C1310" s="0" t="s">
        <v>1164</v>
      </c>
      <c r="D1310" s="0" t="s">
        <v>139</v>
      </c>
      <c r="E1310" s="0" t="s">
        <v>1177</v>
      </c>
      <c r="F1310" s="0" t="n">
        <v>4</v>
      </c>
      <c r="G1310" s="0" t="n">
        <v>4</v>
      </c>
      <c r="H1310" s="0" t="s">
        <v>580</v>
      </c>
      <c r="I1310" s="0" t="s">
        <v>402</v>
      </c>
      <c r="K1310" s="0" t="s">
        <v>604</v>
      </c>
      <c r="L1310" s="0" t="s">
        <v>2931</v>
      </c>
    </row>
    <row r="1311" customFormat="false" ht="15" hidden="false" customHeight="false" outlineLevel="0" collapsed="false">
      <c r="A1311" s="0" t="s">
        <v>65</v>
      </c>
      <c r="B1311" s="0" t="s">
        <v>266</v>
      </c>
      <c r="C1311" s="0" t="s">
        <v>1164</v>
      </c>
      <c r="D1311" s="0" t="s">
        <v>143</v>
      </c>
      <c r="E1311" s="0" t="s">
        <v>1179</v>
      </c>
      <c r="F1311" s="0" t="n">
        <v>4</v>
      </c>
      <c r="G1311" s="0" t="n">
        <v>4</v>
      </c>
      <c r="H1311" s="0" t="s">
        <v>580</v>
      </c>
      <c r="I1311" s="0" t="s">
        <v>400</v>
      </c>
      <c r="K1311" s="0" t="s">
        <v>607</v>
      </c>
      <c r="L1311" s="0" t="s">
        <v>2932</v>
      </c>
    </row>
    <row r="1312" customFormat="false" ht="15" hidden="false" customHeight="false" outlineLevel="0" collapsed="false">
      <c r="A1312" s="0" t="s">
        <v>65</v>
      </c>
      <c r="B1312" s="0" t="s">
        <v>266</v>
      </c>
      <c r="C1312" s="0" t="s">
        <v>1164</v>
      </c>
      <c r="D1312" s="0" t="s">
        <v>146</v>
      </c>
      <c r="E1312" s="0" t="s">
        <v>1181</v>
      </c>
      <c r="F1312" s="0" t="n">
        <v>4</v>
      </c>
      <c r="G1312" s="0" t="n">
        <v>3</v>
      </c>
      <c r="H1312" s="0" t="s">
        <v>585</v>
      </c>
      <c r="I1312" s="0" t="s">
        <v>402</v>
      </c>
      <c r="K1312" s="0" t="s">
        <v>610</v>
      </c>
      <c r="L1312" s="0" t="s">
        <v>2933</v>
      </c>
    </row>
    <row r="1313" customFormat="false" ht="15" hidden="false" customHeight="false" outlineLevel="0" collapsed="false">
      <c r="A1313" s="0" t="s">
        <v>65</v>
      </c>
      <c r="B1313" s="0" t="s">
        <v>266</v>
      </c>
      <c r="C1313" s="0" t="s">
        <v>1164</v>
      </c>
      <c r="D1313" s="0" t="s">
        <v>149</v>
      </c>
      <c r="E1313" s="0" t="s">
        <v>1183</v>
      </c>
      <c r="F1313" s="0" t="n">
        <v>4</v>
      </c>
      <c r="G1313" s="0" t="n">
        <v>4</v>
      </c>
      <c r="H1313" s="0" t="s">
        <v>580</v>
      </c>
      <c r="I1313" s="0" t="s">
        <v>406</v>
      </c>
      <c r="K1313" s="0" t="s">
        <v>613</v>
      </c>
      <c r="L1313" s="0" t="s">
        <v>2934</v>
      </c>
    </row>
    <row r="1314" customFormat="false" ht="15" hidden="false" customHeight="false" outlineLevel="0" collapsed="false">
      <c r="A1314" s="0" t="s">
        <v>65</v>
      </c>
      <c r="B1314" s="0" t="s">
        <v>266</v>
      </c>
      <c r="C1314" s="0" t="s">
        <v>1164</v>
      </c>
      <c r="D1314" s="0" t="s">
        <v>152</v>
      </c>
      <c r="E1314" s="0" t="s">
        <v>1185</v>
      </c>
      <c r="F1314" s="0" t="n">
        <v>4</v>
      </c>
      <c r="G1314" s="0" t="n">
        <v>4</v>
      </c>
      <c r="H1314" s="0" t="s">
        <v>580</v>
      </c>
      <c r="I1314" s="0" t="s">
        <v>400</v>
      </c>
      <c r="K1314" s="0" t="s">
        <v>616</v>
      </c>
      <c r="L1314" s="0" t="s">
        <v>2935</v>
      </c>
    </row>
    <row r="1315" customFormat="false" ht="15" hidden="false" customHeight="false" outlineLevel="0" collapsed="false">
      <c r="A1315" s="0" t="s">
        <v>65</v>
      </c>
      <c r="B1315" s="0" t="s">
        <v>266</v>
      </c>
      <c r="C1315" s="0" t="s">
        <v>1164</v>
      </c>
      <c r="D1315" s="0" t="s">
        <v>155</v>
      </c>
      <c r="E1315" s="0" t="s">
        <v>1187</v>
      </c>
      <c r="F1315" s="0" t="n">
        <v>4</v>
      </c>
      <c r="G1315" s="0" t="n">
        <v>4</v>
      </c>
      <c r="H1315" s="0" t="s">
        <v>580</v>
      </c>
      <c r="I1315" s="0" t="s">
        <v>400</v>
      </c>
      <c r="K1315" s="0" t="s">
        <v>620</v>
      </c>
      <c r="L1315" s="0" t="s">
        <v>2936</v>
      </c>
    </row>
    <row r="1316" customFormat="false" ht="15" hidden="false" customHeight="false" outlineLevel="0" collapsed="false">
      <c r="A1316" s="0" t="s">
        <v>65</v>
      </c>
      <c r="B1316" s="0" t="s">
        <v>266</v>
      </c>
      <c r="C1316" s="0" t="s">
        <v>1189</v>
      </c>
      <c r="D1316" s="0" t="s">
        <v>987</v>
      </c>
      <c r="E1316" s="0" t="s">
        <v>1190</v>
      </c>
      <c r="F1316" s="0" t="n">
        <v>0</v>
      </c>
      <c r="G1316" s="0" t="n">
        <v>0</v>
      </c>
      <c r="H1316" s="0" t="s">
        <v>580</v>
      </c>
      <c r="K1316" s="0" t="s">
        <v>581</v>
      </c>
      <c r="L1316" s="0" t="s">
        <v>2937</v>
      </c>
    </row>
    <row r="1317" customFormat="false" ht="15" hidden="false" customHeight="false" outlineLevel="0" collapsed="false">
      <c r="A1317" s="0" t="s">
        <v>65</v>
      </c>
      <c r="B1317" s="0" t="s">
        <v>266</v>
      </c>
      <c r="C1317" s="0" t="s">
        <v>1189</v>
      </c>
      <c r="D1317" s="0" t="s">
        <v>990</v>
      </c>
      <c r="E1317" s="0" t="s">
        <v>1192</v>
      </c>
      <c r="F1317" s="0" t="n">
        <v>4</v>
      </c>
      <c r="G1317" s="0" t="n">
        <v>0</v>
      </c>
      <c r="H1317" s="0" t="s">
        <v>585</v>
      </c>
      <c r="K1317" s="0" t="s">
        <v>586</v>
      </c>
      <c r="L1317" s="0" t="s">
        <v>2938</v>
      </c>
    </row>
    <row r="1318" customFormat="false" ht="15" hidden="false" customHeight="false" outlineLevel="0" collapsed="false">
      <c r="A1318" s="0" t="s">
        <v>65</v>
      </c>
      <c r="B1318" s="0" t="s">
        <v>266</v>
      </c>
      <c r="C1318" s="0" t="s">
        <v>1189</v>
      </c>
      <c r="D1318" s="0" t="s">
        <v>993</v>
      </c>
      <c r="E1318" s="0" t="s">
        <v>1194</v>
      </c>
      <c r="F1318" s="0" t="n">
        <v>4</v>
      </c>
      <c r="G1318" s="0" t="n">
        <v>0</v>
      </c>
      <c r="H1318" s="0" t="s">
        <v>585</v>
      </c>
      <c r="K1318" s="0" t="s">
        <v>590</v>
      </c>
      <c r="L1318" s="0" t="s">
        <v>2939</v>
      </c>
    </row>
    <row r="1319" customFormat="false" ht="15" hidden="false" customHeight="false" outlineLevel="0" collapsed="false">
      <c r="A1319" s="0" t="s">
        <v>65</v>
      </c>
      <c r="B1319" s="0" t="s">
        <v>266</v>
      </c>
      <c r="C1319" s="0" t="s">
        <v>1189</v>
      </c>
      <c r="D1319" s="0" t="s">
        <v>126</v>
      </c>
      <c r="E1319" s="0" t="s">
        <v>1196</v>
      </c>
      <c r="F1319" s="0" t="n">
        <v>4</v>
      </c>
      <c r="G1319" s="0" t="n">
        <v>3</v>
      </c>
      <c r="H1319" s="0" t="s">
        <v>585</v>
      </c>
      <c r="I1319" s="0" t="s">
        <v>406</v>
      </c>
      <c r="K1319" s="0" t="s">
        <v>594</v>
      </c>
      <c r="L1319" s="0" t="s">
        <v>2940</v>
      </c>
    </row>
    <row r="1320" customFormat="false" ht="15" hidden="false" customHeight="false" outlineLevel="0" collapsed="false">
      <c r="A1320" s="0" t="s">
        <v>65</v>
      </c>
      <c r="B1320" s="0" t="s">
        <v>266</v>
      </c>
      <c r="C1320" s="0" t="s">
        <v>1189</v>
      </c>
      <c r="D1320" s="0" t="s">
        <v>129</v>
      </c>
      <c r="E1320" s="0" t="s">
        <v>1198</v>
      </c>
      <c r="F1320" s="0" t="n">
        <v>4</v>
      </c>
      <c r="G1320" s="0" t="n">
        <v>0</v>
      </c>
      <c r="H1320" s="0" t="s">
        <v>585</v>
      </c>
      <c r="K1320" s="0" t="s">
        <v>597</v>
      </c>
      <c r="L1320" s="0" t="s">
        <v>2941</v>
      </c>
    </row>
    <row r="1321" customFormat="false" ht="15" hidden="false" customHeight="false" outlineLevel="0" collapsed="false">
      <c r="A1321" s="0" t="s">
        <v>65</v>
      </c>
      <c r="B1321" s="0" t="s">
        <v>266</v>
      </c>
      <c r="C1321" s="0" t="s">
        <v>1189</v>
      </c>
      <c r="D1321" s="0" t="s">
        <v>132</v>
      </c>
      <c r="E1321" s="0" t="s">
        <v>1200</v>
      </c>
      <c r="F1321" s="0" t="n">
        <v>0</v>
      </c>
      <c r="G1321" s="0" t="n">
        <v>0</v>
      </c>
      <c r="H1321" s="0" t="s">
        <v>580</v>
      </c>
      <c r="K1321" s="0" t="s">
        <v>600</v>
      </c>
      <c r="L1321" s="0" t="s">
        <v>2942</v>
      </c>
    </row>
    <row r="1322" customFormat="false" ht="15" hidden="false" customHeight="false" outlineLevel="0" collapsed="false">
      <c r="A1322" s="0" t="s">
        <v>65</v>
      </c>
      <c r="B1322" s="0" t="s">
        <v>266</v>
      </c>
      <c r="C1322" s="0" t="s">
        <v>1189</v>
      </c>
      <c r="D1322" s="0" t="s">
        <v>139</v>
      </c>
      <c r="E1322" s="0" t="s">
        <v>1202</v>
      </c>
      <c r="F1322" s="0" t="n">
        <v>4</v>
      </c>
      <c r="G1322" s="0" t="n">
        <v>2</v>
      </c>
      <c r="H1322" s="0" t="s">
        <v>585</v>
      </c>
      <c r="I1322" s="0" t="s">
        <v>400</v>
      </c>
      <c r="K1322" s="0" t="s">
        <v>604</v>
      </c>
      <c r="L1322" s="0" t="s">
        <v>2943</v>
      </c>
    </row>
    <row r="1323" customFormat="false" ht="15" hidden="false" customHeight="false" outlineLevel="0" collapsed="false">
      <c r="A1323" s="0" t="s">
        <v>65</v>
      </c>
      <c r="B1323" s="0" t="s">
        <v>266</v>
      </c>
      <c r="C1323" s="0" t="s">
        <v>1189</v>
      </c>
      <c r="D1323" s="0" t="s">
        <v>143</v>
      </c>
      <c r="E1323" s="0" t="s">
        <v>1204</v>
      </c>
      <c r="F1323" s="0" t="n">
        <v>4</v>
      </c>
      <c r="G1323" s="0" t="n">
        <v>3</v>
      </c>
      <c r="H1323" s="0" t="s">
        <v>585</v>
      </c>
      <c r="I1323" s="0" t="s">
        <v>404</v>
      </c>
      <c r="K1323" s="0" t="s">
        <v>607</v>
      </c>
      <c r="L1323" s="0" t="s">
        <v>2944</v>
      </c>
    </row>
    <row r="1324" customFormat="false" ht="15" hidden="false" customHeight="false" outlineLevel="0" collapsed="false">
      <c r="A1324" s="0" t="s">
        <v>65</v>
      </c>
      <c r="B1324" s="0" t="s">
        <v>266</v>
      </c>
      <c r="C1324" s="0" t="s">
        <v>1189</v>
      </c>
      <c r="D1324" s="0" t="s">
        <v>146</v>
      </c>
      <c r="E1324" s="0" t="s">
        <v>1206</v>
      </c>
      <c r="F1324" s="0" t="n">
        <v>4</v>
      </c>
      <c r="G1324" s="0" t="n">
        <v>4</v>
      </c>
      <c r="H1324" s="0" t="s">
        <v>580</v>
      </c>
      <c r="I1324" s="0" t="s">
        <v>406</v>
      </c>
      <c r="K1324" s="0" t="s">
        <v>610</v>
      </c>
      <c r="L1324" s="0" t="s">
        <v>2945</v>
      </c>
    </row>
    <row r="1325" customFormat="false" ht="15" hidden="false" customHeight="false" outlineLevel="0" collapsed="false">
      <c r="A1325" s="0" t="s">
        <v>65</v>
      </c>
      <c r="B1325" s="0" t="s">
        <v>266</v>
      </c>
      <c r="C1325" s="0" t="s">
        <v>1189</v>
      </c>
      <c r="D1325" s="0" t="s">
        <v>149</v>
      </c>
      <c r="E1325" s="0" t="s">
        <v>1208</v>
      </c>
      <c r="F1325" s="0" t="n">
        <v>4</v>
      </c>
      <c r="G1325" s="0" t="n">
        <v>3</v>
      </c>
      <c r="H1325" s="0" t="s">
        <v>585</v>
      </c>
      <c r="I1325" s="0" t="s">
        <v>400</v>
      </c>
      <c r="K1325" s="0" t="s">
        <v>613</v>
      </c>
      <c r="L1325" s="0" t="s">
        <v>2946</v>
      </c>
    </row>
    <row r="1326" customFormat="false" ht="15" hidden="false" customHeight="false" outlineLevel="0" collapsed="false">
      <c r="A1326" s="0" t="s">
        <v>65</v>
      </c>
      <c r="B1326" s="0" t="s">
        <v>266</v>
      </c>
      <c r="C1326" s="0" t="s">
        <v>1189</v>
      </c>
      <c r="D1326" s="0" t="s">
        <v>152</v>
      </c>
      <c r="E1326" s="0" t="s">
        <v>1210</v>
      </c>
      <c r="F1326" s="0" t="n">
        <v>4</v>
      </c>
      <c r="G1326" s="0" t="n">
        <v>4</v>
      </c>
      <c r="H1326" s="0" t="s">
        <v>580</v>
      </c>
      <c r="I1326" s="0" t="s">
        <v>407</v>
      </c>
      <c r="K1326" s="0" t="s">
        <v>616</v>
      </c>
      <c r="L1326" s="0" t="s">
        <v>2947</v>
      </c>
    </row>
    <row r="1327" customFormat="false" ht="15" hidden="false" customHeight="false" outlineLevel="0" collapsed="false">
      <c r="A1327" s="0" t="s">
        <v>65</v>
      </c>
      <c r="B1327" s="0" t="s">
        <v>266</v>
      </c>
      <c r="C1327" s="0" t="s">
        <v>1189</v>
      </c>
      <c r="D1327" s="0" t="s">
        <v>155</v>
      </c>
      <c r="E1327" s="0" t="s">
        <v>1212</v>
      </c>
      <c r="F1327" s="0" t="n">
        <v>4</v>
      </c>
      <c r="G1327" s="0" t="n">
        <v>4</v>
      </c>
      <c r="H1327" s="0" t="s">
        <v>580</v>
      </c>
      <c r="I1327" s="0" t="s">
        <v>400</v>
      </c>
      <c r="K1327" s="0" t="s">
        <v>620</v>
      </c>
      <c r="L1327" s="0" t="s">
        <v>2948</v>
      </c>
    </row>
    <row r="1328" customFormat="false" ht="15" hidden="false" customHeight="false" outlineLevel="0" collapsed="false">
      <c r="A1328" s="0" t="s">
        <v>65</v>
      </c>
      <c r="B1328" s="0" t="s">
        <v>266</v>
      </c>
      <c r="C1328" s="0" t="s">
        <v>1214</v>
      </c>
      <c r="D1328" s="0" t="s">
        <v>987</v>
      </c>
      <c r="E1328" s="0" t="s">
        <v>1215</v>
      </c>
      <c r="F1328" s="0" t="n">
        <v>0</v>
      </c>
      <c r="G1328" s="0" t="n">
        <v>0</v>
      </c>
      <c r="H1328" s="0" t="s">
        <v>580</v>
      </c>
      <c r="K1328" s="0" t="s">
        <v>581</v>
      </c>
      <c r="L1328" s="0" t="s">
        <v>2949</v>
      </c>
    </row>
    <row r="1329" customFormat="false" ht="15" hidden="false" customHeight="false" outlineLevel="0" collapsed="false">
      <c r="A1329" s="0" t="s">
        <v>65</v>
      </c>
      <c r="B1329" s="0" t="s">
        <v>266</v>
      </c>
      <c r="C1329" s="0" t="s">
        <v>1214</v>
      </c>
      <c r="D1329" s="0" t="s">
        <v>990</v>
      </c>
      <c r="E1329" s="0" t="s">
        <v>1217</v>
      </c>
      <c r="F1329" s="0" t="n">
        <v>4</v>
      </c>
      <c r="G1329" s="0" t="n">
        <v>0</v>
      </c>
      <c r="H1329" s="0" t="s">
        <v>585</v>
      </c>
      <c r="K1329" s="0" t="s">
        <v>586</v>
      </c>
      <c r="L1329" s="0" t="s">
        <v>2950</v>
      </c>
    </row>
    <row r="1330" customFormat="false" ht="15" hidden="false" customHeight="false" outlineLevel="0" collapsed="false">
      <c r="A1330" s="0" t="s">
        <v>65</v>
      </c>
      <c r="B1330" s="0" t="s">
        <v>266</v>
      </c>
      <c r="C1330" s="0" t="s">
        <v>1214</v>
      </c>
      <c r="D1330" s="0" t="s">
        <v>993</v>
      </c>
      <c r="E1330" s="0" t="s">
        <v>1219</v>
      </c>
      <c r="F1330" s="0" t="n">
        <v>4</v>
      </c>
      <c r="G1330" s="0" t="n">
        <v>0</v>
      </c>
      <c r="H1330" s="0" t="s">
        <v>585</v>
      </c>
      <c r="K1330" s="0" t="s">
        <v>590</v>
      </c>
      <c r="L1330" s="0" t="s">
        <v>2951</v>
      </c>
    </row>
    <row r="1331" customFormat="false" ht="15" hidden="false" customHeight="false" outlineLevel="0" collapsed="false">
      <c r="A1331" s="0" t="s">
        <v>65</v>
      </c>
      <c r="B1331" s="0" t="s">
        <v>266</v>
      </c>
      <c r="C1331" s="0" t="s">
        <v>1214</v>
      </c>
      <c r="D1331" s="0" t="s">
        <v>126</v>
      </c>
      <c r="E1331" s="0" t="s">
        <v>1221</v>
      </c>
      <c r="F1331" s="0" t="n">
        <v>4</v>
      </c>
      <c r="G1331" s="0" t="n">
        <v>0</v>
      </c>
      <c r="H1331" s="0" t="s">
        <v>585</v>
      </c>
      <c r="K1331" s="0" t="s">
        <v>594</v>
      </c>
      <c r="L1331" s="0" t="s">
        <v>2952</v>
      </c>
    </row>
    <row r="1332" customFormat="false" ht="15" hidden="false" customHeight="false" outlineLevel="0" collapsed="false">
      <c r="A1332" s="0" t="s">
        <v>65</v>
      </c>
      <c r="B1332" s="0" t="s">
        <v>266</v>
      </c>
      <c r="C1332" s="0" t="s">
        <v>1214</v>
      </c>
      <c r="D1332" s="0" t="s">
        <v>129</v>
      </c>
      <c r="E1332" s="0" t="s">
        <v>1223</v>
      </c>
      <c r="F1332" s="0" t="n">
        <v>4</v>
      </c>
      <c r="G1332" s="0" t="n">
        <v>3</v>
      </c>
      <c r="H1332" s="0" t="s">
        <v>585</v>
      </c>
      <c r="I1332" s="0" t="s">
        <v>399</v>
      </c>
      <c r="K1332" s="0" t="s">
        <v>597</v>
      </c>
      <c r="L1332" s="0" t="s">
        <v>2953</v>
      </c>
    </row>
    <row r="1333" customFormat="false" ht="15" hidden="false" customHeight="false" outlineLevel="0" collapsed="false">
      <c r="A1333" s="0" t="s">
        <v>65</v>
      </c>
      <c r="B1333" s="0" t="s">
        <v>266</v>
      </c>
      <c r="C1333" s="0" t="s">
        <v>1214</v>
      </c>
      <c r="D1333" s="0" t="s">
        <v>132</v>
      </c>
      <c r="E1333" s="0" t="s">
        <v>1225</v>
      </c>
      <c r="F1333" s="0" t="n">
        <v>0</v>
      </c>
      <c r="G1333" s="0" t="n">
        <v>0</v>
      </c>
      <c r="H1333" s="0" t="s">
        <v>580</v>
      </c>
      <c r="K1333" s="0" t="s">
        <v>600</v>
      </c>
      <c r="L1333" s="0" t="s">
        <v>2954</v>
      </c>
    </row>
    <row r="1334" customFormat="false" ht="15" hidden="false" customHeight="false" outlineLevel="0" collapsed="false">
      <c r="A1334" s="0" t="s">
        <v>65</v>
      </c>
      <c r="B1334" s="0" t="s">
        <v>266</v>
      </c>
      <c r="C1334" s="0" t="s">
        <v>1214</v>
      </c>
      <c r="D1334" s="0" t="s">
        <v>139</v>
      </c>
      <c r="E1334" s="0" t="s">
        <v>1227</v>
      </c>
      <c r="F1334" s="0" t="n">
        <v>4</v>
      </c>
      <c r="G1334" s="0" t="n">
        <v>4</v>
      </c>
      <c r="H1334" s="0" t="s">
        <v>580</v>
      </c>
      <c r="I1334" s="0" t="s">
        <v>403</v>
      </c>
      <c r="K1334" s="0" t="s">
        <v>604</v>
      </c>
      <c r="L1334" s="0" t="s">
        <v>2955</v>
      </c>
    </row>
    <row r="1335" customFormat="false" ht="15" hidden="false" customHeight="false" outlineLevel="0" collapsed="false">
      <c r="A1335" s="0" t="s">
        <v>65</v>
      </c>
      <c r="B1335" s="0" t="s">
        <v>266</v>
      </c>
      <c r="C1335" s="0" t="s">
        <v>1214</v>
      </c>
      <c r="D1335" s="0" t="s">
        <v>143</v>
      </c>
      <c r="E1335" s="0" t="s">
        <v>1229</v>
      </c>
      <c r="F1335" s="0" t="n">
        <v>4</v>
      </c>
      <c r="G1335" s="0" t="n">
        <v>4</v>
      </c>
      <c r="H1335" s="0" t="s">
        <v>580</v>
      </c>
      <c r="I1335" s="0" t="s">
        <v>403</v>
      </c>
      <c r="K1335" s="0" t="s">
        <v>607</v>
      </c>
      <c r="L1335" s="0" t="s">
        <v>2956</v>
      </c>
    </row>
    <row r="1336" customFormat="false" ht="15" hidden="false" customHeight="false" outlineLevel="0" collapsed="false">
      <c r="A1336" s="0" t="s">
        <v>65</v>
      </c>
      <c r="B1336" s="0" t="s">
        <v>266</v>
      </c>
      <c r="C1336" s="0" t="s">
        <v>1214</v>
      </c>
      <c r="D1336" s="0" t="s">
        <v>146</v>
      </c>
      <c r="E1336" s="0" t="s">
        <v>1231</v>
      </c>
      <c r="F1336" s="0" t="n">
        <v>4</v>
      </c>
      <c r="G1336" s="0" t="n">
        <v>4</v>
      </c>
      <c r="H1336" s="0" t="s">
        <v>580</v>
      </c>
      <c r="I1336" s="0" t="s">
        <v>399</v>
      </c>
      <c r="K1336" s="0" t="s">
        <v>610</v>
      </c>
      <c r="L1336" s="0" t="s">
        <v>2957</v>
      </c>
    </row>
    <row r="1337" customFormat="false" ht="15" hidden="false" customHeight="false" outlineLevel="0" collapsed="false">
      <c r="A1337" s="0" t="s">
        <v>65</v>
      </c>
      <c r="B1337" s="0" t="s">
        <v>266</v>
      </c>
      <c r="C1337" s="0" t="s">
        <v>1214</v>
      </c>
      <c r="D1337" s="0" t="s">
        <v>149</v>
      </c>
      <c r="E1337" s="0" t="s">
        <v>1233</v>
      </c>
      <c r="F1337" s="0" t="n">
        <v>4</v>
      </c>
      <c r="G1337" s="0" t="n">
        <v>4</v>
      </c>
      <c r="H1337" s="0" t="s">
        <v>580</v>
      </c>
      <c r="I1337" s="0" t="s">
        <v>403</v>
      </c>
      <c r="K1337" s="0" t="s">
        <v>613</v>
      </c>
      <c r="L1337" s="0" t="s">
        <v>2958</v>
      </c>
    </row>
    <row r="1338" customFormat="false" ht="15" hidden="false" customHeight="false" outlineLevel="0" collapsed="false">
      <c r="A1338" s="0" t="s">
        <v>65</v>
      </c>
      <c r="B1338" s="0" t="s">
        <v>266</v>
      </c>
      <c r="C1338" s="0" t="s">
        <v>1214</v>
      </c>
      <c r="D1338" s="0" t="s">
        <v>152</v>
      </c>
      <c r="E1338" s="0" t="s">
        <v>1235</v>
      </c>
      <c r="F1338" s="0" t="n">
        <v>4</v>
      </c>
      <c r="G1338" s="0" t="n">
        <v>4</v>
      </c>
      <c r="H1338" s="0" t="s">
        <v>580</v>
      </c>
      <c r="I1338" s="0" t="s">
        <v>403</v>
      </c>
      <c r="K1338" s="0" t="s">
        <v>616</v>
      </c>
      <c r="L1338" s="0" t="s">
        <v>2959</v>
      </c>
    </row>
    <row r="1339" customFormat="false" ht="15" hidden="false" customHeight="false" outlineLevel="0" collapsed="false">
      <c r="A1339" s="0" t="s">
        <v>65</v>
      </c>
      <c r="B1339" s="0" t="s">
        <v>266</v>
      </c>
      <c r="C1339" s="0" t="s">
        <v>1214</v>
      </c>
      <c r="D1339" s="0" t="s">
        <v>155</v>
      </c>
      <c r="E1339" s="0" t="s">
        <v>1237</v>
      </c>
      <c r="F1339" s="0" t="n">
        <v>4</v>
      </c>
      <c r="G1339" s="0" t="n">
        <v>4</v>
      </c>
      <c r="H1339" s="0" t="s">
        <v>580</v>
      </c>
      <c r="I1339" s="0" t="s">
        <v>405</v>
      </c>
      <c r="K1339" s="0" t="s">
        <v>620</v>
      </c>
      <c r="L1339" s="0" t="s">
        <v>2960</v>
      </c>
    </row>
    <row r="1340" customFormat="false" ht="15" hidden="false" customHeight="false" outlineLevel="0" collapsed="false">
      <c r="A1340" s="0" t="s">
        <v>65</v>
      </c>
      <c r="B1340" s="0" t="s">
        <v>266</v>
      </c>
      <c r="C1340" s="0" t="s">
        <v>1239</v>
      </c>
      <c r="D1340" s="0" t="s">
        <v>987</v>
      </c>
      <c r="E1340" s="0" t="s">
        <v>1240</v>
      </c>
      <c r="F1340" s="0" t="n">
        <v>0</v>
      </c>
      <c r="G1340" s="0" t="n">
        <v>0</v>
      </c>
      <c r="H1340" s="0" t="s">
        <v>580</v>
      </c>
      <c r="K1340" s="0" t="s">
        <v>581</v>
      </c>
      <c r="L1340" s="0" t="s">
        <v>2961</v>
      </c>
    </row>
    <row r="1341" customFormat="false" ht="15" hidden="false" customHeight="false" outlineLevel="0" collapsed="false">
      <c r="A1341" s="0" t="s">
        <v>65</v>
      </c>
      <c r="B1341" s="0" t="s">
        <v>266</v>
      </c>
      <c r="C1341" s="0" t="s">
        <v>1239</v>
      </c>
      <c r="D1341" s="0" t="s">
        <v>990</v>
      </c>
      <c r="E1341" s="0" t="s">
        <v>1242</v>
      </c>
      <c r="F1341" s="0" t="n">
        <v>4</v>
      </c>
      <c r="G1341" s="0" t="n">
        <v>0</v>
      </c>
      <c r="H1341" s="0" t="s">
        <v>585</v>
      </c>
      <c r="K1341" s="0" t="s">
        <v>586</v>
      </c>
      <c r="L1341" s="0" t="s">
        <v>2962</v>
      </c>
    </row>
    <row r="1342" customFormat="false" ht="15" hidden="false" customHeight="false" outlineLevel="0" collapsed="false">
      <c r="A1342" s="0" t="s">
        <v>65</v>
      </c>
      <c r="B1342" s="0" t="s">
        <v>266</v>
      </c>
      <c r="C1342" s="0" t="s">
        <v>1239</v>
      </c>
      <c r="D1342" s="0" t="s">
        <v>993</v>
      </c>
      <c r="E1342" s="0" t="s">
        <v>1244</v>
      </c>
      <c r="F1342" s="0" t="n">
        <v>4</v>
      </c>
      <c r="G1342" s="0" t="n">
        <v>0</v>
      </c>
      <c r="H1342" s="0" t="s">
        <v>585</v>
      </c>
      <c r="K1342" s="0" t="s">
        <v>590</v>
      </c>
      <c r="L1342" s="0" t="s">
        <v>2963</v>
      </c>
    </row>
    <row r="1343" customFormat="false" ht="15" hidden="false" customHeight="false" outlineLevel="0" collapsed="false">
      <c r="A1343" s="0" t="s">
        <v>65</v>
      </c>
      <c r="B1343" s="0" t="s">
        <v>266</v>
      </c>
      <c r="C1343" s="0" t="s">
        <v>1239</v>
      </c>
      <c r="D1343" s="0" t="s">
        <v>126</v>
      </c>
      <c r="E1343" s="0" t="s">
        <v>1246</v>
      </c>
      <c r="F1343" s="0" t="n">
        <v>4</v>
      </c>
      <c r="G1343" s="0" t="n">
        <v>0</v>
      </c>
      <c r="H1343" s="0" t="s">
        <v>585</v>
      </c>
      <c r="K1343" s="0" t="s">
        <v>594</v>
      </c>
      <c r="L1343" s="0" t="s">
        <v>2964</v>
      </c>
    </row>
    <row r="1344" customFormat="false" ht="15" hidden="false" customHeight="false" outlineLevel="0" collapsed="false">
      <c r="A1344" s="0" t="s">
        <v>65</v>
      </c>
      <c r="B1344" s="0" t="s">
        <v>266</v>
      </c>
      <c r="C1344" s="0" t="s">
        <v>1239</v>
      </c>
      <c r="D1344" s="0" t="s">
        <v>129</v>
      </c>
      <c r="E1344" s="0" t="s">
        <v>1248</v>
      </c>
      <c r="F1344" s="0" t="n">
        <v>4</v>
      </c>
      <c r="G1344" s="0" t="n">
        <v>0</v>
      </c>
      <c r="H1344" s="0" t="s">
        <v>585</v>
      </c>
      <c r="K1344" s="0" t="s">
        <v>597</v>
      </c>
      <c r="L1344" s="0" t="s">
        <v>2965</v>
      </c>
    </row>
    <row r="1345" customFormat="false" ht="15" hidden="false" customHeight="false" outlineLevel="0" collapsed="false">
      <c r="A1345" s="0" t="s">
        <v>65</v>
      </c>
      <c r="B1345" s="0" t="s">
        <v>266</v>
      </c>
      <c r="C1345" s="0" t="s">
        <v>1239</v>
      </c>
      <c r="D1345" s="0" t="s">
        <v>132</v>
      </c>
      <c r="E1345" s="0" t="s">
        <v>1250</v>
      </c>
      <c r="F1345" s="0" t="n">
        <v>0</v>
      </c>
      <c r="G1345" s="0" t="n">
        <v>0</v>
      </c>
      <c r="H1345" s="0" t="s">
        <v>580</v>
      </c>
      <c r="K1345" s="0" t="s">
        <v>600</v>
      </c>
      <c r="L1345" s="0" t="s">
        <v>2966</v>
      </c>
    </row>
    <row r="1346" customFormat="false" ht="15" hidden="false" customHeight="false" outlineLevel="0" collapsed="false">
      <c r="A1346" s="0" t="s">
        <v>65</v>
      </c>
      <c r="B1346" s="0" t="s">
        <v>266</v>
      </c>
      <c r="C1346" s="0" t="s">
        <v>1239</v>
      </c>
      <c r="D1346" s="0" t="s">
        <v>139</v>
      </c>
      <c r="E1346" s="0" t="s">
        <v>1252</v>
      </c>
      <c r="F1346" s="0" t="n">
        <v>4</v>
      </c>
      <c r="G1346" s="0" t="n">
        <v>0</v>
      </c>
      <c r="H1346" s="0" t="s">
        <v>585</v>
      </c>
      <c r="K1346" s="0" t="s">
        <v>604</v>
      </c>
      <c r="L1346" s="0" t="s">
        <v>2967</v>
      </c>
    </row>
    <row r="1347" customFormat="false" ht="15" hidden="false" customHeight="false" outlineLevel="0" collapsed="false">
      <c r="A1347" s="0" t="s">
        <v>65</v>
      </c>
      <c r="B1347" s="0" t="s">
        <v>266</v>
      </c>
      <c r="C1347" s="0" t="s">
        <v>1239</v>
      </c>
      <c r="D1347" s="0" t="s">
        <v>143</v>
      </c>
      <c r="E1347" s="0" t="s">
        <v>1254</v>
      </c>
      <c r="F1347" s="0" t="n">
        <v>4</v>
      </c>
      <c r="G1347" s="0" t="n">
        <v>4</v>
      </c>
      <c r="H1347" s="0" t="s">
        <v>580</v>
      </c>
      <c r="I1347" s="0" t="s">
        <v>402</v>
      </c>
      <c r="K1347" s="0" t="s">
        <v>607</v>
      </c>
      <c r="L1347" s="0" t="s">
        <v>2968</v>
      </c>
    </row>
    <row r="1348" customFormat="false" ht="15" hidden="false" customHeight="false" outlineLevel="0" collapsed="false">
      <c r="A1348" s="0" t="s">
        <v>65</v>
      </c>
      <c r="B1348" s="0" t="s">
        <v>266</v>
      </c>
      <c r="C1348" s="0" t="s">
        <v>1239</v>
      </c>
      <c r="D1348" s="0" t="s">
        <v>146</v>
      </c>
      <c r="E1348" s="0" t="s">
        <v>1256</v>
      </c>
      <c r="F1348" s="0" t="n">
        <v>4</v>
      </c>
      <c r="G1348" s="0" t="n">
        <v>4</v>
      </c>
      <c r="H1348" s="0" t="s">
        <v>580</v>
      </c>
      <c r="I1348" s="0" t="s">
        <v>399</v>
      </c>
      <c r="K1348" s="0" t="s">
        <v>610</v>
      </c>
      <c r="L1348" s="0" t="s">
        <v>2969</v>
      </c>
    </row>
    <row r="1349" customFormat="false" ht="15" hidden="false" customHeight="false" outlineLevel="0" collapsed="false">
      <c r="A1349" s="0" t="s">
        <v>65</v>
      </c>
      <c r="B1349" s="0" t="s">
        <v>266</v>
      </c>
      <c r="C1349" s="0" t="s">
        <v>1239</v>
      </c>
      <c r="D1349" s="0" t="s">
        <v>149</v>
      </c>
      <c r="E1349" s="0" t="s">
        <v>1258</v>
      </c>
      <c r="F1349" s="0" t="n">
        <v>4</v>
      </c>
      <c r="G1349" s="0" t="n">
        <v>4</v>
      </c>
      <c r="H1349" s="0" t="s">
        <v>580</v>
      </c>
      <c r="I1349" s="0" t="s">
        <v>402</v>
      </c>
      <c r="K1349" s="0" t="s">
        <v>613</v>
      </c>
      <c r="L1349" s="0" t="s">
        <v>2970</v>
      </c>
    </row>
    <row r="1350" customFormat="false" ht="15" hidden="false" customHeight="false" outlineLevel="0" collapsed="false">
      <c r="A1350" s="0" t="s">
        <v>65</v>
      </c>
      <c r="B1350" s="0" t="s">
        <v>266</v>
      </c>
      <c r="C1350" s="0" t="s">
        <v>1239</v>
      </c>
      <c r="D1350" s="0" t="s">
        <v>152</v>
      </c>
      <c r="E1350" s="0" t="s">
        <v>1260</v>
      </c>
      <c r="F1350" s="0" t="n">
        <v>4</v>
      </c>
      <c r="G1350" s="0" t="n">
        <v>4</v>
      </c>
      <c r="H1350" s="0" t="s">
        <v>580</v>
      </c>
      <c r="I1350" s="0" t="s">
        <v>402</v>
      </c>
      <c r="K1350" s="0" t="s">
        <v>616</v>
      </c>
      <c r="L1350" s="0" t="s">
        <v>2971</v>
      </c>
    </row>
    <row r="1351" customFormat="false" ht="15" hidden="false" customHeight="false" outlineLevel="0" collapsed="false">
      <c r="A1351" s="0" t="s">
        <v>65</v>
      </c>
      <c r="B1351" s="0" t="s">
        <v>266</v>
      </c>
      <c r="C1351" s="0" t="s">
        <v>1239</v>
      </c>
      <c r="D1351" s="0" t="s">
        <v>155</v>
      </c>
      <c r="E1351" s="0" t="s">
        <v>1262</v>
      </c>
      <c r="F1351" s="0" t="n">
        <v>4</v>
      </c>
      <c r="G1351" s="0" t="n">
        <v>3</v>
      </c>
      <c r="H1351" s="0" t="s">
        <v>585</v>
      </c>
      <c r="I1351" s="0" t="s">
        <v>402</v>
      </c>
      <c r="K1351" s="0" t="s">
        <v>620</v>
      </c>
      <c r="L1351" s="0" t="s">
        <v>2972</v>
      </c>
    </row>
    <row r="1352" customFormat="false" ht="15" hidden="false" customHeight="false" outlineLevel="0" collapsed="false">
      <c r="A1352" s="0" t="s">
        <v>65</v>
      </c>
      <c r="B1352" s="0" t="s">
        <v>266</v>
      </c>
      <c r="C1352" s="0" t="s">
        <v>1264</v>
      </c>
      <c r="D1352" s="0" t="s">
        <v>987</v>
      </c>
      <c r="E1352" s="0" t="s">
        <v>1265</v>
      </c>
      <c r="F1352" s="0" t="n">
        <v>0</v>
      </c>
      <c r="G1352" s="0" t="n">
        <v>0</v>
      </c>
      <c r="H1352" s="0" t="s">
        <v>580</v>
      </c>
      <c r="K1352" s="0" t="s">
        <v>581</v>
      </c>
      <c r="L1352" s="0" t="s">
        <v>2973</v>
      </c>
    </row>
    <row r="1353" customFormat="false" ht="15" hidden="false" customHeight="false" outlineLevel="0" collapsed="false">
      <c r="A1353" s="0" t="s">
        <v>65</v>
      </c>
      <c r="B1353" s="0" t="s">
        <v>266</v>
      </c>
      <c r="C1353" s="0" t="s">
        <v>1264</v>
      </c>
      <c r="D1353" s="0" t="s">
        <v>990</v>
      </c>
      <c r="E1353" s="0" t="s">
        <v>1267</v>
      </c>
      <c r="F1353" s="0" t="n">
        <v>4</v>
      </c>
      <c r="G1353" s="0" t="n">
        <v>0</v>
      </c>
      <c r="H1353" s="0" t="s">
        <v>585</v>
      </c>
      <c r="K1353" s="0" t="s">
        <v>586</v>
      </c>
      <c r="L1353" s="0" t="s">
        <v>2974</v>
      </c>
    </row>
    <row r="1354" customFormat="false" ht="15" hidden="false" customHeight="false" outlineLevel="0" collapsed="false">
      <c r="A1354" s="0" t="s">
        <v>65</v>
      </c>
      <c r="B1354" s="0" t="s">
        <v>266</v>
      </c>
      <c r="C1354" s="0" t="s">
        <v>1264</v>
      </c>
      <c r="D1354" s="0" t="s">
        <v>993</v>
      </c>
      <c r="E1354" s="0" t="s">
        <v>1269</v>
      </c>
      <c r="F1354" s="0" t="n">
        <v>4</v>
      </c>
      <c r="G1354" s="0" t="n">
        <v>2</v>
      </c>
      <c r="H1354" s="0" t="s">
        <v>585</v>
      </c>
      <c r="I1354" s="0" t="s">
        <v>405</v>
      </c>
      <c r="K1354" s="0" t="s">
        <v>590</v>
      </c>
      <c r="L1354" s="0" t="s">
        <v>2975</v>
      </c>
    </row>
    <row r="1355" customFormat="false" ht="15" hidden="false" customHeight="false" outlineLevel="0" collapsed="false">
      <c r="A1355" s="0" t="s">
        <v>65</v>
      </c>
      <c r="B1355" s="0" t="s">
        <v>266</v>
      </c>
      <c r="C1355" s="0" t="s">
        <v>1264</v>
      </c>
      <c r="D1355" s="0" t="s">
        <v>126</v>
      </c>
      <c r="E1355" s="0" t="s">
        <v>1271</v>
      </c>
      <c r="F1355" s="0" t="n">
        <v>4</v>
      </c>
      <c r="G1355" s="0" t="n">
        <v>0</v>
      </c>
      <c r="H1355" s="0" t="s">
        <v>585</v>
      </c>
      <c r="K1355" s="0" t="s">
        <v>594</v>
      </c>
      <c r="L1355" s="0" t="s">
        <v>2976</v>
      </c>
    </row>
    <row r="1356" customFormat="false" ht="15" hidden="false" customHeight="false" outlineLevel="0" collapsed="false">
      <c r="A1356" s="0" t="s">
        <v>65</v>
      </c>
      <c r="B1356" s="0" t="s">
        <v>266</v>
      </c>
      <c r="C1356" s="0" t="s">
        <v>1264</v>
      </c>
      <c r="D1356" s="0" t="s">
        <v>129</v>
      </c>
      <c r="E1356" s="0" t="s">
        <v>1273</v>
      </c>
      <c r="F1356" s="0" t="n">
        <v>4</v>
      </c>
      <c r="G1356" s="0" t="n">
        <v>3</v>
      </c>
      <c r="H1356" s="0" t="s">
        <v>585</v>
      </c>
      <c r="I1356" s="0" t="s">
        <v>399</v>
      </c>
      <c r="K1356" s="0" t="s">
        <v>597</v>
      </c>
      <c r="L1356" s="0" t="s">
        <v>2977</v>
      </c>
    </row>
    <row r="1357" customFormat="false" ht="15" hidden="false" customHeight="false" outlineLevel="0" collapsed="false">
      <c r="A1357" s="0" t="s">
        <v>65</v>
      </c>
      <c r="B1357" s="0" t="s">
        <v>266</v>
      </c>
      <c r="C1357" s="0" t="s">
        <v>1264</v>
      </c>
      <c r="D1357" s="0" t="s">
        <v>132</v>
      </c>
      <c r="E1357" s="0" t="s">
        <v>1275</v>
      </c>
      <c r="F1357" s="0" t="n">
        <v>0</v>
      </c>
      <c r="G1357" s="0" t="n">
        <v>0</v>
      </c>
      <c r="H1357" s="0" t="s">
        <v>580</v>
      </c>
      <c r="K1357" s="0" t="s">
        <v>600</v>
      </c>
      <c r="L1357" s="0" t="s">
        <v>2978</v>
      </c>
    </row>
    <row r="1358" customFormat="false" ht="15" hidden="false" customHeight="false" outlineLevel="0" collapsed="false">
      <c r="A1358" s="0" t="s">
        <v>65</v>
      </c>
      <c r="B1358" s="0" t="s">
        <v>266</v>
      </c>
      <c r="C1358" s="0" t="s">
        <v>1264</v>
      </c>
      <c r="D1358" s="0" t="s">
        <v>139</v>
      </c>
      <c r="E1358" s="0" t="s">
        <v>1277</v>
      </c>
      <c r="F1358" s="0" t="n">
        <v>4</v>
      </c>
      <c r="G1358" s="0" t="n">
        <v>0</v>
      </c>
      <c r="H1358" s="0" t="s">
        <v>585</v>
      </c>
      <c r="K1358" s="0" t="s">
        <v>604</v>
      </c>
      <c r="L1358" s="0" t="s">
        <v>2979</v>
      </c>
    </row>
    <row r="1359" customFormat="false" ht="15" hidden="false" customHeight="false" outlineLevel="0" collapsed="false">
      <c r="A1359" s="0" t="s">
        <v>65</v>
      </c>
      <c r="B1359" s="0" t="s">
        <v>266</v>
      </c>
      <c r="C1359" s="0" t="s">
        <v>1264</v>
      </c>
      <c r="D1359" s="0" t="s">
        <v>143</v>
      </c>
      <c r="E1359" s="0" t="s">
        <v>1279</v>
      </c>
      <c r="F1359" s="0" t="n">
        <v>4</v>
      </c>
      <c r="G1359" s="0" t="n">
        <v>4</v>
      </c>
      <c r="H1359" s="0" t="s">
        <v>580</v>
      </c>
      <c r="I1359" s="0" t="s">
        <v>403</v>
      </c>
      <c r="K1359" s="0" t="s">
        <v>607</v>
      </c>
      <c r="L1359" s="0" t="s">
        <v>2980</v>
      </c>
    </row>
    <row r="1360" customFormat="false" ht="15" hidden="false" customHeight="false" outlineLevel="0" collapsed="false">
      <c r="A1360" s="0" t="s">
        <v>65</v>
      </c>
      <c r="B1360" s="0" t="s">
        <v>266</v>
      </c>
      <c r="C1360" s="0" t="s">
        <v>1264</v>
      </c>
      <c r="D1360" s="0" t="s">
        <v>146</v>
      </c>
      <c r="E1360" s="0" t="s">
        <v>1281</v>
      </c>
      <c r="F1360" s="0" t="n">
        <v>4</v>
      </c>
      <c r="G1360" s="0" t="n">
        <v>4</v>
      </c>
      <c r="H1360" s="0" t="s">
        <v>580</v>
      </c>
      <c r="I1360" s="0" t="s">
        <v>400</v>
      </c>
      <c r="K1360" s="0" t="s">
        <v>610</v>
      </c>
      <c r="L1360" s="0" t="s">
        <v>2981</v>
      </c>
    </row>
    <row r="1361" customFormat="false" ht="15" hidden="false" customHeight="false" outlineLevel="0" collapsed="false">
      <c r="A1361" s="0" t="s">
        <v>65</v>
      </c>
      <c r="B1361" s="0" t="s">
        <v>266</v>
      </c>
      <c r="C1361" s="0" t="s">
        <v>1264</v>
      </c>
      <c r="D1361" s="0" t="s">
        <v>149</v>
      </c>
      <c r="E1361" s="0" t="s">
        <v>1283</v>
      </c>
      <c r="F1361" s="0" t="n">
        <v>4</v>
      </c>
      <c r="G1361" s="0" t="n">
        <v>4</v>
      </c>
      <c r="H1361" s="0" t="s">
        <v>580</v>
      </c>
      <c r="I1361" s="0" t="s">
        <v>403</v>
      </c>
      <c r="K1361" s="0" t="s">
        <v>613</v>
      </c>
      <c r="L1361" s="0" t="s">
        <v>2982</v>
      </c>
    </row>
    <row r="1362" customFormat="false" ht="15" hidden="false" customHeight="false" outlineLevel="0" collapsed="false">
      <c r="A1362" s="0" t="s">
        <v>65</v>
      </c>
      <c r="B1362" s="0" t="s">
        <v>266</v>
      </c>
      <c r="C1362" s="0" t="s">
        <v>1264</v>
      </c>
      <c r="D1362" s="0" t="s">
        <v>152</v>
      </c>
      <c r="E1362" s="0" t="s">
        <v>1285</v>
      </c>
      <c r="F1362" s="0" t="n">
        <v>4</v>
      </c>
      <c r="G1362" s="0" t="n">
        <v>4</v>
      </c>
      <c r="H1362" s="0" t="s">
        <v>580</v>
      </c>
      <c r="I1362" s="0" t="s">
        <v>399</v>
      </c>
      <c r="K1362" s="0" t="s">
        <v>616</v>
      </c>
      <c r="L1362" s="0" t="s">
        <v>2983</v>
      </c>
    </row>
    <row r="1363" customFormat="false" ht="15" hidden="false" customHeight="false" outlineLevel="0" collapsed="false">
      <c r="A1363" s="0" t="s">
        <v>65</v>
      </c>
      <c r="B1363" s="0" t="s">
        <v>266</v>
      </c>
      <c r="C1363" s="0" t="s">
        <v>1264</v>
      </c>
      <c r="D1363" s="0" t="s">
        <v>155</v>
      </c>
      <c r="E1363" s="0" t="s">
        <v>1287</v>
      </c>
      <c r="F1363" s="0" t="n">
        <v>4</v>
      </c>
      <c r="G1363" s="0" t="n">
        <v>4</v>
      </c>
      <c r="H1363" s="0" t="s">
        <v>580</v>
      </c>
      <c r="I1363" s="0" t="s">
        <v>403</v>
      </c>
      <c r="K1363" s="0" t="s">
        <v>620</v>
      </c>
      <c r="L1363" s="0" t="s">
        <v>2984</v>
      </c>
    </row>
    <row r="1364" customFormat="false" ht="15" hidden="false" customHeight="false" outlineLevel="0" collapsed="false">
      <c r="A1364" s="0" t="s">
        <v>65</v>
      </c>
      <c r="B1364" s="0" t="s">
        <v>266</v>
      </c>
      <c r="C1364" s="0" t="s">
        <v>1289</v>
      </c>
      <c r="D1364" s="0" t="s">
        <v>987</v>
      </c>
      <c r="E1364" s="0" t="s">
        <v>1290</v>
      </c>
      <c r="F1364" s="0" t="n">
        <v>0</v>
      </c>
      <c r="G1364" s="0" t="n">
        <v>0</v>
      </c>
      <c r="H1364" s="0" t="s">
        <v>580</v>
      </c>
      <c r="K1364" s="0" t="s">
        <v>581</v>
      </c>
      <c r="L1364" s="0" t="s">
        <v>2985</v>
      </c>
    </row>
    <row r="1365" customFormat="false" ht="15" hidden="false" customHeight="false" outlineLevel="0" collapsed="false">
      <c r="A1365" s="0" t="s">
        <v>65</v>
      </c>
      <c r="B1365" s="0" t="s">
        <v>266</v>
      </c>
      <c r="C1365" s="0" t="s">
        <v>1289</v>
      </c>
      <c r="D1365" s="0" t="s">
        <v>990</v>
      </c>
      <c r="E1365" s="0" t="s">
        <v>1292</v>
      </c>
      <c r="F1365" s="0" t="n">
        <v>4</v>
      </c>
      <c r="G1365" s="0" t="n">
        <v>4</v>
      </c>
      <c r="H1365" s="0" t="s">
        <v>580</v>
      </c>
      <c r="I1365" s="0" t="s">
        <v>399</v>
      </c>
      <c r="K1365" s="0" t="s">
        <v>586</v>
      </c>
      <c r="L1365" s="0" t="s">
        <v>2986</v>
      </c>
    </row>
    <row r="1366" customFormat="false" ht="15" hidden="false" customHeight="false" outlineLevel="0" collapsed="false">
      <c r="A1366" s="0" t="s">
        <v>65</v>
      </c>
      <c r="B1366" s="0" t="s">
        <v>266</v>
      </c>
      <c r="C1366" s="0" t="s">
        <v>1289</v>
      </c>
      <c r="D1366" s="0" t="s">
        <v>993</v>
      </c>
      <c r="E1366" s="0" t="s">
        <v>1294</v>
      </c>
      <c r="F1366" s="0" t="n">
        <v>4</v>
      </c>
      <c r="G1366" s="0" t="n">
        <v>4</v>
      </c>
      <c r="H1366" s="0" t="s">
        <v>580</v>
      </c>
      <c r="I1366" s="0" t="s">
        <v>403</v>
      </c>
      <c r="K1366" s="0" t="s">
        <v>590</v>
      </c>
      <c r="L1366" s="0" t="s">
        <v>2987</v>
      </c>
    </row>
    <row r="1367" customFormat="false" ht="15" hidden="false" customHeight="false" outlineLevel="0" collapsed="false">
      <c r="A1367" s="0" t="s">
        <v>65</v>
      </c>
      <c r="B1367" s="0" t="s">
        <v>266</v>
      </c>
      <c r="C1367" s="0" t="s">
        <v>1289</v>
      </c>
      <c r="D1367" s="0" t="s">
        <v>126</v>
      </c>
      <c r="E1367" s="0" t="s">
        <v>1296</v>
      </c>
      <c r="F1367" s="0" t="n">
        <v>4</v>
      </c>
      <c r="G1367" s="0" t="n">
        <v>4</v>
      </c>
      <c r="H1367" s="0" t="s">
        <v>580</v>
      </c>
      <c r="I1367" s="0" t="s">
        <v>403</v>
      </c>
      <c r="K1367" s="0" t="s">
        <v>594</v>
      </c>
      <c r="L1367" s="0" t="s">
        <v>2988</v>
      </c>
    </row>
    <row r="1368" customFormat="false" ht="15" hidden="false" customHeight="false" outlineLevel="0" collapsed="false">
      <c r="A1368" s="0" t="s">
        <v>65</v>
      </c>
      <c r="B1368" s="0" t="s">
        <v>266</v>
      </c>
      <c r="C1368" s="0" t="s">
        <v>1289</v>
      </c>
      <c r="D1368" s="0" t="s">
        <v>129</v>
      </c>
      <c r="E1368" s="0" t="s">
        <v>1298</v>
      </c>
      <c r="F1368" s="0" t="n">
        <v>4</v>
      </c>
      <c r="G1368" s="0" t="n">
        <v>4</v>
      </c>
      <c r="H1368" s="0" t="s">
        <v>580</v>
      </c>
      <c r="I1368" s="0" t="s">
        <v>402</v>
      </c>
      <c r="K1368" s="0" t="s">
        <v>597</v>
      </c>
      <c r="L1368" s="0" t="s">
        <v>2989</v>
      </c>
    </row>
    <row r="1369" customFormat="false" ht="15" hidden="false" customHeight="false" outlineLevel="0" collapsed="false">
      <c r="A1369" s="0" t="s">
        <v>65</v>
      </c>
      <c r="B1369" s="0" t="s">
        <v>266</v>
      </c>
      <c r="C1369" s="0" t="s">
        <v>1289</v>
      </c>
      <c r="D1369" s="0" t="s">
        <v>132</v>
      </c>
      <c r="E1369" s="0" t="s">
        <v>1300</v>
      </c>
      <c r="F1369" s="0" t="n">
        <v>4</v>
      </c>
      <c r="G1369" s="0" t="n">
        <v>3</v>
      </c>
      <c r="H1369" s="0" t="s">
        <v>585</v>
      </c>
      <c r="I1369" s="0" t="s">
        <v>402</v>
      </c>
      <c r="K1369" s="0" t="s">
        <v>600</v>
      </c>
      <c r="L1369" s="0" t="s">
        <v>2990</v>
      </c>
    </row>
    <row r="1370" customFormat="false" ht="15" hidden="false" customHeight="false" outlineLevel="0" collapsed="false">
      <c r="A1370" s="0" t="s">
        <v>65</v>
      </c>
      <c r="B1370" s="0" t="s">
        <v>266</v>
      </c>
      <c r="C1370" s="0" t="s">
        <v>1289</v>
      </c>
      <c r="D1370" s="0" t="s">
        <v>139</v>
      </c>
      <c r="E1370" s="0" t="s">
        <v>1302</v>
      </c>
      <c r="F1370" s="0" t="n">
        <v>4</v>
      </c>
      <c r="G1370" s="0" t="n">
        <v>0</v>
      </c>
      <c r="H1370" s="0" t="s">
        <v>585</v>
      </c>
      <c r="K1370" s="0" t="s">
        <v>604</v>
      </c>
      <c r="L1370" s="0" t="s">
        <v>2991</v>
      </c>
    </row>
    <row r="1371" customFormat="false" ht="15" hidden="false" customHeight="false" outlineLevel="0" collapsed="false">
      <c r="A1371" s="0" t="s">
        <v>65</v>
      </c>
      <c r="B1371" s="0" t="s">
        <v>266</v>
      </c>
      <c r="C1371" s="0" t="s">
        <v>1289</v>
      </c>
      <c r="D1371" s="0" t="s">
        <v>143</v>
      </c>
      <c r="E1371" s="0" t="s">
        <v>1304</v>
      </c>
      <c r="F1371" s="0" t="n">
        <v>4</v>
      </c>
      <c r="G1371" s="0" t="n">
        <v>4</v>
      </c>
      <c r="H1371" s="0" t="s">
        <v>580</v>
      </c>
      <c r="I1371" s="0" t="s">
        <v>399</v>
      </c>
      <c r="K1371" s="0" t="s">
        <v>607</v>
      </c>
      <c r="L1371" s="0" t="s">
        <v>2992</v>
      </c>
    </row>
    <row r="1372" customFormat="false" ht="15" hidden="false" customHeight="false" outlineLevel="0" collapsed="false">
      <c r="A1372" s="0" t="s">
        <v>65</v>
      </c>
      <c r="B1372" s="0" t="s">
        <v>266</v>
      </c>
      <c r="C1372" s="0" t="s">
        <v>1289</v>
      </c>
      <c r="D1372" s="0" t="s">
        <v>146</v>
      </c>
      <c r="E1372" s="0" t="s">
        <v>1306</v>
      </c>
      <c r="F1372" s="0" t="n">
        <v>4</v>
      </c>
      <c r="G1372" s="0" t="n">
        <v>3</v>
      </c>
      <c r="H1372" s="0" t="s">
        <v>585</v>
      </c>
      <c r="I1372" s="0" t="s">
        <v>403</v>
      </c>
      <c r="K1372" s="0" t="s">
        <v>610</v>
      </c>
      <c r="L1372" s="0" t="s">
        <v>2993</v>
      </c>
    </row>
    <row r="1373" customFormat="false" ht="15" hidden="false" customHeight="false" outlineLevel="0" collapsed="false">
      <c r="A1373" s="0" t="s">
        <v>65</v>
      </c>
      <c r="B1373" s="0" t="s">
        <v>266</v>
      </c>
      <c r="C1373" s="0" t="s">
        <v>1289</v>
      </c>
      <c r="D1373" s="0" t="s">
        <v>149</v>
      </c>
      <c r="E1373" s="0" t="s">
        <v>1308</v>
      </c>
      <c r="F1373" s="0" t="n">
        <v>4</v>
      </c>
      <c r="G1373" s="0" t="n">
        <v>4</v>
      </c>
      <c r="H1373" s="0" t="s">
        <v>580</v>
      </c>
      <c r="I1373" s="0" t="s">
        <v>400</v>
      </c>
      <c r="K1373" s="0" t="s">
        <v>613</v>
      </c>
      <c r="L1373" s="0" t="s">
        <v>2994</v>
      </c>
    </row>
    <row r="1374" customFormat="false" ht="15" hidden="false" customHeight="false" outlineLevel="0" collapsed="false">
      <c r="A1374" s="0" t="s">
        <v>65</v>
      </c>
      <c r="B1374" s="0" t="s">
        <v>266</v>
      </c>
      <c r="C1374" s="0" t="s">
        <v>1289</v>
      </c>
      <c r="D1374" s="0" t="s">
        <v>152</v>
      </c>
      <c r="E1374" s="0" t="s">
        <v>1310</v>
      </c>
      <c r="F1374" s="0" t="n">
        <v>4</v>
      </c>
      <c r="G1374" s="0" t="n">
        <v>4</v>
      </c>
      <c r="H1374" s="0" t="s">
        <v>580</v>
      </c>
      <c r="I1374" s="0" t="s">
        <v>405</v>
      </c>
      <c r="K1374" s="0" t="s">
        <v>616</v>
      </c>
      <c r="L1374" s="0" t="s">
        <v>2995</v>
      </c>
    </row>
    <row r="1375" customFormat="false" ht="15" hidden="false" customHeight="false" outlineLevel="0" collapsed="false">
      <c r="A1375" s="0" t="s">
        <v>65</v>
      </c>
      <c r="B1375" s="0" t="s">
        <v>266</v>
      </c>
      <c r="C1375" s="0" t="s">
        <v>1289</v>
      </c>
      <c r="D1375" s="0" t="s">
        <v>155</v>
      </c>
      <c r="E1375" s="0" t="s">
        <v>1312</v>
      </c>
      <c r="F1375" s="0" t="n">
        <v>4</v>
      </c>
      <c r="G1375" s="0" t="n">
        <v>4</v>
      </c>
      <c r="H1375" s="0" t="s">
        <v>580</v>
      </c>
      <c r="I1375" s="0" t="s">
        <v>400</v>
      </c>
      <c r="K1375" s="0" t="s">
        <v>620</v>
      </c>
      <c r="L1375" s="0" t="s">
        <v>2996</v>
      </c>
    </row>
    <row r="1376" customFormat="false" ht="15" hidden="false" customHeight="false" outlineLevel="0" collapsed="false">
      <c r="A1376" s="0" t="s">
        <v>65</v>
      </c>
      <c r="B1376" s="0" t="s">
        <v>266</v>
      </c>
      <c r="C1376" s="0" t="s">
        <v>1314</v>
      </c>
      <c r="D1376" s="0" t="s">
        <v>987</v>
      </c>
      <c r="E1376" s="0" t="s">
        <v>1315</v>
      </c>
      <c r="F1376" s="0" t="n">
        <v>0</v>
      </c>
      <c r="G1376" s="0" t="n">
        <v>0</v>
      </c>
      <c r="H1376" s="0" t="s">
        <v>580</v>
      </c>
      <c r="K1376" s="0" t="s">
        <v>581</v>
      </c>
      <c r="L1376" s="0" t="s">
        <v>2997</v>
      </c>
    </row>
    <row r="1377" customFormat="false" ht="15" hidden="false" customHeight="false" outlineLevel="0" collapsed="false">
      <c r="A1377" s="0" t="s">
        <v>65</v>
      </c>
      <c r="B1377" s="0" t="s">
        <v>266</v>
      </c>
      <c r="C1377" s="0" t="s">
        <v>1314</v>
      </c>
      <c r="D1377" s="0" t="s">
        <v>990</v>
      </c>
      <c r="E1377" s="0" t="s">
        <v>1317</v>
      </c>
      <c r="F1377" s="0" t="n">
        <v>4</v>
      </c>
      <c r="G1377" s="0" t="n">
        <v>4</v>
      </c>
      <c r="H1377" s="0" t="s">
        <v>580</v>
      </c>
      <c r="I1377" s="0" t="s">
        <v>402</v>
      </c>
      <c r="K1377" s="0" t="s">
        <v>586</v>
      </c>
      <c r="L1377" s="0" t="s">
        <v>2998</v>
      </c>
    </row>
    <row r="1378" customFormat="false" ht="15" hidden="false" customHeight="false" outlineLevel="0" collapsed="false">
      <c r="A1378" s="0" t="s">
        <v>65</v>
      </c>
      <c r="B1378" s="0" t="s">
        <v>266</v>
      </c>
      <c r="C1378" s="0" t="s">
        <v>1314</v>
      </c>
      <c r="D1378" s="0" t="s">
        <v>993</v>
      </c>
      <c r="E1378" s="0" t="s">
        <v>1319</v>
      </c>
      <c r="F1378" s="0" t="n">
        <v>4</v>
      </c>
      <c r="G1378" s="0" t="n">
        <v>4</v>
      </c>
      <c r="H1378" s="0" t="s">
        <v>580</v>
      </c>
      <c r="I1378" s="0" t="s">
        <v>402</v>
      </c>
      <c r="K1378" s="0" t="s">
        <v>590</v>
      </c>
      <c r="L1378" s="0" t="s">
        <v>2999</v>
      </c>
    </row>
    <row r="1379" customFormat="false" ht="15" hidden="false" customHeight="false" outlineLevel="0" collapsed="false">
      <c r="A1379" s="0" t="s">
        <v>65</v>
      </c>
      <c r="B1379" s="0" t="s">
        <v>266</v>
      </c>
      <c r="C1379" s="0" t="s">
        <v>1314</v>
      </c>
      <c r="D1379" s="0" t="s">
        <v>126</v>
      </c>
      <c r="E1379" s="0" t="s">
        <v>1321</v>
      </c>
      <c r="F1379" s="0" t="n">
        <v>4</v>
      </c>
      <c r="G1379" s="0" t="n">
        <v>4</v>
      </c>
      <c r="H1379" s="0" t="s">
        <v>580</v>
      </c>
      <c r="I1379" s="0" t="s">
        <v>404</v>
      </c>
      <c r="K1379" s="0" t="s">
        <v>594</v>
      </c>
      <c r="L1379" s="0" t="s">
        <v>3000</v>
      </c>
    </row>
    <row r="1380" customFormat="false" ht="15" hidden="false" customHeight="false" outlineLevel="0" collapsed="false">
      <c r="A1380" s="0" t="s">
        <v>65</v>
      </c>
      <c r="B1380" s="0" t="s">
        <v>266</v>
      </c>
      <c r="C1380" s="0" t="s">
        <v>1314</v>
      </c>
      <c r="D1380" s="0" t="s">
        <v>129</v>
      </c>
      <c r="E1380" s="0" t="s">
        <v>1323</v>
      </c>
      <c r="F1380" s="0" t="n">
        <v>4</v>
      </c>
      <c r="G1380" s="0" t="n">
        <v>0</v>
      </c>
      <c r="H1380" s="0" t="s">
        <v>585</v>
      </c>
      <c r="K1380" s="0" t="s">
        <v>597</v>
      </c>
      <c r="L1380" s="0" t="s">
        <v>3001</v>
      </c>
    </row>
    <row r="1381" customFormat="false" ht="15" hidden="false" customHeight="false" outlineLevel="0" collapsed="false">
      <c r="A1381" s="0" t="s">
        <v>65</v>
      </c>
      <c r="B1381" s="0" t="s">
        <v>266</v>
      </c>
      <c r="C1381" s="0" t="s">
        <v>1314</v>
      </c>
      <c r="D1381" s="0" t="s">
        <v>132</v>
      </c>
      <c r="E1381" s="0" t="s">
        <v>1325</v>
      </c>
      <c r="F1381" s="0" t="n">
        <v>4</v>
      </c>
      <c r="G1381" s="0" t="n">
        <v>3</v>
      </c>
      <c r="H1381" s="0" t="s">
        <v>585</v>
      </c>
      <c r="I1381" s="0" t="s">
        <v>403</v>
      </c>
      <c r="K1381" s="0" t="s">
        <v>600</v>
      </c>
      <c r="L1381" s="0" t="s">
        <v>3002</v>
      </c>
    </row>
    <row r="1382" customFormat="false" ht="15" hidden="false" customHeight="false" outlineLevel="0" collapsed="false">
      <c r="A1382" s="0" t="s">
        <v>65</v>
      </c>
      <c r="B1382" s="0" t="s">
        <v>266</v>
      </c>
      <c r="C1382" s="0" t="s">
        <v>1314</v>
      </c>
      <c r="D1382" s="0" t="s">
        <v>139</v>
      </c>
      <c r="E1382" s="0" t="s">
        <v>1327</v>
      </c>
      <c r="F1382" s="0" t="n">
        <v>4</v>
      </c>
      <c r="G1382" s="0" t="n">
        <v>4</v>
      </c>
      <c r="H1382" s="0" t="s">
        <v>580</v>
      </c>
      <c r="I1382" s="0" t="s">
        <v>399</v>
      </c>
      <c r="K1382" s="0" t="s">
        <v>604</v>
      </c>
      <c r="L1382" s="0" t="s">
        <v>3003</v>
      </c>
    </row>
    <row r="1383" customFormat="false" ht="15" hidden="false" customHeight="false" outlineLevel="0" collapsed="false">
      <c r="A1383" s="0" t="s">
        <v>65</v>
      </c>
      <c r="B1383" s="0" t="s">
        <v>266</v>
      </c>
      <c r="C1383" s="0" t="s">
        <v>1314</v>
      </c>
      <c r="D1383" s="0" t="s">
        <v>143</v>
      </c>
      <c r="E1383" s="0" t="s">
        <v>1329</v>
      </c>
      <c r="F1383" s="0" t="n">
        <v>4</v>
      </c>
      <c r="G1383" s="0" t="n">
        <v>3</v>
      </c>
      <c r="H1383" s="0" t="s">
        <v>585</v>
      </c>
      <c r="I1383" s="0" t="s">
        <v>400</v>
      </c>
      <c r="K1383" s="0" t="s">
        <v>607</v>
      </c>
      <c r="L1383" s="0" t="s">
        <v>3004</v>
      </c>
    </row>
    <row r="1384" customFormat="false" ht="15" hidden="false" customHeight="false" outlineLevel="0" collapsed="false">
      <c r="A1384" s="0" t="s">
        <v>65</v>
      </c>
      <c r="B1384" s="0" t="s">
        <v>266</v>
      </c>
      <c r="C1384" s="0" t="s">
        <v>1314</v>
      </c>
      <c r="D1384" s="0" t="s">
        <v>146</v>
      </c>
      <c r="E1384" s="0" t="s">
        <v>1331</v>
      </c>
      <c r="F1384" s="0" t="n">
        <v>4</v>
      </c>
      <c r="G1384" s="0" t="n">
        <v>4</v>
      </c>
      <c r="H1384" s="0" t="s">
        <v>580</v>
      </c>
      <c r="I1384" s="0" t="s">
        <v>402</v>
      </c>
      <c r="K1384" s="0" t="s">
        <v>610</v>
      </c>
      <c r="L1384" s="0" t="s">
        <v>3005</v>
      </c>
    </row>
    <row r="1385" customFormat="false" ht="15" hidden="false" customHeight="false" outlineLevel="0" collapsed="false">
      <c r="A1385" s="0" t="s">
        <v>65</v>
      </c>
      <c r="B1385" s="0" t="s">
        <v>266</v>
      </c>
      <c r="C1385" s="0" t="s">
        <v>1314</v>
      </c>
      <c r="D1385" s="0" t="s">
        <v>149</v>
      </c>
      <c r="E1385" s="0" t="s">
        <v>1333</v>
      </c>
      <c r="F1385" s="0" t="n">
        <v>4</v>
      </c>
      <c r="G1385" s="0" t="n">
        <v>4</v>
      </c>
      <c r="H1385" s="0" t="s">
        <v>580</v>
      </c>
      <c r="I1385" s="0" t="s">
        <v>403</v>
      </c>
      <c r="K1385" s="0" t="s">
        <v>613</v>
      </c>
      <c r="L1385" s="0" t="s">
        <v>3006</v>
      </c>
    </row>
    <row r="1386" customFormat="false" ht="15" hidden="false" customHeight="false" outlineLevel="0" collapsed="false">
      <c r="A1386" s="0" t="s">
        <v>65</v>
      </c>
      <c r="B1386" s="0" t="s">
        <v>266</v>
      </c>
      <c r="C1386" s="0" t="s">
        <v>1314</v>
      </c>
      <c r="D1386" s="0" t="s">
        <v>152</v>
      </c>
      <c r="E1386" s="0" t="s">
        <v>1335</v>
      </c>
      <c r="F1386" s="0" t="n">
        <v>4</v>
      </c>
      <c r="G1386" s="0" t="n">
        <v>3</v>
      </c>
      <c r="H1386" s="0" t="s">
        <v>585</v>
      </c>
      <c r="I1386" s="0" t="s">
        <v>404</v>
      </c>
      <c r="K1386" s="0" t="s">
        <v>616</v>
      </c>
      <c r="L1386" s="0" t="s">
        <v>3007</v>
      </c>
    </row>
    <row r="1387" customFormat="false" ht="15" hidden="false" customHeight="false" outlineLevel="0" collapsed="false">
      <c r="A1387" s="0" t="s">
        <v>65</v>
      </c>
      <c r="C1387" s="0" t="s">
        <v>1314</v>
      </c>
      <c r="D1387" s="0" t="s">
        <v>155</v>
      </c>
      <c r="E1387" s="0" t="s">
        <v>3008</v>
      </c>
      <c r="F1387" s="0" t="n">
        <v>0</v>
      </c>
      <c r="G1387" s="0" t="n">
        <v>0</v>
      </c>
      <c r="H1387" s="0" t="s">
        <v>580</v>
      </c>
      <c r="K1387" s="0" t="s">
        <v>620</v>
      </c>
      <c r="L1387" s="0" t="s">
        <v>3009</v>
      </c>
    </row>
    <row r="1388" customFormat="false" ht="15" hidden="false" customHeight="false" outlineLevel="0" collapsed="false">
      <c r="A1388" s="0" t="s">
        <v>65</v>
      </c>
      <c r="C1388" s="0" t="s">
        <v>1340</v>
      </c>
      <c r="D1388" s="0" t="s">
        <v>987</v>
      </c>
      <c r="E1388" s="0" t="s">
        <v>1341</v>
      </c>
      <c r="F1388" s="0" t="n">
        <v>0</v>
      </c>
      <c r="G1388" s="0" t="n">
        <v>0</v>
      </c>
      <c r="H1388" s="0" t="s">
        <v>580</v>
      </c>
      <c r="K1388" s="0" t="s">
        <v>581</v>
      </c>
      <c r="L1388" s="0" t="s">
        <v>3010</v>
      </c>
    </row>
    <row r="1389" customFormat="false" ht="15" hidden="false" customHeight="false" outlineLevel="0" collapsed="false">
      <c r="A1389" s="0" t="s">
        <v>65</v>
      </c>
      <c r="C1389" s="0" t="s">
        <v>1340</v>
      </c>
      <c r="D1389" s="0" t="s">
        <v>990</v>
      </c>
      <c r="E1389" s="0" t="s">
        <v>1343</v>
      </c>
      <c r="F1389" s="0" t="n">
        <v>0</v>
      </c>
      <c r="G1389" s="0" t="n">
        <v>0</v>
      </c>
      <c r="H1389" s="0" t="s">
        <v>580</v>
      </c>
      <c r="K1389" s="0" t="s">
        <v>586</v>
      </c>
      <c r="L1389" s="0" t="s">
        <v>3011</v>
      </c>
    </row>
    <row r="1390" customFormat="false" ht="15" hidden="false" customHeight="false" outlineLevel="0" collapsed="false">
      <c r="A1390" s="0" t="s">
        <v>65</v>
      </c>
      <c r="C1390" s="0" t="s">
        <v>1340</v>
      </c>
      <c r="D1390" s="0" t="s">
        <v>993</v>
      </c>
      <c r="E1390" s="0" t="s">
        <v>1345</v>
      </c>
      <c r="F1390" s="0" t="n">
        <v>0</v>
      </c>
      <c r="G1390" s="0" t="n">
        <v>0</v>
      </c>
      <c r="H1390" s="0" t="s">
        <v>580</v>
      </c>
      <c r="K1390" s="0" t="s">
        <v>590</v>
      </c>
      <c r="L1390" s="0" t="s">
        <v>3012</v>
      </c>
    </row>
    <row r="1391" customFormat="false" ht="15" hidden="false" customHeight="false" outlineLevel="0" collapsed="false">
      <c r="A1391" s="0" t="s">
        <v>65</v>
      </c>
      <c r="C1391" s="0" t="s">
        <v>1340</v>
      </c>
      <c r="D1391" s="0" t="s">
        <v>126</v>
      </c>
      <c r="E1391" s="0" t="s">
        <v>1347</v>
      </c>
      <c r="F1391" s="0" t="n">
        <v>0</v>
      </c>
      <c r="G1391" s="0" t="n">
        <v>0</v>
      </c>
      <c r="H1391" s="0" t="s">
        <v>580</v>
      </c>
      <c r="K1391" s="0" t="s">
        <v>594</v>
      </c>
      <c r="L1391" s="0" t="s">
        <v>3013</v>
      </c>
    </row>
    <row r="1392" customFormat="false" ht="15" hidden="false" customHeight="false" outlineLevel="0" collapsed="false">
      <c r="A1392" s="0" t="s">
        <v>65</v>
      </c>
      <c r="C1392" s="0" t="s">
        <v>1340</v>
      </c>
      <c r="D1392" s="0" t="s">
        <v>129</v>
      </c>
      <c r="E1392" s="0" t="s">
        <v>1349</v>
      </c>
      <c r="F1392" s="0" t="n">
        <v>0</v>
      </c>
      <c r="G1392" s="0" t="n">
        <v>0</v>
      </c>
      <c r="H1392" s="0" t="s">
        <v>580</v>
      </c>
      <c r="K1392" s="0" t="s">
        <v>597</v>
      </c>
      <c r="L1392" s="0" t="s">
        <v>3014</v>
      </c>
    </row>
    <row r="1393" customFormat="false" ht="15" hidden="false" customHeight="false" outlineLevel="0" collapsed="false">
      <c r="A1393" s="0" t="s">
        <v>65</v>
      </c>
      <c r="C1393" s="0" t="s">
        <v>1340</v>
      </c>
      <c r="D1393" s="0" t="s">
        <v>132</v>
      </c>
      <c r="E1393" s="0" t="s">
        <v>1351</v>
      </c>
      <c r="F1393" s="0" t="n">
        <v>0</v>
      </c>
      <c r="G1393" s="0" t="n">
        <v>0</v>
      </c>
      <c r="H1393" s="0" t="s">
        <v>580</v>
      </c>
      <c r="K1393" s="0" t="s">
        <v>600</v>
      </c>
      <c r="L1393" s="0" t="s">
        <v>3015</v>
      </c>
    </row>
    <row r="1394" customFormat="false" ht="15" hidden="false" customHeight="false" outlineLevel="0" collapsed="false">
      <c r="A1394" s="0" t="s">
        <v>65</v>
      </c>
      <c r="C1394" s="0" t="s">
        <v>1340</v>
      </c>
      <c r="D1394" s="0" t="s">
        <v>139</v>
      </c>
      <c r="E1394" s="0" t="s">
        <v>1353</v>
      </c>
      <c r="F1394" s="0" t="n">
        <v>0</v>
      </c>
      <c r="G1394" s="0" t="n">
        <v>0</v>
      </c>
      <c r="H1394" s="0" t="s">
        <v>580</v>
      </c>
      <c r="K1394" s="0" t="s">
        <v>604</v>
      </c>
      <c r="L1394" s="0" t="s">
        <v>3016</v>
      </c>
    </row>
    <row r="1395" customFormat="false" ht="15" hidden="false" customHeight="false" outlineLevel="0" collapsed="false">
      <c r="A1395" s="0" t="s">
        <v>65</v>
      </c>
      <c r="C1395" s="0" t="s">
        <v>1340</v>
      </c>
      <c r="D1395" s="0" t="s">
        <v>143</v>
      </c>
      <c r="E1395" s="0" t="s">
        <v>2384</v>
      </c>
      <c r="F1395" s="0" t="n">
        <v>0</v>
      </c>
      <c r="G1395" s="0" t="n">
        <v>0</v>
      </c>
      <c r="H1395" s="0" t="s">
        <v>580</v>
      </c>
      <c r="K1395" s="0" t="s">
        <v>607</v>
      </c>
      <c r="L1395" s="0" t="s">
        <v>3017</v>
      </c>
    </row>
    <row r="1396" customFormat="false" ht="15" hidden="false" customHeight="false" outlineLevel="0" collapsed="false">
      <c r="A1396" s="0" t="s">
        <v>65</v>
      </c>
      <c r="C1396" s="0" t="s">
        <v>1340</v>
      </c>
      <c r="D1396" s="0" t="s">
        <v>146</v>
      </c>
      <c r="E1396" s="0" t="s">
        <v>2386</v>
      </c>
      <c r="F1396" s="0" t="n">
        <v>0</v>
      </c>
      <c r="G1396" s="0" t="n">
        <v>0</v>
      </c>
      <c r="H1396" s="0" t="s">
        <v>580</v>
      </c>
      <c r="K1396" s="0" t="s">
        <v>610</v>
      </c>
      <c r="L1396" s="0" t="s">
        <v>3018</v>
      </c>
    </row>
    <row r="1397" customFormat="false" ht="15" hidden="false" customHeight="false" outlineLevel="0" collapsed="false">
      <c r="A1397" s="0" t="s">
        <v>65</v>
      </c>
      <c r="C1397" s="0" t="s">
        <v>1340</v>
      </c>
      <c r="D1397" s="0" t="s">
        <v>149</v>
      </c>
      <c r="E1397" s="0" t="s">
        <v>3019</v>
      </c>
      <c r="F1397" s="0" t="n">
        <v>0</v>
      </c>
      <c r="G1397" s="0" t="n">
        <v>0</v>
      </c>
      <c r="H1397" s="0" t="s">
        <v>580</v>
      </c>
      <c r="K1397" s="0" t="s">
        <v>613</v>
      </c>
      <c r="L1397" s="0" t="s">
        <v>3020</v>
      </c>
    </row>
    <row r="1398" customFormat="false" ht="15" hidden="false" customHeight="false" outlineLevel="0" collapsed="false">
      <c r="A1398" s="0" t="s">
        <v>65</v>
      </c>
      <c r="B1398" s="0" t="s">
        <v>946</v>
      </c>
      <c r="C1398" s="0" t="s">
        <v>1340</v>
      </c>
      <c r="D1398" s="0" t="s">
        <v>152</v>
      </c>
      <c r="E1398" s="0" t="s">
        <v>3021</v>
      </c>
      <c r="F1398" s="0" t="n">
        <v>4</v>
      </c>
      <c r="G1398" s="0" t="n">
        <v>1</v>
      </c>
      <c r="H1398" s="0" t="s">
        <v>585</v>
      </c>
      <c r="I1398" s="0" t="s">
        <v>406</v>
      </c>
      <c r="K1398" s="0" t="s">
        <v>616</v>
      </c>
      <c r="L1398" s="0" t="s">
        <v>3022</v>
      </c>
    </row>
    <row r="1399" customFormat="false" ht="15" hidden="false" customHeight="false" outlineLevel="0" collapsed="false">
      <c r="A1399" s="0" t="s">
        <v>65</v>
      </c>
      <c r="B1399" s="0" t="s">
        <v>946</v>
      </c>
      <c r="C1399" s="0" t="s">
        <v>1340</v>
      </c>
      <c r="D1399" s="0" t="s">
        <v>155</v>
      </c>
      <c r="E1399" s="0" t="s">
        <v>3023</v>
      </c>
      <c r="F1399" s="0" t="n">
        <v>4</v>
      </c>
      <c r="G1399" s="0" t="n">
        <v>1</v>
      </c>
      <c r="H1399" s="0" t="s">
        <v>585</v>
      </c>
      <c r="I1399" s="0" t="s">
        <v>406</v>
      </c>
      <c r="K1399" s="0" t="s">
        <v>620</v>
      </c>
      <c r="L1399" s="0" t="s">
        <v>3024</v>
      </c>
    </row>
    <row r="1400" customFormat="false" ht="15" hidden="false" customHeight="false" outlineLevel="0" collapsed="false">
      <c r="A1400" s="0" t="s">
        <v>65</v>
      </c>
      <c r="C1400" s="0" t="s">
        <v>1365</v>
      </c>
      <c r="D1400" s="0" t="s">
        <v>987</v>
      </c>
      <c r="E1400" s="0" t="s">
        <v>1366</v>
      </c>
      <c r="F1400" s="0" t="n">
        <v>0</v>
      </c>
      <c r="G1400" s="0" t="n">
        <v>0</v>
      </c>
      <c r="H1400" s="0" t="s">
        <v>580</v>
      </c>
      <c r="K1400" s="0" t="s">
        <v>581</v>
      </c>
      <c r="L1400" s="0" t="s">
        <v>3025</v>
      </c>
    </row>
    <row r="1401" customFormat="false" ht="15" hidden="false" customHeight="false" outlineLevel="0" collapsed="false">
      <c r="A1401" s="0" t="s">
        <v>65</v>
      </c>
      <c r="C1401" s="0" t="s">
        <v>1365</v>
      </c>
      <c r="D1401" s="0" t="s">
        <v>990</v>
      </c>
      <c r="E1401" s="0" t="s">
        <v>1368</v>
      </c>
      <c r="F1401" s="0" t="n">
        <v>0</v>
      </c>
      <c r="G1401" s="0" t="n">
        <v>0</v>
      </c>
      <c r="H1401" s="0" t="s">
        <v>580</v>
      </c>
      <c r="K1401" s="0" t="s">
        <v>586</v>
      </c>
      <c r="L1401" s="0" t="s">
        <v>3026</v>
      </c>
    </row>
    <row r="1402" customFormat="false" ht="15" hidden="false" customHeight="false" outlineLevel="0" collapsed="false">
      <c r="A1402" s="0" t="s">
        <v>65</v>
      </c>
      <c r="C1402" s="0" t="s">
        <v>1365</v>
      </c>
      <c r="D1402" s="0" t="s">
        <v>993</v>
      </c>
      <c r="E1402" s="0" t="s">
        <v>1370</v>
      </c>
      <c r="F1402" s="0" t="n">
        <v>0</v>
      </c>
      <c r="G1402" s="0" t="n">
        <v>0</v>
      </c>
      <c r="H1402" s="0" t="s">
        <v>580</v>
      </c>
      <c r="K1402" s="0" t="s">
        <v>590</v>
      </c>
      <c r="L1402" s="0" t="s">
        <v>3027</v>
      </c>
    </row>
    <row r="1403" customFormat="false" ht="15" hidden="false" customHeight="false" outlineLevel="0" collapsed="false">
      <c r="A1403" s="0" t="s">
        <v>65</v>
      </c>
      <c r="C1403" s="0" t="s">
        <v>1365</v>
      </c>
      <c r="D1403" s="0" t="s">
        <v>126</v>
      </c>
      <c r="E1403" s="0" t="s">
        <v>1372</v>
      </c>
      <c r="F1403" s="0" t="n">
        <v>0</v>
      </c>
      <c r="G1403" s="0" t="n">
        <v>0</v>
      </c>
      <c r="H1403" s="0" t="s">
        <v>580</v>
      </c>
      <c r="K1403" s="0" t="s">
        <v>594</v>
      </c>
      <c r="L1403" s="0" t="s">
        <v>3028</v>
      </c>
    </row>
    <row r="1404" customFormat="false" ht="15" hidden="false" customHeight="false" outlineLevel="0" collapsed="false">
      <c r="A1404" s="0" t="s">
        <v>65</v>
      </c>
      <c r="C1404" s="0" t="s">
        <v>1365</v>
      </c>
      <c r="D1404" s="0" t="s">
        <v>129</v>
      </c>
      <c r="E1404" s="0" t="s">
        <v>1374</v>
      </c>
      <c r="F1404" s="0" t="n">
        <v>0</v>
      </c>
      <c r="G1404" s="0" t="n">
        <v>0</v>
      </c>
      <c r="H1404" s="0" t="s">
        <v>580</v>
      </c>
      <c r="K1404" s="0" t="s">
        <v>597</v>
      </c>
      <c r="L1404" s="0" t="s">
        <v>3029</v>
      </c>
    </row>
    <row r="1405" customFormat="false" ht="15" hidden="false" customHeight="false" outlineLevel="0" collapsed="false">
      <c r="A1405" s="0" t="s">
        <v>65</v>
      </c>
      <c r="C1405" s="0" t="s">
        <v>1365</v>
      </c>
      <c r="D1405" s="0" t="s">
        <v>132</v>
      </c>
      <c r="E1405" s="0" t="s">
        <v>1376</v>
      </c>
      <c r="F1405" s="0" t="n">
        <v>0</v>
      </c>
      <c r="G1405" s="0" t="n">
        <v>0</v>
      </c>
      <c r="H1405" s="0" t="s">
        <v>580</v>
      </c>
      <c r="K1405" s="0" t="s">
        <v>600</v>
      </c>
      <c r="L1405" s="0" t="s">
        <v>3030</v>
      </c>
    </row>
    <row r="1406" customFormat="false" ht="15" hidden="false" customHeight="false" outlineLevel="0" collapsed="false">
      <c r="A1406" s="0" t="s">
        <v>65</v>
      </c>
      <c r="C1406" s="0" t="s">
        <v>1365</v>
      </c>
      <c r="D1406" s="0" t="s">
        <v>139</v>
      </c>
      <c r="E1406" s="0" t="s">
        <v>1378</v>
      </c>
      <c r="F1406" s="0" t="n">
        <v>0</v>
      </c>
      <c r="G1406" s="0" t="n">
        <v>0</v>
      </c>
      <c r="H1406" s="0" t="s">
        <v>580</v>
      </c>
      <c r="K1406" s="0" t="s">
        <v>604</v>
      </c>
      <c r="L1406" s="0" t="s">
        <v>3031</v>
      </c>
    </row>
    <row r="1407" customFormat="false" ht="15" hidden="false" customHeight="false" outlineLevel="0" collapsed="false">
      <c r="A1407" s="0" t="s">
        <v>65</v>
      </c>
      <c r="C1407" s="0" t="s">
        <v>1365</v>
      </c>
      <c r="D1407" s="0" t="s">
        <v>143</v>
      </c>
      <c r="E1407" s="0" t="s">
        <v>2400</v>
      </c>
      <c r="F1407" s="0" t="n">
        <v>0</v>
      </c>
      <c r="G1407" s="0" t="n">
        <v>0</v>
      </c>
      <c r="H1407" s="0" t="s">
        <v>580</v>
      </c>
      <c r="K1407" s="0" t="s">
        <v>607</v>
      </c>
      <c r="L1407" s="0" t="s">
        <v>3032</v>
      </c>
    </row>
    <row r="1408" customFormat="false" ht="15" hidden="false" customHeight="false" outlineLevel="0" collapsed="false">
      <c r="A1408" s="0" t="s">
        <v>65</v>
      </c>
      <c r="C1408" s="0" t="s">
        <v>1365</v>
      </c>
      <c r="D1408" s="0" t="s">
        <v>146</v>
      </c>
      <c r="E1408" s="0" t="s">
        <v>1382</v>
      </c>
      <c r="F1408" s="0" t="n">
        <v>0</v>
      </c>
      <c r="G1408" s="0" t="n">
        <v>0</v>
      </c>
      <c r="H1408" s="0" t="s">
        <v>580</v>
      </c>
      <c r="K1408" s="0" t="s">
        <v>610</v>
      </c>
      <c r="L1408" s="0" t="s">
        <v>3033</v>
      </c>
    </row>
    <row r="1409" customFormat="false" ht="15" hidden="false" customHeight="false" outlineLevel="0" collapsed="false">
      <c r="A1409" s="0" t="s">
        <v>65</v>
      </c>
      <c r="C1409" s="0" t="s">
        <v>1365</v>
      </c>
      <c r="D1409" s="0" t="s">
        <v>149</v>
      </c>
      <c r="E1409" s="0" t="s">
        <v>2404</v>
      </c>
      <c r="F1409" s="0" t="n">
        <v>0</v>
      </c>
      <c r="G1409" s="0" t="n">
        <v>0</v>
      </c>
      <c r="H1409" s="0" t="s">
        <v>580</v>
      </c>
      <c r="K1409" s="0" t="s">
        <v>613</v>
      </c>
      <c r="L1409" s="0" t="s">
        <v>3034</v>
      </c>
    </row>
    <row r="1410" customFormat="false" ht="15" hidden="false" customHeight="false" outlineLevel="0" collapsed="false">
      <c r="A1410" s="0" t="s">
        <v>65</v>
      </c>
      <c r="B1410" s="0" t="s">
        <v>946</v>
      </c>
      <c r="C1410" s="0" t="s">
        <v>1365</v>
      </c>
      <c r="D1410" s="0" t="s">
        <v>152</v>
      </c>
      <c r="E1410" s="0" t="s">
        <v>3035</v>
      </c>
      <c r="F1410" s="0" t="n">
        <v>0</v>
      </c>
      <c r="G1410" s="0" t="n">
        <v>4</v>
      </c>
      <c r="H1410" s="0" t="s">
        <v>580</v>
      </c>
      <c r="I1410" s="0" t="s">
        <v>404</v>
      </c>
      <c r="K1410" s="0" t="s">
        <v>616</v>
      </c>
      <c r="L1410" s="0" t="s">
        <v>3036</v>
      </c>
    </row>
    <row r="1411" customFormat="false" ht="15" hidden="false" customHeight="false" outlineLevel="0" collapsed="false">
      <c r="A1411" s="0" t="s">
        <v>65</v>
      </c>
      <c r="B1411" s="0" t="s">
        <v>946</v>
      </c>
      <c r="C1411" s="0" t="s">
        <v>1365</v>
      </c>
      <c r="D1411" s="0" t="s">
        <v>155</v>
      </c>
      <c r="E1411" s="0" t="s">
        <v>3037</v>
      </c>
      <c r="F1411" s="0" t="n">
        <v>0</v>
      </c>
      <c r="G1411" s="0" t="n">
        <v>1</v>
      </c>
      <c r="H1411" s="0" t="s">
        <v>580</v>
      </c>
      <c r="I1411" s="0" t="s">
        <v>404</v>
      </c>
      <c r="K1411" s="0" t="s">
        <v>620</v>
      </c>
      <c r="L1411" s="0" t="s">
        <v>3038</v>
      </c>
    </row>
    <row r="1412" customFormat="false" ht="15" hidden="false" customHeight="false" outlineLevel="0" collapsed="false">
      <c r="A1412" s="0" t="s">
        <v>65</v>
      </c>
      <c r="C1412" s="0" t="s">
        <v>1390</v>
      </c>
      <c r="D1412" s="0" t="s">
        <v>987</v>
      </c>
      <c r="E1412" s="0" t="s">
        <v>1391</v>
      </c>
      <c r="F1412" s="0" t="n">
        <v>0</v>
      </c>
      <c r="G1412" s="0" t="n">
        <v>0</v>
      </c>
      <c r="H1412" s="0" t="s">
        <v>580</v>
      </c>
      <c r="K1412" s="0" t="s">
        <v>581</v>
      </c>
      <c r="L1412" s="0" t="s">
        <v>3039</v>
      </c>
    </row>
    <row r="1413" customFormat="false" ht="15" hidden="false" customHeight="false" outlineLevel="0" collapsed="false">
      <c r="A1413" s="0" t="s">
        <v>65</v>
      </c>
      <c r="C1413" s="0" t="s">
        <v>1390</v>
      </c>
      <c r="D1413" s="0" t="s">
        <v>990</v>
      </c>
      <c r="E1413" s="0" t="s">
        <v>1393</v>
      </c>
      <c r="F1413" s="0" t="n">
        <v>0</v>
      </c>
      <c r="G1413" s="0" t="n">
        <v>0</v>
      </c>
      <c r="H1413" s="0" t="s">
        <v>580</v>
      </c>
      <c r="K1413" s="0" t="s">
        <v>586</v>
      </c>
      <c r="L1413" s="0" t="s">
        <v>3040</v>
      </c>
    </row>
    <row r="1414" customFormat="false" ht="15" hidden="false" customHeight="false" outlineLevel="0" collapsed="false">
      <c r="A1414" s="0" t="s">
        <v>65</v>
      </c>
      <c r="C1414" s="0" t="s">
        <v>1390</v>
      </c>
      <c r="D1414" s="0" t="s">
        <v>993</v>
      </c>
      <c r="E1414" s="0" t="s">
        <v>1395</v>
      </c>
      <c r="F1414" s="0" t="n">
        <v>0</v>
      </c>
      <c r="G1414" s="0" t="n">
        <v>0</v>
      </c>
      <c r="H1414" s="0" t="s">
        <v>580</v>
      </c>
      <c r="K1414" s="0" t="s">
        <v>590</v>
      </c>
      <c r="L1414" s="0" t="s">
        <v>3041</v>
      </c>
    </row>
    <row r="1415" customFormat="false" ht="15" hidden="false" customHeight="false" outlineLevel="0" collapsed="false">
      <c r="A1415" s="0" t="s">
        <v>65</v>
      </c>
      <c r="C1415" s="0" t="s">
        <v>1390</v>
      </c>
      <c r="D1415" s="0" t="s">
        <v>126</v>
      </c>
      <c r="E1415" s="0" t="s">
        <v>1397</v>
      </c>
      <c r="F1415" s="0" t="n">
        <v>0</v>
      </c>
      <c r="G1415" s="0" t="n">
        <v>0</v>
      </c>
      <c r="H1415" s="0" t="s">
        <v>580</v>
      </c>
      <c r="K1415" s="0" t="s">
        <v>594</v>
      </c>
      <c r="L1415" s="0" t="s">
        <v>3042</v>
      </c>
    </row>
    <row r="1416" customFormat="false" ht="15" hidden="false" customHeight="false" outlineLevel="0" collapsed="false">
      <c r="A1416" s="0" t="s">
        <v>65</v>
      </c>
      <c r="C1416" s="0" t="s">
        <v>1390</v>
      </c>
      <c r="D1416" s="0" t="s">
        <v>129</v>
      </c>
      <c r="E1416" s="0" t="s">
        <v>1399</v>
      </c>
      <c r="F1416" s="0" t="n">
        <v>0</v>
      </c>
      <c r="G1416" s="0" t="n">
        <v>0</v>
      </c>
      <c r="H1416" s="0" t="s">
        <v>580</v>
      </c>
      <c r="K1416" s="0" t="s">
        <v>597</v>
      </c>
      <c r="L1416" s="0" t="s">
        <v>3043</v>
      </c>
    </row>
    <row r="1417" customFormat="false" ht="15" hidden="false" customHeight="false" outlineLevel="0" collapsed="false">
      <c r="A1417" s="0" t="s">
        <v>65</v>
      </c>
      <c r="C1417" s="0" t="s">
        <v>1390</v>
      </c>
      <c r="D1417" s="0" t="s">
        <v>132</v>
      </c>
      <c r="E1417" s="0" t="s">
        <v>1401</v>
      </c>
      <c r="F1417" s="0" t="n">
        <v>0</v>
      </c>
      <c r="G1417" s="0" t="n">
        <v>0</v>
      </c>
      <c r="H1417" s="0" t="s">
        <v>580</v>
      </c>
      <c r="K1417" s="0" t="s">
        <v>600</v>
      </c>
      <c r="L1417" s="0" t="s">
        <v>3044</v>
      </c>
    </row>
    <row r="1418" customFormat="false" ht="15" hidden="false" customHeight="false" outlineLevel="0" collapsed="false">
      <c r="A1418" s="0" t="s">
        <v>65</v>
      </c>
      <c r="C1418" s="0" t="s">
        <v>1390</v>
      </c>
      <c r="D1418" s="0" t="s">
        <v>139</v>
      </c>
      <c r="E1418" s="0" t="s">
        <v>2414</v>
      </c>
      <c r="F1418" s="0" t="n">
        <v>0</v>
      </c>
      <c r="G1418" s="0" t="n">
        <v>0</v>
      </c>
      <c r="H1418" s="0" t="s">
        <v>580</v>
      </c>
      <c r="K1418" s="0" t="s">
        <v>604</v>
      </c>
      <c r="L1418" s="0" t="s">
        <v>3045</v>
      </c>
    </row>
    <row r="1419" customFormat="false" ht="15" hidden="false" customHeight="false" outlineLevel="0" collapsed="false">
      <c r="A1419" s="0" t="s">
        <v>65</v>
      </c>
      <c r="B1419" s="0" t="s">
        <v>946</v>
      </c>
      <c r="C1419" s="0" t="s">
        <v>1390</v>
      </c>
      <c r="D1419" s="0" t="s">
        <v>143</v>
      </c>
      <c r="E1419" s="0" t="s">
        <v>3046</v>
      </c>
      <c r="F1419" s="0" t="n">
        <v>0</v>
      </c>
      <c r="G1419" s="0" t="n">
        <v>1</v>
      </c>
      <c r="H1419" s="0" t="s">
        <v>580</v>
      </c>
      <c r="I1419" s="0" t="s">
        <v>406</v>
      </c>
      <c r="K1419" s="0" t="s">
        <v>607</v>
      </c>
      <c r="L1419" s="0" t="s">
        <v>3047</v>
      </c>
    </row>
    <row r="1420" customFormat="false" ht="15" hidden="false" customHeight="false" outlineLevel="0" collapsed="false">
      <c r="A1420" s="0" t="s">
        <v>65</v>
      </c>
      <c r="B1420" s="0" t="s">
        <v>3048</v>
      </c>
      <c r="C1420" s="0" t="s">
        <v>1390</v>
      </c>
      <c r="D1420" s="0" t="s">
        <v>146</v>
      </c>
      <c r="E1420" s="0" t="s">
        <v>3049</v>
      </c>
      <c r="F1420" s="0" t="n">
        <v>0</v>
      </c>
      <c r="G1420" s="0" t="n">
        <v>1</v>
      </c>
      <c r="H1420" s="0" t="s">
        <v>580</v>
      </c>
      <c r="I1420" s="0" t="s">
        <v>405</v>
      </c>
      <c r="K1420" s="0" t="s">
        <v>610</v>
      </c>
      <c r="L1420" s="0" t="s">
        <v>3050</v>
      </c>
    </row>
    <row r="1421" customFormat="false" ht="15" hidden="false" customHeight="false" outlineLevel="0" collapsed="false">
      <c r="A1421" s="0" t="s">
        <v>65</v>
      </c>
      <c r="B1421" s="0" t="s">
        <v>946</v>
      </c>
      <c r="C1421" s="0" t="s">
        <v>1390</v>
      </c>
      <c r="D1421" s="0" t="s">
        <v>149</v>
      </c>
      <c r="E1421" s="0" t="s">
        <v>3051</v>
      </c>
      <c r="F1421" s="0" t="n">
        <v>4</v>
      </c>
      <c r="G1421" s="0" t="n">
        <v>4</v>
      </c>
      <c r="H1421" s="0" t="s">
        <v>580</v>
      </c>
      <c r="I1421" s="0" t="s">
        <v>405</v>
      </c>
      <c r="K1421" s="0" t="s">
        <v>613</v>
      </c>
      <c r="L1421" s="0" t="s">
        <v>3052</v>
      </c>
    </row>
    <row r="1422" customFormat="false" ht="15" hidden="false" customHeight="false" outlineLevel="0" collapsed="false">
      <c r="A1422" s="0" t="s">
        <v>65</v>
      </c>
      <c r="C1422" s="0" t="s">
        <v>1390</v>
      </c>
      <c r="D1422" s="0" t="s">
        <v>152</v>
      </c>
      <c r="E1422" s="0" t="s">
        <v>2420</v>
      </c>
      <c r="F1422" s="0" t="n">
        <v>0</v>
      </c>
      <c r="G1422" s="0" t="n">
        <v>0</v>
      </c>
      <c r="H1422" s="0" t="s">
        <v>580</v>
      </c>
      <c r="K1422" s="0" t="s">
        <v>616</v>
      </c>
      <c r="L1422" s="0" t="s">
        <v>3053</v>
      </c>
    </row>
    <row r="1423" customFormat="false" ht="15" hidden="false" customHeight="false" outlineLevel="0" collapsed="false">
      <c r="A1423" s="0" t="s">
        <v>65</v>
      </c>
      <c r="C1423" s="0" t="s">
        <v>1390</v>
      </c>
      <c r="D1423" s="0" t="s">
        <v>155</v>
      </c>
      <c r="E1423" s="0" t="s">
        <v>3054</v>
      </c>
      <c r="F1423" s="0" t="n">
        <v>0</v>
      </c>
      <c r="G1423" s="0" t="n">
        <v>0</v>
      </c>
      <c r="H1423" s="0" t="s">
        <v>580</v>
      </c>
      <c r="K1423" s="0" t="s">
        <v>620</v>
      </c>
      <c r="L1423" s="0" t="s">
        <v>3055</v>
      </c>
    </row>
    <row r="1424" customFormat="false" ht="15" hidden="false" customHeight="false" outlineLevel="0" collapsed="false">
      <c r="A1424" s="0" t="s">
        <v>65</v>
      </c>
      <c r="C1424" s="0" t="s">
        <v>1415</v>
      </c>
      <c r="D1424" s="0" t="s">
        <v>987</v>
      </c>
      <c r="E1424" s="0" t="s">
        <v>1416</v>
      </c>
      <c r="F1424" s="0" t="n">
        <v>0</v>
      </c>
      <c r="G1424" s="0" t="n">
        <v>0</v>
      </c>
      <c r="H1424" s="0" t="s">
        <v>580</v>
      </c>
      <c r="K1424" s="0" t="s">
        <v>581</v>
      </c>
      <c r="L1424" s="0" t="s">
        <v>3056</v>
      </c>
    </row>
    <row r="1425" customFormat="false" ht="15" hidden="false" customHeight="false" outlineLevel="0" collapsed="false">
      <c r="A1425" s="0" t="s">
        <v>65</v>
      </c>
      <c r="C1425" s="0" t="s">
        <v>1415</v>
      </c>
      <c r="D1425" s="0" t="s">
        <v>990</v>
      </c>
      <c r="E1425" s="0" t="s">
        <v>1418</v>
      </c>
      <c r="F1425" s="0" t="n">
        <v>0</v>
      </c>
      <c r="G1425" s="0" t="n">
        <v>0</v>
      </c>
      <c r="H1425" s="0" t="s">
        <v>580</v>
      </c>
      <c r="K1425" s="0" t="s">
        <v>586</v>
      </c>
      <c r="L1425" s="0" t="s">
        <v>3057</v>
      </c>
    </row>
    <row r="1426" customFormat="false" ht="15" hidden="false" customHeight="false" outlineLevel="0" collapsed="false">
      <c r="A1426" s="0" t="s">
        <v>65</v>
      </c>
      <c r="C1426" s="0" t="s">
        <v>1415</v>
      </c>
      <c r="D1426" s="0" t="s">
        <v>993</v>
      </c>
      <c r="E1426" s="0" t="s">
        <v>1420</v>
      </c>
      <c r="F1426" s="0" t="n">
        <v>0</v>
      </c>
      <c r="G1426" s="0" t="n">
        <v>0</v>
      </c>
      <c r="H1426" s="0" t="s">
        <v>580</v>
      </c>
      <c r="K1426" s="0" t="s">
        <v>590</v>
      </c>
      <c r="L1426" s="0" t="s">
        <v>3058</v>
      </c>
    </row>
    <row r="1427" customFormat="false" ht="15" hidden="false" customHeight="false" outlineLevel="0" collapsed="false">
      <c r="A1427" s="0" t="s">
        <v>65</v>
      </c>
      <c r="C1427" s="0" t="s">
        <v>1415</v>
      </c>
      <c r="D1427" s="0" t="s">
        <v>126</v>
      </c>
      <c r="E1427" s="0" t="s">
        <v>1422</v>
      </c>
      <c r="F1427" s="0" t="n">
        <v>0</v>
      </c>
      <c r="G1427" s="0" t="n">
        <v>0</v>
      </c>
      <c r="H1427" s="0" t="s">
        <v>580</v>
      </c>
      <c r="K1427" s="0" t="s">
        <v>594</v>
      </c>
      <c r="L1427" s="0" t="s">
        <v>3059</v>
      </c>
    </row>
    <row r="1428" customFormat="false" ht="15" hidden="false" customHeight="false" outlineLevel="0" collapsed="false">
      <c r="A1428" s="0" t="s">
        <v>65</v>
      </c>
      <c r="B1428" s="0" t="s">
        <v>3048</v>
      </c>
      <c r="C1428" s="0" t="s">
        <v>1415</v>
      </c>
      <c r="D1428" s="0" t="s">
        <v>129</v>
      </c>
      <c r="E1428" s="0" t="s">
        <v>3060</v>
      </c>
      <c r="F1428" s="0" t="n">
        <v>0</v>
      </c>
      <c r="G1428" s="0" t="n">
        <v>1</v>
      </c>
      <c r="H1428" s="0" t="s">
        <v>580</v>
      </c>
      <c r="I1428" s="0" t="s">
        <v>403</v>
      </c>
      <c r="K1428" s="0" t="s">
        <v>597</v>
      </c>
      <c r="L1428" s="0" t="s">
        <v>3061</v>
      </c>
    </row>
    <row r="1429" customFormat="false" ht="15" hidden="false" customHeight="false" outlineLevel="0" collapsed="false">
      <c r="A1429" s="0" t="s">
        <v>65</v>
      </c>
      <c r="C1429" s="0" t="s">
        <v>1415</v>
      </c>
      <c r="D1429" s="0" t="s">
        <v>132</v>
      </c>
      <c r="E1429" s="0" t="s">
        <v>1426</v>
      </c>
      <c r="F1429" s="0" t="n">
        <v>0</v>
      </c>
      <c r="G1429" s="0" t="n">
        <v>0</v>
      </c>
      <c r="H1429" s="0" t="s">
        <v>580</v>
      </c>
      <c r="K1429" s="0" t="s">
        <v>600</v>
      </c>
      <c r="L1429" s="0" t="s">
        <v>3062</v>
      </c>
    </row>
    <row r="1430" customFormat="false" ht="15" hidden="false" customHeight="false" outlineLevel="0" collapsed="false">
      <c r="A1430" s="0" t="s">
        <v>65</v>
      </c>
      <c r="C1430" s="0" t="s">
        <v>1415</v>
      </c>
      <c r="D1430" s="0" t="s">
        <v>139</v>
      </c>
      <c r="E1430" s="0" t="s">
        <v>3063</v>
      </c>
      <c r="F1430" s="0" t="n">
        <v>0</v>
      </c>
      <c r="G1430" s="0" t="n">
        <v>0</v>
      </c>
      <c r="H1430" s="0" t="s">
        <v>580</v>
      </c>
      <c r="K1430" s="0" t="s">
        <v>604</v>
      </c>
      <c r="L1430" s="0" t="s">
        <v>3064</v>
      </c>
    </row>
    <row r="1431" customFormat="false" ht="15" hidden="false" customHeight="false" outlineLevel="0" collapsed="false">
      <c r="A1431" s="0" t="s">
        <v>65</v>
      </c>
      <c r="C1431" s="0" t="s">
        <v>1415</v>
      </c>
      <c r="D1431" s="0" t="s">
        <v>143</v>
      </c>
      <c r="E1431" s="0" t="s">
        <v>2430</v>
      </c>
      <c r="F1431" s="0" t="n">
        <v>0</v>
      </c>
      <c r="G1431" s="0" t="n">
        <v>0</v>
      </c>
      <c r="H1431" s="0" t="s">
        <v>580</v>
      </c>
      <c r="K1431" s="0" t="s">
        <v>607</v>
      </c>
      <c r="L1431" s="0" t="s">
        <v>3065</v>
      </c>
    </row>
    <row r="1432" customFormat="false" ht="15" hidden="false" customHeight="false" outlineLevel="0" collapsed="false">
      <c r="A1432" s="0" t="s">
        <v>65</v>
      </c>
      <c r="C1432" s="0" t="s">
        <v>1415</v>
      </c>
      <c r="D1432" s="0" t="s">
        <v>146</v>
      </c>
      <c r="E1432" s="0" t="s">
        <v>1432</v>
      </c>
      <c r="F1432" s="0" t="n">
        <v>0</v>
      </c>
      <c r="G1432" s="0" t="n">
        <v>0</v>
      </c>
      <c r="H1432" s="0" t="s">
        <v>580</v>
      </c>
      <c r="K1432" s="0" t="s">
        <v>610</v>
      </c>
      <c r="L1432" s="0" t="s">
        <v>3066</v>
      </c>
    </row>
    <row r="1433" customFormat="false" ht="15" hidden="false" customHeight="false" outlineLevel="0" collapsed="false">
      <c r="A1433" s="0" t="s">
        <v>65</v>
      </c>
      <c r="C1433" s="0" t="s">
        <v>1415</v>
      </c>
      <c r="D1433" s="0" t="s">
        <v>149</v>
      </c>
      <c r="E1433" s="0" t="s">
        <v>2433</v>
      </c>
      <c r="F1433" s="0" t="n">
        <v>0</v>
      </c>
      <c r="G1433" s="0" t="n">
        <v>0</v>
      </c>
      <c r="H1433" s="0" t="s">
        <v>580</v>
      </c>
      <c r="K1433" s="0" t="s">
        <v>613</v>
      </c>
      <c r="L1433" s="0" t="s">
        <v>3067</v>
      </c>
    </row>
    <row r="1434" customFormat="false" ht="15" hidden="false" customHeight="false" outlineLevel="0" collapsed="false">
      <c r="A1434" s="0" t="s">
        <v>65</v>
      </c>
      <c r="B1434" s="0" t="s">
        <v>946</v>
      </c>
      <c r="C1434" s="0" t="s">
        <v>1415</v>
      </c>
      <c r="D1434" s="0" t="s">
        <v>152</v>
      </c>
      <c r="E1434" s="0" t="s">
        <v>3068</v>
      </c>
      <c r="F1434" s="0" t="n">
        <v>0</v>
      </c>
      <c r="G1434" s="0" t="n">
        <v>4</v>
      </c>
      <c r="H1434" s="0" t="s">
        <v>580</v>
      </c>
      <c r="I1434" s="0" t="s">
        <v>399</v>
      </c>
      <c r="K1434" s="0" t="s">
        <v>616</v>
      </c>
      <c r="L1434" s="0" t="s">
        <v>3069</v>
      </c>
    </row>
    <row r="1435" customFormat="false" ht="15" hidden="false" customHeight="false" outlineLevel="0" collapsed="false">
      <c r="A1435" s="0" t="s">
        <v>65</v>
      </c>
      <c r="B1435" s="0" t="s">
        <v>946</v>
      </c>
      <c r="C1435" s="0" t="s">
        <v>1415</v>
      </c>
      <c r="D1435" s="0" t="s">
        <v>155</v>
      </c>
      <c r="E1435" s="0" t="s">
        <v>3070</v>
      </c>
      <c r="F1435" s="0" t="n">
        <v>0</v>
      </c>
      <c r="G1435" s="0" t="n">
        <v>4</v>
      </c>
      <c r="H1435" s="0" t="s">
        <v>580</v>
      </c>
      <c r="I1435" s="0" t="s">
        <v>399</v>
      </c>
      <c r="K1435" s="0" t="s">
        <v>620</v>
      </c>
      <c r="L1435" s="0" t="s">
        <v>3071</v>
      </c>
    </row>
    <row r="1436" customFormat="false" ht="15" hidden="false" customHeight="false" outlineLevel="0" collapsed="false">
      <c r="A1436" s="0" t="s">
        <v>65</v>
      </c>
      <c r="C1436" s="0" t="s">
        <v>1440</v>
      </c>
      <c r="D1436" s="0" t="s">
        <v>987</v>
      </c>
      <c r="E1436" s="0" t="s">
        <v>1441</v>
      </c>
      <c r="F1436" s="0" t="n">
        <v>0</v>
      </c>
      <c r="G1436" s="0" t="n">
        <v>0</v>
      </c>
      <c r="H1436" s="0" t="s">
        <v>580</v>
      </c>
      <c r="K1436" s="0" t="s">
        <v>581</v>
      </c>
      <c r="L1436" s="0" t="s">
        <v>3072</v>
      </c>
    </row>
    <row r="1437" customFormat="false" ht="15" hidden="false" customHeight="false" outlineLevel="0" collapsed="false">
      <c r="A1437" s="0" t="s">
        <v>65</v>
      </c>
      <c r="B1437" s="0" t="s">
        <v>3073</v>
      </c>
      <c r="C1437" s="0" t="s">
        <v>1440</v>
      </c>
      <c r="D1437" s="0" t="s">
        <v>990</v>
      </c>
      <c r="E1437" s="0" t="s">
        <v>3074</v>
      </c>
      <c r="F1437" s="0" t="n">
        <v>4</v>
      </c>
      <c r="G1437" s="0" t="n">
        <v>1</v>
      </c>
      <c r="H1437" s="0" t="s">
        <v>585</v>
      </c>
      <c r="I1437" s="0" t="s">
        <v>404</v>
      </c>
      <c r="K1437" s="0" t="s">
        <v>586</v>
      </c>
      <c r="L1437" s="0" t="s">
        <v>3075</v>
      </c>
    </row>
    <row r="1438" customFormat="false" ht="15" hidden="false" customHeight="false" outlineLevel="0" collapsed="false">
      <c r="A1438" s="0" t="s">
        <v>65</v>
      </c>
      <c r="C1438" s="0" t="s">
        <v>1440</v>
      </c>
      <c r="D1438" s="0" t="s">
        <v>993</v>
      </c>
      <c r="E1438" s="0" t="s">
        <v>1445</v>
      </c>
      <c r="F1438" s="0" t="n">
        <v>4</v>
      </c>
      <c r="G1438" s="0" t="n">
        <v>0</v>
      </c>
      <c r="H1438" s="0" t="s">
        <v>585</v>
      </c>
      <c r="K1438" s="0" t="s">
        <v>590</v>
      </c>
      <c r="L1438" s="0" t="s">
        <v>3076</v>
      </c>
    </row>
    <row r="1439" customFormat="false" ht="15" hidden="false" customHeight="false" outlineLevel="0" collapsed="false">
      <c r="A1439" s="0" t="s">
        <v>65</v>
      </c>
      <c r="C1439" s="0" t="s">
        <v>1440</v>
      </c>
      <c r="D1439" s="0" t="s">
        <v>126</v>
      </c>
      <c r="E1439" s="0" t="s">
        <v>1447</v>
      </c>
      <c r="F1439" s="0" t="n">
        <v>4</v>
      </c>
      <c r="G1439" s="0" t="n">
        <v>0</v>
      </c>
      <c r="H1439" s="0" t="s">
        <v>585</v>
      </c>
      <c r="K1439" s="0" t="s">
        <v>594</v>
      </c>
      <c r="L1439" s="0" t="s">
        <v>3077</v>
      </c>
    </row>
    <row r="1440" customFormat="false" ht="15" hidden="false" customHeight="false" outlineLevel="0" collapsed="false">
      <c r="A1440" s="0" t="s">
        <v>65</v>
      </c>
      <c r="C1440" s="0" t="s">
        <v>1440</v>
      </c>
      <c r="D1440" s="0" t="s">
        <v>129</v>
      </c>
      <c r="E1440" s="0" t="s">
        <v>2443</v>
      </c>
      <c r="F1440" s="0" t="n">
        <v>4</v>
      </c>
      <c r="G1440" s="0" t="n">
        <v>0</v>
      </c>
      <c r="H1440" s="0" t="s">
        <v>585</v>
      </c>
      <c r="K1440" s="0" t="s">
        <v>597</v>
      </c>
      <c r="L1440" s="0" t="s">
        <v>3078</v>
      </c>
    </row>
    <row r="1441" customFormat="false" ht="15" hidden="false" customHeight="false" outlineLevel="0" collapsed="false">
      <c r="A1441" s="0" t="s">
        <v>65</v>
      </c>
      <c r="C1441" s="0" t="s">
        <v>1440</v>
      </c>
      <c r="D1441" s="0" t="s">
        <v>132</v>
      </c>
      <c r="E1441" s="0" t="s">
        <v>1451</v>
      </c>
      <c r="F1441" s="0" t="n">
        <v>4</v>
      </c>
      <c r="G1441" s="0" t="n">
        <v>0</v>
      </c>
      <c r="H1441" s="0" t="s">
        <v>585</v>
      </c>
      <c r="K1441" s="0" t="s">
        <v>600</v>
      </c>
      <c r="L1441" s="0" t="s">
        <v>3079</v>
      </c>
    </row>
    <row r="1442" customFormat="false" ht="15" hidden="false" customHeight="false" outlineLevel="0" collapsed="false">
      <c r="A1442" s="0" t="s">
        <v>65</v>
      </c>
      <c r="C1442" s="0" t="s">
        <v>1440</v>
      </c>
      <c r="D1442" s="0" t="s">
        <v>139</v>
      </c>
      <c r="E1442" s="0" t="s">
        <v>3080</v>
      </c>
      <c r="F1442" s="0" t="n">
        <v>4</v>
      </c>
      <c r="G1442" s="0" t="n">
        <v>0</v>
      </c>
      <c r="H1442" s="0" t="s">
        <v>585</v>
      </c>
      <c r="K1442" s="0" t="s">
        <v>604</v>
      </c>
      <c r="L1442" s="0" t="s">
        <v>3081</v>
      </c>
    </row>
    <row r="1443" customFormat="false" ht="15" hidden="false" customHeight="false" outlineLevel="0" collapsed="false">
      <c r="A1443" s="0" t="s">
        <v>65</v>
      </c>
      <c r="B1443" s="0" t="s">
        <v>946</v>
      </c>
      <c r="C1443" s="0" t="s">
        <v>1440</v>
      </c>
      <c r="D1443" s="0" t="s">
        <v>143</v>
      </c>
      <c r="E1443" s="0" t="s">
        <v>3082</v>
      </c>
      <c r="F1443" s="0" t="n">
        <v>4</v>
      </c>
      <c r="G1443" s="0" t="n">
        <v>1</v>
      </c>
      <c r="H1443" s="0" t="s">
        <v>585</v>
      </c>
      <c r="I1443" s="0" t="s">
        <v>404</v>
      </c>
      <c r="K1443" s="0" t="s">
        <v>607</v>
      </c>
      <c r="L1443" s="0" t="s">
        <v>3083</v>
      </c>
    </row>
    <row r="1444" customFormat="false" ht="15" hidden="false" customHeight="false" outlineLevel="0" collapsed="false">
      <c r="A1444" s="0" t="s">
        <v>65</v>
      </c>
      <c r="B1444" s="0" t="s">
        <v>946</v>
      </c>
      <c r="C1444" s="0" t="s">
        <v>1440</v>
      </c>
      <c r="D1444" s="0" t="s">
        <v>146</v>
      </c>
      <c r="E1444" s="0" t="s">
        <v>3084</v>
      </c>
      <c r="F1444" s="0" t="n">
        <v>4</v>
      </c>
      <c r="G1444" s="0" t="n">
        <v>4</v>
      </c>
      <c r="H1444" s="0" t="s">
        <v>580</v>
      </c>
      <c r="I1444" s="0" t="s">
        <v>404</v>
      </c>
      <c r="K1444" s="0" t="s">
        <v>610</v>
      </c>
      <c r="L1444" s="0" t="s">
        <v>3085</v>
      </c>
    </row>
    <row r="1445" customFormat="false" ht="15" hidden="false" customHeight="false" outlineLevel="0" collapsed="false">
      <c r="A1445" s="0" t="s">
        <v>65</v>
      </c>
      <c r="B1445" s="0" t="s">
        <v>946</v>
      </c>
      <c r="C1445" s="0" t="s">
        <v>1440</v>
      </c>
      <c r="D1445" s="0" t="s">
        <v>149</v>
      </c>
      <c r="E1445" s="0" t="s">
        <v>3086</v>
      </c>
      <c r="F1445" s="0" t="n">
        <v>4</v>
      </c>
      <c r="G1445" s="0" t="n">
        <v>4</v>
      </c>
      <c r="H1445" s="0" t="s">
        <v>580</v>
      </c>
      <c r="I1445" s="0" t="s">
        <v>405</v>
      </c>
      <c r="K1445" s="0" t="s">
        <v>613</v>
      </c>
      <c r="L1445" s="0" t="s">
        <v>3087</v>
      </c>
    </row>
    <row r="1446" customFormat="false" ht="15" hidden="false" customHeight="false" outlineLevel="0" collapsed="false">
      <c r="A1446" s="0" t="s">
        <v>65</v>
      </c>
      <c r="B1446" s="0" t="s">
        <v>946</v>
      </c>
      <c r="C1446" s="0" t="s">
        <v>1440</v>
      </c>
      <c r="D1446" s="0" t="s">
        <v>152</v>
      </c>
      <c r="E1446" s="0" t="s">
        <v>3088</v>
      </c>
      <c r="F1446" s="0" t="n">
        <v>4</v>
      </c>
      <c r="G1446" s="0" t="n">
        <v>4</v>
      </c>
      <c r="H1446" s="0" t="s">
        <v>580</v>
      </c>
      <c r="I1446" s="0" t="s">
        <v>403</v>
      </c>
      <c r="K1446" s="0" t="s">
        <v>616</v>
      </c>
      <c r="L1446" s="0" t="s">
        <v>3089</v>
      </c>
    </row>
    <row r="1447" customFormat="false" ht="15" hidden="false" customHeight="false" outlineLevel="0" collapsed="false">
      <c r="A1447" s="0" t="s">
        <v>65</v>
      </c>
      <c r="B1447" s="0" t="s">
        <v>946</v>
      </c>
      <c r="C1447" s="0" t="s">
        <v>1440</v>
      </c>
      <c r="D1447" s="0" t="s">
        <v>155</v>
      </c>
      <c r="E1447" s="0" t="s">
        <v>3090</v>
      </c>
      <c r="F1447" s="0" t="n">
        <v>4</v>
      </c>
      <c r="G1447" s="0" t="n">
        <v>3</v>
      </c>
      <c r="H1447" s="0" t="s">
        <v>585</v>
      </c>
      <c r="I1447" s="0" t="s">
        <v>402</v>
      </c>
      <c r="K1447" s="0" t="s">
        <v>620</v>
      </c>
      <c r="L1447" s="0" t="s">
        <v>3091</v>
      </c>
    </row>
    <row r="1448" customFormat="false" ht="15" hidden="false" customHeight="false" outlineLevel="0" collapsed="false">
      <c r="A1448" s="0" t="s">
        <v>65</v>
      </c>
      <c r="C1448" s="0" t="s">
        <v>1465</v>
      </c>
      <c r="D1448" s="0" t="s">
        <v>987</v>
      </c>
      <c r="E1448" s="0" t="s">
        <v>1466</v>
      </c>
      <c r="F1448" s="0" t="n">
        <v>0</v>
      </c>
      <c r="G1448" s="0" t="n">
        <v>0</v>
      </c>
      <c r="H1448" s="0" t="s">
        <v>580</v>
      </c>
      <c r="K1448" s="0" t="s">
        <v>581</v>
      </c>
      <c r="L1448" s="0" t="s">
        <v>3092</v>
      </c>
    </row>
    <row r="1449" customFormat="false" ht="15" hidden="false" customHeight="false" outlineLevel="0" collapsed="false">
      <c r="A1449" s="0" t="s">
        <v>65</v>
      </c>
      <c r="B1449" s="0" t="s">
        <v>946</v>
      </c>
      <c r="C1449" s="0" t="s">
        <v>1465</v>
      </c>
      <c r="D1449" s="0" t="s">
        <v>990</v>
      </c>
      <c r="E1449" s="0" t="s">
        <v>3093</v>
      </c>
      <c r="F1449" s="0" t="n">
        <v>4</v>
      </c>
      <c r="G1449" s="0" t="n">
        <v>4</v>
      </c>
      <c r="H1449" s="0" t="s">
        <v>580</v>
      </c>
      <c r="I1449" s="0" t="s">
        <v>403</v>
      </c>
      <c r="K1449" s="0" t="s">
        <v>586</v>
      </c>
      <c r="L1449" s="0" t="s">
        <v>3094</v>
      </c>
    </row>
    <row r="1450" customFormat="false" ht="15" hidden="false" customHeight="false" outlineLevel="0" collapsed="false">
      <c r="A1450" s="0" t="s">
        <v>65</v>
      </c>
      <c r="B1450" s="0" t="s">
        <v>946</v>
      </c>
      <c r="C1450" s="0" t="s">
        <v>1465</v>
      </c>
      <c r="D1450" s="0" t="s">
        <v>993</v>
      </c>
      <c r="E1450" s="0" t="s">
        <v>3095</v>
      </c>
      <c r="F1450" s="0" t="n">
        <v>4</v>
      </c>
      <c r="G1450" s="0" t="n">
        <v>4</v>
      </c>
      <c r="H1450" s="0" t="s">
        <v>580</v>
      </c>
      <c r="I1450" s="0" t="s">
        <v>404</v>
      </c>
      <c r="K1450" s="0" t="s">
        <v>590</v>
      </c>
      <c r="L1450" s="0" t="s">
        <v>3096</v>
      </c>
    </row>
    <row r="1451" customFormat="false" ht="15" hidden="false" customHeight="false" outlineLevel="0" collapsed="false">
      <c r="A1451" s="0" t="s">
        <v>65</v>
      </c>
      <c r="B1451" s="0" t="s">
        <v>946</v>
      </c>
      <c r="C1451" s="0" t="s">
        <v>1465</v>
      </c>
      <c r="D1451" s="0" t="s">
        <v>126</v>
      </c>
      <c r="E1451" s="0" t="s">
        <v>3097</v>
      </c>
      <c r="F1451" s="0" t="n">
        <v>4</v>
      </c>
      <c r="G1451" s="0" t="n">
        <v>4</v>
      </c>
      <c r="H1451" s="0" t="s">
        <v>580</v>
      </c>
      <c r="I1451" s="0" t="s">
        <v>405</v>
      </c>
      <c r="K1451" s="0" t="s">
        <v>594</v>
      </c>
      <c r="L1451" s="0" t="s">
        <v>3098</v>
      </c>
    </row>
    <row r="1452" customFormat="false" ht="15" hidden="false" customHeight="false" outlineLevel="0" collapsed="false">
      <c r="A1452" s="0" t="s">
        <v>65</v>
      </c>
      <c r="B1452" s="0" t="s">
        <v>3048</v>
      </c>
      <c r="C1452" s="0" t="s">
        <v>1465</v>
      </c>
      <c r="D1452" s="0" t="s">
        <v>129</v>
      </c>
      <c r="E1452" s="0" t="s">
        <v>3099</v>
      </c>
      <c r="F1452" s="0" t="n">
        <v>4</v>
      </c>
      <c r="G1452" s="0" t="n">
        <v>3</v>
      </c>
      <c r="H1452" s="0" t="s">
        <v>585</v>
      </c>
      <c r="I1452" s="0" t="s">
        <v>404</v>
      </c>
      <c r="K1452" s="0" t="s">
        <v>597</v>
      </c>
      <c r="L1452" s="0" t="s">
        <v>3100</v>
      </c>
    </row>
    <row r="1453" customFormat="false" ht="15" hidden="false" customHeight="false" outlineLevel="0" collapsed="false">
      <c r="A1453" s="0" t="s">
        <v>65</v>
      </c>
      <c r="B1453" s="0" t="s">
        <v>946</v>
      </c>
      <c r="C1453" s="0" t="s">
        <v>1465</v>
      </c>
      <c r="D1453" s="0" t="s">
        <v>132</v>
      </c>
      <c r="E1453" s="0" t="s">
        <v>3101</v>
      </c>
      <c r="F1453" s="0" t="n">
        <v>4</v>
      </c>
      <c r="G1453" s="0" t="n">
        <v>1</v>
      </c>
      <c r="H1453" s="0" t="s">
        <v>585</v>
      </c>
      <c r="I1453" s="0" t="s">
        <v>406</v>
      </c>
      <c r="K1453" s="0" t="s">
        <v>600</v>
      </c>
      <c r="L1453" s="0" t="s">
        <v>3102</v>
      </c>
    </row>
    <row r="1454" customFormat="false" ht="15" hidden="false" customHeight="false" outlineLevel="0" collapsed="false">
      <c r="A1454" s="0" t="s">
        <v>65</v>
      </c>
      <c r="C1454" s="0" t="s">
        <v>1465</v>
      </c>
      <c r="D1454" s="0" t="s">
        <v>139</v>
      </c>
      <c r="E1454" s="0" t="s">
        <v>3103</v>
      </c>
      <c r="F1454" s="0" t="n">
        <v>4</v>
      </c>
      <c r="G1454" s="0" t="n">
        <v>0</v>
      </c>
      <c r="H1454" s="0" t="s">
        <v>585</v>
      </c>
      <c r="K1454" s="0" t="s">
        <v>604</v>
      </c>
      <c r="L1454" s="0" t="s">
        <v>3104</v>
      </c>
    </row>
    <row r="1455" customFormat="false" ht="15" hidden="false" customHeight="false" outlineLevel="0" collapsed="false">
      <c r="A1455" s="0" t="s">
        <v>65</v>
      </c>
      <c r="B1455" s="0" t="s">
        <v>946</v>
      </c>
      <c r="C1455" s="0" t="s">
        <v>1465</v>
      </c>
      <c r="D1455" s="0" t="s">
        <v>143</v>
      </c>
      <c r="E1455" s="0" t="s">
        <v>3105</v>
      </c>
      <c r="F1455" s="0" t="n">
        <v>4</v>
      </c>
      <c r="G1455" s="0" t="n">
        <v>4</v>
      </c>
      <c r="H1455" s="0" t="s">
        <v>580</v>
      </c>
      <c r="I1455" s="0" t="s">
        <v>400</v>
      </c>
      <c r="K1455" s="0" t="s">
        <v>607</v>
      </c>
      <c r="L1455" s="0" t="s">
        <v>3106</v>
      </c>
    </row>
    <row r="1456" customFormat="false" ht="15" hidden="false" customHeight="false" outlineLevel="0" collapsed="false">
      <c r="A1456" s="0" t="s">
        <v>65</v>
      </c>
      <c r="C1456" s="0" t="s">
        <v>1465</v>
      </c>
      <c r="D1456" s="0" t="s">
        <v>146</v>
      </c>
      <c r="E1456" s="0" t="s">
        <v>3107</v>
      </c>
      <c r="F1456" s="0" t="n">
        <v>4</v>
      </c>
      <c r="G1456" s="0" t="n">
        <v>0</v>
      </c>
      <c r="H1456" s="0" t="s">
        <v>585</v>
      </c>
      <c r="K1456" s="0" t="s">
        <v>610</v>
      </c>
      <c r="L1456" s="0" t="s">
        <v>3108</v>
      </c>
    </row>
    <row r="1457" customFormat="false" ht="15" hidden="false" customHeight="false" outlineLevel="0" collapsed="false">
      <c r="A1457" s="0" t="s">
        <v>65</v>
      </c>
      <c r="B1457" s="0" t="s">
        <v>3048</v>
      </c>
      <c r="C1457" s="0" t="s">
        <v>1465</v>
      </c>
      <c r="D1457" s="0" t="s">
        <v>149</v>
      </c>
      <c r="E1457" s="0" t="s">
        <v>3109</v>
      </c>
      <c r="F1457" s="0" t="n">
        <v>4</v>
      </c>
      <c r="G1457" s="0" t="n">
        <v>1</v>
      </c>
      <c r="H1457" s="0" t="s">
        <v>585</v>
      </c>
      <c r="I1457" s="0" t="s">
        <v>406</v>
      </c>
      <c r="K1457" s="0" t="s">
        <v>613</v>
      </c>
      <c r="L1457" s="0" t="s">
        <v>3110</v>
      </c>
    </row>
    <row r="1458" customFormat="false" ht="15" hidden="false" customHeight="false" outlineLevel="0" collapsed="false">
      <c r="A1458" s="0" t="s">
        <v>65</v>
      </c>
      <c r="C1458" s="0" t="s">
        <v>1465</v>
      </c>
      <c r="D1458" s="0" t="s">
        <v>152</v>
      </c>
      <c r="E1458" s="0" t="s">
        <v>3111</v>
      </c>
      <c r="F1458" s="0" t="n">
        <v>4</v>
      </c>
      <c r="G1458" s="0" t="n">
        <v>0</v>
      </c>
      <c r="H1458" s="0" t="s">
        <v>585</v>
      </c>
      <c r="K1458" s="0" t="s">
        <v>616</v>
      </c>
      <c r="L1458" s="0" t="s">
        <v>3112</v>
      </c>
    </row>
    <row r="1459" customFormat="false" ht="15" hidden="false" customHeight="false" outlineLevel="0" collapsed="false">
      <c r="A1459" s="0" t="s">
        <v>65</v>
      </c>
      <c r="B1459" s="0" t="s">
        <v>946</v>
      </c>
      <c r="C1459" s="0" t="s">
        <v>1465</v>
      </c>
      <c r="D1459" s="0" t="s">
        <v>155</v>
      </c>
      <c r="E1459" s="0" t="s">
        <v>3113</v>
      </c>
      <c r="F1459" s="0" t="n">
        <v>4</v>
      </c>
      <c r="G1459" s="0" t="n">
        <v>3</v>
      </c>
      <c r="H1459" s="0" t="s">
        <v>585</v>
      </c>
      <c r="I1459" s="0" t="s">
        <v>406</v>
      </c>
      <c r="K1459" s="0" t="s">
        <v>620</v>
      </c>
      <c r="L1459" s="0" t="s">
        <v>3114</v>
      </c>
    </row>
    <row r="1460" customFormat="false" ht="15" hidden="false" customHeight="false" outlineLevel="0" collapsed="false">
      <c r="A1460" s="0" t="s">
        <v>65</v>
      </c>
      <c r="C1460" s="0" t="s">
        <v>1490</v>
      </c>
      <c r="D1460" s="0" t="s">
        <v>987</v>
      </c>
      <c r="E1460" s="0" t="s">
        <v>1491</v>
      </c>
      <c r="F1460" s="0" t="n">
        <v>0</v>
      </c>
      <c r="G1460" s="0" t="n">
        <v>0</v>
      </c>
      <c r="H1460" s="0" t="s">
        <v>580</v>
      </c>
      <c r="K1460" s="0" t="s">
        <v>581</v>
      </c>
      <c r="L1460" s="0" t="s">
        <v>3115</v>
      </c>
    </row>
    <row r="1461" customFormat="false" ht="15" hidden="false" customHeight="false" outlineLevel="0" collapsed="false">
      <c r="A1461" s="0" t="s">
        <v>65</v>
      </c>
      <c r="C1461" s="0" t="s">
        <v>1490</v>
      </c>
      <c r="D1461" s="0" t="s">
        <v>990</v>
      </c>
      <c r="E1461" s="0" t="s">
        <v>3116</v>
      </c>
      <c r="F1461" s="0" t="n">
        <v>4</v>
      </c>
      <c r="G1461" s="0" t="n">
        <v>0</v>
      </c>
      <c r="H1461" s="0" t="s">
        <v>585</v>
      </c>
      <c r="K1461" s="0" t="s">
        <v>586</v>
      </c>
      <c r="L1461" s="0" t="s">
        <v>3117</v>
      </c>
    </row>
    <row r="1462" customFormat="false" ht="15" hidden="false" customHeight="false" outlineLevel="0" collapsed="false">
      <c r="A1462" s="0" t="s">
        <v>65</v>
      </c>
      <c r="B1462" s="0" t="s">
        <v>946</v>
      </c>
      <c r="C1462" s="0" t="s">
        <v>1490</v>
      </c>
      <c r="D1462" s="0" t="s">
        <v>993</v>
      </c>
      <c r="E1462" s="0" t="s">
        <v>3118</v>
      </c>
      <c r="F1462" s="0" t="n">
        <v>4</v>
      </c>
      <c r="G1462" s="0" t="n">
        <v>4</v>
      </c>
      <c r="H1462" s="0" t="s">
        <v>580</v>
      </c>
      <c r="I1462" s="0" t="s">
        <v>405</v>
      </c>
      <c r="K1462" s="0" t="s">
        <v>590</v>
      </c>
      <c r="L1462" s="0" t="s">
        <v>3119</v>
      </c>
    </row>
    <row r="1463" customFormat="false" ht="15" hidden="false" customHeight="false" outlineLevel="0" collapsed="false">
      <c r="A1463" s="0" t="s">
        <v>65</v>
      </c>
      <c r="B1463" s="0" t="s">
        <v>946</v>
      </c>
      <c r="C1463" s="0" t="s">
        <v>1490</v>
      </c>
      <c r="D1463" s="0" t="s">
        <v>126</v>
      </c>
      <c r="E1463" s="0" t="s">
        <v>3120</v>
      </c>
      <c r="F1463" s="0" t="n">
        <v>4</v>
      </c>
      <c r="G1463" s="0" t="n">
        <v>3</v>
      </c>
      <c r="H1463" s="0" t="s">
        <v>585</v>
      </c>
      <c r="I1463" s="0" t="s">
        <v>399</v>
      </c>
      <c r="K1463" s="0" t="s">
        <v>594</v>
      </c>
      <c r="L1463" s="0" t="s">
        <v>3121</v>
      </c>
    </row>
    <row r="1464" customFormat="false" ht="15" hidden="false" customHeight="false" outlineLevel="0" collapsed="false">
      <c r="A1464" s="0" t="s">
        <v>65</v>
      </c>
      <c r="C1464" s="0" t="s">
        <v>1490</v>
      </c>
      <c r="D1464" s="0" t="s">
        <v>129</v>
      </c>
      <c r="E1464" s="0" t="s">
        <v>3122</v>
      </c>
      <c r="F1464" s="0" t="n">
        <v>4</v>
      </c>
      <c r="G1464" s="0" t="n">
        <v>0</v>
      </c>
      <c r="H1464" s="0" t="s">
        <v>585</v>
      </c>
      <c r="K1464" s="0" t="s">
        <v>597</v>
      </c>
      <c r="L1464" s="0" t="s">
        <v>3123</v>
      </c>
    </row>
    <row r="1465" customFormat="false" ht="15" hidden="false" customHeight="false" outlineLevel="0" collapsed="false">
      <c r="A1465" s="0" t="s">
        <v>65</v>
      </c>
      <c r="C1465" s="0" t="s">
        <v>1490</v>
      </c>
      <c r="D1465" s="0" t="s">
        <v>132</v>
      </c>
      <c r="E1465" s="0" t="s">
        <v>1501</v>
      </c>
      <c r="F1465" s="0" t="n">
        <v>4</v>
      </c>
      <c r="G1465" s="0" t="n">
        <v>0</v>
      </c>
      <c r="H1465" s="0" t="s">
        <v>585</v>
      </c>
      <c r="K1465" s="0" t="s">
        <v>600</v>
      </c>
      <c r="L1465" s="0" t="s">
        <v>3124</v>
      </c>
    </row>
    <row r="1466" customFormat="false" ht="15" hidden="false" customHeight="false" outlineLevel="0" collapsed="false">
      <c r="A1466" s="0" t="s">
        <v>65</v>
      </c>
      <c r="C1466" s="0" t="s">
        <v>1490</v>
      </c>
      <c r="D1466" s="0" t="s">
        <v>139</v>
      </c>
      <c r="E1466" s="0" t="s">
        <v>3125</v>
      </c>
      <c r="F1466" s="0" t="n">
        <v>4</v>
      </c>
      <c r="G1466" s="0" t="n">
        <v>0</v>
      </c>
      <c r="H1466" s="0" t="s">
        <v>585</v>
      </c>
      <c r="K1466" s="0" t="s">
        <v>604</v>
      </c>
      <c r="L1466" s="0" t="s">
        <v>3126</v>
      </c>
    </row>
    <row r="1467" customFormat="false" ht="15" hidden="false" customHeight="false" outlineLevel="0" collapsed="false">
      <c r="A1467" s="0" t="s">
        <v>65</v>
      </c>
      <c r="C1467" s="0" t="s">
        <v>1490</v>
      </c>
      <c r="D1467" s="0" t="s">
        <v>143</v>
      </c>
      <c r="E1467" s="0" t="s">
        <v>3127</v>
      </c>
      <c r="F1467" s="0" t="n">
        <v>4</v>
      </c>
      <c r="G1467" s="0" t="n">
        <v>0</v>
      </c>
      <c r="H1467" s="0" t="s">
        <v>585</v>
      </c>
      <c r="K1467" s="0" t="s">
        <v>607</v>
      </c>
      <c r="L1467" s="0" t="s">
        <v>3128</v>
      </c>
    </row>
    <row r="1468" customFormat="false" ht="15" hidden="false" customHeight="false" outlineLevel="0" collapsed="false">
      <c r="A1468" s="0" t="s">
        <v>65</v>
      </c>
      <c r="C1468" s="0" t="s">
        <v>1490</v>
      </c>
      <c r="D1468" s="0" t="s">
        <v>146</v>
      </c>
      <c r="E1468" s="0" t="s">
        <v>3129</v>
      </c>
      <c r="F1468" s="0" t="n">
        <v>4</v>
      </c>
      <c r="G1468" s="0" t="n">
        <v>0</v>
      </c>
      <c r="H1468" s="0" t="s">
        <v>585</v>
      </c>
      <c r="K1468" s="0" t="s">
        <v>610</v>
      </c>
      <c r="L1468" s="0" t="s">
        <v>3130</v>
      </c>
    </row>
    <row r="1469" customFormat="false" ht="15" hidden="false" customHeight="false" outlineLevel="0" collapsed="false">
      <c r="A1469" s="0" t="s">
        <v>65</v>
      </c>
      <c r="C1469" s="0" t="s">
        <v>1490</v>
      </c>
      <c r="D1469" s="0" t="s">
        <v>149</v>
      </c>
      <c r="E1469" s="0" t="s">
        <v>3131</v>
      </c>
      <c r="F1469" s="0" t="n">
        <v>4</v>
      </c>
      <c r="G1469" s="0" t="n">
        <v>0</v>
      </c>
      <c r="H1469" s="0" t="s">
        <v>585</v>
      </c>
      <c r="K1469" s="0" t="s">
        <v>613</v>
      </c>
      <c r="L1469" s="0" t="s">
        <v>3132</v>
      </c>
    </row>
    <row r="1470" customFormat="false" ht="15" hidden="false" customHeight="false" outlineLevel="0" collapsed="false">
      <c r="A1470" s="0" t="s">
        <v>65</v>
      </c>
      <c r="B1470" s="0" t="s">
        <v>946</v>
      </c>
      <c r="C1470" s="0" t="s">
        <v>1490</v>
      </c>
      <c r="D1470" s="0" t="s">
        <v>152</v>
      </c>
      <c r="E1470" s="0" t="s">
        <v>3133</v>
      </c>
      <c r="F1470" s="0" t="n">
        <v>4</v>
      </c>
      <c r="G1470" s="0" t="n">
        <v>4</v>
      </c>
      <c r="H1470" s="0" t="s">
        <v>580</v>
      </c>
      <c r="I1470" s="0" t="s">
        <v>399</v>
      </c>
      <c r="K1470" s="0" t="s">
        <v>616</v>
      </c>
      <c r="L1470" s="0" t="s">
        <v>3134</v>
      </c>
    </row>
    <row r="1471" customFormat="false" ht="15" hidden="false" customHeight="false" outlineLevel="0" collapsed="false">
      <c r="A1471" s="0" t="s">
        <v>65</v>
      </c>
      <c r="C1471" s="0" t="s">
        <v>1490</v>
      </c>
      <c r="D1471" s="0" t="s">
        <v>155</v>
      </c>
      <c r="E1471" s="0" t="s">
        <v>1513</v>
      </c>
      <c r="F1471" s="0" t="n">
        <v>4</v>
      </c>
      <c r="G1471" s="0" t="n">
        <v>0</v>
      </c>
      <c r="H1471" s="0" t="s">
        <v>585</v>
      </c>
      <c r="K1471" s="0" t="s">
        <v>620</v>
      </c>
      <c r="L1471" s="0" t="s">
        <v>3135</v>
      </c>
    </row>
    <row r="1472" customFormat="false" ht="15" hidden="false" customHeight="false" outlineLevel="0" collapsed="false">
      <c r="A1472" s="0" t="s">
        <v>65</v>
      </c>
      <c r="C1472" s="0" t="s">
        <v>1515</v>
      </c>
      <c r="D1472" s="0" t="s">
        <v>987</v>
      </c>
      <c r="E1472" s="0" t="s">
        <v>1516</v>
      </c>
      <c r="F1472" s="0" t="n">
        <v>0</v>
      </c>
      <c r="G1472" s="0" t="n">
        <v>0</v>
      </c>
      <c r="H1472" s="0" t="s">
        <v>580</v>
      </c>
      <c r="K1472" s="0" t="s">
        <v>581</v>
      </c>
      <c r="L1472" s="0" t="s">
        <v>3136</v>
      </c>
    </row>
    <row r="1473" customFormat="false" ht="15" hidden="false" customHeight="false" outlineLevel="0" collapsed="false">
      <c r="A1473" s="0" t="s">
        <v>65</v>
      </c>
      <c r="C1473" s="0" t="s">
        <v>1515</v>
      </c>
      <c r="D1473" s="0" t="s">
        <v>990</v>
      </c>
      <c r="E1473" s="0" t="s">
        <v>1518</v>
      </c>
      <c r="F1473" s="0" t="n">
        <v>0</v>
      </c>
      <c r="G1473" s="0" t="n">
        <v>0</v>
      </c>
      <c r="H1473" s="0" t="s">
        <v>580</v>
      </c>
      <c r="K1473" s="0" t="s">
        <v>586</v>
      </c>
      <c r="L1473" s="0" t="s">
        <v>3137</v>
      </c>
    </row>
    <row r="1474" customFormat="false" ht="15" hidden="false" customHeight="false" outlineLevel="0" collapsed="false">
      <c r="A1474" s="0" t="s">
        <v>65</v>
      </c>
      <c r="C1474" s="0" t="s">
        <v>1515</v>
      </c>
      <c r="D1474" s="0" t="s">
        <v>993</v>
      </c>
      <c r="E1474" s="0" t="s">
        <v>1520</v>
      </c>
      <c r="F1474" s="0" t="n">
        <v>0</v>
      </c>
      <c r="G1474" s="0" t="n">
        <v>0</v>
      </c>
      <c r="H1474" s="0" t="s">
        <v>580</v>
      </c>
      <c r="K1474" s="0" t="s">
        <v>590</v>
      </c>
      <c r="L1474" s="0" t="s">
        <v>3138</v>
      </c>
    </row>
    <row r="1475" customFormat="false" ht="15" hidden="false" customHeight="false" outlineLevel="0" collapsed="false">
      <c r="A1475" s="0" t="s">
        <v>65</v>
      </c>
      <c r="C1475" s="0" t="s">
        <v>1515</v>
      </c>
      <c r="D1475" s="0" t="s">
        <v>126</v>
      </c>
      <c r="E1475" s="0" t="s">
        <v>1522</v>
      </c>
      <c r="F1475" s="0" t="n">
        <v>0</v>
      </c>
      <c r="G1475" s="0" t="n">
        <v>0</v>
      </c>
      <c r="H1475" s="0" t="s">
        <v>580</v>
      </c>
      <c r="K1475" s="0" t="s">
        <v>594</v>
      </c>
      <c r="L1475" s="0" t="s">
        <v>3139</v>
      </c>
    </row>
    <row r="1476" customFormat="false" ht="15" hidden="false" customHeight="false" outlineLevel="0" collapsed="false">
      <c r="A1476" s="0" t="s">
        <v>65</v>
      </c>
      <c r="C1476" s="0" t="s">
        <v>1515</v>
      </c>
      <c r="D1476" s="0" t="s">
        <v>129</v>
      </c>
      <c r="E1476" s="0" t="s">
        <v>1524</v>
      </c>
      <c r="F1476" s="0" t="n">
        <v>0</v>
      </c>
      <c r="G1476" s="0" t="n">
        <v>0</v>
      </c>
      <c r="H1476" s="0" t="s">
        <v>580</v>
      </c>
      <c r="K1476" s="0" t="s">
        <v>597</v>
      </c>
      <c r="L1476" s="0" t="s">
        <v>3140</v>
      </c>
    </row>
    <row r="1477" customFormat="false" ht="15" hidden="false" customHeight="false" outlineLevel="0" collapsed="false">
      <c r="A1477" s="0" t="s">
        <v>65</v>
      </c>
      <c r="C1477" s="0" t="s">
        <v>1515</v>
      </c>
      <c r="D1477" s="0" t="s">
        <v>132</v>
      </c>
      <c r="E1477" s="0" t="s">
        <v>1526</v>
      </c>
      <c r="F1477" s="0" t="n">
        <v>0</v>
      </c>
      <c r="G1477" s="0" t="n">
        <v>0</v>
      </c>
      <c r="H1477" s="0" t="s">
        <v>580</v>
      </c>
      <c r="K1477" s="0" t="s">
        <v>600</v>
      </c>
      <c r="L1477" s="0" t="s">
        <v>3141</v>
      </c>
    </row>
    <row r="1478" customFormat="false" ht="15" hidden="false" customHeight="false" outlineLevel="0" collapsed="false">
      <c r="A1478" s="0" t="s">
        <v>65</v>
      </c>
      <c r="C1478" s="0" t="s">
        <v>1515</v>
      </c>
      <c r="D1478" s="0" t="s">
        <v>139</v>
      </c>
      <c r="E1478" s="0" t="s">
        <v>1528</v>
      </c>
      <c r="F1478" s="0" t="n">
        <v>0</v>
      </c>
      <c r="G1478" s="0" t="n">
        <v>0</v>
      </c>
      <c r="H1478" s="0" t="s">
        <v>580</v>
      </c>
      <c r="K1478" s="0" t="s">
        <v>604</v>
      </c>
      <c r="L1478" s="0" t="s">
        <v>3142</v>
      </c>
    </row>
    <row r="1479" customFormat="false" ht="15" hidden="false" customHeight="false" outlineLevel="0" collapsed="false">
      <c r="A1479" s="0" t="s">
        <v>65</v>
      </c>
      <c r="C1479" s="0" t="s">
        <v>1515</v>
      </c>
      <c r="D1479" s="0" t="s">
        <v>143</v>
      </c>
      <c r="E1479" s="0" t="s">
        <v>1530</v>
      </c>
      <c r="F1479" s="0" t="n">
        <v>0</v>
      </c>
      <c r="G1479" s="0" t="n">
        <v>0</v>
      </c>
      <c r="H1479" s="0" t="s">
        <v>580</v>
      </c>
      <c r="K1479" s="0" t="s">
        <v>607</v>
      </c>
      <c r="L1479" s="0" t="s">
        <v>3143</v>
      </c>
    </row>
    <row r="1480" customFormat="false" ht="15" hidden="false" customHeight="false" outlineLevel="0" collapsed="false">
      <c r="A1480" s="0" t="s">
        <v>65</v>
      </c>
      <c r="C1480" s="0" t="s">
        <v>1515</v>
      </c>
      <c r="D1480" s="0" t="s">
        <v>146</v>
      </c>
      <c r="E1480" s="0" t="s">
        <v>1532</v>
      </c>
      <c r="F1480" s="0" t="n">
        <v>0</v>
      </c>
      <c r="G1480" s="0" t="n">
        <v>0</v>
      </c>
      <c r="H1480" s="0" t="s">
        <v>580</v>
      </c>
      <c r="K1480" s="0" t="s">
        <v>610</v>
      </c>
      <c r="L1480" s="0" t="s">
        <v>3144</v>
      </c>
    </row>
    <row r="1481" customFormat="false" ht="15" hidden="false" customHeight="false" outlineLevel="0" collapsed="false">
      <c r="A1481" s="0" t="s">
        <v>65</v>
      </c>
      <c r="C1481" s="0" t="s">
        <v>1515</v>
      </c>
      <c r="D1481" s="0" t="s">
        <v>149</v>
      </c>
      <c r="E1481" s="0" t="s">
        <v>2499</v>
      </c>
      <c r="F1481" s="0" t="n">
        <v>0</v>
      </c>
      <c r="G1481" s="0" t="n">
        <v>0</v>
      </c>
      <c r="H1481" s="0" t="s">
        <v>580</v>
      </c>
      <c r="K1481" s="0" t="s">
        <v>613</v>
      </c>
      <c r="L1481" s="0" t="s">
        <v>3145</v>
      </c>
    </row>
    <row r="1482" customFormat="false" ht="15" hidden="false" customHeight="false" outlineLevel="0" collapsed="false">
      <c r="A1482" s="0" t="s">
        <v>65</v>
      </c>
      <c r="C1482" s="0" t="s">
        <v>1515</v>
      </c>
      <c r="D1482" s="0" t="s">
        <v>152</v>
      </c>
      <c r="E1482" s="0" t="s">
        <v>2501</v>
      </c>
      <c r="F1482" s="0" t="n">
        <v>0</v>
      </c>
      <c r="G1482" s="0" t="n">
        <v>0</v>
      </c>
      <c r="H1482" s="0" t="s">
        <v>580</v>
      </c>
      <c r="K1482" s="0" t="s">
        <v>616</v>
      </c>
      <c r="L1482" s="0" t="s">
        <v>3146</v>
      </c>
    </row>
    <row r="1483" customFormat="false" ht="15" hidden="false" customHeight="false" outlineLevel="0" collapsed="false">
      <c r="A1483" s="0" t="s">
        <v>65</v>
      </c>
      <c r="C1483" s="0" t="s">
        <v>1515</v>
      </c>
      <c r="D1483" s="0" t="s">
        <v>155</v>
      </c>
      <c r="E1483" s="0" t="s">
        <v>2503</v>
      </c>
      <c r="F1483" s="0" t="n">
        <v>0</v>
      </c>
      <c r="G1483" s="0" t="n">
        <v>0</v>
      </c>
      <c r="H1483" s="0" t="s">
        <v>580</v>
      </c>
      <c r="K1483" s="0" t="s">
        <v>620</v>
      </c>
      <c r="L1483" s="0" t="s">
        <v>3147</v>
      </c>
    </row>
    <row r="1484" customFormat="false" ht="15" hidden="false" customHeight="false" outlineLevel="0" collapsed="false">
      <c r="A1484" s="0" t="s">
        <v>65</v>
      </c>
      <c r="C1484" s="0" t="s">
        <v>1540</v>
      </c>
      <c r="D1484" s="0" t="s">
        <v>987</v>
      </c>
      <c r="E1484" s="0" t="s">
        <v>1541</v>
      </c>
      <c r="F1484" s="0" t="n">
        <v>0</v>
      </c>
      <c r="G1484" s="0" t="n">
        <v>0</v>
      </c>
      <c r="H1484" s="0" t="s">
        <v>580</v>
      </c>
      <c r="K1484" s="0" t="s">
        <v>581</v>
      </c>
      <c r="L1484" s="0" t="s">
        <v>3148</v>
      </c>
    </row>
    <row r="1485" customFormat="false" ht="15" hidden="false" customHeight="false" outlineLevel="0" collapsed="false">
      <c r="A1485" s="0" t="s">
        <v>65</v>
      </c>
      <c r="C1485" s="0" t="s">
        <v>1540</v>
      </c>
      <c r="D1485" s="0" t="s">
        <v>990</v>
      </c>
      <c r="E1485" s="0" t="s">
        <v>1543</v>
      </c>
      <c r="F1485" s="0" t="n">
        <v>0</v>
      </c>
      <c r="G1485" s="0" t="n">
        <v>0</v>
      </c>
      <c r="H1485" s="0" t="s">
        <v>580</v>
      </c>
      <c r="K1485" s="0" t="s">
        <v>586</v>
      </c>
      <c r="L1485" s="0" t="s">
        <v>3149</v>
      </c>
    </row>
    <row r="1486" customFormat="false" ht="15" hidden="false" customHeight="false" outlineLevel="0" collapsed="false">
      <c r="A1486" s="0" t="s">
        <v>65</v>
      </c>
      <c r="C1486" s="0" t="s">
        <v>1540</v>
      </c>
      <c r="D1486" s="0" t="s">
        <v>993</v>
      </c>
      <c r="E1486" s="0" t="s">
        <v>1545</v>
      </c>
      <c r="F1486" s="0" t="n">
        <v>0</v>
      </c>
      <c r="G1486" s="0" t="n">
        <v>0</v>
      </c>
      <c r="H1486" s="0" t="s">
        <v>580</v>
      </c>
      <c r="K1486" s="0" t="s">
        <v>590</v>
      </c>
      <c r="L1486" s="0" t="s">
        <v>3150</v>
      </c>
    </row>
    <row r="1487" customFormat="false" ht="15" hidden="false" customHeight="false" outlineLevel="0" collapsed="false">
      <c r="A1487" s="0" t="s">
        <v>65</v>
      </c>
      <c r="C1487" s="0" t="s">
        <v>1540</v>
      </c>
      <c r="D1487" s="0" t="s">
        <v>126</v>
      </c>
      <c r="E1487" s="0" t="s">
        <v>1547</v>
      </c>
      <c r="F1487" s="0" t="n">
        <v>0</v>
      </c>
      <c r="G1487" s="0" t="n">
        <v>0</v>
      </c>
      <c r="H1487" s="0" t="s">
        <v>580</v>
      </c>
      <c r="K1487" s="0" t="s">
        <v>594</v>
      </c>
      <c r="L1487" s="0" t="s">
        <v>3151</v>
      </c>
    </row>
    <row r="1488" customFormat="false" ht="15" hidden="false" customHeight="false" outlineLevel="0" collapsed="false">
      <c r="A1488" s="0" t="s">
        <v>65</v>
      </c>
      <c r="C1488" s="0" t="s">
        <v>1540</v>
      </c>
      <c r="D1488" s="0" t="s">
        <v>129</v>
      </c>
      <c r="E1488" s="0" t="s">
        <v>1549</v>
      </c>
      <c r="F1488" s="0" t="n">
        <v>0</v>
      </c>
      <c r="G1488" s="0" t="n">
        <v>0</v>
      </c>
      <c r="H1488" s="0" t="s">
        <v>580</v>
      </c>
      <c r="K1488" s="0" t="s">
        <v>597</v>
      </c>
      <c r="L1488" s="0" t="s">
        <v>3152</v>
      </c>
    </row>
    <row r="1489" customFormat="false" ht="15" hidden="false" customHeight="false" outlineLevel="0" collapsed="false">
      <c r="A1489" s="0" t="s">
        <v>65</v>
      </c>
      <c r="C1489" s="0" t="s">
        <v>1540</v>
      </c>
      <c r="D1489" s="0" t="s">
        <v>132</v>
      </c>
      <c r="E1489" s="0" t="s">
        <v>1551</v>
      </c>
      <c r="F1489" s="0" t="n">
        <v>0</v>
      </c>
      <c r="G1489" s="0" t="n">
        <v>0</v>
      </c>
      <c r="H1489" s="0" t="s">
        <v>580</v>
      </c>
      <c r="K1489" s="0" t="s">
        <v>600</v>
      </c>
      <c r="L1489" s="0" t="s">
        <v>3153</v>
      </c>
    </row>
    <row r="1490" customFormat="false" ht="15" hidden="false" customHeight="false" outlineLevel="0" collapsed="false">
      <c r="A1490" s="0" t="s">
        <v>65</v>
      </c>
      <c r="C1490" s="0" t="s">
        <v>1540</v>
      </c>
      <c r="D1490" s="0" t="s">
        <v>139</v>
      </c>
      <c r="E1490" s="0" t="s">
        <v>1553</v>
      </c>
      <c r="F1490" s="0" t="n">
        <v>0</v>
      </c>
      <c r="G1490" s="0" t="n">
        <v>0</v>
      </c>
      <c r="H1490" s="0" t="s">
        <v>580</v>
      </c>
      <c r="K1490" s="0" t="s">
        <v>604</v>
      </c>
      <c r="L1490" s="0" t="s">
        <v>3154</v>
      </c>
    </row>
    <row r="1491" customFormat="false" ht="15" hidden="false" customHeight="false" outlineLevel="0" collapsed="false">
      <c r="A1491" s="0" t="s">
        <v>65</v>
      </c>
      <c r="C1491" s="0" t="s">
        <v>1540</v>
      </c>
      <c r="D1491" s="0" t="s">
        <v>143</v>
      </c>
      <c r="E1491" s="0" t="s">
        <v>1555</v>
      </c>
      <c r="F1491" s="0" t="n">
        <v>0</v>
      </c>
      <c r="G1491" s="0" t="n">
        <v>0</v>
      </c>
      <c r="H1491" s="0" t="s">
        <v>580</v>
      </c>
      <c r="K1491" s="0" t="s">
        <v>607</v>
      </c>
      <c r="L1491" s="0" t="s">
        <v>3155</v>
      </c>
    </row>
    <row r="1492" customFormat="false" ht="15" hidden="false" customHeight="false" outlineLevel="0" collapsed="false">
      <c r="A1492" s="0" t="s">
        <v>65</v>
      </c>
      <c r="C1492" s="0" t="s">
        <v>1540</v>
      </c>
      <c r="D1492" s="0" t="s">
        <v>146</v>
      </c>
      <c r="E1492" s="0" t="s">
        <v>1557</v>
      </c>
      <c r="F1492" s="0" t="n">
        <v>0</v>
      </c>
      <c r="G1492" s="0" t="n">
        <v>0</v>
      </c>
      <c r="H1492" s="0" t="s">
        <v>580</v>
      </c>
      <c r="K1492" s="0" t="s">
        <v>610</v>
      </c>
      <c r="L1492" s="0" t="s">
        <v>3156</v>
      </c>
    </row>
    <row r="1493" customFormat="false" ht="15" hidden="false" customHeight="false" outlineLevel="0" collapsed="false">
      <c r="A1493" s="0" t="s">
        <v>65</v>
      </c>
      <c r="C1493" s="0" t="s">
        <v>1540</v>
      </c>
      <c r="D1493" s="0" t="s">
        <v>149</v>
      </c>
      <c r="E1493" s="0" t="s">
        <v>1559</v>
      </c>
      <c r="F1493" s="0" t="n">
        <v>0</v>
      </c>
      <c r="G1493" s="0" t="n">
        <v>0</v>
      </c>
      <c r="H1493" s="0" t="s">
        <v>580</v>
      </c>
      <c r="K1493" s="0" t="s">
        <v>613</v>
      </c>
      <c r="L1493" s="0" t="s">
        <v>3157</v>
      </c>
    </row>
    <row r="1494" customFormat="false" ht="15" hidden="false" customHeight="false" outlineLevel="0" collapsed="false">
      <c r="A1494" s="0" t="s">
        <v>65</v>
      </c>
      <c r="C1494" s="0" t="s">
        <v>1540</v>
      </c>
      <c r="D1494" s="0" t="s">
        <v>152</v>
      </c>
      <c r="E1494" s="0" t="s">
        <v>1561</v>
      </c>
      <c r="F1494" s="0" t="n">
        <v>0</v>
      </c>
      <c r="G1494" s="0" t="n">
        <v>0</v>
      </c>
      <c r="H1494" s="0" t="s">
        <v>580</v>
      </c>
      <c r="K1494" s="0" t="s">
        <v>616</v>
      </c>
      <c r="L1494" s="0" t="s">
        <v>3158</v>
      </c>
    </row>
    <row r="1495" customFormat="false" ht="15" hidden="false" customHeight="false" outlineLevel="0" collapsed="false">
      <c r="A1495" s="0" t="s">
        <v>65</v>
      </c>
      <c r="C1495" s="0" t="s">
        <v>1540</v>
      </c>
      <c r="D1495" s="0" t="s">
        <v>155</v>
      </c>
      <c r="E1495" s="0" t="s">
        <v>1563</v>
      </c>
      <c r="F1495" s="0" t="n">
        <v>0</v>
      </c>
      <c r="G1495" s="0" t="n">
        <v>0</v>
      </c>
      <c r="H1495" s="0" t="s">
        <v>580</v>
      </c>
      <c r="K1495" s="0" t="s">
        <v>620</v>
      </c>
      <c r="L1495" s="0" t="s">
        <v>3159</v>
      </c>
    </row>
    <row r="1496" customFormat="false" ht="15" hidden="false" customHeight="false" outlineLevel="0" collapsed="false">
      <c r="A1496" s="0" t="s">
        <v>65</v>
      </c>
      <c r="C1496" s="0" t="s">
        <v>1565</v>
      </c>
      <c r="D1496" s="0" t="s">
        <v>987</v>
      </c>
      <c r="E1496" s="0" t="s">
        <v>1566</v>
      </c>
      <c r="F1496" s="0" t="n">
        <v>0</v>
      </c>
      <c r="G1496" s="0" t="n">
        <v>0</v>
      </c>
      <c r="H1496" s="0" t="s">
        <v>580</v>
      </c>
      <c r="K1496" s="0" t="s">
        <v>581</v>
      </c>
      <c r="L1496" s="0" t="s">
        <v>3160</v>
      </c>
    </row>
    <row r="1497" customFormat="false" ht="15" hidden="false" customHeight="false" outlineLevel="0" collapsed="false">
      <c r="A1497" s="0" t="s">
        <v>65</v>
      </c>
      <c r="C1497" s="0" t="s">
        <v>1565</v>
      </c>
      <c r="D1497" s="0" t="s">
        <v>990</v>
      </c>
      <c r="E1497" s="0" t="s">
        <v>1568</v>
      </c>
      <c r="F1497" s="0" t="n">
        <v>0</v>
      </c>
      <c r="G1497" s="0" t="n">
        <v>0</v>
      </c>
      <c r="H1497" s="0" t="s">
        <v>580</v>
      </c>
      <c r="K1497" s="0" t="s">
        <v>586</v>
      </c>
      <c r="L1497" s="0" t="s">
        <v>3161</v>
      </c>
    </row>
    <row r="1498" customFormat="false" ht="15" hidden="false" customHeight="false" outlineLevel="0" collapsed="false">
      <c r="A1498" s="0" t="s">
        <v>65</v>
      </c>
      <c r="C1498" s="0" t="s">
        <v>1565</v>
      </c>
      <c r="D1498" s="0" t="s">
        <v>993</v>
      </c>
      <c r="E1498" s="0" t="s">
        <v>1570</v>
      </c>
      <c r="F1498" s="0" t="n">
        <v>0</v>
      </c>
      <c r="G1498" s="0" t="n">
        <v>0</v>
      </c>
      <c r="H1498" s="0" t="s">
        <v>580</v>
      </c>
      <c r="K1498" s="0" t="s">
        <v>590</v>
      </c>
      <c r="L1498" s="0" t="s">
        <v>3162</v>
      </c>
    </row>
    <row r="1499" customFormat="false" ht="15" hidden="false" customHeight="false" outlineLevel="0" collapsed="false">
      <c r="A1499" s="0" t="s">
        <v>65</v>
      </c>
      <c r="C1499" s="0" t="s">
        <v>1565</v>
      </c>
      <c r="D1499" s="0" t="s">
        <v>126</v>
      </c>
      <c r="E1499" s="0" t="s">
        <v>1572</v>
      </c>
      <c r="F1499" s="0" t="n">
        <v>0</v>
      </c>
      <c r="G1499" s="0" t="n">
        <v>0</v>
      </c>
      <c r="H1499" s="0" t="s">
        <v>580</v>
      </c>
      <c r="K1499" s="0" t="s">
        <v>594</v>
      </c>
      <c r="L1499" s="0" t="s">
        <v>3163</v>
      </c>
    </row>
    <row r="1500" customFormat="false" ht="15" hidden="false" customHeight="false" outlineLevel="0" collapsed="false">
      <c r="A1500" s="0" t="s">
        <v>65</v>
      </c>
      <c r="C1500" s="0" t="s">
        <v>1565</v>
      </c>
      <c r="D1500" s="0" t="s">
        <v>129</v>
      </c>
      <c r="E1500" s="0" t="s">
        <v>1574</v>
      </c>
      <c r="F1500" s="0" t="n">
        <v>0</v>
      </c>
      <c r="G1500" s="0" t="n">
        <v>0</v>
      </c>
      <c r="H1500" s="0" t="s">
        <v>580</v>
      </c>
      <c r="K1500" s="0" t="s">
        <v>597</v>
      </c>
      <c r="L1500" s="0" t="s">
        <v>3164</v>
      </c>
    </row>
    <row r="1501" customFormat="false" ht="15" hidden="false" customHeight="false" outlineLevel="0" collapsed="false">
      <c r="A1501" s="0" t="s">
        <v>65</v>
      </c>
      <c r="C1501" s="0" t="s">
        <v>1565</v>
      </c>
      <c r="D1501" s="0" t="s">
        <v>132</v>
      </c>
      <c r="E1501" s="0" t="s">
        <v>1576</v>
      </c>
      <c r="F1501" s="0" t="n">
        <v>0</v>
      </c>
      <c r="G1501" s="0" t="n">
        <v>0</v>
      </c>
      <c r="H1501" s="0" t="s">
        <v>580</v>
      </c>
      <c r="K1501" s="0" t="s">
        <v>600</v>
      </c>
      <c r="L1501" s="0" t="s">
        <v>3165</v>
      </c>
    </row>
    <row r="1502" customFormat="false" ht="15" hidden="false" customHeight="false" outlineLevel="0" collapsed="false">
      <c r="A1502" s="0" t="s">
        <v>65</v>
      </c>
      <c r="C1502" s="0" t="s">
        <v>1565</v>
      </c>
      <c r="D1502" s="0" t="s">
        <v>139</v>
      </c>
      <c r="E1502" s="0" t="s">
        <v>1578</v>
      </c>
      <c r="F1502" s="0" t="n">
        <v>0</v>
      </c>
      <c r="G1502" s="0" t="n">
        <v>0</v>
      </c>
      <c r="H1502" s="0" t="s">
        <v>580</v>
      </c>
      <c r="K1502" s="0" t="s">
        <v>604</v>
      </c>
      <c r="L1502" s="0" t="s">
        <v>3166</v>
      </c>
    </row>
    <row r="1503" customFormat="false" ht="15" hidden="false" customHeight="false" outlineLevel="0" collapsed="false">
      <c r="A1503" s="0" t="s">
        <v>65</v>
      </c>
      <c r="C1503" s="0" t="s">
        <v>1565</v>
      </c>
      <c r="D1503" s="0" t="s">
        <v>143</v>
      </c>
      <c r="E1503" s="0" t="s">
        <v>1580</v>
      </c>
      <c r="F1503" s="0" t="n">
        <v>0</v>
      </c>
      <c r="G1503" s="0" t="n">
        <v>0</v>
      </c>
      <c r="H1503" s="0" t="s">
        <v>580</v>
      </c>
      <c r="K1503" s="0" t="s">
        <v>607</v>
      </c>
      <c r="L1503" s="0" t="s">
        <v>3167</v>
      </c>
    </row>
    <row r="1504" customFormat="false" ht="15" hidden="false" customHeight="false" outlineLevel="0" collapsed="false">
      <c r="A1504" s="0" t="s">
        <v>65</v>
      </c>
      <c r="C1504" s="0" t="s">
        <v>1565</v>
      </c>
      <c r="D1504" s="0" t="s">
        <v>146</v>
      </c>
      <c r="E1504" s="0" t="s">
        <v>1582</v>
      </c>
      <c r="F1504" s="0" t="n">
        <v>0</v>
      </c>
      <c r="G1504" s="0" t="n">
        <v>0</v>
      </c>
      <c r="H1504" s="0" t="s">
        <v>580</v>
      </c>
      <c r="K1504" s="0" t="s">
        <v>610</v>
      </c>
      <c r="L1504" s="0" t="s">
        <v>3168</v>
      </c>
    </row>
    <row r="1505" customFormat="false" ht="15" hidden="false" customHeight="false" outlineLevel="0" collapsed="false">
      <c r="A1505" s="0" t="s">
        <v>65</v>
      </c>
      <c r="C1505" s="0" t="s">
        <v>1565</v>
      </c>
      <c r="D1505" s="0" t="s">
        <v>149</v>
      </c>
      <c r="E1505" s="0" t="s">
        <v>1584</v>
      </c>
      <c r="F1505" s="0" t="n">
        <v>0</v>
      </c>
      <c r="G1505" s="0" t="n">
        <v>0</v>
      </c>
      <c r="H1505" s="0" t="s">
        <v>580</v>
      </c>
      <c r="K1505" s="0" t="s">
        <v>613</v>
      </c>
      <c r="L1505" s="0" t="s">
        <v>3169</v>
      </c>
    </row>
    <row r="1506" customFormat="false" ht="15" hidden="false" customHeight="false" outlineLevel="0" collapsed="false">
      <c r="A1506" s="0" t="s">
        <v>65</v>
      </c>
      <c r="C1506" s="0" t="s">
        <v>1565</v>
      </c>
      <c r="D1506" s="0" t="s">
        <v>152</v>
      </c>
      <c r="E1506" s="0" t="s">
        <v>1586</v>
      </c>
      <c r="F1506" s="0" t="n">
        <v>0</v>
      </c>
      <c r="G1506" s="0" t="n">
        <v>0</v>
      </c>
      <c r="H1506" s="0" t="s">
        <v>580</v>
      </c>
      <c r="K1506" s="0" t="s">
        <v>616</v>
      </c>
      <c r="L1506" s="0" t="s">
        <v>3170</v>
      </c>
    </row>
    <row r="1507" customFormat="false" ht="15" hidden="false" customHeight="false" outlineLevel="0" collapsed="false">
      <c r="A1507" s="0" t="s">
        <v>65</v>
      </c>
      <c r="C1507" s="0" t="s">
        <v>1565</v>
      </c>
      <c r="D1507" s="0" t="s">
        <v>155</v>
      </c>
      <c r="E1507" s="0" t="s">
        <v>1588</v>
      </c>
      <c r="F1507" s="0" t="n">
        <v>0</v>
      </c>
      <c r="G1507" s="0" t="n">
        <v>0</v>
      </c>
      <c r="H1507" s="0" t="s">
        <v>580</v>
      </c>
      <c r="K1507" s="0" t="s">
        <v>620</v>
      </c>
      <c r="L1507" s="0" t="s">
        <v>3171</v>
      </c>
    </row>
    <row r="1508" customFormat="false" ht="15" hidden="false" customHeight="false" outlineLevel="0" collapsed="false">
      <c r="A1508" s="0" t="s">
        <v>65</v>
      </c>
      <c r="C1508" s="0" t="s">
        <v>1590</v>
      </c>
      <c r="D1508" s="0" t="s">
        <v>987</v>
      </c>
      <c r="E1508" s="0" t="s">
        <v>1591</v>
      </c>
      <c r="F1508" s="0" t="n">
        <v>0</v>
      </c>
      <c r="G1508" s="0" t="n">
        <v>0</v>
      </c>
      <c r="H1508" s="0" t="s">
        <v>580</v>
      </c>
      <c r="K1508" s="0" t="s">
        <v>581</v>
      </c>
      <c r="L1508" s="0" t="s">
        <v>3172</v>
      </c>
    </row>
    <row r="1509" customFormat="false" ht="15" hidden="false" customHeight="false" outlineLevel="0" collapsed="false">
      <c r="A1509" s="0" t="s">
        <v>65</v>
      </c>
      <c r="C1509" s="0" t="s">
        <v>1590</v>
      </c>
      <c r="D1509" s="0" t="s">
        <v>990</v>
      </c>
      <c r="E1509" s="0" t="s">
        <v>1593</v>
      </c>
      <c r="F1509" s="0" t="n">
        <v>0</v>
      </c>
      <c r="G1509" s="0" t="n">
        <v>0</v>
      </c>
      <c r="H1509" s="0" t="s">
        <v>580</v>
      </c>
      <c r="K1509" s="0" t="s">
        <v>586</v>
      </c>
      <c r="L1509" s="0" t="s">
        <v>3173</v>
      </c>
    </row>
    <row r="1510" customFormat="false" ht="15" hidden="false" customHeight="false" outlineLevel="0" collapsed="false">
      <c r="A1510" s="0" t="s">
        <v>65</v>
      </c>
      <c r="C1510" s="0" t="s">
        <v>1590</v>
      </c>
      <c r="D1510" s="0" t="s">
        <v>993</v>
      </c>
      <c r="E1510" s="0" t="s">
        <v>1595</v>
      </c>
      <c r="F1510" s="0" t="n">
        <v>0</v>
      </c>
      <c r="G1510" s="0" t="n">
        <v>0</v>
      </c>
      <c r="H1510" s="0" t="s">
        <v>580</v>
      </c>
      <c r="K1510" s="0" t="s">
        <v>590</v>
      </c>
      <c r="L1510" s="0" t="s">
        <v>3174</v>
      </c>
    </row>
    <row r="1511" customFormat="false" ht="15" hidden="false" customHeight="false" outlineLevel="0" collapsed="false">
      <c r="A1511" s="0" t="s">
        <v>65</v>
      </c>
      <c r="C1511" s="0" t="s">
        <v>1590</v>
      </c>
      <c r="D1511" s="0" t="s">
        <v>126</v>
      </c>
      <c r="E1511" s="0" t="s">
        <v>1597</v>
      </c>
      <c r="F1511" s="0" t="n">
        <v>0</v>
      </c>
      <c r="G1511" s="0" t="n">
        <v>0</v>
      </c>
      <c r="H1511" s="0" t="s">
        <v>580</v>
      </c>
      <c r="K1511" s="0" t="s">
        <v>594</v>
      </c>
      <c r="L1511" s="0" t="s">
        <v>3175</v>
      </c>
    </row>
    <row r="1512" customFormat="false" ht="15" hidden="false" customHeight="false" outlineLevel="0" collapsed="false">
      <c r="A1512" s="0" t="s">
        <v>65</v>
      </c>
      <c r="C1512" s="0" t="s">
        <v>1590</v>
      </c>
      <c r="D1512" s="0" t="s">
        <v>129</v>
      </c>
      <c r="E1512" s="0" t="s">
        <v>1599</v>
      </c>
      <c r="F1512" s="0" t="n">
        <v>0</v>
      </c>
      <c r="G1512" s="0" t="n">
        <v>0</v>
      </c>
      <c r="H1512" s="0" t="s">
        <v>580</v>
      </c>
      <c r="K1512" s="0" t="s">
        <v>597</v>
      </c>
      <c r="L1512" s="0" t="s">
        <v>3176</v>
      </c>
    </row>
    <row r="1513" customFormat="false" ht="15" hidden="false" customHeight="false" outlineLevel="0" collapsed="false">
      <c r="A1513" s="0" t="s">
        <v>65</v>
      </c>
      <c r="C1513" s="0" t="s">
        <v>1590</v>
      </c>
      <c r="D1513" s="0" t="s">
        <v>132</v>
      </c>
      <c r="E1513" s="0" t="s">
        <v>1601</v>
      </c>
      <c r="F1513" s="0" t="n">
        <v>0</v>
      </c>
      <c r="G1513" s="0" t="n">
        <v>0</v>
      </c>
      <c r="H1513" s="0" t="s">
        <v>580</v>
      </c>
      <c r="K1513" s="0" t="s">
        <v>600</v>
      </c>
      <c r="L1513" s="0" t="s">
        <v>3177</v>
      </c>
    </row>
    <row r="1514" customFormat="false" ht="15" hidden="false" customHeight="false" outlineLevel="0" collapsed="false">
      <c r="A1514" s="0" t="s">
        <v>65</v>
      </c>
      <c r="C1514" s="0" t="s">
        <v>1590</v>
      </c>
      <c r="D1514" s="0" t="s">
        <v>139</v>
      </c>
      <c r="E1514" s="0" t="s">
        <v>1603</v>
      </c>
      <c r="F1514" s="0" t="n">
        <v>0</v>
      </c>
      <c r="G1514" s="0" t="n">
        <v>0</v>
      </c>
      <c r="H1514" s="0" t="s">
        <v>580</v>
      </c>
      <c r="K1514" s="0" t="s">
        <v>604</v>
      </c>
      <c r="L1514" s="0" t="s">
        <v>3178</v>
      </c>
    </row>
    <row r="1515" customFormat="false" ht="15" hidden="false" customHeight="false" outlineLevel="0" collapsed="false">
      <c r="A1515" s="0" t="s">
        <v>65</v>
      </c>
      <c r="C1515" s="0" t="s">
        <v>1590</v>
      </c>
      <c r="D1515" s="0" t="s">
        <v>143</v>
      </c>
      <c r="E1515" s="0" t="s">
        <v>1605</v>
      </c>
      <c r="F1515" s="0" t="n">
        <v>0</v>
      </c>
      <c r="G1515" s="0" t="n">
        <v>0</v>
      </c>
      <c r="H1515" s="0" t="s">
        <v>580</v>
      </c>
      <c r="K1515" s="0" t="s">
        <v>607</v>
      </c>
      <c r="L1515" s="0" t="s">
        <v>3179</v>
      </c>
    </row>
    <row r="1516" customFormat="false" ht="15" hidden="false" customHeight="false" outlineLevel="0" collapsed="false">
      <c r="A1516" s="0" t="s">
        <v>65</v>
      </c>
      <c r="C1516" s="0" t="s">
        <v>1590</v>
      </c>
      <c r="D1516" s="0" t="s">
        <v>146</v>
      </c>
      <c r="E1516" s="0" t="s">
        <v>1607</v>
      </c>
      <c r="F1516" s="0" t="n">
        <v>0</v>
      </c>
      <c r="G1516" s="0" t="n">
        <v>0</v>
      </c>
      <c r="H1516" s="0" t="s">
        <v>580</v>
      </c>
      <c r="K1516" s="0" t="s">
        <v>610</v>
      </c>
      <c r="L1516" s="0" t="s">
        <v>3180</v>
      </c>
    </row>
    <row r="1517" customFormat="false" ht="15" hidden="false" customHeight="false" outlineLevel="0" collapsed="false">
      <c r="A1517" s="0" t="s">
        <v>65</v>
      </c>
      <c r="C1517" s="0" t="s">
        <v>1590</v>
      </c>
      <c r="D1517" s="0" t="s">
        <v>149</v>
      </c>
      <c r="E1517" s="0" t="s">
        <v>1609</v>
      </c>
      <c r="F1517" s="0" t="n">
        <v>0</v>
      </c>
      <c r="G1517" s="0" t="n">
        <v>0</v>
      </c>
      <c r="H1517" s="0" t="s">
        <v>580</v>
      </c>
      <c r="K1517" s="0" t="s">
        <v>613</v>
      </c>
      <c r="L1517" s="0" t="s">
        <v>3181</v>
      </c>
    </row>
    <row r="1518" customFormat="false" ht="15" hidden="false" customHeight="false" outlineLevel="0" collapsed="false">
      <c r="A1518" s="0" t="s">
        <v>65</v>
      </c>
      <c r="C1518" s="0" t="s">
        <v>1590</v>
      </c>
      <c r="D1518" s="0" t="s">
        <v>152</v>
      </c>
      <c r="E1518" s="0" t="s">
        <v>1611</v>
      </c>
      <c r="F1518" s="0" t="n">
        <v>0</v>
      </c>
      <c r="G1518" s="0" t="n">
        <v>0</v>
      </c>
      <c r="H1518" s="0" t="s">
        <v>580</v>
      </c>
      <c r="K1518" s="0" t="s">
        <v>616</v>
      </c>
      <c r="L1518" s="0" t="s">
        <v>3182</v>
      </c>
    </row>
    <row r="1519" customFormat="false" ht="15" hidden="false" customHeight="false" outlineLevel="0" collapsed="false">
      <c r="A1519" s="0" t="s">
        <v>65</v>
      </c>
      <c r="C1519" s="0" t="s">
        <v>1590</v>
      </c>
      <c r="D1519" s="0" t="s">
        <v>155</v>
      </c>
      <c r="E1519" s="0" t="s">
        <v>1613</v>
      </c>
      <c r="F1519" s="0" t="n">
        <v>0</v>
      </c>
      <c r="G1519" s="0" t="n">
        <v>0</v>
      </c>
      <c r="H1519" s="0" t="s">
        <v>580</v>
      </c>
      <c r="K1519" s="0" t="s">
        <v>620</v>
      </c>
      <c r="L1519" s="0" t="s">
        <v>3183</v>
      </c>
    </row>
    <row r="1520" customFormat="false" ht="15" hidden="false" customHeight="false" outlineLevel="0" collapsed="false">
      <c r="A1520" s="0" t="s">
        <v>65</v>
      </c>
      <c r="C1520" s="0" t="s">
        <v>1615</v>
      </c>
      <c r="D1520" s="0" t="s">
        <v>987</v>
      </c>
      <c r="E1520" s="0" t="s">
        <v>1616</v>
      </c>
      <c r="F1520" s="0" t="n">
        <v>0</v>
      </c>
      <c r="G1520" s="0" t="n">
        <v>0</v>
      </c>
      <c r="H1520" s="0" t="s">
        <v>580</v>
      </c>
      <c r="K1520" s="0" t="s">
        <v>581</v>
      </c>
      <c r="L1520" s="0" t="s">
        <v>3184</v>
      </c>
    </row>
    <row r="1521" customFormat="false" ht="15" hidden="false" customHeight="false" outlineLevel="0" collapsed="false">
      <c r="A1521" s="0" t="s">
        <v>65</v>
      </c>
      <c r="C1521" s="0" t="s">
        <v>1615</v>
      </c>
      <c r="D1521" s="0" t="s">
        <v>990</v>
      </c>
      <c r="E1521" s="0" t="s">
        <v>1618</v>
      </c>
      <c r="F1521" s="0" t="n">
        <v>0</v>
      </c>
      <c r="G1521" s="0" t="n">
        <v>0</v>
      </c>
      <c r="H1521" s="0" t="s">
        <v>580</v>
      </c>
      <c r="K1521" s="0" t="s">
        <v>586</v>
      </c>
      <c r="L1521" s="0" t="s">
        <v>3185</v>
      </c>
    </row>
    <row r="1522" customFormat="false" ht="15" hidden="false" customHeight="false" outlineLevel="0" collapsed="false">
      <c r="A1522" s="0" t="s">
        <v>65</v>
      </c>
      <c r="C1522" s="0" t="s">
        <v>1615</v>
      </c>
      <c r="D1522" s="0" t="s">
        <v>993</v>
      </c>
      <c r="E1522" s="0" t="s">
        <v>1620</v>
      </c>
      <c r="F1522" s="0" t="n">
        <v>0</v>
      </c>
      <c r="G1522" s="0" t="n">
        <v>0</v>
      </c>
      <c r="H1522" s="0" t="s">
        <v>580</v>
      </c>
      <c r="K1522" s="0" t="s">
        <v>590</v>
      </c>
      <c r="L1522" s="0" t="s">
        <v>3186</v>
      </c>
    </row>
    <row r="1523" customFormat="false" ht="15" hidden="false" customHeight="false" outlineLevel="0" collapsed="false">
      <c r="A1523" s="0" t="s">
        <v>65</v>
      </c>
      <c r="C1523" s="0" t="s">
        <v>1615</v>
      </c>
      <c r="D1523" s="0" t="s">
        <v>126</v>
      </c>
      <c r="E1523" s="0" t="s">
        <v>1622</v>
      </c>
      <c r="F1523" s="0" t="n">
        <v>0</v>
      </c>
      <c r="G1523" s="0" t="n">
        <v>0</v>
      </c>
      <c r="H1523" s="0" t="s">
        <v>580</v>
      </c>
      <c r="K1523" s="0" t="s">
        <v>594</v>
      </c>
      <c r="L1523" s="0" t="s">
        <v>3187</v>
      </c>
    </row>
    <row r="1524" customFormat="false" ht="15" hidden="false" customHeight="false" outlineLevel="0" collapsed="false">
      <c r="A1524" s="0" t="s">
        <v>65</v>
      </c>
      <c r="C1524" s="0" t="s">
        <v>1615</v>
      </c>
      <c r="D1524" s="0" t="s">
        <v>129</v>
      </c>
      <c r="E1524" s="0" t="s">
        <v>1624</v>
      </c>
      <c r="F1524" s="0" t="n">
        <v>0</v>
      </c>
      <c r="G1524" s="0" t="n">
        <v>0</v>
      </c>
      <c r="H1524" s="0" t="s">
        <v>580</v>
      </c>
      <c r="K1524" s="0" t="s">
        <v>597</v>
      </c>
      <c r="L1524" s="0" t="s">
        <v>3188</v>
      </c>
    </row>
    <row r="1525" customFormat="false" ht="15" hidden="false" customHeight="false" outlineLevel="0" collapsed="false">
      <c r="A1525" s="0" t="s">
        <v>65</v>
      </c>
      <c r="C1525" s="0" t="s">
        <v>1615</v>
      </c>
      <c r="D1525" s="0" t="s">
        <v>132</v>
      </c>
      <c r="E1525" s="0" t="s">
        <v>1626</v>
      </c>
      <c r="F1525" s="0" t="n">
        <v>0</v>
      </c>
      <c r="G1525" s="0" t="n">
        <v>0</v>
      </c>
      <c r="H1525" s="0" t="s">
        <v>580</v>
      </c>
      <c r="K1525" s="0" t="s">
        <v>600</v>
      </c>
      <c r="L1525" s="0" t="s">
        <v>3189</v>
      </c>
    </row>
    <row r="1526" customFormat="false" ht="15" hidden="false" customHeight="false" outlineLevel="0" collapsed="false">
      <c r="A1526" s="0" t="s">
        <v>65</v>
      </c>
      <c r="C1526" s="0" t="s">
        <v>1615</v>
      </c>
      <c r="D1526" s="0" t="s">
        <v>139</v>
      </c>
      <c r="E1526" s="0" t="s">
        <v>1628</v>
      </c>
      <c r="F1526" s="0" t="n">
        <v>0</v>
      </c>
      <c r="G1526" s="0" t="n">
        <v>0</v>
      </c>
      <c r="H1526" s="0" t="s">
        <v>580</v>
      </c>
      <c r="K1526" s="0" t="s">
        <v>604</v>
      </c>
      <c r="L1526" s="0" t="s">
        <v>3190</v>
      </c>
    </row>
    <row r="1527" customFormat="false" ht="15" hidden="false" customHeight="false" outlineLevel="0" collapsed="false">
      <c r="A1527" s="0" t="s">
        <v>65</v>
      </c>
      <c r="C1527" s="0" t="s">
        <v>1615</v>
      </c>
      <c r="D1527" s="0" t="s">
        <v>143</v>
      </c>
      <c r="E1527" s="0" t="s">
        <v>1630</v>
      </c>
      <c r="F1527" s="0" t="n">
        <v>0</v>
      </c>
      <c r="G1527" s="0" t="n">
        <v>0</v>
      </c>
      <c r="H1527" s="0" t="s">
        <v>580</v>
      </c>
      <c r="K1527" s="0" t="s">
        <v>607</v>
      </c>
      <c r="L1527" s="0" t="s">
        <v>3191</v>
      </c>
    </row>
    <row r="1528" customFormat="false" ht="15" hidden="false" customHeight="false" outlineLevel="0" collapsed="false">
      <c r="A1528" s="0" t="s">
        <v>65</v>
      </c>
      <c r="C1528" s="0" t="s">
        <v>1615</v>
      </c>
      <c r="D1528" s="0" t="s">
        <v>146</v>
      </c>
      <c r="E1528" s="0" t="s">
        <v>1632</v>
      </c>
      <c r="F1528" s="0" t="n">
        <v>0</v>
      </c>
      <c r="G1528" s="0" t="n">
        <v>0</v>
      </c>
      <c r="H1528" s="0" t="s">
        <v>580</v>
      </c>
      <c r="K1528" s="0" t="s">
        <v>610</v>
      </c>
      <c r="L1528" s="0" t="s">
        <v>3192</v>
      </c>
    </row>
    <row r="1529" customFormat="false" ht="15" hidden="false" customHeight="false" outlineLevel="0" collapsed="false">
      <c r="A1529" s="0" t="s">
        <v>65</v>
      </c>
      <c r="C1529" s="0" t="s">
        <v>1615</v>
      </c>
      <c r="D1529" s="0" t="s">
        <v>149</v>
      </c>
      <c r="E1529" s="0" t="s">
        <v>1634</v>
      </c>
      <c r="F1529" s="0" t="n">
        <v>0</v>
      </c>
      <c r="G1529" s="0" t="n">
        <v>0</v>
      </c>
      <c r="H1529" s="0" t="s">
        <v>580</v>
      </c>
      <c r="K1529" s="0" t="s">
        <v>613</v>
      </c>
      <c r="L1529" s="0" t="s">
        <v>3193</v>
      </c>
    </row>
    <row r="1530" customFormat="false" ht="15" hidden="false" customHeight="false" outlineLevel="0" collapsed="false">
      <c r="A1530" s="0" t="s">
        <v>65</v>
      </c>
      <c r="C1530" s="0" t="s">
        <v>1615</v>
      </c>
      <c r="D1530" s="0" t="s">
        <v>152</v>
      </c>
      <c r="E1530" s="0" t="s">
        <v>1636</v>
      </c>
      <c r="F1530" s="0" t="n">
        <v>0</v>
      </c>
      <c r="G1530" s="0" t="n">
        <v>0</v>
      </c>
      <c r="H1530" s="0" t="s">
        <v>580</v>
      </c>
      <c r="K1530" s="0" t="s">
        <v>616</v>
      </c>
      <c r="L1530" s="0" t="s">
        <v>3194</v>
      </c>
    </row>
    <row r="1531" customFormat="false" ht="15" hidden="false" customHeight="false" outlineLevel="0" collapsed="false">
      <c r="A1531" s="0" t="s">
        <v>65</v>
      </c>
      <c r="C1531" s="0" t="s">
        <v>1615</v>
      </c>
      <c r="D1531" s="0" t="s">
        <v>155</v>
      </c>
      <c r="E1531" s="0" t="s">
        <v>2552</v>
      </c>
      <c r="F1531" s="0" t="n">
        <v>0</v>
      </c>
      <c r="G1531" s="0" t="n">
        <v>0</v>
      </c>
      <c r="H1531" s="0" t="s">
        <v>580</v>
      </c>
      <c r="K1531" s="0" t="s">
        <v>620</v>
      </c>
      <c r="L1531" s="0" t="s">
        <v>3195</v>
      </c>
    </row>
    <row r="1532" customFormat="false" ht="15" hidden="false" customHeight="false" outlineLevel="0" collapsed="false">
      <c r="A1532" s="0" t="s">
        <v>65</v>
      </c>
      <c r="C1532" s="0" t="s">
        <v>1640</v>
      </c>
      <c r="D1532" s="0" t="s">
        <v>987</v>
      </c>
      <c r="E1532" s="0" t="s">
        <v>1641</v>
      </c>
      <c r="F1532" s="0" t="n">
        <v>0</v>
      </c>
      <c r="G1532" s="0" t="n">
        <v>0</v>
      </c>
      <c r="H1532" s="0" t="s">
        <v>580</v>
      </c>
      <c r="K1532" s="0" t="s">
        <v>581</v>
      </c>
      <c r="L1532" s="0" t="s">
        <v>3196</v>
      </c>
    </row>
    <row r="1533" customFormat="false" ht="15" hidden="false" customHeight="false" outlineLevel="0" collapsed="false">
      <c r="A1533" s="0" t="s">
        <v>65</v>
      </c>
      <c r="B1533" s="0" t="s">
        <v>3048</v>
      </c>
      <c r="C1533" s="0" t="s">
        <v>1640</v>
      </c>
      <c r="D1533" s="0" t="s">
        <v>990</v>
      </c>
      <c r="E1533" s="0" t="s">
        <v>3197</v>
      </c>
      <c r="F1533" s="0" t="n">
        <v>0</v>
      </c>
      <c r="G1533" s="0" t="n">
        <v>3</v>
      </c>
      <c r="H1533" s="0" t="s">
        <v>580</v>
      </c>
      <c r="I1533" s="0" t="s">
        <v>406</v>
      </c>
      <c r="K1533" s="0" t="s">
        <v>586</v>
      </c>
      <c r="L1533" s="0" t="s">
        <v>3198</v>
      </c>
    </row>
    <row r="1534" customFormat="false" ht="15" hidden="false" customHeight="false" outlineLevel="0" collapsed="false">
      <c r="A1534" s="0" t="s">
        <v>65</v>
      </c>
      <c r="C1534" s="0" t="s">
        <v>1640</v>
      </c>
      <c r="D1534" s="0" t="s">
        <v>993</v>
      </c>
      <c r="E1534" s="0" t="s">
        <v>2557</v>
      </c>
      <c r="F1534" s="0" t="n">
        <v>0</v>
      </c>
      <c r="G1534" s="0" t="n">
        <v>0</v>
      </c>
      <c r="H1534" s="0" t="s">
        <v>580</v>
      </c>
      <c r="K1534" s="0" t="s">
        <v>590</v>
      </c>
      <c r="L1534" s="0" t="s">
        <v>3199</v>
      </c>
    </row>
    <row r="1535" customFormat="false" ht="15" hidden="false" customHeight="false" outlineLevel="0" collapsed="false">
      <c r="A1535" s="0" t="s">
        <v>65</v>
      </c>
      <c r="C1535" s="0" t="s">
        <v>1640</v>
      </c>
      <c r="D1535" s="0" t="s">
        <v>126</v>
      </c>
      <c r="E1535" s="0" t="s">
        <v>2559</v>
      </c>
      <c r="F1535" s="0" t="n">
        <v>0</v>
      </c>
      <c r="G1535" s="0" t="n">
        <v>0</v>
      </c>
      <c r="H1535" s="0" t="s">
        <v>580</v>
      </c>
      <c r="K1535" s="0" t="s">
        <v>594</v>
      </c>
      <c r="L1535" s="0" t="s">
        <v>3200</v>
      </c>
    </row>
    <row r="1536" customFormat="false" ht="15" hidden="false" customHeight="false" outlineLevel="0" collapsed="false">
      <c r="A1536" s="0" t="s">
        <v>65</v>
      </c>
      <c r="C1536" s="0" t="s">
        <v>1640</v>
      </c>
      <c r="D1536" s="0" t="s">
        <v>129</v>
      </c>
      <c r="E1536" s="0" t="s">
        <v>1649</v>
      </c>
      <c r="F1536" s="0" t="n">
        <v>0</v>
      </c>
      <c r="G1536" s="0" t="n">
        <v>0</v>
      </c>
      <c r="H1536" s="0" t="s">
        <v>580</v>
      </c>
      <c r="K1536" s="0" t="s">
        <v>597</v>
      </c>
      <c r="L1536" s="0" t="s">
        <v>3201</v>
      </c>
    </row>
    <row r="1537" customFormat="false" ht="15" hidden="false" customHeight="false" outlineLevel="0" collapsed="false">
      <c r="A1537" s="0" t="s">
        <v>65</v>
      </c>
      <c r="C1537" s="0" t="s">
        <v>1640</v>
      </c>
      <c r="D1537" s="0" t="s">
        <v>132</v>
      </c>
      <c r="E1537" s="0" t="s">
        <v>1651</v>
      </c>
      <c r="F1537" s="0" t="n">
        <v>0</v>
      </c>
      <c r="G1537" s="0" t="n">
        <v>0</v>
      </c>
      <c r="H1537" s="0" t="s">
        <v>580</v>
      </c>
      <c r="K1537" s="0" t="s">
        <v>600</v>
      </c>
      <c r="L1537" s="0" t="s">
        <v>3202</v>
      </c>
    </row>
    <row r="1538" customFormat="false" ht="15" hidden="false" customHeight="false" outlineLevel="0" collapsed="false">
      <c r="A1538" s="0" t="s">
        <v>65</v>
      </c>
      <c r="C1538" s="0" t="s">
        <v>1640</v>
      </c>
      <c r="D1538" s="0" t="s">
        <v>139</v>
      </c>
      <c r="E1538" s="0" t="s">
        <v>1653</v>
      </c>
      <c r="F1538" s="0" t="n">
        <v>0</v>
      </c>
      <c r="G1538" s="0" t="n">
        <v>0</v>
      </c>
      <c r="H1538" s="0" t="s">
        <v>580</v>
      </c>
      <c r="K1538" s="0" t="s">
        <v>604</v>
      </c>
      <c r="L1538" s="0" t="s">
        <v>3203</v>
      </c>
    </row>
    <row r="1539" customFormat="false" ht="15" hidden="false" customHeight="false" outlineLevel="0" collapsed="false">
      <c r="A1539" s="0" t="s">
        <v>65</v>
      </c>
      <c r="C1539" s="0" t="s">
        <v>1640</v>
      </c>
      <c r="D1539" s="0" t="s">
        <v>143</v>
      </c>
      <c r="E1539" s="0" t="s">
        <v>1655</v>
      </c>
      <c r="F1539" s="0" t="n">
        <v>0</v>
      </c>
      <c r="G1539" s="0" t="n">
        <v>0</v>
      </c>
      <c r="H1539" s="0" t="s">
        <v>580</v>
      </c>
      <c r="K1539" s="0" t="s">
        <v>607</v>
      </c>
      <c r="L1539" s="0" t="s">
        <v>3204</v>
      </c>
    </row>
    <row r="1540" customFormat="false" ht="15" hidden="false" customHeight="false" outlineLevel="0" collapsed="false">
      <c r="A1540" s="0" t="s">
        <v>65</v>
      </c>
      <c r="C1540" s="0" t="s">
        <v>1640</v>
      </c>
      <c r="D1540" s="0" t="s">
        <v>146</v>
      </c>
      <c r="E1540" s="0" t="s">
        <v>1657</v>
      </c>
      <c r="F1540" s="0" t="n">
        <v>0</v>
      </c>
      <c r="G1540" s="0" t="n">
        <v>0</v>
      </c>
      <c r="H1540" s="0" t="s">
        <v>580</v>
      </c>
      <c r="K1540" s="0" t="s">
        <v>610</v>
      </c>
      <c r="L1540" s="0" t="s">
        <v>3205</v>
      </c>
    </row>
    <row r="1541" customFormat="false" ht="15" hidden="false" customHeight="false" outlineLevel="0" collapsed="false">
      <c r="A1541" s="0" t="s">
        <v>65</v>
      </c>
      <c r="C1541" s="0" t="s">
        <v>1640</v>
      </c>
      <c r="D1541" s="0" t="s">
        <v>149</v>
      </c>
      <c r="E1541" s="0" t="s">
        <v>1659</v>
      </c>
      <c r="F1541" s="0" t="n">
        <v>0</v>
      </c>
      <c r="G1541" s="0" t="n">
        <v>0</v>
      </c>
      <c r="H1541" s="0" t="s">
        <v>580</v>
      </c>
      <c r="K1541" s="0" t="s">
        <v>613</v>
      </c>
      <c r="L1541" s="0" t="s">
        <v>3206</v>
      </c>
    </row>
    <row r="1542" customFormat="false" ht="15" hidden="false" customHeight="false" outlineLevel="0" collapsed="false">
      <c r="A1542" s="0" t="s">
        <v>65</v>
      </c>
      <c r="C1542" s="0" t="s">
        <v>1640</v>
      </c>
      <c r="D1542" s="0" t="s">
        <v>152</v>
      </c>
      <c r="E1542" s="0" t="s">
        <v>1661</v>
      </c>
      <c r="F1542" s="0" t="n">
        <v>0</v>
      </c>
      <c r="G1542" s="0" t="n">
        <v>0</v>
      </c>
      <c r="H1542" s="0" t="s">
        <v>580</v>
      </c>
      <c r="K1542" s="0" t="s">
        <v>616</v>
      </c>
      <c r="L1542" s="0" t="s">
        <v>3207</v>
      </c>
    </row>
    <row r="1543" customFormat="false" ht="15" hidden="false" customHeight="false" outlineLevel="0" collapsed="false">
      <c r="A1543" s="0" t="s">
        <v>65</v>
      </c>
      <c r="C1543" s="0" t="s">
        <v>1640</v>
      </c>
      <c r="D1543" s="0" t="s">
        <v>155</v>
      </c>
      <c r="E1543" s="0" t="s">
        <v>1663</v>
      </c>
      <c r="F1543" s="0" t="n">
        <v>0</v>
      </c>
      <c r="G1543" s="0" t="n">
        <v>0</v>
      </c>
      <c r="H1543" s="0" t="s">
        <v>580</v>
      </c>
      <c r="K1543" s="0" t="s">
        <v>620</v>
      </c>
      <c r="L1543" s="0" t="s">
        <v>3208</v>
      </c>
    </row>
    <row r="1544" customFormat="false" ht="15" hidden="false" customHeight="false" outlineLevel="0" collapsed="false">
      <c r="A1544" s="0" t="s">
        <v>65</v>
      </c>
      <c r="C1544" s="0" t="s">
        <v>1665</v>
      </c>
      <c r="D1544" s="0" t="s">
        <v>987</v>
      </c>
      <c r="E1544" s="0" t="s">
        <v>1666</v>
      </c>
      <c r="F1544" s="0" t="n">
        <v>0</v>
      </c>
      <c r="G1544" s="0" t="n">
        <v>0</v>
      </c>
      <c r="H1544" s="0" t="s">
        <v>580</v>
      </c>
      <c r="K1544" s="0" t="s">
        <v>581</v>
      </c>
      <c r="L1544" s="0" t="s">
        <v>3209</v>
      </c>
    </row>
    <row r="1545" customFormat="false" ht="15" hidden="false" customHeight="false" outlineLevel="0" collapsed="false">
      <c r="A1545" s="0" t="s">
        <v>65</v>
      </c>
      <c r="C1545" s="0" t="s">
        <v>1665</v>
      </c>
      <c r="D1545" s="0" t="s">
        <v>990</v>
      </c>
      <c r="E1545" s="0" t="s">
        <v>1668</v>
      </c>
      <c r="F1545" s="0" t="n">
        <v>0</v>
      </c>
      <c r="G1545" s="0" t="n">
        <v>0</v>
      </c>
      <c r="H1545" s="0" t="s">
        <v>580</v>
      </c>
      <c r="K1545" s="0" t="s">
        <v>586</v>
      </c>
      <c r="L1545" s="0" t="s">
        <v>3210</v>
      </c>
    </row>
    <row r="1546" customFormat="false" ht="15" hidden="false" customHeight="false" outlineLevel="0" collapsed="false">
      <c r="A1546" s="0" t="s">
        <v>65</v>
      </c>
      <c r="C1546" s="0" t="s">
        <v>1665</v>
      </c>
      <c r="D1546" s="0" t="s">
        <v>993</v>
      </c>
      <c r="E1546" s="0" t="s">
        <v>1670</v>
      </c>
      <c r="F1546" s="0" t="n">
        <v>0</v>
      </c>
      <c r="G1546" s="0" t="n">
        <v>0</v>
      </c>
      <c r="H1546" s="0" t="s">
        <v>580</v>
      </c>
      <c r="K1546" s="0" t="s">
        <v>590</v>
      </c>
      <c r="L1546" s="0" t="s">
        <v>3211</v>
      </c>
    </row>
    <row r="1547" customFormat="false" ht="15" hidden="false" customHeight="false" outlineLevel="0" collapsed="false">
      <c r="A1547" s="0" t="s">
        <v>65</v>
      </c>
      <c r="C1547" s="0" t="s">
        <v>1665</v>
      </c>
      <c r="D1547" s="0" t="s">
        <v>126</v>
      </c>
      <c r="E1547" s="0" t="s">
        <v>1672</v>
      </c>
      <c r="F1547" s="0" t="n">
        <v>0</v>
      </c>
      <c r="G1547" s="0" t="n">
        <v>0</v>
      </c>
      <c r="H1547" s="0" t="s">
        <v>580</v>
      </c>
      <c r="K1547" s="0" t="s">
        <v>594</v>
      </c>
      <c r="L1547" s="0" t="s">
        <v>3212</v>
      </c>
    </row>
    <row r="1548" customFormat="false" ht="15" hidden="false" customHeight="false" outlineLevel="0" collapsed="false">
      <c r="A1548" s="0" t="s">
        <v>65</v>
      </c>
      <c r="C1548" s="0" t="s">
        <v>1665</v>
      </c>
      <c r="D1548" s="0" t="s">
        <v>129</v>
      </c>
      <c r="E1548" s="0" t="s">
        <v>1674</v>
      </c>
      <c r="F1548" s="0" t="n">
        <v>0</v>
      </c>
      <c r="G1548" s="0" t="n">
        <v>0</v>
      </c>
      <c r="H1548" s="0" t="s">
        <v>580</v>
      </c>
      <c r="K1548" s="0" t="s">
        <v>597</v>
      </c>
      <c r="L1548" s="0" t="s">
        <v>3213</v>
      </c>
    </row>
    <row r="1549" customFormat="false" ht="15" hidden="false" customHeight="false" outlineLevel="0" collapsed="false">
      <c r="A1549" s="0" t="s">
        <v>65</v>
      </c>
      <c r="C1549" s="0" t="s">
        <v>1665</v>
      </c>
      <c r="D1549" s="0" t="s">
        <v>132</v>
      </c>
      <c r="E1549" s="0" t="s">
        <v>1676</v>
      </c>
      <c r="F1549" s="0" t="n">
        <v>0</v>
      </c>
      <c r="G1549" s="0" t="n">
        <v>0</v>
      </c>
      <c r="H1549" s="0" t="s">
        <v>580</v>
      </c>
      <c r="K1549" s="0" t="s">
        <v>600</v>
      </c>
      <c r="L1549" s="0" t="s">
        <v>3214</v>
      </c>
    </row>
    <row r="1550" customFormat="false" ht="15" hidden="false" customHeight="false" outlineLevel="0" collapsed="false">
      <c r="A1550" s="0" t="s">
        <v>65</v>
      </c>
      <c r="C1550" s="0" t="s">
        <v>1665</v>
      </c>
      <c r="D1550" s="0" t="s">
        <v>139</v>
      </c>
      <c r="E1550" s="0" t="s">
        <v>1678</v>
      </c>
      <c r="F1550" s="0" t="n">
        <v>0</v>
      </c>
      <c r="G1550" s="0" t="n">
        <v>0</v>
      </c>
      <c r="H1550" s="0" t="s">
        <v>580</v>
      </c>
      <c r="K1550" s="0" t="s">
        <v>604</v>
      </c>
      <c r="L1550" s="0" t="s">
        <v>3215</v>
      </c>
    </row>
    <row r="1551" customFormat="false" ht="15" hidden="false" customHeight="false" outlineLevel="0" collapsed="false">
      <c r="A1551" s="0" t="s">
        <v>65</v>
      </c>
      <c r="C1551" s="0" t="s">
        <v>1665</v>
      </c>
      <c r="D1551" s="0" t="s">
        <v>143</v>
      </c>
      <c r="E1551" s="0" t="s">
        <v>1680</v>
      </c>
      <c r="F1551" s="0" t="n">
        <v>0</v>
      </c>
      <c r="G1551" s="0" t="n">
        <v>0</v>
      </c>
      <c r="H1551" s="0" t="s">
        <v>580</v>
      </c>
      <c r="K1551" s="0" t="s">
        <v>607</v>
      </c>
      <c r="L1551" s="0" t="s">
        <v>3216</v>
      </c>
    </row>
    <row r="1552" customFormat="false" ht="15" hidden="false" customHeight="false" outlineLevel="0" collapsed="false">
      <c r="A1552" s="0" t="s">
        <v>65</v>
      </c>
      <c r="C1552" s="0" t="s">
        <v>1665</v>
      </c>
      <c r="D1552" s="0" t="s">
        <v>146</v>
      </c>
      <c r="E1552" s="0" t="s">
        <v>1682</v>
      </c>
      <c r="F1552" s="0" t="n">
        <v>0</v>
      </c>
      <c r="G1552" s="0" t="n">
        <v>0</v>
      </c>
      <c r="H1552" s="0" t="s">
        <v>580</v>
      </c>
      <c r="K1552" s="0" t="s">
        <v>610</v>
      </c>
      <c r="L1552" s="0" t="s">
        <v>3217</v>
      </c>
    </row>
    <row r="1553" customFormat="false" ht="15" hidden="false" customHeight="false" outlineLevel="0" collapsed="false">
      <c r="A1553" s="0" t="s">
        <v>65</v>
      </c>
      <c r="C1553" s="0" t="s">
        <v>1665</v>
      </c>
      <c r="D1553" s="0" t="s">
        <v>149</v>
      </c>
      <c r="E1553" s="0" t="s">
        <v>1684</v>
      </c>
      <c r="F1553" s="0" t="n">
        <v>0</v>
      </c>
      <c r="G1553" s="0" t="n">
        <v>0</v>
      </c>
      <c r="H1553" s="0" t="s">
        <v>580</v>
      </c>
      <c r="K1553" s="0" t="s">
        <v>613</v>
      </c>
      <c r="L1553" s="0" t="s">
        <v>3218</v>
      </c>
    </row>
    <row r="1554" customFormat="false" ht="15" hidden="false" customHeight="false" outlineLevel="0" collapsed="false">
      <c r="A1554" s="0" t="s">
        <v>65</v>
      </c>
      <c r="C1554" s="0" t="s">
        <v>1665</v>
      </c>
      <c r="D1554" s="0" t="s">
        <v>152</v>
      </c>
      <c r="E1554" s="0" t="s">
        <v>2579</v>
      </c>
      <c r="F1554" s="0" t="n">
        <v>0</v>
      </c>
      <c r="G1554" s="0" t="n">
        <v>0</v>
      </c>
      <c r="H1554" s="0" t="s">
        <v>580</v>
      </c>
      <c r="K1554" s="0" t="s">
        <v>616</v>
      </c>
      <c r="L1554" s="0" t="s">
        <v>3219</v>
      </c>
    </row>
    <row r="1555" customFormat="false" ht="15" hidden="false" customHeight="false" outlineLevel="0" collapsed="false">
      <c r="A1555" s="0" t="s">
        <v>65</v>
      </c>
      <c r="C1555" s="0" t="s">
        <v>1665</v>
      </c>
      <c r="D1555" s="0" t="s">
        <v>155</v>
      </c>
      <c r="E1555" s="0" t="s">
        <v>1688</v>
      </c>
      <c r="F1555" s="0" t="n">
        <v>0</v>
      </c>
      <c r="G1555" s="0" t="n">
        <v>0</v>
      </c>
      <c r="H1555" s="0" t="s">
        <v>580</v>
      </c>
      <c r="K1555" s="0" t="s">
        <v>620</v>
      </c>
      <c r="L1555" s="0" t="s">
        <v>3220</v>
      </c>
    </row>
    <row r="1556" customFormat="false" ht="15" hidden="false" customHeight="false" outlineLevel="0" collapsed="false">
      <c r="A1556" s="0" t="s">
        <v>67</v>
      </c>
      <c r="B1556" s="0" t="s">
        <v>42</v>
      </c>
      <c r="C1556" s="0" t="s">
        <v>577</v>
      </c>
      <c r="D1556" s="0" t="s">
        <v>987</v>
      </c>
      <c r="E1556" s="0" t="s">
        <v>3221</v>
      </c>
      <c r="F1556" s="0" t="n">
        <v>5</v>
      </c>
      <c r="G1556" s="0" t="n">
        <v>0</v>
      </c>
      <c r="H1556" s="0" t="s">
        <v>585</v>
      </c>
      <c r="K1556" s="0" t="s">
        <v>581</v>
      </c>
      <c r="L1556" s="0" t="s">
        <v>3222</v>
      </c>
    </row>
    <row r="1557" customFormat="false" ht="15" hidden="false" customHeight="false" outlineLevel="0" collapsed="false">
      <c r="A1557" s="0" t="s">
        <v>67</v>
      </c>
      <c r="B1557" s="0" t="s">
        <v>303</v>
      </c>
      <c r="C1557" s="0" t="s">
        <v>577</v>
      </c>
      <c r="D1557" s="0" t="s">
        <v>990</v>
      </c>
      <c r="E1557" s="0" t="s">
        <v>1692</v>
      </c>
      <c r="F1557" s="0" t="n">
        <v>5</v>
      </c>
      <c r="G1557" s="0" t="n">
        <v>0</v>
      </c>
      <c r="H1557" s="0" t="s">
        <v>585</v>
      </c>
      <c r="K1557" s="0" t="s">
        <v>586</v>
      </c>
      <c r="L1557" s="0" t="s">
        <v>3223</v>
      </c>
    </row>
    <row r="1558" customFormat="false" ht="15" hidden="false" customHeight="false" outlineLevel="0" collapsed="false">
      <c r="A1558" s="0" t="s">
        <v>67</v>
      </c>
      <c r="B1558" s="0" t="s">
        <v>42</v>
      </c>
      <c r="C1558" s="0" t="s">
        <v>577</v>
      </c>
      <c r="D1558" s="0" t="s">
        <v>993</v>
      </c>
      <c r="E1558" s="0" t="s">
        <v>3224</v>
      </c>
      <c r="F1558" s="0" t="n">
        <v>5</v>
      </c>
      <c r="G1558" s="0" t="n">
        <v>0</v>
      </c>
      <c r="H1558" s="0" t="s">
        <v>585</v>
      </c>
      <c r="K1558" s="0" t="s">
        <v>590</v>
      </c>
      <c r="L1558" s="0" t="s">
        <v>3225</v>
      </c>
    </row>
    <row r="1559" customFormat="false" ht="15" hidden="false" customHeight="false" outlineLevel="0" collapsed="false">
      <c r="A1559" s="0" t="s">
        <v>67</v>
      </c>
      <c r="B1559" s="0" t="s">
        <v>303</v>
      </c>
      <c r="C1559" s="0" t="s">
        <v>577</v>
      </c>
      <c r="D1559" s="0" t="s">
        <v>126</v>
      </c>
      <c r="E1559" s="0" t="s">
        <v>1696</v>
      </c>
      <c r="F1559" s="0" t="n">
        <v>5</v>
      </c>
      <c r="G1559" s="0" t="n">
        <v>0</v>
      </c>
      <c r="H1559" s="0" t="s">
        <v>585</v>
      </c>
      <c r="K1559" s="0" t="s">
        <v>594</v>
      </c>
      <c r="L1559" s="0" t="s">
        <v>3226</v>
      </c>
    </row>
    <row r="1560" customFormat="false" ht="15" hidden="false" customHeight="false" outlineLevel="0" collapsed="false">
      <c r="A1560" s="0" t="s">
        <v>67</v>
      </c>
      <c r="B1560" s="0" t="s">
        <v>42</v>
      </c>
      <c r="C1560" s="0" t="s">
        <v>577</v>
      </c>
      <c r="D1560" s="0" t="s">
        <v>129</v>
      </c>
      <c r="E1560" s="0" t="s">
        <v>3227</v>
      </c>
      <c r="F1560" s="0" t="n">
        <v>5</v>
      </c>
      <c r="G1560" s="0" t="n">
        <v>0</v>
      </c>
      <c r="H1560" s="0" t="s">
        <v>585</v>
      </c>
      <c r="K1560" s="0" t="s">
        <v>597</v>
      </c>
      <c r="L1560" s="0" t="s">
        <v>3228</v>
      </c>
    </row>
    <row r="1561" customFormat="false" ht="15" hidden="false" customHeight="false" outlineLevel="0" collapsed="false">
      <c r="A1561" s="0" t="s">
        <v>67</v>
      </c>
      <c r="B1561" s="0" t="s">
        <v>303</v>
      </c>
      <c r="C1561" s="0" t="s">
        <v>577</v>
      </c>
      <c r="D1561" s="0" t="s">
        <v>132</v>
      </c>
      <c r="E1561" s="0" t="s">
        <v>1700</v>
      </c>
      <c r="F1561" s="0" t="n">
        <v>5</v>
      </c>
      <c r="G1561" s="0" t="n">
        <v>0</v>
      </c>
      <c r="H1561" s="0" t="s">
        <v>585</v>
      </c>
      <c r="K1561" s="0" t="s">
        <v>600</v>
      </c>
      <c r="L1561" s="0" t="s">
        <v>3229</v>
      </c>
    </row>
    <row r="1562" customFormat="false" ht="15" hidden="false" customHeight="false" outlineLevel="0" collapsed="false">
      <c r="A1562" s="0" t="s">
        <v>67</v>
      </c>
      <c r="B1562" s="0" t="s">
        <v>42</v>
      </c>
      <c r="C1562" s="0" t="s">
        <v>577</v>
      </c>
      <c r="D1562" s="0" t="s">
        <v>139</v>
      </c>
      <c r="E1562" s="0" t="s">
        <v>3230</v>
      </c>
      <c r="F1562" s="0" t="n">
        <v>5</v>
      </c>
      <c r="G1562" s="0" t="n">
        <v>0</v>
      </c>
      <c r="H1562" s="0" t="s">
        <v>585</v>
      </c>
      <c r="K1562" s="0" t="s">
        <v>604</v>
      </c>
      <c r="L1562" s="0" t="s">
        <v>3231</v>
      </c>
    </row>
    <row r="1563" customFormat="false" ht="15" hidden="false" customHeight="false" outlineLevel="0" collapsed="false">
      <c r="A1563" s="0" t="s">
        <v>67</v>
      </c>
      <c r="B1563" s="0" t="s">
        <v>303</v>
      </c>
      <c r="C1563" s="0" t="s">
        <v>577</v>
      </c>
      <c r="D1563" s="0" t="s">
        <v>143</v>
      </c>
      <c r="E1563" s="0" t="s">
        <v>1704</v>
      </c>
      <c r="F1563" s="0" t="n">
        <v>5</v>
      </c>
      <c r="G1563" s="0" t="n">
        <v>0</v>
      </c>
      <c r="H1563" s="0" t="s">
        <v>585</v>
      </c>
      <c r="K1563" s="0" t="s">
        <v>607</v>
      </c>
      <c r="L1563" s="0" t="s">
        <v>3232</v>
      </c>
    </row>
    <row r="1564" customFormat="false" ht="15" hidden="false" customHeight="false" outlineLevel="0" collapsed="false">
      <c r="A1564" s="0" t="s">
        <v>67</v>
      </c>
      <c r="B1564" s="0" t="s">
        <v>42</v>
      </c>
      <c r="C1564" s="0" t="s">
        <v>577</v>
      </c>
      <c r="D1564" s="0" t="s">
        <v>146</v>
      </c>
      <c r="E1564" s="0" t="s">
        <v>3233</v>
      </c>
      <c r="F1564" s="0" t="n">
        <v>5</v>
      </c>
      <c r="G1564" s="0" t="n">
        <v>0</v>
      </c>
      <c r="H1564" s="0" t="s">
        <v>585</v>
      </c>
      <c r="K1564" s="0" t="s">
        <v>610</v>
      </c>
      <c r="L1564" s="0" t="s">
        <v>3234</v>
      </c>
    </row>
    <row r="1565" customFormat="false" ht="15" hidden="false" customHeight="false" outlineLevel="0" collapsed="false">
      <c r="A1565" s="0" t="s">
        <v>67</v>
      </c>
      <c r="B1565" s="0" t="s">
        <v>303</v>
      </c>
      <c r="C1565" s="0" t="s">
        <v>577</v>
      </c>
      <c r="D1565" s="0" t="s">
        <v>149</v>
      </c>
      <c r="E1565" s="0" t="s">
        <v>1708</v>
      </c>
      <c r="F1565" s="0" t="n">
        <v>5</v>
      </c>
      <c r="G1565" s="0" t="n">
        <v>0</v>
      </c>
      <c r="H1565" s="0" t="s">
        <v>585</v>
      </c>
      <c r="K1565" s="0" t="s">
        <v>613</v>
      </c>
      <c r="L1565" s="0" t="s">
        <v>3235</v>
      </c>
    </row>
    <row r="1566" customFormat="false" ht="15" hidden="false" customHeight="false" outlineLevel="0" collapsed="false">
      <c r="A1566" s="0" t="s">
        <v>67</v>
      </c>
      <c r="B1566" s="0" t="s">
        <v>42</v>
      </c>
      <c r="C1566" s="0" t="s">
        <v>577</v>
      </c>
      <c r="D1566" s="0" t="s">
        <v>152</v>
      </c>
      <c r="E1566" s="0" t="s">
        <v>3236</v>
      </c>
      <c r="F1566" s="0" t="n">
        <v>5</v>
      </c>
      <c r="G1566" s="0" t="n">
        <v>0</v>
      </c>
      <c r="H1566" s="0" t="s">
        <v>585</v>
      </c>
      <c r="K1566" s="0" t="s">
        <v>616</v>
      </c>
      <c r="L1566" s="0" t="s">
        <v>3237</v>
      </c>
    </row>
    <row r="1567" customFormat="false" ht="15" hidden="false" customHeight="false" outlineLevel="0" collapsed="false">
      <c r="A1567" s="0" t="s">
        <v>67</v>
      </c>
      <c r="B1567" s="0" t="s">
        <v>303</v>
      </c>
      <c r="C1567" s="0" t="s">
        <v>577</v>
      </c>
      <c r="D1567" s="0" t="s">
        <v>155</v>
      </c>
      <c r="E1567" s="0" t="s">
        <v>1712</v>
      </c>
      <c r="F1567" s="0" t="n">
        <v>5</v>
      </c>
      <c r="G1567" s="0" t="n">
        <v>0</v>
      </c>
      <c r="H1567" s="0" t="s">
        <v>585</v>
      </c>
      <c r="K1567" s="0" t="s">
        <v>620</v>
      </c>
      <c r="L1567" s="0" t="s">
        <v>3238</v>
      </c>
    </row>
    <row r="1568" customFormat="false" ht="15" hidden="false" customHeight="false" outlineLevel="0" collapsed="false">
      <c r="A1568" s="0" t="s">
        <v>67</v>
      </c>
      <c r="B1568" s="0" t="s">
        <v>42</v>
      </c>
      <c r="C1568" s="0" t="s">
        <v>622</v>
      </c>
      <c r="D1568" s="0" t="s">
        <v>987</v>
      </c>
      <c r="E1568" s="0" t="s">
        <v>3239</v>
      </c>
      <c r="F1568" s="0" t="n">
        <v>5</v>
      </c>
      <c r="G1568" s="0" t="n">
        <v>0</v>
      </c>
      <c r="H1568" s="0" t="s">
        <v>585</v>
      </c>
      <c r="K1568" s="0" t="s">
        <v>581</v>
      </c>
      <c r="L1568" s="0" t="s">
        <v>3240</v>
      </c>
    </row>
    <row r="1569" customFormat="false" ht="15" hidden="false" customHeight="false" outlineLevel="0" collapsed="false">
      <c r="A1569" s="0" t="s">
        <v>67</v>
      </c>
      <c r="B1569" s="0" t="s">
        <v>303</v>
      </c>
      <c r="C1569" s="0" t="s">
        <v>622</v>
      </c>
      <c r="D1569" s="0" t="s">
        <v>990</v>
      </c>
      <c r="E1569" s="0" t="s">
        <v>1716</v>
      </c>
      <c r="F1569" s="0" t="n">
        <v>5</v>
      </c>
      <c r="G1569" s="0" t="n">
        <v>0</v>
      </c>
      <c r="H1569" s="0" t="s">
        <v>585</v>
      </c>
      <c r="K1569" s="0" t="s">
        <v>586</v>
      </c>
      <c r="L1569" s="0" t="s">
        <v>3241</v>
      </c>
    </row>
    <row r="1570" customFormat="false" ht="15" hidden="false" customHeight="false" outlineLevel="0" collapsed="false">
      <c r="A1570" s="0" t="s">
        <v>67</v>
      </c>
      <c r="B1570" s="0" t="s">
        <v>42</v>
      </c>
      <c r="C1570" s="0" t="s">
        <v>622</v>
      </c>
      <c r="D1570" s="0" t="s">
        <v>993</v>
      </c>
      <c r="E1570" s="0" t="s">
        <v>3242</v>
      </c>
      <c r="F1570" s="0" t="n">
        <v>5</v>
      </c>
      <c r="G1570" s="0" t="n">
        <v>0</v>
      </c>
      <c r="H1570" s="0" t="s">
        <v>585</v>
      </c>
      <c r="K1570" s="0" t="s">
        <v>590</v>
      </c>
      <c r="L1570" s="0" t="s">
        <v>3243</v>
      </c>
    </row>
    <row r="1571" customFormat="false" ht="15" hidden="false" customHeight="false" outlineLevel="0" collapsed="false">
      <c r="A1571" s="0" t="s">
        <v>67</v>
      </c>
      <c r="B1571" s="0" t="s">
        <v>303</v>
      </c>
      <c r="C1571" s="0" t="s">
        <v>622</v>
      </c>
      <c r="D1571" s="0" t="s">
        <v>126</v>
      </c>
      <c r="E1571" s="0" t="s">
        <v>1720</v>
      </c>
      <c r="F1571" s="0" t="n">
        <v>5</v>
      </c>
      <c r="G1571" s="0" t="n">
        <v>2</v>
      </c>
      <c r="H1571" s="0" t="s">
        <v>585</v>
      </c>
      <c r="I1571" s="0" t="s">
        <v>443</v>
      </c>
      <c r="K1571" s="0" t="s">
        <v>594</v>
      </c>
      <c r="L1571" s="0" t="s">
        <v>3244</v>
      </c>
    </row>
    <row r="1572" customFormat="false" ht="15" hidden="false" customHeight="false" outlineLevel="0" collapsed="false">
      <c r="A1572" s="0" t="s">
        <v>67</v>
      </c>
      <c r="B1572" s="0" t="s">
        <v>42</v>
      </c>
      <c r="C1572" s="0" t="s">
        <v>622</v>
      </c>
      <c r="D1572" s="0" t="s">
        <v>129</v>
      </c>
      <c r="E1572" s="0" t="s">
        <v>3245</v>
      </c>
      <c r="F1572" s="0" t="n">
        <v>5</v>
      </c>
      <c r="G1572" s="0" t="n">
        <v>0</v>
      </c>
      <c r="H1572" s="0" t="s">
        <v>585</v>
      </c>
      <c r="K1572" s="0" t="s">
        <v>597</v>
      </c>
      <c r="L1572" s="0" t="s">
        <v>3246</v>
      </c>
    </row>
    <row r="1573" customFormat="false" ht="15" hidden="false" customHeight="false" outlineLevel="0" collapsed="false">
      <c r="A1573" s="0" t="s">
        <v>67</v>
      </c>
      <c r="B1573" s="0" t="s">
        <v>303</v>
      </c>
      <c r="C1573" s="0" t="s">
        <v>622</v>
      </c>
      <c r="D1573" s="0" t="s">
        <v>132</v>
      </c>
      <c r="E1573" s="0" t="s">
        <v>1724</v>
      </c>
      <c r="F1573" s="0" t="n">
        <v>5</v>
      </c>
      <c r="G1573" s="0" t="n">
        <v>0</v>
      </c>
      <c r="H1573" s="0" t="s">
        <v>585</v>
      </c>
      <c r="K1573" s="0" t="s">
        <v>600</v>
      </c>
      <c r="L1573" s="0" t="s">
        <v>3247</v>
      </c>
    </row>
    <row r="1574" customFormat="false" ht="15" hidden="false" customHeight="false" outlineLevel="0" collapsed="false">
      <c r="A1574" s="0" t="s">
        <v>67</v>
      </c>
      <c r="B1574" s="0" t="s">
        <v>42</v>
      </c>
      <c r="C1574" s="0" t="s">
        <v>622</v>
      </c>
      <c r="D1574" s="0" t="s">
        <v>139</v>
      </c>
      <c r="E1574" s="0" t="s">
        <v>3248</v>
      </c>
      <c r="F1574" s="0" t="n">
        <v>5</v>
      </c>
      <c r="G1574" s="0" t="n">
        <v>0</v>
      </c>
      <c r="H1574" s="0" t="s">
        <v>585</v>
      </c>
      <c r="K1574" s="0" t="s">
        <v>604</v>
      </c>
      <c r="L1574" s="0" t="s">
        <v>3249</v>
      </c>
    </row>
    <row r="1575" customFormat="false" ht="15" hidden="false" customHeight="false" outlineLevel="0" collapsed="false">
      <c r="A1575" s="0" t="s">
        <v>67</v>
      </c>
      <c r="B1575" s="0" t="s">
        <v>303</v>
      </c>
      <c r="C1575" s="0" t="s">
        <v>622</v>
      </c>
      <c r="D1575" s="0" t="s">
        <v>143</v>
      </c>
      <c r="E1575" s="0" t="s">
        <v>1728</v>
      </c>
      <c r="F1575" s="0" t="n">
        <v>5</v>
      </c>
      <c r="G1575" s="0" t="n">
        <v>0</v>
      </c>
      <c r="H1575" s="0" t="s">
        <v>585</v>
      </c>
      <c r="K1575" s="0" t="s">
        <v>607</v>
      </c>
      <c r="L1575" s="0" t="s">
        <v>3250</v>
      </c>
    </row>
    <row r="1576" customFormat="false" ht="15" hidden="false" customHeight="false" outlineLevel="0" collapsed="false">
      <c r="A1576" s="0" t="s">
        <v>67</v>
      </c>
      <c r="B1576" s="0" t="s">
        <v>42</v>
      </c>
      <c r="C1576" s="0" t="s">
        <v>622</v>
      </c>
      <c r="D1576" s="0" t="s">
        <v>146</v>
      </c>
      <c r="E1576" s="0" t="s">
        <v>3251</v>
      </c>
      <c r="F1576" s="0" t="n">
        <v>5</v>
      </c>
      <c r="G1576" s="0" t="n">
        <v>0</v>
      </c>
      <c r="H1576" s="0" t="s">
        <v>585</v>
      </c>
      <c r="K1576" s="0" t="s">
        <v>610</v>
      </c>
      <c r="L1576" s="0" t="s">
        <v>3252</v>
      </c>
    </row>
    <row r="1577" customFormat="false" ht="15" hidden="false" customHeight="false" outlineLevel="0" collapsed="false">
      <c r="A1577" s="0" t="s">
        <v>67</v>
      </c>
      <c r="B1577" s="0" t="s">
        <v>303</v>
      </c>
      <c r="C1577" s="0" t="s">
        <v>622</v>
      </c>
      <c r="D1577" s="0" t="s">
        <v>149</v>
      </c>
      <c r="E1577" s="0" t="s">
        <v>1732</v>
      </c>
      <c r="F1577" s="0" t="n">
        <v>5</v>
      </c>
      <c r="G1577" s="0" t="n">
        <v>0</v>
      </c>
      <c r="H1577" s="0" t="s">
        <v>585</v>
      </c>
      <c r="K1577" s="0" t="s">
        <v>613</v>
      </c>
      <c r="L1577" s="0" t="s">
        <v>3253</v>
      </c>
    </row>
    <row r="1578" customFormat="false" ht="15" hidden="false" customHeight="false" outlineLevel="0" collapsed="false">
      <c r="A1578" s="0" t="s">
        <v>67</v>
      </c>
      <c r="B1578" s="0" t="s">
        <v>42</v>
      </c>
      <c r="C1578" s="0" t="s">
        <v>622</v>
      </c>
      <c r="D1578" s="0" t="s">
        <v>152</v>
      </c>
      <c r="E1578" s="0" t="s">
        <v>3254</v>
      </c>
      <c r="F1578" s="0" t="n">
        <v>5</v>
      </c>
      <c r="G1578" s="0" t="n">
        <v>0</v>
      </c>
      <c r="H1578" s="0" t="s">
        <v>585</v>
      </c>
      <c r="K1578" s="0" t="s">
        <v>616</v>
      </c>
      <c r="L1578" s="0" t="s">
        <v>3255</v>
      </c>
    </row>
    <row r="1579" customFormat="false" ht="15" hidden="false" customHeight="false" outlineLevel="0" collapsed="false">
      <c r="A1579" s="0" t="s">
        <v>67</v>
      </c>
      <c r="B1579" s="0" t="s">
        <v>303</v>
      </c>
      <c r="C1579" s="0" t="s">
        <v>622</v>
      </c>
      <c r="D1579" s="0" t="s">
        <v>155</v>
      </c>
      <c r="E1579" s="0" t="s">
        <v>1736</v>
      </c>
      <c r="F1579" s="0" t="n">
        <v>5</v>
      </c>
      <c r="G1579" s="0" t="n">
        <v>0</v>
      </c>
      <c r="H1579" s="0" t="s">
        <v>585</v>
      </c>
      <c r="K1579" s="0" t="s">
        <v>620</v>
      </c>
      <c r="L1579" s="0" t="s">
        <v>3256</v>
      </c>
    </row>
    <row r="1580" customFormat="false" ht="15" hidden="false" customHeight="false" outlineLevel="0" collapsed="false">
      <c r="A1580" s="0" t="s">
        <v>67</v>
      </c>
      <c r="B1580" s="0" t="s">
        <v>42</v>
      </c>
      <c r="C1580" s="0" t="s">
        <v>649</v>
      </c>
      <c r="D1580" s="0" t="s">
        <v>987</v>
      </c>
      <c r="E1580" s="0" t="s">
        <v>3257</v>
      </c>
      <c r="F1580" s="0" t="n">
        <v>5</v>
      </c>
      <c r="G1580" s="0" t="n">
        <v>0</v>
      </c>
      <c r="H1580" s="0" t="s">
        <v>585</v>
      </c>
      <c r="K1580" s="0" t="s">
        <v>581</v>
      </c>
      <c r="L1580" s="0" t="s">
        <v>3258</v>
      </c>
    </row>
    <row r="1581" customFormat="false" ht="15" hidden="false" customHeight="false" outlineLevel="0" collapsed="false">
      <c r="A1581" s="0" t="s">
        <v>67</v>
      </c>
      <c r="B1581" s="0" t="s">
        <v>303</v>
      </c>
      <c r="C1581" s="0" t="s">
        <v>649</v>
      </c>
      <c r="D1581" s="0" t="s">
        <v>990</v>
      </c>
      <c r="E1581" s="0" t="s">
        <v>1740</v>
      </c>
      <c r="F1581" s="0" t="n">
        <v>5</v>
      </c>
      <c r="G1581" s="0" t="n">
        <v>2</v>
      </c>
      <c r="H1581" s="0" t="s">
        <v>585</v>
      </c>
      <c r="I1581" s="0" t="s">
        <v>442</v>
      </c>
      <c r="K1581" s="0" t="s">
        <v>586</v>
      </c>
      <c r="L1581" s="0" t="s">
        <v>3259</v>
      </c>
    </row>
    <row r="1582" customFormat="false" ht="15" hidden="false" customHeight="false" outlineLevel="0" collapsed="false">
      <c r="A1582" s="0" t="s">
        <v>67</v>
      </c>
      <c r="B1582" s="0" t="s">
        <v>42</v>
      </c>
      <c r="C1582" s="0" t="s">
        <v>649</v>
      </c>
      <c r="D1582" s="0" t="s">
        <v>993</v>
      </c>
      <c r="E1582" s="0" t="s">
        <v>3260</v>
      </c>
      <c r="F1582" s="0" t="n">
        <v>5</v>
      </c>
      <c r="G1582" s="0" t="n">
        <v>2</v>
      </c>
      <c r="H1582" s="0" t="s">
        <v>585</v>
      </c>
      <c r="I1582" s="0" t="s">
        <v>442</v>
      </c>
      <c r="K1582" s="0" t="s">
        <v>590</v>
      </c>
      <c r="L1582" s="0" t="s">
        <v>3261</v>
      </c>
    </row>
    <row r="1583" customFormat="false" ht="15" hidden="false" customHeight="false" outlineLevel="0" collapsed="false">
      <c r="A1583" s="0" t="s">
        <v>67</v>
      </c>
      <c r="B1583" s="0" t="s">
        <v>303</v>
      </c>
      <c r="C1583" s="0" t="s">
        <v>649</v>
      </c>
      <c r="D1583" s="0" t="s">
        <v>126</v>
      </c>
      <c r="E1583" s="0" t="s">
        <v>1744</v>
      </c>
      <c r="F1583" s="0" t="n">
        <v>5</v>
      </c>
      <c r="G1583" s="0" t="n">
        <v>0</v>
      </c>
      <c r="H1583" s="0" t="s">
        <v>585</v>
      </c>
      <c r="K1583" s="0" t="s">
        <v>594</v>
      </c>
      <c r="L1583" s="0" t="s">
        <v>3262</v>
      </c>
    </row>
    <row r="1584" customFormat="false" ht="15" hidden="false" customHeight="false" outlineLevel="0" collapsed="false">
      <c r="A1584" s="0" t="s">
        <v>67</v>
      </c>
      <c r="B1584" s="0" t="s">
        <v>42</v>
      </c>
      <c r="C1584" s="0" t="s">
        <v>649</v>
      </c>
      <c r="D1584" s="0" t="s">
        <v>129</v>
      </c>
      <c r="E1584" s="0" t="s">
        <v>3263</v>
      </c>
      <c r="F1584" s="0" t="n">
        <v>5</v>
      </c>
      <c r="G1584" s="0" t="n">
        <v>0</v>
      </c>
      <c r="H1584" s="0" t="s">
        <v>585</v>
      </c>
      <c r="K1584" s="0" t="s">
        <v>597</v>
      </c>
      <c r="L1584" s="0" t="s">
        <v>3264</v>
      </c>
    </row>
    <row r="1585" customFormat="false" ht="15" hidden="false" customHeight="false" outlineLevel="0" collapsed="false">
      <c r="A1585" s="0" t="s">
        <v>67</v>
      </c>
      <c r="B1585" s="0" t="s">
        <v>303</v>
      </c>
      <c r="C1585" s="0" t="s">
        <v>649</v>
      </c>
      <c r="D1585" s="0" t="s">
        <v>132</v>
      </c>
      <c r="E1585" s="0" t="s">
        <v>1748</v>
      </c>
      <c r="F1585" s="0" t="n">
        <v>5</v>
      </c>
      <c r="G1585" s="0" t="n">
        <v>0</v>
      </c>
      <c r="H1585" s="0" t="s">
        <v>585</v>
      </c>
      <c r="K1585" s="0" t="s">
        <v>600</v>
      </c>
      <c r="L1585" s="0" t="s">
        <v>3265</v>
      </c>
    </row>
    <row r="1586" customFormat="false" ht="15" hidden="false" customHeight="false" outlineLevel="0" collapsed="false">
      <c r="A1586" s="0" t="s">
        <v>67</v>
      </c>
      <c r="B1586" s="0" t="s">
        <v>42</v>
      </c>
      <c r="C1586" s="0" t="s">
        <v>649</v>
      </c>
      <c r="D1586" s="0" t="s">
        <v>139</v>
      </c>
      <c r="E1586" s="0" t="s">
        <v>3266</v>
      </c>
      <c r="F1586" s="0" t="n">
        <v>5</v>
      </c>
      <c r="G1586" s="0" t="n">
        <v>0</v>
      </c>
      <c r="H1586" s="0" t="s">
        <v>585</v>
      </c>
      <c r="K1586" s="0" t="s">
        <v>604</v>
      </c>
      <c r="L1586" s="0" t="s">
        <v>3267</v>
      </c>
    </row>
    <row r="1587" customFormat="false" ht="15" hidden="false" customHeight="false" outlineLevel="0" collapsed="false">
      <c r="A1587" s="0" t="s">
        <v>67</v>
      </c>
      <c r="B1587" s="0" t="s">
        <v>303</v>
      </c>
      <c r="C1587" s="0" t="s">
        <v>649</v>
      </c>
      <c r="D1587" s="0" t="s">
        <v>143</v>
      </c>
      <c r="E1587" s="0" t="s">
        <v>1752</v>
      </c>
      <c r="F1587" s="0" t="n">
        <v>5</v>
      </c>
      <c r="G1587" s="0" t="n">
        <v>0</v>
      </c>
      <c r="H1587" s="0" t="s">
        <v>585</v>
      </c>
      <c r="K1587" s="0" t="s">
        <v>607</v>
      </c>
      <c r="L1587" s="0" t="s">
        <v>3268</v>
      </c>
    </row>
    <row r="1588" customFormat="false" ht="15" hidden="false" customHeight="false" outlineLevel="0" collapsed="false">
      <c r="A1588" s="0" t="s">
        <v>67</v>
      </c>
      <c r="B1588" s="0" t="s">
        <v>42</v>
      </c>
      <c r="C1588" s="0" t="s">
        <v>649</v>
      </c>
      <c r="D1588" s="0" t="s">
        <v>146</v>
      </c>
      <c r="E1588" s="0" t="s">
        <v>3269</v>
      </c>
      <c r="F1588" s="0" t="n">
        <v>5</v>
      </c>
      <c r="G1588" s="0" t="n">
        <v>0</v>
      </c>
      <c r="H1588" s="0" t="s">
        <v>585</v>
      </c>
      <c r="K1588" s="0" t="s">
        <v>610</v>
      </c>
      <c r="L1588" s="0" t="s">
        <v>3270</v>
      </c>
    </row>
    <row r="1589" customFormat="false" ht="15" hidden="false" customHeight="false" outlineLevel="0" collapsed="false">
      <c r="A1589" s="0" t="s">
        <v>67</v>
      </c>
      <c r="B1589" s="0" t="s">
        <v>303</v>
      </c>
      <c r="C1589" s="0" t="s">
        <v>649</v>
      </c>
      <c r="D1589" s="0" t="s">
        <v>149</v>
      </c>
      <c r="E1589" s="0" t="s">
        <v>1756</v>
      </c>
      <c r="F1589" s="0" t="n">
        <v>5</v>
      </c>
      <c r="G1589" s="0" t="n">
        <v>0</v>
      </c>
      <c r="H1589" s="0" t="s">
        <v>585</v>
      </c>
      <c r="K1589" s="0" t="s">
        <v>613</v>
      </c>
      <c r="L1589" s="0" t="s">
        <v>3271</v>
      </c>
    </row>
    <row r="1590" customFormat="false" ht="15" hidden="false" customHeight="false" outlineLevel="0" collapsed="false">
      <c r="A1590" s="0" t="s">
        <v>67</v>
      </c>
      <c r="B1590" s="0" t="s">
        <v>42</v>
      </c>
      <c r="C1590" s="0" t="s">
        <v>649</v>
      </c>
      <c r="D1590" s="0" t="s">
        <v>152</v>
      </c>
      <c r="E1590" s="0" t="s">
        <v>3272</v>
      </c>
      <c r="F1590" s="0" t="n">
        <v>5</v>
      </c>
      <c r="G1590" s="0" t="n">
        <v>1</v>
      </c>
      <c r="H1590" s="0" t="s">
        <v>585</v>
      </c>
      <c r="I1590" s="0" t="s">
        <v>442</v>
      </c>
      <c r="K1590" s="0" t="s">
        <v>616</v>
      </c>
      <c r="L1590" s="0" t="s">
        <v>3273</v>
      </c>
    </row>
    <row r="1591" customFormat="false" ht="15" hidden="false" customHeight="false" outlineLevel="0" collapsed="false">
      <c r="A1591" s="0" t="s">
        <v>67</v>
      </c>
      <c r="B1591" s="0" t="s">
        <v>303</v>
      </c>
      <c r="C1591" s="0" t="s">
        <v>649</v>
      </c>
      <c r="D1591" s="0" t="s">
        <v>155</v>
      </c>
      <c r="E1591" s="0" t="s">
        <v>1760</v>
      </c>
      <c r="F1591" s="0" t="n">
        <v>5</v>
      </c>
      <c r="G1591" s="0" t="n">
        <v>0</v>
      </c>
      <c r="H1591" s="0" t="s">
        <v>585</v>
      </c>
      <c r="K1591" s="0" t="s">
        <v>620</v>
      </c>
      <c r="L1591" s="0" t="s">
        <v>3274</v>
      </c>
    </row>
    <row r="1592" customFormat="false" ht="15" hidden="false" customHeight="false" outlineLevel="0" collapsed="false">
      <c r="A1592" s="0" t="s">
        <v>67</v>
      </c>
      <c r="B1592" s="0" t="s">
        <v>42</v>
      </c>
      <c r="C1592" s="0" t="s">
        <v>675</v>
      </c>
      <c r="D1592" s="0" t="s">
        <v>987</v>
      </c>
      <c r="E1592" s="0" t="s">
        <v>3275</v>
      </c>
      <c r="F1592" s="0" t="n">
        <v>5</v>
      </c>
      <c r="G1592" s="0" t="n">
        <v>0</v>
      </c>
      <c r="H1592" s="0" t="s">
        <v>585</v>
      </c>
      <c r="K1592" s="0" t="s">
        <v>581</v>
      </c>
      <c r="L1592" s="0" t="s">
        <v>3276</v>
      </c>
    </row>
    <row r="1593" customFormat="false" ht="15" hidden="false" customHeight="false" outlineLevel="0" collapsed="false">
      <c r="A1593" s="0" t="s">
        <v>67</v>
      </c>
      <c r="B1593" s="0" t="s">
        <v>303</v>
      </c>
      <c r="C1593" s="0" t="s">
        <v>675</v>
      </c>
      <c r="D1593" s="0" t="s">
        <v>990</v>
      </c>
      <c r="E1593" s="0" t="s">
        <v>1764</v>
      </c>
      <c r="F1593" s="0" t="n">
        <v>5</v>
      </c>
      <c r="G1593" s="0" t="n">
        <v>0</v>
      </c>
      <c r="H1593" s="0" t="s">
        <v>585</v>
      </c>
      <c r="K1593" s="0" t="s">
        <v>586</v>
      </c>
      <c r="L1593" s="0" t="s">
        <v>3277</v>
      </c>
    </row>
    <row r="1594" customFormat="false" ht="15" hidden="false" customHeight="false" outlineLevel="0" collapsed="false">
      <c r="A1594" s="0" t="s">
        <v>67</v>
      </c>
      <c r="B1594" s="0" t="s">
        <v>42</v>
      </c>
      <c r="C1594" s="0" t="s">
        <v>675</v>
      </c>
      <c r="D1594" s="0" t="s">
        <v>993</v>
      </c>
      <c r="E1594" s="0" t="s">
        <v>3278</v>
      </c>
      <c r="F1594" s="0" t="n">
        <v>5</v>
      </c>
      <c r="G1594" s="0" t="n">
        <v>0</v>
      </c>
      <c r="H1594" s="0" t="s">
        <v>585</v>
      </c>
      <c r="K1594" s="0" t="s">
        <v>590</v>
      </c>
      <c r="L1594" s="0" t="s">
        <v>3279</v>
      </c>
    </row>
    <row r="1595" customFormat="false" ht="15" hidden="false" customHeight="false" outlineLevel="0" collapsed="false">
      <c r="A1595" s="0" t="s">
        <v>67</v>
      </c>
      <c r="B1595" s="0" t="s">
        <v>303</v>
      </c>
      <c r="C1595" s="0" t="s">
        <v>675</v>
      </c>
      <c r="D1595" s="0" t="s">
        <v>126</v>
      </c>
      <c r="E1595" s="0" t="s">
        <v>1768</v>
      </c>
      <c r="F1595" s="0" t="n">
        <v>5</v>
      </c>
      <c r="G1595" s="0" t="n">
        <v>0</v>
      </c>
      <c r="H1595" s="0" t="s">
        <v>585</v>
      </c>
      <c r="K1595" s="0" t="s">
        <v>594</v>
      </c>
      <c r="L1595" s="0" t="s">
        <v>3280</v>
      </c>
    </row>
    <row r="1596" customFormat="false" ht="15" hidden="false" customHeight="false" outlineLevel="0" collapsed="false">
      <c r="A1596" s="0" t="s">
        <v>67</v>
      </c>
      <c r="B1596" s="0" t="s">
        <v>42</v>
      </c>
      <c r="C1596" s="0" t="s">
        <v>675</v>
      </c>
      <c r="D1596" s="0" t="s">
        <v>129</v>
      </c>
      <c r="E1596" s="0" t="s">
        <v>3281</v>
      </c>
      <c r="F1596" s="0" t="n">
        <v>5</v>
      </c>
      <c r="G1596" s="0" t="n">
        <v>1</v>
      </c>
      <c r="H1596" s="0" t="s">
        <v>585</v>
      </c>
      <c r="I1596" s="0" t="s">
        <v>442</v>
      </c>
      <c r="K1596" s="0" t="s">
        <v>597</v>
      </c>
      <c r="L1596" s="0" t="s">
        <v>3282</v>
      </c>
    </row>
    <row r="1597" customFormat="false" ht="15" hidden="false" customHeight="false" outlineLevel="0" collapsed="false">
      <c r="A1597" s="0" t="s">
        <v>67</v>
      </c>
      <c r="B1597" s="0" t="s">
        <v>303</v>
      </c>
      <c r="C1597" s="0" t="s">
        <v>675</v>
      </c>
      <c r="D1597" s="0" t="s">
        <v>132</v>
      </c>
      <c r="E1597" s="0" t="s">
        <v>1772</v>
      </c>
      <c r="F1597" s="0" t="n">
        <v>5</v>
      </c>
      <c r="G1597" s="0" t="n">
        <v>0</v>
      </c>
      <c r="H1597" s="0" t="s">
        <v>585</v>
      </c>
      <c r="K1597" s="0" t="s">
        <v>600</v>
      </c>
      <c r="L1597" s="0" t="s">
        <v>3283</v>
      </c>
    </row>
    <row r="1598" customFormat="false" ht="15" hidden="false" customHeight="false" outlineLevel="0" collapsed="false">
      <c r="A1598" s="0" t="s">
        <v>67</v>
      </c>
      <c r="B1598" s="0" t="s">
        <v>42</v>
      </c>
      <c r="C1598" s="0" t="s">
        <v>675</v>
      </c>
      <c r="D1598" s="0" t="s">
        <v>139</v>
      </c>
      <c r="E1598" s="0" t="s">
        <v>3284</v>
      </c>
      <c r="F1598" s="0" t="n">
        <v>5</v>
      </c>
      <c r="G1598" s="0" t="n">
        <v>0</v>
      </c>
      <c r="H1598" s="0" t="s">
        <v>585</v>
      </c>
      <c r="K1598" s="0" t="s">
        <v>604</v>
      </c>
      <c r="L1598" s="0" t="s">
        <v>3285</v>
      </c>
    </row>
    <row r="1599" customFormat="false" ht="15" hidden="false" customHeight="false" outlineLevel="0" collapsed="false">
      <c r="A1599" s="0" t="s">
        <v>67</v>
      </c>
      <c r="B1599" s="0" t="s">
        <v>303</v>
      </c>
      <c r="C1599" s="0" t="s">
        <v>675</v>
      </c>
      <c r="D1599" s="0" t="s">
        <v>143</v>
      </c>
      <c r="E1599" s="0" t="s">
        <v>1776</v>
      </c>
      <c r="F1599" s="0" t="n">
        <v>5</v>
      </c>
      <c r="G1599" s="0" t="n">
        <v>0</v>
      </c>
      <c r="H1599" s="0" t="s">
        <v>585</v>
      </c>
      <c r="K1599" s="0" t="s">
        <v>607</v>
      </c>
      <c r="L1599" s="0" t="s">
        <v>3286</v>
      </c>
    </row>
    <row r="1600" customFormat="false" ht="15" hidden="false" customHeight="false" outlineLevel="0" collapsed="false">
      <c r="A1600" s="0" t="s">
        <v>67</v>
      </c>
      <c r="B1600" s="0" t="s">
        <v>42</v>
      </c>
      <c r="C1600" s="0" t="s">
        <v>675</v>
      </c>
      <c r="D1600" s="0" t="s">
        <v>146</v>
      </c>
      <c r="E1600" s="0" t="s">
        <v>3287</v>
      </c>
      <c r="F1600" s="0" t="n">
        <v>5</v>
      </c>
      <c r="G1600" s="0" t="n">
        <v>0</v>
      </c>
      <c r="H1600" s="0" t="s">
        <v>585</v>
      </c>
      <c r="K1600" s="0" t="s">
        <v>610</v>
      </c>
      <c r="L1600" s="0" t="s">
        <v>3288</v>
      </c>
    </row>
    <row r="1601" customFormat="false" ht="15" hidden="false" customHeight="false" outlineLevel="0" collapsed="false">
      <c r="A1601" s="0" t="s">
        <v>67</v>
      </c>
      <c r="B1601" s="0" t="s">
        <v>303</v>
      </c>
      <c r="C1601" s="0" t="s">
        <v>675</v>
      </c>
      <c r="D1601" s="0" t="s">
        <v>149</v>
      </c>
      <c r="E1601" s="0" t="s">
        <v>1780</v>
      </c>
      <c r="F1601" s="0" t="n">
        <v>5</v>
      </c>
      <c r="G1601" s="0" t="n">
        <v>0</v>
      </c>
      <c r="H1601" s="0" t="s">
        <v>585</v>
      </c>
      <c r="K1601" s="0" t="s">
        <v>613</v>
      </c>
      <c r="L1601" s="0" t="s">
        <v>3289</v>
      </c>
    </row>
    <row r="1602" customFormat="false" ht="15" hidden="false" customHeight="false" outlineLevel="0" collapsed="false">
      <c r="A1602" s="0" t="s">
        <v>67</v>
      </c>
      <c r="B1602" s="0" t="s">
        <v>42</v>
      </c>
      <c r="C1602" s="0" t="s">
        <v>675</v>
      </c>
      <c r="D1602" s="0" t="s">
        <v>152</v>
      </c>
      <c r="E1602" s="0" t="s">
        <v>3290</v>
      </c>
      <c r="F1602" s="0" t="n">
        <v>5</v>
      </c>
      <c r="G1602" s="0" t="n">
        <v>0</v>
      </c>
      <c r="H1602" s="0" t="s">
        <v>585</v>
      </c>
      <c r="K1602" s="0" t="s">
        <v>616</v>
      </c>
      <c r="L1602" s="0" t="s">
        <v>3291</v>
      </c>
    </row>
    <row r="1603" customFormat="false" ht="15" hidden="false" customHeight="false" outlineLevel="0" collapsed="false">
      <c r="A1603" s="0" t="s">
        <v>67</v>
      </c>
      <c r="B1603" s="0" t="s">
        <v>303</v>
      </c>
      <c r="C1603" s="0" t="s">
        <v>675</v>
      </c>
      <c r="D1603" s="0" t="s">
        <v>155</v>
      </c>
      <c r="E1603" s="0" t="s">
        <v>1784</v>
      </c>
      <c r="F1603" s="0" t="n">
        <v>5</v>
      </c>
      <c r="G1603" s="0" t="n">
        <v>0</v>
      </c>
      <c r="H1603" s="0" t="s">
        <v>585</v>
      </c>
      <c r="K1603" s="0" t="s">
        <v>620</v>
      </c>
      <c r="L1603" s="0" t="s">
        <v>3292</v>
      </c>
    </row>
    <row r="1604" customFormat="false" ht="15" hidden="false" customHeight="false" outlineLevel="0" collapsed="false">
      <c r="A1604" s="0" t="s">
        <v>67</v>
      </c>
      <c r="B1604" s="0" t="s">
        <v>42</v>
      </c>
      <c r="C1604" s="0" t="s">
        <v>701</v>
      </c>
      <c r="D1604" s="0" t="s">
        <v>987</v>
      </c>
      <c r="E1604" s="0" t="s">
        <v>3293</v>
      </c>
      <c r="F1604" s="0" t="n">
        <v>5</v>
      </c>
      <c r="G1604" s="0" t="n">
        <v>0</v>
      </c>
      <c r="H1604" s="0" t="s">
        <v>585</v>
      </c>
      <c r="K1604" s="0" t="s">
        <v>581</v>
      </c>
      <c r="L1604" s="0" t="s">
        <v>3294</v>
      </c>
    </row>
    <row r="1605" customFormat="false" ht="15" hidden="false" customHeight="false" outlineLevel="0" collapsed="false">
      <c r="A1605" s="0" t="s">
        <v>67</v>
      </c>
      <c r="B1605" s="0" t="s">
        <v>303</v>
      </c>
      <c r="C1605" s="0" t="s">
        <v>701</v>
      </c>
      <c r="D1605" s="0" t="s">
        <v>990</v>
      </c>
      <c r="E1605" s="0" t="s">
        <v>1788</v>
      </c>
      <c r="F1605" s="0" t="n">
        <v>5</v>
      </c>
      <c r="G1605" s="0" t="n">
        <v>1</v>
      </c>
      <c r="H1605" s="0" t="s">
        <v>585</v>
      </c>
      <c r="I1605" s="0" t="s">
        <v>442</v>
      </c>
      <c r="K1605" s="0" t="s">
        <v>586</v>
      </c>
      <c r="L1605" s="0" t="s">
        <v>3295</v>
      </c>
    </row>
    <row r="1606" customFormat="false" ht="15" hidden="false" customHeight="false" outlineLevel="0" collapsed="false">
      <c r="A1606" s="0" t="s">
        <v>67</v>
      </c>
      <c r="B1606" s="0" t="s">
        <v>42</v>
      </c>
      <c r="C1606" s="0" t="s">
        <v>701</v>
      </c>
      <c r="D1606" s="0" t="s">
        <v>993</v>
      </c>
      <c r="E1606" s="0" t="s">
        <v>3296</v>
      </c>
      <c r="F1606" s="0" t="n">
        <v>5</v>
      </c>
      <c r="G1606" s="0" t="n">
        <v>0</v>
      </c>
      <c r="H1606" s="0" t="s">
        <v>585</v>
      </c>
      <c r="K1606" s="0" t="s">
        <v>590</v>
      </c>
      <c r="L1606" s="0" t="s">
        <v>3297</v>
      </c>
    </row>
    <row r="1607" customFormat="false" ht="15" hidden="false" customHeight="false" outlineLevel="0" collapsed="false">
      <c r="A1607" s="0" t="s">
        <v>67</v>
      </c>
      <c r="B1607" s="0" t="s">
        <v>303</v>
      </c>
      <c r="C1607" s="0" t="s">
        <v>701</v>
      </c>
      <c r="D1607" s="0" t="s">
        <v>126</v>
      </c>
      <c r="E1607" s="0" t="s">
        <v>1792</v>
      </c>
      <c r="F1607" s="0" t="n">
        <v>5</v>
      </c>
      <c r="G1607" s="0" t="n">
        <v>1</v>
      </c>
      <c r="H1607" s="0" t="s">
        <v>585</v>
      </c>
      <c r="I1607" s="0" t="s">
        <v>442</v>
      </c>
      <c r="K1607" s="0" t="s">
        <v>594</v>
      </c>
      <c r="L1607" s="0" t="s">
        <v>3298</v>
      </c>
    </row>
    <row r="1608" customFormat="false" ht="15" hidden="false" customHeight="false" outlineLevel="0" collapsed="false">
      <c r="A1608" s="0" t="s">
        <v>67</v>
      </c>
      <c r="B1608" s="0" t="s">
        <v>42</v>
      </c>
      <c r="C1608" s="0" t="s">
        <v>701</v>
      </c>
      <c r="D1608" s="0" t="s">
        <v>129</v>
      </c>
      <c r="E1608" s="0" t="s">
        <v>3299</v>
      </c>
      <c r="F1608" s="0" t="n">
        <v>5</v>
      </c>
      <c r="G1608" s="0" t="n">
        <v>0</v>
      </c>
      <c r="H1608" s="0" t="s">
        <v>585</v>
      </c>
      <c r="K1608" s="0" t="s">
        <v>597</v>
      </c>
      <c r="L1608" s="0" t="s">
        <v>3300</v>
      </c>
    </row>
    <row r="1609" customFormat="false" ht="15" hidden="false" customHeight="false" outlineLevel="0" collapsed="false">
      <c r="A1609" s="0" t="s">
        <v>67</v>
      </c>
      <c r="B1609" s="0" t="s">
        <v>303</v>
      </c>
      <c r="C1609" s="0" t="s">
        <v>701</v>
      </c>
      <c r="D1609" s="0" t="s">
        <v>132</v>
      </c>
      <c r="E1609" s="0" t="s">
        <v>1796</v>
      </c>
      <c r="F1609" s="0" t="n">
        <v>5</v>
      </c>
      <c r="G1609" s="0" t="n">
        <v>0</v>
      </c>
      <c r="H1609" s="0" t="s">
        <v>585</v>
      </c>
      <c r="K1609" s="0" t="s">
        <v>600</v>
      </c>
      <c r="L1609" s="0" t="s">
        <v>3301</v>
      </c>
    </row>
    <row r="1610" customFormat="false" ht="15" hidden="false" customHeight="false" outlineLevel="0" collapsed="false">
      <c r="A1610" s="0" t="s">
        <v>67</v>
      </c>
      <c r="B1610" s="0" t="s">
        <v>42</v>
      </c>
      <c r="C1610" s="0" t="s">
        <v>701</v>
      </c>
      <c r="D1610" s="0" t="s">
        <v>139</v>
      </c>
      <c r="E1610" s="0" t="s">
        <v>3302</v>
      </c>
      <c r="F1610" s="0" t="n">
        <v>5</v>
      </c>
      <c r="G1610" s="0" t="n">
        <v>0</v>
      </c>
      <c r="H1610" s="0" t="s">
        <v>585</v>
      </c>
      <c r="K1610" s="0" t="s">
        <v>604</v>
      </c>
      <c r="L1610" s="0" t="s">
        <v>3303</v>
      </c>
    </row>
    <row r="1611" customFormat="false" ht="15" hidden="false" customHeight="false" outlineLevel="0" collapsed="false">
      <c r="A1611" s="0" t="s">
        <v>67</v>
      </c>
      <c r="B1611" s="0" t="s">
        <v>303</v>
      </c>
      <c r="C1611" s="0" t="s">
        <v>701</v>
      </c>
      <c r="D1611" s="0" t="s">
        <v>143</v>
      </c>
      <c r="E1611" s="0" t="s">
        <v>1800</v>
      </c>
      <c r="F1611" s="0" t="n">
        <v>5</v>
      </c>
      <c r="G1611" s="0" t="n">
        <v>1</v>
      </c>
      <c r="H1611" s="0" t="s">
        <v>585</v>
      </c>
      <c r="I1611" s="0" t="s">
        <v>442</v>
      </c>
      <c r="K1611" s="0" t="s">
        <v>607</v>
      </c>
      <c r="L1611" s="0" t="s">
        <v>3304</v>
      </c>
    </row>
    <row r="1612" customFormat="false" ht="15" hidden="false" customHeight="false" outlineLevel="0" collapsed="false">
      <c r="A1612" s="0" t="s">
        <v>67</v>
      </c>
      <c r="B1612" s="0" t="s">
        <v>42</v>
      </c>
      <c r="C1612" s="0" t="s">
        <v>701</v>
      </c>
      <c r="D1612" s="0" t="s">
        <v>146</v>
      </c>
      <c r="E1612" s="0" t="s">
        <v>3305</v>
      </c>
      <c r="F1612" s="0" t="n">
        <v>5</v>
      </c>
      <c r="G1612" s="0" t="n">
        <v>3</v>
      </c>
      <c r="H1612" s="0" t="s">
        <v>585</v>
      </c>
      <c r="I1612" s="0" t="s">
        <v>446</v>
      </c>
      <c r="K1612" s="0" t="s">
        <v>610</v>
      </c>
      <c r="L1612" s="0" t="s">
        <v>3306</v>
      </c>
    </row>
    <row r="1613" customFormat="false" ht="15" hidden="false" customHeight="false" outlineLevel="0" collapsed="false">
      <c r="A1613" s="0" t="s">
        <v>67</v>
      </c>
      <c r="B1613" s="0" t="s">
        <v>303</v>
      </c>
      <c r="C1613" s="0" t="s">
        <v>701</v>
      </c>
      <c r="D1613" s="0" t="s">
        <v>149</v>
      </c>
      <c r="E1613" s="0" t="s">
        <v>1804</v>
      </c>
      <c r="F1613" s="0" t="n">
        <v>5</v>
      </c>
      <c r="G1613" s="0" t="n">
        <v>0</v>
      </c>
      <c r="H1613" s="0" t="s">
        <v>585</v>
      </c>
      <c r="K1613" s="0" t="s">
        <v>613</v>
      </c>
      <c r="L1613" s="0" t="s">
        <v>3307</v>
      </c>
    </row>
    <row r="1614" customFormat="false" ht="15" hidden="false" customHeight="false" outlineLevel="0" collapsed="false">
      <c r="A1614" s="0" t="s">
        <v>67</v>
      </c>
      <c r="B1614" s="0" t="s">
        <v>42</v>
      </c>
      <c r="C1614" s="0" t="s">
        <v>701</v>
      </c>
      <c r="D1614" s="0" t="s">
        <v>152</v>
      </c>
      <c r="E1614" s="0" t="s">
        <v>3308</v>
      </c>
      <c r="F1614" s="0" t="n">
        <v>5</v>
      </c>
      <c r="G1614" s="0" t="n">
        <v>0</v>
      </c>
      <c r="H1614" s="0" t="s">
        <v>585</v>
      </c>
      <c r="K1614" s="0" t="s">
        <v>616</v>
      </c>
      <c r="L1614" s="0" t="s">
        <v>3309</v>
      </c>
    </row>
    <row r="1615" customFormat="false" ht="15" hidden="false" customHeight="false" outlineLevel="0" collapsed="false">
      <c r="A1615" s="0" t="s">
        <v>67</v>
      </c>
      <c r="B1615" s="0" t="s">
        <v>303</v>
      </c>
      <c r="C1615" s="0" t="s">
        <v>701</v>
      </c>
      <c r="D1615" s="0" t="s">
        <v>155</v>
      </c>
      <c r="E1615" s="0" t="s">
        <v>1808</v>
      </c>
      <c r="F1615" s="0" t="n">
        <v>5</v>
      </c>
      <c r="G1615" s="0" t="n">
        <v>0</v>
      </c>
      <c r="H1615" s="0" t="s">
        <v>585</v>
      </c>
      <c r="K1615" s="0" t="s">
        <v>620</v>
      </c>
      <c r="L1615" s="0" t="s">
        <v>3310</v>
      </c>
    </row>
    <row r="1616" customFormat="false" ht="15" hidden="false" customHeight="false" outlineLevel="0" collapsed="false">
      <c r="A1616" s="0" t="s">
        <v>67</v>
      </c>
      <c r="B1616" s="0" t="s">
        <v>42</v>
      </c>
      <c r="C1616" s="0" t="s">
        <v>728</v>
      </c>
      <c r="D1616" s="0" t="s">
        <v>987</v>
      </c>
      <c r="E1616" s="0" t="s">
        <v>3311</v>
      </c>
      <c r="F1616" s="0" t="n">
        <v>5</v>
      </c>
      <c r="G1616" s="0" t="n">
        <v>0</v>
      </c>
      <c r="H1616" s="0" t="s">
        <v>585</v>
      </c>
      <c r="K1616" s="0" t="s">
        <v>581</v>
      </c>
      <c r="L1616" s="0" t="s">
        <v>3312</v>
      </c>
    </row>
    <row r="1617" customFormat="false" ht="15" hidden="false" customHeight="false" outlineLevel="0" collapsed="false">
      <c r="A1617" s="0" t="s">
        <v>67</v>
      </c>
      <c r="B1617" s="0" t="s">
        <v>303</v>
      </c>
      <c r="C1617" s="0" t="s">
        <v>728</v>
      </c>
      <c r="D1617" s="0" t="s">
        <v>990</v>
      </c>
      <c r="E1617" s="0" t="s">
        <v>1812</v>
      </c>
      <c r="F1617" s="0" t="n">
        <v>5</v>
      </c>
      <c r="G1617" s="0" t="n">
        <v>0</v>
      </c>
      <c r="H1617" s="0" t="s">
        <v>585</v>
      </c>
      <c r="K1617" s="0" t="s">
        <v>586</v>
      </c>
      <c r="L1617" s="0" t="s">
        <v>3313</v>
      </c>
    </row>
    <row r="1618" customFormat="false" ht="15" hidden="false" customHeight="false" outlineLevel="0" collapsed="false">
      <c r="A1618" s="0" t="s">
        <v>67</v>
      </c>
      <c r="B1618" s="0" t="s">
        <v>42</v>
      </c>
      <c r="C1618" s="0" t="s">
        <v>728</v>
      </c>
      <c r="D1618" s="0" t="s">
        <v>993</v>
      </c>
      <c r="E1618" s="0" t="s">
        <v>3314</v>
      </c>
      <c r="F1618" s="0" t="n">
        <v>5</v>
      </c>
      <c r="G1618" s="0" t="n">
        <v>4</v>
      </c>
      <c r="H1618" s="0" t="s">
        <v>585</v>
      </c>
      <c r="I1618" s="0" t="s">
        <v>442</v>
      </c>
      <c r="K1618" s="0" t="s">
        <v>590</v>
      </c>
      <c r="L1618" s="0" t="s">
        <v>3315</v>
      </c>
    </row>
    <row r="1619" customFormat="false" ht="15" hidden="false" customHeight="false" outlineLevel="0" collapsed="false">
      <c r="A1619" s="0" t="s">
        <v>67</v>
      </c>
      <c r="B1619" s="0" t="s">
        <v>303</v>
      </c>
      <c r="C1619" s="0" t="s">
        <v>728</v>
      </c>
      <c r="D1619" s="0" t="s">
        <v>126</v>
      </c>
      <c r="E1619" s="0" t="s">
        <v>1816</v>
      </c>
      <c r="F1619" s="0" t="n">
        <v>5</v>
      </c>
      <c r="G1619" s="0" t="n">
        <v>5</v>
      </c>
      <c r="H1619" s="0" t="s">
        <v>580</v>
      </c>
      <c r="I1619" s="0" t="s">
        <v>442</v>
      </c>
      <c r="K1619" s="0" t="s">
        <v>594</v>
      </c>
      <c r="L1619" s="0" t="s">
        <v>3316</v>
      </c>
    </row>
    <row r="1620" customFormat="false" ht="15" hidden="false" customHeight="false" outlineLevel="0" collapsed="false">
      <c r="A1620" s="0" t="s">
        <v>67</v>
      </c>
      <c r="B1620" s="0" t="s">
        <v>42</v>
      </c>
      <c r="C1620" s="0" t="s">
        <v>728</v>
      </c>
      <c r="D1620" s="0" t="s">
        <v>129</v>
      </c>
      <c r="E1620" s="0" t="s">
        <v>3317</v>
      </c>
      <c r="F1620" s="0" t="n">
        <v>5</v>
      </c>
      <c r="G1620" s="0" t="n">
        <v>3</v>
      </c>
      <c r="H1620" s="0" t="s">
        <v>585</v>
      </c>
      <c r="I1620" s="0" t="s">
        <v>442</v>
      </c>
      <c r="K1620" s="0" t="s">
        <v>597</v>
      </c>
      <c r="L1620" s="0" t="s">
        <v>3318</v>
      </c>
    </row>
    <row r="1621" customFormat="false" ht="15" hidden="false" customHeight="false" outlineLevel="0" collapsed="false">
      <c r="A1621" s="0" t="s">
        <v>67</v>
      </c>
      <c r="B1621" s="0" t="s">
        <v>303</v>
      </c>
      <c r="C1621" s="0" t="s">
        <v>728</v>
      </c>
      <c r="D1621" s="0" t="s">
        <v>132</v>
      </c>
      <c r="E1621" s="0" t="s">
        <v>1820</v>
      </c>
      <c r="F1621" s="0" t="n">
        <v>5</v>
      </c>
      <c r="G1621" s="0" t="n">
        <v>0</v>
      </c>
      <c r="H1621" s="0" t="s">
        <v>585</v>
      </c>
      <c r="K1621" s="0" t="s">
        <v>600</v>
      </c>
      <c r="L1621" s="0" t="s">
        <v>3319</v>
      </c>
    </row>
    <row r="1622" customFormat="false" ht="15" hidden="false" customHeight="false" outlineLevel="0" collapsed="false">
      <c r="A1622" s="0" t="s">
        <v>67</v>
      </c>
      <c r="B1622" s="0" t="s">
        <v>42</v>
      </c>
      <c r="C1622" s="0" t="s">
        <v>728</v>
      </c>
      <c r="D1622" s="0" t="s">
        <v>139</v>
      </c>
      <c r="E1622" s="0" t="s">
        <v>3320</v>
      </c>
      <c r="F1622" s="0" t="n">
        <v>5</v>
      </c>
      <c r="G1622" s="0" t="n">
        <v>0</v>
      </c>
      <c r="H1622" s="0" t="s">
        <v>585</v>
      </c>
      <c r="K1622" s="0" t="s">
        <v>604</v>
      </c>
      <c r="L1622" s="0" t="s">
        <v>3321</v>
      </c>
    </row>
    <row r="1623" customFormat="false" ht="15" hidden="false" customHeight="false" outlineLevel="0" collapsed="false">
      <c r="A1623" s="0" t="s">
        <v>67</v>
      </c>
      <c r="B1623" s="0" t="s">
        <v>303</v>
      </c>
      <c r="C1623" s="0" t="s">
        <v>728</v>
      </c>
      <c r="D1623" s="0" t="s">
        <v>143</v>
      </c>
      <c r="E1623" s="0" t="s">
        <v>1824</v>
      </c>
      <c r="F1623" s="0" t="n">
        <v>5</v>
      </c>
      <c r="G1623" s="0" t="n">
        <v>2</v>
      </c>
      <c r="H1623" s="0" t="s">
        <v>585</v>
      </c>
      <c r="I1623" s="0" t="s">
        <v>442</v>
      </c>
      <c r="K1623" s="0" t="s">
        <v>607</v>
      </c>
      <c r="L1623" s="0" t="s">
        <v>3322</v>
      </c>
    </row>
    <row r="1624" customFormat="false" ht="15" hidden="false" customHeight="false" outlineLevel="0" collapsed="false">
      <c r="A1624" s="0" t="s">
        <v>67</v>
      </c>
      <c r="B1624" s="0" t="s">
        <v>42</v>
      </c>
      <c r="C1624" s="0" t="s">
        <v>728</v>
      </c>
      <c r="D1624" s="0" t="s">
        <v>146</v>
      </c>
      <c r="E1624" s="0" t="s">
        <v>3323</v>
      </c>
      <c r="F1624" s="0" t="n">
        <v>5</v>
      </c>
      <c r="G1624" s="0" t="n">
        <v>0</v>
      </c>
      <c r="H1624" s="0" t="s">
        <v>585</v>
      </c>
      <c r="K1624" s="0" t="s">
        <v>610</v>
      </c>
      <c r="L1624" s="0" t="s">
        <v>3324</v>
      </c>
    </row>
    <row r="1625" customFormat="false" ht="15" hidden="false" customHeight="false" outlineLevel="0" collapsed="false">
      <c r="A1625" s="0" t="s">
        <v>67</v>
      </c>
      <c r="B1625" s="0" t="s">
        <v>303</v>
      </c>
      <c r="C1625" s="0" t="s">
        <v>728</v>
      </c>
      <c r="D1625" s="0" t="s">
        <v>149</v>
      </c>
      <c r="E1625" s="0" t="s">
        <v>1828</v>
      </c>
      <c r="F1625" s="0" t="n">
        <v>5</v>
      </c>
      <c r="G1625" s="0" t="n">
        <v>2</v>
      </c>
      <c r="H1625" s="0" t="s">
        <v>585</v>
      </c>
      <c r="I1625" s="0" t="s">
        <v>442</v>
      </c>
      <c r="K1625" s="0" t="s">
        <v>613</v>
      </c>
      <c r="L1625" s="0" t="s">
        <v>3325</v>
      </c>
    </row>
    <row r="1626" customFormat="false" ht="15" hidden="false" customHeight="false" outlineLevel="0" collapsed="false">
      <c r="A1626" s="0" t="s">
        <v>67</v>
      </c>
      <c r="B1626" s="0" t="s">
        <v>42</v>
      </c>
      <c r="C1626" s="0" t="s">
        <v>728</v>
      </c>
      <c r="D1626" s="0" t="s">
        <v>152</v>
      </c>
      <c r="E1626" s="0" t="s">
        <v>3326</v>
      </c>
      <c r="F1626" s="0" t="n">
        <v>5</v>
      </c>
      <c r="G1626" s="0" t="n">
        <v>0</v>
      </c>
      <c r="H1626" s="0" t="s">
        <v>585</v>
      </c>
      <c r="K1626" s="0" t="s">
        <v>616</v>
      </c>
      <c r="L1626" s="0" t="s">
        <v>3327</v>
      </c>
    </row>
    <row r="1627" customFormat="false" ht="15" hidden="false" customHeight="false" outlineLevel="0" collapsed="false">
      <c r="A1627" s="0" t="s">
        <v>67</v>
      </c>
      <c r="B1627" s="0" t="s">
        <v>303</v>
      </c>
      <c r="C1627" s="0" t="s">
        <v>728</v>
      </c>
      <c r="D1627" s="0" t="s">
        <v>155</v>
      </c>
      <c r="E1627" s="0" t="s">
        <v>1832</v>
      </c>
      <c r="F1627" s="0" t="n">
        <v>5</v>
      </c>
      <c r="G1627" s="0" t="n">
        <v>0</v>
      </c>
      <c r="H1627" s="0" t="s">
        <v>585</v>
      </c>
      <c r="K1627" s="0" t="s">
        <v>620</v>
      </c>
      <c r="L1627" s="0" t="s">
        <v>3328</v>
      </c>
    </row>
    <row r="1628" customFormat="false" ht="15" hidden="false" customHeight="false" outlineLevel="0" collapsed="false">
      <c r="A1628" s="0" t="s">
        <v>67</v>
      </c>
      <c r="B1628" s="0" t="s">
        <v>42</v>
      </c>
      <c r="C1628" s="0" t="s">
        <v>754</v>
      </c>
      <c r="D1628" s="0" t="s">
        <v>987</v>
      </c>
      <c r="E1628" s="0" t="s">
        <v>3329</v>
      </c>
      <c r="F1628" s="0" t="n">
        <v>5</v>
      </c>
      <c r="G1628" s="0" t="n">
        <v>0</v>
      </c>
      <c r="H1628" s="0" t="s">
        <v>585</v>
      </c>
      <c r="K1628" s="0" t="s">
        <v>581</v>
      </c>
      <c r="L1628" s="0" t="s">
        <v>3330</v>
      </c>
    </row>
    <row r="1629" customFormat="false" ht="15" hidden="false" customHeight="false" outlineLevel="0" collapsed="false">
      <c r="A1629" s="0" t="s">
        <v>67</v>
      </c>
      <c r="B1629" s="0" t="s">
        <v>303</v>
      </c>
      <c r="C1629" s="0" t="s">
        <v>754</v>
      </c>
      <c r="D1629" s="0" t="s">
        <v>990</v>
      </c>
      <c r="E1629" s="0" t="s">
        <v>1836</v>
      </c>
      <c r="F1629" s="0" t="n">
        <v>5</v>
      </c>
      <c r="G1629" s="0" t="n">
        <v>1</v>
      </c>
      <c r="H1629" s="0" t="s">
        <v>585</v>
      </c>
      <c r="I1629" s="0" t="s">
        <v>442</v>
      </c>
      <c r="K1629" s="0" t="s">
        <v>586</v>
      </c>
      <c r="L1629" s="0" t="s">
        <v>3331</v>
      </c>
    </row>
    <row r="1630" customFormat="false" ht="15" hidden="false" customHeight="false" outlineLevel="0" collapsed="false">
      <c r="A1630" s="0" t="s">
        <v>67</v>
      </c>
      <c r="B1630" s="0" t="s">
        <v>42</v>
      </c>
      <c r="C1630" s="0" t="s">
        <v>754</v>
      </c>
      <c r="D1630" s="0" t="s">
        <v>993</v>
      </c>
      <c r="E1630" s="0" t="s">
        <v>3332</v>
      </c>
      <c r="F1630" s="0" t="n">
        <v>5</v>
      </c>
      <c r="G1630" s="0" t="n">
        <v>2</v>
      </c>
      <c r="H1630" s="0" t="s">
        <v>585</v>
      </c>
      <c r="I1630" s="0" t="s">
        <v>443</v>
      </c>
      <c r="K1630" s="0" t="s">
        <v>590</v>
      </c>
      <c r="L1630" s="0" t="s">
        <v>3333</v>
      </c>
    </row>
    <row r="1631" customFormat="false" ht="15" hidden="false" customHeight="false" outlineLevel="0" collapsed="false">
      <c r="A1631" s="0" t="s">
        <v>67</v>
      </c>
      <c r="B1631" s="0" t="s">
        <v>303</v>
      </c>
      <c r="C1631" s="0" t="s">
        <v>754</v>
      </c>
      <c r="D1631" s="0" t="s">
        <v>126</v>
      </c>
      <c r="E1631" s="0" t="s">
        <v>1840</v>
      </c>
      <c r="F1631" s="0" t="n">
        <v>5</v>
      </c>
      <c r="G1631" s="0" t="n">
        <v>1</v>
      </c>
      <c r="H1631" s="0" t="s">
        <v>585</v>
      </c>
      <c r="I1631" s="0" t="s">
        <v>442</v>
      </c>
      <c r="K1631" s="0" t="s">
        <v>594</v>
      </c>
      <c r="L1631" s="0" t="s">
        <v>3334</v>
      </c>
    </row>
    <row r="1632" customFormat="false" ht="15" hidden="false" customHeight="false" outlineLevel="0" collapsed="false">
      <c r="A1632" s="0" t="s">
        <v>67</v>
      </c>
      <c r="B1632" s="0" t="s">
        <v>42</v>
      </c>
      <c r="C1632" s="0" t="s">
        <v>754</v>
      </c>
      <c r="D1632" s="0" t="s">
        <v>129</v>
      </c>
      <c r="E1632" s="0" t="s">
        <v>3335</v>
      </c>
      <c r="F1632" s="0" t="n">
        <v>5</v>
      </c>
      <c r="G1632" s="0" t="n">
        <v>1</v>
      </c>
      <c r="H1632" s="0" t="s">
        <v>585</v>
      </c>
      <c r="I1632" s="0" t="s">
        <v>442</v>
      </c>
      <c r="K1632" s="0" t="s">
        <v>597</v>
      </c>
      <c r="L1632" s="0" t="s">
        <v>3336</v>
      </c>
    </row>
    <row r="1633" customFormat="false" ht="15" hidden="false" customHeight="false" outlineLevel="0" collapsed="false">
      <c r="A1633" s="0" t="s">
        <v>67</v>
      </c>
      <c r="B1633" s="0" t="s">
        <v>303</v>
      </c>
      <c r="C1633" s="0" t="s">
        <v>754</v>
      </c>
      <c r="D1633" s="0" t="s">
        <v>132</v>
      </c>
      <c r="E1633" s="0" t="s">
        <v>1844</v>
      </c>
      <c r="F1633" s="0" t="n">
        <v>5</v>
      </c>
      <c r="G1633" s="0" t="n">
        <v>1</v>
      </c>
      <c r="H1633" s="0" t="s">
        <v>585</v>
      </c>
      <c r="I1633" s="0" t="s">
        <v>442</v>
      </c>
      <c r="K1633" s="0" t="s">
        <v>600</v>
      </c>
      <c r="L1633" s="0" t="s">
        <v>3337</v>
      </c>
    </row>
    <row r="1634" customFormat="false" ht="15" hidden="false" customHeight="false" outlineLevel="0" collapsed="false">
      <c r="A1634" s="0" t="s">
        <v>67</v>
      </c>
      <c r="B1634" s="0" t="s">
        <v>42</v>
      </c>
      <c r="C1634" s="0" t="s">
        <v>754</v>
      </c>
      <c r="D1634" s="0" t="s">
        <v>139</v>
      </c>
      <c r="E1634" s="0" t="s">
        <v>3338</v>
      </c>
      <c r="F1634" s="0" t="n">
        <v>5</v>
      </c>
      <c r="G1634" s="0" t="n">
        <v>0</v>
      </c>
      <c r="H1634" s="0" t="s">
        <v>585</v>
      </c>
      <c r="K1634" s="0" t="s">
        <v>604</v>
      </c>
      <c r="L1634" s="0" t="s">
        <v>3339</v>
      </c>
    </row>
    <row r="1635" customFormat="false" ht="15" hidden="false" customHeight="false" outlineLevel="0" collapsed="false">
      <c r="A1635" s="0" t="s">
        <v>67</v>
      </c>
      <c r="B1635" s="0" t="s">
        <v>303</v>
      </c>
      <c r="C1635" s="0" t="s">
        <v>754</v>
      </c>
      <c r="D1635" s="0" t="s">
        <v>143</v>
      </c>
      <c r="E1635" s="0" t="s">
        <v>1848</v>
      </c>
      <c r="F1635" s="0" t="n">
        <v>5</v>
      </c>
      <c r="G1635" s="0" t="n">
        <v>0</v>
      </c>
      <c r="H1635" s="0" t="s">
        <v>585</v>
      </c>
      <c r="K1635" s="0" t="s">
        <v>607</v>
      </c>
      <c r="L1635" s="0" t="s">
        <v>3340</v>
      </c>
    </row>
    <row r="1636" customFormat="false" ht="15" hidden="false" customHeight="false" outlineLevel="0" collapsed="false">
      <c r="A1636" s="0" t="s">
        <v>67</v>
      </c>
      <c r="B1636" s="0" t="s">
        <v>42</v>
      </c>
      <c r="C1636" s="0" t="s">
        <v>754</v>
      </c>
      <c r="D1636" s="0" t="s">
        <v>146</v>
      </c>
      <c r="E1636" s="0" t="s">
        <v>3341</v>
      </c>
      <c r="F1636" s="0" t="n">
        <v>5</v>
      </c>
      <c r="G1636" s="0" t="n">
        <v>0</v>
      </c>
      <c r="H1636" s="0" t="s">
        <v>585</v>
      </c>
      <c r="K1636" s="0" t="s">
        <v>610</v>
      </c>
      <c r="L1636" s="0" t="s">
        <v>3342</v>
      </c>
    </row>
    <row r="1637" customFormat="false" ht="15" hidden="false" customHeight="false" outlineLevel="0" collapsed="false">
      <c r="A1637" s="0" t="s">
        <v>67</v>
      </c>
      <c r="B1637" s="0" t="s">
        <v>303</v>
      </c>
      <c r="C1637" s="0" t="s">
        <v>754</v>
      </c>
      <c r="D1637" s="0" t="s">
        <v>149</v>
      </c>
      <c r="E1637" s="0" t="s">
        <v>1852</v>
      </c>
      <c r="F1637" s="0" t="n">
        <v>5</v>
      </c>
      <c r="G1637" s="0" t="n">
        <v>2</v>
      </c>
      <c r="H1637" s="0" t="s">
        <v>585</v>
      </c>
      <c r="I1637" s="0" t="s">
        <v>442</v>
      </c>
      <c r="K1637" s="0" t="s">
        <v>613</v>
      </c>
      <c r="L1637" s="0" t="s">
        <v>3343</v>
      </c>
    </row>
    <row r="1638" customFormat="false" ht="15" hidden="false" customHeight="false" outlineLevel="0" collapsed="false">
      <c r="A1638" s="0" t="s">
        <v>67</v>
      </c>
      <c r="B1638" s="0" t="s">
        <v>42</v>
      </c>
      <c r="C1638" s="0" t="s">
        <v>754</v>
      </c>
      <c r="D1638" s="0" t="s">
        <v>152</v>
      </c>
      <c r="E1638" s="0" t="s">
        <v>3344</v>
      </c>
      <c r="F1638" s="0" t="n">
        <v>5</v>
      </c>
      <c r="G1638" s="0" t="n">
        <v>2</v>
      </c>
      <c r="H1638" s="0" t="s">
        <v>585</v>
      </c>
      <c r="I1638" s="0" t="s">
        <v>442</v>
      </c>
      <c r="K1638" s="0" t="s">
        <v>616</v>
      </c>
      <c r="L1638" s="0" t="s">
        <v>3345</v>
      </c>
    </row>
    <row r="1639" customFormat="false" ht="15" hidden="false" customHeight="false" outlineLevel="0" collapsed="false">
      <c r="A1639" s="0" t="s">
        <v>67</v>
      </c>
      <c r="B1639" s="0" t="s">
        <v>303</v>
      </c>
      <c r="C1639" s="0" t="s">
        <v>754</v>
      </c>
      <c r="D1639" s="0" t="s">
        <v>155</v>
      </c>
      <c r="E1639" s="0" t="s">
        <v>1856</v>
      </c>
      <c r="F1639" s="0" t="n">
        <v>5</v>
      </c>
      <c r="G1639" s="0" t="n">
        <v>0</v>
      </c>
      <c r="H1639" s="0" t="s">
        <v>585</v>
      </c>
      <c r="K1639" s="0" t="s">
        <v>620</v>
      </c>
      <c r="L1639" s="0" t="s">
        <v>3346</v>
      </c>
    </row>
    <row r="1640" customFormat="false" ht="15" hidden="false" customHeight="false" outlineLevel="0" collapsed="false">
      <c r="A1640" s="0" t="s">
        <v>67</v>
      </c>
      <c r="B1640" s="0" t="s">
        <v>345</v>
      </c>
      <c r="C1640" s="0" t="s">
        <v>810</v>
      </c>
      <c r="D1640" s="0" t="s">
        <v>987</v>
      </c>
      <c r="E1640" s="0" t="s">
        <v>3347</v>
      </c>
      <c r="F1640" s="0" t="n">
        <v>5</v>
      </c>
      <c r="G1640" s="0" t="n">
        <v>0</v>
      </c>
      <c r="H1640" s="0" t="s">
        <v>585</v>
      </c>
      <c r="K1640" s="0" t="s">
        <v>581</v>
      </c>
      <c r="L1640" s="0" t="s">
        <v>3348</v>
      </c>
    </row>
    <row r="1641" customFormat="false" ht="15" hidden="false" customHeight="false" outlineLevel="0" collapsed="false">
      <c r="A1641" s="0" t="s">
        <v>67</v>
      </c>
      <c r="B1641" s="0" t="s">
        <v>345</v>
      </c>
      <c r="C1641" s="0" t="s">
        <v>810</v>
      </c>
      <c r="D1641" s="0" t="s">
        <v>990</v>
      </c>
      <c r="E1641" s="0" t="s">
        <v>3349</v>
      </c>
      <c r="F1641" s="0" t="n">
        <v>5</v>
      </c>
      <c r="G1641" s="0" t="n">
        <v>0</v>
      </c>
      <c r="H1641" s="0" t="s">
        <v>585</v>
      </c>
      <c r="K1641" s="0" t="s">
        <v>586</v>
      </c>
      <c r="L1641" s="0" t="s">
        <v>3350</v>
      </c>
    </row>
    <row r="1642" customFormat="false" ht="15" hidden="false" customHeight="false" outlineLevel="0" collapsed="false">
      <c r="A1642" s="0" t="s">
        <v>67</v>
      </c>
      <c r="B1642" s="0" t="s">
        <v>345</v>
      </c>
      <c r="C1642" s="0" t="s">
        <v>810</v>
      </c>
      <c r="D1642" s="0" t="s">
        <v>993</v>
      </c>
      <c r="E1642" s="0" t="s">
        <v>3351</v>
      </c>
      <c r="F1642" s="0" t="n">
        <v>5</v>
      </c>
      <c r="G1642" s="0" t="n">
        <v>0</v>
      </c>
      <c r="H1642" s="0" t="s">
        <v>585</v>
      </c>
      <c r="K1642" s="0" t="s">
        <v>590</v>
      </c>
      <c r="L1642" s="0" t="s">
        <v>3352</v>
      </c>
    </row>
    <row r="1643" customFormat="false" ht="15" hidden="false" customHeight="false" outlineLevel="0" collapsed="false">
      <c r="A1643" s="0" t="s">
        <v>67</v>
      </c>
      <c r="B1643" s="0" t="s">
        <v>345</v>
      </c>
      <c r="C1643" s="0" t="s">
        <v>810</v>
      </c>
      <c r="D1643" s="0" t="s">
        <v>126</v>
      </c>
      <c r="E1643" s="0" t="s">
        <v>3353</v>
      </c>
      <c r="F1643" s="0" t="n">
        <v>5</v>
      </c>
      <c r="G1643" s="0" t="n">
        <v>0</v>
      </c>
      <c r="H1643" s="0" t="s">
        <v>585</v>
      </c>
      <c r="K1643" s="0" t="s">
        <v>594</v>
      </c>
      <c r="L1643" s="0" t="s">
        <v>3354</v>
      </c>
    </row>
    <row r="1644" customFormat="false" ht="15" hidden="false" customHeight="false" outlineLevel="0" collapsed="false">
      <c r="A1644" s="0" t="s">
        <v>67</v>
      </c>
      <c r="B1644" s="0" t="s">
        <v>345</v>
      </c>
      <c r="C1644" s="0" t="s">
        <v>810</v>
      </c>
      <c r="D1644" s="0" t="s">
        <v>129</v>
      </c>
      <c r="E1644" s="0" t="s">
        <v>3355</v>
      </c>
      <c r="F1644" s="0" t="n">
        <v>5</v>
      </c>
      <c r="G1644" s="0" t="n">
        <v>0</v>
      </c>
      <c r="H1644" s="0" t="s">
        <v>585</v>
      </c>
      <c r="K1644" s="0" t="s">
        <v>597</v>
      </c>
      <c r="L1644" s="0" t="s">
        <v>3356</v>
      </c>
    </row>
    <row r="1645" customFormat="false" ht="15" hidden="false" customHeight="false" outlineLevel="0" collapsed="false">
      <c r="A1645" s="0" t="s">
        <v>67</v>
      </c>
      <c r="B1645" s="0" t="s">
        <v>345</v>
      </c>
      <c r="C1645" s="0" t="s">
        <v>810</v>
      </c>
      <c r="D1645" s="0" t="s">
        <v>132</v>
      </c>
      <c r="E1645" s="0" t="s">
        <v>3357</v>
      </c>
      <c r="F1645" s="0" t="n">
        <v>5</v>
      </c>
      <c r="G1645" s="0" t="n">
        <v>0</v>
      </c>
      <c r="H1645" s="0" t="s">
        <v>585</v>
      </c>
      <c r="K1645" s="0" t="s">
        <v>600</v>
      </c>
      <c r="L1645" s="0" t="s">
        <v>3358</v>
      </c>
    </row>
    <row r="1646" customFormat="false" ht="15" hidden="false" customHeight="false" outlineLevel="0" collapsed="false">
      <c r="A1646" s="0" t="s">
        <v>67</v>
      </c>
      <c r="B1646" s="0" t="s">
        <v>345</v>
      </c>
      <c r="C1646" s="0" t="s">
        <v>810</v>
      </c>
      <c r="D1646" s="0" t="s">
        <v>139</v>
      </c>
      <c r="E1646" s="0" t="s">
        <v>3359</v>
      </c>
      <c r="F1646" s="0" t="n">
        <v>5</v>
      </c>
      <c r="G1646" s="0" t="n">
        <v>0</v>
      </c>
      <c r="H1646" s="0" t="s">
        <v>585</v>
      </c>
      <c r="K1646" s="0" t="s">
        <v>604</v>
      </c>
      <c r="L1646" s="0" t="s">
        <v>3360</v>
      </c>
    </row>
    <row r="1647" customFormat="false" ht="15" hidden="false" customHeight="false" outlineLevel="0" collapsed="false">
      <c r="A1647" s="0" t="s">
        <v>67</v>
      </c>
      <c r="B1647" s="0" t="s">
        <v>345</v>
      </c>
      <c r="C1647" s="0" t="s">
        <v>810</v>
      </c>
      <c r="D1647" s="0" t="s">
        <v>143</v>
      </c>
      <c r="E1647" s="0" t="s">
        <v>3361</v>
      </c>
      <c r="F1647" s="0" t="n">
        <v>5</v>
      </c>
      <c r="G1647" s="0" t="n">
        <v>0</v>
      </c>
      <c r="H1647" s="0" t="s">
        <v>585</v>
      </c>
      <c r="K1647" s="0" t="s">
        <v>607</v>
      </c>
      <c r="L1647" s="0" t="s">
        <v>3362</v>
      </c>
    </row>
    <row r="1648" customFormat="false" ht="15" hidden="false" customHeight="false" outlineLevel="0" collapsed="false">
      <c r="A1648" s="0" t="s">
        <v>67</v>
      </c>
      <c r="B1648" s="0" t="s">
        <v>345</v>
      </c>
      <c r="C1648" s="0" t="s">
        <v>810</v>
      </c>
      <c r="D1648" s="0" t="s">
        <v>146</v>
      </c>
      <c r="E1648" s="0" t="s">
        <v>3363</v>
      </c>
      <c r="F1648" s="0" t="n">
        <v>5</v>
      </c>
      <c r="G1648" s="0" t="n">
        <v>0</v>
      </c>
      <c r="H1648" s="0" t="s">
        <v>585</v>
      </c>
      <c r="K1648" s="0" t="s">
        <v>610</v>
      </c>
      <c r="L1648" s="0" t="s">
        <v>3364</v>
      </c>
    </row>
    <row r="1649" customFormat="false" ht="15" hidden="false" customHeight="false" outlineLevel="0" collapsed="false">
      <c r="A1649" s="0" t="s">
        <v>67</v>
      </c>
      <c r="B1649" s="0" t="s">
        <v>345</v>
      </c>
      <c r="C1649" s="0" t="s">
        <v>810</v>
      </c>
      <c r="D1649" s="0" t="s">
        <v>149</v>
      </c>
      <c r="E1649" s="0" t="s">
        <v>3365</v>
      </c>
      <c r="F1649" s="0" t="n">
        <v>5</v>
      </c>
      <c r="G1649" s="0" t="n">
        <v>0</v>
      </c>
      <c r="H1649" s="0" t="s">
        <v>585</v>
      </c>
      <c r="K1649" s="0" t="s">
        <v>613</v>
      </c>
      <c r="L1649" s="0" t="s">
        <v>3366</v>
      </c>
    </row>
    <row r="1650" customFormat="false" ht="15" hidden="false" customHeight="false" outlineLevel="0" collapsed="false">
      <c r="A1650" s="0" t="s">
        <v>67</v>
      </c>
      <c r="B1650" s="0" t="s">
        <v>345</v>
      </c>
      <c r="C1650" s="0" t="s">
        <v>810</v>
      </c>
      <c r="D1650" s="0" t="s">
        <v>152</v>
      </c>
      <c r="E1650" s="0" t="s">
        <v>3367</v>
      </c>
      <c r="F1650" s="0" t="n">
        <v>5</v>
      </c>
      <c r="G1650" s="0" t="n">
        <v>0</v>
      </c>
      <c r="H1650" s="0" t="s">
        <v>585</v>
      </c>
      <c r="K1650" s="0" t="s">
        <v>616</v>
      </c>
      <c r="L1650" s="0" t="s">
        <v>3368</v>
      </c>
    </row>
    <row r="1651" customFormat="false" ht="15" hidden="false" customHeight="false" outlineLevel="0" collapsed="false">
      <c r="A1651" s="0" t="s">
        <v>67</v>
      </c>
      <c r="B1651" s="0" t="s">
        <v>345</v>
      </c>
      <c r="C1651" s="0" t="s">
        <v>810</v>
      </c>
      <c r="D1651" s="0" t="s">
        <v>155</v>
      </c>
      <c r="E1651" s="0" t="s">
        <v>3369</v>
      </c>
      <c r="F1651" s="0" t="n">
        <v>5</v>
      </c>
      <c r="G1651" s="0" t="n">
        <v>0</v>
      </c>
      <c r="H1651" s="0" t="s">
        <v>585</v>
      </c>
      <c r="K1651" s="0" t="s">
        <v>620</v>
      </c>
      <c r="L1651" s="0" t="s">
        <v>3370</v>
      </c>
    </row>
    <row r="1652" customFormat="false" ht="15" hidden="false" customHeight="false" outlineLevel="0" collapsed="false">
      <c r="A1652" s="0" t="s">
        <v>67</v>
      </c>
      <c r="B1652" s="0" t="s">
        <v>345</v>
      </c>
      <c r="C1652" s="0" t="s">
        <v>835</v>
      </c>
      <c r="D1652" s="0" t="s">
        <v>987</v>
      </c>
      <c r="E1652" s="0" t="s">
        <v>3371</v>
      </c>
      <c r="F1652" s="0" t="n">
        <v>5</v>
      </c>
      <c r="G1652" s="0" t="n">
        <v>0</v>
      </c>
      <c r="H1652" s="0" t="s">
        <v>585</v>
      </c>
      <c r="K1652" s="0" t="s">
        <v>581</v>
      </c>
      <c r="L1652" s="0" t="s">
        <v>3372</v>
      </c>
    </row>
    <row r="1653" customFormat="false" ht="15" hidden="false" customHeight="false" outlineLevel="0" collapsed="false">
      <c r="A1653" s="0" t="s">
        <v>67</v>
      </c>
      <c r="B1653" s="0" t="s">
        <v>345</v>
      </c>
      <c r="C1653" s="0" t="s">
        <v>835</v>
      </c>
      <c r="D1653" s="0" t="s">
        <v>990</v>
      </c>
      <c r="E1653" s="0" t="s">
        <v>3373</v>
      </c>
      <c r="F1653" s="0" t="n">
        <v>5</v>
      </c>
      <c r="G1653" s="0" t="n">
        <v>0</v>
      </c>
      <c r="H1653" s="0" t="s">
        <v>585</v>
      </c>
      <c r="K1653" s="0" t="s">
        <v>586</v>
      </c>
      <c r="L1653" s="0" t="s">
        <v>3374</v>
      </c>
    </row>
    <row r="1654" customFormat="false" ht="15" hidden="false" customHeight="false" outlineLevel="0" collapsed="false">
      <c r="A1654" s="0" t="s">
        <v>67</v>
      </c>
      <c r="B1654" s="0" t="s">
        <v>345</v>
      </c>
      <c r="C1654" s="0" t="s">
        <v>835</v>
      </c>
      <c r="D1654" s="0" t="s">
        <v>993</v>
      </c>
      <c r="E1654" s="0" t="s">
        <v>3375</v>
      </c>
      <c r="F1654" s="0" t="n">
        <v>5</v>
      </c>
      <c r="G1654" s="0" t="n">
        <v>1</v>
      </c>
      <c r="H1654" s="0" t="s">
        <v>585</v>
      </c>
      <c r="I1654" s="0" t="s">
        <v>444</v>
      </c>
      <c r="K1654" s="0" t="s">
        <v>590</v>
      </c>
      <c r="L1654" s="0" t="s">
        <v>3376</v>
      </c>
    </row>
    <row r="1655" customFormat="false" ht="15" hidden="false" customHeight="false" outlineLevel="0" collapsed="false">
      <c r="A1655" s="0" t="s">
        <v>67</v>
      </c>
      <c r="B1655" s="0" t="s">
        <v>345</v>
      </c>
      <c r="C1655" s="0" t="s">
        <v>835</v>
      </c>
      <c r="D1655" s="0" t="s">
        <v>126</v>
      </c>
      <c r="E1655" s="0" t="s">
        <v>3377</v>
      </c>
      <c r="F1655" s="0" t="n">
        <v>5</v>
      </c>
      <c r="G1655" s="0" t="n">
        <v>0</v>
      </c>
      <c r="H1655" s="0" t="s">
        <v>585</v>
      </c>
      <c r="K1655" s="0" t="s">
        <v>594</v>
      </c>
      <c r="L1655" s="0" t="s">
        <v>3378</v>
      </c>
    </row>
    <row r="1656" customFormat="false" ht="15" hidden="false" customHeight="false" outlineLevel="0" collapsed="false">
      <c r="A1656" s="0" t="s">
        <v>67</v>
      </c>
      <c r="B1656" s="0" t="s">
        <v>345</v>
      </c>
      <c r="C1656" s="0" t="s">
        <v>835</v>
      </c>
      <c r="D1656" s="0" t="s">
        <v>129</v>
      </c>
      <c r="E1656" s="0" t="s">
        <v>3379</v>
      </c>
      <c r="F1656" s="0" t="n">
        <v>5</v>
      </c>
      <c r="G1656" s="0" t="n">
        <v>2</v>
      </c>
      <c r="H1656" s="0" t="s">
        <v>585</v>
      </c>
      <c r="I1656" s="0" t="s">
        <v>443</v>
      </c>
      <c r="K1656" s="0" t="s">
        <v>597</v>
      </c>
      <c r="L1656" s="0" t="s">
        <v>3380</v>
      </c>
    </row>
    <row r="1657" customFormat="false" ht="15" hidden="false" customHeight="false" outlineLevel="0" collapsed="false">
      <c r="A1657" s="0" t="s">
        <v>67</v>
      </c>
      <c r="B1657" s="0" t="s">
        <v>345</v>
      </c>
      <c r="C1657" s="0" t="s">
        <v>835</v>
      </c>
      <c r="D1657" s="0" t="s">
        <v>132</v>
      </c>
      <c r="E1657" s="0" t="s">
        <v>3381</v>
      </c>
      <c r="F1657" s="0" t="n">
        <v>5</v>
      </c>
      <c r="G1657" s="0" t="n">
        <v>0</v>
      </c>
      <c r="H1657" s="0" t="s">
        <v>585</v>
      </c>
      <c r="K1657" s="0" t="s">
        <v>600</v>
      </c>
      <c r="L1657" s="0" t="s">
        <v>3382</v>
      </c>
    </row>
    <row r="1658" customFormat="false" ht="15" hidden="false" customHeight="false" outlineLevel="0" collapsed="false">
      <c r="A1658" s="0" t="s">
        <v>67</v>
      </c>
      <c r="B1658" s="0" t="s">
        <v>345</v>
      </c>
      <c r="C1658" s="0" t="s">
        <v>835</v>
      </c>
      <c r="D1658" s="0" t="s">
        <v>139</v>
      </c>
      <c r="E1658" s="0" t="s">
        <v>3383</v>
      </c>
      <c r="F1658" s="0" t="n">
        <v>5</v>
      </c>
      <c r="G1658" s="0" t="n">
        <v>0</v>
      </c>
      <c r="H1658" s="0" t="s">
        <v>585</v>
      </c>
      <c r="K1658" s="0" t="s">
        <v>604</v>
      </c>
      <c r="L1658" s="0" t="s">
        <v>3384</v>
      </c>
    </row>
    <row r="1659" customFormat="false" ht="15" hidden="false" customHeight="false" outlineLevel="0" collapsed="false">
      <c r="A1659" s="0" t="s">
        <v>67</v>
      </c>
      <c r="B1659" s="0" t="s">
        <v>345</v>
      </c>
      <c r="C1659" s="0" t="s">
        <v>835</v>
      </c>
      <c r="D1659" s="0" t="s">
        <v>143</v>
      </c>
      <c r="E1659" s="0" t="s">
        <v>3385</v>
      </c>
      <c r="F1659" s="0" t="n">
        <v>5</v>
      </c>
      <c r="G1659" s="0" t="n">
        <v>0</v>
      </c>
      <c r="H1659" s="0" t="s">
        <v>585</v>
      </c>
      <c r="K1659" s="0" t="s">
        <v>607</v>
      </c>
      <c r="L1659" s="0" t="s">
        <v>3386</v>
      </c>
    </row>
    <row r="1660" customFormat="false" ht="15" hidden="false" customHeight="false" outlineLevel="0" collapsed="false">
      <c r="A1660" s="0" t="s">
        <v>67</v>
      </c>
      <c r="B1660" s="0" t="s">
        <v>345</v>
      </c>
      <c r="C1660" s="0" t="s">
        <v>835</v>
      </c>
      <c r="D1660" s="0" t="s">
        <v>146</v>
      </c>
      <c r="E1660" s="0" t="s">
        <v>3387</v>
      </c>
      <c r="F1660" s="0" t="n">
        <v>5</v>
      </c>
      <c r="G1660" s="0" t="n">
        <v>0</v>
      </c>
      <c r="H1660" s="0" t="s">
        <v>585</v>
      </c>
      <c r="K1660" s="0" t="s">
        <v>610</v>
      </c>
      <c r="L1660" s="0" t="s">
        <v>3388</v>
      </c>
    </row>
    <row r="1661" customFormat="false" ht="15" hidden="false" customHeight="false" outlineLevel="0" collapsed="false">
      <c r="A1661" s="0" t="s">
        <v>67</v>
      </c>
      <c r="B1661" s="0" t="s">
        <v>345</v>
      </c>
      <c r="C1661" s="0" t="s">
        <v>835</v>
      </c>
      <c r="D1661" s="0" t="s">
        <v>149</v>
      </c>
      <c r="E1661" s="0" t="s">
        <v>3389</v>
      </c>
      <c r="F1661" s="0" t="n">
        <v>5</v>
      </c>
      <c r="G1661" s="0" t="n">
        <v>0</v>
      </c>
      <c r="H1661" s="0" t="s">
        <v>585</v>
      </c>
      <c r="K1661" s="0" t="s">
        <v>613</v>
      </c>
      <c r="L1661" s="0" t="s">
        <v>3390</v>
      </c>
    </row>
    <row r="1662" customFormat="false" ht="15" hidden="false" customHeight="false" outlineLevel="0" collapsed="false">
      <c r="A1662" s="0" t="s">
        <v>67</v>
      </c>
      <c r="B1662" s="0" t="s">
        <v>345</v>
      </c>
      <c r="C1662" s="0" t="s">
        <v>835</v>
      </c>
      <c r="D1662" s="0" t="s">
        <v>152</v>
      </c>
      <c r="E1662" s="0" t="s">
        <v>3391</v>
      </c>
      <c r="F1662" s="0" t="n">
        <v>5</v>
      </c>
      <c r="G1662" s="0" t="n">
        <v>2</v>
      </c>
      <c r="H1662" s="0" t="s">
        <v>585</v>
      </c>
      <c r="I1662" s="0" t="s">
        <v>444</v>
      </c>
      <c r="K1662" s="0" t="s">
        <v>616</v>
      </c>
      <c r="L1662" s="0" t="s">
        <v>3392</v>
      </c>
    </row>
    <row r="1663" customFormat="false" ht="15" hidden="false" customHeight="false" outlineLevel="0" collapsed="false">
      <c r="A1663" s="0" t="s">
        <v>67</v>
      </c>
      <c r="B1663" s="0" t="s">
        <v>345</v>
      </c>
      <c r="C1663" s="0" t="s">
        <v>835</v>
      </c>
      <c r="D1663" s="0" t="s">
        <v>155</v>
      </c>
      <c r="E1663" s="0" t="s">
        <v>3393</v>
      </c>
      <c r="F1663" s="0" t="n">
        <v>5</v>
      </c>
      <c r="G1663" s="0" t="n">
        <v>0</v>
      </c>
      <c r="H1663" s="0" t="s">
        <v>585</v>
      </c>
      <c r="K1663" s="0" t="s">
        <v>620</v>
      </c>
      <c r="L1663" s="0" t="s">
        <v>3394</v>
      </c>
    </row>
    <row r="1664" customFormat="false" ht="15" hidden="false" customHeight="false" outlineLevel="0" collapsed="false">
      <c r="A1664" s="0" t="s">
        <v>67</v>
      </c>
      <c r="B1664" s="0" t="s">
        <v>345</v>
      </c>
      <c r="C1664" s="0" t="s">
        <v>860</v>
      </c>
      <c r="D1664" s="0" t="s">
        <v>987</v>
      </c>
      <c r="E1664" s="0" t="s">
        <v>3395</v>
      </c>
      <c r="F1664" s="0" t="n">
        <v>5</v>
      </c>
      <c r="G1664" s="0" t="n">
        <v>0</v>
      </c>
      <c r="H1664" s="0" t="s">
        <v>585</v>
      </c>
      <c r="K1664" s="0" t="s">
        <v>581</v>
      </c>
      <c r="L1664" s="0" t="s">
        <v>3396</v>
      </c>
    </row>
    <row r="1665" customFormat="false" ht="15" hidden="false" customHeight="false" outlineLevel="0" collapsed="false">
      <c r="A1665" s="0" t="s">
        <v>67</v>
      </c>
      <c r="B1665" s="0" t="s">
        <v>345</v>
      </c>
      <c r="C1665" s="0" t="s">
        <v>860</v>
      </c>
      <c r="D1665" s="0" t="s">
        <v>990</v>
      </c>
      <c r="E1665" s="0" t="s">
        <v>3397</v>
      </c>
      <c r="F1665" s="0" t="n">
        <v>5</v>
      </c>
      <c r="G1665" s="0" t="n">
        <v>0</v>
      </c>
      <c r="H1665" s="0" t="s">
        <v>585</v>
      </c>
      <c r="K1665" s="0" t="s">
        <v>586</v>
      </c>
      <c r="L1665" s="0" t="s">
        <v>3398</v>
      </c>
    </row>
    <row r="1666" customFormat="false" ht="15" hidden="false" customHeight="false" outlineLevel="0" collapsed="false">
      <c r="A1666" s="0" t="s">
        <v>67</v>
      </c>
      <c r="B1666" s="0" t="s">
        <v>345</v>
      </c>
      <c r="C1666" s="0" t="s">
        <v>860</v>
      </c>
      <c r="D1666" s="0" t="s">
        <v>993</v>
      </c>
      <c r="E1666" s="0" t="s">
        <v>3399</v>
      </c>
      <c r="F1666" s="0" t="n">
        <v>5</v>
      </c>
      <c r="G1666" s="0" t="n">
        <v>0</v>
      </c>
      <c r="H1666" s="0" t="s">
        <v>585</v>
      </c>
      <c r="K1666" s="0" t="s">
        <v>590</v>
      </c>
      <c r="L1666" s="0" t="s">
        <v>3400</v>
      </c>
    </row>
    <row r="1667" customFormat="false" ht="15" hidden="false" customHeight="false" outlineLevel="0" collapsed="false">
      <c r="A1667" s="0" t="s">
        <v>67</v>
      </c>
      <c r="B1667" s="0" t="s">
        <v>345</v>
      </c>
      <c r="C1667" s="0" t="s">
        <v>860</v>
      </c>
      <c r="D1667" s="0" t="s">
        <v>126</v>
      </c>
      <c r="E1667" s="0" t="s">
        <v>3401</v>
      </c>
      <c r="F1667" s="0" t="n">
        <v>5</v>
      </c>
      <c r="G1667" s="0" t="n">
        <v>0</v>
      </c>
      <c r="H1667" s="0" t="s">
        <v>585</v>
      </c>
      <c r="K1667" s="0" t="s">
        <v>594</v>
      </c>
      <c r="L1667" s="0" t="s">
        <v>3402</v>
      </c>
    </row>
    <row r="1668" customFormat="false" ht="15" hidden="false" customHeight="false" outlineLevel="0" collapsed="false">
      <c r="A1668" s="0" t="s">
        <v>67</v>
      </c>
      <c r="B1668" s="0" t="s">
        <v>345</v>
      </c>
      <c r="C1668" s="0" t="s">
        <v>860</v>
      </c>
      <c r="D1668" s="0" t="s">
        <v>129</v>
      </c>
      <c r="E1668" s="0" t="s">
        <v>3403</v>
      </c>
      <c r="F1668" s="0" t="n">
        <v>5</v>
      </c>
      <c r="G1668" s="0" t="n">
        <v>1</v>
      </c>
      <c r="H1668" s="0" t="s">
        <v>585</v>
      </c>
      <c r="I1668" s="0" t="s">
        <v>443</v>
      </c>
      <c r="K1668" s="0" t="s">
        <v>597</v>
      </c>
      <c r="L1668" s="0" t="s">
        <v>3404</v>
      </c>
    </row>
    <row r="1669" customFormat="false" ht="15" hidden="false" customHeight="false" outlineLevel="0" collapsed="false">
      <c r="A1669" s="0" t="s">
        <v>67</v>
      </c>
      <c r="B1669" s="0" t="s">
        <v>345</v>
      </c>
      <c r="C1669" s="0" t="s">
        <v>860</v>
      </c>
      <c r="D1669" s="0" t="s">
        <v>132</v>
      </c>
      <c r="E1669" s="0" t="s">
        <v>3405</v>
      </c>
      <c r="F1669" s="0" t="n">
        <v>5</v>
      </c>
      <c r="G1669" s="0" t="n">
        <v>0</v>
      </c>
      <c r="H1669" s="0" t="s">
        <v>585</v>
      </c>
      <c r="K1669" s="0" t="s">
        <v>600</v>
      </c>
      <c r="L1669" s="0" t="s">
        <v>3406</v>
      </c>
    </row>
    <row r="1670" customFormat="false" ht="15" hidden="false" customHeight="false" outlineLevel="0" collapsed="false">
      <c r="A1670" s="0" t="s">
        <v>67</v>
      </c>
      <c r="B1670" s="0" t="s">
        <v>345</v>
      </c>
      <c r="C1670" s="0" t="s">
        <v>860</v>
      </c>
      <c r="D1670" s="0" t="s">
        <v>139</v>
      </c>
      <c r="E1670" s="0" t="s">
        <v>3407</v>
      </c>
      <c r="F1670" s="0" t="n">
        <v>5</v>
      </c>
      <c r="G1670" s="0" t="n">
        <v>1</v>
      </c>
      <c r="H1670" s="0" t="s">
        <v>585</v>
      </c>
      <c r="I1670" s="0" t="s">
        <v>443</v>
      </c>
      <c r="K1670" s="0" t="s">
        <v>604</v>
      </c>
      <c r="L1670" s="0" t="s">
        <v>3408</v>
      </c>
    </row>
    <row r="1671" customFormat="false" ht="15" hidden="false" customHeight="false" outlineLevel="0" collapsed="false">
      <c r="A1671" s="0" t="s">
        <v>67</v>
      </c>
      <c r="B1671" s="0" t="s">
        <v>345</v>
      </c>
      <c r="C1671" s="0" t="s">
        <v>860</v>
      </c>
      <c r="D1671" s="0" t="s">
        <v>143</v>
      </c>
      <c r="E1671" s="0" t="s">
        <v>3409</v>
      </c>
      <c r="F1671" s="0" t="n">
        <v>5</v>
      </c>
      <c r="G1671" s="0" t="n">
        <v>0</v>
      </c>
      <c r="H1671" s="0" t="s">
        <v>585</v>
      </c>
      <c r="K1671" s="0" t="s">
        <v>607</v>
      </c>
      <c r="L1671" s="0" t="s">
        <v>3410</v>
      </c>
    </row>
    <row r="1672" customFormat="false" ht="15" hidden="false" customHeight="false" outlineLevel="0" collapsed="false">
      <c r="A1672" s="0" t="s">
        <v>67</v>
      </c>
      <c r="B1672" s="0" t="s">
        <v>345</v>
      </c>
      <c r="C1672" s="0" t="s">
        <v>860</v>
      </c>
      <c r="D1672" s="0" t="s">
        <v>146</v>
      </c>
      <c r="E1672" s="0" t="s">
        <v>3411</v>
      </c>
      <c r="F1672" s="0" t="n">
        <v>5</v>
      </c>
      <c r="G1672" s="0" t="n">
        <v>2</v>
      </c>
      <c r="H1672" s="0" t="s">
        <v>585</v>
      </c>
      <c r="I1672" s="0" t="s">
        <v>447</v>
      </c>
      <c r="K1672" s="0" t="s">
        <v>610</v>
      </c>
      <c r="L1672" s="0" t="s">
        <v>3412</v>
      </c>
    </row>
    <row r="1673" customFormat="false" ht="15" hidden="false" customHeight="false" outlineLevel="0" collapsed="false">
      <c r="A1673" s="0" t="s">
        <v>67</v>
      </c>
      <c r="B1673" s="0" t="s">
        <v>345</v>
      </c>
      <c r="C1673" s="0" t="s">
        <v>860</v>
      </c>
      <c r="D1673" s="0" t="s">
        <v>149</v>
      </c>
      <c r="E1673" s="0" t="s">
        <v>3413</v>
      </c>
      <c r="F1673" s="0" t="n">
        <v>5</v>
      </c>
      <c r="G1673" s="0" t="n">
        <v>0</v>
      </c>
      <c r="H1673" s="0" t="s">
        <v>585</v>
      </c>
      <c r="K1673" s="0" t="s">
        <v>613</v>
      </c>
      <c r="L1673" s="0" t="s">
        <v>3414</v>
      </c>
    </row>
    <row r="1674" customFormat="false" ht="15" hidden="false" customHeight="false" outlineLevel="0" collapsed="false">
      <c r="A1674" s="0" t="s">
        <v>67</v>
      </c>
      <c r="B1674" s="0" t="s">
        <v>345</v>
      </c>
      <c r="C1674" s="0" t="s">
        <v>860</v>
      </c>
      <c r="D1674" s="0" t="s">
        <v>152</v>
      </c>
      <c r="E1674" s="0" t="s">
        <v>3415</v>
      </c>
      <c r="F1674" s="0" t="n">
        <v>5</v>
      </c>
      <c r="G1674" s="0" t="n">
        <v>3</v>
      </c>
      <c r="H1674" s="0" t="s">
        <v>585</v>
      </c>
      <c r="I1674" s="0" t="s">
        <v>443</v>
      </c>
      <c r="K1674" s="0" t="s">
        <v>616</v>
      </c>
      <c r="L1674" s="0" t="s">
        <v>3416</v>
      </c>
    </row>
    <row r="1675" customFormat="false" ht="15" hidden="false" customHeight="false" outlineLevel="0" collapsed="false">
      <c r="A1675" s="0" t="s">
        <v>67</v>
      </c>
      <c r="B1675" s="0" t="s">
        <v>345</v>
      </c>
      <c r="C1675" s="0" t="s">
        <v>860</v>
      </c>
      <c r="D1675" s="0" t="s">
        <v>155</v>
      </c>
      <c r="E1675" s="0" t="s">
        <v>3417</v>
      </c>
      <c r="F1675" s="0" t="n">
        <v>5</v>
      </c>
      <c r="G1675" s="0" t="n">
        <v>0</v>
      </c>
      <c r="H1675" s="0" t="s">
        <v>585</v>
      </c>
      <c r="K1675" s="0" t="s">
        <v>620</v>
      </c>
      <c r="L1675" s="0" t="s">
        <v>3418</v>
      </c>
    </row>
    <row r="1676" customFormat="false" ht="15" hidden="false" customHeight="false" outlineLevel="0" collapsed="false">
      <c r="A1676" s="0" t="s">
        <v>67</v>
      </c>
      <c r="B1676" s="0" t="s">
        <v>345</v>
      </c>
      <c r="C1676" s="0" t="s">
        <v>885</v>
      </c>
      <c r="D1676" s="0" t="s">
        <v>987</v>
      </c>
      <c r="E1676" s="0" t="s">
        <v>3419</v>
      </c>
      <c r="F1676" s="0" t="n">
        <v>5</v>
      </c>
      <c r="G1676" s="0" t="n">
        <v>0</v>
      </c>
      <c r="H1676" s="0" t="s">
        <v>585</v>
      </c>
      <c r="K1676" s="0" t="s">
        <v>581</v>
      </c>
      <c r="L1676" s="0" t="s">
        <v>3420</v>
      </c>
    </row>
    <row r="1677" customFormat="false" ht="15" hidden="false" customHeight="false" outlineLevel="0" collapsed="false">
      <c r="A1677" s="0" t="s">
        <v>67</v>
      </c>
      <c r="B1677" s="0" t="s">
        <v>345</v>
      </c>
      <c r="C1677" s="0" t="s">
        <v>885</v>
      </c>
      <c r="D1677" s="0" t="s">
        <v>990</v>
      </c>
      <c r="E1677" s="0" t="s">
        <v>3421</v>
      </c>
      <c r="F1677" s="0" t="n">
        <v>5</v>
      </c>
      <c r="G1677" s="0" t="n">
        <v>0</v>
      </c>
      <c r="H1677" s="0" t="s">
        <v>585</v>
      </c>
      <c r="K1677" s="0" t="s">
        <v>586</v>
      </c>
      <c r="L1677" s="0" t="s">
        <v>3422</v>
      </c>
    </row>
    <row r="1678" customFormat="false" ht="15" hidden="false" customHeight="false" outlineLevel="0" collapsed="false">
      <c r="A1678" s="0" t="s">
        <v>67</v>
      </c>
      <c r="B1678" s="0" t="s">
        <v>345</v>
      </c>
      <c r="C1678" s="0" t="s">
        <v>885</v>
      </c>
      <c r="D1678" s="0" t="s">
        <v>993</v>
      </c>
      <c r="E1678" s="0" t="s">
        <v>3423</v>
      </c>
      <c r="F1678" s="0" t="n">
        <v>5</v>
      </c>
      <c r="G1678" s="0" t="n">
        <v>0</v>
      </c>
      <c r="H1678" s="0" t="s">
        <v>585</v>
      </c>
      <c r="K1678" s="0" t="s">
        <v>590</v>
      </c>
      <c r="L1678" s="0" t="s">
        <v>3424</v>
      </c>
    </row>
    <row r="1679" customFormat="false" ht="15" hidden="false" customHeight="false" outlineLevel="0" collapsed="false">
      <c r="A1679" s="0" t="s">
        <v>67</v>
      </c>
      <c r="B1679" s="0" t="s">
        <v>345</v>
      </c>
      <c r="C1679" s="0" t="s">
        <v>885</v>
      </c>
      <c r="D1679" s="0" t="s">
        <v>126</v>
      </c>
      <c r="E1679" s="0" t="s">
        <v>3425</v>
      </c>
      <c r="F1679" s="0" t="n">
        <v>5</v>
      </c>
      <c r="G1679" s="0" t="n">
        <v>1</v>
      </c>
      <c r="H1679" s="0" t="s">
        <v>585</v>
      </c>
      <c r="I1679" s="0" t="s">
        <v>446</v>
      </c>
      <c r="K1679" s="0" t="s">
        <v>594</v>
      </c>
      <c r="L1679" s="0" t="s">
        <v>3426</v>
      </c>
    </row>
    <row r="1680" customFormat="false" ht="15" hidden="false" customHeight="false" outlineLevel="0" collapsed="false">
      <c r="A1680" s="0" t="s">
        <v>67</v>
      </c>
      <c r="B1680" s="0" t="s">
        <v>345</v>
      </c>
      <c r="C1680" s="0" t="s">
        <v>885</v>
      </c>
      <c r="D1680" s="0" t="s">
        <v>129</v>
      </c>
      <c r="E1680" s="0" t="s">
        <v>3427</v>
      </c>
      <c r="F1680" s="0" t="n">
        <v>5</v>
      </c>
      <c r="G1680" s="0" t="n">
        <v>0</v>
      </c>
      <c r="H1680" s="0" t="s">
        <v>585</v>
      </c>
      <c r="K1680" s="0" t="s">
        <v>597</v>
      </c>
      <c r="L1680" s="0" t="s">
        <v>3428</v>
      </c>
    </row>
    <row r="1681" customFormat="false" ht="15" hidden="false" customHeight="false" outlineLevel="0" collapsed="false">
      <c r="A1681" s="0" t="s">
        <v>67</v>
      </c>
      <c r="B1681" s="0" t="s">
        <v>345</v>
      </c>
      <c r="C1681" s="0" t="s">
        <v>885</v>
      </c>
      <c r="D1681" s="0" t="s">
        <v>132</v>
      </c>
      <c r="E1681" s="0" t="s">
        <v>3429</v>
      </c>
      <c r="F1681" s="0" t="n">
        <v>5</v>
      </c>
      <c r="G1681" s="0" t="n">
        <v>0</v>
      </c>
      <c r="H1681" s="0" t="s">
        <v>585</v>
      </c>
      <c r="K1681" s="0" t="s">
        <v>600</v>
      </c>
      <c r="L1681" s="0" t="s">
        <v>3430</v>
      </c>
    </row>
    <row r="1682" customFormat="false" ht="15" hidden="false" customHeight="false" outlineLevel="0" collapsed="false">
      <c r="A1682" s="0" t="s">
        <v>67</v>
      </c>
      <c r="B1682" s="0" t="s">
        <v>345</v>
      </c>
      <c r="C1682" s="0" t="s">
        <v>885</v>
      </c>
      <c r="D1682" s="0" t="s">
        <v>139</v>
      </c>
      <c r="E1682" s="0" t="s">
        <v>3431</v>
      </c>
      <c r="F1682" s="0" t="n">
        <v>5</v>
      </c>
      <c r="G1682" s="0" t="n">
        <v>0</v>
      </c>
      <c r="H1682" s="0" t="s">
        <v>585</v>
      </c>
      <c r="K1682" s="0" t="s">
        <v>604</v>
      </c>
      <c r="L1682" s="0" t="s">
        <v>3432</v>
      </c>
    </row>
    <row r="1683" customFormat="false" ht="15" hidden="false" customHeight="false" outlineLevel="0" collapsed="false">
      <c r="A1683" s="0" t="s">
        <v>67</v>
      </c>
      <c r="B1683" s="0" t="s">
        <v>345</v>
      </c>
      <c r="C1683" s="0" t="s">
        <v>885</v>
      </c>
      <c r="D1683" s="0" t="s">
        <v>143</v>
      </c>
      <c r="E1683" s="0" t="s">
        <v>3433</v>
      </c>
      <c r="F1683" s="0" t="n">
        <v>5</v>
      </c>
      <c r="G1683" s="0" t="n">
        <v>0</v>
      </c>
      <c r="H1683" s="0" t="s">
        <v>585</v>
      </c>
      <c r="K1683" s="0" t="s">
        <v>607</v>
      </c>
      <c r="L1683" s="0" t="s">
        <v>3434</v>
      </c>
    </row>
    <row r="1684" customFormat="false" ht="15" hidden="false" customHeight="false" outlineLevel="0" collapsed="false">
      <c r="A1684" s="0" t="s">
        <v>67</v>
      </c>
      <c r="B1684" s="0" t="s">
        <v>345</v>
      </c>
      <c r="C1684" s="0" t="s">
        <v>885</v>
      </c>
      <c r="D1684" s="0" t="s">
        <v>146</v>
      </c>
      <c r="E1684" s="0" t="s">
        <v>3435</v>
      </c>
      <c r="F1684" s="0" t="n">
        <v>5</v>
      </c>
      <c r="G1684" s="0" t="n">
        <v>0</v>
      </c>
      <c r="H1684" s="0" t="s">
        <v>585</v>
      </c>
      <c r="K1684" s="0" t="s">
        <v>610</v>
      </c>
      <c r="L1684" s="0" t="s">
        <v>3436</v>
      </c>
    </row>
    <row r="1685" customFormat="false" ht="15" hidden="false" customHeight="false" outlineLevel="0" collapsed="false">
      <c r="A1685" s="0" t="s">
        <v>67</v>
      </c>
      <c r="B1685" s="0" t="s">
        <v>345</v>
      </c>
      <c r="C1685" s="0" t="s">
        <v>885</v>
      </c>
      <c r="D1685" s="0" t="s">
        <v>149</v>
      </c>
      <c r="E1685" s="0" t="s">
        <v>3437</v>
      </c>
      <c r="F1685" s="0" t="n">
        <v>5</v>
      </c>
      <c r="G1685" s="0" t="n">
        <v>0</v>
      </c>
      <c r="H1685" s="0" t="s">
        <v>585</v>
      </c>
      <c r="K1685" s="0" t="s">
        <v>613</v>
      </c>
      <c r="L1685" s="0" t="s">
        <v>3438</v>
      </c>
    </row>
    <row r="1686" customFormat="false" ht="15" hidden="false" customHeight="false" outlineLevel="0" collapsed="false">
      <c r="A1686" s="0" t="s">
        <v>67</v>
      </c>
      <c r="B1686" s="0" t="s">
        <v>345</v>
      </c>
      <c r="C1686" s="0" t="s">
        <v>885</v>
      </c>
      <c r="D1686" s="0" t="s">
        <v>152</v>
      </c>
      <c r="E1686" s="0" t="s">
        <v>3439</v>
      </c>
      <c r="F1686" s="0" t="n">
        <v>5</v>
      </c>
      <c r="G1686" s="0" t="n">
        <v>3</v>
      </c>
      <c r="H1686" s="0" t="s">
        <v>585</v>
      </c>
      <c r="I1686" s="0" t="s">
        <v>442</v>
      </c>
      <c r="K1686" s="0" t="s">
        <v>616</v>
      </c>
      <c r="L1686" s="0" t="s">
        <v>3440</v>
      </c>
    </row>
    <row r="1687" customFormat="false" ht="15" hidden="false" customHeight="false" outlineLevel="0" collapsed="false">
      <c r="A1687" s="0" t="s">
        <v>67</v>
      </c>
      <c r="B1687" s="0" t="s">
        <v>345</v>
      </c>
      <c r="C1687" s="0" t="s">
        <v>885</v>
      </c>
      <c r="D1687" s="0" t="s">
        <v>155</v>
      </c>
      <c r="E1687" s="0" t="s">
        <v>3441</v>
      </c>
      <c r="F1687" s="0" t="n">
        <v>5</v>
      </c>
      <c r="G1687" s="0" t="n">
        <v>0</v>
      </c>
      <c r="H1687" s="0" t="s">
        <v>585</v>
      </c>
      <c r="K1687" s="0" t="s">
        <v>620</v>
      </c>
      <c r="L1687" s="0" t="s">
        <v>3442</v>
      </c>
    </row>
    <row r="1688" customFormat="false" ht="15" hidden="false" customHeight="false" outlineLevel="0" collapsed="false">
      <c r="A1688" s="0" t="s">
        <v>67</v>
      </c>
      <c r="B1688" s="0" t="s">
        <v>345</v>
      </c>
      <c r="C1688" s="0" t="s">
        <v>910</v>
      </c>
      <c r="D1688" s="0" t="s">
        <v>987</v>
      </c>
      <c r="E1688" s="0" t="s">
        <v>3443</v>
      </c>
      <c r="F1688" s="0" t="n">
        <v>5</v>
      </c>
      <c r="G1688" s="0" t="n">
        <v>0</v>
      </c>
      <c r="H1688" s="0" t="s">
        <v>585</v>
      </c>
      <c r="K1688" s="0" t="s">
        <v>581</v>
      </c>
      <c r="L1688" s="0" t="s">
        <v>3444</v>
      </c>
    </row>
    <row r="1689" customFormat="false" ht="15" hidden="false" customHeight="false" outlineLevel="0" collapsed="false">
      <c r="A1689" s="0" t="s">
        <v>67</v>
      </c>
      <c r="B1689" s="0" t="s">
        <v>345</v>
      </c>
      <c r="C1689" s="0" t="s">
        <v>910</v>
      </c>
      <c r="D1689" s="0" t="s">
        <v>990</v>
      </c>
      <c r="E1689" s="0" t="s">
        <v>3445</v>
      </c>
      <c r="F1689" s="0" t="n">
        <v>5</v>
      </c>
      <c r="G1689" s="0" t="n">
        <v>0</v>
      </c>
      <c r="H1689" s="0" t="s">
        <v>585</v>
      </c>
      <c r="K1689" s="0" t="s">
        <v>586</v>
      </c>
      <c r="L1689" s="0" t="s">
        <v>3446</v>
      </c>
    </row>
    <row r="1690" customFormat="false" ht="15" hidden="false" customHeight="false" outlineLevel="0" collapsed="false">
      <c r="A1690" s="0" t="s">
        <v>67</v>
      </c>
      <c r="B1690" s="0" t="s">
        <v>345</v>
      </c>
      <c r="C1690" s="0" t="s">
        <v>910</v>
      </c>
      <c r="D1690" s="0" t="s">
        <v>993</v>
      </c>
      <c r="E1690" s="0" t="s">
        <v>3447</v>
      </c>
      <c r="F1690" s="0" t="n">
        <v>5</v>
      </c>
      <c r="G1690" s="0" t="n">
        <v>0</v>
      </c>
      <c r="H1690" s="0" t="s">
        <v>585</v>
      </c>
      <c r="K1690" s="0" t="s">
        <v>590</v>
      </c>
      <c r="L1690" s="0" t="s">
        <v>3448</v>
      </c>
    </row>
    <row r="1691" customFormat="false" ht="15" hidden="false" customHeight="false" outlineLevel="0" collapsed="false">
      <c r="A1691" s="0" t="s">
        <v>67</v>
      </c>
      <c r="B1691" s="0" t="s">
        <v>345</v>
      </c>
      <c r="C1691" s="0" t="s">
        <v>910</v>
      </c>
      <c r="D1691" s="0" t="s">
        <v>126</v>
      </c>
      <c r="E1691" s="0" t="s">
        <v>3449</v>
      </c>
      <c r="F1691" s="0" t="n">
        <v>5</v>
      </c>
      <c r="G1691" s="0" t="n">
        <v>0</v>
      </c>
      <c r="H1691" s="0" t="s">
        <v>585</v>
      </c>
      <c r="K1691" s="0" t="s">
        <v>594</v>
      </c>
      <c r="L1691" s="0" t="s">
        <v>3450</v>
      </c>
    </row>
    <row r="1692" customFormat="false" ht="15" hidden="false" customHeight="false" outlineLevel="0" collapsed="false">
      <c r="A1692" s="0" t="s">
        <v>67</v>
      </c>
      <c r="B1692" s="0" t="s">
        <v>345</v>
      </c>
      <c r="C1692" s="0" t="s">
        <v>910</v>
      </c>
      <c r="D1692" s="0" t="s">
        <v>129</v>
      </c>
      <c r="E1692" s="0" t="s">
        <v>3451</v>
      </c>
      <c r="F1692" s="0" t="n">
        <v>5</v>
      </c>
      <c r="G1692" s="0" t="n">
        <v>0</v>
      </c>
      <c r="H1692" s="0" t="s">
        <v>585</v>
      </c>
      <c r="K1692" s="0" t="s">
        <v>597</v>
      </c>
      <c r="L1692" s="0" t="s">
        <v>3452</v>
      </c>
    </row>
    <row r="1693" customFormat="false" ht="15" hidden="false" customHeight="false" outlineLevel="0" collapsed="false">
      <c r="A1693" s="0" t="s">
        <v>67</v>
      </c>
      <c r="B1693" s="0" t="s">
        <v>345</v>
      </c>
      <c r="C1693" s="0" t="s">
        <v>910</v>
      </c>
      <c r="D1693" s="0" t="s">
        <v>132</v>
      </c>
      <c r="E1693" s="0" t="s">
        <v>3453</v>
      </c>
      <c r="F1693" s="0" t="n">
        <v>5</v>
      </c>
      <c r="G1693" s="0" t="n">
        <v>0</v>
      </c>
      <c r="H1693" s="0" t="s">
        <v>585</v>
      </c>
      <c r="K1693" s="0" t="s">
        <v>600</v>
      </c>
      <c r="L1693" s="0" t="s">
        <v>3454</v>
      </c>
    </row>
    <row r="1694" customFormat="false" ht="15" hidden="false" customHeight="false" outlineLevel="0" collapsed="false">
      <c r="A1694" s="0" t="s">
        <v>67</v>
      </c>
      <c r="B1694" s="0" t="s">
        <v>345</v>
      </c>
      <c r="C1694" s="0" t="s">
        <v>910</v>
      </c>
      <c r="D1694" s="0" t="s">
        <v>139</v>
      </c>
      <c r="E1694" s="0" t="s">
        <v>3455</v>
      </c>
      <c r="F1694" s="0" t="n">
        <v>5</v>
      </c>
      <c r="G1694" s="0" t="n">
        <v>0</v>
      </c>
      <c r="H1694" s="0" t="s">
        <v>585</v>
      </c>
      <c r="K1694" s="0" t="s">
        <v>604</v>
      </c>
      <c r="L1694" s="0" t="s">
        <v>3456</v>
      </c>
    </row>
    <row r="1695" customFormat="false" ht="15" hidden="false" customHeight="false" outlineLevel="0" collapsed="false">
      <c r="A1695" s="0" t="s">
        <v>67</v>
      </c>
      <c r="B1695" s="0" t="s">
        <v>345</v>
      </c>
      <c r="C1695" s="0" t="s">
        <v>910</v>
      </c>
      <c r="D1695" s="0" t="s">
        <v>143</v>
      </c>
      <c r="E1695" s="0" t="s">
        <v>3457</v>
      </c>
      <c r="F1695" s="0" t="n">
        <v>5</v>
      </c>
      <c r="G1695" s="0" t="n">
        <v>0</v>
      </c>
      <c r="H1695" s="0" t="s">
        <v>585</v>
      </c>
      <c r="K1695" s="0" t="s">
        <v>607</v>
      </c>
      <c r="L1695" s="0" t="s">
        <v>3458</v>
      </c>
    </row>
    <row r="1696" customFormat="false" ht="15" hidden="false" customHeight="false" outlineLevel="0" collapsed="false">
      <c r="A1696" s="0" t="s">
        <v>67</v>
      </c>
      <c r="B1696" s="0" t="s">
        <v>345</v>
      </c>
      <c r="C1696" s="0" t="s">
        <v>910</v>
      </c>
      <c r="D1696" s="0" t="s">
        <v>146</v>
      </c>
      <c r="E1696" s="0" t="s">
        <v>3459</v>
      </c>
      <c r="F1696" s="0" t="n">
        <v>5</v>
      </c>
      <c r="G1696" s="0" t="n">
        <v>3</v>
      </c>
      <c r="H1696" s="0" t="s">
        <v>585</v>
      </c>
      <c r="I1696" s="0" t="s">
        <v>442</v>
      </c>
      <c r="K1696" s="0" t="s">
        <v>610</v>
      </c>
      <c r="L1696" s="0" t="s">
        <v>3460</v>
      </c>
    </row>
    <row r="1697" customFormat="false" ht="15" hidden="false" customHeight="false" outlineLevel="0" collapsed="false">
      <c r="A1697" s="0" t="s">
        <v>67</v>
      </c>
      <c r="B1697" s="0" t="s">
        <v>345</v>
      </c>
      <c r="C1697" s="0" t="s">
        <v>910</v>
      </c>
      <c r="D1697" s="0" t="s">
        <v>149</v>
      </c>
      <c r="E1697" s="0" t="s">
        <v>3461</v>
      </c>
      <c r="F1697" s="0" t="n">
        <v>5</v>
      </c>
      <c r="G1697" s="0" t="n">
        <v>0</v>
      </c>
      <c r="H1697" s="0" t="s">
        <v>585</v>
      </c>
      <c r="K1697" s="0" t="s">
        <v>613</v>
      </c>
      <c r="L1697" s="0" t="s">
        <v>3462</v>
      </c>
    </row>
    <row r="1698" customFormat="false" ht="15" hidden="false" customHeight="false" outlineLevel="0" collapsed="false">
      <c r="A1698" s="0" t="s">
        <v>67</v>
      </c>
      <c r="B1698" s="0" t="s">
        <v>345</v>
      </c>
      <c r="C1698" s="0" t="s">
        <v>910</v>
      </c>
      <c r="D1698" s="0" t="s">
        <v>152</v>
      </c>
      <c r="E1698" s="0" t="s">
        <v>3463</v>
      </c>
      <c r="F1698" s="0" t="n">
        <v>5</v>
      </c>
      <c r="G1698" s="0" t="n">
        <v>2</v>
      </c>
      <c r="H1698" s="0" t="s">
        <v>585</v>
      </c>
      <c r="I1698" s="0" t="s">
        <v>444</v>
      </c>
      <c r="K1698" s="0" t="s">
        <v>616</v>
      </c>
      <c r="L1698" s="0" t="s">
        <v>3464</v>
      </c>
    </row>
    <row r="1699" customFormat="false" ht="15" hidden="false" customHeight="false" outlineLevel="0" collapsed="false">
      <c r="A1699" s="0" t="s">
        <v>67</v>
      </c>
      <c r="B1699" s="0" t="s">
        <v>345</v>
      </c>
      <c r="C1699" s="0" t="s">
        <v>910</v>
      </c>
      <c r="D1699" s="0" t="s">
        <v>155</v>
      </c>
      <c r="E1699" s="0" t="s">
        <v>3465</v>
      </c>
      <c r="F1699" s="0" t="n">
        <v>5</v>
      </c>
      <c r="G1699" s="0" t="n">
        <v>1</v>
      </c>
      <c r="H1699" s="0" t="s">
        <v>585</v>
      </c>
      <c r="I1699" s="0" t="s">
        <v>446</v>
      </c>
      <c r="K1699" s="0" t="s">
        <v>620</v>
      </c>
      <c r="L1699" s="0" t="s">
        <v>3466</v>
      </c>
    </row>
    <row r="1700" customFormat="false" ht="15" hidden="false" customHeight="false" outlineLevel="0" collapsed="false">
      <c r="A1700" s="0" t="s">
        <v>67</v>
      </c>
      <c r="B1700" s="0" t="s">
        <v>345</v>
      </c>
      <c r="C1700" s="0" t="s">
        <v>935</v>
      </c>
      <c r="D1700" s="0" t="s">
        <v>987</v>
      </c>
      <c r="E1700" s="0" t="s">
        <v>3467</v>
      </c>
      <c r="F1700" s="0" t="n">
        <v>5</v>
      </c>
      <c r="G1700" s="0" t="n">
        <v>0</v>
      </c>
      <c r="H1700" s="0" t="s">
        <v>585</v>
      </c>
      <c r="K1700" s="0" t="s">
        <v>581</v>
      </c>
      <c r="L1700" s="0" t="s">
        <v>3468</v>
      </c>
    </row>
    <row r="1701" customFormat="false" ht="15" hidden="false" customHeight="false" outlineLevel="0" collapsed="false">
      <c r="A1701" s="0" t="s">
        <v>67</v>
      </c>
      <c r="B1701" s="0" t="s">
        <v>345</v>
      </c>
      <c r="C1701" s="0" t="s">
        <v>935</v>
      </c>
      <c r="D1701" s="0" t="s">
        <v>990</v>
      </c>
      <c r="E1701" s="0" t="s">
        <v>3469</v>
      </c>
      <c r="F1701" s="0" t="n">
        <v>5</v>
      </c>
      <c r="G1701" s="0" t="n">
        <v>0</v>
      </c>
      <c r="H1701" s="0" t="s">
        <v>585</v>
      </c>
      <c r="K1701" s="0" t="s">
        <v>586</v>
      </c>
      <c r="L1701" s="0" t="s">
        <v>3470</v>
      </c>
    </row>
    <row r="1702" customFormat="false" ht="15" hidden="false" customHeight="false" outlineLevel="0" collapsed="false">
      <c r="A1702" s="0" t="s">
        <v>67</v>
      </c>
      <c r="B1702" s="0" t="s">
        <v>345</v>
      </c>
      <c r="C1702" s="0" t="s">
        <v>935</v>
      </c>
      <c r="D1702" s="0" t="s">
        <v>993</v>
      </c>
      <c r="E1702" s="0" t="s">
        <v>3471</v>
      </c>
      <c r="F1702" s="0" t="n">
        <v>5</v>
      </c>
      <c r="G1702" s="0" t="n">
        <v>0</v>
      </c>
      <c r="H1702" s="0" t="s">
        <v>585</v>
      </c>
      <c r="K1702" s="0" t="s">
        <v>590</v>
      </c>
      <c r="L1702" s="0" t="s">
        <v>3472</v>
      </c>
    </row>
    <row r="1703" customFormat="false" ht="15" hidden="false" customHeight="false" outlineLevel="0" collapsed="false">
      <c r="A1703" s="0" t="s">
        <v>67</v>
      </c>
      <c r="B1703" s="0" t="s">
        <v>345</v>
      </c>
      <c r="C1703" s="0" t="s">
        <v>935</v>
      </c>
      <c r="D1703" s="0" t="s">
        <v>126</v>
      </c>
      <c r="E1703" s="0" t="s">
        <v>3473</v>
      </c>
      <c r="F1703" s="0" t="n">
        <v>5</v>
      </c>
      <c r="G1703" s="0" t="n">
        <v>3</v>
      </c>
      <c r="H1703" s="0" t="s">
        <v>585</v>
      </c>
      <c r="I1703" s="0" t="s">
        <v>443</v>
      </c>
      <c r="K1703" s="0" t="s">
        <v>594</v>
      </c>
      <c r="L1703" s="0" t="s">
        <v>3474</v>
      </c>
    </row>
    <row r="1704" customFormat="false" ht="15" hidden="false" customHeight="false" outlineLevel="0" collapsed="false">
      <c r="A1704" s="0" t="s">
        <v>67</v>
      </c>
      <c r="B1704" s="0" t="s">
        <v>345</v>
      </c>
      <c r="C1704" s="0" t="s">
        <v>935</v>
      </c>
      <c r="D1704" s="0" t="s">
        <v>129</v>
      </c>
      <c r="E1704" s="0" t="s">
        <v>3475</v>
      </c>
      <c r="F1704" s="0" t="n">
        <v>5</v>
      </c>
      <c r="G1704" s="0" t="n">
        <v>2</v>
      </c>
      <c r="H1704" s="0" t="s">
        <v>585</v>
      </c>
      <c r="I1704" s="0" t="s">
        <v>443</v>
      </c>
      <c r="K1704" s="0" t="s">
        <v>597</v>
      </c>
      <c r="L1704" s="0" t="s">
        <v>3476</v>
      </c>
    </row>
    <row r="1705" customFormat="false" ht="15" hidden="false" customHeight="false" outlineLevel="0" collapsed="false">
      <c r="A1705" s="0" t="s">
        <v>67</v>
      </c>
      <c r="B1705" s="0" t="s">
        <v>345</v>
      </c>
      <c r="C1705" s="0" t="s">
        <v>935</v>
      </c>
      <c r="D1705" s="0" t="s">
        <v>132</v>
      </c>
      <c r="E1705" s="0" t="s">
        <v>3477</v>
      </c>
      <c r="F1705" s="0" t="n">
        <v>5</v>
      </c>
      <c r="G1705" s="0" t="n">
        <v>0</v>
      </c>
      <c r="H1705" s="0" t="s">
        <v>585</v>
      </c>
      <c r="K1705" s="0" t="s">
        <v>600</v>
      </c>
      <c r="L1705" s="0" t="s">
        <v>3478</v>
      </c>
    </row>
    <row r="1706" customFormat="false" ht="15" hidden="false" customHeight="false" outlineLevel="0" collapsed="false">
      <c r="A1706" s="0" t="s">
        <v>67</v>
      </c>
      <c r="B1706" s="0" t="s">
        <v>345</v>
      </c>
      <c r="C1706" s="0" t="s">
        <v>935</v>
      </c>
      <c r="D1706" s="0" t="s">
        <v>139</v>
      </c>
      <c r="E1706" s="0" t="s">
        <v>3479</v>
      </c>
      <c r="F1706" s="0" t="n">
        <v>5</v>
      </c>
      <c r="G1706" s="0" t="n">
        <v>0</v>
      </c>
      <c r="H1706" s="0" t="s">
        <v>585</v>
      </c>
      <c r="K1706" s="0" t="s">
        <v>604</v>
      </c>
      <c r="L1706" s="0" t="s">
        <v>3480</v>
      </c>
    </row>
    <row r="1707" customFormat="false" ht="15" hidden="false" customHeight="false" outlineLevel="0" collapsed="false">
      <c r="A1707" s="0" t="s">
        <v>67</v>
      </c>
      <c r="B1707" s="0" t="s">
        <v>345</v>
      </c>
      <c r="C1707" s="0" t="s">
        <v>935</v>
      </c>
      <c r="D1707" s="0" t="s">
        <v>143</v>
      </c>
      <c r="E1707" s="0" t="s">
        <v>3481</v>
      </c>
      <c r="F1707" s="0" t="n">
        <v>5</v>
      </c>
      <c r="G1707" s="0" t="n">
        <v>0</v>
      </c>
      <c r="H1707" s="0" t="s">
        <v>585</v>
      </c>
      <c r="K1707" s="0" t="s">
        <v>607</v>
      </c>
      <c r="L1707" s="0" t="s">
        <v>3482</v>
      </c>
    </row>
    <row r="1708" customFormat="false" ht="15" hidden="false" customHeight="false" outlineLevel="0" collapsed="false">
      <c r="A1708" s="0" t="s">
        <v>67</v>
      </c>
      <c r="B1708" s="0" t="s">
        <v>345</v>
      </c>
      <c r="C1708" s="0" t="s">
        <v>935</v>
      </c>
      <c r="D1708" s="0" t="s">
        <v>146</v>
      </c>
      <c r="E1708" s="0" t="s">
        <v>3483</v>
      </c>
      <c r="F1708" s="0" t="n">
        <v>5</v>
      </c>
      <c r="G1708" s="0" t="n">
        <v>1</v>
      </c>
      <c r="H1708" s="0" t="s">
        <v>585</v>
      </c>
      <c r="I1708" s="0" t="s">
        <v>443</v>
      </c>
      <c r="K1708" s="0" t="s">
        <v>610</v>
      </c>
      <c r="L1708" s="0" t="s">
        <v>3484</v>
      </c>
    </row>
    <row r="1709" customFormat="false" ht="15" hidden="false" customHeight="false" outlineLevel="0" collapsed="false">
      <c r="A1709" s="0" t="s">
        <v>67</v>
      </c>
      <c r="B1709" s="0" t="s">
        <v>345</v>
      </c>
      <c r="C1709" s="0" t="s">
        <v>935</v>
      </c>
      <c r="D1709" s="0" t="s">
        <v>149</v>
      </c>
      <c r="E1709" s="0" t="s">
        <v>3485</v>
      </c>
      <c r="F1709" s="0" t="n">
        <v>5</v>
      </c>
      <c r="G1709" s="0" t="n">
        <v>0</v>
      </c>
      <c r="H1709" s="0" t="s">
        <v>585</v>
      </c>
      <c r="K1709" s="0" t="s">
        <v>613</v>
      </c>
      <c r="L1709" s="0" t="s">
        <v>3486</v>
      </c>
    </row>
    <row r="1710" customFormat="false" ht="15" hidden="false" customHeight="false" outlineLevel="0" collapsed="false">
      <c r="A1710" s="0" t="s">
        <v>67</v>
      </c>
      <c r="B1710" s="0" t="s">
        <v>345</v>
      </c>
      <c r="C1710" s="0" t="s">
        <v>935</v>
      </c>
      <c r="D1710" s="0" t="s">
        <v>152</v>
      </c>
      <c r="E1710" s="0" t="s">
        <v>3487</v>
      </c>
      <c r="F1710" s="0" t="n">
        <v>5</v>
      </c>
      <c r="G1710" s="0" t="n">
        <v>1</v>
      </c>
      <c r="H1710" s="0" t="s">
        <v>585</v>
      </c>
      <c r="I1710" s="0" t="s">
        <v>442</v>
      </c>
      <c r="K1710" s="0" t="s">
        <v>616</v>
      </c>
      <c r="L1710" s="0" t="s">
        <v>3488</v>
      </c>
    </row>
    <row r="1711" customFormat="false" ht="15" hidden="false" customHeight="false" outlineLevel="0" collapsed="false">
      <c r="A1711" s="0" t="s">
        <v>67</v>
      </c>
      <c r="B1711" s="0" t="s">
        <v>345</v>
      </c>
      <c r="C1711" s="0" t="s">
        <v>935</v>
      </c>
      <c r="D1711" s="0" t="s">
        <v>155</v>
      </c>
      <c r="E1711" s="0" t="s">
        <v>3489</v>
      </c>
      <c r="F1711" s="0" t="n">
        <v>5</v>
      </c>
      <c r="G1711" s="0" t="n">
        <v>1</v>
      </c>
      <c r="H1711" s="0" t="s">
        <v>585</v>
      </c>
      <c r="I1711" s="0" t="s">
        <v>447</v>
      </c>
      <c r="K1711" s="0" t="s">
        <v>620</v>
      </c>
      <c r="L1711" s="0" t="s">
        <v>3490</v>
      </c>
    </row>
    <row r="1712" customFormat="false" ht="15" hidden="false" customHeight="false" outlineLevel="0" collapsed="false">
      <c r="A1712" s="0" t="s">
        <v>67</v>
      </c>
      <c r="B1712" s="0" t="s">
        <v>345</v>
      </c>
      <c r="C1712" s="0" t="s">
        <v>961</v>
      </c>
      <c r="D1712" s="0" t="s">
        <v>987</v>
      </c>
      <c r="E1712" s="0" t="s">
        <v>3491</v>
      </c>
      <c r="F1712" s="0" t="n">
        <v>5</v>
      </c>
      <c r="G1712" s="0" t="n">
        <v>0</v>
      </c>
      <c r="H1712" s="0" t="s">
        <v>585</v>
      </c>
      <c r="K1712" s="0" t="s">
        <v>581</v>
      </c>
      <c r="L1712" s="0" t="s">
        <v>3492</v>
      </c>
    </row>
    <row r="1713" customFormat="false" ht="15" hidden="false" customHeight="false" outlineLevel="0" collapsed="false">
      <c r="A1713" s="0" t="s">
        <v>67</v>
      </c>
      <c r="B1713" s="0" t="s">
        <v>345</v>
      </c>
      <c r="C1713" s="0" t="s">
        <v>961</v>
      </c>
      <c r="D1713" s="0" t="s">
        <v>990</v>
      </c>
      <c r="E1713" s="0" t="s">
        <v>3493</v>
      </c>
      <c r="F1713" s="0" t="n">
        <v>5</v>
      </c>
      <c r="G1713" s="0" t="n">
        <v>0</v>
      </c>
      <c r="H1713" s="0" t="s">
        <v>585</v>
      </c>
      <c r="K1713" s="0" t="s">
        <v>586</v>
      </c>
      <c r="L1713" s="0" t="s">
        <v>3494</v>
      </c>
    </row>
    <row r="1714" customFormat="false" ht="15" hidden="false" customHeight="false" outlineLevel="0" collapsed="false">
      <c r="A1714" s="0" t="s">
        <v>67</v>
      </c>
      <c r="B1714" s="0" t="s">
        <v>345</v>
      </c>
      <c r="C1714" s="0" t="s">
        <v>961</v>
      </c>
      <c r="D1714" s="0" t="s">
        <v>993</v>
      </c>
      <c r="E1714" s="0" t="s">
        <v>3495</v>
      </c>
      <c r="F1714" s="0" t="n">
        <v>5</v>
      </c>
      <c r="G1714" s="0" t="n">
        <v>0</v>
      </c>
      <c r="H1714" s="0" t="s">
        <v>585</v>
      </c>
      <c r="K1714" s="0" t="s">
        <v>590</v>
      </c>
      <c r="L1714" s="0" t="s">
        <v>3496</v>
      </c>
    </row>
    <row r="1715" customFormat="false" ht="15" hidden="false" customHeight="false" outlineLevel="0" collapsed="false">
      <c r="A1715" s="0" t="s">
        <v>67</v>
      </c>
      <c r="B1715" s="0" t="s">
        <v>345</v>
      </c>
      <c r="C1715" s="0" t="s">
        <v>961</v>
      </c>
      <c r="D1715" s="0" t="s">
        <v>126</v>
      </c>
      <c r="E1715" s="0" t="s">
        <v>3497</v>
      </c>
      <c r="F1715" s="0" t="n">
        <v>5</v>
      </c>
      <c r="G1715" s="0" t="n">
        <v>3</v>
      </c>
      <c r="H1715" s="0" t="s">
        <v>585</v>
      </c>
      <c r="I1715" s="0" t="s">
        <v>443</v>
      </c>
      <c r="K1715" s="0" t="s">
        <v>594</v>
      </c>
      <c r="L1715" s="0" t="s">
        <v>3498</v>
      </c>
    </row>
    <row r="1716" customFormat="false" ht="15" hidden="false" customHeight="false" outlineLevel="0" collapsed="false">
      <c r="A1716" s="0" t="s">
        <v>67</v>
      </c>
      <c r="B1716" s="0" t="s">
        <v>345</v>
      </c>
      <c r="C1716" s="0" t="s">
        <v>961</v>
      </c>
      <c r="D1716" s="0" t="s">
        <v>129</v>
      </c>
      <c r="E1716" s="0" t="s">
        <v>3499</v>
      </c>
      <c r="F1716" s="0" t="n">
        <v>5</v>
      </c>
      <c r="G1716" s="0" t="n">
        <v>1</v>
      </c>
      <c r="H1716" s="0" t="s">
        <v>585</v>
      </c>
      <c r="I1716" s="0" t="s">
        <v>446</v>
      </c>
      <c r="K1716" s="0" t="s">
        <v>597</v>
      </c>
      <c r="L1716" s="0" t="s">
        <v>3500</v>
      </c>
    </row>
    <row r="1717" customFormat="false" ht="15" hidden="false" customHeight="false" outlineLevel="0" collapsed="false">
      <c r="A1717" s="0" t="s">
        <v>67</v>
      </c>
      <c r="B1717" s="0" t="s">
        <v>345</v>
      </c>
      <c r="C1717" s="0" t="s">
        <v>961</v>
      </c>
      <c r="D1717" s="0" t="s">
        <v>132</v>
      </c>
      <c r="E1717" s="0" t="s">
        <v>3501</v>
      </c>
      <c r="F1717" s="0" t="n">
        <v>5</v>
      </c>
      <c r="G1717" s="0" t="n">
        <v>0</v>
      </c>
      <c r="H1717" s="0" t="s">
        <v>585</v>
      </c>
      <c r="K1717" s="0" t="s">
        <v>600</v>
      </c>
      <c r="L1717" s="0" t="s">
        <v>3502</v>
      </c>
    </row>
    <row r="1718" customFormat="false" ht="15" hidden="false" customHeight="false" outlineLevel="0" collapsed="false">
      <c r="A1718" s="0" t="s">
        <v>67</v>
      </c>
      <c r="B1718" s="0" t="s">
        <v>345</v>
      </c>
      <c r="C1718" s="0" t="s">
        <v>961</v>
      </c>
      <c r="D1718" s="0" t="s">
        <v>139</v>
      </c>
      <c r="E1718" s="0" t="s">
        <v>3503</v>
      </c>
      <c r="F1718" s="0" t="n">
        <v>5</v>
      </c>
      <c r="G1718" s="0" t="n">
        <v>0</v>
      </c>
      <c r="H1718" s="0" t="s">
        <v>585</v>
      </c>
      <c r="K1718" s="0" t="s">
        <v>604</v>
      </c>
      <c r="L1718" s="0" t="s">
        <v>3504</v>
      </c>
    </row>
    <row r="1719" customFormat="false" ht="15" hidden="false" customHeight="false" outlineLevel="0" collapsed="false">
      <c r="A1719" s="0" t="s">
        <v>67</v>
      </c>
      <c r="B1719" s="0" t="s">
        <v>345</v>
      </c>
      <c r="C1719" s="0" t="s">
        <v>961</v>
      </c>
      <c r="D1719" s="0" t="s">
        <v>143</v>
      </c>
      <c r="E1719" s="0" t="s">
        <v>3505</v>
      </c>
      <c r="F1719" s="0" t="n">
        <v>5</v>
      </c>
      <c r="G1719" s="0" t="n">
        <v>0</v>
      </c>
      <c r="H1719" s="0" t="s">
        <v>585</v>
      </c>
      <c r="K1719" s="0" t="s">
        <v>607</v>
      </c>
      <c r="L1719" s="0" t="s">
        <v>3506</v>
      </c>
    </row>
    <row r="1720" customFormat="false" ht="15" hidden="false" customHeight="false" outlineLevel="0" collapsed="false">
      <c r="A1720" s="0" t="s">
        <v>67</v>
      </c>
      <c r="B1720" s="0" t="s">
        <v>345</v>
      </c>
      <c r="C1720" s="0" t="s">
        <v>961</v>
      </c>
      <c r="D1720" s="0" t="s">
        <v>146</v>
      </c>
      <c r="E1720" s="0" t="s">
        <v>3507</v>
      </c>
      <c r="F1720" s="0" t="n">
        <v>5</v>
      </c>
      <c r="G1720" s="0" t="n">
        <v>1</v>
      </c>
      <c r="H1720" s="0" t="s">
        <v>585</v>
      </c>
      <c r="I1720" s="0" t="s">
        <v>444</v>
      </c>
      <c r="K1720" s="0" t="s">
        <v>610</v>
      </c>
      <c r="L1720" s="0" t="s">
        <v>3508</v>
      </c>
    </row>
    <row r="1721" customFormat="false" ht="15" hidden="false" customHeight="false" outlineLevel="0" collapsed="false">
      <c r="A1721" s="0" t="s">
        <v>67</v>
      </c>
      <c r="B1721" s="0" t="s">
        <v>345</v>
      </c>
      <c r="C1721" s="0" t="s">
        <v>961</v>
      </c>
      <c r="D1721" s="0" t="s">
        <v>149</v>
      </c>
      <c r="E1721" s="0" t="s">
        <v>3509</v>
      </c>
      <c r="F1721" s="0" t="n">
        <v>5</v>
      </c>
      <c r="G1721" s="0" t="n">
        <v>0</v>
      </c>
      <c r="H1721" s="0" t="s">
        <v>585</v>
      </c>
      <c r="K1721" s="0" t="s">
        <v>613</v>
      </c>
      <c r="L1721" s="0" t="s">
        <v>3510</v>
      </c>
    </row>
    <row r="1722" customFormat="false" ht="15" hidden="false" customHeight="false" outlineLevel="0" collapsed="false">
      <c r="A1722" s="0" t="s">
        <v>67</v>
      </c>
      <c r="B1722" s="0" t="s">
        <v>345</v>
      </c>
      <c r="C1722" s="0" t="s">
        <v>961</v>
      </c>
      <c r="D1722" s="0" t="s">
        <v>152</v>
      </c>
      <c r="E1722" s="0" t="s">
        <v>3511</v>
      </c>
      <c r="F1722" s="0" t="n">
        <v>5</v>
      </c>
      <c r="G1722" s="0" t="n">
        <v>2</v>
      </c>
      <c r="H1722" s="0" t="s">
        <v>585</v>
      </c>
      <c r="I1722" s="0" t="s">
        <v>443</v>
      </c>
      <c r="K1722" s="0" t="s">
        <v>616</v>
      </c>
      <c r="L1722" s="0" t="s">
        <v>3512</v>
      </c>
    </row>
    <row r="1723" customFormat="false" ht="15" hidden="false" customHeight="false" outlineLevel="0" collapsed="false">
      <c r="A1723" s="0" t="s">
        <v>67</v>
      </c>
      <c r="B1723" s="0" t="s">
        <v>345</v>
      </c>
      <c r="C1723" s="0" t="s">
        <v>961</v>
      </c>
      <c r="D1723" s="0" t="s">
        <v>155</v>
      </c>
      <c r="E1723" s="0" t="s">
        <v>3513</v>
      </c>
      <c r="F1723" s="0" t="n">
        <v>5</v>
      </c>
      <c r="G1723" s="0" t="n">
        <v>1</v>
      </c>
      <c r="H1723" s="0" t="s">
        <v>585</v>
      </c>
      <c r="I1723" s="0" t="s">
        <v>447</v>
      </c>
      <c r="K1723" s="0" t="s">
        <v>620</v>
      </c>
      <c r="L1723" s="0" t="s">
        <v>3514</v>
      </c>
    </row>
    <row r="1724" customFormat="false" ht="15" hidden="false" customHeight="false" outlineLevel="0" collapsed="false">
      <c r="A1724" s="0" t="s">
        <v>67</v>
      </c>
      <c r="B1724" s="0" t="s">
        <v>266</v>
      </c>
      <c r="C1724" s="0" t="s">
        <v>986</v>
      </c>
      <c r="D1724" s="0" t="s">
        <v>578</v>
      </c>
      <c r="E1724" s="0" t="s">
        <v>3515</v>
      </c>
      <c r="F1724" s="0" t="n">
        <v>4</v>
      </c>
      <c r="G1724" s="0" t="n">
        <v>0</v>
      </c>
      <c r="H1724" s="0" t="s">
        <v>585</v>
      </c>
      <c r="K1724" s="0" t="s">
        <v>581</v>
      </c>
      <c r="L1724" s="0" t="s">
        <v>3516</v>
      </c>
    </row>
    <row r="1725" customFormat="false" ht="15" hidden="false" customHeight="false" outlineLevel="0" collapsed="false">
      <c r="A1725" s="0" t="s">
        <v>67</v>
      </c>
      <c r="B1725" s="0" t="s">
        <v>266</v>
      </c>
      <c r="C1725" s="0" t="s">
        <v>986</v>
      </c>
      <c r="D1725" s="0" t="s">
        <v>583</v>
      </c>
      <c r="E1725" s="0" t="s">
        <v>3517</v>
      </c>
      <c r="F1725" s="0" t="n">
        <v>4</v>
      </c>
      <c r="G1725" s="0" t="n">
        <v>0</v>
      </c>
      <c r="H1725" s="0" t="s">
        <v>585</v>
      </c>
      <c r="K1725" s="0" t="s">
        <v>586</v>
      </c>
      <c r="L1725" s="0" t="s">
        <v>3518</v>
      </c>
    </row>
    <row r="1726" customFormat="false" ht="15" hidden="false" customHeight="false" outlineLevel="0" collapsed="false">
      <c r="A1726" s="0" t="s">
        <v>67</v>
      </c>
      <c r="B1726" s="0" t="s">
        <v>266</v>
      </c>
      <c r="C1726" s="0" t="s">
        <v>986</v>
      </c>
      <c r="D1726" s="0" t="s">
        <v>588</v>
      </c>
      <c r="E1726" s="0" t="s">
        <v>3519</v>
      </c>
      <c r="F1726" s="0" t="n">
        <v>4</v>
      </c>
      <c r="G1726" s="0" t="n">
        <v>0</v>
      </c>
      <c r="H1726" s="0" t="s">
        <v>585</v>
      </c>
      <c r="K1726" s="0" t="s">
        <v>590</v>
      </c>
      <c r="L1726" s="0" t="s">
        <v>3520</v>
      </c>
    </row>
    <row r="1727" customFormat="false" ht="15" hidden="false" customHeight="false" outlineLevel="0" collapsed="false">
      <c r="A1727" s="0" t="s">
        <v>67</v>
      </c>
      <c r="B1727" s="0" t="s">
        <v>266</v>
      </c>
      <c r="C1727" s="0" t="s">
        <v>986</v>
      </c>
      <c r="D1727" s="0" t="s">
        <v>127</v>
      </c>
      <c r="E1727" s="0" t="s">
        <v>3521</v>
      </c>
      <c r="F1727" s="0" t="n">
        <v>4</v>
      </c>
      <c r="G1727" s="0" t="n">
        <v>0</v>
      </c>
      <c r="H1727" s="0" t="s">
        <v>585</v>
      </c>
      <c r="K1727" s="0" t="s">
        <v>594</v>
      </c>
      <c r="L1727" s="0" t="s">
        <v>3522</v>
      </c>
    </row>
    <row r="1728" customFormat="false" ht="15" hidden="false" customHeight="false" outlineLevel="0" collapsed="false">
      <c r="A1728" s="0" t="s">
        <v>67</v>
      </c>
      <c r="B1728" s="0" t="s">
        <v>266</v>
      </c>
      <c r="C1728" s="0" t="s">
        <v>986</v>
      </c>
      <c r="D1728" s="0" t="s">
        <v>130</v>
      </c>
      <c r="E1728" s="0" t="s">
        <v>3523</v>
      </c>
      <c r="F1728" s="0" t="n">
        <v>4</v>
      </c>
      <c r="G1728" s="0" t="n">
        <v>0</v>
      </c>
      <c r="H1728" s="0" t="s">
        <v>585</v>
      </c>
      <c r="K1728" s="0" t="s">
        <v>597</v>
      </c>
      <c r="L1728" s="0" t="s">
        <v>3524</v>
      </c>
    </row>
    <row r="1729" customFormat="false" ht="15" hidden="false" customHeight="false" outlineLevel="0" collapsed="false">
      <c r="A1729" s="0" t="s">
        <v>67</v>
      </c>
      <c r="B1729" s="0" t="s">
        <v>266</v>
      </c>
      <c r="C1729" s="0" t="s">
        <v>986</v>
      </c>
      <c r="D1729" s="0" t="s">
        <v>133</v>
      </c>
      <c r="E1729" s="0" t="s">
        <v>3525</v>
      </c>
      <c r="F1729" s="0" t="n">
        <v>4</v>
      </c>
      <c r="G1729" s="0" t="n">
        <v>0</v>
      </c>
      <c r="H1729" s="0" t="s">
        <v>585</v>
      </c>
      <c r="K1729" s="0" t="s">
        <v>600</v>
      </c>
      <c r="L1729" s="0" t="s">
        <v>3526</v>
      </c>
    </row>
    <row r="1730" customFormat="false" ht="15" hidden="false" customHeight="false" outlineLevel="0" collapsed="false">
      <c r="A1730" s="0" t="s">
        <v>67</v>
      </c>
      <c r="B1730" s="0" t="s">
        <v>266</v>
      </c>
      <c r="C1730" s="0" t="s">
        <v>986</v>
      </c>
      <c r="D1730" s="0" t="s">
        <v>141</v>
      </c>
      <c r="E1730" s="0" t="s">
        <v>3527</v>
      </c>
      <c r="F1730" s="0" t="n">
        <v>4</v>
      </c>
      <c r="G1730" s="0" t="n">
        <v>0</v>
      </c>
      <c r="H1730" s="0" t="s">
        <v>585</v>
      </c>
      <c r="K1730" s="0" t="s">
        <v>604</v>
      </c>
      <c r="L1730" s="0" t="s">
        <v>3528</v>
      </c>
    </row>
    <row r="1731" customFormat="false" ht="15" hidden="false" customHeight="false" outlineLevel="0" collapsed="false">
      <c r="A1731" s="0" t="s">
        <v>67</v>
      </c>
      <c r="B1731" s="0" t="s">
        <v>266</v>
      </c>
      <c r="C1731" s="0" t="s">
        <v>986</v>
      </c>
      <c r="D1731" s="0" t="s">
        <v>144</v>
      </c>
      <c r="E1731" s="0" t="s">
        <v>3529</v>
      </c>
      <c r="F1731" s="0" t="n">
        <v>4</v>
      </c>
      <c r="G1731" s="0" t="n">
        <v>1</v>
      </c>
      <c r="H1731" s="0" t="s">
        <v>585</v>
      </c>
      <c r="I1731" s="0" t="s">
        <v>443</v>
      </c>
      <c r="K1731" s="0" t="s">
        <v>607</v>
      </c>
      <c r="L1731" s="0" t="s">
        <v>3530</v>
      </c>
    </row>
    <row r="1732" customFormat="false" ht="15" hidden="false" customHeight="false" outlineLevel="0" collapsed="false">
      <c r="A1732" s="0" t="s">
        <v>67</v>
      </c>
      <c r="B1732" s="0" t="s">
        <v>266</v>
      </c>
      <c r="C1732" s="0" t="s">
        <v>986</v>
      </c>
      <c r="D1732" s="0" t="s">
        <v>147</v>
      </c>
      <c r="E1732" s="0" t="s">
        <v>3531</v>
      </c>
      <c r="F1732" s="0" t="n">
        <v>4</v>
      </c>
      <c r="G1732" s="0" t="n">
        <v>1</v>
      </c>
      <c r="H1732" s="0" t="s">
        <v>585</v>
      </c>
      <c r="I1732" s="0" t="s">
        <v>444</v>
      </c>
      <c r="K1732" s="0" t="s">
        <v>610</v>
      </c>
      <c r="L1732" s="0" t="s">
        <v>3532</v>
      </c>
    </row>
    <row r="1733" customFormat="false" ht="15" hidden="false" customHeight="false" outlineLevel="0" collapsed="false">
      <c r="A1733" s="0" t="s">
        <v>67</v>
      </c>
      <c r="B1733" s="0" t="s">
        <v>266</v>
      </c>
      <c r="C1733" s="0" t="s">
        <v>986</v>
      </c>
      <c r="D1733" s="0" t="s">
        <v>150</v>
      </c>
      <c r="E1733" s="0" t="s">
        <v>3533</v>
      </c>
      <c r="F1733" s="0" t="n">
        <v>4</v>
      </c>
      <c r="G1733" s="0" t="n">
        <v>1</v>
      </c>
      <c r="H1733" s="0" t="s">
        <v>585</v>
      </c>
      <c r="I1733" s="0" t="s">
        <v>443</v>
      </c>
      <c r="K1733" s="0" t="s">
        <v>613</v>
      </c>
      <c r="L1733" s="0" t="s">
        <v>3534</v>
      </c>
    </row>
    <row r="1734" customFormat="false" ht="15" hidden="false" customHeight="false" outlineLevel="0" collapsed="false">
      <c r="A1734" s="0" t="s">
        <v>67</v>
      </c>
      <c r="B1734" s="0" t="s">
        <v>266</v>
      </c>
      <c r="C1734" s="0" t="s">
        <v>986</v>
      </c>
      <c r="D1734" s="0" t="s">
        <v>153</v>
      </c>
      <c r="E1734" s="0" t="s">
        <v>3535</v>
      </c>
      <c r="F1734" s="0" t="n">
        <v>4</v>
      </c>
      <c r="G1734" s="0" t="n">
        <v>2</v>
      </c>
      <c r="H1734" s="0" t="s">
        <v>585</v>
      </c>
      <c r="I1734" s="0" t="s">
        <v>443</v>
      </c>
      <c r="K1734" s="0" t="s">
        <v>616</v>
      </c>
      <c r="L1734" s="0" t="s">
        <v>3536</v>
      </c>
    </row>
    <row r="1735" customFormat="false" ht="15" hidden="false" customHeight="false" outlineLevel="0" collapsed="false">
      <c r="A1735" s="0" t="s">
        <v>67</v>
      </c>
      <c r="B1735" s="0" t="s">
        <v>266</v>
      </c>
      <c r="C1735" s="0" t="s">
        <v>986</v>
      </c>
      <c r="D1735" s="0" t="s">
        <v>156</v>
      </c>
      <c r="E1735" s="0" t="s">
        <v>3537</v>
      </c>
      <c r="F1735" s="0" t="n">
        <v>4</v>
      </c>
      <c r="G1735" s="0" t="n">
        <v>0</v>
      </c>
      <c r="H1735" s="0" t="s">
        <v>585</v>
      </c>
      <c r="K1735" s="0" t="s">
        <v>620</v>
      </c>
      <c r="L1735" s="0" t="s">
        <v>3538</v>
      </c>
    </row>
    <row r="1736" customFormat="false" ht="15" hidden="false" customHeight="false" outlineLevel="0" collapsed="false">
      <c r="A1736" s="0" t="s">
        <v>67</v>
      </c>
      <c r="B1736" s="0" t="s">
        <v>266</v>
      </c>
      <c r="C1736" s="0" t="s">
        <v>1014</v>
      </c>
      <c r="D1736" s="0" t="s">
        <v>578</v>
      </c>
      <c r="E1736" s="0" t="s">
        <v>3539</v>
      </c>
      <c r="F1736" s="0" t="n">
        <v>4</v>
      </c>
      <c r="G1736" s="0" t="n">
        <v>0</v>
      </c>
      <c r="H1736" s="0" t="s">
        <v>585</v>
      </c>
      <c r="K1736" s="0" t="s">
        <v>581</v>
      </c>
      <c r="L1736" s="0" t="s">
        <v>3540</v>
      </c>
    </row>
    <row r="1737" customFormat="false" ht="15" hidden="false" customHeight="false" outlineLevel="0" collapsed="false">
      <c r="A1737" s="0" t="s">
        <v>67</v>
      </c>
      <c r="B1737" s="0" t="s">
        <v>266</v>
      </c>
      <c r="C1737" s="0" t="s">
        <v>1014</v>
      </c>
      <c r="D1737" s="0" t="s">
        <v>583</v>
      </c>
      <c r="E1737" s="0" t="s">
        <v>3541</v>
      </c>
      <c r="F1737" s="0" t="n">
        <v>4</v>
      </c>
      <c r="G1737" s="0" t="n">
        <v>0</v>
      </c>
      <c r="H1737" s="0" t="s">
        <v>585</v>
      </c>
      <c r="K1737" s="0" t="s">
        <v>586</v>
      </c>
      <c r="L1737" s="0" t="s">
        <v>3542</v>
      </c>
    </row>
    <row r="1738" customFormat="false" ht="15" hidden="false" customHeight="false" outlineLevel="0" collapsed="false">
      <c r="A1738" s="0" t="s">
        <v>67</v>
      </c>
      <c r="B1738" s="0" t="s">
        <v>266</v>
      </c>
      <c r="C1738" s="0" t="s">
        <v>1014</v>
      </c>
      <c r="D1738" s="0" t="s">
        <v>588</v>
      </c>
      <c r="E1738" s="0" t="s">
        <v>3543</v>
      </c>
      <c r="F1738" s="0" t="n">
        <v>4</v>
      </c>
      <c r="G1738" s="0" t="n">
        <v>0</v>
      </c>
      <c r="H1738" s="0" t="s">
        <v>585</v>
      </c>
      <c r="K1738" s="0" t="s">
        <v>590</v>
      </c>
      <c r="L1738" s="0" t="s">
        <v>3544</v>
      </c>
    </row>
    <row r="1739" customFormat="false" ht="15" hidden="false" customHeight="false" outlineLevel="0" collapsed="false">
      <c r="A1739" s="0" t="s">
        <v>67</v>
      </c>
      <c r="B1739" s="0" t="s">
        <v>266</v>
      </c>
      <c r="C1739" s="0" t="s">
        <v>1014</v>
      </c>
      <c r="D1739" s="0" t="s">
        <v>127</v>
      </c>
      <c r="E1739" s="0" t="s">
        <v>3545</v>
      </c>
      <c r="F1739" s="0" t="n">
        <v>4</v>
      </c>
      <c r="G1739" s="0" t="n">
        <v>0</v>
      </c>
      <c r="H1739" s="0" t="s">
        <v>585</v>
      </c>
      <c r="K1739" s="0" t="s">
        <v>594</v>
      </c>
      <c r="L1739" s="0" t="s">
        <v>3546</v>
      </c>
    </row>
    <row r="1740" customFormat="false" ht="15" hidden="false" customHeight="false" outlineLevel="0" collapsed="false">
      <c r="A1740" s="0" t="s">
        <v>67</v>
      </c>
      <c r="B1740" s="0" t="s">
        <v>266</v>
      </c>
      <c r="C1740" s="0" t="s">
        <v>1014</v>
      </c>
      <c r="D1740" s="0" t="s">
        <v>130</v>
      </c>
      <c r="E1740" s="0" t="s">
        <v>3547</v>
      </c>
      <c r="F1740" s="0" t="n">
        <v>4</v>
      </c>
      <c r="G1740" s="0" t="n">
        <v>0</v>
      </c>
      <c r="H1740" s="0" t="s">
        <v>585</v>
      </c>
      <c r="I1740" s="0" t="s">
        <v>3548</v>
      </c>
      <c r="K1740" s="0" t="s">
        <v>597</v>
      </c>
      <c r="L1740" s="0" t="s">
        <v>3549</v>
      </c>
    </row>
    <row r="1741" customFormat="false" ht="15" hidden="false" customHeight="false" outlineLevel="0" collapsed="false">
      <c r="A1741" s="0" t="s">
        <v>67</v>
      </c>
      <c r="B1741" s="0" t="s">
        <v>266</v>
      </c>
      <c r="C1741" s="0" t="s">
        <v>1014</v>
      </c>
      <c r="D1741" s="0" t="s">
        <v>133</v>
      </c>
      <c r="E1741" s="0" t="s">
        <v>3550</v>
      </c>
      <c r="F1741" s="0" t="n">
        <v>4</v>
      </c>
      <c r="G1741" s="0" t="n">
        <v>0</v>
      </c>
      <c r="H1741" s="0" t="s">
        <v>585</v>
      </c>
      <c r="K1741" s="0" t="s">
        <v>600</v>
      </c>
      <c r="L1741" s="0" t="s">
        <v>3551</v>
      </c>
    </row>
    <row r="1742" customFormat="false" ht="15" hidden="false" customHeight="false" outlineLevel="0" collapsed="false">
      <c r="A1742" s="0" t="s">
        <v>67</v>
      </c>
      <c r="B1742" s="0" t="s">
        <v>266</v>
      </c>
      <c r="C1742" s="0" t="s">
        <v>1014</v>
      </c>
      <c r="D1742" s="0" t="s">
        <v>141</v>
      </c>
      <c r="E1742" s="0" t="s">
        <v>3552</v>
      </c>
      <c r="F1742" s="0" t="n">
        <v>4</v>
      </c>
      <c r="G1742" s="0" t="n">
        <v>0</v>
      </c>
      <c r="H1742" s="0" t="s">
        <v>585</v>
      </c>
      <c r="K1742" s="0" t="s">
        <v>604</v>
      </c>
      <c r="L1742" s="0" t="s">
        <v>3553</v>
      </c>
    </row>
    <row r="1743" customFormat="false" ht="15" hidden="false" customHeight="false" outlineLevel="0" collapsed="false">
      <c r="A1743" s="0" t="s">
        <v>67</v>
      </c>
      <c r="B1743" s="0" t="s">
        <v>266</v>
      </c>
      <c r="C1743" s="0" t="s">
        <v>1014</v>
      </c>
      <c r="D1743" s="0" t="s">
        <v>144</v>
      </c>
      <c r="E1743" s="0" t="s">
        <v>3554</v>
      </c>
      <c r="F1743" s="0" t="n">
        <v>4</v>
      </c>
      <c r="G1743" s="0" t="n">
        <v>1</v>
      </c>
      <c r="H1743" s="0" t="s">
        <v>585</v>
      </c>
      <c r="I1743" s="0" t="s">
        <v>443</v>
      </c>
      <c r="K1743" s="0" t="s">
        <v>607</v>
      </c>
      <c r="L1743" s="0" t="s">
        <v>3555</v>
      </c>
    </row>
    <row r="1744" customFormat="false" ht="15" hidden="false" customHeight="false" outlineLevel="0" collapsed="false">
      <c r="A1744" s="0" t="s">
        <v>67</v>
      </c>
      <c r="B1744" s="0" t="s">
        <v>266</v>
      </c>
      <c r="C1744" s="0" t="s">
        <v>1014</v>
      </c>
      <c r="D1744" s="0" t="s">
        <v>147</v>
      </c>
      <c r="E1744" s="0" t="s">
        <v>3556</v>
      </c>
      <c r="F1744" s="0" t="n">
        <v>4</v>
      </c>
      <c r="G1744" s="0" t="n">
        <v>2</v>
      </c>
      <c r="H1744" s="0" t="s">
        <v>585</v>
      </c>
      <c r="I1744" s="0" t="s">
        <v>443</v>
      </c>
      <c r="K1744" s="0" t="s">
        <v>610</v>
      </c>
      <c r="L1744" s="0" t="s">
        <v>3557</v>
      </c>
    </row>
    <row r="1745" customFormat="false" ht="15" hidden="false" customHeight="false" outlineLevel="0" collapsed="false">
      <c r="A1745" s="0" t="s">
        <v>67</v>
      </c>
      <c r="B1745" s="0" t="s">
        <v>266</v>
      </c>
      <c r="C1745" s="0" t="s">
        <v>1014</v>
      </c>
      <c r="D1745" s="0" t="s">
        <v>150</v>
      </c>
      <c r="E1745" s="0" t="s">
        <v>3558</v>
      </c>
      <c r="F1745" s="0" t="n">
        <v>4</v>
      </c>
      <c r="G1745" s="0" t="n">
        <v>0</v>
      </c>
      <c r="H1745" s="0" t="s">
        <v>585</v>
      </c>
      <c r="K1745" s="0" t="s">
        <v>613</v>
      </c>
      <c r="L1745" s="0" t="s">
        <v>3559</v>
      </c>
    </row>
    <row r="1746" customFormat="false" ht="15" hidden="false" customHeight="false" outlineLevel="0" collapsed="false">
      <c r="A1746" s="0" t="s">
        <v>67</v>
      </c>
      <c r="B1746" s="0" t="s">
        <v>266</v>
      </c>
      <c r="C1746" s="0" t="s">
        <v>1014</v>
      </c>
      <c r="D1746" s="0" t="s">
        <v>153</v>
      </c>
      <c r="E1746" s="0" t="s">
        <v>3560</v>
      </c>
      <c r="F1746" s="0" t="n">
        <v>4</v>
      </c>
      <c r="G1746" s="0" t="n">
        <v>0</v>
      </c>
      <c r="H1746" s="0" t="s">
        <v>585</v>
      </c>
      <c r="K1746" s="0" t="s">
        <v>616</v>
      </c>
      <c r="L1746" s="0" t="s">
        <v>3561</v>
      </c>
    </row>
    <row r="1747" customFormat="false" ht="15" hidden="false" customHeight="false" outlineLevel="0" collapsed="false">
      <c r="A1747" s="0" t="s">
        <v>67</v>
      </c>
      <c r="B1747" s="0" t="s">
        <v>266</v>
      </c>
      <c r="C1747" s="0" t="s">
        <v>1014</v>
      </c>
      <c r="D1747" s="0" t="s">
        <v>156</v>
      </c>
      <c r="E1747" s="0" t="s">
        <v>3562</v>
      </c>
      <c r="F1747" s="0" t="n">
        <v>4</v>
      </c>
      <c r="G1747" s="0" t="n">
        <v>2</v>
      </c>
      <c r="H1747" s="0" t="s">
        <v>585</v>
      </c>
      <c r="I1747" s="0" t="s">
        <v>444</v>
      </c>
      <c r="K1747" s="0" t="s">
        <v>620</v>
      </c>
      <c r="L1747" s="0" t="s">
        <v>3563</v>
      </c>
    </row>
    <row r="1748" customFormat="false" ht="15" hidden="false" customHeight="false" outlineLevel="0" collapsed="false">
      <c r="A1748" s="0" t="s">
        <v>67</v>
      </c>
      <c r="B1748" s="0" t="s">
        <v>266</v>
      </c>
      <c r="C1748" s="0" t="s">
        <v>1039</v>
      </c>
      <c r="D1748" s="0" t="s">
        <v>578</v>
      </c>
      <c r="E1748" s="0" t="s">
        <v>3564</v>
      </c>
      <c r="F1748" s="0" t="n">
        <v>4</v>
      </c>
      <c r="G1748" s="0" t="n">
        <v>0</v>
      </c>
      <c r="H1748" s="0" t="s">
        <v>585</v>
      </c>
      <c r="K1748" s="0" t="s">
        <v>581</v>
      </c>
      <c r="L1748" s="0" t="s">
        <v>3565</v>
      </c>
    </row>
    <row r="1749" customFormat="false" ht="15" hidden="false" customHeight="false" outlineLevel="0" collapsed="false">
      <c r="A1749" s="0" t="s">
        <v>67</v>
      </c>
      <c r="B1749" s="0" t="s">
        <v>266</v>
      </c>
      <c r="C1749" s="0" t="s">
        <v>1039</v>
      </c>
      <c r="D1749" s="0" t="s">
        <v>583</v>
      </c>
      <c r="E1749" s="0" t="s">
        <v>3566</v>
      </c>
      <c r="F1749" s="0" t="n">
        <v>4</v>
      </c>
      <c r="G1749" s="0" t="n">
        <v>0</v>
      </c>
      <c r="H1749" s="0" t="s">
        <v>585</v>
      </c>
      <c r="K1749" s="0" t="s">
        <v>586</v>
      </c>
      <c r="L1749" s="0" t="s">
        <v>3567</v>
      </c>
    </row>
    <row r="1750" customFormat="false" ht="15" hidden="false" customHeight="false" outlineLevel="0" collapsed="false">
      <c r="A1750" s="0" t="s">
        <v>67</v>
      </c>
      <c r="B1750" s="0" t="s">
        <v>266</v>
      </c>
      <c r="C1750" s="0" t="s">
        <v>1039</v>
      </c>
      <c r="D1750" s="0" t="s">
        <v>588</v>
      </c>
      <c r="E1750" s="0" t="s">
        <v>3568</v>
      </c>
      <c r="F1750" s="0" t="n">
        <v>4</v>
      </c>
      <c r="G1750" s="0" t="n">
        <v>0</v>
      </c>
      <c r="H1750" s="0" t="s">
        <v>585</v>
      </c>
      <c r="K1750" s="0" t="s">
        <v>590</v>
      </c>
      <c r="L1750" s="0" t="s">
        <v>3569</v>
      </c>
    </row>
    <row r="1751" customFormat="false" ht="15" hidden="false" customHeight="false" outlineLevel="0" collapsed="false">
      <c r="A1751" s="0" t="s">
        <v>67</v>
      </c>
      <c r="B1751" s="0" t="s">
        <v>266</v>
      </c>
      <c r="C1751" s="0" t="s">
        <v>1039</v>
      </c>
      <c r="D1751" s="0" t="s">
        <v>127</v>
      </c>
      <c r="E1751" s="0" t="s">
        <v>3570</v>
      </c>
      <c r="F1751" s="0" t="n">
        <v>4</v>
      </c>
      <c r="G1751" s="0" t="n">
        <v>0</v>
      </c>
      <c r="H1751" s="0" t="s">
        <v>585</v>
      </c>
      <c r="K1751" s="0" t="s">
        <v>594</v>
      </c>
      <c r="L1751" s="0" t="s">
        <v>3571</v>
      </c>
    </row>
    <row r="1752" customFormat="false" ht="15" hidden="false" customHeight="false" outlineLevel="0" collapsed="false">
      <c r="A1752" s="0" t="s">
        <v>67</v>
      </c>
      <c r="B1752" s="0" t="s">
        <v>266</v>
      </c>
      <c r="C1752" s="0" t="s">
        <v>1039</v>
      </c>
      <c r="D1752" s="0" t="s">
        <v>130</v>
      </c>
      <c r="E1752" s="0" t="s">
        <v>3572</v>
      </c>
      <c r="F1752" s="0" t="n">
        <v>4</v>
      </c>
      <c r="G1752" s="0" t="n">
        <v>0</v>
      </c>
      <c r="H1752" s="0" t="s">
        <v>585</v>
      </c>
      <c r="K1752" s="0" t="s">
        <v>597</v>
      </c>
      <c r="L1752" s="0" t="s">
        <v>3573</v>
      </c>
    </row>
    <row r="1753" customFormat="false" ht="15" hidden="false" customHeight="false" outlineLevel="0" collapsed="false">
      <c r="A1753" s="0" t="s">
        <v>67</v>
      </c>
      <c r="B1753" s="0" t="s">
        <v>266</v>
      </c>
      <c r="C1753" s="0" t="s">
        <v>1039</v>
      </c>
      <c r="D1753" s="0" t="s">
        <v>133</v>
      </c>
      <c r="E1753" s="0" t="s">
        <v>3574</v>
      </c>
      <c r="F1753" s="0" t="n">
        <v>4</v>
      </c>
      <c r="G1753" s="0" t="n">
        <v>0</v>
      </c>
      <c r="H1753" s="0" t="s">
        <v>585</v>
      </c>
      <c r="K1753" s="0" t="s">
        <v>600</v>
      </c>
      <c r="L1753" s="0" t="s">
        <v>3575</v>
      </c>
    </row>
    <row r="1754" customFormat="false" ht="15" hidden="false" customHeight="false" outlineLevel="0" collapsed="false">
      <c r="A1754" s="0" t="s">
        <v>67</v>
      </c>
      <c r="B1754" s="0" t="s">
        <v>266</v>
      </c>
      <c r="C1754" s="0" t="s">
        <v>1039</v>
      </c>
      <c r="D1754" s="0" t="s">
        <v>141</v>
      </c>
      <c r="E1754" s="0" t="s">
        <v>3576</v>
      </c>
      <c r="F1754" s="0" t="n">
        <v>4</v>
      </c>
      <c r="G1754" s="0" t="n">
        <v>0</v>
      </c>
      <c r="H1754" s="0" t="s">
        <v>585</v>
      </c>
      <c r="K1754" s="0" t="s">
        <v>604</v>
      </c>
      <c r="L1754" s="0" t="s">
        <v>3577</v>
      </c>
    </row>
    <row r="1755" customFormat="false" ht="15" hidden="false" customHeight="false" outlineLevel="0" collapsed="false">
      <c r="A1755" s="0" t="s">
        <v>67</v>
      </c>
      <c r="B1755" s="0" t="s">
        <v>266</v>
      </c>
      <c r="C1755" s="0" t="s">
        <v>1039</v>
      </c>
      <c r="D1755" s="0" t="s">
        <v>144</v>
      </c>
      <c r="E1755" s="0" t="s">
        <v>3578</v>
      </c>
      <c r="F1755" s="0" t="n">
        <v>4</v>
      </c>
      <c r="G1755" s="0" t="n">
        <v>0</v>
      </c>
      <c r="H1755" s="0" t="s">
        <v>585</v>
      </c>
      <c r="K1755" s="0" t="s">
        <v>607</v>
      </c>
      <c r="L1755" s="0" t="s">
        <v>3579</v>
      </c>
    </row>
    <row r="1756" customFormat="false" ht="15" hidden="false" customHeight="false" outlineLevel="0" collapsed="false">
      <c r="A1756" s="0" t="s">
        <v>67</v>
      </c>
      <c r="B1756" s="0" t="s">
        <v>266</v>
      </c>
      <c r="C1756" s="0" t="s">
        <v>1039</v>
      </c>
      <c r="D1756" s="0" t="s">
        <v>147</v>
      </c>
      <c r="E1756" s="0" t="s">
        <v>3580</v>
      </c>
      <c r="F1756" s="0" t="n">
        <v>4</v>
      </c>
      <c r="G1756" s="0" t="n">
        <v>0</v>
      </c>
      <c r="H1756" s="0" t="s">
        <v>585</v>
      </c>
      <c r="K1756" s="0" t="s">
        <v>610</v>
      </c>
      <c r="L1756" s="0" t="s">
        <v>3581</v>
      </c>
    </row>
    <row r="1757" customFormat="false" ht="15" hidden="false" customHeight="false" outlineLevel="0" collapsed="false">
      <c r="A1757" s="0" t="s">
        <v>67</v>
      </c>
      <c r="B1757" s="0" t="s">
        <v>266</v>
      </c>
      <c r="C1757" s="0" t="s">
        <v>1039</v>
      </c>
      <c r="D1757" s="0" t="s">
        <v>150</v>
      </c>
      <c r="E1757" s="0" t="s">
        <v>3582</v>
      </c>
      <c r="F1757" s="0" t="n">
        <v>4</v>
      </c>
      <c r="G1757" s="0" t="n">
        <v>1</v>
      </c>
      <c r="H1757" s="0" t="s">
        <v>585</v>
      </c>
      <c r="I1757" s="0" t="s">
        <v>447</v>
      </c>
      <c r="K1757" s="0" t="s">
        <v>613</v>
      </c>
      <c r="L1757" s="0" t="s">
        <v>3583</v>
      </c>
    </row>
    <row r="1758" customFormat="false" ht="15" hidden="false" customHeight="false" outlineLevel="0" collapsed="false">
      <c r="A1758" s="0" t="s">
        <v>67</v>
      </c>
      <c r="B1758" s="0" t="s">
        <v>266</v>
      </c>
      <c r="C1758" s="0" t="s">
        <v>1039</v>
      </c>
      <c r="D1758" s="0" t="s">
        <v>153</v>
      </c>
      <c r="E1758" s="0" t="s">
        <v>3584</v>
      </c>
      <c r="F1758" s="0" t="n">
        <v>4</v>
      </c>
      <c r="G1758" s="0" t="n">
        <v>0</v>
      </c>
      <c r="H1758" s="0" t="s">
        <v>585</v>
      </c>
      <c r="K1758" s="0" t="s">
        <v>616</v>
      </c>
      <c r="L1758" s="0" t="s">
        <v>3585</v>
      </c>
    </row>
    <row r="1759" customFormat="false" ht="15" hidden="false" customHeight="false" outlineLevel="0" collapsed="false">
      <c r="A1759" s="0" t="s">
        <v>67</v>
      </c>
      <c r="B1759" s="0" t="s">
        <v>266</v>
      </c>
      <c r="C1759" s="0" t="s">
        <v>1039</v>
      </c>
      <c r="D1759" s="0" t="s">
        <v>156</v>
      </c>
      <c r="E1759" s="0" t="s">
        <v>3586</v>
      </c>
      <c r="F1759" s="0" t="n">
        <v>4</v>
      </c>
      <c r="G1759" s="0" t="n">
        <v>2</v>
      </c>
      <c r="H1759" s="0" t="s">
        <v>585</v>
      </c>
      <c r="I1759" s="0" t="s">
        <v>443</v>
      </c>
      <c r="K1759" s="0" t="s">
        <v>620</v>
      </c>
      <c r="L1759" s="0" t="s">
        <v>3587</v>
      </c>
    </row>
    <row r="1760" customFormat="false" ht="15" hidden="false" customHeight="false" outlineLevel="0" collapsed="false">
      <c r="A1760" s="0" t="s">
        <v>67</v>
      </c>
      <c r="B1760" s="0" t="s">
        <v>266</v>
      </c>
      <c r="C1760" s="0" t="s">
        <v>1064</v>
      </c>
      <c r="D1760" s="0" t="s">
        <v>578</v>
      </c>
      <c r="E1760" s="0" t="s">
        <v>3588</v>
      </c>
      <c r="F1760" s="0" t="n">
        <v>4</v>
      </c>
      <c r="G1760" s="0" t="n">
        <v>0</v>
      </c>
      <c r="H1760" s="0" t="s">
        <v>585</v>
      </c>
      <c r="K1760" s="0" t="s">
        <v>581</v>
      </c>
      <c r="L1760" s="0" t="s">
        <v>3589</v>
      </c>
    </row>
    <row r="1761" customFormat="false" ht="15" hidden="false" customHeight="false" outlineLevel="0" collapsed="false">
      <c r="A1761" s="0" t="s">
        <v>67</v>
      </c>
      <c r="B1761" s="0" t="s">
        <v>266</v>
      </c>
      <c r="C1761" s="0" t="s">
        <v>1064</v>
      </c>
      <c r="D1761" s="0" t="s">
        <v>583</v>
      </c>
      <c r="E1761" s="0" t="s">
        <v>3590</v>
      </c>
      <c r="F1761" s="0" t="n">
        <v>4</v>
      </c>
      <c r="G1761" s="0" t="n">
        <v>0</v>
      </c>
      <c r="H1761" s="0" t="s">
        <v>585</v>
      </c>
      <c r="K1761" s="0" t="s">
        <v>586</v>
      </c>
      <c r="L1761" s="0" t="s">
        <v>3591</v>
      </c>
    </row>
    <row r="1762" customFormat="false" ht="15" hidden="false" customHeight="false" outlineLevel="0" collapsed="false">
      <c r="A1762" s="0" t="s">
        <v>67</v>
      </c>
      <c r="B1762" s="0" t="s">
        <v>266</v>
      </c>
      <c r="C1762" s="0" t="s">
        <v>1064</v>
      </c>
      <c r="D1762" s="0" t="s">
        <v>588</v>
      </c>
      <c r="E1762" s="0" t="s">
        <v>3592</v>
      </c>
      <c r="F1762" s="0" t="n">
        <v>4</v>
      </c>
      <c r="G1762" s="0" t="n">
        <v>0</v>
      </c>
      <c r="H1762" s="0" t="s">
        <v>585</v>
      </c>
      <c r="K1762" s="0" t="s">
        <v>590</v>
      </c>
      <c r="L1762" s="0" t="s">
        <v>3593</v>
      </c>
    </row>
    <row r="1763" customFormat="false" ht="15" hidden="false" customHeight="false" outlineLevel="0" collapsed="false">
      <c r="A1763" s="0" t="s">
        <v>67</v>
      </c>
      <c r="B1763" s="0" t="s">
        <v>266</v>
      </c>
      <c r="C1763" s="0" t="s">
        <v>1064</v>
      </c>
      <c r="D1763" s="0" t="s">
        <v>127</v>
      </c>
      <c r="E1763" s="0" t="s">
        <v>3594</v>
      </c>
      <c r="F1763" s="0" t="n">
        <v>4</v>
      </c>
      <c r="G1763" s="0" t="n">
        <v>0</v>
      </c>
      <c r="H1763" s="0" t="s">
        <v>585</v>
      </c>
      <c r="K1763" s="0" t="s">
        <v>594</v>
      </c>
      <c r="L1763" s="0" t="s">
        <v>3595</v>
      </c>
    </row>
    <row r="1764" customFormat="false" ht="15" hidden="false" customHeight="false" outlineLevel="0" collapsed="false">
      <c r="A1764" s="0" t="s">
        <v>67</v>
      </c>
      <c r="B1764" s="0" t="s">
        <v>266</v>
      </c>
      <c r="C1764" s="0" t="s">
        <v>1064</v>
      </c>
      <c r="D1764" s="0" t="s">
        <v>130</v>
      </c>
      <c r="E1764" s="0" t="s">
        <v>3596</v>
      </c>
      <c r="F1764" s="0" t="n">
        <v>4</v>
      </c>
      <c r="G1764" s="0" t="n">
        <v>0</v>
      </c>
      <c r="H1764" s="0" t="s">
        <v>585</v>
      </c>
      <c r="K1764" s="0" t="s">
        <v>597</v>
      </c>
      <c r="L1764" s="0" t="s">
        <v>3597</v>
      </c>
    </row>
    <row r="1765" customFormat="false" ht="15" hidden="false" customHeight="false" outlineLevel="0" collapsed="false">
      <c r="A1765" s="0" t="s">
        <v>67</v>
      </c>
      <c r="B1765" s="0" t="s">
        <v>266</v>
      </c>
      <c r="C1765" s="0" t="s">
        <v>1064</v>
      </c>
      <c r="D1765" s="0" t="s">
        <v>133</v>
      </c>
      <c r="E1765" s="0" t="s">
        <v>3598</v>
      </c>
      <c r="F1765" s="0" t="n">
        <v>4</v>
      </c>
      <c r="G1765" s="0" t="n">
        <v>0</v>
      </c>
      <c r="H1765" s="0" t="s">
        <v>585</v>
      </c>
      <c r="K1765" s="0" t="s">
        <v>600</v>
      </c>
      <c r="L1765" s="0" t="s">
        <v>3599</v>
      </c>
    </row>
    <row r="1766" customFormat="false" ht="15" hidden="false" customHeight="false" outlineLevel="0" collapsed="false">
      <c r="A1766" s="0" t="s">
        <v>67</v>
      </c>
      <c r="B1766" s="0" t="s">
        <v>266</v>
      </c>
      <c r="C1766" s="0" t="s">
        <v>1064</v>
      </c>
      <c r="D1766" s="0" t="s">
        <v>141</v>
      </c>
      <c r="E1766" s="0" t="s">
        <v>3600</v>
      </c>
      <c r="F1766" s="0" t="n">
        <v>4</v>
      </c>
      <c r="G1766" s="0" t="n">
        <v>1</v>
      </c>
      <c r="H1766" s="0" t="s">
        <v>585</v>
      </c>
      <c r="I1766" s="0" t="s">
        <v>442</v>
      </c>
      <c r="K1766" s="0" t="s">
        <v>604</v>
      </c>
      <c r="L1766" s="0" t="s">
        <v>3601</v>
      </c>
    </row>
    <row r="1767" customFormat="false" ht="15" hidden="false" customHeight="false" outlineLevel="0" collapsed="false">
      <c r="A1767" s="0" t="s">
        <v>67</v>
      </c>
      <c r="B1767" s="0" t="s">
        <v>266</v>
      </c>
      <c r="C1767" s="0" t="s">
        <v>1064</v>
      </c>
      <c r="D1767" s="0" t="s">
        <v>144</v>
      </c>
      <c r="E1767" s="0" t="s">
        <v>3602</v>
      </c>
      <c r="F1767" s="0" t="n">
        <v>4</v>
      </c>
      <c r="G1767" s="0" t="n">
        <v>3</v>
      </c>
      <c r="H1767" s="0" t="s">
        <v>585</v>
      </c>
      <c r="I1767" s="0" t="s">
        <v>442</v>
      </c>
      <c r="K1767" s="0" t="s">
        <v>607</v>
      </c>
      <c r="L1767" s="0" t="s">
        <v>3603</v>
      </c>
    </row>
    <row r="1768" customFormat="false" ht="15" hidden="false" customHeight="false" outlineLevel="0" collapsed="false">
      <c r="A1768" s="0" t="s">
        <v>67</v>
      </c>
      <c r="B1768" s="0" t="s">
        <v>266</v>
      </c>
      <c r="C1768" s="0" t="s">
        <v>1064</v>
      </c>
      <c r="D1768" s="0" t="s">
        <v>147</v>
      </c>
      <c r="E1768" s="0" t="s">
        <v>3604</v>
      </c>
      <c r="F1768" s="0" t="n">
        <v>4</v>
      </c>
      <c r="G1768" s="0" t="n">
        <v>0</v>
      </c>
      <c r="H1768" s="0" t="s">
        <v>585</v>
      </c>
      <c r="K1768" s="0" t="s">
        <v>610</v>
      </c>
      <c r="L1768" s="0" t="s">
        <v>3605</v>
      </c>
    </row>
    <row r="1769" customFormat="false" ht="15" hidden="false" customHeight="false" outlineLevel="0" collapsed="false">
      <c r="A1769" s="0" t="s">
        <v>67</v>
      </c>
      <c r="B1769" s="0" t="s">
        <v>266</v>
      </c>
      <c r="C1769" s="0" t="s">
        <v>1064</v>
      </c>
      <c r="D1769" s="0" t="s">
        <v>150</v>
      </c>
      <c r="E1769" s="0" t="s">
        <v>3606</v>
      </c>
      <c r="F1769" s="0" t="n">
        <v>4</v>
      </c>
      <c r="G1769" s="0" t="n">
        <v>0</v>
      </c>
      <c r="H1769" s="0" t="s">
        <v>585</v>
      </c>
      <c r="K1769" s="0" t="s">
        <v>613</v>
      </c>
      <c r="L1769" s="0" t="s">
        <v>3607</v>
      </c>
    </row>
    <row r="1770" customFormat="false" ht="15" hidden="false" customHeight="false" outlineLevel="0" collapsed="false">
      <c r="A1770" s="0" t="s">
        <v>67</v>
      </c>
      <c r="B1770" s="0" t="s">
        <v>266</v>
      </c>
      <c r="C1770" s="0" t="s">
        <v>1064</v>
      </c>
      <c r="D1770" s="0" t="s">
        <v>153</v>
      </c>
      <c r="E1770" s="0" t="s">
        <v>3608</v>
      </c>
      <c r="F1770" s="0" t="n">
        <v>4</v>
      </c>
      <c r="G1770" s="0" t="n">
        <v>0</v>
      </c>
      <c r="H1770" s="0" t="s">
        <v>585</v>
      </c>
      <c r="K1770" s="0" t="s">
        <v>616</v>
      </c>
      <c r="L1770" s="0" t="s">
        <v>3609</v>
      </c>
    </row>
    <row r="1771" customFormat="false" ht="15" hidden="false" customHeight="false" outlineLevel="0" collapsed="false">
      <c r="A1771" s="0" t="s">
        <v>67</v>
      </c>
      <c r="B1771" s="0" t="s">
        <v>266</v>
      </c>
      <c r="C1771" s="0" t="s">
        <v>1064</v>
      </c>
      <c r="D1771" s="0" t="s">
        <v>156</v>
      </c>
      <c r="E1771" s="0" t="s">
        <v>3610</v>
      </c>
      <c r="F1771" s="0" t="n">
        <v>4</v>
      </c>
      <c r="G1771" s="0" t="n">
        <v>2</v>
      </c>
      <c r="H1771" s="0" t="s">
        <v>585</v>
      </c>
      <c r="I1771" s="0" t="s">
        <v>442</v>
      </c>
      <c r="K1771" s="0" t="s">
        <v>620</v>
      </c>
      <c r="L1771" s="0" t="s">
        <v>3611</v>
      </c>
    </row>
    <row r="1772" customFormat="false" ht="15" hidden="false" customHeight="false" outlineLevel="0" collapsed="false">
      <c r="A1772" s="0" t="s">
        <v>67</v>
      </c>
      <c r="B1772" s="0" t="s">
        <v>266</v>
      </c>
      <c r="C1772" s="0" t="s">
        <v>1089</v>
      </c>
      <c r="D1772" s="0" t="s">
        <v>578</v>
      </c>
      <c r="E1772" s="0" t="s">
        <v>3612</v>
      </c>
      <c r="F1772" s="0" t="n">
        <v>4</v>
      </c>
      <c r="G1772" s="0" t="n">
        <v>0</v>
      </c>
      <c r="H1772" s="0" t="s">
        <v>585</v>
      </c>
      <c r="K1772" s="0" t="s">
        <v>581</v>
      </c>
      <c r="L1772" s="0" t="s">
        <v>3613</v>
      </c>
    </row>
    <row r="1773" customFormat="false" ht="15" hidden="false" customHeight="false" outlineLevel="0" collapsed="false">
      <c r="A1773" s="0" t="s">
        <v>67</v>
      </c>
      <c r="B1773" s="0" t="s">
        <v>266</v>
      </c>
      <c r="C1773" s="0" t="s">
        <v>1089</v>
      </c>
      <c r="D1773" s="0" t="s">
        <v>583</v>
      </c>
      <c r="E1773" s="0" t="s">
        <v>3614</v>
      </c>
      <c r="F1773" s="0" t="n">
        <v>4</v>
      </c>
      <c r="G1773" s="0" t="n">
        <v>0</v>
      </c>
      <c r="H1773" s="0" t="s">
        <v>585</v>
      </c>
      <c r="K1773" s="0" t="s">
        <v>586</v>
      </c>
      <c r="L1773" s="0" t="s">
        <v>3615</v>
      </c>
    </row>
    <row r="1774" customFormat="false" ht="15" hidden="false" customHeight="false" outlineLevel="0" collapsed="false">
      <c r="A1774" s="0" t="s">
        <v>67</v>
      </c>
      <c r="B1774" s="0" t="s">
        <v>266</v>
      </c>
      <c r="C1774" s="0" t="s">
        <v>1089</v>
      </c>
      <c r="D1774" s="0" t="s">
        <v>588</v>
      </c>
      <c r="E1774" s="0" t="s">
        <v>3616</v>
      </c>
      <c r="F1774" s="0" t="n">
        <v>4</v>
      </c>
      <c r="G1774" s="0" t="n">
        <v>0</v>
      </c>
      <c r="H1774" s="0" t="s">
        <v>585</v>
      </c>
      <c r="K1774" s="0" t="s">
        <v>590</v>
      </c>
      <c r="L1774" s="0" t="s">
        <v>3617</v>
      </c>
    </row>
    <row r="1775" customFormat="false" ht="15" hidden="false" customHeight="false" outlineLevel="0" collapsed="false">
      <c r="A1775" s="0" t="s">
        <v>67</v>
      </c>
      <c r="B1775" s="0" t="s">
        <v>266</v>
      </c>
      <c r="C1775" s="0" t="s">
        <v>1089</v>
      </c>
      <c r="D1775" s="0" t="s">
        <v>127</v>
      </c>
      <c r="E1775" s="0" t="s">
        <v>3618</v>
      </c>
      <c r="F1775" s="0" t="n">
        <v>4</v>
      </c>
      <c r="G1775" s="0" t="n">
        <v>0</v>
      </c>
      <c r="H1775" s="0" t="s">
        <v>585</v>
      </c>
      <c r="K1775" s="0" t="s">
        <v>594</v>
      </c>
      <c r="L1775" s="0" t="s">
        <v>3619</v>
      </c>
    </row>
    <row r="1776" customFormat="false" ht="15" hidden="false" customHeight="false" outlineLevel="0" collapsed="false">
      <c r="A1776" s="0" t="s">
        <v>67</v>
      </c>
      <c r="B1776" s="0" t="s">
        <v>266</v>
      </c>
      <c r="C1776" s="0" t="s">
        <v>1089</v>
      </c>
      <c r="D1776" s="0" t="s">
        <v>130</v>
      </c>
      <c r="E1776" s="0" t="s">
        <v>3620</v>
      </c>
      <c r="F1776" s="0" t="n">
        <v>4</v>
      </c>
      <c r="G1776" s="0" t="n">
        <v>0</v>
      </c>
      <c r="H1776" s="0" t="s">
        <v>585</v>
      </c>
      <c r="K1776" s="0" t="s">
        <v>597</v>
      </c>
      <c r="L1776" s="0" t="s">
        <v>3621</v>
      </c>
    </row>
    <row r="1777" customFormat="false" ht="15" hidden="false" customHeight="false" outlineLevel="0" collapsed="false">
      <c r="A1777" s="0" t="s">
        <v>67</v>
      </c>
      <c r="B1777" s="0" t="s">
        <v>266</v>
      </c>
      <c r="C1777" s="0" t="s">
        <v>1089</v>
      </c>
      <c r="D1777" s="0" t="s">
        <v>133</v>
      </c>
      <c r="E1777" s="0" t="s">
        <v>3622</v>
      </c>
      <c r="F1777" s="0" t="n">
        <v>4</v>
      </c>
      <c r="G1777" s="0" t="n">
        <v>0</v>
      </c>
      <c r="H1777" s="0" t="s">
        <v>585</v>
      </c>
      <c r="K1777" s="0" t="s">
        <v>600</v>
      </c>
      <c r="L1777" s="0" t="s">
        <v>3623</v>
      </c>
    </row>
    <row r="1778" customFormat="false" ht="15" hidden="false" customHeight="false" outlineLevel="0" collapsed="false">
      <c r="A1778" s="0" t="s">
        <v>67</v>
      </c>
      <c r="B1778" s="0" t="s">
        <v>266</v>
      </c>
      <c r="C1778" s="0" t="s">
        <v>1089</v>
      </c>
      <c r="D1778" s="0" t="s">
        <v>141</v>
      </c>
      <c r="E1778" s="0" t="s">
        <v>3624</v>
      </c>
      <c r="F1778" s="0" t="n">
        <v>4</v>
      </c>
      <c r="G1778" s="0" t="n">
        <v>0</v>
      </c>
      <c r="H1778" s="0" t="s">
        <v>585</v>
      </c>
      <c r="K1778" s="0" t="s">
        <v>604</v>
      </c>
      <c r="L1778" s="0" t="s">
        <v>3625</v>
      </c>
    </row>
    <row r="1779" customFormat="false" ht="15" hidden="false" customHeight="false" outlineLevel="0" collapsed="false">
      <c r="A1779" s="0" t="s">
        <v>67</v>
      </c>
      <c r="B1779" s="0" t="s">
        <v>266</v>
      </c>
      <c r="C1779" s="0" t="s">
        <v>1089</v>
      </c>
      <c r="D1779" s="0" t="s">
        <v>144</v>
      </c>
      <c r="E1779" s="0" t="s">
        <v>3626</v>
      </c>
      <c r="F1779" s="0" t="n">
        <v>4</v>
      </c>
      <c r="G1779" s="0" t="n">
        <v>0</v>
      </c>
      <c r="H1779" s="0" t="s">
        <v>585</v>
      </c>
      <c r="K1779" s="0" t="s">
        <v>607</v>
      </c>
      <c r="L1779" s="0" t="s">
        <v>3627</v>
      </c>
    </row>
    <row r="1780" customFormat="false" ht="15" hidden="false" customHeight="false" outlineLevel="0" collapsed="false">
      <c r="A1780" s="0" t="s">
        <v>67</v>
      </c>
      <c r="B1780" s="0" t="s">
        <v>266</v>
      </c>
      <c r="C1780" s="0" t="s">
        <v>1089</v>
      </c>
      <c r="D1780" s="0" t="s">
        <v>147</v>
      </c>
      <c r="E1780" s="0" t="s">
        <v>3628</v>
      </c>
      <c r="F1780" s="0" t="n">
        <v>4</v>
      </c>
      <c r="G1780" s="0" t="n">
        <v>0</v>
      </c>
      <c r="H1780" s="0" t="s">
        <v>585</v>
      </c>
      <c r="K1780" s="0" t="s">
        <v>610</v>
      </c>
      <c r="L1780" s="0" t="s">
        <v>3629</v>
      </c>
    </row>
    <row r="1781" customFormat="false" ht="15" hidden="false" customHeight="false" outlineLevel="0" collapsed="false">
      <c r="A1781" s="0" t="s">
        <v>67</v>
      </c>
      <c r="B1781" s="0" t="s">
        <v>266</v>
      </c>
      <c r="C1781" s="0" t="s">
        <v>1089</v>
      </c>
      <c r="D1781" s="0" t="s">
        <v>150</v>
      </c>
      <c r="E1781" s="0" t="s">
        <v>3630</v>
      </c>
      <c r="F1781" s="0" t="n">
        <v>4</v>
      </c>
      <c r="G1781" s="0" t="n">
        <v>0</v>
      </c>
      <c r="H1781" s="0" t="s">
        <v>585</v>
      </c>
      <c r="K1781" s="0" t="s">
        <v>613</v>
      </c>
      <c r="L1781" s="0" t="s">
        <v>3631</v>
      </c>
    </row>
    <row r="1782" customFormat="false" ht="15" hidden="false" customHeight="false" outlineLevel="0" collapsed="false">
      <c r="A1782" s="0" t="s">
        <v>67</v>
      </c>
      <c r="B1782" s="0" t="s">
        <v>266</v>
      </c>
      <c r="C1782" s="0" t="s">
        <v>1089</v>
      </c>
      <c r="D1782" s="0" t="s">
        <v>153</v>
      </c>
      <c r="E1782" s="0" t="s">
        <v>3632</v>
      </c>
      <c r="F1782" s="0" t="n">
        <v>4</v>
      </c>
      <c r="G1782" s="0" t="n">
        <v>3</v>
      </c>
      <c r="H1782" s="0" t="s">
        <v>585</v>
      </c>
      <c r="I1782" s="0" t="s">
        <v>442</v>
      </c>
      <c r="K1782" s="0" t="s">
        <v>616</v>
      </c>
      <c r="L1782" s="0" t="s">
        <v>3633</v>
      </c>
    </row>
    <row r="1783" customFormat="false" ht="15" hidden="false" customHeight="false" outlineLevel="0" collapsed="false">
      <c r="A1783" s="0" t="s">
        <v>67</v>
      </c>
      <c r="B1783" s="0" t="s">
        <v>266</v>
      </c>
      <c r="C1783" s="0" t="s">
        <v>1089</v>
      </c>
      <c r="D1783" s="0" t="s">
        <v>156</v>
      </c>
      <c r="E1783" s="0" t="s">
        <v>3634</v>
      </c>
      <c r="F1783" s="0" t="n">
        <v>4</v>
      </c>
      <c r="G1783" s="0" t="n">
        <v>1</v>
      </c>
      <c r="H1783" s="0" t="s">
        <v>585</v>
      </c>
      <c r="I1783" s="0" t="s">
        <v>444</v>
      </c>
      <c r="K1783" s="0" t="s">
        <v>620</v>
      </c>
      <c r="L1783" s="0" t="s">
        <v>3635</v>
      </c>
    </row>
    <row r="1784" customFormat="false" ht="15" hidden="false" customHeight="false" outlineLevel="0" collapsed="false">
      <c r="A1784" s="0" t="s">
        <v>67</v>
      </c>
      <c r="B1784" s="0" t="s">
        <v>266</v>
      </c>
      <c r="C1784" s="0" t="s">
        <v>1114</v>
      </c>
      <c r="D1784" s="0" t="s">
        <v>578</v>
      </c>
      <c r="E1784" s="0" t="s">
        <v>3636</v>
      </c>
      <c r="F1784" s="0" t="n">
        <v>4</v>
      </c>
      <c r="G1784" s="0" t="n">
        <v>0</v>
      </c>
      <c r="H1784" s="0" t="s">
        <v>585</v>
      </c>
      <c r="K1784" s="0" t="s">
        <v>581</v>
      </c>
      <c r="L1784" s="0" t="s">
        <v>3637</v>
      </c>
    </row>
    <row r="1785" customFormat="false" ht="15" hidden="false" customHeight="false" outlineLevel="0" collapsed="false">
      <c r="A1785" s="0" t="s">
        <v>67</v>
      </c>
      <c r="B1785" s="0" t="s">
        <v>266</v>
      </c>
      <c r="C1785" s="0" t="s">
        <v>1114</v>
      </c>
      <c r="D1785" s="0" t="s">
        <v>583</v>
      </c>
      <c r="E1785" s="0" t="s">
        <v>3638</v>
      </c>
      <c r="F1785" s="0" t="n">
        <v>4</v>
      </c>
      <c r="G1785" s="0" t="n">
        <v>1</v>
      </c>
      <c r="H1785" s="0" t="s">
        <v>585</v>
      </c>
      <c r="I1785" s="0" t="s">
        <v>443</v>
      </c>
      <c r="K1785" s="0" t="s">
        <v>586</v>
      </c>
      <c r="L1785" s="0" t="s">
        <v>3639</v>
      </c>
    </row>
    <row r="1786" customFormat="false" ht="15" hidden="false" customHeight="false" outlineLevel="0" collapsed="false">
      <c r="A1786" s="0" t="s">
        <v>67</v>
      </c>
      <c r="B1786" s="0" t="s">
        <v>266</v>
      </c>
      <c r="C1786" s="0" t="s">
        <v>1114</v>
      </c>
      <c r="D1786" s="0" t="s">
        <v>588</v>
      </c>
      <c r="E1786" s="0" t="s">
        <v>3640</v>
      </c>
      <c r="F1786" s="0" t="n">
        <v>4</v>
      </c>
      <c r="G1786" s="0" t="n">
        <v>0</v>
      </c>
      <c r="H1786" s="0" t="s">
        <v>585</v>
      </c>
      <c r="K1786" s="0" t="s">
        <v>590</v>
      </c>
      <c r="L1786" s="0" t="s">
        <v>3641</v>
      </c>
    </row>
    <row r="1787" customFormat="false" ht="15" hidden="false" customHeight="false" outlineLevel="0" collapsed="false">
      <c r="A1787" s="0" t="s">
        <v>67</v>
      </c>
      <c r="B1787" s="0" t="s">
        <v>266</v>
      </c>
      <c r="C1787" s="0" t="s">
        <v>1114</v>
      </c>
      <c r="D1787" s="0" t="s">
        <v>127</v>
      </c>
      <c r="E1787" s="0" t="s">
        <v>3642</v>
      </c>
      <c r="F1787" s="0" t="n">
        <v>4</v>
      </c>
      <c r="G1787" s="0" t="n">
        <v>0</v>
      </c>
      <c r="H1787" s="0" t="s">
        <v>585</v>
      </c>
      <c r="K1787" s="0" t="s">
        <v>594</v>
      </c>
      <c r="L1787" s="0" t="s">
        <v>3643</v>
      </c>
    </row>
    <row r="1788" customFormat="false" ht="15" hidden="false" customHeight="false" outlineLevel="0" collapsed="false">
      <c r="A1788" s="0" t="s">
        <v>67</v>
      </c>
      <c r="B1788" s="0" t="s">
        <v>266</v>
      </c>
      <c r="C1788" s="0" t="s">
        <v>1114</v>
      </c>
      <c r="D1788" s="0" t="s">
        <v>130</v>
      </c>
      <c r="E1788" s="0" t="s">
        <v>3644</v>
      </c>
      <c r="F1788" s="0" t="n">
        <v>4</v>
      </c>
      <c r="G1788" s="0" t="n">
        <v>0</v>
      </c>
      <c r="H1788" s="0" t="s">
        <v>585</v>
      </c>
      <c r="K1788" s="0" t="s">
        <v>597</v>
      </c>
      <c r="L1788" s="0" t="s">
        <v>3645</v>
      </c>
    </row>
    <row r="1789" customFormat="false" ht="15" hidden="false" customHeight="false" outlineLevel="0" collapsed="false">
      <c r="A1789" s="0" t="s">
        <v>67</v>
      </c>
      <c r="B1789" s="0" t="s">
        <v>266</v>
      </c>
      <c r="C1789" s="0" t="s">
        <v>1114</v>
      </c>
      <c r="D1789" s="0" t="s">
        <v>133</v>
      </c>
      <c r="E1789" s="0" t="s">
        <v>3646</v>
      </c>
      <c r="F1789" s="0" t="n">
        <v>4</v>
      </c>
      <c r="G1789" s="0" t="n">
        <v>0</v>
      </c>
      <c r="H1789" s="0" t="s">
        <v>585</v>
      </c>
      <c r="K1789" s="0" t="s">
        <v>600</v>
      </c>
      <c r="L1789" s="0" t="s">
        <v>3647</v>
      </c>
    </row>
    <row r="1790" customFormat="false" ht="15" hidden="false" customHeight="false" outlineLevel="0" collapsed="false">
      <c r="A1790" s="0" t="s">
        <v>67</v>
      </c>
      <c r="B1790" s="0" t="s">
        <v>266</v>
      </c>
      <c r="C1790" s="0" t="s">
        <v>1114</v>
      </c>
      <c r="D1790" s="0" t="s">
        <v>141</v>
      </c>
      <c r="E1790" s="0" t="s">
        <v>3648</v>
      </c>
      <c r="F1790" s="0" t="n">
        <v>4</v>
      </c>
      <c r="G1790" s="0" t="n">
        <v>0</v>
      </c>
      <c r="H1790" s="0" t="s">
        <v>585</v>
      </c>
      <c r="K1790" s="0" t="s">
        <v>604</v>
      </c>
      <c r="L1790" s="0" t="s">
        <v>3649</v>
      </c>
    </row>
    <row r="1791" customFormat="false" ht="15" hidden="false" customHeight="false" outlineLevel="0" collapsed="false">
      <c r="A1791" s="0" t="s">
        <v>67</v>
      </c>
      <c r="B1791" s="0" t="s">
        <v>266</v>
      </c>
      <c r="C1791" s="0" t="s">
        <v>1114</v>
      </c>
      <c r="D1791" s="0" t="s">
        <v>144</v>
      </c>
      <c r="E1791" s="0" t="s">
        <v>3650</v>
      </c>
      <c r="F1791" s="0" t="n">
        <v>4</v>
      </c>
      <c r="G1791" s="0" t="n">
        <v>2</v>
      </c>
      <c r="H1791" s="0" t="s">
        <v>585</v>
      </c>
      <c r="I1791" s="0" t="s">
        <v>444</v>
      </c>
      <c r="K1791" s="0" t="s">
        <v>607</v>
      </c>
      <c r="L1791" s="0" t="s">
        <v>3651</v>
      </c>
    </row>
    <row r="1792" customFormat="false" ht="15" hidden="false" customHeight="false" outlineLevel="0" collapsed="false">
      <c r="A1792" s="0" t="s">
        <v>67</v>
      </c>
      <c r="B1792" s="0" t="s">
        <v>266</v>
      </c>
      <c r="C1792" s="0" t="s">
        <v>1114</v>
      </c>
      <c r="D1792" s="0" t="s">
        <v>147</v>
      </c>
      <c r="E1792" s="0" t="s">
        <v>3652</v>
      </c>
      <c r="F1792" s="0" t="n">
        <v>4</v>
      </c>
      <c r="G1792" s="0" t="n">
        <v>3</v>
      </c>
      <c r="H1792" s="0" t="s">
        <v>585</v>
      </c>
      <c r="I1792" s="0" t="s">
        <v>444</v>
      </c>
      <c r="K1792" s="0" t="s">
        <v>610</v>
      </c>
      <c r="L1792" s="0" t="s">
        <v>3653</v>
      </c>
    </row>
    <row r="1793" customFormat="false" ht="15" hidden="false" customHeight="false" outlineLevel="0" collapsed="false">
      <c r="A1793" s="0" t="s">
        <v>67</v>
      </c>
      <c r="B1793" s="0" t="s">
        <v>266</v>
      </c>
      <c r="C1793" s="0" t="s">
        <v>1114</v>
      </c>
      <c r="D1793" s="0" t="s">
        <v>150</v>
      </c>
      <c r="E1793" s="0" t="s">
        <v>3654</v>
      </c>
      <c r="F1793" s="0" t="n">
        <v>4</v>
      </c>
      <c r="G1793" s="0" t="n">
        <v>0</v>
      </c>
      <c r="H1793" s="0" t="s">
        <v>585</v>
      </c>
      <c r="K1793" s="0" t="s">
        <v>613</v>
      </c>
      <c r="L1793" s="0" t="s">
        <v>3655</v>
      </c>
    </row>
    <row r="1794" customFormat="false" ht="15" hidden="false" customHeight="false" outlineLevel="0" collapsed="false">
      <c r="A1794" s="0" t="s">
        <v>67</v>
      </c>
      <c r="B1794" s="0" t="s">
        <v>266</v>
      </c>
      <c r="C1794" s="0" t="s">
        <v>1114</v>
      </c>
      <c r="D1794" s="0" t="s">
        <v>153</v>
      </c>
      <c r="E1794" s="0" t="s">
        <v>3656</v>
      </c>
      <c r="F1794" s="0" t="n">
        <v>4</v>
      </c>
      <c r="G1794" s="0" t="n">
        <v>1</v>
      </c>
      <c r="H1794" s="0" t="s">
        <v>585</v>
      </c>
      <c r="I1794" s="0" t="s">
        <v>443</v>
      </c>
      <c r="K1794" s="0" t="s">
        <v>616</v>
      </c>
      <c r="L1794" s="0" t="s">
        <v>3657</v>
      </c>
    </row>
    <row r="1795" customFormat="false" ht="15" hidden="false" customHeight="false" outlineLevel="0" collapsed="false">
      <c r="A1795" s="0" t="s">
        <v>67</v>
      </c>
      <c r="B1795" s="0" t="s">
        <v>266</v>
      </c>
      <c r="C1795" s="0" t="s">
        <v>1114</v>
      </c>
      <c r="D1795" s="0" t="s">
        <v>156</v>
      </c>
      <c r="E1795" s="0" t="s">
        <v>3658</v>
      </c>
      <c r="F1795" s="0" t="n">
        <v>4</v>
      </c>
      <c r="G1795" s="0" t="n">
        <v>0</v>
      </c>
      <c r="H1795" s="0" t="s">
        <v>585</v>
      </c>
      <c r="K1795" s="0" t="s">
        <v>620</v>
      </c>
      <c r="L1795" s="0" t="s">
        <v>3659</v>
      </c>
    </row>
    <row r="1796" customFormat="false" ht="15" hidden="false" customHeight="false" outlineLevel="0" collapsed="false">
      <c r="A1796" s="0" t="s">
        <v>67</v>
      </c>
      <c r="B1796" s="0" t="s">
        <v>266</v>
      </c>
      <c r="C1796" s="0" t="s">
        <v>1139</v>
      </c>
      <c r="D1796" s="0" t="s">
        <v>578</v>
      </c>
      <c r="E1796" s="0" t="s">
        <v>3660</v>
      </c>
      <c r="F1796" s="0" t="n">
        <v>4</v>
      </c>
      <c r="G1796" s="0" t="n">
        <v>0</v>
      </c>
      <c r="H1796" s="0" t="s">
        <v>585</v>
      </c>
      <c r="K1796" s="0" t="s">
        <v>581</v>
      </c>
      <c r="L1796" s="0" t="s">
        <v>3661</v>
      </c>
    </row>
    <row r="1797" customFormat="false" ht="15" hidden="false" customHeight="false" outlineLevel="0" collapsed="false">
      <c r="A1797" s="0" t="s">
        <v>67</v>
      </c>
      <c r="B1797" s="0" t="s">
        <v>266</v>
      </c>
      <c r="C1797" s="0" t="s">
        <v>1139</v>
      </c>
      <c r="D1797" s="0" t="s">
        <v>583</v>
      </c>
      <c r="E1797" s="0" t="s">
        <v>3662</v>
      </c>
      <c r="F1797" s="0" t="n">
        <v>4</v>
      </c>
      <c r="G1797" s="0" t="n">
        <v>0</v>
      </c>
      <c r="H1797" s="0" t="s">
        <v>585</v>
      </c>
      <c r="K1797" s="0" t="s">
        <v>586</v>
      </c>
      <c r="L1797" s="0" t="s">
        <v>3663</v>
      </c>
    </row>
    <row r="1798" customFormat="false" ht="15" hidden="false" customHeight="false" outlineLevel="0" collapsed="false">
      <c r="A1798" s="0" t="s">
        <v>67</v>
      </c>
      <c r="B1798" s="0" t="s">
        <v>266</v>
      </c>
      <c r="C1798" s="0" t="s">
        <v>1139</v>
      </c>
      <c r="D1798" s="0" t="s">
        <v>588</v>
      </c>
      <c r="E1798" s="0" t="s">
        <v>3664</v>
      </c>
      <c r="F1798" s="0" t="n">
        <v>4</v>
      </c>
      <c r="G1798" s="0" t="n">
        <v>2</v>
      </c>
      <c r="H1798" s="0" t="s">
        <v>585</v>
      </c>
      <c r="I1798" s="0" t="s">
        <v>444</v>
      </c>
      <c r="K1798" s="0" t="s">
        <v>590</v>
      </c>
      <c r="L1798" s="0" t="s">
        <v>3665</v>
      </c>
    </row>
    <row r="1799" customFormat="false" ht="15" hidden="false" customHeight="false" outlineLevel="0" collapsed="false">
      <c r="A1799" s="0" t="s">
        <v>67</v>
      </c>
      <c r="B1799" s="0" t="s">
        <v>266</v>
      </c>
      <c r="C1799" s="0" t="s">
        <v>1139</v>
      </c>
      <c r="D1799" s="0" t="s">
        <v>127</v>
      </c>
      <c r="E1799" s="0" t="s">
        <v>3666</v>
      </c>
      <c r="F1799" s="0" t="n">
        <v>4</v>
      </c>
      <c r="G1799" s="0" t="n">
        <v>2</v>
      </c>
      <c r="H1799" s="0" t="s">
        <v>585</v>
      </c>
      <c r="I1799" s="0" t="s">
        <v>444</v>
      </c>
      <c r="K1799" s="0" t="s">
        <v>594</v>
      </c>
      <c r="L1799" s="0" t="s">
        <v>3667</v>
      </c>
    </row>
    <row r="1800" customFormat="false" ht="15" hidden="false" customHeight="false" outlineLevel="0" collapsed="false">
      <c r="A1800" s="0" t="s">
        <v>67</v>
      </c>
      <c r="B1800" s="0" t="s">
        <v>266</v>
      </c>
      <c r="C1800" s="0" t="s">
        <v>1139</v>
      </c>
      <c r="D1800" s="0" t="s">
        <v>130</v>
      </c>
      <c r="E1800" s="0" t="s">
        <v>3668</v>
      </c>
      <c r="F1800" s="0" t="n">
        <v>4</v>
      </c>
      <c r="G1800" s="0" t="n">
        <v>1</v>
      </c>
      <c r="H1800" s="0" t="s">
        <v>585</v>
      </c>
      <c r="I1800" s="0" t="s">
        <v>443</v>
      </c>
      <c r="K1800" s="0" t="s">
        <v>597</v>
      </c>
      <c r="L1800" s="0" t="s">
        <v>3669</v>
      </c>
    </row>
    <row r="1801" customFormat="false" ht="15" hidden="false" customHeight="false" outlineLevel="0" collapsed="false">
      <c r="A1801" s="0" t="s">
        <v>67</v>
      </c>
      <c r="B1801" s="0" t="s">
        <v>266</v>
      </c>
      <c r="C1801" s="0" t="s">
        <v>1139</v>
      </c>
      <c r="D1801" s="0" t="s">
        <v>133</v>
      </c>
      <c r="E1801" s="0" t="s">
        <v>3670</v>
      </c>
      <c r="F1801" s="0" t="n">
        <v>4</v>
      </c>
      <c r="G1801" s="0" t="n">
        <v>0</v>
      </c>
      <c r="H1801" s="0" t="s">
        <v>585</v>
      </c>
      <c r="K1801" s="0" t="s">
        <v>600</v>
      </c>
      <c r="L1801" s="0" t="s">
        <v>3671</v>
      </c>
    </row>
    <row r="1802" customFormat="false" ht="15" hidden="false" customHeight="false" outlineLevel="0" collapsed="false">
      <c r="A1802" s="0" t="s">
        <v>67</v>
      </c>
      <c r="B1802" s="0" t="s">
        <v>266</v>
      </c>
      <c r="C1802" s="0" t="s">
        <v>1139</v>
      </c>
      <c r="D1802" s="0" t="s">
        <v>141</v>
      </c>
      <c r="E1802" s="0" t="s">
        <v>3672</v>
      </c>
      <c r="F1802" s="0" t="n">
        <v>4</v>
      </c>
      <c r="G1802" s="0" t="n">
        <v>0</v>
      </c>
      <c r="H1802" s="0" t="s">
        <v>585</v>
      </c>
      <c r="K1802" s="0" t="s">
        <v>604</v>
      </c>
      <c r="L1802" s="0" t="s">
        <v>3673</v>
      </c>
    </row>
    <row r="1803" customFormat="false" ht="15" hidden="false" customHeight="false" outlineLevel="0" collapsed="false">
      <c r="A1803" s="0" t="s">
        <v>67</v>
      </c>
      <c r="B1803" s="0" t="s">
        <v>266</v>
      </c>
      <c r="C1803" s="0" t="s">
        <v>1139</v>
      </c>
      <c r="D1803" s="0" t="s">
        <v>144</v>
      </c>
      <c r="E1803" s="0" t="s">
        <v>3674</v>
      </c>
      <c r="F1803" s="0" t="n">
        <v>4</v>
      </c>
      <c r="G1803" s="0" t="n">
        <v>2</v>
      </c>
      <c r="H1803" s="0" t="s">
        <v>585</v>
      </c>
      <c r="I1803" s="0" t="s">
        <v>442</v>
      </c>
      <c r="K1803" s="0" t="s">
        <v>607</v>
      </c>
      <c r="L1803" s="0" t="s">
        <v>3675</v>
      </c>
    </row>
    <row r="1804" customFormat="false" ht="15" hidden="false" customHeight="false" outlineLevel="0" collapsed="false">
      <c r="A1804" s="0" t="s">
        <v>67</v>
      </c>
      <c r="B1804" s="0" t="s">
        <v>266</v>
      </c>
      <c r="C1804" s="0" t="s">
        <v>1139</v>
      </c>
      <c r="D1804" s="0" t="s">
        <v>147</v>
      </c>
      <c r="E1804" s="0" t="s">
        <v>3676</v>
      </c>
      <c r="F1804" s="0" t="n">
        <v>4</v>
      </c>
      <c r="G1804" s="0" t="n">
        <v>1</v>
      </c>
      <c r="H1804" s="0" t="s">
        <v>585</v>
      </c>
      <c r="I1804" s="0" t="s">
        <v>443</v>
      </c>
      <c r="K1804" s="0" t="s">
        <v>610</v>
      </c>
      <c r="L1804" s="0" t="s">
        <v>3677</v>
      </c>
    </row>
    <row r="1805" customFormat="false" ht="15" hidden="false" customHeight="false" outlineLevel="0" collapsed="false">
      <c r="A1805" s="0" t="s">
        <v>67</v>
      </c>
      <c r="B1805" s="0" t="s">
        <v>266</v>
      </c>
      <c r="C1805" s="0" t="s">
        <v>1139</v>
      </c>
      <c r="D1805" s="0" t="s">
        <v>150</v>
      </c>
      <c r="E1805" s="0" t="s">
        <v>3678</v>
      </c>
      <c r="F1805" s="0" t="n">
        <v>4</v>
      </c>
      <c r="G1805" s="0" t="n">
        <v>1</v>
      </c>
      <c r="H1805" s="0" t="s">
        <v>585</v>
      </c>
      <c r="I1805" s="0" t="s">
        <v>444</v>
      </c>
      <c r="K1805" s="0" t="s">
        <v>613</v>
      </c>
      <c r="L1805" s="0" t="s">
        <v>3679</v>
      </c>
    </row>
    <row r="1806" customFormat="false" ht="15" hidden="false" customHeight="false" outlineLevel="0" collapsed="false">
      <c r="A1806" s="0" t="s">
        <v>67</v>
      </c>
      <c r="B1806" s="0" t="s">
        <v>266</v>
      </c>
      <c r="C1806" s="0" t="s">
        <v>1139</v>
      </c>
      <c r="D1806" s="0" t="s">
        <v>153</v>
      </c>
      <c r="E1806" s="0" t="s">
        <v>3680</v>
      </c>
      <c r="F1806" s="0" t="n">
        <v>4</v>
      </c>
      <c r="G1806" s="0" t="n">
        <v>0</v>
      </c>
      <c r="H1806" s="0" t="s">
        <v>585</v>
      </c>
      <c r="K1806" s="0" t="s">
        <v>616</v>
      </c>
      <c r="L1806" s="0" t="s">
        <v>3681</v>
      </c>
    </row>
    <row r="1807" customFormat="false" ht="15" hidden="false" customHeight="false" outlineLevel="0" collapsed="false">
      <c r="A1807" s="0" t="s">
        <v>67</v>
      </c>
      <c r="B1807" s="0" t="s">
        <v>266</v>
      </c>
      <c r="C1807" s="0" t="s">
        <v>1139</v>
      </c>
      <c r="D1807" s="0" t="s">
        <v>156</v>
      </c>
      <c r="E1807" s="0" t="s">
        <v>3682</v>
      </c>
      <c r="F1807" s="0" t="n">
        <v>4</v>
      </c>
      <c r="G1807" s="0" t="n">
        <v>0</v>
      </c>
      <c r="H1807" s="0" t="s">
        <v>585</v>
      </c>
      <c r="K1807" s="0" t="s">
        <v>620</v>
      </c>
      <c r="L1807" s="0" t="s">
        <v>3683</v>
      </c>
    </row>
    <row r="1808" customFormat="false" ht="15" hidden="false" customHeight="false" outlineLevel="0" collapsed="false">
      <c r="A1808" s="0" t="s">
        <v>67</v>
      </c>
      <c r="B1808" s="0" t="s">
        <v>266</v>
      </c>
      <c r="C1808" s="0" t="s">
        <v>1164</v>
      </c>
      <c r="D1808" s="0" t="s">
        <v>578</v>
      </c>
      <c r="E1808" s="0" t="s">
        <v>2209</v>
      </c>
      <c r="F1808" s="0" t="n">
        <v>4</v>
      </c>
      <c r="G1808" s="0" t="n">
        <v>0</v>
      </c>
      <c r="H1808" s="0" t="s">
        <v>585</v>
      </c>
      <c r="K1808" s="0" t="s">
        <v>581</v>
      </c>
      <c r="L1808" s="0" t="s">
        <v>3684</v>
      </c>
    </row>
    <row r="1809" customFormat="false" ht="15" hidden="false" customHeight="false" outlineLevel="0" collapsed="false">
      <c r="A1809" s="0" t="s">
        <v>67</v>
      </c>
      <c r="B1809" s="0" t="s">
        <v>266</v>
      </c>
      <c r="C1809" s="0" t="s">
        <v>1164</v>
      </c>
      <c r="D1809" s="0" t="s">
        <v>583</v>
      </c>
      <c r="E1809" s="0" t="s">
        <v>2211</v>
      </c>
      <c r="F1809" s="0" t="n">
        <v>4</v>
      </c>
      <c r="G1809" s="0" t="n">
        <v>0</v>
      </c>
      <c r="H1809" s="0" t="s">
        <v>585</v>
      </c>
      <c r="K1809" s="0" t="s">
        <v>586</v>
      </c>
      <c r="L1809" s="0" t="s">
        <v>3685</v>
      </c>
    </row>
    <row r="1810" customFormat="false" ht="15" hidden="false" customHeight="false" outlineLevel="0" collapsed="false">
      <c r="A1810" s="0" t="s">
        <v>67</v>
      </c>
      <c r="B1810" s="0" t="s">
        <v>266</v>
      </c>
      <c r="C1810" s="0" t="s">
        <v>1164</v>
      </c>
      <c r="D1810" s="0" t="s">
        <v>588</v>
      </c>
      <c r="E1810" s="0" t="s">
        <v>2213</v>
      </c>
      <c r="F1810" s="0" t="n">
        <v>4</v>
      </c>
      <c r="G1810" s="0" t="n">
        <v>0</v>
      </c>
      <c r="H1810" s="0" t="s">
        <v>585</v>
      </c>
      <c r="K1810" s="0" t="s">
        <v>590</v>
      </c>
      <c r="L1810" s="0" t="s">
        <v>3686</v>
      </c>
    </row>
    <row r="1811" customFormat="false" ht="15" hidden="false" customHeight="false" outlineLevel="0" collapsed="false">
      <c r="A1811" s="0" t="s">
        <v>67</v>
      </c>
      <c r="B1811" s="0" t="s">
        <v>266</v>
      </c>
      <c r="C1811" s="0" t="s">
        <v>1164</v>
      </c>
      <c r="D1811" s="0" t="s">
        <v>127</v>
      </c>
      <c r="E1811" s="0" t="s">
        <v>2215</v>
      </c>
      <c r="F1811" s="0" t="n">
        <v>4</v>
      </c>
      <c r="G1811" s="0" t="n">
        <v>0</v>
      </c>
      <c r="H1811" s="0" t="s">
        <v>585</v>
      </c>
      <c r="K1811" s="0" t="s">
        <v>594</v>
      </c>
      <c r="L1811" s="0" t="s">
        <v>3687</v>
      </c>
    </row>
    <row r="1812" customFormat="false" ht="15" hidden="false" customHeight="false" outlineLevel="0" collapsed="false">
      <c r="A1812" s="0" t="s">
        <v>67</v>
      </c>
      <c r="B1812" s="0" t="s">
        <v>266</v>
      </c>
      <c r="C1812" s="0" t="s">
        <v>1164</v>
      </c>
      <c r="D1812" s="0" t="s">
        <v>130</v>
      </c>
      <c r="E1812" s="0" t="s">
        <v>2217</v>
      </c>
      <c r="F1812" s="0" t="n">
        <v>4</v>
      </c>
      <c r="G1812" s="0" t="n">
        <v>0</v>
      </c>
      <c r="H1812" s="0" t="s">
        <v>585</v>
      </c>
      <c r="K1812" s="0" t="s">
        <v>597</v>
      </c>
      <c r="L1812" s="0" t="s">
        <v>3688</v>
      </c>
    </row>
    <row r="1813" customFormat="false" ht="15" hidden="false" customHeight="false" outlineLevel="0" collapsed="false">
      <c r="A1813" s="0" t="s">
        <v>67</v>
      </c>
      <c r="B1813" s="0" t="s">
        <v>266</v>
      </c>
      <c r="C1813" s="0" t="s">
        <v>1164</v>
      </c>
      <c r="D1813" s="0" t="s">
        <v>133</v>
      </c>
      <c r="E1813" s="0" t="s">
        <v>2219</v>
      </c>
      <c r="F1813" s="0" t="n">
        <v>4</v>
      </c>
      <c r="G1813" s="0" t="n">
        <v>0</v>
      </c>
      <c r="H1813" s="0" t="s">
        <v>585</v>
      </c>
      <c r="K1813" s="0" t="s">
        <v>600</v>
      </c>
      <c r="L1813" s="0" t="s">
        <v>3689</v>
      </c>
    </row>
    <row r="1814" customFormat="false" ht="15" hidden="false" customHeight="false" outlineLevel="0" collapsed="false">
      <c r="A1814" s="0" t="s">
        <v>67</v>
      </c>
      <c r="B1814" s="0" t="s">
        <v>266</v>
      </c>
      <c r="C1814" s="0" t="s">
        <v>1164</v>
      </c>
      <c r="D1814" s="0" t="s">
        <v>141</v>
      </c>
      <c r="E1814" s="0" t="s">
        <v>2221</v>
      </c>
      <c r="F1814" s="0" t="n">
        <v>4</v>
      </c>
      <c r="G1814" s="0" t="n">
        <v>0</v>
      </c>
      <c r="H1814" s="0" t="s">
        <v>585</v>
      </c>
      <c r="K1814" s="0" t="s">
        <v>604</v>
      </c>
      <c r="L1814" s="0" t="s">
        <v>3690</v>
      </c>
    </row>
    <row r="1815" customFormat="false" ht="15" hidden="false" customHeight="false" outlineLevel="0" collapsed="false">
      <c r="A1815" s="0" t="s">
        <v>67</v>
      </c>
      <c r="B1815" s="0" t="s">
        <v>266</v>
      </c>
      <c r="C1815" s="0" t="s">
        <v>1164</v>
      </c>
      <c r="D1815" s="0" t="s">
        <v>144</v>
      </c>
      <c r="E1815" s="0" t="s">
        <v>2223</v>
      </c>
      <c r="F1815" s="0" t="n">
        <v>4</v>
      </c>
      <c r="G1815" s="0" t="n">
        <v>0</v>
      </c>
      <c r="H1815" s="0" t="s">
        <v>585</v>
      </c>
      <c r="K1815" s="0" t="s">
        <v>607</v>
      </c>
      <c r="L1815" s="0" t="s">
        <v>3691</v>
      </c>
    </row>
    <row r="1816" customFormat="false" ht="15" hidden="false" customHeight="false" outlineLevel="0" collapsed="false">
      <c r="A1816" s="0" t="s">
        <v>67</v>
      </c>
      <c r="B1816" s="0" t="s">
        <v>266</v>
      </c>
      <c r="C1816" s="0" t="s">
        <v>1164</v>
      </c>
      <c r="D1816" s="0" t="s">
        <v>147</v>
      </c>
      <c r="E1816" s="0" t="s">
        <v>2225</v>
      </c>
      <c r="F1816" s="0" t="n">
        <v>4</v>
      </c>
      <c r="G1816" s="0" t="n">
        <v>0</v>
      </c>
      <c r="H1816" s="0" t="s">
        <v>585</v>
      </c>
      <c r="K1816" s="0" t="s">
        <v>610</v>
      </c>
      <c r="L1816" s="0" t="s">
        <v>3692</v>
      </c>
    </row>
    <row r="1817" customFormat="false" ht="15" hidden="false" customHeight="false" outlineLevel="0" collapsed="false">
      <c r="A1817" s="0" t="s">
        <v>67</v>
      </c>
      <c r="B1817" s="0" t="s">
        <v>266</v>
      </c>
      <c r="C1817" s="0" t="s">
        <v>1164</v>
      </c>
      <c r="D1817" s="0" t="s">
        <v>150</v>
      </c>
      <c r="E1817" s="0" t="s">
        <v>2227</v>
      </c>
      <c r="F1817" s="0" t="n">
        <v>4</v>
      </c>
      <c r="G1817" s="0" t="n">
        <v>0</v>
      </c>
      <c r="H1817" s="0" t="s">
        <v>585</v>
      </c>
      <c r="K1817" s="0" t="s">
        <v>613</v>
      </c>
      <c r="L1817" s="0" t="s">
        <v>3693</v>
      </c>
    </row>
    <row r="1818" customFormat="false" ht="15" hidden="false" customHeight="false" outlineLevel="0" collapsed="false">
      <c r="A1818" s="0" t="s">
        <v>67</v>
      </c>
      <c r="B1818" s="0" t="s">
        <v>266</v>
      </c>
      <c r="C1818" s="0" t="s">
        <v>1164</v>
      </c>
      <c r="D1818" s="0" t="s">
        <v>153</v>
      </c>
      <c r="E1818" s="0" t="s">
        <v>2229</v>
      </c>
      <c r="F1818" s="0" t="n">
        <v>4</v>
      </c>
      <c r="G1818" s="0" t="n">
        <v>0</v>
      </c>
      <c r="H1818" s="0" t="s">
        <v>585</v>
      </c>
      <c r="K1818" s="0" t="s">
        <v>616</v>
      </c>
      <c r="L1818" s="0" t="s">
        <v>3694</v>
      </c>
    </row>
    <row r="1819" customFormat="false" ht="15" hidden="false" customHeight="false" outlineLevel="0" collapsed="false">
      <c r="A1819" s="0" t="s">
        <v>67</v>
      </c>
      <c r="B1819" s="0" t="s">
        <v>266</v>
      </c>
      <c r="C1819" s="0" t="s">
        <v>1164</v>
      </c>
      <c r="D1819" s="0" t="s">
        <v>156</v>
      </c>
      <c r="E1819" s="0" t="s">
        <v>2231</v>
      </c>
      <c r="F1819" s="0" t="n">
        <v>4</v>
      </c>
      <c r="G1819" s="0" t="n">
        <v>0</v>
      </c>
      <c r="H1819" s="0" t="s">
        <v>585</v>
      </c>
      <c r="K1819" s="0" t="s">
        <v>620</v>
      </c>
      <c r="L1819" s="0" t="s">
        <v>3695</v>
      </c>
    </row>
    <row r="1820" customFormat="false" ht="15" hidden="false" customHeight="false" outlineLevel="0" collapsed="false">
      <c r="A1820" s="0" t="s">
        <v>67</v>
      </c>
      <c r="B1820" s="0" t="s">
        <v>266</v>
      </c>
      <c r="C1820" s="0" t="s">
        <v>1189</v>
      </c>
      <c r="D1820" s="0" t="s">
        <v>578</v>
      </c>
      <c r="E1820" s="0" t="s">
        <v>2233</v>
      </c>
      <c r="F1820" s="0" t="n">
        <v>4</v>
      </c>
      <c r="G1820" s="0" t="n">
        <v>0</v>
      </c>
      <c r="H1820" s="0" t="s">
        <v>585</v>
      </c>
      <c r="K1820" s="0" t="s">
        <v>581</v>
      </c>
      <c r="L1820" s="0" t="s">
        <v>3696</v>
      </c>
    </row>
    <row r="1821" customFormat="false" ht="15" hidden="false" customHeight="false" outlineLevel="0" collapsed="false">
      <c r="A1821" s="0" t="s">
        <v>67</v>
      </c>
      <c r="B1821" s="0" t="s">
        <v>266</v>
      </c>
      <c r="C1821" s="0" t="s">
        <v>1189</v>
      </c>
      <c r="D1821" s="0" t="s">
        <v>583</v>
      </c>
      <c r="E1821" s="0" t="s">
        <v>2235</v>
      </c>
      <c r="F1821" s="0" t="n">
        <v>4</v>
      </c>
      <c r="G1821" s="0" t="n">
        <v>0</v>
      </c>
      <c r="H1821" s="0" t="s">
        <v>585</v>
      </c>
      <c r="K1821" s="0" t="s">
        <v>586</v>
      </c>
      <c r="L1821" s="0" t="s">
        <v>3697</v>
      </c>
    </row>
    <row r="1822" customFormat="false" ht="15" hidden="false" customHeight="false" outlineLevel="0" collapsed="false">
      <c r="A1822" s="0" t="s">
        <v>67</v>
      </c>
      <c r="B1822" s="0" t="s">
        <v>266</v>
      </c>
      <c r="C1822" s="0" t="s">
        <v>1189</v>
      </c>
      <c r="D1822" s="0" t="s">
        <v>588</v>
      </c>
      <c r="E1822" s="0" t="s">
        <v>2237</v>
      </c>
      <c r="F1822" s="0" t="n">
        <v>4</v>
      </c>
      <c r="G1822" s="0" t="n">
        <v>0</v>
      </c>
      <c r="H1822" s="0" t="s">
        <v>585</v>
      </c>
      <c r="K1822" s="0" t="s">
        <v>590</v>
      </c>
      <c r="L1822" s="0" t="s">
        <v>3698</v>
      </c>
    </row>
    <row r="1823" customFormat="false" ht="15" hidden="false" customHeight="false" outlineLevel="0" collapsed="false">
      <c r="A1823" s="0" t="s">
        <v>67</v>
      </c>
      <c r="B1823" s="0" t="s">
        <v>266</v>
      </c>
      <c r="C1823" s="0" t="s">
        <v>1189</v>
      </c>
      <c r="D1823" s="0" t="s">
        <v>127</v>
      </c>
      <c r="E1823" s="0" t="s">
        <v>2239</v>
      </c>
      <c r="F1823" s="0" t="n">
        <v>4</v>
      </c>
      <c r="G1823" s="0" t="n">
        <v>0</v>
      </c>
      <c r="H1823" s="0" t="s">
        <v>585</v>
      </c>
      <c r="K1823" s="0" t="s">
        <v>594</v>
      </c>
      <c r="L1823" s="0" t="s">
        <v>3699</v>
      </c>
    </row>
    <row r="1824" customFormat="false" ht="15" hidden="false" customHeight="false" outlineLevel="0" collapsed="false">
      <c r="A1824" s="0" t="s">
        <v>67</v>
      </c>
      <c r="B1824" s="0" t="s">
        <v>266</v>
      </c>
      <c r="C1824" s="0" t="s">
        <v>1189</v>
      </c>
      <c r="D1824" s="0" t="s">
        <v>130</v>
      </c>
      <c r="E1824" s="0" t="s">
        <v>2241</v>
      </c>
      <c r="F1824" s="0" t="n">
        <v>4</v>
      </c>
      <c r="G1824" s="0" t="n">
        <v>0</v>
      </c>
      <c r="H1824" s="0" t="s">
        <v>585</v>
      </c>
      <c r="K1824" s="0" t="s">
        <v>597</v>
      </c>
      <c r="L1824" s="0" t="s">
        <v>3700</v>
      </c>
    </row>
    <row r="1825" customFormat="false" ht="15" hidden="false" customHeight="false" outlineLevel="0" collapsed="false">
      <c r="A1825" s="0" t="s">
        <v>67</v>
      </c>
      <c r="B1825" s="0" t="s">
        <v>266</v>
      </c>
      <c r="C1825" s="0" t="s">
        <v>1189</v>
      </c>
      <c r="D1825" s="0" t="s">
        <v>133</v>
      </c>
      <c r="E1825" s="0" t="s">
        <v>2243</v>
      </c>
      <c r="F1825" s="0" t="n">
        <v>4</v>
      </c>
      <c r="G1825" s="0" t="n">
        <v>0</v>
      </c>
      <c r="H1825" s="0" t="s">
        <v>585</v>
      </c>
      <c r="K1825" s="0" t="s">
        <v>600</v>
      </c>
      <c r="L1825" s="0" t="s">
        <v>3701</v>
      </c>
    </row>
    <row r="1826" customFormat="false" ht="15" hidden="false" customHeight="false" outlineLevel="0" collapsed="false">
      <c r="A1826" s="0" t="s">
        <v>67</v>
      </c>
      <c r="B1826" s="0" t="s">
        <v>266</v>
      </c>
      <c r="C1826" s="0" t="s">
        <v>1189</v>
      </c>
      <c r="D1826" s="0" t="s">
        <v>141</v>
      </c>
      <c r="E1826" s="0" t="s">
        <v>2245</v>
      </c>
      <c r="F1826" s="0" t="n">
        <v>4</v>
      </c>
      <c r="G1826" s="0" t="n">
        <v>0</v>
      </c>
      <c r="H1826" s="0" t="s">
        <v>585</v>
      </c>
      <c r="K1826" s="0" t="s">
        <v>604</v>
      </c>
      <c r="L1826" s="0" t="s">
        <v>3702</v>
      </c>
    </row>
    <row r="1827" customFormat="false" ht="15" hidden="false" customHeight="false" outlineLevel="0" collapsed="false">
      <c r="A1827" s="0" t="s">
        <v>67</v>
      </c>
      <c r="B1827" s="0" t="s">
        <v>266</v>
      </c>
      <c r="C1827" s="0" t="s">
        <v>1189</v>
      </c>
      <c r="D1827" s="0" t="s">
        <v>144</v>
      </c>
      <c r="E1827" s="0" t="s">
        <v>2247</v>
      </c>
      <c r="F1827" s="0" t="n">
        <v>4</v>
      </c>
      <c r="G1827" s="0" t="n">
        <v>0</v>
      </c>
      <c r="H1827" s="0" t="s">
        <v>585</v>
      </c>
      <c r="K1827" s="0" t="s">
        <v>607</v>
      </c>
      <c r="L1827" s="0" t="s">
        <v>3703</v>
      </c>
    </row>
    <row r="1828" customFormat="false" ht="15" hidden="false" customHeight="false" outlineLevel="0" collapsed="false">
      <c r="A1828" s="0" t="s">
        <v>67</v>
      </c>
      <c r="B1828" s="0" t="s">
        <v>266</v>
      </c>
      <c r="C1828" s="0" t="s">
        <v>1189</v>
      </c>
      <c r="D1828" s="0" t="s">
        <v>147</v>
      </c>
      <c r="E1828" s="0" t="s">
        <v>2249</v>
      </c>
      <c r="F1828" s="0" t="n">
        <v>4</v>
      </c>
      <c r="G1828" s="0" t="n">
        <v>0</v>
      </c>
      <c r="H1828" s="0" t="s">
        <v>585</v>
      </c>
      <c r="K1828" s="0" t="s">
        <v>610</v>
      </c>
      <c r="L1828" s="0" t="s">
        <v>3704</v>
      </c>
    </row>
    <row r="1829" customFormat="false" ht="15" hidden="false" customHeight="false" outlineLevel="0" collapsed="false">
      <c r="A1829" s="0" t="s">
        <v>67</v>
      </c>
      <c r="B1829" s="0" t="s">
        <v>266</v>
      </c>
      <c r="C1829" s="0" t="s">
        <v>1189</v>
      </c>
      <c r="D1829" s="0" t="s">
        <v>150</v>
      </c>
      <c r="E1829" s="0" t="s">
        <v>2251</v>
      </c>
      <c r="F1829" s="0" t="n">
        <v>4</v>
      </c>
      <c r="G1829" s="0" t="n">
        <v>0</v>
      </c>
      <c r="H1829" s="0" t="s">
        <v>585</v>
      </c>
      <c r="K1829" s="0" t="s">
        <v>613</v>
      </c>
      <c r="L1829" s="0" t="s">
        <v>3705</v>
      </c>
    </row>
    <row r="1830" customFormat="false" ht="15" hidden="false" customHeight="false" outlineLevel="0" collapsed="false">
      <c r="A1830" s="0" t="s">
        <v>67</v>
      </c>
      <c r="B1830" s="0" t="s">
        <v>266</v>
      </c>
      <c r="C1830" s="0" t="s">
        <v>1189</v>
      </c>
      <c r="D1830" s="0" t="s">
        <v>153</v>
      </c>
      <c r="E1830" s="0" t="s">
        <v>2253</v>
      </c>
      <c r="F1830" s="0" t="n">
        <v>4</v>
      </c>
      <c r="G1830" s="0" t="n">
        <v>0</v>
      </c>
      <c r="H1830" s="0" t="s">
        <v>585</v>
      </c>
      <c r="K1830" s="0" t="s">
        <v>616</v>
      </c>
      <c r="L1830" s="0" t="s">
        <v>3706</v>
      </c>
    </row>
    <row r="1831" customFormat="false" ht="15" hidden="false" customHeight="false" outlineLevel="0" collapsed="false">
      <c r="A1831" s="0" t="s">
        <v>67</v>
      </c>
      <c r="B1831" s="0" t="s">
        <v>266</v>
      </c>
      <c r="C1831" s="0" t="s">
        <v>1189</v>
      </c>
      <c r="D1831" s="0" t="s">
        <v>156</v>
      </c>
      <c r="E1831" s="0" t="s">
        <v>2255</v>
      </c>
      <c r="F1831" s="0" t="n">
        <v>4</v>
      </c>
      <c r="G1831" s="0" t="n">
        <v>0</v>
      </c>
      <c r="H1831" s="0" t="s">
        <v>585</v>
      </c>
      <c r="K1831" s="0" t="s">
        <v>620</v>
      </c>
      <c r="L1831" s="0" t="s">
        <v>3707</v>
      </c>
    </row>
    <row r="1832" customFormat="false" ht="15" hidden="false" customHeight="false" outlineLevel="0" collapsed="false">
      <c r="A1832" s="0" t="s">
        <v>67</v>
      </c>
      <c r="B1832" s="0" t="s">
        <v>266</v>
      </c>
      <c r="C1832" s="0" t="s">
        <v>1214</v>
      </c>
      <c r="D1832" s="0" t="s">
        <v>578</v>
      </c>
      <c r="E1832" s="0" t="s">
        <v>2257</v>
      </c>
      <c r="F1832" s="0" t="n">
        <v>4</v>
      </c>
      <c r="G1832" s="0" t="n">
        <v>0</v>
      </c>
      <c r="H1832" s="0" t="s">
        <v>585</v>
      </c>
      <c r="K1832" s="0" t="s">
        <v>581</v>
      </c>
      <c r="L1832" s="0" t="s">
        <v>3708</v>
      </c>
    </row>
    <row r="1833" customFormat="false" ht="15" hidden="false" customHeight="false" outlineLevel="0" collapsed="false">
      <c r="A1833" s="0" t="s">
        <v>67</v>
      </c>
      <c r="B1833" s="0" t="s">
        <v>266</v>
      </c>
      <c r="C1833" s="0" t="s">
        <v>1214</v>
      </c>
      <c r="D1833" s="0" t="s">
        <v>583</v>
      </c>
      <c r="E1833" s="0" t="s">
        <v>2259</v>
      </c>
      <c r="F1833" s="0" t="n">
        <v>4</v>
      </c>
      <c r="G1833" s="0" t="n">
        <v>0</v>
      </c>
      <c r="H1833" s="0" t="s">
        <v>585</v>
      </c>
      <c r="K1833" s="0" t="s">
        <v>586</v>
      </c>
      <c r="L1833" s="0" t="s">
        <v>3709</v>
      </c>
    </row>
    <row r="1834" customFormat="false" ht="15" hidden="false" customHeight="false" outlineLevel="0" collapsed="false">
      <c r="A1834" s="0" t="s">
        <v>67</v>
      </c>
      <c r="B1834" s="0" t="s">
        <v>266</v>
      </c>
      <c r="C1834" s="0" t="s">
        <v>1214</v>
      </c>
      <c r="D1834" s="0" t="s">
        <v>588</v>
      </c>
      <c r="E1834" s="0" t="s">
        <v>2261</v>
      </c>
      <c r="F1834" s="0" t="n">
        <v>4</v>
      </c>
      <c r="G1834" s="0" t="n">
        <v>0</v>
      </c>
      <c r="H1834" s="0" t="s">
        <v>585</v>
      </c>
      <c r="K1834" s="0" t="s">
        <v>590</v>
      </c>
      <c r="L1834" s="0" t="s">
        <v>3710</v>
      </c>
    </row>
    <row r="1835" customFormat="false" ht="15" hidden="false" customHeight="false" outlineLevel="0" collapsed="false">
      <c r="A1835" s="0" t="s">
        <v>67</v>
      </c>
      <c r="B1835" s="0" t="s">
        <v>266</v>
      </c>
      <c r="C1835" s="0" t="s">
        <v>1214</v>
      </c>
      <c r="D1835" s="0" t="s">
        <v>127</v>
      </c>
      <c r="E1835" s="0" t="s">
        <v>2263</v>
      </c>
      <c r="F1835" s="0" t="n">
        <v>4</v>
      </c>
      <c r="G1835" s="0" t="n">
        <v>0</v>
      </c>
      <c r="H1835" s="0" t="s">
        <v>585</v>
      </c>
      <c r="K1835" s="0" t="s">
        <v>594</v>
      </c>
      <c r="L1835" s="0" t="s">
        <v>3711</v>
      </c>
    </row>
    <row r="1836" customFormat="false" ht="15" hidden="false" customHeight="false" outlineLevel="0" collapsed="false">
      <c r="A1836" s="0" t="s">
        <v>67</v>
      </c>
      <c r="B1836" s="0" t="s">
        <v>266</v>
      </c>
      <c r="C1836" s="0" t="s">
        <v>1214</v>
      </c>
      <c r="D1836" s="0" t="s">
        <v>130</v>
      </c>
      <c r="E1836" s="0" t="s">
        <v>2265</v>
      </c>
      <c r="F1836" s="0" t="n">
        <v>4</v>
      </c>
      <c r="G1836" s="0" t="n">
        <v>0</v>
      </c>
      <c r="H1836" s="0" t="s">
        <v>585</v>
      </c>
      <c r="K1836" s="0" t="s">
        <v>597</v>
      </c>
      <c r="L1836" s="0" t="s">
        <v>3712</v>
      </c>
    </row>
    <row r="1837" customFormat="false" ht="15" hidden="false" customHeight="false" outlineLevel="0" collapsed="false">
      <c r="A1837" s="0" t="s">
        <v>67</v>
      </c>
      <c r="B1837" s="0" t="s">
        <v>266</v>
      </c>
      <c r="C1837" s="0" t="s">
        <v>1214</v>
      </c>
      <c r="D1837" s="0" t="s">
        <v>133</v>
      </c>
      <c r="E1837" s="0" t="s">
        <v>2267</v>
      </c>
      <c r="F1837" s="0" t="n">
        <v>4</v>
      </c>
      <c r="G1837" s="0" t="n">
        <v>0</v>
      </c>
      <c r="H1837" s="0" t="s">
        <v>585</v>
      </c>
      <c r="K1837" s="0" t="s">
        <v>600</v>
      </c>
      <c r="L1837" s="0" t="s">
        <v>3713</v>
      </c>
    </row>
    <row r="1838" customFormat="false" ht="15" hidden="false" customHeight="false" outlineLevel="0" collapsed="false">
      <c r="A1838" s="0" t="s">
        <v>67</v>
      </c>
      <c r="B1838" s="0" t="s">
        <v>266</v>
      </c>
      <c r="C1838" s="0" t="s">
        <v>1214</v>
      </c>
      <c r="D1838" s="0" t="s">
        <v>141</v>
      </c>
      <c r="E1838" s="0" t="s">
        <v>2269</v>
      </c>
      <c r="F1838" s="0" t="n">
        <v>4</v>
      </c>
      <c r="G1838" s="0" t="n">
        <v>0</v>
      </c>
      <c r="H1838" s="0" t="s">
        <v>585</v>
      </c>
      <c r="K1838" s="0" t="s">
        <v>604</v>
      </c>
      <c r="L1838" s="0" t="s">
        <v>3714</v>
      </c>
    </row>
    <row r="1839" customFormat="false" ht="15" hidden="false" customHeight="false" outlineLevel="0" collapsed="false">
      <c r="A1839" s="0" t="s">
        <v>67</v>
      </c>
      <c r="B1839" s="0" t="s">
        <v>266</v>
      </c>
      <c r="C1839" s="0" t="s">
        <v>1214</v>
      </c>
      <c r="D1839" s="0" t="s">
        <v>144</v>
      </c>
      <c r="E1839" s="0" t="s">
        <v>2271</v>
      </c>
      <c r="F1839" s="0" t="n">
        <v>4</v>
      </c>
      <c r="G1839" s="0" t="n">
        <v>0</v>
      </c>
      <c r="H1839" s="0" t="s">
        <v>585</v>
      </c>
      <c r="K1839" s="0" t="s">
        <v>607</v>
      </c>
      <c r="L1839" s="0" t="s">
        <v>3715</v>
      </c>
    </row>
    <row r="1840" customFormat="false" ht="15" hidden="false" customHeight="false" outlineLevel="0" collapsed="false">
      <c r="A1840" s="0" t="s">
        <v>67</v>
      </c>
      <c r="B1840" s="0" t="s">
        <v>266</v>
      </c>
      <c r="C1840" s="0" t="s">
        <v>1214</v>
      </c>
      <c r="D1840" s="0" t="s">
        <v>147</v>
      </c>
      <c r="E1840" s="0" t="s">
        <v>2273</v>
      </c>
      <c r="F1840" s="0" t="n">
        <v>4</v>
      </c>
      <c r="G1840" s="0" t="n">
        <v>0</v>
      </c>
      <c r="H1840" s="0" t="s">
        <v>585</v>
      </c>
      <c r="K1840" s="0" t="s">
        <v>610</v>
      </c>
      <c r="L1840" s="0" t="s">
        <v>3716</v>
      </c>
    </row>
    <row r="1841" customFormat="false" ht="15" hidden="false" customHeight="false" outlineLevel="0" collapsed="false">
      <c r="A1841" s="0" t="s">
        <v>67</v>
      </c>
      <c r="B1841" s="0" t="s">
        <v>266</v>
      </c>
      <c r="C1841" s="0" t="s">
        <v>1214</v>
      </c>
      <c r="D1841" s="0" t="s">
        <v>150</v>
      </c>
      <c r="E1841" s="0" t="s">
        <v>2275</v>
      </c>
      <c r="F1841" s="0" t="n">
        <v>4</v>
      </c>
      <c r="G1841" s="0" t="n">
        <v>0</v>
      </c>
      <c r="H1841" s="0" t="s">
        <v>585</v>
      </c>
      <c r="K1841" s="0" t="s">
        <v>613</v>
      </c>
      <c r="L1841" s="0" t="s">
        <v>3717</v>
      </c>
    </row>
    <row r="1842" customFormat="false" ht="15" hidden="false" customHeight="false" outlineLevel="0" collapsed="false">
      <c r="A1842" s="0" t="s">
        <v>67</v>
      </c>
      <c r="B1842" s="0" t="s">
        <v>266</v>
      </c>
      <c r="C1842" s="0" t="s">
        <v>1214</v>
      </c>
      <c r="D1842" s="0" t="s">
        <v>153</v>
      </c>
      <c r="E1842" s="0" t="s">
        <v>2277</v>
      </c>
      <c r="F1842" s="0" t="n">
        <v>4</v>
      </c>
      <c r="G1842" s="0" t="n">
        <v>0</v>
      </c>
      <c r="H1842" s="0" t="s">
        <v>585</v>
      </c>
      <c r="K1842" s="0" t="s">
        <v>616</v>
      </c>
      <c r="L1842" s="0" t="s">
        <v>3718</v>
      </c>
    </row>
    <row r="1843" customFormat="false" ht="15" hidden="false" customHeight="false" outlineLevel="0" collapsed="false">
      <c r="A1843" s="0" t="s">
        <v>67</v>
      </c>
      <c r="B1843" s="0" t="s">
        <v>266</v>
      </c>
      <c r="C1843" s="0" t="s">
        <v>1214</v>
      </c>
      <c r="D1843" s="0" t="s">
        <v>156</v>
      </c>
      <c r="E1843" s="0" t="s">
        <v>2279</v>
      </c>
      <c r="F1843" s="0" t="n">
        <v>4</v>
      </c>
      <c r="G1843" s="0" t="n">
        <v>0</v>
      </c>
      <c r="H1843" s="0" t="s">
        <v>585</v>
      </c>
      <c r="K1843" s="0" t="s">
        <v>620</v>
      </c>
      <c r="L1843" s="0" t="s">
        <v>3719</v>
      </c>
    </row>
    <row r="1844" customFormat="false" ht="15" hidden="false" customHeight="false" outlineLevel="0" collapsed="false">
      <c r="A1844" s="0" t="s">
        <v>67</v>
      </c>
      <c r="B1844" s="0" t="s">
        <v>266</v>
      </c>
      <c r="C1844" s="0" t="s">
        <v>1239</v>
      </c>
      <c r="D1844" s="0" t="s">
        <v>578</v>
      </c>
      <c r="E1844" s="0" t="s">
        <v>2281</v>
      </c>
      <c r="F1844" s="0" t="n">
        <v>4</v>
      </c>
      <c r="G1844" s="0" t="n">
        <v>0</v>
      </c>
      <c r="H1844" s="0" t="s">
        <v>585</v>
      </c>
      <c r="K1844" s="0" t="s">
        <v>581</v>
      </c>
      <c r="L1844" s="0" t="s">
        <v>3720</v>
      </c>
    </row>
    <row r="1845" customFormat="false" ht="15" hidden="false" customHeight="false" outlineLevel="0" collapsed="false">
      <c r="A1845" s="0" t="s">
        <v>67</v>
      </c>
      <c r="B1845" s="0" t="s">
        <v>266</v>
      </c>
      <c r="C1845" s="0" t="s">
        <v>1239</v>
      </c>
      <c r="D1845" s="0" t="s">
        <v>583</v>
      </c>
      <c r="E1845" s="0" t="s">
        <v>2283</v>
      </c>
      <c r="F1845" s="0" t="n">
        <v>4</v>
      </c>
      <c r="G1845" s="0" t="n">
        <v>0</v>
      </c>
      <c r="H1845" s="0" t="s">
        <v>585</v>
      </c>
      <c r="K1845" s="0" t="s">
        <v>586</v>
      </c>
      <c r="L1845" s="0" t="s">
        <v>3721</v>
      </c>
    </row>
    <row r="1846" customFormat="false" ht="15" hidden="false" customHeight="false" outlineLevel="0" collapsed="false">
      <c r="A1846" s="0" t="s">
        <v>67</v>
      </c>
      <c r="B1846" s="0" t="s">
        <v>266</v>
      </c>
      <c r="C1846" s="0" t="s">
        <v>1239</v>
      </c>
      <c r="D1846" s="0" t="s">
        <v>588</v>
      </c>
      <c r="E1846" s="0" t="s">
        <v>2285</v>
      </c>
      <c r="F1846" s="0" t="n">
        <v>4</v>
      </c>
      <c r="G1846" s="0" t="n">
        <v>0</v>
      </c>
      <c r="H1846" s="0" t="s">
        <v>585</v>
      </c>
      <c r="K1846" s="0" t="s">
        <v>590</v>
      </c>
      <c r="L1846" s="0" t="s">
        <v>3722</v>
      </c>
    </row>
    <row r="1847" customFormat="false" ht="15" hidden="false" customHeight="false" outlineLevel="0" collapsed="false">
      <c r="A1847" s="0" t="s">
        <v>67</v>
      </c>
      <c r="B1847" s="0" t="s">
        <v>266</v>
      </c>
      <c r="C1847" s="0" t="s">
        <v>1239</v>
      </c>
      <c r="D1847" s="0" t="s">
        <v>127</v>
      </c>
      <c r="E1847" s="0" t="s">
        <v>2287</v>
      </c>
      <c r="F1847" s="0" t="n">
        <v>4</v>
      </c>
      <c r="G1847" s="0" t="n">
        <v>0</v>
      </c>
      <c r="H1847" s="0" t="s">
        <v>585</v>
      </c>
      <c r="K1847" s="0" t="s">
        <v>594</v>
      </c>
      <c r="L1847" s="0" t="s">
        <v>3723</v>
      </c>
    </row>
    <row r="1848" customFormat="false" ht="15" hidden="false" customHeight="false" outlineLevel="0" collapsed="false">
      <c r="A1848" s="0" t="s">
        <v>67</v>
      </c>
      <c r="B1848" s="0" t="s">
        <v>266</v>
      </c>
      <c r="C1848" s="0" t="s">
        <v>1239</v>
      </c>
      <c r="D1848" s="0" t="s">
        <v>130</v>
      </c>
      <c r="E1848" s="0" t="s">
        <v>2289</v>
      </c>
      <c r="F1848" s="0" t="n">
        <v>4</v>
      </c>
      <c r="G1848" s="0" t="n">
        <v>0</v>
      </c>
      <c r="H1848" s="0" t="s">
        <v>585</v>
      </c>
      <c r="K1848" s="0" t="s">
        <v>597</v>
      </c>
      <c r="L1848" s="0" t="s">
        <v>3724</v>
      </c>
    </row>
    <row r="1849" customFormat="false" ht="15" hidden="false" customHeight="false" outlineLevel="0" collapsed="false">
      <c r="A1849" s="0" t="s">
        <v>67</v>
      </c>
      <c r="B1849" s="0" t="s">
        <v>266</v>
      </c>
      <c r="C1849" s="0" t="s">
        <v>1239</v>
      </c>
      <c r="D1849" s="0" t="s">
        <v>133</v>
      </c>
      <c r="E1849" s="0" t="s">
        <v>2291</v>
      </c>
      <c r="F1849" s="0" t="n">
        <v>4</v>
      </c>
      <c r="G1849" s="0" t="n">
        <v>0</v>
      </c>
      <c r="H1849" s="0" t="s">
        <v>585</v>
      </c>
      <c r="K1849" s="0" t="s">
        <v>600</v>
      </c>
      <c r="L1849" s="0" t="s">
        <v>3725</v>
      </c>
    </row>
    <row r="1850" customFormat="false" ht="15" hidden="false" customHeight="false" outlineLevel="0" collapsed="false">
      <c r="A1850" s="0" t="s">
        <v>67</v>
      </c>
      <c r="B1850" s="0" t="s">
        <v>266</v>
      </c>
      <c r="C1850" s="0" t="s">
        <v>1239</v>
      </c>
      <c r="D1850" s="0" t="s">
        <v>141</v>
      </c>
      <c r="E1850" s="0" t="s">
        <v>2293</v>
      </c>
      <c r="F1850" s="0" t="n">
        <v>4</v>
      </c>
      <c r="G1850" s="0" t="n">
        <v>0</v>
      </c>
      <c r="H1850" s="0" t="s">
        <v>585</v>
      </c>
      <c r="K1850" s="0" t="s">
        <v>604</v>
      </c>
      <c r="L1850" s="0" t="s">
        <v>3726</v>
      </c>
    </row>
    <row r="1851" customFormat="false" ht="15" hidden="false" customHeight="false" outlineLevel="0" collapsed="false">
      <c r="A1851" s="0" t="s">
        <v>67</v>
      </c>
      <c r="B1851" s="0" t="s">
        <v>266</v>
      </c>
      <c r="C1851" s="0" t="s">
        <v>1239</v>
      </c>
      <c r="D1851" s="0" t="s">
        <v>144</v>
      </c>
      <c r="E1851" s="0" t="s">
        <v>2295</v>
      </c>
      <c r="F1851" s="0" t="n">
        <v>4</v>
      </c>
      <c r="G1851" s="0" t="n">
        <v>0</v>
      </c>
      <c r="H1851" s="0" t="s">
        <v>585</v>
      </c>
      <c r="K1851" s="0" t="s">
        <v>607</v>
      </c>
      <c r="L1851" s="0" t="s">
        <v>3727</v>
      </c>
    </row>
    <row r="1852" customFormat="false" ht="15" hidden="false" customHeight="false" outlineLevel="0" collapsed="false">
      <c r="A1852" s="0" t="s">
        <v>67</v>
      </c>
      <c r="B1852" s="0" t="s">
        <v>266</v>
      </c>
      <c r="C1852" s="0" t="s">
        <v>1239</v>
      </c>
      <c r="D1852" s="0" t="s">
        <v>147</v>
      </c>
      <c r="E1852" s="0" t="s">
        <v>2297</v>
      </c>
      <c r="F1852" s="0" t="n">
        <v>4</v>
      </c>
      <c r="G1852" s="0" t="n">
        <v>0</v>
      </c>
      <c r="H1852" s="0" t="s">
        <v>585</v>
      </c>
      <c r="K1852" s="0" t="s">
        <v>610</v>
      </c>
      <c r="L1852" s="0" t="s">
        <v>3728</v>
      </c>
    </row>
    <row r="1853" customFormat="false" ht="15" hidden="false" customHeight="false" outlineLevel="0" collapsed="false">
      <c r="A1853" s="0" t="s">
        <v>67</v>
      </c>
      <c r="B1853" s="0" t="s">
        <v>266</v>
      </c>
      <c r="C1853" s="0" t="s">
        <v>1239</v>
      </c>
      <c r="D1853" s="0" t="s">
        <v>150</v>
      </c>
      <c r="E1853" s="0" t="s">
        <v>2299</v>
      </c>
      <c r="F1853" s="0" t="n">
        <v>4</v>
      </c>
      <c r="G1853" s="0" t="n">
        <v>0</v>
      </c>
      <c r="H1853" s="0" t="s">
        <v>585</v>
      </c>
      <c r="K1853" s="0" t="s">
        <v>613</v>
      </c>
      <c r="L1853" s="0" t="s">
        <v>3729</v>
      </c>
    </row>
    <row r="1854" customFormat="false" ht="15" hidden="false" customHeight="false" outlineLevel="0" collapsed="false">
      <c r="A1854" s="0" t="s">
        <v>67</v>
      </c>
      <c r="B1854" s="0" t="s">
        <v>266</v>
      </c>
      <c r="C1854" s="0" t="s">
        <v>1239</v>
      </c>
      <c r="D1854" s="0" t="s">
        <v>153</v>
      </c>
      <c r="E1854" s="0" t="s">
        <v>2301</v>
      </c>
      <c r="F1854" s="0" t="n">
        <v>4</v>
      </c>
      <c r="G1854" s="0" t="n">
        <v>0</v>
      </c>
      <c r="H1854" s="0" t="s">
        <v>585</v>
      </c>
      <c r="K1854" s="0" t="s">
        <v>616</v>
      </c>
      <c r="L1854" s="0" t="s">
        <v>3730</v>
      </c>
    </row>
    <row r="1855" customFormat="false" ht="15" hidden="false" customHeight="false" outlineLevel="0" collapsed="false">
      <c r="A1855" s="0" t="s">
        <v>67</v>
      </c>
      <c r="B1855" s="0" t="s">
        <v>266</v>
      </c>
      <c r="C1855" s="0" t="s">
        <v>1239</v>
      </c>
      <c r="D1855" s="0" t="s">
        <v>156</v>
      </c>
      <c r="E1855" s="0" t="s">
        <v>2303</v>
      </c>
      <c r="F1855" s="0" t="n">
        <v>4</v>
      </c>
      <c r="G1855" s="0" t="n">
        <v>0</v>
      </c>
      <c r="H1855" s="0" t="s">
        <v>585</v>
      </c>
      <c r="K1855" s="0" t="s">
        <v>620</v>
      </c>
      <c r="L1855" s="0" t="s">
        <v>3731</v>
      </c>
    </row>
    <row r="1856" customFormat="false" ht="15" hidden="false" customHeight="false" outlineLevel="0" collapsed="false">
      <c r="A1856" s="0" t="s">
        <v>67</v>
      </c>
      <c r="B1856" s="0" t="s">
        <v>266</v>
      </c>
      <c r="C1856" s="0" t="s">
        <v>1264</v>
      </c>
      <c r="D1856" s="0" t="s">
        <v>578</v>
      </c>
      <c r="E1856" s="0" t="s">
        <v>2305</v>
      </c>
      <c r="F1856" s="0" t="n">
        <v>4</v>
      </c>
      <c r="G1856" s="0" t="n">
        <v>0</v>
      </c>
      <c r="H1856" s="0" t="s">
        <v>585</v>
      </c>
      <c r="K1856" s="0" t="s">
        <v>581</v>
      </c>
      <c r="L1856" s="0" t="s">
        <v>3732</v>
      </c>
    </row>
    <row r="1857" customFormat="false" ht="15" hidden="false" customHeight="false" outlineLevel="0" collapsed="false">
      <c r="A1857" s="0" t="s">
        <v>67</v>
      </c>
      <c r="B1857" s="0" t="s">
        <v>266</v>
      </c>
      <c r="C1857" s="0" t="s">
        <v>1264</v>
      </c>
      <c r="D1857" s="0" t="s">
        <v>583</v>
      </c>
      <c r="E1857" s="0" t="s">
        <v>2307</v>
      </c>
      <c r="F1857" s="0" t="n">
        <v>4</v>
      </c>
      <c r="G1857" s="0" t="n">
        <v>0</v>
      </c>
      <c r="H1857" s="0" t="s">
        <v>585</v>
      </c>
      <c r="K1857" s="0" t="s">
        <v>586</v>
      </c>
      <c r="L1857" s="0" t="s">
        <v>3733</v>
      </c>
    </row>
    <row r="1858" customFormat="false" ht="15" hidden="false" customHeight="false" outlineLevel="0" collapsed="false">
      <c r="A1858" s="0" t="s">
        <v>67</v>
      </c>
      <c r="B1858" s="0" t="s">
        <v>266</v>
      </c>
      <c r="C1858" s="0" t="s">
        <v>1264</v>
      </c>
      <c r="D1858" s="0" t="s">
        <v>588</v>
      </c>
      <c r="E1858" s="0" t="s">
        <v>2309</v>
      </c>
      <c r="F1858" s="0" t="n">
        <v>4</v>
      </c>
      <c r="G1858" s="0" t="n">
        <v>0</v>
      </c>
      <c r="H1858" s="0" t="s">
        <v>585</v>
      </c>
      <c r="K1858" s="0" t="s">
        <v>590</v>
      </c>
      <c r="L1858" s="0" t="s">
        <v>3734</v>
      </c>
    </row>
    <row r="1859" customFormat="false" ht="15" hidden="false" customHeight="false" outlineLevel="0" collapsed="false">
      <c r="A1859" s="0" t="s">
        <v>67</v>
      </c>
      <c r="B1859" s="0" t="s">
        <v>266</v>
      </c>
      <c r="C1859" s="0" t="s">
        <v>1264</v>
      </c>
      <c r="D1859" s="0" t="s">
        <v>127</v>
      </c>
      <c r="E1859" s="0" t="s">
        <v>2311</v>
      </c>
      <c r="F1859" s="0" t="n">
        <v>4</v>
      </c>
      <c r="G1859" s="0" t="n">
        <v>0</v>
      </c>
      <c r="H1859" s="0" t="s">
        <v>585</v>
      </c>
      <c r="K1859" s="0" t="s">
        <v>594</v>
      </c>
      <c r="L1859" s="0" t="s">
        <v>3735</v>
      </c>
    </row>
    <row r="1860" customFormat="false" ht="15" hidden="false" customHeight="false" outlineLevel="0" collapsed="false">
      <c r="A1860" s="0" t="s">
        <v>67</v>
      </c>
      <c r="B1860" s="0" t="s">
        <v>266</v>
      </c>
      <c r="C1860" s="0" t="s">
        <v>1264</v>
      </c>
      <c r="D1860" s="0" t="s">
        <v>130</v>
      </c>
      <c r="E1860" s="0" t="s">
        <v>2313</v>
      </c>
      <c r="F1860" s="0" t="n">
        <v>4</v>
      </c>
      <c r="G1860" s="0" t="n">
        <v>0</v>
      </c>
      <c r="H1860" s="0" t="s">
        <v>585</v>
      </c>
      <c r="K1860" s="0" t="s">
        <v>597</v>
      </c>
      <c r="L1860" s="0" t="s">
        <v>3736</v>
      </c>
    </row>
    <row r="1861" customFormat="false" ht="15" hidden="false" customHeight="false" outlineLevel="0" collapsed="false">
      <c r="A1861" s="0" t="s">
        <v>67</v>
      </c>
      <c r="B1861" s="0" t="s">
        <v>266</v>
      </c>
      <c r="C1861" s="0" t="s">
        <v>1264</v>
      </c>
      <c r="D1861" s="0" t="s">
        <v>133</v>
      </c>
      <c r="E1861" s="0" t="s">
        <v>2315</v>
      </c>
      <c r="F1861" s="0" t="n">
        <v>4</v>
      </c>
      <c r="G1861" s="0" t="n">
        <v>0</v>
      </c>
      <c r="H1861" s="0" t="s">
        <v>585</v>
      </c>
      <c r="K1861" s="0" t="s">
        <v>600</v>
      </c>
      <c r="L1861" s="0" t="s">
        <v>3737</v>
      </c>
    </row>
    <row r="1862" customFormat="false" ht="15" hidden="false" customHeight="false" outlineLevel="0" collapsed="false">
      <c r="A1862" s="0" t="s">
        <v>67</v>
      </c>
      <c r="B1862" s="0" t="s">
        <v>266</v>
      </c>
      <c r="C1862" s="0" t="s">
        <v>1264</v>
      </c>
      <c r="D1862" s="0" t="s">
        <v>141</v>
      </c>
      <c r="E1862" s="0" t="s">
        <v>2317</v>
      </c>
      <c r="F1862" s="0" t="n">
        <v>4</v>
      </c>
      <c r="G1862" s="0" t="n">
        <v>0</v>
      </c>
      <c r="H1862" s="0" t="s">
        <v>585</v>
      </c>
      <c r="K1862" s="0" t="s">
        <v>604</v>
      </c>
      <c r="L1862" s="0" t="s">
        <v>3738</v>
      </c>
    </row>
    <row r="1863" customFormat="false" ht="15" hidden="false" customHeight="false" outlineLevel="0" collapsed="false">
      <c r="A1863" s="0" t="s">
        <v>67</v>
      </c>
      <c r="B1863" s="0" t="s">
        <v>266</v>
      </c>
      <c r="C1863" s="0" t="s">
        <v>1264</v>
      </c>
      <c r="D1863" s="0" t="s">
        <v>144</v>
      </c>
      <c r="E1863" s="0" t="s">
        <v>2319</v>
      </c>
      <c r="F1863" s="0" t="n">
        <v>4</v>
      </c>
      <c r="G1863" s="0" t="n">
        <v>0</v>
      </c>
      <c r="H1863" s="0" t="s">
        <v>585</v>
      </c>
      <c r="K1863" s="0" t="s">
        <v>607</v>
      </c>
      <c r="L1863" s="0" t="s">
        <v>3739</v>
      </c>
    </row>
    <row r="1864" customFormat="false" ht="15" hidden="false" customHeight="false" outlineLevel="0" collapsed="false">
      <c r="A1864" s="0" t="s">
        <v>67</v>
      </c>
      <c r="B1864" s="0" t="s">
        <v>266</v>
      </c>
      <c r="C1864" s="0" t="s">
        <v>1264</v>
      </c>
      <c r="D1864" s="0" t="s">
        <v>147</v>
      </c>
      <c r="E1864" s="0" t="s">
        <v>2321</v>
      </c>
      <c r="F1864" s="0" t="n">
        <v>4</v>
      </c>
      <c r="G1864" s="0" t="n">
        <v>0</v>
      </c>
      <c r="H1864" s="0" t="s">
        <v>585</v>
      </c>
      <c r="K1864" s="0" t="s">
        <v>610</v>
      </c>
      <c r="L1864" s="0" t="s">
        <v>3740</v>
      </c>
    </row>
    <row r="1865" customFormat="false" ht="15" hidden="false" customHeight="false" outlineLevel="0" collapsed="false">
      <c r="A1865" s="0" t="s">
        <v>67</v>
      </c>
      <c r="B1865" s="0" t="s">
        <v>266</v>
      </c>
      <c r="C1865" s="0" t="s">
        <v>1264</v>
      </c>
      <c r="D1865" s="0" t="s">
        <v>150</v>
      </c>
      <c r="E1865" s="0" t="s">
        <v>2323</v>
      </c>
      <c r="F1865" s="0" t="n">
        <v>4</v>
      </c>
      <c r="G1865" s="0" t="n">
        <v>0</v>
      </c>
      <c r="H1865" s="0" t="s">
        <v>585</v>
      </c>
      <c r="K1865" s="0" t="s">
        <v>613</v>
      </c>
      <c r="L1865" s="0" t="s">
        <v>3741</v>
      </c>
    </row>
    <row r="1866" customFormat="false" ht="15" hidden="false" customHeight="false" outlineLevel="0" collapsed="false">
      <c r="A1866" s="0" t="s">
        <v>67</v>
      </c>
      <c r="B1866" s="0" t="s">
        <v>266</v>
      </c>
      <c r="C1866" s="0" t="s">
        <v>1264</v>
      </c>
      <c r="D1866" s="0" t="s">
        <v>153</v>
      </c>
      <c r="E1866" s="0" t="s">
        <v>2325</v>
      </c>
      <c r="F1866" s="0" t="n">
        <v>4</v>
      </c>
      <c r="G1866" s="0" t="n">
        <v>0</v>
      </c>
      <c r="H1866" s="0" t="s">
        <v>585</v>
      </c>
      <c r="K1866" s="0" t="s">
        <v>616</v>
      </c>
      <c r="L1866" s="0" t="s">
        <v>3742</v>
      </c>
    </row>
    <row r="1867" customFormat="false" ht="15" hidden="false" customHeight="false" outlineLevel="0" collapsed="false">
      <c r="A1867" s="0" t="s">
        <v>67</v>
      </c>
      <c r="B1867" s="0" t="s">
        <v>266</v>
      </c>
      <c r="C1867" s="0" t="s">
        <v>1264</v>
      </c>
      <c r="D1867" s="0" t="s">
        <v>156</v>
      </c>
      <c r="E1867" s="0" t="s">
        <v>2327</v>
      </c>
      <c r="F1867" s="0" t="n">
        <v>4</v>
      </c>
      <c r="G1867" s="0" t="n">
        <v>0</v>
      </c>
      <c r="H1867" s="0" t="s">
        <v>585</v>
      </c>
      <c r="K1867" s="0" t="s">
        <v>620</v>
      </c>
      <c r="L1867" s="0" t="s">
        <v>3743</v>
      </c>
    </row>
    <row r="1868" customFormat="false" ht="15" hidden="false" customHeight="false" outlineLevel="0" collapsed="false">
      <c r="A1868" s="0" t="s">
        <v>67</v>
      </c>
      <c r="B1868" s="0" t="s">
        <v>266</v>
      </c>
      <c r="C1868" s="0" t="s">
        <v>1289</v>
      </c>
      <c r="D1868" s="0" t="s">
        <v>578</v>
      </c>
      <c r="E1868" s="0" t="s">
        <v>2329</v>
      </c>
      <c r="F1868" s="0" t="n">
        <v>4</v>
      </c>
      <c r="G1868" s="0" t="n">
        <v>0</v>
      </c>
      <c r="H1868" s="0" t="s">
        <v>585</v>
      </c>
      <c r="K1868" s="0" t="s">
        <v>581</v>
      </c>
      <c r="L1868" s="0" t="s">
        <v>3744</v>
      </c>
    </row>
    <row r="1869" customFormat="false" ht="15" hidden="false" customHeight="false" outlineLevel="0" collapsed="false">
      <c r="A1869" s="0" t="s">
        <v>67</v>
      </c>
      <c r="B1869" s="0" t="s">
        <v>266</v>
      </c>
      <c r="C1869" s="0" t="s">
        <v>1289</v>
      </c>
      <c r="D1869" s="0" t="s">
        <v>583</v>
      </c>
      <c r="E1869" s="0" t="s">
        <v>2331</v>
      </c>
      <c r="F1869" s="0" t="n">
        <v>4</v>
      </c>
      <c r="G1869" s="0" t="n">
        <v>0</v>
      </c>
      <c r="H1869" s="0" t="s">
        <v>585</v>
      </c>
      <c r="K1869" s="0" t="s">
        <v>586</v>
      </c>
      <c r="L1869" s="0" t="s">
        <v>3745</v>
      </c>
    </row>
    <row r="1870" customFormat="false" ht="15" hidden="false" customHeight="false" outlineLevel="0" collapsed="false">
      <c r="A1870" s="0" t="s">
        <v>67</v>
      </c>
      <c r="B1870" s="0" t="s">
        <v>266</v>
      </c>
      <c r="C1870" s="0" t="s">
        <v>1289</v>
      </c>
      <c r="D1870" s="0" t="s">
        <v>588</v>
      </c>
      <c r="E1870" s="0" t="s">
        <v>2333</v>
      </c>
      <c r="F1870" s="0" t="n">
        <v>4</v>
      </c>
      <c r="G1870" s="0" t="n">
        <v>0</v>
      </c>
      <c r="H1870" s="0" t="s">
        <v>585</v>
      </c>
      <c r="K1870" s="0" t="s">
        <v>590</v>
      </c>
      <c r="L1870" s="0" t="s">
        <v>3746</v>
      </c>
    </row>
    <row r="1871" customFormat="false" ht="15" hidden="false" customHeight="false" outlineLevel="0" collapsed="false">
      <c r="A1871" s="0" t="s">
        <v>67</v>
      </c>
      <c r="B1871" s="0" t="s">
        <v>266</v>
      </c>
      <c r="C1871" s="0" t="s">
        <v>1289</v>
      </c>
      <c r="D1871" s="0" t="s">
        <v>127</v>
      </c>
      <c r="E1871" s="0" t="s">
        <v>2335</v>
      </c>
      <c r="F1871" s="0" t="n">
        <v>4</v>
      </c>
      <c r="G1871" s="0" t="n">
        <v>0</v>
      </c>
      <c r="H1871" s="0" t="s">
        <v>585</v>
      </c>
      <c r="K1871" s="0" t="s">
        <v>594</v>
      </c>
      <c r="L1871" s="0" t="s">
        <v>3747</v>
      </c>
    </row>
    <row r="1872" customFormat="false" ht="15" hidden="false" customHeight="false" outlineLevel="0" collapsed="false">
      <c r="A1872" s="0" t="s">
        <v>67</v>
      </c>
      <c r="B1872" s="0" t="s">
        <v>266</v>
      </c>
      <c r="C1872" s="0" t="s">
        <v>1289</v>
      </c>
      <c r="D1872" s="0" t="s">
        <v>130</v>
      </c>
      <c r="E1872" s="0" t="s">
        <v>2337</v>
      </c>
      <c r="F1872" s="0" t="n">
        <v>4</v>
      </c>
      <c r="G1872" s="0" t="n">
        <v>0</v>
      </c>
      <c r="H1872" s="0" t="s">
        <v>585</v>
      </c>
      <c r="K1872" s="0" t="s">
        <v>597</v>
      </c>
      <c r="L1872" s="0" t="s">
        <v>3748</v>
      </c>
    </row>
    <row r="1873" customFormat="false" ht="15" hidden="false" customHeight="false" outlineLevel="0" collapsed="false">
      <c r="A1873" s="0" t="s">
        <v>67</v>
      </c>
      <c r="B1873" s="0" t="s">
        <v>266</v>
      </c>
      <c r="C1873" s="0" t="s">
        <v>1289</v>
      </c>
      <c r="D1873" s="0" t="s">
        <v>133</v>
      </c>
      <c r="E1873" s="0" t="s">
        <v>2339</v>
      </c>
      <c r="F1873" s="0" t="n">
        <v>4</v>
      </c>
      <c r="G1873" s="0" t="n">
        <v>0</v>
      </c>
      <c r="H1873" s="0" t="s">
        <v>585</v>
      </c>
      <c r="K1873" s="0" t="s">
        <v>600</v>
      </c>
      <c r="L1873" s="0" t="s">
        <v>3749</v>
      </c>
    </row>
    <row r="1874" customFormat="false" ht="15" hidden="false" customHeight="false" outlineLevel="0" collapsed="false">
      <c r="A1874" s="0" t="s">
        <v>67</v>
      </c>
      <c r="B1874" s="0" t="s">
        <v>266</v>
      </c>
      <c r="C1874" s="0" t="s">
        <v>1289</v>
      </c>
      <c r="D1874" s="0" t="s">
        <v>141</v>
      </c>
      <c r="E1874" s="0" t="s">
        <v>2341</v>
      </c>
      <c r="F1874" s="0" t="n">
        <v>4</v>
      </c>
      <c r="G1874" s="0" t="n">
        <v>0</v>
      </c>
      <c r="H1874" s="0" t="s">
        <v>585</v>
      </c>
      <c r="K1874" s="0" t="s">
        <v>604</v>
      </c>
      <c r="L1874" s="0" t="s">
        <v>3750</v>
      </c>
    </row>
    <row r="1875" customFormat="false" ht="15" hidden="false" customHeight="false" outlineLevel="0" collapsed="false">
      <c r="A1875" s="0" t="s">
        <v>67</v>
      </c>
      <c r="B1875" s="0" t="s">
        <v>266</v>
      </c>
      <c r="C1875" s="0" t="s">
        <v>1289</v>
      </c>
      <c r="D1875" s="0" t="s">
        <v>144</v>
      </c>
      <c r="E1875" s="0" t="s">
        <v>2343</v>
      </c>
      <c r="F1875" s="0" t="n">
        <v>4</v>
      </c>
      <c r="G1875" s="0" t="n">
        <v>0</v>
      </c>
      <c r="H1875" s="0" t="s">
        <v>585</v>
      </c>
      <c r="K1875" s="0" t="s">
        <v>607</v>
      </c>
      <c r="L1875" s="0" t="s">
        <v>3751</v>
      </c>
    </row>
    <row r="1876" customFormat="false" ht="15" hidden="false" customHeight="false" outlineLevel="0" collapsed="false">
      <c r="A1876" s="0" t="s">
        <v>67</v>
      </c>
      <c r="B1876" s="0" t="s">
        <v>266</v>
      </c>
      <c r="C1876" s="0" t="s">
        <v>1289</v>
      </c>
      <c r="D1876" s="0" t="s">
        <v>147</v>
      </c>
      <c r="E1876" s="0" t="s">
        <v>2345</v>
      </c>
      <c r="F1876" s="0" t="n">
        <v>4</v>
      </c>
      <c r="G1876" s="0" t="n">
        <v>0</v>
      </c>
      <c r="H1876" s="0" t="s">
        <v>585</v>
      </c>
      <c r="K1876" s="0" t="s">
        <v>610</v>
      </c>
      <c r="L1876" s="0" t="s">
        <v>3752</v>
      </c>
    </row>
    <row r="1877" customFormat="false" ht="15" hidden="false" customHeight="false" outlineLevel="0" collapsed="false">
      <c r="A1877" s="0" t="s">
        <v>67</v>
      </c>
      <c r="B1877" s="0" t="s">
        <v>266</v>
      </c>
      <c r="C1877" s="0" t="s">
        <v>1289</v>
      </c>
      <c r="D1877" s="0" t="s">
        <v>150</v>
      </c>
      <c r="E1877" s="0" t="s">
        <v>2347</v>
      </c>
      <c r="F1877" s="0" t="n">
        <v>4</v>
      </c>
      <c r="G1877" s="0" t="n">
        <v>0</v>
      </c>
      <c r="H1877" s="0" t="s">
        <v>585</v>
      </c>
      <c r="K1877" s="0" t="s">
        <v>613</v>
      </c>
      <c r="L1877" s="0" t="s">
        <v>3753</v>
      </c>
    </row>
    <row r="1878" customFormat="false" ht="15" hidden="false" customHeight="false" outlineLevel="0" collapsed="false">
      <c r="A1878" s="0" t="s">
        <v>67</v>
      </c>
      <c r="B1878" s="0" t="s">
        <v>266</v>
      </c>
      <c r="C1878" s="0" t="s">
        <v>1289</v>
      </c>
      <c r="D1878" s="0" t="s">
        <v>153</v>
      </c>
      <c r="E1878" s="0" t="s">
        <v>2349</v>
      </c>
      <c r="F1878" s="0" t="n">
        <v>4</v>
      </c>
      <c r="G1878" s="0" t="n">
        <v>0</v>
      </c>
      <c r="H1878" s="0" t="s">
        <v>585</v>
      </c>
      <c r="K1878" s="0" t="s">
        <v>616</v>
      </c>
      <c r="L1878" s="0" t="s">
        <v>3754</v>
      </c>
    </row>
    <row r="1879" customFormat="false" ht="15" hidden="false" customHeight="false" outlineLevel="0" collapsed="false">
      <c r="A1879" s="0" t="s">
        <v>67</v>
      </c>
      <c r="B1879" s="0" t="s">
        <v>266</v>
      </c>
      <c r="C1879" s="0" t="s">
        <v>1289</v>
      </c>
      <c r="D1879" s="0" t="s">
        <v>156</v>
      </c>
      <c r="E1879" s="0" t="s">
        <v>2351</v>
      </c>
      <c r="F1879" s="0" t="n">
        <v>4</v>
      </c>
      <c r="G1879" s="0" t="n">
        <v>0</v>
      </c>
      <c r="H1879" s="0" t="s">
        <v>585</v>
      </c>
      <c r="K1879" s="0" t="s">
        <v>620</v>
      </c>
      <c r="L1879" s="0" t="s">
        <v>3755</v>
      </c>
    </row>
    <row r="1880" customFormat="false" ht="15" hidden="false" customHeight="false" outlineLevel="0" collapsed="false">
      <c r="A1880" s="0" t="s">
        <v>67</v>
      </c>
      <c r="B1880" s="0" t="s">
        <v>266</v>
      </c>
      <c r="C1880" s="0" t="s">
        <v>1314</v>
      </c>
      <c r="D1880" s="0" t="s">
        <v>578</v>
      </c>
      <c r="E1880" s="0" t="s">
        <v>2353</v>
      </c>
      <c r="F1880" s="0" t="n">
        <v>4</v>
      </c>
      <c r="G1880" s="0" t="n">
        <v>0</v>
      </c>
      <c r="H1880" s="0" t="s">
        <v>585</v>
      </c>
      <c r="K1880" s="0" t="s">
        <v>581</v>
      </c>
      <c r="L1880" s="0" t="s">
        <v>3756</v>
      </c>
    </row>
    <row r="1881" customFormat="false" ht="15" hidden="false" customHeight="false" outlineLevel="0" collapsed="false">
      <c r="A1881" s="0" t="s">
        <v>67</v>
      </c>
      <c r="B1881" s="0" t="s">
        <v>266</v>
      </c>
      <c r="C1881" s="0" t="s">
        <v>1314</v>
      </c>
      <c r="D1881" s="0" t="s">
        <v>583</v>
      </c>
      <c r="E1881" s="0" t="s">
        <v>2355</v>
      </c>
      <c r="F1881" s="0" t="n">
        <v>4</v>
      </c>
      <c r="G1881" s="0" t="n">
        <v>0</v>
      </c>
      <c r="H1881" s="0" t="s">
        <v>585</v>
      </c>
      <c r="K1881" s="0" t="s">
        <v>586</v>
      </c>
      <c r="L1881" s="0" t="s">
        <v>3757</v>
      </c>
    </row>
    <row r="1882" customFormat="false" ht="15" hidden="false" customHeight="false" outlineLevel="0" collapsed="false">
      <c r="A1882" s="0" t="s">
        <v>67</v>
      </c>
      <c r="B1882" s="0" t="s">
        <v>266</v>
      </c>
      <c r="C1882" s="0" t="s">
        <v>1314</v>
      </c>
      <c r="D1882" s="0" t="s">
        <v>588</v>
      </c>
      <c r="E1882" s="0" t="s">
        <v>2357</v>
      </c>
      <c r="F1882" s="0" t="n">
        <v>4</v>
      </c>
      <c r="G1882" s="0" t="n">
        <v>0</v>
      </c>
      <c r="H1882" s="0" t="s">
        <v>585</v>
      </c>
      <c r="K1882" s="0" t="s">
        <v>590</v>
      </c>
      <c r="L1882" s="0" t="s">
        <v>3758</v>
      </c>
    </row>
    <row r="1883" customFormat="false" ht="15" hidden="false" customHeight="false" outlineLevel="0" collapsed="false">
      <c r="A1883" s="0" t="s">
        <v>67</v>
      </c>
      <c r="B1883" s="0" t="s">
        <v>266</v>
      </c>
      <c r="C1883" s="0" t="s">
        <v>1314</v>
      </c>
      <c r="D1883" s="0" t="s">
        <v>127</v>
      </c>
      <c r="E1883" s="0" t="s">
        <v>2359</v>
      </c>
      <c r="F1883" s="0" t="n">
        <v>4</v>
      </c>
      <c r="G1883" s="0" t="n">
        <v>0</v>
      </c>
      <c r="H1883" s="0" t="s">
        <v>585</v>
      </c>
      <c r="K1883" s="0" t="s">
        <v>594</v>
      </c>
      <c r="L1883" s="0" t="s">
        <v>3759</v>
      </c>
    </row>
    <row r="1884" customFormat="false" ht="15" hidden="false" customHeight="false" outlineLevel="0" collapsed="false">
      <c r="A1884" s="0" t="s">
        <v>67</v>
      </c>
      <c r="B1884" s="0" t="s">
        <v>266</v>
      </c>
      <c r="C1884" s="0" t="s">
        <v>1314</v>
      </c>
      <c r="D1884" s="0" t="s">
        <v>130</v>
      </c>
      <c r="E1884" s="0" t="s">
        <v>2361</v>
      </c>
      <c r="F1884" s="0" t="n">
        <v>4</v>
      </c>
      <c r="G1884" s="0" t="n">
        <v>0</v>
      </c>
      <c r="H1884" s="0" t="s">
        <v>585</v>
      </c>
      <c r="K1884" s="0" t="s">
        <v>597</v>
      </c>
      <c r="L1884" s="0" t="s">
        <v>3760</v>
      </c>
    </row>
    <row r="1885" customFormat="false" ht="15" hidden="false" customHeight="false" outlineLevel="0" collapsed="false">
      <c r="A1885" s="0" t="s">
        <v>67</v>
      </c>
      <c r="B1885" s="0" t="s">
        <v>266</v>
      </c>
      <c r="C1885" s="0" t="s">
        <v>1314</v>
      </c>
      <c r="D1885" s="0" t="s">
        <v>133</v>
      </c>
      <c r="E1885" s="0" t="s">
        <v>2363</v>
      </c>
      <c r="F1885" s="0" t="n">
        <v>4</v>
      </c>
      <c r="G1885" s="0" t="n">
        <v>0</v>
      </c>
      <c r="H1885" s="0" t="s">
        <v>585</v>
      </c>
      <c r="K1885" s="0" t="s">
        <v>600</v>
      </c>
      <c r="L1885" s="0" t="s">
        <v>3761</v>
      </c>
    </row>
    <row r="1886" customFormat="false" ht="15" hidden="false" customHeight="false" outlineLevel="0" collapsed="false">
      <c r="A1886" s="0" t="s">
        <v>67</v>
      </c>
      <c r="B1886" s="0" t="s">
        <v>266</v>
      </c>
      <c r="C1886" s="0" t="s">
        <v>1314</v>
      </c>
      <c r="D1886" s="0" t="s">
        <v>141</v>
      </c>
      <c r="E1886" s="0" t="s">
        <v>2365</v>
      </c>
      <c r="F1886" s="0" t="n">
        <v>4</v>
      </c>
      <c r="G1886" s="0" t="n">
        <v>0</v>
      </c>
      <c r="H1886" s="0" t="s">
        <v>585</v>
      </c>
      <c r="K1886" s="0" t="s">
        <v>604</v>
      </c>
      <c r="L1886" s="0" t="s">
        <v>3762</v>
      </c>
    </row>
    <row r="1887" customFormat="false" ht="15" hidden="false" customHeight="false" outlineLevel="0" collapsed="false">
      <c r="A1887" s="0" t="s">
        <v>67</v>
      </c>
      <c r="B1887" s="0" t="s">
        <v>266</v>
      </c>
      <c r="C1887" s="0" t="s">
        <v>1314</v>
      </c>
      <c r="D1887" s="0" t="s">
        <v>144</v>
      </c>
      <c r="E1887" s="0" t="s">
        <v>2367</v>
      </c>
      <c r="F1887" s="0" t="n">
        <v>4</v>
      </c>
      <c r="G1887" s="0" t="n">
        <v>0</v>
      </c>
      <c r="H1887" s="0" t="s">
        <v>585</v>
      </c>
      <c r="K1887" s="0" t="s">
        <v>607</v>
      </c>
      <c r="L1887" s="0" t="s">
        <v>3763</v>
      </c>
    </row>
    <row r="1888" customFormat="false" ht="15" hidden="false" customHeight="false" outlineLevel="0" collapsed="false">
      <c r="A1888" s="0" t="s">
        <v>67</v>
      </c>
      <c r="B1888" s="0" t="s">
        <v>266</v>
      </c>
      <c r="C1888" s="0" t="s">
        <v>1314</v>
      </c>
      <c r="D1888" s="0" t="s">
        <v>147</v>
      </c>
      <c r="E1888" s="0" t="s">
        <v>2369</v>
      </c>
      <c r="F1888" s="0" t="n">
        <v>4</v>
      </c>
      <c r="G1888" s="0" t="n">
        <v>0</v>
      </c>
      <c r="H1888" s="0" t="s">
        <v>585</v>
      </c>
      <c r="K1888" s="0" t="s">
        <v>610</v>
      </c>
      <c r="L1888" s="0" t="s">
        <v>3764</v>
      </c>
    </row>
    <row r="1889" customFormat="false" ht="15" hidden="false" customHeight="false" outlineLevel="0" collapsed="false">
      <c r="A1889" s="0" t="s">
        <v>67</v>
      </c>
      <c r="B1889" s="0" t="s">
        <v>266</v>
      </c>
      <c r="C1889" s="0" t="s">
        <v>1314</v>
      </c>
      <c r="D1889" s="0" t="s">
        <v>150</v>
      </c>
      <c r="E1889" s="0" t="s">
        <v>2371</v>
      </c>
      <c r="F1889" s="0" t="n">
        <v>4</v>
      </c>
      <c r="G1889" s="0" t="n">
        <v>0</v>
      </c>
      <c r="H1889" s="0" t="s">
        <v>585</v>
      </c>
      <c r="K1889" s="0" t="s">
        <v>613</v>
      </c>
      <c r="L1889" s="0" t="s">
        <v>3765</v>
      </c>
    </row>
    <row r="1890" customFormat="false" ht="15" hidden="false" customHeight="false" outlineLevel="0" collapsed="false">
      <c r="A1890" s="0" t="s">
        <v>67</v>
      </c>
      <c r="B1890" s="0" t="s">
        <v>266</v>
      </c>
      <c r="C1890" s="0" t="s">
        <v>1314</v>
      </c>
      <c r="D1890" s="0" t="s">
        <v>153</v>
      </c>
      <c r="E1890" s="0" t="s">
        <v>2373</v>
      </c>
      <c r="F1890" s="0" t="n">
        <v>4</v>
      </c>
      <c r="G1890" s="0" t="n">
        <v>0</v>
      </c>
      <c r="H1890" s="0" t="s">
        <v>585</v>
      </c>
      <c r="K1890" s="0" t="s">
        <v>616</v>
      </c>
      <c r="L1890" s="0" t="s">
        <v>3766</v>
      </c>
    </row>
    <row r="1891" customFormat="false" ht="15" hidden="false" customHeight="false" outlineLevel="0" collapsed="false">
      <c r="A1891" s="0" t="s">
        <v>67</v>
      </c>
      <c r="B1891" s="0" t="s">
        <v>266</v>
      </c>
      <c r="C1891" s="0" t="s">
        <v>1314</v>
      </c>
      <c r="D1891" s="0" t="s">
        <v>156</v>
      </c>
      <c r="E1891" s="0" t="s">
        <v>2375</v>
      </c>
      <c r="F1891" s="0" t="n">
        <v>4</v>
      </c>
      <c r="G1891" s="0" t="n">
        <v>0</v>
      </c>
      <c r="H1891" s="0" t="s">
        <v>585</v>
      </c>
      <c r="K1891" s="0" t="s">
        <v>620</v>
      </c>
      <c r="L1891" s="0" t="s">
        <v>3767</v>
      </c>
    </row>
    <row r="1892" customFormat="false" ht="15" hidden="false" customHeight="false" outlineLevel="0" collapsed="false">
      <c r="A1892" s="0" t="s">
        <v>69</v>
      </c>
      <c r="B1892" s="0" t="s">
        <v>303</v>
      </c>
      <c r="C1892" s="0" t="s">
        <v>577</v>
      </c>
      <c r="D1892" s="0" t="s">
        <v>987</v>
      </c>
      <c r="E1892" s="0" t="s">
        <v>1690</v>
      </c>
      <c r="F1892" s="0" t="n">
        <v>5</v>
      </c>
      <c r="G1892" s="0" t="n">
        <v>0</v>
      </c>
      <c r="H1892" s="0" t="s">
        <v>585</v>
      </c>
      <c r="K1892" s="0" t="s">
        <v>581</v>
      </c>
      <c r="L1892" s="0" t="s">
        <v>3768</v>
      </c>
    </row>
    <row r="1893" customFormat="false" ht="15" hidden="false" customHeight="false" outlineLevel="0" collapsed="false">
      <c r="A1893" s="0" t="s">
        <v>69</v>
      </c>
      <c r="B1893" s="0" t="s">
        <v>303</v>
      </c>
      <c r="C1893" s="0" t="s">
        <v>577</v>
      </c>
      <c r="D1893" s="0" t="s">
        <v>990</v>
      </c>
      <c r="E1893" s="0" t="s">
        <v>1692</v>
      </c>
      <c r="F1893" s="0" t="n">
        <v>5</v>
      </c>
      <c r="G1893" s="0" t="n">
        <v>0</v>
      </c>
      <c r="H1893" s="0" t="s">
        <v>585</v>
      </c>
      <c r="K1893" s="0" t="s">
        <v>586</v>
      </c>
      <c r="L1893" s="0" t="s">
        <v>3769</v>
      </c>
    </row>
    <row r="1894" customFormat="false" ht="15" hidden="false" customHeight="false" outlineLevel="0" collapsed="false">
      <c r="A1894" s="0" t="s">
        <v>69</v>
      </c>
      <c r="B1894" s="0" t="s">
        <v>303</v>
      </c>
      <c r="C1894" s="0" t="s">
        <v>577</v>
      </c>
      <c r="D1894" s="0" t="s">
        <v>993</v>
      </c>
      <c r="E1894" s="0" t="s">
        <v>1694</v>
      </c>
      <c r="F1894" s="0" t="n">
        <v>5</v>
      </c>
      <c r="G1894" s="0" t="n">
        <v>0</v>
      </c>
      <c r="H1894" s="0" t="s">
        <v>585</v>
      </c>
      <c r="K1894" s="0" t="s">
        <v>590</v>
      </c>
      <c r="L1894" s="0" t="s">
        <v>3770</v>
      </c>
    </row>
    <row r="1895" customFormat="false" ht="15" hidden="false" customHeight="false" outlineLevel="0" collapsed="false">
      <c r="A1895" s="0" t="s">
        <v>69</v>
      </c>
      <c r="B1895" s="0" t="s">
        <v>303</v>
      </c>
      <c r="C1895" s="0" t="s">
        <v>577</v>
      </c>
      <c r="D1895" s="0" t="s">
        <v>126</v>
      </c>
      <c r="E1895" s="0" t="s">
        <v>1696</v>
      </c>
      <c r="F1895" s="0" t="n">
        <v>5</v>
      </c>
      <c r="G1895" s="0" t="n">
        <v>0</v>
      </c>
      <c r="H1895" s="0" t="s">
        <v>585</v>
      </c>
      <c r="K1895" s="0" t="s">
        <v>594</v>
      </c>
      <c r="L1895" s="0" t="s">
        <v>3771</v>
      </c>
    </row>
    <row r="1896" customFormat="false" ht="15" hidden="false" customHeight="false" outlineLevel="0" collapsed="false">
      <c r="A1896" s="0" t="s">
        <v>69</v>
      </c>
      <c r="B1896" s="0" t="s">
        <v>303</v>
      </c>
      <c r="C1896" s="0" t="s">
        <v>577</v>
      </c>
      <c r="D1896" s="0" t="s">
        <v>129</v>
      </c>
      <c r="E1896" s="0" t="s">
        <v>1698</v>
      </c>
      <c r="F1896" s="0" t="n">
        <v>5</v>
      </c>
      <c r="G1896" s="0" t="n">
        <v>0</v>
      </c>
      <c r="H1896" s="0" t="s">
        <v>585</v>
      </c>
      <c r="K1896" s="0" t="s">
        <v>597</v>
      </c>
      <c r="L1896" s="0" t="s">
        <v>3772</v>
      </c>
    </row>
    <row r="1897" customFormat="false" ht="15" hidden="false" customHeight="false" outlineLevel="0" collapsed="false">
      <c r="A1897" s="0" t="s">
        <v>69</v>
      </c>
      <c r="B1897" s="0" t="s">
        <v>303</v>
      </c>
      <c r="C1897" s="0" t="s">
        <v>577</v>
      </c>
      <c r="D1897" s="0" t="s">
        <v>132</v>
      </c>
      <c r="E1897" s="0" t="s">
        <v>1700</v>
      </c>
      <c r="F1897" s="0" t="n">
        <v>5</v>
      </c>
      <c r="G1897" s="0" t="n">
        <v>0</v>
      </c>
      <c r="H1897" s="0" t="s">
        <v>585</v>
      </c>
      <c r="K1897" s="0" t="s">
        <v>600</v>
      </c>
      <c r="L1897" s="0" t="s">
        <v>3773</v>
      </c>
    </row>
    <row r="1898" customFormat="false" ht="15" hidden="false" customHeight="false" outlineLevel="0" collapsed="false">
      <c r="A1898" s="0" t="s">
        <v>69</v>
      </c>
      <c r="B1898" s="0" t="s">
        <v>303</v>
      </c>
      <c r="C1898" s="0" t="s">
        <v>577</v>
      </c>
      <c r="D1898" s="0" t="s">
        <v>139</v>
      </c>
      <c r="E1898" s="0" t="s">
        <v>1702</v>
      </c>
      <c r="F1898" s="0" t="n">
        <v>5</v>
      </c>
      <c r="G1898" s="0" t="n">
        <v>0</v>
      </c>
      <c r="H1898" s="0" t="s">
        <v>585</v>
      </c>
      <c r="K1898" s="0" t="s">
        <v>604</v>
      </c>
      <c r="L1898" s="0" t="s">
        <v>3774</v>
      </c>
    </row>
    <row r="1899" customFormat="false" ht="15" hidden="false" customHeight="false" outlineLevel="0" collapsed="false">
      <c r="A1899" s="0" t="s">
        <v>69</v>
      </c>
      <c r="B1899" s="0" t="s">
        <v>303</v>
      </c>
      <c r="C1899" s="0" t="s">
        <v>577</v>
      </c>
      <c r="D1899" s="0" t="s">
        <v>143</v>
      </c>
      <c r="E1899" s="0" t="s">
        <v>1704</v>
      </c>
      <c r="F1899" s="0" t="n">
        <v>5</v>
      </c>
      <c r="G1899" s="0" t="n">
        <v>0</v>
      </c>
      <c r="H1899" s="0" t="s">
        <v>585</v>
      </c>
      <c r="K1899" s="0" t="s">
        <v>607</v>
      </c>
      <c r="L1899" s="0" t="s">
        <v>3775</v>
      </c>
    </row>
    <row r="1900" customFormat="false" ht="15" hidden="false" customHeight="false" outlineLevel="0" collapsed="false">
      <c r="A1900" s="0" t="s">
        <v>69</v>
      </c>
      <c r="B1900" s="0" t="s">
        <v>303</v>
      </c>
      <c r="C1900" s="0" t="s">
        <v>577</v>
      </c>
      <c r="D1900" s="0" t="s">
        <v>146</v>
      </c>
      <c r="E1900" s="0" t="s">
        <v>1706</v>
      </c>
      <c r="F1900" s="0" t="n">
        <v>5</v>
      </c>
      <c r="G1900" s="0" t="n">
        <v>0</v>
      </c>
      <c r="H1900" s="0" t="s">
        <v>585</v>
      </c>
      <c r="K1900" s="0" t="s">
        <v>610</v>
      </c>
      <c r="L1900" s="0" t="s">
        <v>3776</v>
      </c>
    </row>
    <row r="1901" customFormat="false" ht="15" hidden="false" customHeight="false" outlineLevel="0" collapsed="false">
      <c r="A1901" s="0" t="s">
        <v>69</v>
      </c>
      <c r="B1901" s="0" t="s">
        <v>303</v>
      </c>
      <c r="C1901" s="0" t="s">
        <v>577</v>
      </c>
      <c r="D1901" s="0" t="s">
        <v>149</v>
      </c>
      <c r="E1901" s="0" t="s">
        <v>1708</v>
      </c>
      <c r="F1901" s="0" t="n">
        <v>5</v>
      </c>
      <c r="G1901" s="0" t="n">
        <v>0</v>
      </c>
      <c r="H1901" s="0" t="s">
        <v>585</v>
      </c>
      <c r="K1901" s="0" t="s">
        <v>613</v>
      </c>
      <c r="L1901" s="0" t="s">
        <v>3777</v>
      </c>
    </row>
    <row r="1902" customFormat="false" ht="15" hidden="false" customHeight="false" outlineLevel="0" collapsed="false">
      <c r="A1902" s="0" t="s">
        <v>69</v>
      </c>
      <c r="B1902" s="0" t="s">
        <v>303</v>
      </c>
      <c r="C1902" s="0" t="s">
        <v>577</v>
      </c>
      <c r="D1902" s="0" t="s">
        <v>152</v>
      </c>
      <c r="E1902" s="0" t="s">
        <v>1710</v>
      </c>
      <c r="F1902" s="0" t="n">
        <v>5</v>
      </c>
      <c r="G1902" s="0" t="n">
        <v>0</v>
      </c>
      <c r="H1902" s="0" t="s">
        <v>585</v>
      </c>
      <c r="K1902" s="0" t="s">
        <v>616</v>
      </c>
      <c r="L1902" s="0" t="s">
        <v>3778</v>
      </c>
    </row>
    <row r="1903" customFormat="false" ht="15" hidden="false" customHeight="false" outlineLevel="0" collapsed="false">
      <c r="A1903" s="0" t="s">
        <v>69</v>
      </c>
      <c r="B1903" s="0" t="s">
        <v>303</v>
      </c>
      <c r="C1903" s="0" t="s">
        <v>577</v>
      </c>
      <c r="D1903" s="0" t="s">
        <v>155</v>
      </c>
      <c r="E1903" s="0" t="s">
        <v>1712</v>
      </c>
      <c r="F1903" s="0" t="n">
        <v>5</v>
      </c>
      <c r="G1903" s="0" t="n">
        <v>0</v>
      </c>
      <c r="H1903" s="0" t="s">
        <v>585</v>
      </c>
      <c r="K1903" s="0" t="s">
        <v>620</v>
      </c>
      <c r="L1903" s="0" t="s">
        <v>3779</v>
      </c>
    </row>
    <row r="1904" customFormat="false" ht="15" hidden="false" customHeight="false" outlineLevel="0" collapsed="false">
      <c r="A1904" s="0" t="s">
        <v>69</v>
      </c>
      <c r="B1904" s="0" t="s">
        <v>303</v>
      </c>
      <c r="C1904" s="0" t="s">
        <v>622</v>
      </c>
      <c r="D1904" s="0" t="s">
        <v>987</v>
      </c>
      <c r="E1904" s="0" t="s">
        <v>1714</v>
      </c>
      <c r="F1904" s="0" t="n">
        <v>5</v>
      </c>
      <c r="G1904" s="0" t="n">
        <v>0</v>
      </c>
      <c r="H1904" s="0" t="s">
        <v>585</v>
      </c>
      <c r="K1904" s="0" t="s">
        <v>581</v>
      </c>
      <c r="L1904" s="0" t="s">
        <v>3780</v>
      </c>
    </row>
    <row r="1905" customFormat="false" ht="15" hidden="false" customHeight="false" outlineLevel="0" collapsed="false">
      <c r="A1905" s="0" t="s">
        <v>69</v>
      </c>
      <c r="B1905" s="0" t="s">
        <v>303</v>
      </c>
      <c r="C1905" s="0" t="s">
        <v>622</v>
      </c>
      <c r="D1905" s="0" t="s">
        <v>990</v>
      </c>
      <c r="E1905" s="0" t="s">
        <v>1716</v>
      </c>
      <c r="F1905" s="0" t="n">
        <v>5</v>
      </c>
      <c r="G1905" s="0" t="n">
        <v>2</v>
      </c>
      <c r="H1905" s="0" t="s">
        <v>585</v>
      </c>
      <c r="I1905" s="0" t="s">
        <v>505</v>
      </c>
      <c r="K1905" s="0" t="s">
        <v>586</v>
      </c>
      <c r="L1905" s="0" t="s">
        <v>3781</v>
      </c>
    </row>
    <row r="1906" customFormat="false" ht="15" hidden="false" customHeight="false" outlineLevel="0" collapsed="false">
      <c r="A1906" s="0" t="s">
        <v>69</v>
      </c>
      <c r="B1906" s="0" t="s">
        <v>303</v>
      </c>
      <c r="C1906" s="0" t="s">
        <v>622</v>
      </c>
      <c r="D1906" s="0" t="s">
        <v>993</v>
      </c>
      <c r="E1906" s="0" t="s">
        <v>1718</v>
      </c>
      <c r="F1906" s="0" t="n">
        <v>5</v>
      </c>
      <c r="G1906" s="0" t="n">
        <v>0</v>
      </c>
      <c r="H1906" s="0" t="s">
        <v>585</v>
      </c>
      <c r="K1906" s="0" t="s">
        <v>590</v>
      </c>
      <c r="L1906" s="0" t="s">
        <v>3782</v>
      </c>
    </row>
    <row r="1907" customFormat="false" ht="15" hidden="false" customHeight="false" outlineLevel="0" collapsed="false">
      <c r="A1907" s="0" t="s">
        <v>69</v>
      </c>
      <c r="B1907" s="0" t="s">
        <v>303</v>
      </c>
      <c r="C1907" s="0" t="s">
        <v>622</v>
      </c>
      <c r="D1907" s="0" t="s">
        <v>126</v>
      </c>
      <c r="E1907" s="0" t="s">
        <v>1720</v>
      </c>
      <c r="F1907" s="0" t="n">
        <v>5</v>
      </c>
      <c r="G1907" s="0" t="n">
        <v>0</v>
      </c>
      <c r="H1907" s="0" t="s">
        <v>585</v>
      </c>
      <c r="K1907" s="0" t="s">
        <v>594</v>
      </c>
      <c r="L1907" s="0" t="s">
        <v>3783</v>
      </c>
    </row>
    <row r="1908" customFormat="false" ht="15" hidden="false" customHeight="false" outlineLevel="0" collapsed="false">
      <c r="A1908" s="0" t="s">
        <v>69</v>
      </c>
      <c r="B1908" s="0" t="s">
        <v>303</v>
      </c>
      <c r="C1908" s="0" t="s">
        <v>622</v>
      </c>
      <c r="D1908" s="0" t="s">
        <v>129</v>
      </c>
      <c r="E1908" s="0" t="s">
        <v>1722</v>
      </c>
      <c r="F1908" s="0" t="n">
        <v>5</v>
      </c>
      <c r="G1908" s="0" t="n">
        <v>0</v>
      </c>
      <c r="H1908" s="0" t="s">
        <v>585</v>
      </c>
      <c r="K1908" s="0" t="s">
        <v>597</v>
      </c>
      <c r="L1908" s="0" t="s">
        <v>3784</v>
      </c>
    </row>
    <row r="1909" customFormat="false" ht="15" hidden="false" customHeight="false" outlineLevel="0" collapsed="false">
      <c r="A1909" s="0" t="s">
        <v>69</v>
      </c>
      <c r="B1909" s="0" t="s">
        <v>303</v>
      </c>
      <c r="C1909" s="0" t="s">
        <v>622</v>
      </c>
      <c r="D1909" s="0" t="s">
        <v>132</v>
      </c>
      <c r="E1909" s="0" t="s">
        <v>1724</v>
      </c>
      <c r="F1909" s="0" t="n">
        <v>5</v>
      </c>
      <c r="G1909" s="0" t="n">
        <v>0</v>
      </c>
      <c r="H1909" s="0" t="s">
        <v>585</v>
      </c>
      <c r="K1909" s="0" t="s">
        <v>600</v>
      </c>
      <c r="L1909" s="0" t="s">
        <v>3785</v>
      </c>
    </row>
    <row r="1910" customFormat="false" ht="15" hidden="false" customHeight="false" outlineLevel="0" collapsed="false">
      <c r="A1910" s="0" t="s">
        <v>69</v>
      </c>
      <c r="B1910" s="0" t="s">
        <v>303</v>
      </c>
      <c r="C1910" s="0" t="s">
        <v>622</v>
      </c>
      <c r="D1910" s="0" t="s">
        <v>139</v>
      </c>
      <c r="E1910" s="0" t="s">
        <v>1726</v>
      </c>
      <c r="F1910" s="0" t="n">
        <v>5</v>
      </c>
      <c r="G1910" s="0" t="n">
        <v>0</v>
      </c>
      <c r="H1910" s="0" t="s">
        <v>585</v>
      </c>
      <c r="K1910" s="0" t="s">
        <v>604</v>
      </c>
      <c r="L1910" s="0" t="s">
        <v>3786</v>
      </c>
    </row>
    <row r="1911" customFormat="false" ht="15" hidden="false" customHeight="false" outlineLevel="0" collapsed="false">
      <c r="A1911" s="0" t="s">
        <v>69</v>
      </c>
      <c r="B1911" s="0" t="s">
        <v>303</v>
      </c>
      <c r="C1911" s="0" t="s">
        <v>622</v>
      </c>
      <c r="D1911" s="0" t="s">
        <v>143</v>
      </c>
      <c r="E1911" s="0" t="s">
        <v>1728</v>
      </c>
      <c r="F1911" s="0" t="n">
        <v>5</v>
      </c>
      <c r="G1911" s="0" t="n">
        <v>1</v>
      </c>
      <c r="H1911" s="0" t="s">
        <v>585</v>
      </c>
      <c r="I1911" s="0" t="s">
        <v>505</v>
      </c>
      <c r="K1911" s="0" t="s">
        <v>607</v>
      </c>
      <c r="L1911" s="0" t="s">
        <v>3787</v>
      </c>
    </row>
    <row r="1912" customFormat="false" ht="15" hidden="false" customHeight="false" outlineLevel="0" collapsed="false">
      <c r="A1912" s="0" t="s">
        <v>69</v>
      </c>
      <c r="B1912" s="0" t="s">
        <v>303</v>
      </c>
      <c r="C1912" s="0" t="s">
        <v>622</v>
      </c>
      <c r="D1912" s="0" t="s">
        <v>146</v>
      </c>
      <c r="E1912" s="0" t="s">
        <v>1730</v>
      </c>
      <c r="F1912" s="0" t="n">
        <v>5</v>
      </c>
      <c r="G1912" s="0" t="n">
        <v>0</v>
      </c>
      <c r="H1912" s="0" t="s">
        <v>585</v>
      </c>
      <c r="K1912" s="0" t="s">
        <v>610</v>
      </c>
      <c r="L1912" s="0" t="s">
        <v>3788</v>
      </c>
    </row>
    <row r="1913" customFormat="false" ht="15" hidden="false" customHeight="false" outlineLevel="0" collapsed="false">
      <c r="A1913" s="0" t="s">
        <v>69</v>
      </c>
      <c r="B1913" s="0" t="s">
        <v>303</v>
      </c>
      <c r="C1913" s="0" t="s">
        <v>622</v>
      </c>
      <c r="D1913" s="0" t="s">
        <v>149</v>
      </c>
      <c r="E1913" s="0" t="s">
        <v>1732</v>
      </c>
      <c r="F1913" s="0" t="n">
        <v>5</v>
      </c>
      <c r="G1913" s="0" t="n">
        <v>0</v>
      </c>
      <c r="H1913" s="0" t="s">
        <v>585</v>
      </c>
      <c r="K1913" s="0" t="s">
        <v>613</v>
      </c>
      <c r="L1913" s="0" t="s">
        <v>3789</v>
      </c>
    </row>
    <row r="1914" customFormat="false" ht="15" hidden="false" customHeight="false" outlineLevel="0" collapsed="false">
      <c r="A1914" s="0" t="s">
        <v>69</v>
      </c>
      <c r="B1914" s="0" t="s">
        <v>303</v>
      </c>
      <c r="C1914" s="0" t="s">
        <v>622</v>
      </c>
      <c r="D1914" s="0" t="s">
        <v>152</v>
      </c>
      <c r="E1914" s="0" t="s">
        <v>1734</v>
      </c>
      <c r="F1914" s="0" t="n">
        <v>5</v>
      </c>
      <c r="G1914" s="0" t="n">
        <v>0</v>
      </c>
      <c r="H1914" s="0" t="s">
        <v>585</v>
      </c>
      <c r="K1914" s="0" t="s">
        <v>616</v>
      </c>
      <c r="L1914" s="0" t="s">
        <v>3790</v>
      </c>
    </row>
    <row r="1915" customFormat="false" ht="15" hidden="false" customHeight="false" outlineLevel="0" collapsed="false">
      <c r="A1915" s="0" t="s">
        <v>69</v>
      </c>
      <c r="B1915" s="0" t="s">
        <v>303</v>
      </c>
      <c r="C1915" s="0" t="s">
        <v>622</v>
      </c>
      <c r="D1915" s="0" t="s">
        <v>155</v>
      </c>
      <c r="E1915" s="0" t="s">
        <v>1736</v>
      </c>
      <c r="F1915" s="0" t="n">
        <v>5</v>
      </c>
      <c r="G1915" s="0" t="n">
        <v>0</v>
      </c>
      <c r="H1915" s="0" t="s">
        <v>585</v>
      </c>
      <c r="K1915" s="0" t="s">
        <v>620</v>
      </c>
      <c r="L1915" s="0" t="s">
        <v>3791</v>
      </c>
    </row>
    <row r="1916" customFormat="false" ht="15" hidden="false" customHeight="false" outlineLevel="0" collapsed="false">
      <c r="A1916" s="0" t="s">
        <v>69</v>
      </c>
      <c r="B1916" s="0" t="s">
        <v>303</v>
      </c>
      <c r="C1916" s="0" t="s">
        <v>649</v>
      </c>
      <c r="D1916" s="0" t="s">
        <v>987</v>
      </c>
      <c r="E1916" s="0" t="s">
        <v>1738</v>
      </c>
      <c r="F1916" s="0" t="n">
        <v>5</v>
      </c>
      <c r="G1916" s="0" t="n">
        <v>0</v>
      </c>
      <c r="H1916" s="0" t="s">
        <v>585</v>
      </c>
      <c r="K1916" s="0" t="s">
        <v>581</v>
      </c>
      <c r="L1916" s="0" t="s">
        <v>3792</v>
      </c>
    </row>
    <row r="1917" customFormat="false" ht="15" hidden="false" customHeight="false" outlineLevel="0" collapsed="false">
      <c r="A1917" s="0" t="s">
        <v>69</v>
      </c>
      <c r="B1917" s="0" t="s">
        <v>303</v>
      </c>
      <c r="C1917" s="0" t="s">
        <v>649</v>
      </c>
      <c r="D1917" s="0" t="s">
        <v>990</v>
      </c>
      <c r="E1917" s="0" t="s">
        <v>1740</v>
      </c>
      <c r="F1917" s="0" t="n">
        <v>5</v>
      </c>
      <c r="G1917" s="0" t="n">
        <v>0</v>
      </c>
      <c r="H1917" s="0" t="s">
        <v>585</v>
      </c>
      <c r="K1917" s="0" t="s">
        <v>586</v>
      </c>
      <c r="L1917" s="0" t="s">
        <v>3793</v>
      </c>
    </row>
    <row r="1918" customFormat="false" ht="15" hidden="false" customHeight="false" outlineLevel="0" collapsed="false">
      <c r="A1918" s="0" t="s">
        <v>69</v>
      </c>
      <c r="B1918" s="0" t="s">
        <v>303</v>
      </c>
      <c r="C1918" s="0" t="s">
        <v>649</v>
      </c>
      <c r="D1918" s="0" t="s">
        <v>993</v>
      </c>
      <c r="E1918" s="0" t="s">
        <v>1742</v>
      </c>
      <c r="F1918" s="0" t="n">
        <v>5</v>
      </c>
      <c r="G1918" s="0" t="n">
        <v>5</v>
      </c>
      <c r="H1918" s="0" t="s">
        <v>580</v>
      </c>
      <c r="I1918" s="0" t="s">
        <v>500</v>
      </c>
      <c r="K1918" s="0" t="s">
        <v>590</v>
      </c>
      <c r="L1918" s="0" t="s">
        <v>3794</v>
      </c>
    </row>
    <row r="1919" customFormat="false" ht="15" hidden="false" customHeight="false" outlineLevel="0" collapsed="false">
      <c r="A1919" s="0" t="s">
        <v>69</v>
      </c>
      <c r="B1919" s="0" t="s">
        <v>303</v>
      </c>
      <c r="C1919" s="0" t="s">
        <v>649</v>
      </c>
      <c r="D1919" s="0" t="s">
        <v>126</v>
      </c>
      <c r="E1919" s="0" t="s">
        <v>1744</v>
      </c>
      <c r="F1919" s="0" t="n">
        <v>5</v>
      </c>
      <c r="G1919" s="0" t="n">
        <v>0</v>
      </c>
      <c r="H1919" s="0" t="s">
        <v>585</v>
      </c>
      <c r="K1919" s="0" t="s">
        <v>594</v>
      </c>
      <c r="L1919" s="0" t="s">
        <v>3795</v>
      </c>
    </row>
    <row r="1920" customFormat="false" ht="15" hidden="false" customHeight="false" outlineLevel="0" collapsed="false">
      <c r="A1920" s="0" t="s">
        <v>69</v>
      </c>
      <c r="B1920" s="0" t="s">
        <v>303</v>
      </c>
      <c r="C1920" s="0" t="s">
        <v>649</v>
      </c>
      <c r="D1920" s="0" t="s">
        <v>129</v>
      </c>
      <c r="E1920" s="0" t="s">
        <v>1746</v>
      </c>
      <c r="F1920" s="0" t="n">
        <v>5</v>
      </c>
      <c r="G1920" s="0" t="n">
        <v>0</v>
      </c>
      <c r="H1920" s="0" t="s">
        <v>585</v>
      </c>
      <c r="K1920" s="0" t="s">
        <v>597</v>
      </c>
      <c r="L1920" s="0" t="s">
        <v>3796</v>
      </c>
    </row>
    <row r="1921" customFormat="false" ht="15" hidden="false" customHeight="false" outlineLevel="0" collapsed="false">
      <c r="A1921" s="0" t="s">
        <v>69</v>
      </c>
      <c r="B1921" s="0" t="s">
        <v>303</v>
      </c>
      <c r="C1921" s="0" t="s">
        <v>649</v>
      </c>
      <c r="D1921" s="0" t="s">
        <v>132</v>
      </c>
      <c r="E1921" s="0" t="s">
        <v>1748</v>
      </c>
      <c r="F1921" s="0" t="n">
        <v>5</v>
      </c>
      <c r="G1921" s="0" t="n">
        <v>0</v>
      </c>
      <c r="H1921" s="0" t="s">
        <v>585</v>
      </c>
      <c r="K1921" s="0" t="s">
        <v>600</v>
      </c>
      <c r="L1921" s="0" t="s">
        <v>3797</v>
      </c>
    </row>
    <row r="1922" customFormat="false" ht="15" hidden="false" customHeight="false" outlineLevel="0" collapsed="false">
      <c r="A1922" s="0" t="s">
        <v>69</v>
      </c>
      <c r="B1922" s="0" t="s">
        <v>303</v>
      </c>
      <c r="C1922" s="0" t="s">
        <v>649</v>
      </c>
      <c r="D1922" s="0" t="s">
        <v>139</v>
      </c>
      <c r="E1922" s="0" t="s">
        <v>1750</v>
      </c>
      <c r="F1922" s="0" t="n">
        <v>5</v>
      </c>
      <c r="G1922" s="0" t="n">
        <v>0</v>
      </c>
      <c r="H1922" s="0" t="s">
        <v>585</v>
      </c>
      <c r="K1922" s="0" t="s">
        <v>604</v>
      </c>
      <c r="L1922" s="0" t="s">
        <v>3798</v>
      </c>
    </row>
    <row r="1923" customFormat="false" ht="15" hidden="false" customHeight="false" outlineLevel="0" collapsed="false">
      <c r="A1923" s="0" t="s">
        <v>69</v>
      </c>
      <c r="B1923" s="0" t="s">
        <v>303</v>
      </c>
      <c r="C1923" s="0" t="s">
        <v>649</v>
      </c>
      <c r="D1923" s="0" t="s">
        <v>143</v>
      </c>
      <c r="E1923" s="0" t="s">
        <v>1752</v>
      </c>
      <c r="F1923" s="0" t="n">
        <v>5</v>
      </c>
      <c r="G1923" s="0" t="n">
        <v>0</v>
      </c>
      <c r="H1923" s="0" t="s">
        <v>585</v>
      </c>
      <c r="K1923" s="0" t="s">
        <v>607</v>
      </c>
      <c r="L1923" s="0" t="s">
        <v>3799</v>
      </c>
    </row>
    <row r="1924" customFormat="false" ht="15" hidden="false" customHeight="false" outlineLevel="0" collapsed="false">
      <c r="A1924" s="0" t="s">
        <v>69</v>
      </c>
      <c r="B1924" s="0" t="s">
        <v>303</v>
      </c>
      <c r="C1924" s="0" t="s">
        <v>649</v>
      </c>
      <c r="D1924" s="0" t="s">
        <v>146</v>
      </c>
      <c r="E1924" s="0" t="s">
        <v>1754</v>
      </c>
      <c r="F1924" s="0" t="n">
        <v>5</v>
      </c>
      <c r="G1924" s="0" t="n">
        <v>0</v>
      </c>
      <c r="H1924" s="0" t="s">
        <v>585</v>
      </c>
      <c r="K1924" s="0" t="s">
        <v>610</v>
      </c>
      <c r="L1924" s="0" t="s">
        <v>3800</v>
      </c>
    </row>
    <row r="1925" customFormat="false" ht="15" hidden="false" customHeight="false" outlineLevel="0" collapsed="false">
      <c r="A1925" s="0" t="s">
        <v>69</v>
      </c>
      <c r="B1925" s="0" t="s">
        <v>303</v>
      </c>
      <c r="C1925" s="0" t="s">
        <v>649</v>
      </c>
      <c r="D1925" s="0" t="s">
        <v>149</v>
      </c>
      <c r="E1925" s="0" t="s">
        <v>1756</v>
      </c>
      <c r="F1925" s="0" t="n">
        <v>5</v>
      </c>
      <c r="G1925" s="0" t="n">
        <v>0</v>
      </c>
      <c r="H1925" s="0" t="s">
        <v>585</v>
      </c>
      <c r="K1925" s="0" t="s">
        <v>613</v>
      </c>
      <c r="L1925" s="0" t="s">
        <v>3801</v>
      </c>
    </row>
    <row r="1926" customFormat="false" ht="15" hidden="false" customHeight="false" outlineLevel="0" collapsed="false">
      <c r="A1926" s="0" t="s">
        <v>69</v>
      </c>
      <c r="B1926" s="0" t="s">
        <v>303</v>
      </c>
      <c r="C1926" s="0" t="s">
        <v>649</v>
      </c>
      <c r="D1926" s="0" t="s">
        <v>152</v>
      </c>
      <c r="E1926" s="0" t="s">
        <v>1758</v>
      </c>
      <c r="F1926" s="0" t="n">
        <v>5</v>
      </c>
      <c r="G1926" s="0" t="n">
        <v>0</v>
      </c>
      <c r="H1926" s="0" t="s">
        <v>585</v>
      </c>
      <c r="K1926" s="0" t="s">
        <v>616</v>
      </c>
      <c r="L1926" s="0" t="s">
        <v>3802</v>
      </c>
    </row>
    <row r="1927" customFormat="false" ht="15" hidden="false" customHeight="false" outlineLevel="0" collapsed="false">
      <c r="A1927" s="0" t="s">
        <v>69</v>
      </c>
      <c r="B1927" s="0" t="s">
        <v>303</v>
      </c>
      <c r="C1927" s="0" t="s">
        <v>649</v>
      </c>
      <c r="D1927" s="0" t="s">
        <v>155</v>
      </c>
      <c r="E1927" s="0" t="s">
        <v>1760</v>
      </c>
      <c r="F1927" s="0" t="n">
        <v>5</v>
      </c>
      <c r="G1927" s="0" t="n">
        <v>0</v>
      </c>
      <c r="H1927" s="0" t="s">
        <v>585</v>
      </c>
      <c r="K1927" s="0" t="s">
        <v>620</v>
      </c>
      <c r="L1927" s="0" t="s">
        <v>3803</v>
      </c>
    </row>
    <row r="1928" customFormat="false" ht="15" hidden="false" customHeight="false" outlineLevel="0" collapsed="false">
      <c r="A1928" s="0" t="s">
        <v>69</v>
      </c>
      <c r="B1928" s="0" t="s">
        <v>303</v>
      </c>
      <c r="C1928" s="0" t="s">
        <v>675</v>
      </c>
      <c r="D1928" s="0" t="s">
        <v>987</v>
      </c>
      <c r="E1928" s="0" t="s">
        <v>1762</v>
      </c>
      <c r="F1928" s="0" t="n">
        <v>5</v>
      </c>
      <c r="G1928" s="0" t="n">
        <v>0</v>
      </c>
      <c r="H1928" s="0" t="s">
        <v>585</v>
      </c>
      <c r="K1928" s="0" t="s">
        <v>581</v>
      </c>
      <c r="L1928" s="0" t="s">
        <v>3804</v>
      </c>
    </row>
    <row r="1929" customFormat="false" ht="15" hidden="false" customHeight="false" outlineLevel="0" collapsed="false">
      <c r="A1929" s="0" t="s">
        <v>69</v>
      </c>
      <c r="B1929" s="0" t="s">
        <v>303</v>
      </c>
      <c r="C1929" s="0" t="s">
        <v>675</v>
      </c>
      <c r="D1929" s="0" t="s">
        <v>990</v>
      </c>
      <c r="E1929" s="0" t="s">
        <v>1764</v>
      </c>
      <c r="F1929" s="0" t="n">
        <v>5</v>
      </c>
      <c r="G1929" s="0" t="n">
        <v>0</v>
      </c>
      <c r="H1929" s="0" t="s">
        <v>585</v>
      </c>
      <c r="K1929" s="0" t="s">
        <v>586</v>
      </c>
      <c r="L1929" s="0" t="s">
        <v>3805</v>
      </c>
    </row>
    <row r="1930" customFormat="false" ht="15" hidden="false" customHeight="false" outlineLevel="0" collapsed="false">
      <c r="A1930" s="0" t="s">
        <v>69</v>
      </c>
      <c r="B1930" s="0" t="s">
        <v>303</v>
      </c>
      <c r="C1930" s="0" t="s">
        <v>675</v>
      </c>
      <c r="D1930" s="0" t="s">
        <v>993</v>
      </c>
      <c r="E1930" s="0" t="s">
        <v>1766</v>
      </c>
      <c r="F1930" s="0" t="n">
        <v>5</v>
      </c>
      <c r="G1930" s="0" t="n">
        <v>0</v>
      </c>
      <c r="H1930" s="0" t="s">
        <v>585</v>
      </c>
      <c r="K1930" s="0" t="s">
        <v>590</v>
      </c>
      <c r="L1930" s="0" t="s">
        <v>3806</v>
      </c>
    </row>
    <row r="1931" customFormat="false" ht="15" hidden="false" customHeight="false" outlineLevel="0" collapsed="false">
      <c r="A1931" s="0" t="s">
        <v>69</v>
      </c>
      <c r="B1931" s="0" t="s">
        <v>303</v>
      </c>
      <c r="C1931" s="0" t="s">
        <v>675</v>
      </c>
      <c r="D1931" s="0" t="s">
        <v>126</v>
      </c>
      <c r="E1931" s="0" t="s">
        <v>1768</v>
      </c>
      <c r="F1931" s="0" t="n">
        <v>5</v>
      </c>
      <c r="G1931" s="0" t="n">
        <v>1</v>
      </c>
      <c r="H1931" s="0" t="s">
        <v>585</v>
      </c>
      <c r="I1931" s="0" t="s">
        <v>502</v>
      </c>
      <c r="K1931" s="0" t="s">
        <v>594</v>
      </c>
      <c r="L1931" s="0" t="s">
        <v>3807</v>
      </c>
    </row>
    <row r="1932" customFormat="false" ht="15" hidden="false" customHeight="false" outlineLevel="0" collapsed="false">
      <c r="A1932" s="0" t="s">
        <v>69</v>
      </c>
      <c r="B1932" s="0" t="s">
        <v>303</v>
      </c>
      <c r="C1932" s="0" t="s">
        <v>675</v>
      </c>
      <c r="D1932" s="0" t="s">
        <v>129</v>
      </c>
      <c r="E1932" s="0" t="s">
        <v>1770</v>
      </c>
      <c r="F1932" s="0" t="n">
        <v>5</v>
      </c>
      <c r="G1932" s="0" t="n">
        <v>0</v>
      </c>
      <c r="H1932" s="0" t="s">
        <v>585</v>
      </c>
      <c r="K1932" s="0" t="s">
        <v>597</v>
      </c>
      <c r="L1932" s="0" t="s">
        <v>3808</v>
      </c>
    </row>
    <row r="1933" customFormat="false" ht="15" hidden="false" customHeight="false" outlineLevel="0" collapsed="false">
      <c r="A1933" s="0" t="s">
        <v>69</v>
      </c>
      <c r="B1933" s="0" t="s">
        <v>303</v>
      </c>
      <c r="C1933" s="0" t="s">
        <v>675</v>
      </c>
      <c r="D1933" s="0" t="s">
        <v>132</v>
      </c>
      <c r="E1933" s="0" t="s">
        <v>1772</v>
      </c>
      <c r="F1933" s="0" t="n">
        <v>5</v>
      </c>
      <c r="G1933" s="0" t="n">
        <v>0</v>
      </c>
      <c r="H1933" s="0" t="s">
        <v>585</v>
      </c>
      <c r="K1933" s="0" t="s">
        <v>600</v>
      </c>
      <c r="L1933" s="0" t="s">
        <v>3809</v>
      </c>
    </row>
    <row r="1934" customFormat="false" ht="15" hidden="false" customHeight="false" outlineLevel="0" collapsed="false">
      <c r="A1934" s="0" t="s">
        <v>69</v>
      </c>
      <c r="B1934" s="0" t="s">
        <v>303</v>
      </c>
      <c r="C1934" s="0" t="s">
        <v>675</v>
      </c>
      <c r="D1934" s="0" t="s">
        <v>139</v>
      </c>
      <c r="E1934" s="0" t="s">
        <v>1774</v>
      </c>
      <c r="F1934" s="0" t="n">
        <v>5</v>
      </c>
      <c r="G1934" s="0" t="n">
        <v>0</v>
      </c>
      <c r="H1934" s="0" t="s">
        <v>585</v>
      </c>
      <c r="K1934" s="0" t="s">
        <v>604</v>
      </c>
      <c r="L1934" s="0" t="s">
        <v>3810</v>
      </c>
    </row>
    <row r="1935" customFormat="false" ht="15" hidden="false" customHeight="false" outlineLevel="0" collapsed="false">
      <c r="A1935" s="0" t="s">
        <v>69</v>
      </c>
      <c r="B1935" s="0" t="s">
        <v>303</v>
      </c>
      <c r="C1935" s="0" t="s">
        <v>675</v>
      </c>
      <c r="D1935" s="0" t="s">
        <v>143</v>
      </c>
      <c r="E1935" s="0" t="s">
        <v>1776</v>
      </c>
      <c r="F1935" s="0" t="n">
        <v>5</v>
      </c>
      <c r="G1935" s="0" t="n">
        <v>0</v>
      </c>
      <c r="H1935" s="0" t="s">
        <v>585</v>
      </c>
      <c r="K1935" s="0" t="s">
        <v>607</v>
      </c>
      <c r="L1935" s="0" t="s">
        <v>3811</v>
      </c>
    </row>
    <row r="1936" customFormat="false" ht="15" hidden="false" customHeight="false" outlineLevel="0" collapsed="false">
      <c r="A1936" s="0" t="s">
        <v>69</v>
      </c>
      <c r="B1936" s="0" t="s">
        <v>303</v>
      </c>
      <c r="C1936" s="0" t="s">
        <v>675</v>
      </c>
      <c r="D1936" s="0" t="s">
        <v>146</v>
      </c>
      <c r="E1936" s="0" t="s">
        <v>1778</v>
      </c>
      <c r="F1936" s="0" t="n">
        <v>5</v>
      </c>
      <c r="G1936" s="0" t="n">
        <v>0</v>
      </c>
      <c r="H1936" s="0" t="s">
        <v>585</v>
      </c>
      <c r="K1936" s="0" t="s">
        <v>610</v>
      </c>
      <c r="L1936" s="0" t="s">
        <v>3812</v>
      </c>
    </row>
    <row r="1937" customFormat="false" ht="15" hidden="false" customHeight="false" outlineLevel="0" collapsed="false">
      <c r="A1937" s="0" t="s">
        <v>69</v>
      </c>
      <c r="B1937" s="0" t="s">
        <v>303</v>
      </c>
      <c r="C1937" s="0" t="s">
        <v>675</v>
      </c>
      <c r="D1937" s="0" t="s">
        <v>149</v>
      </c>
      <c r="E1937" s="0" t="s">
        <v>1780</v>
      </c>
      <c r="F1937" s="0" t="n">
        <v>5</v>
      </c>
      <c r="G1937" s="0" t="n">
        <v>0</v>
      </c>
      <c r="H1937" s="0" t="s">
        <v>585</v>
      </c>
      <c r="K1937" s="0" t="s">
        <v>613</v>
      </c>
      <c r="L1937" s="0" t="s">
        <v>3813</v>
      </c>
    </row>
    <row r="1938" customFormat="false" ht="15" hidden="false" customHeight="false" outlineLevel="0" collapsed="false">
      <c r="A1938" s="0" t="s">
        <v>69</v>
      </c>
      <c r="B1938" s="0" t="s">
        <v>303</v>
      </c>
      <c r="C1938" s="0" t="s">
        <v>675</v>
      </c>
      <c r="D1938" s="0" t="s">
        <v>152</v>
      </c>
      <c r="E1938" s="0" t="s">
        <v>1782</v>
      </c>
      <c r="F1938" s="0" t="n">
        <v>5</v>
      </c>
      <c r="G1938" s="0" t="n">
        <v>0</v>
      </c>
      <c r="H1938" s="0" t="s">
        <v>585</v>
      </c>
      <c r="K1938" s="0" t="s">
        <v>616</v>
      </c>
      <c r="L1938" s="0" t="s">
        <v>3814</v>
      </c>
    </row>
    <row r="1939" customFormat="false" ht="15" hidden="false" customHeight="false" outlineLevel="0" collapsed="false">
      <c r="A1939" s="0" t="s">
        <v>69</v>
      </c>
      <c r="B1939" s="0" t="s">
        <v>303</v>
      </c>
      <c r="C1939" s="0" t="s">
        <v>675</v>
      </c>
      <c r="D1939" s="0" t="s">
        <v>155</v>
      </c>
      <c r="E1939" s="0" t="s">
        <v>1784</v>
      </c>
      <c r="F1939" s="0" t="n">
        <v>5</v>
      </c>
      <c r="G1939" s="0" t="n">
        <v>0</v>
      </c>
      <c r="H1939" s="0" t="s">
        <v>585</v>
      </c>
      <c r="K1939" s="0" t="s">
        <v>620</v>
      </c>
      <c r="L1939" s="0" t="s">
        <v>3815</v>
      </c>
    </row>
    <row r="1940" customFormat="false" ht="15" hidden="false" customHeight="false" outlineLevel="0" collapsed="false">
      <c r="A1940" s="0" t="s">
        <v>69</v>
      </c>
      <c r="B1940" s="0" t="s">
        <v>303</v>
      </c>
      <c r="C1940" s="0" t="s">
        <v>701</v>
      </c>
      <c r="D1940" s="0" t="s">
        <v>987</v>
      </c>
      <c r="E1940" s="0" t="s">
        <v>1786</v>
      </c>
      <c r="F1940" s="0" t="n">
        <v>5</v>
      </c>
      <c r="G1940" s="0" t="n">
        <v>0</v>
      </c>
      <c r="H1940" s="0" t="s">
        <v>585</v>
      </c>
      <c r="K1940" s="0" t="s">
        <v>581</v>
      </c>
      <c r="L1940" s="0" t="s">
        <v>3816</v>
      </c>
    </row>
    <row r="1941" customFormat="false" ht="15" hidden="false" customHeight="false" outlineLevel="0" collapsed="false">
      <c r="A1941" s="0" t="s">
        <v>69</v>
      </c>
      <c r="B1941" s="0" t="s">
        <v>303</v>
      </c>
      <c r="C1941" s="0" t="s">
        <v>701</v>
      </c>
      <c r="D1941" s="0" t="s">
        <v>990</v>
      </c>
      <c r="E1941" s="0" t="s">
        <v>1788</v>
      </c>
      <c r="F1941" s="0" t="n">
        <v>5</v>
      </c>
      <c r="G1941" s="0" t="n">
        <v>1</v>
      </c>
      <c r="H1941" s="0" t="s">
        <v>585</v>
      </c>
      <c r="I1941" s="0" t="s">
        <v>502</v>
      </c>
      <c r="K1941" s="0" t="s">
        <v>586</v>
      </c>
      <c r="L1941" s="0" t="s">
        <v>3817</v>
      </c>
    </row>
    <row r="1942" customFormat="false" ht="15" hidden="false" customHeight="false" outlineLevel="0" collapsed="false">
      <c r="A1942" s="0" t="s">
        <v>69</v>
      </c>
      <c r="B1942" s="0" t="s">
        <v>303</v>
      </c>
      <c r="C1942" s="0" t="s">
        <v>701</v>
      </c>
      <c r="D1942" s="0" t="s">
        <v>993</v>
      </c>
      <c r="E1942" s="0" t="s">
        <v>1790</v>
      </c>
      <c r="F1942" s="0" t="n">
        <v>5</v>
      </c>
      <c r="G1942" s="0" t="n">
        <v>0</v>
      </c>
      <c r="H1942" s="0" t="s">
        <v>585</v>
      </c>
      <c r="K1942" s="0" t="s">
        <v>590</v>
      </c>
      <c r="L1942" s="0" t="s">
        <v>3818</v>
      </c>
    </row>
    <row r="1943" customFormat="false" ht="15" hidden="false" customHeight="false" outlineLevel="0" collapsed="false">
      <c r="A1943" s="0" t="s">
        <v>69</v>
      </c>
      <c r="B1943" s="0" t="s">
        <v>303</v>
      </c>
      <c r="C1943" s="0" t="s">
        <v>701</v>
      </c>
      <c r="D1943" s="0" t="s">
        <v>126</v>
      </c>
      <c r="E1943" s="0" t="s">
        <v>1792</v>
      </c>
      <c r="F1943" s="0" t="n">
        <v>5</v>
      </c>
      <c r="G1943" s="0" t="n">
        <v>0</v>
      </c>
      <c r="H1943" s="0" t="s">
        <v>585</v>
      </c>
      <c r="K1943" s="0" t="s">
        <v>594</v>
      </c>
      <c r="L1943" s="0" t="s">
        <v>3819</v>
      </c>
    </row>
    <row r="1944" customFormat="false" ht="15" hidden="false" customHeight="false" outlineLevel="0" collapsed="false">
      <c r="A1944" s="0" t="s">
        <v>69</v>
      </c>
      <c r="B1944" s="0" t="s">
        <v>303</v>
      </c>
      <c r="C1944" s="0" t="s">
        <v>701</v>
      </c>
      <c r="D1944" s="0" t="s">
        <v>129</v>
      </c>
      <c r="E1944" s="0" t="s">
        <v>1794</v>
      </c>
      <c r="F1944" s="0" t="n">
        <v>5</v>
      </c>
      <c r="G1944" s="0" t="n">
        <v>0</v>
      </c>
      <c r="H1944" s="0" t="s">
        <v>585</v>
      </c>
      <c r="K1944" s="0" t="s">
        <v>597</v>
      </c>
      <c r="L1944" s="0" t="s">
        <v>3820</v>
      </c>
    </row>
    <row r="1945" customFormat="false" ht="15" hidden="false" customHeight="false" outlineLevel="0" collapsed="false">
      <c r="A1945" s="0" t="s">
        <v>69</v>
      </c>
      <c r="B1945" s="0" t="s">
        <v>303</v>
      </c>
      <c r="C1945" s="0" t="s">
        <v>701</v>
      </c>
      <c r="D1945" s="0" t="s">
        <v>132</v>
      </c>
      <c r="E1945" s="0" t="s">
        <v>1796</v>
      </c>
      <c r="F1945" s="0" t="n">
        <v>5</v>
      </c>
      <c r="G1945" s="0" t="n">
        <v>0</v>
      </c>
      <c r="H1945" s="0" t="s">
        <v>585</v>
      </c>
      <c r="K1945" s="0" t="s">
        <v>600</v>
      </c>
      <c r="L1945" s="0" t="s">
        <v>3821</v>
      </c>
    </row>
    <row r="1946" customFormat="false" ht="15" hidden="false" customHeight="false" outlineLevel="0" collapsed="false">
      <c r="A1946" s="0" t="s">
        <v>69</v>
      </c>
      <c r="B1946" s="0" t="s">
        <v>303</v>
      </c>
      <c r="C1946" s="0" t="s">
        <v>701</v>
      </c>
      <c r="D1946" s="0" t="s">
        <v>139</v>
      </c>
      <c r="E1946" s="0" t="s">
        <v>1798</v>
      </c>
      <c r="F1946" s="0" t="n">
        <v>5</v>
      </c>
      <c r="G1946" s="0" t="n">
        <v>0</v>
      </c>
      <c r="H1946" s="0" t="s">
        <v>585</v>
      </c>
      <c r="K1946" s="0" t="s">
        <v>604</v>
      </c>
      <c r="L1946" s="0" t="s">
        <v>3822</v>
      </c>
    </row>
    <row r="1947" customFormat="false" ht="15" hidden="false" customHeight="false" outlineLevel="0" collapsed="false">
      <c r="A1947" s="0" t="s">
        <v>69</v>
      </c>
      <c r="B1947" s="0" t="s">
        <v>303</v>
      </c>
      <c r="C1947" s="0" t="s">
        <v>701</v>
      </c>
      <c r="D1947" s="0" t="s">
        <v>143</v>
      </c>
      <c r="E1947" s="0" t="s">
        <v>1800</v>
      </c>
      <c r="F1947" s="0" t="n">
        <v>5</v>
      </c>
      <c r="G1947" s="0" t="n">
        <v>0</v>
      </c>
      <c r="H1947" s="0" t="s">
        <v>585</v>
      </c>
      <c r="K1947" s="0" t="s">
        <v>607</v>
      </c>
      <c r="L1947" s="0" t="s">
        <v>3823</v>
      </c>
    </row>
    <row r="1948" customFormat="false" ht="15" hidden="false" customHeight="false" outlineLevel="0" collapsed="false">
      <c r="A1948" s="0" t="s">
        <v>69</v>
      </c>
      <c r="B1948" s="0" t="s">
        <v>303</v>
      </c>
      <c r="C1948" s="0" t="s">
        <v>701</v>
      </c>
      <c r="D1948" s="0" t="s">
        <v>146</v>
      </c>
      <c r="E1948" s="0" t="s">
        <v>1802</v>
      </c>
      <c r="F1948" s="0" t="n">
        <v>5</v>
      </c>
      <c r="G1948" s="0" t="n">
        <v>0</v>
      </c>
      <c r="H1948" s="0" t="s">
        <v>585</v>
      </c>
      <c r="K1948" s="0" t="s">
        <v>610</v>
      </c>
      <c r="L1948" s="0" t="s">
        <v>3824</v>
      </c>
    </row>
    <row r="1949" customFormat="false" ht="15" hidden="false" customHeight="false" outlineLevel="0" collapsed="false">
      <c r="A1949" s="0" t="s">
        <v>69</v>
      </c>
      <c r="B1949" s="0" t="s">
        <v>303</v>
      </c>
      <c r="C1949" s="0" t="s">
        <v>701</v>
      </c>
      <c r="D1949" s="0" t="s">
        <v>149</v>
      </c>
      <c r="E1949" s="0" t="s">
        <v>1804</v>
      </c>
      <c r="F1949" s="0" t="n">
        <v>5</v>
      </c>
      <c r="G1949" s="0" t="n">
        <v>0</v>
      </c>
      <c r="H1949" s="0" t="s">
        <v>585</v>
      </c>
      <c r="K1949" s="0" t="s">
        <v>613</v>
      </c>
      <c r="L1949" s="0" t="s">
        <v>3825</v>
      </c>
    </row>
    <row r="1950" customFormat="false" ht="15" hidden="false" customHeight="false" outlineLevel="0" collapsed="false">
      <c r="A1950" s="0" t="s">
        <v>69</v>
      </c>
      <c r="B1950" s="0" t="s">
        <v>303</v>
      </c>
      <c r="C1950" s="0" t="s">
        <v>701</v>
      </c>
      <c r="D1950" s="0" t="s">
        <v>152</v>
      </c>
      <c r="E1950" s="0" t="s">
        <v>1806</v>
      </c>
      <c r="F1950" s="0" t="n">
        <v>5</v>
      </c>
      <c r="G1950" s="0" t="n">
        <v>0</v>
      </c>
      <c r="H1950" s="0" t="s">
        <v>585</v>
      </c>
      <c r="K1950" s="0" t="s">
        <v>616</v>
      </c>
      <c r="L1950" s="0" t="s">
        <v>3826</v>
      </c>
    </row>
    <row r="1951" customFormat="false" ht="15" hidden="false" customHeight="false" outlineLevel="0" collapsed="false">
      <c r="A1951" s="0" t="s">
        <v>69</v>
      </c>
      <c r="B1951" s="0" t="s">
        <v>303</v>
      </c>
      <c r="C1951" s="0" t="s">
        <v>701</v>
      </c>
      <c r="D1951" s="0" t="s">
        <v>155</v>
      </c>
      <c r="E1951" s="0" t="s">
        <v>1808</v>
      </c>
      <c r="F1951" s="0" t="n">
        <v>5</v>
      </c>
      <c r="G1951" s="0" t="n">
        <v>0</v>
      </c>
      <c r="H1951" s="0" t="s">
        <v>585</v>
      </c>
      <c r="K1951" s="0" t="s">
        <v>620</v>
      </c>
      <c r="L1951" s="0" t="s">
        <v>3827</v>
      </c>
    </row>
    <row r="1952" customFormat="false" ht="15" hidden="false" customHeight="false" outlineLevel="0" collapsed="false">
      <c r="A1952" s="0" t="s">
        <v>69</v>
      </c>
      <c r="B1952" s="0" t="s">
        <v>303</v>
      </c>
      <c r="C1952" s="0" t="s">
        <v>728</v>
      </c>
      <c r="D1952" s="0" t="s">
        <v>987</v>
      </c>
      <c r="E1952" s="0" t="s">
        <v>1810</v>
      </c>
      <c r="F1952" s="0" t="n">
        <v>5</v>
      </c>
      <c r="G1952" s="0" t="n">
        <v>0</v>
      </c>
      <c r="H1952" s="0" t="s">
        <v>585</v>
      </c>
      <c r="K1952" s="0" t="s">
        <v>581</v>
      </c>
      <c r="L1952" s="0" t="s">
        <v>3828</v>
      </c>
    </row>
    <row r="1953" customFormat="false" ht="15" hidden="false" customHeight="false" outlineLevel="0" collapsed="false">
      <c r="A1953" s="0" t="s">
        <v>69</v>
      </c>
      <c r="B1953" s="0" t="s">
        <v>303</v>
      </c>
      <c r="C1953" s="0" t="s">
        <v>728</v>
      </c>
      <c r="D1953" s="0" t="s">
        <v>990</v>
      </c>
      <c r="E1953" s="0" t="s">
        <v>1812</v>
      </c>
      <c r="F1953" s="0" t="n">
        <v>5</v>
      </c>
      <c r="G1953" s="0" t="n">
        <v>1</v>
      </c>
      <c r="H1953" s="0" t="s">
        <v>585</v>
      </c>
      <c r="I1953" s="0" t="s">
        <v>509</v>
      </c>
      <c r="K1953" s="0" t="s">
        <v>586</v>
      </c>
      <c r="L1953" s="0" t="s">
        <v>3829</v>
      </c>
    </row>
    <row r="1954" customFormat="false" ht="15" hidden="false" customHeight="false" outlineLevel="0" collapsed="false">
      <c r="A1954" s="0" t="s">
        <v>69</v>
      </c>
      <c r="B1954" s="0" t="s">
        <v>303</v>
      </c>
      <c r="C1954" s="0" t="s">
        <v>728</v>
      </c>
      <c r="D1954" s="0" t="s">
        <v>993</v>
      </c>
      <c r="E1954" s="0" t="s">
        <v>1814</v>
      </c>
      <c r="F1954" s="0" t="n">
        <v>5</v>
      </c>
      <c r="G1954" s="0" t="n">
        <v>5</v>
      </c>
      <c r="H1954" s="0" t="s">
        <v>580</v>
      </c>
      <c r="I1954" s="0" t="s">
        <v>500</v>
      </c>
      <c r="K1954" s="0" t="s">
        <v>590</v>
      </c>
      <c r="L1954" s="0" t="s">
        <v>3830</v>
      </c>
    </row>
    <row r="1955" customFormat="false" ht="15" hidden="false" customHeight="false" outlineLevel="0" collapsed="false">
      <c r="A1955" s="0" t="s">
        <v>69</v>
      </c>
      <c r="B1955" s="0" t="s">
        <v>303</v>
      </c>
      <c r="C1955" s="0" t="s">
        <v>728</v>
      </c>
      <c r="D1955" s="0" t="s">
        <v>126</v>
      </c>
      <c r="E1955" s="0" t="s">
        <v>1816</v>
      </c>
      <c r="F1955" s="0" t="n">
        <v>5</v>
      </c>
      <c r="G1955" s="0" t="n">
        <v>0</v>
      </c>
      <c r="H1955" s="0" t="s">
        <v>585</v>
      </c>
      <c r="K1955" s="0" t="s">
        <v>594</v>
      </c>
      <c r="L1955" s="0" t="s">
        <v>3831</v>
      </c>
    </row>
    <row r="1956" customFormat="false" ht="15" hidden="false" customHeight="false" outlineLevel="0" collapsed="false">
      <c r="A1956" s="0" t="s">
        <v>69</v>
      </c>
      <c r="B1956" s="0" t="s">
        <v>303</v>
      </c>
      <c r="C1956" s="0" t="s">
        <v>728</v>
      </c>
      <c r="D1956" s="0" t="s">
        <v>129</v>
      </c>
      <c r="E1956" s="0" t="s">
        <v>1818</v>
      </c>
      <c r="F1956" s="0" t="n">
        <v>5</v>
      </c>
      <c r="G1956" s="0" t="n">
        <v>0</v>
      </c>
      <c r="H1956" s="0" t="s">
        <v>585</v>
      </c>
      <c r="K1956" s="0" t="s">
        <v>597</v>
      </c>
      <c r="L1956" s="0" t="s">
        <v>3832</v>
      </c>
    </row>
    <row r="1957" customFormat="false" ht="15" hidden="false" customHeight="false" outlineLevel="0" collapsed="false">
      <c r="A1957" s="0" t="s">
        <v>69</v>
      </c>
      <c r="B1957" s="0" t="s">
        <v>303</v>
      </c>
      <c r="C1957" s="0" t="s">
        <v>728</v>
      </c>
      <c r="D1957" s="0" t="s">
        <v>132</v>
      </c>
      <c r="E1957" s="0" t="s">
        <v>1820</v>
      </c>
      <c r="F1957" s="0" t="n">
        <v>5</v>
      </c>
      <c r="G1957" s="0" t="n">
        <v>1</v>
      </c>
      <c r="H1957" s="0" t="s">
        <v>585</v>
      </c>
      <c r="I1957" s="0" t="s">
        <v>502</v>
      </c>
      <c r="K1957" s="0" t="s">
        <v>600</v>
      </c>
      <c r="L1957" s="0" t="s">
        <v>3833</v>
      </c>
    </row>
    <row r="1958" customFormat="false" ht="15" hidden="false" customHeight="false" outlineLevel="0" collapsed="false">
      <c r="A1958" s="0" t="s">
        <v>69</v>
      </c>
      <c r="B1958" s="0" t="s">
        <v>303</v>
      </c>
      <c r="C1958" s="0" t="s">
        <v>728</v>
      </c>
      <c r="D1958" s="0" t="s">
        <v>139</v>
      </c>
      <c r="E1958" s="0" t="s">
        <v>1822</v>
      </c>
      <c r="F1958" s="0" t="n">
        <v>5</v>
      </c>
      <c r="G1958" s="0" t="n">
        <v>2</v>
      </c>
      <c r="H1958" s="0" t="s">
        <v>585</v>
      </c>
      <c r="I1958" s="0" t="s">
        <v>500</v>
      </c>
      <c r="K1958" s="0" t="s">
        <v>604</v>
      </c>
      <c r="L1958" s="0" t="s">
        <v>3834</v>
      </c>
    </row>
    <row r="1959" customFormat="false" ht="15" hidden="false" customHeight="false" outlineLevel="0" collapsed="false">
      <c r="A1959" s="0" t="s">
        <v>69</v>
      </c>
      <c r="B1959" s="0" t="s">
        <v>303</v>
      </c>
      <c r="C1959" s="0" t="s">
        <v>728</v>
      </c>
      <c r="D1959" s="0" t="s">
        <v>143</v>
      </c>
      <c r="E1959" s="0" t="s">
        <v>1824</v>
      </c>
      <c r="F1959" s="0" t="n">
        <v>5</v>
      </c>
      <c r="G1959" s="0" t="n">
        <v>0</v>
      </c>
      <c r="H1959" s="0" t="s">
        <v>585</v>
      </c>
      <c r="K1959" s="0" t="s">
        <v>607</v>
      </c>
      <c r="L1959" s="0" t="s">
        <v>3835</v>
      </c>
    </row>
    <row r="1960" customFormat="false" ht="15" hidden="false" customHeight="false" outlineLevel="0" collapsed="false">
      <c r="A1960" s="0" t="s">
        <v>69</v>
      </c>
      <c r="B1960" s="0" t="s">
        <v>303</v>
      </c>
      <c r="C1960" s="0" t="s">
        <v>728</v>
      </c>
      <c r="D1960" s="0" t="s">
        <v>146</v>
      </c>
      <c r="E1960" s="0" t="s">
        <v>1826</v>
      </c>
      <c r="F1960" s="0" t="n">
        <v>5</v>
      </c>
      <c r="G1960" s="0" t="n">
        <v>0</v>
      </c>
      <c r="H1960" s="0" t="s">
        <v>585</v>
      </c>
      <c r="K1960" s="0" t="s">
        <v>610</v>
      </c>
      <c r="L1960" s="0" t="s">
        <v>3836</v>
      </c>
    </row>
    <row r="1961" customFormat="false" ht="15" hidden="false" customHeight="false" outlineLevel="0" collapsed="false">
      <c r="A1961" s="0" t="s">
        <v>69</v>
      </c>
      <c r="B1961" s="0" t="s">
        <v>303</v>
      </c>
      <c r="C1961" s="0" t="s">
        <v>728</v>
      </c>
      <c r="D1961" s="0" t="s">
        <v>149</v>
      </c>
      <c r="E1961" s="0" t="s">
        <v>1828</v>
      </c>
      <c r="F1961" s="0" t="n">
        <v>5</v>
      </c>
      <c r="G1961" s="0" t="n">
        <v>0</v>
      </c>
      <c r="H1961" s="0" t="s">
        <v>585</v>
      </c>
      <c r="K1961" s="0" t="s">
        <v>613</v>
      </c>
      <c r="L1961" s="0" t="s">
        <v>3837</v>
      </c>
    </row>
    <row r="1962" customFormat="false" ht="15" hidden="false" customHeight="false" outlineLevel="0" collapsed="false">
      <c r="A1962" s="0" t="s">
        <v>69</v>
      </c>
      <c r="B1962" s="0" t="s">
        <v>303</v>
      </c>
      <c r="C1962" s="0" t="s">
        <v>728</v>
      </c>
      <c r="D1962" s="0" t="s">
        <v>152</v>
      </c>
      <c r="E1962" s="0" t="s">
        <v>1830</v>
      </c>
      <c r="F1962" s="0" t="n">
        <v>5</v>
      </c>
      <c r="G1962" s="0" t="n">
        <v>0</v>
      </c>
      <c r="H1962" s="0" t="s">
        <v>585</v>
      </c>
      <c r="K1962" s="0" t="s">
        <v>616</v>
      </c>
      <c r="L1962" s="0" t="s">
        <v>3838</v>
      </c>
    </row>
    <row r="1963" customFormat="false" ht="15" hidden="false" customHeight="false" outlineLevel="0" collapsed="false">
      <c r="A1963" s="0" t="s">
        <v>69</v>
      </c>
      <c r="B1963" s="0" t="s">
        <v>303</v>
      </c>
      <c r="C1963" s="0" t="s">
        <v>728</v>
      </c>
      <c r="D1963" s="0" t="s">
        <v>155</v>
      </c>
      <c r="E1963" s="0" t="s">
        <v>1832</v>
      </c>
      <c r="F1963" s="0" t="n">
        <v>5</v>
      </c>
      <c r="G1963" s="0" t="n">
        <v>0</v>
      </c>
      <c r="H1963" s="0" t="s">
        <v>585</v>
      </c>
      <c r="K1963" s="0" t="s">
        <v>620</v>
      </c>
      <c r="L1963" s="0" t="s">
        <v>3839</v>
      </c>
    </row>
    <row r="1964" customFormat="false" ht="15" hidden="false" customHeight="false" outlineLevel="0" collapsed="false">
      <c r="A1964" s="0" t="s">
        <v>69</v>
      </c>
      <c r="B1964" s="0" t="s">
        <v>303</v>
      </c>
      <c r="C1964" s="0" t="s">
        <v>754</v>
      </c>
      <c r="D1964" s="0" t="s">
        <v>987</v>
      </c>
      <c r="E1964" s="0" t="s">
        <v>1834</v>
      </c>
      <c r="F1964" s="0" t="n">
        <v>5</v>
      </c>
      <c r="G1964" s="0" t="n">
        <v>0</v>
      </c>
      <c r="H1964" s="0" t="s">
        <v>585</v>
      </c>
      <c r="K1964" s="0" t="s">
        <v>581</v>
      </c>
      <c r="L1964" s="0" t="s">
        <v>3840</v>
      </c>
    </row>
    <row r="1965" customFormat="false" ht="15" hidden="false" customHeight="false" outlineLevel="0" collapsed="false">
      <c r="A1965" s="0" t="s">
        <v>69</v>
      </c>
      <c r="B1965" s="0" t="s">
        <v>303</v>
      </c>
      <c r="C1965" s="0" t="s">
        <v>754</v>
      </c>
      <c r="D1965" s="0" t="s">
        <v>990</v>
      </c>
      <c r="E1965" s="0" t="s">
        <v>1836</v>
      </c>
      <c r="F1965" s="0" t="n">
        <v>5</v>
      </c>
      <c r="G1965" s="0" t="n">
        <v>0</v>
      </c>
      <c r="H1965" s="0" t="s">
        <v>585</v>
      </c>
      <c r="K1965" s="0" t="s">
        <v>586</v>
      </c>
      <c r="L1965" s="0" t="s">
        <v>3841</v>
      </c>
    </row>
    <row r="1966" customFormat="false" ht="15" hidden="false" customHeight="false" outlineLevel="0" collapsed="false">
      <c r="A1966" s="0" t="s">
        <v>69</v>
      </c>
      <c r="B1966" s="0" t="s">
        <v>303</v>
      </c>
      <c r="C1966" s="0" t="s">
        <v>754</v>
      </c>
      <c r="D1966" s="0" t="s">
        <v>993</v>
      </c>
      <c r="E1966" s="0" t="s">
        <v>1838</v>
      </c>
      <c r="F1966" s="0" t="n">
        <v>5</v>
      </c>
      <c r="G1966" s="0" t="n">
        <v>2</v>
      </c>
      <c r="H1966" s="0" t="s">
        <v>585</v>
      </c>
      <c r="I1966" s="0" t="s">
        <v>505</v>
      </c>
      <c r="K1966" s="0" t="s">
        <v>590</v>
      </c>
      <c r="L1966" s="0" t="s">
        <v>3842</v>
      </c>
    </row>
    <row r="1967" customFormat="false" ht="15" hidden="false" customHeight="false" outlineLevel="0" collapsed="false">
      <c r="A1967" s="0" t="s">
        <v>69</v>
      </c>
      <c r="B1967" s="0" t="s">
        <v>303</v>
      </c>
      <c r="C1967" s="0" t="s">
        <v>754</v>
      </c>
      <c r="D1967" s="0" t="s">
        <v>126</v>
      </c>
      <c r="E1967" s="0" t="s">
        <v>1840</v>
      </c>
      <c r="F1967" s="0" t="n">
        <v>5</v>
      </c>
      <c r="G1967" s="0" t="n">
        <v>0</v>
      </c>
      <c r="H1967" s="0" t="s">
        <v>585</v>
      </c>
      <c r="K1967" s="0" t="s">
        <v>594</v>
      </c>
      <c r="L1967" s="0" t="s">
        <v>3843</v>
      </c>
    </row>
    <row r="1968" customFormat="false" ht="15" hidden="false" customHeight="false" outlineLevel="0" collapsed="false">
      <c r="A1968" s="0" t="s">
        <v>69</v>
      </c>
      <c r="B1968" s="0" t="s">
        <v>303</v>
      </c>
      <c r="C1968" s="0" t="s">
        <v>754</v>
      </c>
      <c r="D1968" s="0" t="s">
        <v>129</v>
      </c>
      <c r="E1968" s="0" t="s">
        <v>1842</v>
      </c>
      <c r="F1968" s="0" t="n">
        <v>5</v>
      </c>
      <c r="G1968" s="0" t="n">
        <v>0</v>
      </c>
      <c r="H1968" s="0" t="s">
        <v>585</v>
      </c>
      <c r="K1968" s="0" t="s">
        <v>597</v>
      </c>
      <c r="L1968" s="0" t="s">
        <v>3844</v>
      </c>
    </row>
    <row r="1969" customFormat="false" ht="15" hidden="false" customHeight="false" outlineLevel="0" collapsed="false">
      <c r="A1969" s="0" t="s">
        <v>69</v>
      </c>
      <c r="B1969" s="0" t="s">
        <v>303</v>
      </c>
      <c r="C1969" s="0" t="s">
        <v>754</v>
      </c>
      <c r="D1969" s="0" t="s">
        <v>132</v>
      </c>
      <c r="E1969" s="0" t="s">
        <v>1844</v>
      </c>
      <c r="F1969" s="0" t="n">
        <v>5</v>
      </c>
      <c r="G1969" s="0" t="n">
        <v>0</v>
      </c>
      <c r="H1969" s="0" t="s">
        <v>585</v>
      </c>
      <c r="K1969" s="0" t="s">
        <v>600</v>
      </c>
      <c r="L1969" s="0" t="s">
        <v>3845</v>
      </c>
    </row>
    <row r="1970" customFormat="false" ht="15" hidden="false" customHeight="false" outlineLevel="0" collapsed="false">
      <c r="A1970" s="0" t="s">
        <v>69</v>
      </c>
      <c r="B1970" s="0" t="s">
        <v>303</v>
      </c>
      <c r="C1970" s="0" t="s">
        <v>754</v>
      </c>
      <c r="D1970" s="0" t="s">
        <v>139</v>
      </c>
      <c r="E1970" s="0" t="s">
        <v>1846</v>
      </c>
      <c r="F1970" s="0" t="n">
        <v>5</v>
      </c>
      <c r="G1970" s="0" t="n">
        <v>0</v>
      </c>
      <c r="H1970" s="0" t="s">
        <v>585</v>
      </c>
      <c r="K1970" s="0" t="s">
        <v>604</v>
      </c>
      <c r="L1970" s="0" t="s">
        <v>3846</v>
      </c>
    </row>
    <row r="1971" customFormat="false" ht="15" hidden="false" customHeight="false" outlineLevel="0" collapsed="false">
      <c r="A1971" s="0" t="s">
        <v>69</v>
      </c>
      <c r="B1971" s="0" t="s">
        <v>303</v>
      </c>
      <c r="C1971" s="0" t="s">
        <v>754</v>
      </c>
      <c r="D1971" s="0" t="s">
        <v>143</v>
      </c>
      <c r="E1971" s="0" t="s">
        <v>1848</v>
      </c>
      <c r="F1971" s="0" t="n">
        <v>5</v>
      </c>
      <c r="G1971" s="0" t="n">
        <v>0</v>
      </c>
      <c r="H1971" s="0" t="s">
        <v>585</v>
      </c>
      <c r="K1971" s="0" t="s">
        <v>607</v>
      </c>
      <c r="L1971" s="0" t="s">
        <v>3847</v>
      </c>
    </row>
    <row r="1972" customFormat="false" ht="15" hidden="false" customHeight="false" outlineLevel="0" collapsed="false">
      <c r="A1972" s="0" t="s">
        <v>69</v>
      </c>
      <c r="B1972" s="0" t="s">
        <v>303</v>
      </c>
      <c r="C1972" s="0" t="s">
        <v>754</v>
      </c>
      <c r="D1972" s="0" t="s">
        <v>146</v>
      </c>
      <c r="E1972" s="0" t="s">
        <v>1850</v>
      </c>
      <c r="F1972" s="0" t="n">
        <v>5</v>
      </c>
      <c r="G1972" s="0" t="n">
        <v>0</v>
      </c>
      <c r="H1972" s="0" t="s">
        <v>585</v>
      </c>
      <c r="K1972" s="0" t="s">
        <v>610</v>
      </c>
      <c r="L1972" s="0" t="s">
        <v>3848</v>
      </c>
    </row>
    <row r="1973" customFormat="false" ht="15" hidden="false" customHeight="false" outlineLevel="0" collapsed="false">
      <c r="A1973" s="0" t="s">
        <v>69</v>
      </c>
      <c r="B1973" s="0" t="s">
        <v>303</v>
      </c>
      <c r="C1973" s="0" t="s">
        <v>754</v>
      </c>
      <c r="D1973" s="0" t="s">
        <v>149</v>
      </c>
      <c r="E1973" s="0" t="s">
        <v>1852</v>
      </c>
      <c r="F1973" s="0" t="n">
        <v>5</v>
      </c>
      <c r="G1973" s="0" t="n">
        <v>0</v>
      </c>
      <c r="H1973" s="0" t="s">
        <v>585</v>
      </c>
      <c r="K1973" s="0" t="s">
        <v>613</v>
      </c>
      <c r="L1973" s="0" t="s">
        <v>3849</v>
      </c>
    </row>
    <row r="1974" customFormat="false" ht="15" hidden="false" customHeight="false" outlineLevel="0" collapsed="false">
      <c r="A1974" s="0" t="s">
        <v>69</v>
      </c>
      <c r="B1974" s="0" t="s">
        <v>303</v>
      </c>
      <c r="C1974" s="0" t="s">
        <v>754</v>
      </c>
      <c r="D1974" s="0" t="s">
        <v>152</v>
      </c>
      <c r="E1974" s="0" t="s">
        <v>1854</v>
      </c>
      <c r="F1974" s="0" t="n">
        <v>5</v>
      </c>
      <c r="G1974" s="0" t="n">
        <v>0</v>
      </c>
      <c r="H1974" s="0" t="s">
        <v>585</v>
      </c>
      <c r="K1974" s="0" t="s">
        <v>616</v>
      </c>
      <c r="L1974" s="0" t="s">
        <v>3850</v>
      </c>
    </row>
    <row r="1975" customFormat="false" ht="15" hidden="false" customHeight="false" outlineLevel="0" collapsed="false">
      <c r="A1975" s="0" t="s">
        <v>69</v>
      </c>
      <c r="B1975" s="0" t="s">
        <v>303</v>
      </c>
      <c r="C1975" s="0" t="s">
        <v>754</v>
      </c>
      <c r="D1975" s="0" t="s">
        <v>155</v>
      </c>
      <c r="E1975" s="0" t="s">
        <v>1856</v>
      </c>
      <c r="F1975" s="0" t="n">
        <v>5</v>
      </c>
      <c r="G1975" s="0" t="n">
        <v>0</v>
      </c>
      <c r="H1975" s="0" t="s">
        <v>585</v>
      </c>
      <c r="K1975" s="0" t="s">
        <v>620</v>
      </c>
      <c r="L1975" s="0" t="s">
        <v>3851</v>
      </c>
    </row>
    <row r="1976" customFormat="false" ht="15" hidden="false" customHeight="false" outlineLevel="0" collapsed="false">
      <c r="A1976" s="0" t="s">
        <v>69</v>
      </c>
      <c r="B1976" s="0" t="s">
        <v>779</v>
      </c>
      <c r="C1976" s="0" t="s">
        <v>577</v>
      </c>
      <c r="D1976" s="0" t="s">
        <v>780</v>
      </c>
      <c r="E1976" s="0" t="s">
        <v>781</v>
      </c>
      <c r="F1976" s="0" t="n">
        <v>8</v>
      </c>
      <c r="G1976" s="0" t="n">
        <v>0</v>
      </c>
      <c r="H1976" s="0" t="s">
        <v>585</v>
      </c>
      <c r="K1976" s="0" t="s">
        <v>782</v>
      </c>
      <c r="L1976" s="0" t="s">
        <v>3852</v>
      </c>
    </row>
    <row r="1977" customFormat="false" ht="15" hidden="false" customHeight="false" outlineLevel="0" collapsed="false">
      <c r="A1977" s="0" t="s">
        <v>69</v>
      </c>
      <c r="B1977" s="0" t="s">
        <v>779</v>
      </c>
      <c r="C1977" s="0" t="s">
        <v>622</v>
      </c>
      <c r="D1977" s="0" t="s">
        <v>780</v>
      </c>
      <c r="E1977" s="0" t="s">
        <v>784</v>
      </c>
      <c r="F1977" s="0" t="n">
        <v>8</v>
      </c>
      <c r="G1977" s="0" t="n">
        <v>0</v>
      </c>
      <c r="H1977" s="0" t="s">
        <v>585</v>
      </c>
      <c r="K1977" s="0" t="s">
        <v>782</v>
      </c>
      <c r="L1977" s="0" t="s">
        <v>3853</v>
      </c>
    </row>
    <row r="1978" customFormat="false" ht="15" hidden="false" customHeight="false" outlineLevel="0" collapsed="false">
      <c r="A1978" s="0" t="s">
        <v>69</v>
      </c>
      <c r="B1978" s="0" t="s">
        <v>779</v>
      </c>
      <c r="C1978" s="0" t="s">
        <v>649</v>
      </c>
      <c r="D1978" s="0" t="s">
        <v>780</v>
      </c>
      <c r="E1978" s="0" t="s">
        <v>786</v>
      </c>
      <c r="F1978" s="0" t="n">
        <v>8</v>
      </c>
      <c r="G1978" s="0" t="n">
        <v>0</v>
      </c>
      <c r="H1978" s="0" t="s">
        <v>585</v>
      </c>
      <c r="K1978" s="0" t="s">
        <v>782</v>
      </c>
      <c r="L1978" s="0" t="s">
        <v>3854</v>
      </c>
    </row>
    <row r="1979" customFormat="false" ht="15" hidden="false" customHeight="false" outlineLevel="0" collapsed="false">
      <c r="A1979" s="0" t="s">
        <v>69</v>
      </c>
      <c r="B1979" s="0" t="s">
        <v>779</v>
      </c>
      <c r="C1979" s="0" t="s">
        <v>675</v>
      </c>
      <c r="D1979" s="0" t="s">
        <v>780</v>
      </c>
      <c r="E1979" s="0" t="s">
        <v>788</v>
      </c>
      <c r="F1979" s="0" t="n">
        <v>8</v>
      </c>
      <c r="G1979" s="0" t="n">
        <v>0</v>
      </c>
      <c r="H1979" s="0" t="s">
        <v>585</v>
      </c>
      <c r="K1979" s="0" t="s">
        <v>782</v>
      </c>
      <c r="L1979" s="0" t="s">
        <v>3855</v>
      </c>
    </row>
    <row r="1980" customFormat="false" ht="15" hidden="false" customHeight="false" outlineLevel="0" collapsed="false">
      <c r="A1980" s="0" t="s">
        <v>69</v>
      </c>
      <c r="B1980" s="0" t="s">
        <v>779</v>
      </c>
      <c r="C1980" s="0" t="s">
        <v>701</v>
      </c>
      <c r="D1980" s="0" t="s">
        <v>780</v>
      </c>
      <c r="E1980" s="0" t="s">
        <v>790</v>
      </c>
      <c r="F1980" s="0" t="n">
        <v>8</v>
      </c>
      <c r="G1980" s="0" t="n">
        <v>0</v>
      </c>
      <c r="H1980" s="0" t="s">
        <v>585</v>
      </c>
      <c r="K1980" s="0" t="s">
        <v>782</v>
      </c>
      <c r="L1980" s="0" t="s">
        <v>3856</v>
      </c>
    </row>
    <row r="1981" customFormat="false" ht="15" hidden="false" customHeight="false" outlineLevel="0" collapsed="false">
      <c r="A1981" s="0" t="s">
        <v>69</v>
      </c>
      <c r="B1981" s="0" t="s">
        <v>779</v>
      </c>
      <c r="C1981" s="0" t="s">
        <v>728</v>
      </c>
      <c r="D1981" s="0" t="s">
        <v>780</v>
      </c>
      <c r="E1981" s="0" t="s">
        <v>792</v>
      </c>
      <c r="F1981" s="0" t="n">
        <v>8</v>
      </c>
      <c r="G1981" s="0" t="n">
        <v>0</v>
      </c>
      <c r="H1981" s="0" t="s">
        <v>585</v>
      </c>
      <c r="K1981" s="0" t="s">
        <v>782</v>
      </c>
      <c r="L1981" s="0" t="s">
        <v>3857</v>
      </c>
    </row>
    <row r="1982" customFormat="false" ht="15" hidden="false" customHeight="false" outlineLevel="0" collapsed="false">
      <c r="A1982" s="0" t="s">
        <v>69</v>
      </c>
      <c r="B1982" s="0" t="s">
        <v>779</v>
      </c>
      <c r="C1982" s="0" t="s">
        <v>754</v>
      </c>
      <c r="D1982" s="0" t="s">
        <v>780</v>
      </c>
      <c r="E1982" s="0" t="s">
        <v>794</v>
      </c>
      <c r="F1982" s="0" t="n">
        <v>8</v>
      </c>
      <c r="G1982" s="0" t="n">
        <v>0</v>
      </c>
      <c r="H1982" s="0" t="s">
        <v>585</v>
      </c>
      <c r="K1982" s="0" t="s">
        <v>782</v>
      </c>
      <c r="L1982" s="0" t="s">
        <v>3858</v>
      </c>
    </row>
    <row r="1983" customFormat="false" ht="15" hidden="false" customHeight="false" outlineLevel="0" collapsed="false">
      <c r="A1983" s="0" t="s">
        <v>69</v>
      </c>
      <c r="B1983" s="0" t="s">
        <v>779</v>
      </c>
      <c r="C1983" s="0" t="s">
        <v>577</v>
      </c>
      <c r="D1983" s="0" t="s">
        <v>160</v>
      </c>
      <c r="E1983" s="0" t="s">
        <v>796</v>
      </c>
      <c r="F1983" s="0" t="n">
        <v>8</v>
      </c>
      <c r="G1983" s="0" t="n">
        <v>0</v>
      </c>
      <c r="H1983" s="0" t="s">
        <v>585</v>
      </c>
      <c r="K1983" s="0" t="s">
        <v>782</v>
      </c>
      <c r="L1983" s="0" t="s">
        <v>3859</v>
      </c>
    </row>
    <row r="1984" customFormat="false" ht="15" hidden="false" customHeight="false" outlineLevel="0" collapsed="false">
      <c r="A1984" s="0" t="s">
        <v>69</v>
      </c>
      <c r="B1984" s="0" t="s">
        <v>779</v>
      </c>
      <c r="C1984" s="0" t="s">
        <v>622</v>
      </c>
      <c r="D1984" s="0" t="s">
        <v>160</v>
      </c>
      <c r="E1984" s="0" t="s">
        <v>798</v>
      </c>
      <c r="F1984" s="0" t="n">
        <v>8</v>
      </c>
      <c r="G1984" s="0" t="n">
        <v>0</v>
      </c>
      <c r="H1984" s="0" t="s">
        <v>585</v>
      </c>
      <c r="K1984" s="0" t="s">
        <v>782</v>
      </c>
      <c r="L1984" s="0" t="s">
        <v>3860</v>
      </c>
    </row>
    <row r="1985" customFormat="false" ht="15" hidden="false" customHeight="false" outlineLevel="0" collapsed="false">
      <c r="A1985" s="0" t="s">
        <v>69</v>
      </c>
      <c r="B1985" s="0" t="s">
        <v>779</v>
      </c>
      <c r="C1985" s="0" t="s">
        <v>649</v>
      </c>
      <c r="D1985" s="0" t="s">
        <v>160</v>
      </c>
      <c r="E1985" s="0" t="s">
        <v>800</v>
      </c>
      <c r="F1985" s="0" t="n">
        <v>8</v>
      </c>
      <c r="G1985" s="0" t="n">
        <v>0</v>
      </c>
      <c r="H1985" s="0" t="s">
        <v>585</v>
      </c>
      <c r="K1985" s="0" t="s">
        <v>782</v>
      </c>
      <c r="L1985" s="0" t="s">
        <v>3861</v>
      </c>
    </row>
    <row r="1986" customFormat="false" ht="15" hidden="false" customHeight="false" outlineLevel="0" collapsed="false">
      <c r="A1986" s="0" t="s">
        <v>69</v>
      </c>
      <c r="B1986" s="0" t="s">
        <v>779</v>
      </c>
      <c r="C1986" s="0" t="s">
        <v>675</v>
      </c>
      <c r="D1986" s="0" t="s">
        <v>160</v>
      </c>
      <c r="E1986" s="0" t="s">
        <v>802</v>
      </c>
      <c r="F1986" s="0" t="n">
        <v>8</v>
      </c>
      <c r="G1986" s="0" t="n">
        <v>0</v>
      </c>
      <c r="H1986" s="0" t="s">
        <v>585</v>
      </c>
      <c r="K1986" s="0" t="s">
        <v>782</v>
      </c>
      <c r="L1986" s="0" t="s">
        <v>3862</v>
      </c>
    </row>
    <row r="1987" customFormat="false" ht="15" hidden="false" customHeight="false" outlineLevel="0" collapsed="false">
      <c r="A1987" s="0" t="s">
        <v>69</v>
      </c>
      <c r="B1987" s="0" t="s">
        <v>779</v>
      </c>
      <c r="C1987" s="0" t="s">
        <v>701</v>
      </c>
      <c r="D1987" s="0" t="s">
        <v>160</v>
      </c>
      <c r="E1987" s="0" t="s">
        <v>804</v>
      </c>
      <c r="F1987" s="0" t="n">
        <v>8</v>
      </c>
      <c r="G1987" s="0" t="n">
        <v>0</v>
      </c>
      <c r="H1987" s="0" t="s">
        <v>585</v>
      </c>
      <c r="K1987" s="0" t="s">
        <v>782</v>
      </c>
      <c r="L1987" s="0" t="s">
        <v>3863</v>
      </c>
    </row>
    <row r="1988" customFormat="false" ht="15" hidden="false" customHeight="false" outlineLevel="0" collapsed="false">
      <c r="A1988" s="0" t="s">
        <v>69</v>
      </c>
      <c r="B1988" s="0" t="s">
        <v>779</v>
      </c>
      <c r="C1988" s="0" t="s">
        <v>728</v>
      </c>
      <c r="D1988" s="0" t="s">
        <v>160</v>
      </c>
      <c r="E1988" s="0" t="s">
        <v>806</v>
      </c>
      <c r="F1988" s="0" t="n">
        <v>8</v>
      </c>
      <c r="G1988" s="0" t="n">
        <v>0</v>
      </c>
      <c r="H1988" s="0" t="s">
        <v>585</v>
      </c>
      <c r="K1988" s="0" t="s">
        <v>782</v>
      </c>
      <c r="L1988" s="0" t="s">
        <v>3864</v>
      </c>
    </row>
    <row r="1989" customFormat="false" ht="15" hidden="false" customHeight="false" outlineLevel="0" collapsed="false">
      <c r="A1989" s="0" t="s">
        <v>69</v>
      </c>
      <c r="B1989" s="0" t="s">
        <v>779</v>
      </c>
      <c r="C1989" s="0" t="s">
        <v>754</v>
      </c>
      <c r="D1989" s="0" t="s">
        <v>160</v>
      </c>
      <c r="E1989" s="0" t="s">
        <v>808</v>
      </c>
      <c r="F1989" s="0" t="n">
        <v>8</v>
      </c>
      <c r="G1989" s="0" t="n">
        <v>0</v>
      </c>
      <c r="H1989" s="0" t="s">
        <v>585</v>
      </c>
      <c r="K1989" s="0" t="s">
        <v>782</v>
      </c>
      <c r="L1989" s="0" t="s">
        <v>3865</v>
      </c>
    </row>
    <row r="1990" customFormat="false" ht="15" hidden="false" customHeight="false" outlineLevel="0" collapsed="false">
      <c r="A1990" s="0" t="s">
        <v>69</v>
      </c>
      <c r="B1990" s="0" t="s">
        <v>42</v>
      </c>
      <c r="C1990" s="0" t="s">
        <v>810</v>
      </c>
      <c r="D1990" s="0" t="s">
        <v>987</v>
      </c>
      <c r="E1990" s="0" t="s">
        <v>1872</v>
      </c>
      <c r="F1990" s="0" t="n">
        <v>5</v>
      </c>
      <c r="G1990" s="0" t="n">
        <v>0</v>
      </c>
      <c r="H1990" s="0" t="s">
        <v>585</v>
      </c>
      <c r="K1990" s="0" t="s">
        <v>581</v>
      </c>
      <c r="L1990" s="0" t="s">
        <v>3866</v>
      </c>
    </row>
    <row r="1991" customFormat="false" ht="15" hidden="false" customHeight="false" outlineLevel="0" collapsed="false">
      <c r="A1991" s="0" t="s">
        <v>69</v>
      </c>
      <c r="B1991" s="0" t="s">
        <v>42</v>
      </c>
      <c r="C1991" s="0" t="s">
        <v>810</v>
      </c>
      <c r="D1991" s="0" t="s">
        <v>990</v>
      </c>
      <c r="E1991" s="0" t="s">
        <v>1874</v>
      </c>
      <c r="F1991" s="0" t="n">
        <v>5</v>
      </c>
      <c r="G1991" s="0" t="n">
        <v>1</v>
      </c>
      <c r="H1991" s="0" t="s">
        <v>585</v>
      </c>
      <c r="I1991" s="0" t="s">
        <v>509</v>
      </c>
      <c r="K1991" s="0" t="s">
        <v>586</v>
      </c>
      <c r="L1991" s="0" t="s">
        <v>3867</v>
      </c>
    </row>
    <row r="1992" customFormat="false" ht="15" hidden="false" customHeight="false" outlineLevel="0" collapsed="false">
      <c r="A1992" s="0" t="s">
        <v>69</v>
      </c>
      <c r="B1992" s="0" t="s">
        <v>42</v>
      </c>
      <c r="C1992" s="0" t="s">
        <v>810</v>
      </c>
      <c r="D1992" s="0" t="s">
        <v>993</v>
      </c>
      <c r="E1992" s="0" t="s">
        <v>1876</v>
      </c>
      <c r="F1992" s="0" t="n">
        <v>5</v>
      </c>
      <c r="G1992" s="0" t="n">
        <v>0</v>
      </c>
      <c r="H1992" s="0" t="s">
        <v>585</v>
      </c>
      <c r="K1992" s="0" t="s">
        <v>590</v>
      </c>
      <c r="L1992" s="0" t="s">
        <v>3868</v>
      </c>
    </row>
    <row r="1993" customFormat="false" ht="15" hidden="false" customHeight="false" outlineLevel="0" collapsed="false">
      <c r="A1993" s="0" t="s">
        <v>69</v>
      </c>
      <c r="B1993" s="0" t="s">
        <v>42</v>
      </c>
      <c r="C1993" s="0" t="s">
        <v>810</v>
      </c>
      <c r="D1993" s="0" t="s">
        <v>126</v>
      </c>
      <c r="E1993" s="0" t="s">
        <v>1878</v>
      </c>
      <c r="F1993" s="0" t="n">
        <v>5</v>
      </c>
      <c r="G1993" s="0" t="n">
        <v>0</v>
      </c>
      <c r="H1993" s="0" t="s">
        <v>585</v>
      </c>
      <c r="K1993" s="0" t="s">
        <v>594</v>
      </c>
      <c r="L1993" s="0" t="s">
        <v>3869</v>
      </c>
    </row>
    <row r="1994" customFormat="false" ht="15" hidden="false" customHeight="false" outlineLevel="0" collapsed="false">
      <c r="A1994" s="0" t="s">
        <v>69</v>
      </c>
      <c r="B1994" s="0" t="s">
        <v>42</v>
      </c>
      <c r="C1994" s="0" t="s">
        <v>810</v>
      </c>
      <c r="D1994" s="0" t="s">
        <v>129</v>
      </c>
      <c r="E1994" s="0" t="s">
        <v>1880</v>
      </c>
      <c r="F1994" s="0" t="n">
        <v>5</v>
      </c>
      <c r="G1994" s="0" t="n">
        <v>0</v>
      </c>
      <c r="H1994" s="0" t="s">
        <v>585</v>
      </c>
      <c r="K1994" s="0" t="s">
        <v>597</v>
      </c>
      <c r="L1994" s="0" t="s">
        <v>3870</v>
      </c>
    </row>
    <row r="1995" customFormat="false" ht="15" hidden="false" customHeight="false" outlineLevel="0" collapsed="false">
      <c r="A1995" s="0" t="s">
        <v>69</v>
      </c>
      <c r="B1995" s="0" t="s">
        <v>42</v>
      </c>
      <c r="C1995" s="0" t="s">
        <v>810</v>
      </c>
      <c r="D1995" s="0" t="s">
        <v>132</v>
      </c>
      <c r="E1995" s="0" t="s">
        <v>1882</v>
      </c>
      <c r="F1995" s="0" t="n">
        <v>5</v>
      </c>
      <c r="G1995" s="0" t="n">
        <v>0</v>
      </c>
      <c r="H1995" s="0" t="s">
        <v>585</v>
      </c>
      <c r="K1995" s="0" t="s">
        <v>600</v>
      </c>
      <c r="L1995" s="0" t="s">
        <v>3871</v>
      </c>
    </row>
    <row r="1996" customFormat="false" ht="15" hidden="false" customHeight="false" outlineLevel="0" collapsed="false">
      <c r="A1996" s="0" t="s">
        <v>69</v>
      </c>
      <c r="B1996" s="0" t="s">
        <v>42</v>
      </c>
      <c r="C1996" s="0" t="s">
        <v>810</v>
      </c>
      <c r="D1996" s="0" t="s">
        <v>139</v>
      </c>
      <c r="E1996" s="0" t="s">
        <v>1884</v>
      </c>
      <c r="F1996" s="0" t="n">
        <v>5</v>
      </c>
      <c r="G1996" s="0" t="n">
        <v>0</v>
      </c>
      <c r="H1996" s="0" t="s">
        <v>585</v>
      </c>
      <c r="K1996" s="0" t="s">
        <v>604</v>
      </c>
      <c r="L1996" s="0" t="s">
        <v>3872</v>
      </c>
    </row>
    <row r="1997" customFormat="false" ht="15" hidden="false" customHeight="false" outlineLevel="0" collapsed="false">
      <c r="A1997" s="0" t="s">
        <v>69</v>
      </c>
      <c r="B1997" s="0" t="s">
        <v>42</v>
      </c>
      <c r="C1997" s="0" t="s">
        <v>810</v>
      </c>
      <c r="D1997" s="0" t="s">
        <v>143</v>
      </c>
      <c r="E1997" s="0" t="s">
        <v>1886</v>
      </c>
      <c r="F1997" s="0" t="n">
        <v>5</v>
      </c>
      <c r="G1997" s="0" t="n">
        <v>0</v>
      </c>
      <c r="H1997" s="0" t="s">
        <v>585</v>
      </c>
      <c r="K1997" s="0" t="s">
        <v>607</v>
      </c>
      <c r="L1997" s="0" t="s">
        <v>3873</v>
      </c>
    </row>
    <row r="1998" customFormat="false" ht="15" hidden="false" customHeight="false" outlineLevel="0" collapsed="false">
      <c r="A1998" s="0" t="s">
        <v>69</v>
      </c>
      <c r="B1998" s="0" t="s">
        <v>42</v>
      </c>
      <c r="C1998" s="0" t="s">
        <v>810</v>
      </c>
      <c r="D1998" s="0" t="s">
        <v>146</v>
      </c>
      <c r="E1998" s="0" t="s">
        <v>1888</v>
      </c>
      <c r="F1998" s="0" t="n">
        <v>5</v>
      </c>
      <c r="G1998" s="0" t="n">
        <v>0</v>
      </c>
      <c r="H1998" s="0" t="s">
        <v>585</v>
      </c>
      <c r="K1998" s="0" t="s">
        <v>610</v>
      </c>
      <c r="L1998" s="0" t="s">
        <v>3874</v>
      </c>
    </row>
    <row r="1999" customFormat="false" ht="15" hidden="false" customHeight="false" outlineLevel="0" collapsed="false">
      <c r="A1999" s="0" t="s">
        <v>69</v>
      </c>
      <c r="B1999" s="0" t="s">
        <v>42</v>
      </c>
      <c r="C1999" s="0" t="s">
        <v>810</v>
      </c>
      <c r="D1999" s="0" t="s">
        <v>149</v>
      </c>
      <c r="E1999" s="0" t="s">
        <v>1890</v>
      </c>
      <c r="F1999" s="0" t="n">
        <v>5</v>
      </c>
      <c r="G1999" s="0" t="n">
        <v>0</v>
      </c>
      <c r="H1999" s="0" t="s">
        <v>585</v>
      </c>
      <c r="K1999" s="0" t="s">
        <v>613</v>
      </c>
      <c r="L1999" s="0" t="s">
        <v>3875</v>
      </c>
    </row>
    <row r="2000" customFormat="false" ht="15" hidden="false" customHeight="false" outlineLevel="0" collapsed="false">
      <c r="A2000" s="0" t="s">
        <v>69</v>
      </c>
      <c r="B2000" s="0" t="s">
        <v>42</v>
      </c>
      <c r="C2000" s="0" t="s">
        <v>810</v>
      </c>
      <c r="D2000" s="0" t="s">
        <v>152</v>
      </c>
      <c r="E2000" s="0" t="s">
        <v>1892</v>
      </c>
      <c r="F2000" s="0" t="n">
        <v>5</v>
      </c>
      <c r="G2000" s="0" t="n">
        <v>0</v>
      </c>
      <c r="H2000" s="0" t="s">
        <v>585</v>
      </c>
      <c r="K2000" s="0" t="s">
        <v>616</v>
      </c>
      <c r="L2000" s="0" t="s">
        <v>3876</v>
      </c>
    </row>
    <row r="2001" customFormat="false" ht="15" hidden="false" customHeight="false" outlineLevel="0" collapsed="false">
      <c r="A2001" s="0" t="s">
        <v>69</v>
      </c>
      <c r="B2001" s="0" t="s">
        <v>42</v>
      </c>
      <c r="C2001" s="0" t="s">
        <v>810</v>
      </c>
      <c r="D2001" s="0" t="s">
        <v>155</v>
      </c>
      <c r="E2001" s="0" t="s">
        <v>1894</v>
      </c>
      <c r="F2001" s="0" t="n">
        <v>5</v>
      </c>
      <c r="G2001" s="0" t="n">
        <v>0</v>
      </c>
      <c r="H2001" s="0" t="s">
        <v>585</v>
      </c>
      <c r="K2001" s="0" t="s">
        <v>620</v>
      </c>
      <c r="L2001" s="0" t="s">
        <v>3877</v>
      </c>
    </row>
    <row r="2002" customFormat="false" ht="15" hidden="false" customHeight="false" outlineLevel="0" collapsed="false">
      <c r="A2002" s="0" t="s">
        <v>69</v>
      </c>
      <c r="B2002" s="0" t="s">
        <v>42</v>
      </c>
      <c r="C2002" s="0" t="s">
        <v>835</v>
      </c>
      <c r="D2002" s="0" t="s">
        <v>987</v>
      </c>
      <c r="E2002" s="0" t="s">
        <v>1896</v>
      </c>
      <c r="F2002" s="0" t="n">
        <v>5</v>
      </c>
      <c r="G2002" s="0" t="n">
        <v>0</v>
      </c>
      <c r="H2002" s="0" t="s">
        <v>585</v>
      </c>
      <c r="K2002" s="0" t="s">
        <v>581</v>
      </c>
      <c r="L2002" s="0" t="s">
        <v>3878</v>
      </c>
    </row>
    <row r="2003" customFormat="false" ht="15" hidden="false" customHeight="false" outlineLevel="0" collapsed="false">
      <c r="A2003" s="0" t="s">
        <v>69</v>
      </c>
      <c r="B2003" s="0" t="s">
        <v>42</v>
      </c>
      <c r="C2003" s="0" t="s">
        <v>835</v>
      </c>
      <c r="D2003" s="0" t="s">
        <v>990</v>
      </c>
      <c r="E2003" s="0" t="s">
        <v>1898</v>
      </c>
      <c r="F2003" s="0" t="n">
        <v>5</v>
      </c>
      <c r="G2003" s="0" t="n">
        <v>0</v>
      </c>
      <c r="H2003" s="0" t="s">
        <v>585</v>
      </c>
      <c r="K2003" s="0" t="s">
        <v>586</v>
      </c>
      <c r="L2003" s="0" t="s">
        <v>3879</v>
      </c>
    </row>
    <row r="2004" customFormat="false" ht="15" hidden="false" customHeight="false" outlineLevel="0" collapsed="false">
      <c r="A2004" s="0" t="s">
        <v>69</v>
      </c>
      <c r="B2004" s="0" t="s">
        <v>42</v>
      </c>
      <c r="C2004" s="0" t="s">
        <v>835</v>
      </c>
      <c r="D2004" s="0" t="s">
        <v>993</v>
      </c>
      <c r="E2004" s="0" t="s">
        <v>1900</v>
      </c>
      <c r="F2004" s="0" t="n">
        <v>5</v>
      </c>
      <c r="G2004" s="0" t="n">
        <v>0</v>
      </c>
      <c r="H2004" s="0" t="s">
        <v>585</v>
      </c>
      <c r="K2004" s="0" t="s">
        <v>590</v>
      </c>
      <c r="L2004" s="0" t="s">
        <v>3880</v>
      </c>
    </row>
    <row r="2005" customFormat="false" ht="15" hidden="false" customHeight="false" outlineLevel="0" collapsed="false">
      <c r="A2005" s="0" t="s">
        <v>69</v>
      </c>
      <c r="B2005" s="0" t="s">
        <v>42</v>
      </c>
      <c r="C2005" s="0" t="s">
        <v>835</v>
      </c>
      <c r="D2005" s="0" t="s">
        <v>126</v>
      </c>
      <c r="E2005" s="0" t="s">
        <v>1902</v>
      </c>
      <c r="F2005" s="0" t="n">
        <v>5</v>
      </c>
      <c r="G2005" s="0" t="n">
        <v>0</v>
      </c>
      <c r="H2005" s="0" t="s">
        <v>585</v>
      </c>
      <c r="K2005" s="0" t="s">
        <v>594</v>
      </c>
      <c r="L2005" s="0" t="s">
        <v>3881</v>
      </c>
    </row>
    <row r="2006" customFormat="false" ht="15" hidden="false" customHeight="false" outlineLevel="0" collapsed="false">
      <c r="A2006" s="0" t="s">
        <v>69</v>
      </c>
      <c r="B2006" s="0" t="s">
        <v>42</v>
      </c>
      <c r="C2006" s="0" t="s">
        <v>835</v>
      </c>
      <c r="D2006" s="0" t="s">
        <v>129</v>
      </c>
      <c r="E2006" s="0" t="s">
        <v>1904</v>
      </c>
      <c r="F2006" s="0" t="n">
        <v>5</v>
      </c>
      <c r="G2006" s="0" t="n">
        <v>0</v>
      </c>
      <c r="H2006" s="0" t="s">
        <v>585</v>
      </c>
      <c r="K2006" s="0" t="s">
        <v>597</v>
      </c>
      <c r="L2006" s="0" t="s">
        <v>3882</v>
      </c>
    </row>
    <row r="2007" customFormat="false" ht="15" hidden="false" customHeight="false" outlineLevel="0" collapsed="false">
      <c r="A2007" s="0" t="s">
        <v>69</v>
      </c>
      <c r="B2007" s="0" t="s">
        <v>42</v>
      </c>
      <c r="C2007" s="0" t="s">
        <v>835</v>
      </c>
      <c r="D2007" s="0" t="s">
        <v>132</v>
      </c>
      <c r="E2007" s="0" t="s">
        <v>1906</v>
      </c>
      <c r="F2007" s="0" t="n">
        <v>5</v>
      </c>
      <c r="G2007" s="0" t="n">
        <v>0</v>
      </c>
      <c r="H2007" s="0" t="s">
        <v>585</v>
      </c>
      <c r="K2007" s="0" t="s">
        <v>600</v>
      </c>
      <c r="L2007" s="0" t="s">
        <v>3883</v>
      </c>
    </row>
    <row r="2008" customFormat="false" ht="15" hidden="false" customHeight="false" outlineLevel="0" collapsed="false">
      <c r="A2008" s="0" t="s">
        <v>69</v>
      </c>
      <c r="B2008" s="0" t="s">
        <v>42</v>
      </c>
      <c r="C2008" s="0" t="s">
        <v>835</v>
      </c>
      <c r="D2008" s="0" t="s">
        <v>139</v>
      </c>
      <c r="E2008" s="0" t="s">
        <v>1908</v>
      </c>
      <c r="F2008" s="0" t="n">
        <v>5</v>
      </c>
      <c r="G2008" s="0" t="n">
        <v>0</v>
      </c>
      <c r="H2008" s="0" t="s">
        <v>585</v>
      </c>
      <c r="K2008" s="0" t="s">
        <v>604</v>
      </c>
      <c r="L2008" s="0" t="s">
        <v>3884</v>
      </c>
    </row>
    <row r="2009" customFormat="false" ht="15" hidden="false" customHeight="false" outlineLevel="0" collapsed="false">
      <c r="A2009" s="0" t="s">
        <v>69</v>
      </c>
      <c r="B2009" s="0" t="s">
        <v>42</v>
      </c>
      <c r="C2009" s="0" t="s">
        <v>835</v>
      </c>
      <c r="D2009" s="0" t="s">
        <v>143</v>
      </c>
      <c r="E2009" s="0" t="s">
        <v>1910</v>
      </c>
      <c r="F2009" s="0" t="n">
        <v>5</v>
      </c>
      <c r="G2009" s="0" t="n">
        <v>0</v>
      </c>
      <c r="H2009" s="0" t="s">
        <v>585</v>
      </c>
      <c r="K2009" s="0" t="s">
        <v>607</v>
      </c>
      <c r="L2009" s="0" t="s">
        <v>3885</v>
      </c>
    </row>
    <row r="2010" customFormat="false" ht="15" hidden="false" customHeight="false" outlineLevel="0" collapsed="false">
      <c r="A2010" s="0" t="s">
        <v>69</v>
      </c>
      <c r="B2010" s="0" t="s">
        <v>42</v>
      </c>
      <c r="C2010" s="0" t="s">
        <v>835</v>
      </c>
      <c r="D2010" s="0" t="s">
        <v>146</v>
      </c>
      <c r="E2010" s="0" t="s">
        <v>1912</v>
      </c>
      <c r="F2010" s="0" t="n">
        <v>5</v>
      </c>
      <c r="G2010" s="0" t="n">
        <v>0</v>
      </c>
      <c r="H2010" s="0" t="s">
        <v>585</v>
      </c>
      <c r="K2010" s="0" t="s">
        <v>610</v>
      </c>
      <c r="L2010" s="0" t="s">
        <v>3886</v>
      </c>
    </row>
    <row r="2011" customFormat="false" ht="15" hidden="false" customHeight="false" outlineLevel="0" collapsed="false">
      <c r="A2011" s="0" t="s">
        <v>69</v>
      </c>
      <c r="B2011" s="0" t="s">
        <v>42</v>
      </c>
      <c r="C2011" s="0" t="s">
        <v>835</v>
      </c>
      <c r="D2011" s="0" t="s">
        <v>149</v>
      </c>
      <c r="E2011" s="0" t="s">
        <v>1914</v>
      </c>
      <c r="F2011" s="0" t="n">
        <v>5</v>
      </c>
      <c r="G2011" s="0" t="n">
        <v>0</v>
      </c>
      <c r="H2011" s="0" t="s">
        <v>585</v>
      </c>
      <c r="K2011" s="0" t="s">
        <v>613</v>
      </c>
      <c r="L2011" s="0" t="s">
        <v>3887</v>
      </c>
    </row>
    <row r="2012" customFormat="false" ht="15" hidden="false" customHeight="false" outlineLevel="0" collapsed="false">
      <c r="A2012" s="0" t="s">
        <v>69</v>
      </c>
      <c r="B2012" s="0" t="s">
        <v>42</v>
      </c>
      <c r="C2012" s="0" t="s">
        <v>835</v>
      </c>
      <c r="D2012" s="0" t="s">
        <v>152</v>
      </c>
      <c r="E2012" s="0" t="s">
        <v>1916</v>
      </c>
      <c r="F2012" s="0" t="n">
        <v>5</v>
      </c>
      <c r="G2012" s="0" t="n">
        <v>0</v>
      </c>
      <c r="H2012" s="0" t="s">
        <v>585</v>
      </c>
      <c r="K2012" s="0" t="s">
        <v>616</v>
      </c>
      <c r="L2012" s="0" t="s">
        <v>3888</v>
      </c>
    </row>
    <row r="2013" customFormat="false" ht="15" hidden="false" customHeight="false" outlineLevel="0" collapsed="false">
      <c r="A2013" s="0" t="s">
        <v>69</v>
      </c>
      <c r="B2013" s="0" t="s">
        <v>42</v>
      </c>
      <c r="C2013" s="0" t="s">
        <v>835</v>
      </c>
      <c r="D2013" s="0" t="s">
        <v>155</v>
      </c>
      <c r="E2013" s="0" t="s">
        <v>1918</v>
      </c>
      <c r="F2013" s="0" t="n">
        <v>5</v>
      </c>
      <c r="G2013" s="0" t="n">
        <v>0</v>
      </c>
      <c r="H2013" s="0" t="s">
        <v>585</v>
      </c>
      <c r="K2013" s="0" t="s">
        <v>620</v>
      </c>
      <c r="L2013" s="0" t="s">
        <v>3889</v>
      </c>
    </row>
    <row r="2014" customFormat="false" ht="15" hidden="false" customHeight="false" outlineLevel="0" collapsed="false">
      <c r="A2014" s="0" t="s">
        <v>69</v>
      </c>
      <c r="B2014" s="0" t="s">
        <v>42</v>
      </c>
      <c r="C2014" s="0" t="s">
        <v>860</v>
      </c>
      <c r="D2014" s="0" t="s">
        <v>987</v>
      </c>
      <c r="E2014" s="0" t="s">
        <v>1920</v>
      </c>
      <c r="F2014" s="0" t="n">
        <v>5</v>
      </c>
      <c r="G2014" s="0" t="n">
        <v>0</v>
      </c>
      <c r="H2014" s="0" t="s">
        <v>585</v>
      </c>
      <c r="K2014" s="0" t="s">
        <v>581</v>
      </c>
      <c r="L2014" s="0" t="s">
        <v>3890</v>
      </c>
    </row>
    <row r="2015" customFormat="false" ht="15" hidden="false" customHeight="false" outlineLevel="0" collapsed="false">
      <c r="A2015" s="0" t="s">
        <v>69</v>
      </c>
      <c r="B2015" s="0" t="s">
        <v>42</v>
      </c>
      <c r="C2015" s="0" t="s">
        <v>860</v>
      </c>
      <c r="D2015" s="0" t="s">
        <v>990</v>
      </c>
      <c r="E2015" s="0" t="s">
        <v>1922</v>
      </c>
      <c r="F2015" s="0" t="n">
        <v>5</v>
      </c>
      <c r="G2015" s="0" t="n">
        <v>0</v>
      </c>
      <c r="H2015" s="0" t="s">
        <v>585</v>
      </c>
      <c r="K2015" s="0" t="s">
        <v>586</v>
      </c>
      <c r="L2015" s="0" t="s">
        <v>3891</v>
      </c>
    </row>
    <row r="2016" customFormat="false" ht="15" hidden="false" customHeight="false" outlineLevel="0" collapsed="false">
      <c r="A2016" s="0" t="s">
        <v>69</v>
      </c>
      <c r="B2016" s="0" t="s">
        <v>42</v>
      </c>
      <c r="C2016" s="0" t="s">
        <v>860</v>
      </c>
      <c r="D2016" s="0" t="s">
        <v>993</v>
      </c>
      <c r="E2016" s="0" t="s">
        <v>1924</v>
      </c>
      <c r="F2016" s="0" t="n">
        <v>5</v>
      </c>
      <c r="G2016" s="0" t="n">
        <v>2</v>
      </c>
      <c r="H2016" s="0" t="s">
        <v>585</v>
      </c>
      <c r="I2016" s="0" t="s">
        <v>505</v>
      </c>
      <c r="K2016" s="0" t="s">
        <v>590</v>
      </c>
      <c r="L2016" s="0" t="s">
        <v>3892</v>
      </c>
    </row>
    <row r="2017" customFormat="false" ht="15" hidden="false" customHeight="false" outlineLevel="0" collapsed="false">
      <c r="A2017" s="0" t="s">
        <v>69</v>
      </c>
      <c r="B2017" s="0" t="s">
        <v>42</v>
      </c>
      <c r="C2017" s="0" t="s">
        <v>860</v>
      </c>
      <c r="D2017" s="0" t="s">
        <v>126</v>
      </c>
      <c r="E2017" s="0" t="s">
        <v>1926</v>
      </c>
      <c r="F2017" s="0" t="n">
        <v>5</v>
      </c>
      <c r="G2017" s="0" t="n">
        <v>4</v>
      </c>
      <c r="H2017" s="0" t="s">
        <v>585</v>
      </c>
      <c r="I2017" s="0" t="s">
        <v>500</v>
      </c>
      <c r="K2017" s="0" t="s">
        <v>594</v>
      </c>
      <c r="L2017" s="0" t="s">
        <v>3893</v>
      </c>
    </row>
    <row r="2018" customFormat="false" ht="15" hidden="false" customHeight="false" outlineLevel="0" collapsed="false">
      <c r="A2018" s="0" t="s">
        <v>69</v>
      </c>
      <c r="B2018" s="0" t="s">
        <v>42</v>
      </c>
      <c r="C2018" s="0" t="s">
        <v>860</v>
      </c>
      <c r="D2018" s="0" t="s">
        <v>129</v>
      </c>
      <c r="E2018" s="0" t="s">
        <v>1928</v>
      </c>
      <c r="F2018" s="0" t="n">
        <v>5</v>
      </c>
      <c r="G2018" s="0" t="n">
        <v>0</v>
      </c>
      <c r="H2018" s="0" t="s">
        <v>585</v>
      </c>
      <c r="K2018" s="0" t="s">
        <v>597</v>
      </c>
      <c r="L2018" s="0" t="s">
        <v>3894</v>
      </c>
    </row>
    <row r="2019" customFormat="false" ht="15" hidden="false" customHeight="false" outlineLevel="0" collapsed="false">
      <c r="A2019" s="0" t="s">
        <v>69</v>
      </c>
      <c r="B2019" s="0" t="s">
        <v>42</v>
      </c>
      <c r="C2019" s="0" t="s">
        <v>860</v>
      </c>
      <c r="D2019" s="0" t="s">
        <v>132</v>
      </c>
      <c r="E2019" s="0" t="s">
        <v>1930</v>
      </c>
      <c r="F2019" s="0" t="n">
        <v>5</v>
      </c>
      <c r="G2019" s="0" t="n">
        <v>0</v>
      </c>
      <c r="H2019" s="0" t="s">
        <v>585</v>
      </c>
      <c r="K2019" s="0" t="s">
        <v>600</v>
      </c>
      <c r="L2019" s="0" t="s">
        <v>3895</v>
      </c>
    </row>
    <row r="2020" customFormat="false" ht="15" hidden="false" customHeight="false" outlineLevel="0" collapsed="false">
      <c r="A2020" s="0" t="s">
        <v>69</v>
      </c>
      <c r="B2020" s="0" t="s">
        <v>42</v>
      </c>
      <c r="C2020" s="0" t="s">
        <v>860</v>
      </c>
      <c r="D2020" s="0" t="s">
        <v>139</v>
      </c>
      <c r="E2020" s="0" t="s">
        <v>1932</v>
      </c>
      <c r="F2020" s="0" t="n">
        <v>5</v>
      </c>
      <c r="G2020" s="0" t="n">
        <v>0</v>
      </c>
      <c r="H2020" s="0" t="s">
        <v>585</v>
      </c>
      <c r="K2020" s="0" t="s">
        <v>604</v>
      </c>
      <c r="L2020" s="0" t="s">
        <v>3896</v>
      </c>
    </row>
    <row r="2021" customFormat="false" ht="15" hidden="false" customHeight="false" outlineLevel="0" collapsed="false">
      <c r="A2021" s="0" t="s">
        <v>69</v>
      </c>
      <c r="B2021" s="0" t="s">
        <v>42</v>
      </c>
      <c r="C2021" s="0" t="s">
        <v>860</v>
      </c>
      <c r="D2021" s="0" t="s">
        <v>143</v>
      </c>
      <c r="E2021" s="0" t="s">
        <v>1934</v>
      </c>
      <c r="F2021" s="0" t="n">
        <v>5</v>
      </c>
      <c r="G2021" s="0" t="n">
        <v>0</v>
      </c>
      <c r="H2021" s="0" t="s">
        <v>585</v>
      </c>
      <c r="K2021" s="0" t="s">
        <v>607</v>
      </c>
      <c r="L2021" s="0" t="s">
        <v>3897</v>
      </c>
    </row>
    <row r="2022" customFormat="false" ht="15" hidden="false" customHeight="false" outlineLevel="0" collapsed="false">
      <c r="A2022" s="0" t="s">
        <v>69</v>
      </c>
      <c r="B2022" s="0" t="s">
        <v>42</v>
      </c>
      <c r="C2022" s="0" t="s">
        <v>860</v>
      </c>
      <c r="D2022" s="0" t="s">
        <v>146</v>
      </c>
      <c r="E2022" s="0" t="s">
        <v>1936</v>
      </c>
      <c r="F2022" s="0" t="n">
        <v>5</v>
      </c>
      <c r="G2022" s="0" t="n">
        <v>0</v>
      </c>
      <c r="H2022" s="0" t="s">
        <v>585</v>
      </c>
      <c r="K2022" s="0" t="s">
        <v>610</v>
      </c>
      <c r="L2022" s="0" t="s">
        <v>3898</v>
      </c>
    </row>
    <row r="2023" customFormat="false" ht="15" hidden="false" customHeight="false" outlineLevel="0" collapsed="false">
      <c r="A2023" s="0" t="s">
        <v>69</v>
      </c>
      <c r="B2023" s="0" t="s">
        <v>42</v>
      </c>
      <c r="C2023" s="0" t="s">
        <v>860</v>
      </c>
      <c r="D2023" s="0" t="s">
        <v>149</v>
      </c>
      <c r="E2023" s="0" t="s">
        <v>1938</v>
      </c>
      <c r="F2023" s="0" t="n">
        <v>5</v>
      </c>
      <c r="G2023" s="0" t="n">
        <v>0</v>
      </c>
      <c r="H2023" s="0" t="s">
        <v>585</v>
      </c>
      <c r="K2023" s="0" t="s">
        <v>613</v>
      </c>
      <c r="L2023" s="0" t="s">
        <v>3899</v>
      </c>
    </row>
    <row r="2024" customFormat="false" ht="15" hidden="false" customHeight="false" outlineLevel="0" collapsed="false">
      <c r="A2024" s="0" t="s">
        <v>69</v>
      </c>
      <c r="B2024" s="0" t="s">
        <v>42</v>
      </c>
      <c r="C2024" s="0" t="s">
        <v>860</v>
      </c>
      <c r="D2024" s="0" t="s">
        <v>152</v>
      </c>
      <c r="E2024" s="0" t="s">
        <v>1940</v>
      </c>
      <c r="F2024" s="0" t="n">
        <v>5</v>
      </c>
      <c r="G2024" s="0" t="n">
        <v>0</v>
      </c>
      <c r="H2024" s="0" t="s">
        <v>585</v>
      </c>
      <c r="K2024" s="0" t="s">
        <v>616</v>
      </c>
      <c r="L2024" s="0" t="s">
        <v>3900</v>
      </c>
    </row>
    <row r="2025" customFormat="false" ht="15" hidden="false" customHeight="false" outlineLevel="0" collapsed="false">
      <c r="A2025" s="0" t="s">
        <v>69</v>
      </c>
      <c r="B2025" s="0" t="s">
        <v>42</v>
      </c>
      <c r="C2025" s="0" t="s">
        <v>860</v>
      </c>
      <c r="D2025" s="0" t="s">
        <v>155</v>
      </c>
      <c r="E2025" s="0" t="s">
        <v>1942</v>
      </c>
      <c r="F2025" s="0" t="n">
        <v>5</v>
      </c>
      <c r="G2025" s="0" t="n">
        <v>0</v>
      </c>
      <c r="H2025" s="0" t="s">
        <v>585</v>
      </c>
      <c r="K2025" s="0" t="s">
        <v>620</v>
      </c>
      <c r="L2025" s="0" t="s">
        <v>3901</v>
      </c>
    </row>
    <row r="2026" customFormat="false" ht="15" hidden="false" customHeight="false" outlineLevel="0" collapsed="false">
      <c r="A2026" s="0" t="s">
        <v>69</v>
      </c>
      <c r="B2026" s="0" t="s">
        <v>42</v>
      </c>
      <c r="C2026" s="0" t="s">
        <v>885</v>
      </c>
      <c r="D2026" s="0" t="s">
        <v>987</v>
      </c>
      <c r="E2026" s="0" t="s">
        <v>1944</v>
      </c>
      <c r="F2026" s="0" t="n">
        <v>5</v>
      </c>
      <c r="G2026" s="0" t="n">
        <v>0</v>
      </c>
      <c r="H2026" s="0" t="s">
        <v>585</v>
      </c>
      <c r="K2026" s="0" t="s">
        <v>581</v>
      </c>
      <c r="L2026" s="0" t="s">
        <v>3902</v>
      </c>
    </row>
    <row r="2027" customFormat="false" ht="15" hidden="false" customHeight="false" outlineLevel="0" collapsed="false">
      <c r="A2027" s="0" t="s">
        <v>69</v>
      </c>
      <c r="B2027" s="0" t="s">
        <v>42</v>
      </c>
      <c r="C2027" s="0" t="s">
        <v>885</v>
      </c>
      <c r="D2027" s="0" t="s">
        <v>990</v>
      </c>
      <c r="E2027" s="0" t="s">
        <v>1946</v>
      </c>
      <c r="F2027" s="0" t="n">
        <v>5</v>
      </c>
      <c r="G2027" s="0" t="n">
        <v>1</v>
      </c>
      <c r="H2027" s="0" t="s">
        <v>585</v>
      </c>
      <c r="I2027" s="0" t="s">
        <v>502</v>
      </c>
      <c r="K2027" s="0" t="s">
        <v>586</v>
      </c>
      <c r="L2027" s="0" t="s">
        <v>3903</v>
      </c>
    </row>
    <row r="2028" customFormat="false" ht="15" hidden="false" customHeight="false" outlineLevel="0" collapsed="false">
      <c r="A2028" s="0" t="s">
        <v>69</v>
      </c>
      <c r="B2028" s="0" t="s">
        <v>42</v>
      </c>
      <c r="C2028" s="0" t="s">
        <v>885</v>
      </c>
      <c r="D2028" s="0" t="s">
        <v>993</v>
      </c>
      <c r="E2028" s="0" t="s">
        <v>1948</v>
      </c>
      <c r="F2028" s="0" t="n">
        <v>5</v>
      </c>
      <c r="G2028" s="0" t="n">
        <v>0</v>
      </c>
      <c r="H2028" s="0" t="s">
        <v>585</v>
      </c>
      <c r="K2028" s="0" t="s">
        <v>590</v>
      </c>
      <c r="L2028" s="0" t="s">
        <v>3904</v>
      </c>
    </row>
    <row r="2029" customFormat="false" ht="15" hidden="false" customHeight="false" outlineLevel="0" collapsed="false">
      <c r="A2029" s="0" t="s">
        <v>69</v>
      </c>
      <c r="B2029" s="0" t="s">
        <v>42</v>
      </c>
      <c r="C2029" s="0" t="s">
        <v>885</v>
      </c>
      <c r="D2029" s="0" t="s">
        <v>126</v>
      </c>
      <c r="E2029" s="0" t="s">
        <v>1950</v>
      </c>
      <c r="F2029" s="0" t="n">
        <v>5</v>
      </c>
      <c r="G2029" s="0" t="n">
        <v>0</v>
      </c>
      <c r="H2029" s="0" t="s">
        <v>585</v>
      </c>
      <c r="K2029" s="0" t="s">
        <v>594</v>
      </c>
      <c r="L2029" s="0" t="s">
        <v>3905</v>
      </c>
    </row>
    <row r="2030" customFormat="false" ht="15" hidden="false" customHeight="false" outlineLevel="0" collapsed="false">
      <c r="A2030" s="0" t="s">
        <v>69</v>
      </c>
      <c r="B2030" s="0" t="s">
        <v>42</v>
      </c>
      <c r="C2030" s="0" t="s">
        <v>885</v>
      </c>
      <c r="D2030" s="0" t="s">
        <v>129</v>
      </c>
      <c r="E2030" s="0" t="s">
        <v>1952</v>
      </c>
      <c r="F2030" s="0" t="n">
        <v>5</v>
      </c>
      <c r="G2030" s="0" t="n">
        <v>0</v>
      </c>
      <c r="H2030" s="0" t="s">
        <v>585</v>
      </c>
      <c r="K2030" s="0" t="s">
        <v>597</v>
      </c>
      <c r="L2030" s="0" t="s">
        <v>3906</v>
      </c>
    </row>
    <row r="2031" customFormat="false" ht="15" hidden="false" customHeight="false" outlineLevel="0" collapsed="false">
      <c r="A2031" s="0" t="s">
        <v>69</v>
      </c>
      <c r="B2031" s="0" t="s">
        <v>42</v>
      </c>
      <c r="C2031" s="0" t="s">
        <v>885</v>
      </c>
      <c r="D2031" s="0" t="s">
        <v>132</v>
      </c>
      <c r="E2031" s="0" t="s">
        <v>1954</v>
      </c>
      <c r="F2031" s="0" t="n">
        <v>5</v>
      </c>
      <c r="G2031" s="0" t="n">
        <v>0</v>
      </c>
      <c r="H2031" s="0" t="s">
        <v>585</v>
      </c>
      <c r="K2031" s="0" t="s">
        <v>600</v>
      </c>
      <c r="L2031" s="0" t="s">
        <v>3907</v>
      </c>
    </row>
    <row r="2032" customFormat="false" ht="15" hidden="false" customHeight="false" outlineLevel="0" collapsed="false">
      <c r="A2032" s="0" t="s">
        <v>69</v>
      </c>
      <c r="B2032" s="0" t="s">
        <v>42</v>
      </c>
      <c r="C2032" s="0" t="s">
        <v>885</v>
      </c>
      <c r="D2032" s="0" t="s">
        <v>139</v>
      </c>
      <c r="E2032" s="0" t="s">
        <v>1956</v>
      </c>
      <c r="F2032" s="0" t="n">
        <v>5</v>
      </c>
      <c r="G2032" s="0" t="n">
        <v>0</v>
      </c>
      <c r="H2032" s="0" t="s">
        <v>585</v>
      </c>
      <c r="K2032" s="0" t="s">
        <v>604</v>
      </c>
      <c r="L2032" s="0" t="s">
        <v>3908</v>
      </c>
    </row>
    <row r="2033" customFormat="false" ht="15" hidden="false" customHeight="false" outlineLevel="0" collapsed="false">
      <c r="A2033" s="0" t="s">
        <v>69</v>
      </c>
      <c r="B2033" s="0" t="s">
        <v>42</v>
      </c>
      <c r="C2033" s="0" t="s">
        <v>885</v>
      </c>
      <c r="D2033" s="0" t="s">
        <v>143</v>
      </c>
      <c r="E2033" s="0" t="s">
        <v>1958</v>
      </c>
      <c r="F2033" s="0" t="n">
        <v>5</v>
      </c>
      <c r="G2033" s="0" t="n">
        <v>0</v>
      </c>
      <c r="H2033" s="0" t="s">
        <v>585</v>
      </c>
      <c r="K2033" s="0" t="s">
        <v>607</v>
      </c>
      <c r="L2033" s="0" t="s">
        <v>3909</v>
      </c>
    </row>
    <row r="2034" customFormat="false" ht="15" hidden="false" customHeight="false" outlineLevel="0" collapsed="false">
      <c r="A2034" s="0" t="s">
        <v>69</v>
      </c>
      <c r="B2034" s="0" t="s">
        <v>42</v>
      </c>
      <c r="C2034" s="0" t="s">
        <v>885</v>
      </c>
      <c r="D2034" s="0" t="s">
        <v>146</v>
      </c>
      <c r="E2034" s="0" t="s">
        <v>1960</v>
      </c>
      <c r="F2034" s="0" t="n">
        <v>5</v>
      </c>
      <c r="G2034" s="0" t="n">
        <v>0</v>
      </c>
      <c r="H2034" s="0" t="s">
        <v>585</v>
      </c>
      <c r="K2034" s="0" t="s">
        <v>610</v>
      </c>
      <c r="L2034" s="0" t="s">
        <v>3910</v>
      </c>
    </row>
    <row r="2035" customFormat="false" ht="15" hidden="false" customHeight="false" outlineLevel="0" collapsed="false">
      <c r="A2035" s="0" t="s">
        <v>69</v>
      </c>
      <c r="B2035" s="0" t="s">
        <v>42</v>
      </c>
      <c r="C2035" s="0" t="s">
        <v>885</v>
      </c>
      <c r="D2035" s="0" t="s">
        <v>149</v>
      </c>
      <c r="E2035" s="0" t="s">
        <v>1962</v>
      </c>
      <c r="F2035" s="0" t="n">
        <v>5</v>
      </c>
      <c r="G2035" s="0" t="n">
        <v>0</v>
      </c>
      <c r="H2035" s="0" t="s">
        <v>585</v>
      </c>
      <c r="K2035" s="0" t="s">
        <v>613</v>
      </c>
      <c r="L2035" s="0" t="s">
        <v>3911</v>
      </c>
    </row>
    <row r="2036" customFormat="false" ht="15" hidden="false" customHeight="false" outlineLevel="0" collapsed="false">
      <c r="A2036" s="0" t="s">
        <v>69</v>
      </c>
      <c r="B2036" s="0" t="s">
        <v>42</v>
      </c>
      <c r="C2036" s="0" t="s">
        <v>885</v>
      </c>
      <c r="D2036" s="0" t="s">
        <v>152</v>
      </c>
      <c r="E2036" s="0" t="s">
        <v>1964</v>
      </c>
      <c r="F2036" s="0" t="n">
        <v>5</v>
      </c>
      <c r="G2036" s="0" t="n">
        <v>0</v>
      </c>
      <c r="H2036" s="0" t="s">
        <v>585</v>
      </c>
      <c r="K2036" s="0" t="s">
        <v>616</v>
      </c>
      <c r="L2036" s="0" t="s">
        <v>3912</v>
      </c>
    </row>
    <row r="2037" customFormat="false" ht="15" hidden="false" customHeight="false" outlineLevel="0" collapsed="false">
      <c r="A2037" s="0" t="s">
        <v>69</v>
      </c>
      <c r="B2037" s="0" t="s">
        <v>42</v>
      </c>
      <c r="C2037" s="0" t="s">
        <v>885</v>
      </c>
      <c r="D2037" s="0" t="s">
        <v>155</v>
      </c>
      <c r="E2037" s="0" t="s">
        <v>1966</v>
      </c>
      <c r="F2037" s="0" t="n">
        <v>5</v>
      </c>
      <c r="G2037" s="0" t="n">
        <v>0</v>
      </c>
      <c r="H2037" s="0" t="s">
        <v>585</v>
      </c>
      <c r="K2037" s="0" t="s">
        <v>620</v>
      </c>
      <c r="L2037" s="0" t="s">
        <v>3913</v>
      </c>
    </row>
    <row r="2038" customFormat="false" ht="15" hidden="false" customHeight="false" outlineLevel="0" collapsed="false">
      <c r="A2038" s="0" t="s">
        <v>69</v>
      </c>
      <c r="B2038" s="0" t="s">
        <v>42</v>
      </c>
      <c r="C2038" s="0" t="s">
        <v>910</v>
      </c>
      <c r="D2038" s="0" t="s">
        <v>987</v>
      </c>
      <c r="E2038" s="0" t="s">
        <v>1968</v>
      </c>
      <c r="F2038" s="0" t="n">
        <v>5</v>
      </c>
      <c r="G2038" s="0" t="n">
        <v>0</v>
      </c>
      <c r="H2038" s="0" t="s">
        <v>585</v>
      </c>
      <c r="K2038" s="0" t="s">
        <v>581</v>
      </c>
      <c r="L2038" s="0" t="s">
        <v>3914</v>
      </c>
    </row>
    <row r="2039" customFormat="false" ht="15" hidden="false" customHeight="false" outlineLevel="0" collapsed="false">
      <c r="A2039" s="0" t="s">
        <v>69</v>
      </c>
      <c r="B2039" s="0" t="s">
        <v>42</v>
      </c>
      <c r="C2039" s="0" t="s">
        <v>910</v>
      </c>
      <c r="D2039" s="0" t="s">
        <v>990</v>
      </c>
      <c r="E2039" s="0" t="s">
        <v>1970</v>
      </c>
      <c r="F2039" s="0" t="n">
        <v>5</v>
      </c>
      <c r="G2039" s="0" t="n">
        <v>2</v>
      </c>
      <c r="H2039" s="0" t="s">
        <v>585</v>
      </c>
      <c r="I2039" s="0" t="s">
        <v>500</v>
      </c>
      <c r="K2039" s="0" t="s">
        <v>586</v>
      </c>
      <c r="L2039" s="0" t="s">
        <v>3915</v>
      </c>
    </row>
    <row r="2040" customFormat="false" ht="15" hidden="false" customHeight="false" outlineLevel="0" collapsed="false">
      <c r="A2040" s="0" t="s">
        <v>69</v>
      </c>
      <c r="B2040" s="0" t="s">
        <v>42</v>
      </c>
      <c r="C2040" s="0" t="s">
        <v>910</v>
      </c>
      <c r="D2040" s="0" t="s">
        <v>993</v>
      </c>
      <c r="E2040" s="0" t="s">
        <v>1972</v>
      </c>
      <c r="F2040" s="0" t="n">
        <v>5</v>
      </c>
      <c r="G2040" s="0" t="n">
        <v>0</v>
      </c>
      <c r="H2040" s="0" t="s">
        <v>585</v>
      </c>
      <c r="K2040" s="0" t="s">
        <v>590</v>
      </c>
      <c r="L2040" s="0" t="s">
        <v>3916</v>
      </c>
    </row>
    <row r="2041" customFormat="false" ht="15" hidden="false" customHeight="false" outlineLevel="0" collapsed="false">
      <c r="A2041" s="0" t="s">
        <v>69</v>
      </c>
      <c r="B2041" s="0" t="s">
        <v>42</v>
      </c>
      <c r="C2041" s="0" t="s">
        <v>910</v>
      </c>
      <c r="D2041" s="0" t="s">
        <v>126</v>
      </c>
      <c r="E2041" s="0" t="s">
        <v>1974</v>
      </c>
      <c r="F2041" s="0" t="n">
        <v>5</v>
      </c>
      <c r="G2041" s="0" t="n">
        <v>0</v>
      </c>
      <c r="H2041" s="0" t="s">
        <v>585</v>
      </c>
      <c r="K2041" s="0" t="s">
        <v>594</v>
      </c>
      <c r="L2041" s="0" t="s">
        <v>3917</v>
      </c>
    </row>
    <row r="2042" customFormat="false" ht="15" hidden="false" customHeight="false" outlineLevel="0" collapsed="false">
      <c r="A2042" s="0" t="s">
        <v>69</v>
      </c>
      <c r="B2042" s="0" t="s">
        <v>42</v>
      </c>
      <c r="C2042" s="0" t="s">
        <v>910</v>
      </c>
      <c r="D2042" s="0" t="s">
        <v>129</v>
      </c>
      <c r="E2042" s="0" t="s">
        <v>1976</v>
      </c>
      <c r="F2042" s="0" t="n">
        <v>5</v>
      </c>
      <c r="G2042" s="0" t="n">
        <v>0</v>
      </c>
      <c r="H2042" s="0" t="s">
        <v>585</v>
      </c>
      <c r="K2042" s="0" t="s">
        <v>597</v>
      </c>
      <c r="L2042" s="0" t="s">
        <v>3918</v>
      </c>
    </row>
    <row r="2043" customFormat="false" ht="15" hidden="false" customHeight="false" outlineLevel="0" collapsed="false">
      <c r="A2043" s="0" t="s">
        <v>69</v>
      </c>
      <c r="B2043" s="0" t="s">
        <v>42</v>
      </c>
      <c r="C2043" s="0" t="s">
        <v>910</v>
      </c>
      <c r="D2043" s="0" t="s">
        <v>132</v>
      </c>
      <c r="E2043" s="0" t="s">
        <v>1978</v>
      </c>
      <c r="F2043" s="0" t="n">
        <v>5</v>
      </c>
      <c r="G2043" s="0" t="n">
        <v>0</v>
      </c>
      <c r="H2043" s="0" t="s">
        <v>585</v>
      </c>
      <c r="K2043" s="0" t="s">
        <v>600</v>
      </c>
      <c r="L2043" s="0" t="s">
        <v>3919</v>
      </c>
    </row>
    <row r="2044" customFormat="false" ht="15" hidden="false" customHeight="false" outlineLevel="0" collapsed="false">
      <c r="A2044" s="0" t="s">
        <v>69</v>
      </c>
      <c r="B2044" s="0" t="s">
        <v>42</v>
      </c>
      <c r="C2044" s="0" t="s">
        <v>910</v>
      </c>
      <c r="D2044" s="0" t="s">
        <v>139</v>
      </c>
      <c r="E2044" s="0" t="s">
        <v>1980</v>
      </c>
      <c r="F2044" s="0" t="n">
        <v>5</v>
      </c>
      <c r="G2044" s="0" t="n">
        <v>0</v>
      </c>
      <c r="H2044" s="0" t="s">
        <v>585</v>
      </c>
      <c r="K2044" s="0" t="s">
        <v>604</v>
      </c>
      <c r="L2044" s="0" t="s">
        <v>3920</v>
      </c>
    </row>
    <row r="2045" customFormat="false" ht="15" hidden="false" customHeight="false" outlineLevel="0" collapsed="false">
      <c r="A2045" s="0" t="s">
        <v>69</v>
      </c>
      <c r="B2045" s="0" t="s">
        <v>42</v>
      </c>
      <c r="C2045" s="0" t="s">
        <v>910</v>
      </c>
      <c r="D2045" s="0" t="s">
        <v>143</v>
      </c>
      <c r="E2045" s="0" t="s">
        <v>1982</v>
      </c>
      <c r="F2045" s="0" t="n">
        <v>5</v>
      </c>
      <c r="G2045" s="0" t="n">
        <v>0</v>
      </c>
      <c r="H2045" s="0" t="s">
        <v>585</v>
      </c>
      <c r="K2045" s="0" t="s">
        <v>607</v>
      </c>
      <c r="L2045" s="0" t="s">
        <v>3921</v>
      </c>
    </row>
    <row r="2046" customFormat="false" ht="15" hidden="false" customHeight="false" outlineLevel="0" collapsed="false">
      <c r="A2046" s="0" t="s">
        <v>69</v>
      </c>
      <c r="B2046" s="0" t="s">
        <v>42</v>
      </c>
      <c r="C2046" s="0" t="s">
        <v>910</v>
      </c>
      <c r="D2046" s="0" t="s">
        <v>146</v>
      </c>
      <c r="E2046" s="0" t="s">
        <v>1984</v>
      </c>
      <c r="F2046" s="0" t="n">
        <v>5</v>
      </c>
      <c r="G2046" s="0" t="n">
        <v>0</v>
      </c>
      <c r="H2046" s="0" t="s">
        <v>585</v>
      </c>
      <c r="K2046" s="0" t="s">
        <v>610</v>
      </c>
      <c r="L2046" s="0" t="s">
        <v>3922</v>
      </c>
    </row>
    <row r="2047" customFormat="false" ht="15" hidden="false" customHeight="false" outlineLevel="0" collapsed="false">
      <c r="A2047" s="0" t="s">
        <v>69</v>
      </c>
      <c r="B2047" s="0" t="s">
        <v>42</v>
      </c>
      <c r="C2047" s="0" t="s">
        <v>910</v>
      </c>
      <c r="D2047" s="0" t="s">
        <v>149</v>
      </c>
      <c r="E2047" s="0" t="s">
        <v>1986</v>
      </c>
      <c r="F2047" s="0" t="n">
        <v>5</v>
      </c>
      <c r="G2047" s="0" t="n">
        <v>0</v>
      </c>
      <c r="H2047" s="0" t="s">
        <v>585</v>
      </c>
      <c r="K2047" s="0" t="s">
        <v>613</v>
      </c>
      <c r="L2047" s="0" t="s">
        <v>3923</v>
      </c>
    </row>
    <row r="2048" customFormat="false" ht="15" hidden="false" customHeight="false" outlineLevel="0" collapsed="false">
      <c r="A2048" s="0" t="s">
        <v>69</v>
      </c>
      <c r="B2048" s="0" t="s">
        <v>42</v>
      </c>
      <c r="C2048" s="0" t="s">
        <v>910</v>
      </c>
      <c r="D2048" s="0" t="s">
        <v>152</v>
      </c>
      <c r="E2048" s="0" t="s">
        <v>1988</v>
      </c>
      <c r="F2048" s="0" t="n">
        <v>5</v>
      </c>
      <c r="G2048" s="0" t="n">
        <v>0</v>
      </c>
      <c r="H2048" s="0" t="s">
        <v>585</v>
      </c>
      <c r="K2048" s="0" t="s">
        <v>616</v>
      </c>
      <c r="L2048" s="0" t="s">
        <v>3924</v>
      </c>
    </row>
    <row r="2049" customFormat="false" ht="15" hidden="false" customHeight="false" outlineLevel="0" collapsed="false">
      <c r="A2049" s="0" t="s">
        <v>69</v>
      </c>
      <c r="B2049" s="0" t="s">
        <v>42</v>
      </c>
      <c r="C2049" s="0" t="s">
        <v>910</v>
      </c>
      <c r="D2049" s="0" t="s">
        <v>155</v>
      </c>
      <c r="E2049" s="0" t="s">
        <v>1990</v>
      </c>
      <c r="F2049" s="0" t="n">
        <v>5</v>
      </c>
      <c r="G2049" s="0" t="n">
        <v>0</v>
      </c>
      <c r="H2049" s="0" t="s">
        <v>585</v>
      </c>
      <c r="K2049" s="0" t="s">
        <v>620</v>
      </c>
      <c r="L2049" s="0" t="s">
        <v>3925</v>
      </c>
    </row>
    <row r="2050" customFormat="false" ht="15" hidden="false" customHeight="false" outlineLevel="0" collapsed="false">
      <c r="A2050" s="0" t="s">
        <v>69</v>
      </c>
      <c r="B2050" s="0" t="s">
        <v>42</v>
      </c>
      <c r="C2050" s="0" t="s">
        <v>935</v>
      </c>
      <c r="D2050" s="0" t="s">
        <v>987</v>
      </c>
      <c r="E2050" s="0" t="s">
        <v>1992</v>
      </c>
      <c r="F2050" s="0" t="n">
        <v>5</v>
      </c>
      <c r="G2050" s="0" t="n">
        <v>0</v>
      </c>
      <c r="H2050" s="0" t="s">
        <v>585</v>
      </c>
      <c r="K2050" s="0" t="s">
        <v>581</v>
      </c>
      <c r="L2050" s="0" t="s">
        <v>3926</v>
      </c>
    </row>
    <row r="2051" customFormat="false" ht="15" hidden="false" customHeight="false" outlineLevel="0" collapsed="false">
      <c r="A2051" s="0" t="s">
        <v>69</v>
      </c>
      <c r="B2051" s="0" t="s">
        <v>42</v>
      </c>
      <c r="C2051" s="0" t="s">
        <v>935</v>
      </c>
      <c r="D2051" s="0" t="s">
        <v>990</v>
      </c>
      <c r="E2051" s="0" t="s">
        <v>1994</v>
      </c>
      <c r="F2051" s="0" t="n">
        <v>5</v>
      </c>
      <c r="G2051" s="0" t="n">
        <v>3</v>
      </c>
      <c r="H2051" s="0" t="s">
        <v>585</v>
      </c>
      <c r="I2051" s="0" t="s">
        <v>500</v>
      </c>
      <c r="K2051" s="0" t="s">
        <v>586</v>
      </c>
      <c r="L2051" s="0" t="s">
        <v>3927</v>
      </c>
    </row>
    <row r="2052" customFormat="false" ht="15" hidden="false" customHeight="false" outlineLevel="0" collapsed="false">
      <c r="A2052" s="0" t="s">
        <v>69</v>
      </c>
      <c r="B2052" s="0" t="s">
        <v>42</v>
      </c>
      <c r="C2052" s="0" t="s">
        <v>935</v>
      </c>
      <c r="D2052" s="0" t="s">
        <v>993</v>
      </c>
      <c r="E2052" s="0" t="s">
        <v>1996</v>
      </c>
      <c r="F2052" s="0" t="n">
        <v>5</v>
      </c>
      <c r="G2052" s="0" t="n">
        <v>0</v>
      </c>
      <c r="H2052" s="0" t="s">
        <v>585</v>
      </c>
      <c r="K2052" s="0" t="s">
        <v>590</v>
      </c>
      <c r="L2052" s="0" t="s">
        <v>3928</v>
      </c>
    </row>
    <row r="2053" customFormat="false" ht="15" hidden="false" customHeight="false" outlineLevel="0" collapsed="false">
      <c r="A2053" s="0" t="s">
        <v>69</v>
      </c>
      <c r="B2053" s="0" t="s">
        <v>42</v>
      </c>
      <c r="C2053" s="0" t="s">
        <v>935</v>
      </c>
      <c r="D2053" s="0" t="s">
        <v>126</v>
      </c>
      <c r="E2053" s="0" t="s">
        <v>1998</v>
      </c>
      <c r="F2053" s="0" t="n">
        <v>5</v>
      </c>
      <c r="G2053" s="0" t="n">
        <v>5</v>
      </c>
      <c r="H2053" s="0" t="s">
        <v>580</v>
      </c>
      <c r="I2053" s="0" t="s">
        <v>500</v>
      </c>
      <c r="K2053" s="0" t="s">
        <v>594</v>
      </c>
      <c r="L2053" s="0" t="s">
        <v>3929</v>
      </c>
    </row>
    <row r="2054" customFormat="false" ht="15" hidden="false" customHeight="false" outlineLevel="0" collapsed="false">
      <c r="A2054" s="0" t="s">
        <v>69</v>
      </c>
      <c r="B2054" s="0" t="s">
        <v>42</v>
      </c>
      <c r="C2054" s="0" t="s">
        <v>935</v>
      </c>
      <c r="D2054" s="0" t="s">
        <v>129</v>
      </c>
      <c r="E2054" s="0" t="s">
        <v>2000</v>
      </c>
      <c r="F2054" s="0" t="n">
        <v>5</v>
      </c>
      <c r="G2054" s="0" t="n">
        <v>0</v>
      </c>
      <c r="H2054" s="0" t="s">
        <v>585</v>
      </c>
      <c r="K2054" s="0" t="s">
        <v>597</v>
      </c>
      <c r="L2054" s="0" t="s">
        <v>3930</v>
      </c>
    </row>
    <row r="2055" customFormat="false" ht="15" hidden="false" customHeight="false" outlineLevel="0" collapsed="false">
      <c r="A2055" s="0" t="s">
        <v>69</v>
      </c>
      <c r="B2055" s="0" t="s">
        <v>42</v>
      </c>
      <c r="C2055" s="0" t="s">
        <v>935</v>
      </c>
      <c r="D2055" s="0" t="s">
        <v>132</v>
      </c>
      <c r="E2055" s="0" t="s">
        <v>2002</v>
      </c>
      <c r="F2055" s="0" t="n">
        <v>5</v>
      </c>
      <c r="G2055" s="0" t="n">
        <v>0</v>
      </c>
      <c r="H2055" s="0" t="s">
        <v>585</v>
      </c>
      <c r="K2055" s="0" t="s">
        <v>600</v>
      </c>
      <c r="L2055" s="0" t="s">
        <v>3931</v>
      </c>
    </row>
    <row r="2056" customFormat="false" ht="15" hidden="false" customHeight="false" outlineLevel="0" collapsed="false">
      <c r="A2056" s="0" t="s">
        <v>69</v>
      </c>
      <c r="B2056" s="0" t="s">
        <v>42</v>
      </c>
      <c r="C2056" s="0" t="s">
        <v>935</v>
      </c>
      <c r="D2056" s="0" t="s">
        <v>139</v>
      </c>
      <c r="E2056" s="0" t="s">
        <v>2004</v>
      </c>
      <c r="F2056" s="0" t="n">
        <v>5</v>
      </c>
      <c r="G2056" s="0" t="n">
        <v>0</v>
      </c>
      <c r="H2056" s="0" t="s">
        <v>585</v>
      </c>
      <c r="K2056" s="0" t="s">
        <v>604</v>
      </c>
      <c r="L2056" s="0" t="s">
        <v>3932</v>
      </c>
    </row>
    <row r="2057" customFormat="false" ht="15" hidden="false" customHeight="false" outlineLevel="0" collapsed="false">
      <c r="A2057" s="0" t="s">
        <v>69</v>
      </c>
      <c r="B2057" s="0" t="s">
        <v>42</v>
      </c>
      <c r="C2057" s="0" t="s">
        <v>935</v>
      </c>
      <c r="D2057" s="0" t="s">
        <v>143</v>
      </c>
      <c r="E2057" s="0" t="s">
        <v>2006</v>
      </c>
      <c r="F2057" s="0" t="n">
        <v>5</v>
      </c>
      <c r="G2057" s="0" t="n">
        <v>0</v>
      </c>
      <c r="H2057" s="0" t="s">
        <v>585</v>
      </c>
      <c r="K2057" s="0" t="s">
        <v>607</v>
      </c>
      <c r="L2057" s="0" t="s">
        <v>3933</v>
      </c>
    </row>
    <row r="2058" customFormat="false" ht="15" hidden="false" customHeight="false" outlineLevel="0" collapsed="false">
      <c r="A2058" s="0" t="s">
        <v>69</v>
      </c>
      <c r="B2058" s="0" t="s">
        <v>42</v>
      </c>
      <c r="C2058" s="0" t="s">
        <v>935</v>
      </c>
      <c r="D2058" s="0" t="s">
        <v>146</v>
      </c>
      <c r="E2058" s="0" t="s">
        <v>2008</v>
      </c>
      <c r="F2058" s="0" t="n">
        <v>5</v>
      </c>
      <c r="G2058" s="0" t="n">
        <v>0</v>
      </c>
      <c r="H2058" s="0" t="s">
        <v>585</v>
      </c>
      <c r="K2058" s="0" t="s">
        <v>610</v>
      </c>
      <c r="L2058" s="0" t="s">
        <v>3934</v>
      </c>
    </row>
    <row r="2059" customFormat="false" ht="15" hidden="false" customHeight="false" outlineLevel="0" collapsed="false">
      <c r="A2059" s="0" t="s">
        <v>69</v>
      </c>
      <c r="B2059" s="0" t="s">
        <v>42</v>
      </c>
      <c r="C2059" s="0" t="s">
        <v>935</v>
      </c>
      <c r="D2059" s="0" t="s">
        <v>149</v>
      </c>
      <c r="E2059" s="0" t="s">
        <v>2010</v>
      </c>
      <c r="F2059" s="0" t="n">
        <v>5</v>
      </c>
      <c r="G2059" s="0" t="n">
        <v>0</v>
      </c>
      <c r="H2059" s="0" t="s">
        <v>585</v>
      </c>
      <c r="K2059" s="0" t="s">
        <v>613</v>
      </c>
      <c r="L2059" s="0" t="s">
        <v>3935</v>
      </c>
    </row>
    <row r="2060" customFormat="false" ht="15" hidden="false" customHeight="false" outlineLevel="0" collapsed="false">
      <c r="A2060" s="0" t="s">
        <v>69</v>
      </c>
      <c r="B2060" s="0" t="s">
        <v>42</v>
      </c>
      <c r="C2060" s="0" t="s">
        <v>935</v>
      </c>
      <c r="D2060" s="0" t="s">
        <v>152</v>
      </c>
      <c r="E2060" s="0" t="s">
        <v>2012</v>
      </c>
      <c r="F2060" s="0" t="n">
        <v>5</v>
      </c>
      <c r="G2060" s="0" t="n">
        <v>2</v>
      </c>
      <c r="H2060" s="0" t="s">
        <v>585</v>
      </c>
      <c r="I2060" s="0" t="s">
        <v>500</v>
      </c>
      <c r="K2060" s="0" t="s">
        <v>616</v>
      </c>
      <c r="L2060" s="0" t="s">
        <v>3936</v>
      </c>
    </row>
    <row r="2061" customFormat="false" ht="15" hidden="false" customHeight="false" outlineLevel="0" collapsed="false">
      <c r="A2061" s="0" t="s">
        <v>69</v>
      </c>
      <c r="B2061" s="0" t="s">
        <v>42</v>
      </c>
      <c r="C2061" s="0" t="s">
        <v>935</v>
      </c>
      <c r="D2061" s="0" t="s">
        <v>155</v>
      </c>
      <c r="E2061" s="0" t="s">
        <v>2014</v>
      </c>
      <c r="F2061" s="0" t="n">
        <v>5</v>
      </c>
      <c r="G2061" s="0" t="n">
        <v>0</v>
      </c>
      <c r="H2061" s="0" t="s">
        <v>585</v>
      </c>
      <c r="K2061" s="0" t="s">
        <v>620</v>
      </c>
      <c r="L2061" s="0" t="s">
        <v>3937</v>
      </c>
    </row>
    <row r="2062" customFormat="false" ht="15" hidden="false" customHeight="false" outlineLevel="0" collapsed="false">
      <c r="A2062" s="0" t="s">
        <v>69</v>
      </c>
      <c r="B2062" s="0" t="s">
        <v>42</v>
      </c>
      <c r="C2062" s="0" t="s">
        <v>961</v>
      </c>
      <c r="D2062" s="0" t="s">
        <v>987</v>
      </c>
      <c r="E2062" s="0" t="s">
        <v>2016</v>
      </c>
      <c r="F2062" s="0" t="n">
        <v>5</v>
      </c>
      <c r="G2062" s="0" t="n">
        <v>0</v>
      </c>
      <c r="H2062" s="0" t="s">
        <v>585</v>
      </c>
      <c r="K2062" s="0" t="s">
        <v>581</v>
      </c>
      <c r="L2062" s="0" t="s">
        <v>3938</v>
      </c>
    </row>
    <row r="2063" customFormat="false" ht="15" hidden="false" customHeight="false" outlineLevel="0" collapsed="false">
      <c r="A2063" s="0" t="s">
        <v>69</v>
      </c>
      <c r="B2063" s="0" t="s">
        <v>42</v>
      </c>
      <c r="C2063" s="0" t="s">
        <v>961</v>
      </c>
      <c r="D2063" s="0" t="s">
        <v>990</v>
      </c>
      <c r="E2063" s="0" t="s">
        <v>2018</v>
      </c>
      <c r="F2063" s="0" t="n">
        <v>5</v>
      </c>
      <c r="G2063" s="0" t="n">
        <v>3</v>
      </c>
      <c r="H2063" s="0" t="s">
        <v>585</v>
      </c>
      <c r="I2063" s="0" t="s">
        <v>500</v>
      </c>
      <c r="K2063" s="0" t="s">
        <v>586</v>
      </c>
      <c r="L2063" s="0" t="s">
        <v>3939</v>
      </c>
    </row>
    <row r="2064" customFormat="false" ht="15" hidden="false" customHeight="false" outlineLevel="0" collapsed="false">
      <c r="A2064" s="0" t="s">
        <v>69</v>
      </c>
      <c r="B2064" s="0" t="s">
        <v>42</v>
      </c>
      <c r="C2064" s="0" t="s">
        <v>961</v>
      </c>
      <c r="D2064" s="0" t="s">
        <v>993</v>
      </c>
      <c r="E2064" s="0" t="s">
        <v>2020</v>
      </c>
      <c r="F2064" s="0" t="n">
        <v>5</v>
      </c>
      <c r="G2064" s="0" t="n">
        <v>3</v>
      </c>
      <c r="H2064" s="0" t="s">
        <v>585</v>
      </c>
      <c r="I2064" s="0" t="s">
        <v>500</v>
      </c>
      <c r="K2064" s="0" t="s">
        <v>590</v>
      </c>
      <c r="L2064" s="0" t="s">
        <v>3940</v>
      </c>
    </row>
    <row r="2065" customFormat="false" ht="15" hidden="false" customHeight="false" outlineLevel="0" collapsed="false">
      <c r="A2065" s="0" t="s">
        <v>69</v>
      </c>
      <c r="B2065" s="0" t="s">
        <v>42</v>
      </c>
      <c r="C2065" s="0" t="s">
        <v>961</v>
      </c>
      <c r="D2065" s="0" t="s">
        <v>126</v>
      </c>
      <c r="E2065" s="0" t="s">
        <v>2022</v>
      </c>
      <c r="F2065" s="0" t="n">
        <v>5</v>
      </c>
      <c r="G2065" s="0" t="n">
        <v>0</v>
      </c>
      <c r="H2065" s="0" t="s">
        <v>585</v>
      </c>
      <c r="K2065" s="0" t="s">
        <v>594</v>
      </c>
      <c r="L2065" s="0" t="s">
        <v>3941</v>
      </c>
    </row>
    <row r="2066" customFormat="false" ht="15" hidden="false" customHeight="false" outlineLevel="0" collapsed="false">
      <c r="A2066" s="0" t="s">
        <v>69</v>
      </c>
      <c r="B2066" s="0" t="s">
        <v>42</v>
      </c>
      <c r="C2066" s="0" t="s">
        <v>961</v>
      </c>
      <c r="D2066" s="0" t="s">
        <v>129</v>
      </c>
      <c r="E2066" s="0" t="s">
        <v>2024</v>
      </c>
      <c r="F2066" s="0" t="n">
        <v>5</v>
      </c>
      <c r="G2066" s="0" t="n">
        <v>0</v>
      </c>
      <c r="H2066" s="0" t="s">
        <v>585</v>
      </c>
      <c r="K2066" s="0" t="s">
        <v>597</v>
      </c>
      <c r="L2066" s="0" t="s">
        <v>3942</v>
      </c>
    </row>
    <row r="2067" customFormat="false" ht="15" hidden="false" customHeight="false" outlineLevel="0" collapsed="false">
      <c r="A2067" s="0" t="s">
        <v>69</v>
      </c>
      <c r="B2067" s="0" t="s">
        <v>42</v>
      </c>
      <c r="C2067" s="0" t="s">
        <v>961</v>
      </c>
      <c r="D2067" s="0" t="s">
        <v>132</v>
      </c>
      <c r="E2067" s="0" t="s">
        <v>2026</v>
      </c>
      <c r="F2067" s="0" t="n">
        <v>5</v>
      </c>
      <c r="G2067" s="0" t="n">
        <v>0</v>
      </c>
      <c r="H2067" s="0" t="s">
        <v>585</v>
      </c>
      <c r="K2067" s="0" t="s">
        <v>600</v>
      </c>
      <c r="L2067" s="0" t="s">
        <v>3943</v>
      </c>
    </row>
    <row r="2068" customFormat="false" ht="15" hidden="false" customHeight="false" outlineLevel="0" collapsed="false">
      <c r="A2068" s="0" t="s">
        <v>69</v>
      </c>
      <c r="B2068" s="0" t="s">
        <v>42</v>
      </c>
      <c r="C2068" s="0" t="s">
        <v>961</v>
      </c>
      <c r="D2068" s="0" t="s">
        <v>139</v>
      </c>
      <c r="E2068" s="0" t="s">
        <v>2028</v>
      </c>
      <c r="F2068" s="0" t="n">
        <v>5</v>
      </c>
      <c r="G2068" s="0" t="n">
        <v>0</v>
      </c>
      <c r="H2068" s="0" t="s">
        <v>585</v>
      </c>
      <c r="K2068" s="0" t="s">
        <v>604</v>
      </c>
      <c r="L2068" s="0" t="s">
        <v>3944</v>
      </c>
    </row>
    <row r="2069" customFormat="false" ht="15" hidden="false" customHeight="false" outlineLevel="0" collapsed="false">
      <c r="A2069" s="0" t="s">
        <v>69</v>
      </c>
      <c r="B2069" s="0" t="s">
        <v>42</v>
      </c>
      <c r="C2069" s="0" t="s">
        <v>961</v>
      </c>
      <c r="D2069" s="0" t="s">
        <v>143</v>
      </c>
      <c r="E2069" s="0" t="s">
        <v>2031</v>
      </c>
      <c r="F2069" s="0" t="n">
        <v>5</v>
      </c>
      <c r="G2069" s="0" t="n">
        <v>0</v>
      </c>
      <c r="H2069" s="0" t="s">
        <v>585</v>
      </c>
      <c r="K2069" s="0" t="s">
        <v>607</v>
      </c>
      <c r="L2069" s="0" t="s">
        <v>3945</v>
      </c>
    </row>
    <row r="2070" customFormat="false" ht="15" hidden="false" customHeight="false" outlineLevel="0" collapsed="false">
      <c r="A2070" s="0" t="s">
        <v>69</v>
      </c>
      <c r="B2070" s="0" t="s">
        <v>42</v>
      </c>
      <c r="C2070" s="0" t="s">
        <v>961</v>
      </c>
      <c r="D2070" s="0" t="s">
        <v>146</v>
      </c>
      <c r="E2070" s="0" t="s">
        <v>2033</v>
      </c>
      <c r="F2070" s="0" t="n">
        <v>5</v>
      </c>
      <c r="G2070" s="0" t="n">
        <v>0</v>
      </c>
      <c r="H2070" s="0" t="s">
        <v>585</v>
      </c>
      <c r="K2070" s="0" t="s">
        <v>610</v>
      </c>
      <c r="L2070" s="0" t="s">
        <v>3946</v>
      </c>
    </row>
    <row r="2071" customFormat="false" ht="15" hidden="false" customHeight="false" outlineLevel="0" collapsed="false">
      <c r="A2071" s="0" t="s">
        <v>69</v>
      </c>
      <c r="B2071" s="0" t="s">
        <v>42</v>
      </c>
      <c r="C2071" s="0" t="s">
        <v>961</v>
      </c>
      <c r="D2071" s="0" t="s">
        <v>149</v>
      </c>
      <c r="E2071" s="0" t="s">
        <v>2035</v>
      </c>
      <c r="F2071" s="0" t="n">
        <v>5</v>
      </c>
      <c r="G2071" s="0" t="n">
        <v>0</v>
      </c>
      <c r="H2071" s="0" t="s">
        <v>585</v>
      </c>
      <c r="K2071" s="0" t="s">
        <v>613</v>
      </c>
      <c r="L2071" s="0" t="s">
        <v>3947</v>
      </c>
    </row>
    <row r="2072" customFormat="false" ht="15" hidden="false" customHeight="false" outlineLevel="0" collapsed="false">
      <c r="A2072" s="0" t="s">
        <v>69</v>
      </c>
      <c r="B2072" s="0" t="s">
        <v>42</v>
      </c>
      <c r="C2072" s="0" t="s">
        <v>961</v>
      </c>
      <c r="D2072" s="0" t="s">
        <v>152</v>
      </c>
      <c r="E2072" s="0" t="s">
        <v>2037</v>
      </c>
      <c r="F2072" s="0" t="n">
        <v>5</v>
      </c>
      <c r="G2072" s="0" t="n">
        <v>1</v>
      </c>
      <c r="H2072" s="0" t="s">
        <v>585</v>
      </c>
      <c r="I2072" s="0" t="s">
        <v>502</v>
      </c>
      <c r="K2072" s="0" t="s">
        <v>616</v>
      </c>
      <c r="L2072" s="0" t="s">
        <v>3948</v>
      </c>
    </row>
    <row r="2073" customFormat="false" ht="15" hidden="false" customHeight="false" outlineLevel="0" collapsed="false">
      <c r="A2073" s="0" t="s">
        <v>69</v>
      </c>
      <c r="B2073" s="0" t="s">
        <v>42</v>
      </c>
      <c r="C2073" s="0" t="s">
        <v>961</v>
      </c>
      <c r="D2073" s="0" t="s">
        <v>155</v>
      </c>
      <c r="E2073" s="0" t="s">
        <v>2039</v>
      </c>
      <c r="F2073" s="0" t="n">
        <v>5</v>
      </c>
      <c r="G2073" s="0" t="n">
        <v>0</v>
      </c>
      <c r="H2073" s="0" t="s">
        <v>585</v>
      </c>
      <c r="K2073" s="0" t="s">
        <v>620</v>
      </c>
      <c r="L2073" s="0" t="s">
        <v>3949</v>
      </c>
    </row>
    <row r="2074" customFormat="false" ht="15" hidden="false" customHeight="false" outlineLevel="0" collapsed="false">
      <c r="A2074" s="0" t="s">
        <v>69</v>
      </c>
      <c r="B2074" s="0" t="s">
        <v>345</v>
      </c>
      <c r="C2074" s="0" t="s">
        <v>986</v>
      </c>
      <c r="D2074" s="0" t="s">
        <v>578</v>
      </c>
      <c r="E2074" s="0" t="s">
        <v>2041</v>
      </c>
      <c r="F2074" s="0" t="n">
        <v>4</v>
      </c>
      <c r="G2074" s="0" t="n">
        <v>0</v>
      </c>
      <c r="H2074" s="0" t="s">
        <v>585</v>
      </c>
      <c r="K2074" s="0" t="s">
        <v>581</v>
      </c>
      <c r="L2074" s="0" t="s">
        <v>3950</v>
      </c>
    </row>
    <row r="2075" customFormat="false" ht="15" hidden="false" customHeight="false" outlineLevel="0" collapsed="false">
      <c r="A2075" s="0" t="s">
        <v>69</v>
      </c>
      <c r="B2075" s="0" t="s">
        <v>345</v>
      </c>
      <c r="C2075" s="0" t="s">
        <v>986</v>
      </c>
      <c r="D2075" s="0" t="s">
        <v>583</v>
      </c>
      <c r="E2075" s="0" t="s">
        <v>2043</v>
      </c>
      <c r="F2075" s="0" t="n">
        <v>4</v>
      </c>
      <c r="G2075" s="0" t="n">
        <v>0</v>
      </c>
      <c r="H2075" s="0" t="s">
        <v>585</v>
      </c>
      <c r="K2075" s="0" t="s">
        <v>586</v>
      </c>
      <c r="L2075" s="0" t="s">
        <v>3951</v>
      </c>
    </row>
    <row r="2076" customFormat="false" ht="15" hidden="false" customHeight="false" outlineLevel="0" collapsed="false">
      <c r="A2076" s="0" t="s">
        <v>69</v>
      </c>
      <c r="B2076" s="0" t="s">
        <v>345</v>
      </c>
      <c r="C2076" s="0" t="s">
        <v>986</v>
      </c>
      <c r="D2076" s="0" t="s">
        <v>588</v>
      </c>
      <c r="E2076" s="0" t="s">
        <v>2045</v>
      </c>
      <c r="F2076" s="0" t="n">
        <v>4</v>
      </c>
      <c r="G2076" s="0" t="n">
        <v>0</v>
      </c>
      <c r="H2076" s="0" t="s">
        <v>585</v>
      </c>
      <c r="K2076" s="0" t="s">
        <v>590</v>
      </c>
      <c r="L2076" s="0" t="s">
        <v>3952</v>
      </c>
    </row>
    <row r="2077" customFormat="false" ht="15" hidden="false" customHeight="false" outlineLevel="0" collapsed="false">
      <c r="A2077" s="0" t="s">
        <v>69</v>
      </c>
      <c r="B2077" s="0" t="s">
        <v>345</v>
      </c>
      <c r="C2077" s="0" t="s">
        <v>986</v>
      </c>
      <c r="D2077" s="0" t="s">
        <v>127</v>
      </c>
      <c r="E2077" s="0" t="s">
        <v>2047</v>
      </c>
      <c r="F2077" s="0" t="n">
        <v>4</v>
      </c>
      <c r="G2077" s="0" t="n">
        <v>0</v>
      </c>
      <c r="H2077" s="0" t="s">
        <v>585</v>
      </c>
      <c r="K2077" s="0" t="s">
        <v>594</v>
      </c>
      <c r="L2077" s="0" t="s">
        <v>3953</v>
      </c>
    </row>
    <row r="2078" customFormat="false" ht="15" hidden="false" customHeight="false" outlineLevel="0" collapsed="false">
      <c r="A2078" s="0" t="s">
        <v>69</v>
      </c>
      <c r="B2078" s="0" t="s">
        <v>345</v>
      </c>
      <c r="C2078" s="0" t="s">
        <v>986</v>
      </c>
      <c r="D2078" s="0" t="s">
        <v>130</v>
      </c>
      <c r="E2078" s="0" t="s">
        <v>2049</v>
      </c>
      <c r="F2078" s="0" t="n">
        <v>4</v>
      </c>
      <c r="G2078" s="0" t="n">
        <v>0</v>
      </c>
      <c r="H2078" s="0" t="s">
        <v>585</v>
      </c>
      <c r="K2078" s="0" t="s">
        <v>597</v>
      </c>
      <c r="L2078" s="0" t="s">
        <v>3954</v>
      </c>
    </row>
    <row r="2079" customFormat="false" ht="15" hidden="false" customHeight="false" outlineLevel="0" collapsed="false">
      <c r="A2079" s="0" t="s">
        <v>69</v>
      </c>
      <c r="B2079" s="0" t="s">
        <v>345</v>
      </c>
      <c r="C2079" s="0" t="s">
        <v>986</v>
      </c>
      <c r="D2079" s="0" t="s">
        <v>133</v>
      </c>
      <c r="E2079" s="0" t="s">
        <v>2051</v>
      </c>
      <c r="F2079" s="0" t="n">
        <v>4</v>
      </c>
      <c r="G2079" s="0" t="n">
        <v>0</v>
      </c>
      <c r="H2079" s="0" t="s">
        <v>585</v>
      </c>
      <c r="K2079" s="0" t="s">
        <v>600</v>
      </c>
      <c r="L2079" s="0" t="s">
        <v>3955</v>
      </c>
    </row>
    <row r="2080" customFormat="false" ht="15" hidden="false" customHeight="false" outlineLevel="0" collapsed="false">
      <c r="A2080" s="0" t="s">
        <v>69</v>
      </c>
      <c r="B2080" s="0" t="s">
        <v>345</v>
      </c>
      <c r="C2080" s="0" t="s">
        <v>986</v>
      </c>
      <c r="D2080" s="0" t="s">
        <v>141</v>
      </c>
      <c r="E2080" s="0" t="s">
        <v>2053</v>
      </c>
      <c r="F2080" s="0" t="n">
        <v>4</v>
      </c>
      <c r="G2080" s="0" t="n">
        <v>0</v>
      </c>
      <c r="H2080" s="0" t="s">
        <v>585</v>
      </c>
      <c r="K2080" s="0" t="s">
        <v>604</v>
      </c>
      <c r="L2080" s="0" t="s">
        <v>3956</v>
      </c>
    </row>
    <row r="2081" customFormat="false" ht="15" hidden="false" customHeight="false" outlineLevel="0" collapsed="false">
      <c r="A2081" s="0" t="s">
        <v>69</v>
      </c>
      <c r="B2081" s="0" t="s">
        <v>345</v>
      </c>
      <c r="C2081" s="0" t="s">
        <v>986</v>
      </c>
      <c r="D2081" s="0" t="s">
        <v>144</v>
      </c>
      <c r="E2081" s="0" t="s">
        <v>2055</v>
      </c>
      <c r="F2081" s="0" t="n">
        <v>4</v>
      </c>
      <c r="G2081" s="0" t="n">
        <v>2</v>
      </c>
      <c r="H2081" s="0" t="s">
        <v>585</v>
      </c>
      <c r="I2081" s="0" t="s">
        <v>502</v>
      </c>
      <c r="K2081" s="0" t="s">
        <v>607</v>
      </c>
      <c r="L2081" s="0" t="s">
        <v>3957</v>
      </c>
    </row>
    <row r="2082" customFormat="false" ht="15" hidden="false" customHeight="false" outlineLevel="0" collapsed="false">
      <c r="A2082" s="0" t="s">
        <v>69</v>
      </c>
      <c r="B2082" s="0" t="s">
        <v>345</v>
      </c>
      <c r="C2082" s="0" t="s">
        <v>986</v>
      </c>
      <c r="D2082" s="0" t="s">
        <v>147</v>
      </c>
      <c r="E2082" s="0" t="s">
        <v>2057</v>
      </c>
      <c r="F2082" s="0" t="n">
        <v>4</v>
      </c>
      <c r="G2082" s="0" t="n">
        <v>1</v>
      </c>
      <c r="H2082" s="0" t="s">
        <v>585</v>
      </c>
      <c r="I2082" s="0" t="s">
        <v>510</v>
      </c>
      <c r="K2082" s="0" t="s">
        <v>610</v>
      </c>
      <c r="L2082" s="0" t="s">
        <v>3958</v>
      </c>
    </row>
    <row r="2083" customFormat="false" ht="15" hidden="false" customHeight="false" outlineLevel="0" collapsed="false">
      <c r="A2083" s="0" t="s">
        <v>69</v>
      </c>
      <c r="B2083" s="0" t="s">
        <v>345</v>
      </c>
      <c r="C2083" s="0" t="s">
        <v>986</v>
      </c>
      <c r="D2083" s="0" t="s">
        <v>150</v>
      </c>
      <c r="E2083" s="0" t="s">
        <v>2059</v>
      </c>
      <c r="F2083" s="0" t="n">
        <v>4</v>
      </c>
      <c r="G2083" s="0" t="n">
        <v>0</v>
      </c>
      <c r="H2083" s="0" t="s">
        <v>585</v>
      </c>
      <c r="K2083" s="0" t="s">
        <v>613</v>
      </c>
      <c r="L2083" s="0" t="s">
        <v>3959</v>
      </c>
    </row>
    <row r="2084" customFormat="false" ht="15" hidden="false" customHeight="false" outlineLevel="0" collapsed="false">
      <c r="A2084" s="0" t="s">
        <v>69</v>
      </c>
      <c r="B2084" s="0" t="s">
        <v>345</v>
      </c>
      <c r="C2084" s="0" t="s">
        <v>986</v>
      </c>
      <c r="D2084" s="0" t="s">
        <v>153</v>
      </c>
      <c r="E2084" s="0" t="s">
        <v>2061</v>
      </c>
      <c r="F2084" s="0" t="n">
        <v>4</v>
      </c>
      <c r="G2084" s="0" t="n">
        <v>2</v>
      </c>
      <c r="H2084" s="0" t="s">
        <v>585</v>
      </c>
      <c r="I2084" s="0" t="s">
        <v>502</v>
      </c>
      <c r="K2084" s="0" t="s">
        <v>616</v>
      </c>
      <c r="L2084" s="0" t="s">
        <v>3960</v>
      </c>
    </row>
    <row r="2085" customFormat="false" ht="15" hidden="false" customHeight="false" outlineLevel="0" collapsed="false">
      <c r="A2085" s="0" t="s">
        <v>69</v>
      </c>
      <c r="B2085" s="0" t="s">
        <v>345</v>
      </c>
      <c r="C2085" s="0" t="s">
        <v>986</v>
      </c>
      <c r="D2085" s="0" t="s">
        <v>156</v>
      </c>
      <c r="E2085" s="0" t="s">
        <v>2063</v>
      </c>
      <c r="F2085" s="0" t="n">
        <v>4</v>
      </c>
      <c r="G2085" s="0" t="n">
        <v>0</v>
      </c>
      <c r="H2085" s="0" t="s">
        <v>585</v>
      </c>
      <c r="K2085" s="0" t="s">
        <v>620</v>
      </c>
      <c r="L2085" s="0" t="s">
        <v>3961</v>
      </c>
    </row>
    <row r="2086" customFormat="false" ht="15" hidden="false" customHeight="false" outlineLevel="0" collapsed="false">
      <c r="A2086" s="0" t="s">
        <v>69</v>
      </c>
      <c r="B2086" s="0" t="s">
        <v>345</v>
      </c>
      <c r="C2086" s="0" t="s">
        <v>1014</v>
      </c>
      <c r="D2086" s="0" t="s">
        <v>578</v>
      </c>
      <c r="E2086" s="0" t="s">
        <v>2065</v>
      </c>
      <c r="F2086" s="0" t="n">
        <v>4</v>
      </c>
      <c r="G2086" s="0" t="n">
        <v>0</v>
      </c>
      <c r="H2086" s="0" t="s">
        <v>585</v>
      </c>
      <c r="K2086" s="0" t="s">
        <v>581</v>
      </c>
      <c r="L2086" s="0" t="s">
        <v>3962</v>
      </c>
    </row>
    <row r="2087" customFormat="false" ht="15" hidden="false" customHeight="false" outlineLevel="0" collapsed="false">
      <c r="A2087" s="0" t="s">
        <v>69</v>
      </c>
      <c r="B2087" s="0" t="s">
        <v>345</v>
      </c>
      <c r="C2087" s="0" t="s">
        <v>1014</v>
      </c>
      <c r="D2087" s="0" t="s">
        <v>583</v>
      </c>
      <c r="E2087" s="0" t="s">
        <v>2067</v>
      </c>
      <c r="F2087" s="0" t="n">
        <v>4</v>
      </c>
      <c r="G2087" s="0" t="n">
        <v>0</v>
      </c>
      <c r="H2087" s="0" t="s">
        <v>585</v>
      </c>
      <c r="K2087" s="0" t="s">
        <v>586</v>
      </c>
      <c r="L2087" s="0" t="s">
        <v>3963</v>
      </c>
    </row>
    <row r="2088" customFormat="false" ht="15" hidden="false" customHeight="false" outlineLevel="0" collapsed="false">
      <c r="A2088" s="0" t="s">
        <v>69</v>
      </c>
      <c r="B2088" s="0" t="s">
        <v>345</v>
      </c>
      <c r="C2088" s="0" t="s">
        <v>1014</v>
      </c>
      <c r="D2088" s="0" t="s">
        <v>588</v>
      </c>
      <c r="E2088" s="0" t="s">
        <v>2069</v>
      </c>
      <c r="F2088" s="0" t="n">
        <v>4</v>
      </c>
      <c r="G2088" s="0" t="n">
        <v>0</v>
      </c>
      <c r="H2088" s="0" t="s">
        <v>585</v>
      </c>
      <c r="K2088" s="0" t="s">
        <v>590</v>
      </c>
      <c r="L2088" s="0" t="s">
        <v>3964</v>
      </c>
    </row>
    <row r="2089" customFormat="false" ht="15" hidden="false" customHeight="false" outlineLevel="0" collapsed="false">
      <c r="A2089" s="0" t="s">
        <v>69</v>
      </c>
      <c r="B2089" s="0" t="s">
        <v>345</v>
      </c>
      <c r="C2089" s="0" t="s">
        <v>1014</v>
      </c>
      <c r="D2089" s="0" t="s">
        <v>127</v>
      </c>
      <c r="E2089" s="0" t="s">
        <v>2071</v>
      </c>
      <c r="F2089" s="0" t="n">
        <v>4</v>
      </c>
      <c r="G2089" s="0" t="n">
        <v>0</v>
      </c>
      <c r="H2089" s="0" t="s">
        <v>585</v>
      </c>
      <c r="K2089" s="0" t="s">
        <v>594</v>
      </c>
      <c r="L2089" s="0" t="s">
        <v>3965</v>
      </c>
    </row>
    <row r="2090" customFormat="false" ht="15" hidden="false" customHeight="false" outlineLevel="0" collapsed="false">
      <c r="A2090" s="0" t="s">
        <v>69</v>
      </c>
      <c r="B2090" s="0" t="s">
        <v>345</v>
      </c>
      <c r="C2090" s="0" t="s">
        <v>1014</v>
      </c>
      <c r="D2090" s="0" t="s">
        <v>130</v>
      </c>
      <c r="E2090" s="0" t="s">
        <v>2073</v>
      </c>
      <c r="F2090" s="0" t="n">
        <v>4</v>
      </c>
      <c r="G2090" s="0" t="n">
        <v>0</v>
      </c>
      <c r="H2090" s="0" t="s">
        <v>585</v>
      </c>
      <c r="K2090" s="0" t="s">
        <v>597</v>
      </c>
      <c r="L2090" s="0" t="s">
        <v>3966</v>
      </c>
    </row>
    <row r="2091" customFormat="false" ht="15" hidden="false" customHeight="false" outlineLevel="0" collapsed="false">
      <c r="A2091" s="0" t="s">
        <v>69</v>
      </c>
      <c r="B2091" s="0" t="s">
        <v>345</v>
      </c>
      <c r="C2091" s="0" t="s">
        <v>1014</v>
      </c>
      <c r="D2091" s="0" t="s">
        <v>133</v>
      </c>
      <c r="E2091" s="0" t="s">
        <v>2075</v>
      </c>
      <c r="F2091" s="0" t="n">
        <v>4</v>
      </c>
      <c r="G2091" s="0" t="n">
        <v>0</v>
      </c>
      <c r="H2091" s="0" t="s">
        <v>585</v>
      </c>
      <c r="K2091" s="0" t="s">
        <v>600</v>
      </c>
      <c r="L2091" s="0" t="s">
        <v>3967</v>
      </c>
    </row>
    <row r="2092" customFormat="false" ht="15" hidden="false" customHeight="false" outlineLevel="0" collapsed="false">
      <c r="A2092" s="0" t="s">
        <v>69</v>
      </c>
      <c r="B2092" s="0" t="s">
        <v>345</v>
      </c>
      <c r="C2092" s="0" t="s">
        <v>1014</v>
      </c>
      <c r="D2092" s="0" t="s">
        <v>141</v>
      </c>
      <c r="E2092" s="0" t="s">
        <v>2077</v>
      </c>
      <c r="F2092" s="0" t="n">
        <v>4</v>
      </c>
      <c r="G2092" s="0" t="n">
        <v>0</v>
      </c>
      <c r="H2092" s="0" t="s">
        <v>585</v>
      </c>
      <c r="K2092" s="0" t="s">
        <v>604</v>
      </c>
      <c r="L2092" s="0" t="s">
        <v>3968</v>
      </c>
    </row>
    <row r="2093" customFormat="false" ht="15" hidden="false" customHeight="false" outlineLevel="0" collapsed="false">
      <c r="A2093" s="0" t="s">
        <v>69</v>
      </c>
      <c r="B2093" s="0" t="s">
        <v>345</v>
      </c>
      <c r="C2093" s="0" t="s">
        <v>1014</v>
      </c>
      <c r="D2093" s="0" t="s">
        <v>144</v>
      </c>
      <c r="E2093" s="0" t="s">
        <v>2079</v>
      </c>
      <c r="F2093" s="0" t="n">
        <v>4</v>
      </c>
      <c r="G2093" s="0" t="n">
        <v>0</v>
      </c>
      <c r="H2093" s="0" t="s">
        <v>585</v>
      </c>
      <c r="K2093" s="0" t="s">
        <v>607</v>
      </c>
      <c r="L2093" s="0" t="s">
        <v>3969</v>
      </c>
    </row>
    <row r="2094" customFormat="false" ht="15" hidden="false" customHeight="false" outlineLevel="0" collapsed="false">
      <c r="A2094" s="0" t="s">
        <v>69</v>
      </c>
      <c r="B2094" s="0" t="s">
        <v>345</v>
      </c>
      <c r="C2094" s="0" t="s">
        <v>1014</v>
      </c>
      <c r="D2094" s="0" t="s">
        <v>147</v>
      </c>
      <c r="E2094" s="0" t="s">
        <v>2081</v>
      </c>
      <c r="F2094" s="0" t="n">
        <v>4</v>
      </c>
      <c r="G2094" s="0" t="n">
        <v>0</v>
      </c>
      <c r="H2094" s="0" t="s">
        <v>585</v>
      </c>
      <c r="K2094" s="0" t="s">
        <v>610</v>
      </c>
      <c r="L2094" s="0" t="s">
        <v>3970</v>
      </c>
    </row>
    <row r="2095" customFormat="false" ht="15" hidden="false" customHeight="false" outlineLevel="0" collapsed="false">
      <c r="A2095" s="0" t="s">
        <v>69</v>
      </c>
      <c r="B2095" s="0" t="s">
        <v>345</v>
      </c>
      <c r="C2095" s="0" t="s">
        <v>1014</v>
      </c>
      <c r="D2095" s="0" t="s">
        <v>150</v>
      </c>
      <c r="E2095" s="0" t="s">
        <v>2083</v>
      </c>
      <c r="F2095" s="0" t="n">
        <v>4</v>
      </c>
      <c r="G2095" s="0" t="n">
        <v>1</v>
      </c>
      <c r="H2095" s="0" t="s">
        <v>585</v>
      </c>
      <c r="I2095" s="0" t="s">
        <v>503</v>
      </c>
      <c r="K2095" s="0" t="s">
        <v>613</v>
      </c>
      <c r="L2095" s="0" t="s">
        <v>3971</v>
      </c>
    </row>
    <row r="2096" customFormat="false" ht="15" hidden="false" customHeight="false" outlineLevel="0" collapsed="false">
      <c r="A2096" s="0" t="s">
        <v>69</v>
      </c>
      <c r="B2096" s="0" t="s">
        <v>345</v>
      </c>
      <c r="C2096" s="0" t="s">
        <v>1014</v>
      </c>
      <c r="D2096" s="0" t="s">
        <v>153</v>
      </c>
      <c r="E2096" s="0" t="s">
        <v>2085</v>
      </c>
      <c r="F2096" s="0" t="n">
        <v>4</v>
      </c>
      <c r="G2096" s="0" t="n">
        <v>0</v>
      </c>
      <c r="H2096" s="0" t="s">
        <v>585</v>
      </c>
      <c r="K2096" s="0" t="s">
        <v>616</v>
      </c>
      <c r="L2096" s="0" t="s">
        <v>3972</v>
      </c>
    </row>
    <row r="2097" customFormat="false" ht="15" hidden="false" customHeight="false" outlineLevel="0" collapsed="false">
      <c r="A2097" s="0" t="s">
        <v>69</v>
      </c>
      <c r="B2097" s="0" t="s">
        <v>345</v>
      </c>
      <c r="C2097" s="0" t="s">
        <v>1014</v>
      </c>
      <c r="D2097" s="0" t="s">
        <v>156</v>
      </c>
      <c r="E2097" s="0" t="s">
        <v>2087</v>
      </c>
      <c r="F2097" s="0" t="n">
        <v>4</v>
      </c>
      <c r="G2097" s="0" t="n">
        <v>0</v>
      </c>
      <c r="H2097" s="0" t="s">
        <v>585</v>
      </c>
      <c r="K2097" s="0" t="s">
        <v>620</v>
      </c>
      <c r="L2097" s="0" t="s">
        <v>3973</v>
      </c>
    </row>
    <row r="2098" customFormat="false" ht="15" hidden="false" customHeight="false" outlineLevel="0" collapsed="false">
      <c r="A2098" s="0" t="s">
        <v>69</v>
      </c>
      <c r="B2098" s="0" t="s">
        <v>345</v>
      </c>
      <c r="C2098" s="0" t="s">
        <v>1039</v>
      </c>
      <c r="D2098" s="0" t="s">
        <v>578</v>
      </c>
      <c r="E2098" s="0" t="s">
        <v>2089</v>
      </c>
      <c r="F2098" s="0" t="n">
        <v>4</v>
      </c>
      <c r="G2098" s="0" t="n">
        <v>0</v>
      </c>
      <c r="H2098" s="0" t="s">
        <v>585</v>
      </c>
      <c r="K2098" s="0" t="s">
        <v>581</v>
      </c>
      <c r="L2098" s="0" t="s">
        <v>3974</v>
      </c>
    </row>
    <row r="2099" customFormat="false" ht="15" hidden="false" customHeight="false" outlineLevel="0" collapsed="false">
      <c r="A2099" s="0" t="s">
        <v>69</v>
      </c>
      <c r="B2099" s="0" t="s">
        <v>345</v>
      </c>
      <c r="C2099" s="0" t="s">
        <v>1039</v>
      </c>
      <c r="D2099" s="0" t="s">
        <v>583</v>
      </c>
      <c r="E2099" s="0" t="s">
        <v>2091</v>
      </c>
      <c r="F2099" s="0" t="n">
        <v>4</v>
      </c>
      <c r="G2099" s="0" t="n">
        <v>0</v>
      </c>
      <c r="H2099" s="0" t="s">
        <v>585</v>
      </c>
      <c r="K2099" s="0" t="s">
        <v>586</v>
      </c>
      <c r="L2099" s="0" t="s">
        <v>3975</v>
      </c>
    </row>
    <row r="2100" customFormat="false" ht="15" hidden="false" customHeight="false" outlineLevel="0" collapsed="false">
      <c r="A2100" s="0" t="s">
        <v>69</v>
      </c>
      <c r="B2100" s="0" t="s">
        <v>345</v>
      </c>
      <c r="C2100" s="0" t="s">
        <v>1039</v>
      </c>
      <c r="D2100" s="0" t="s">
        <v>588</v>
      </c>
      <c r="E2100" s="0" t="s">
        <v>2093</v>
      </c>
      <c r="F2100" s="0" t="n">
        <v>4</v>
      </c>
      <c r="G2100" s="0" t="n">
        <v>0</v>
      </c>
      <c r="H2100" s="0" t="s">
        <v>585</v>
      </c>
      <c r="K2100" s="0" t="s">
        <v>590</v>
      </c>
      <c r="L2100" s="0" t="s">
        <v>3976</v>
      </c>
    </row>
    <row r="2101" customFormat="false" ht="15" hidden="false" customHeight="false" outlineLevel="0" collapsed="false">
      <c r="A2101" s="0" t="s">
        <v>69</v>
      </c>
      <c r="B2101" s="0" t="s">
        <v>345</v>
      </c>
      <c r="C2101" s="0" t="s">
        <v>1039</v>
      </c>
      <c r="D2101" s="0" t="s">
        <v>127</v>
      </c>
      <c r="E2101" s="0" t="s">
        <v>2095</v>
      </c>
      <c r="F2101" s="0" t="n">
        <v>4</v>
      </c>
      <c r="G2101" s="0" t="n">
        <v>0</v>
      </c>
      <c r="H2101" s="0" t="s">
        <v>585</v>
      </c>
      <c r="K2101" s="0" t="s">
        <v>594</v>
      </c>
      <c r="L2101" s="0" t="s">
        <v>3977</v>
      </c>
    </row>
    <row r="2102" customFormat="false" ht="15" hidden="false" customHeight="false" outlineLevel="0" collapsed="false">
      <c r="A2102" s="0" t="s">
        <v>69</v>
      </c>
      <c r="B2102" s="0" t="s">
        <v>345</v>
      </c>
      <c r="C2102" s="0" t="s">
        <v>1039</v>
      </c>
      <c r="D2102" s="0" t="s">
        <v>130</v>
      </c>
      <c r="E2102" s="0" t="s">
        <v>2097</v>
      </c>
      <c r="F2102" s="0" t="n">
        <v>4</v>
      </c>
      <c r="G2102" s="0" t="n">
        <v>0</v>
      </c>
      <c r="H2102" s="0" t="s">
        <v>585</v>
      </c>
      <c r="K2102" s="0" t="s">
        <v>597</v>
      </c>
      <c r="L2102" s="0" t="s">
        <v>3978</v>
      </c>
    </row>
    <row r="2103" customFormat="false" ht="15" hidden="false" customHeight="false" outlineLevel="0" collapsed="false">
      <c r="A2103" s="0" t="s">
        <v>69</v>
      </c>
      <c r="B2103" s="0" t="s">
        <v>345</v>
      </c>
      <c r="C2103" s="0" t="s">
        <v>1039</v>
      </c>
      <c r="D2103" s="0" t="s">
        <v>133</v>
      </c>
      <c r="E2103" s="0" t="s">
        <v>2099</v>
      </c>
      <c r="F2103" s="0" t="n">
        <v>4</v>
      </c>
      <c r="G2103" s="0" t="n">
        <v>0</v>
      </c>
      <c r="H2103" s="0" t="s">
        <v>585</v>
      </c>
      <c r="K2103" s="0" t="s">
        <v>600</v>
      </c>
      <c r="L2103" s="0" t="s">
        <v>3979</v>
      </c>
    </row>
    <row r="2104" customFormat="false" ht="15" hidden="false" customHeight="false" outlineLevel="0" collapsed="false">
      <c r="A2104" s="0" t="s">
        <v>69</v>
      </c>
      <c r="B2104" s="0" t="s">
        <v>345</v>
      </c>
      <c r="C2104" s="0" t="s">
        <v>1039</v>
      </c>
      <c r="D2104" s="0" t="s">
        <v>141</v>
      </c>
      <c r="E2104" s="0" t="s">
        <v>2101</v>
      </c>
      <c r="F2104" s="0" t="n">
        <v>4</v>
      </c>
      <c r="G2104" s="0" t="n">
        <v>3</v>
      </c>
      <c r="H2104" s="0" t="s">
        <v>585</v>
      </c>
      <c r="I2104" s="0" t="s">
        <v>503</v>
      </c>
      <c r="K2104" s="0" t="s">
        <v>604</v>
      </c>
      <c r="L2104" s="0" t="s">
        <v>3980</v>
      </c>
    </row>
    <row r="2105" customFormat="false" ht="15" hidden="false" customHeight="false" outlineLevel="0" collapsed="false">
      <c r="A2105" s="0" t="s">
        <v>69</v>
      </c>
      <c r="B2105" s="0" t="s">
        <v>345</v>
      </c>
      <c r="C2105" s="0" t="s">
        <v>1039</v>
      </c>
      <c r="D2105" s="0" t="s">
        <v>144</v>
      </c>
      <c r="E2105" s="0" t="s">
        <v>2103</v>
      </c>
      <c r="F2105" s="0" t="n">
        <v>4</v>
      </c>
      <c r="G2105" s="0" t="n">
        <v>0</v>
      </c>
      <c r="H2105" s="0" t="s">
        <v>585</v>
      </c>
      <c r="K2105" s="0" t="s">
        <v>607</v>
      </c>
      <c r="L2105" s="0" t="s">
        <v>3981</v>
      </c>
    </row>
    <row r="2106" customFormat="false" ht="15" hidden="false" customHeight="false" outlineLevel="0" collapsed="false">
      <c r="A2106" s="0" t="s">
        <v>69</v>
      </c>
      <c r="B2106" s="0" t="s">
        <v>345</v>
      </c>
      <c r="C2106" s="0" t="s">
        <v>1039</v>
      </c>
      <c r="D2106" s="0" t="s">
        <v>147</v>
      </c>
      <c r="E2106" s="0" t="s">
        <v>2105</v>
      </c>
      <c r="F2106" s="0" t="n">
        <v>4</v>
      </c>
      <c r="G2106" s="0" t="n">
        <v>2</v>
      </c>
      <c r="H2106" s="0" t="s">
        <v>585</v>
      </c>
      <c r="I2106" s="0" t="s">
        <v>507</v>
      </c>
      <c r="K2106" s="0" t="s">
        <v>610</v>
      </c>
      <c r="L2106" s="0" t="s">
        <v>3982</v>
      </c>
    </row>
    <row r="2107" customFormat="false" ht="15" hidden="false" customHeight="false" outlineLevel="0" collapsed="false">
      <c r="A2107" s="0" t="s">
        <v>69</v>
      </c>
      <c r="B2107" s="0" t="s">
        <v>345</v>
      </c>
      <c r="C2107" s="0" t="s">
        <v>1039</v>
      </c>
      <c r="D2107" s="0" t="s">
        <v>150</v>
      </c>
      <c r="E2107" s="0" t="s">
        <v>2107</v>
      </c>
      <c r="F2107" s="0" t="n">
        <v>4</v>
      </c>
      <c r="G2107" s="0" t="n">
        <v>4</v>
      </c>
      <c r="H2107" s="0" t="s">
        <v>580</v>
      </c>
      <c r="I2107" s="0" t="s">
        <v>500</v>
      </c>
      <c r="K2107" s="0" t="s">
        <v>613</v>
      </c>
      <c r="L2107" s="0" t="s">
        <v>3983</v>
      </c>
    </row>
    <row r="2108" customFormat="false" ht="15" hidden="false" customHeight="false" outlineLevel="0" collapsed="false">
      <c r="A2108" s="0" t="s">
        <v>69</v>
      </c>
      <c r="B2108" s="0" t="s">
        <v>345</v>
      </c>
      <c r="C2108" s="0" t="s">
        <v>1039</v>
      </c>
      <c r="D2108" s="0" t="s">
        <v>153</v>
      </c>
      <c r="E2108" s="0" t="s">
        <v>2109</v>
      </c>
      <c r="F2108" s="0" t="n">
        <v>4</v>
      </c>
      <c r="G2108" s="0" t="n">
        <v>3</v>
      </c>
      <c r="H2108" s="0" t="s">
        <v>585</v>
      </c>
      <c r="I2108" s="0" t="s">
        <v>503</v>
      </c>
      <c r="K2108" s="0" t="s">
        <v>616</v>
      </c>
      <c r="L2108" s="0" t="s">
        <v>3984</v>
      </c>
    </row>
    <row r="2109" customFormat="false" ht="15" hidden="false" customHeight="false" outlineLevel="0" collapsed="false">
      <c r="A2109" s="0" t="s">
        <v>69</v>
      </c>
      <c r="B2109" s="0" t="s">
        <v>345</v>
      </c>
      <c r="C2109" s="0" t="s">
        <v>1039</v>
      </c>
      <c r="D2109" s="0" t="s">
        <v>156</v>
      </c>
      <c r="E2109" s="0" t="s">
        <v>2111</v>
      </c>
      <c r="F2109" s="0" t="n">
        <v>4</v>
      </c>
      <c r="G2109" s="0" t="n">
        <v>0</v>
      </c>
      <c r="H2109" s="0" t="s">
        <v>585</v>
      </c>
      <c r="K2109" s="0" t="s">
        <v>620</v>
      </c>
      <c r="L2109" s="0" t="s">
        <v>3985</v>
      </c>
    </row>
    <row r="2110" customFormat="false" ht="15" hidden="false" customHeight="false" outlineLevel="0" collapsed="false">
      <c r="A2110" s="0" t="s">
        <v>69</v>
      </c>
      <c r="B2110" s="0" t="s">
        <v>345</v>
      </c>
      <c r="C2110" s="0" t="s">
        <v>1064</v>
      </c>
      <c r="D2110" s="0" t="s">
        <v>578</v>
      </c>
      <c r="E2110" s="0" t="s">
        <v>3986</v>
      </c>
      <c r="F2110" s="0" t="n">
        <v>4</v>
      </c>
      <c r="G2110" s="0" t="n">
        <v>0</v>
      </c>
      <c r="H2110" s="0" t="s">
        <v>585</v>
      </c>
      <c r="K2110" s="0" t="s">
        <v>581</v>
      </c>
      <c r="L2110" s="0" t="s">
        <v>3987</v>
      </c>
    </row>
    <row r="2111" customFormat="false" ht="15" hidden="false" customHeight="false" outlineLevel="0" collapsed="false">
      <c r="A2111" s="0" t="s">
        <v>69</v>
      </c>
      <c r="B2111" s="0" t="s">
        <v>345</v>
      </c>
      <c r="C2111" s="0" t="s">
        <v>1064</v>
      </c>
      <c r="D2111" s="0" t="s">
        <v>583</v>
      </c>
      <c r="E2111" s="0" t="s">
        <v>2115</v>
      </c>
      <c r="F2111" s="0" t="n">
        <v>4</v>
      </c>
      <c r="G2111" s="0" t="n">
        <v>0</v>
      </c>
      <c r="H2111" s="0" t="s">
        <v>585</v>
      </c>
      <c r="K2111" s="0" t="s">
        <v>586</v>
      </c>
      <c r="L2111" s="0" t="s">
        <v>3988</v>
      </c>
    </row>
    <row r="2112" customFormat="false" ht="15" hidden="false" customHeight="false" outlineLevel="0" collapsed="false">
      <c r="A2112" s="0" t="s">
        <v>69</v>
      </c>
      <c r="B2112" s="0" t="s">
        <v>345</v>
      </c>
      <c r="C2112" s="0" t="s">
        <v>1064</v>
      </c>
      <c r="D2112" s="0" t="s">
        <v>588</v>
      </c>
      <c r="E2112" s="0" t="s">
        <v>2117</v>
      </c>
      <c r="F2112" s="0" t="n">
        <v>4</v>
      </c>
      <c r="G2112" s="0" t="n">
        <v>3</v>
      </c>
      <c r="H2112" s="0" t="s">
        <v>585</v>
      </c>
      <c r="I2112" s="0" t="s">
        <v>500</v>
      </c>
      <c r="K2112" s="0" t="s">
        <v>590</v>
      </c>
      <c r="L2112" s="0" t="s">
        <v>3989</v>
      </c>
    </row>
    <row r="2113" customFormat="false" ht="15" hidden="false" customHeight="false" outlineLevel="0" collapsed="false">
      <c r="A2113" s="0" t="s">
        <v>69</v>
      </c>
      <c r="B2113" s="0" t="s">
        <v>345</v>
      </c>
      <c r="C2113" s="0" t="s">
        <v>1064</v>
      </c>
      <c r="D2113" s="0" t="s">
        <v>127</v>
      </c>
      <c r="E2113" s="0" t="s">
        <v>2119</v>
      </c>
      <c r="F2113" s="0" t="n">
        <v>4</v>
      </c>
      <c r="G2113" s="0" t="n">
        <v>0</v>
      </c>
      <c r="H2113" s="0" t="s">
        <v>585</v>
      </c>
      <c r="K2113" s="0" t="s">
        <v>594</v>
      </c>
      <c r="L2113" s="0" t="s">
        <v>3990</v>
      </c>
    </row>
    <row r="2114" customFormat="false" ht="15" hidden="false" customHeight="false" outlineLevel="0" collapsed="false">
      <c r="A2114" s="0" t="s">
        <v>69</v>
      </c>
      <c r="B2114" s="0" t="s">
        <v>345</v>
      </c>
      <c r="C2114" s="0" t="s">
        <v>1064</v>
      </c>
      <c r="D2114" s="0" t="s">
        <v>130</v>
      </c>
      <c r="E2114" s="0" t="s">
        <v>2121</v>
      </c>
      <c r="F2114" s="0" t="n">
        <v>4</v>
      </c>
      <c r="G2114" s="0" t="n">
        <v>0</v>
      </c>
      <c r="H2114" s="0" t="s">
        <v>585</v>
      </c>
      <c r="K2114" s="0" t="s">
        <v>597</v>
      </c>
      <c r="L2114" s="0" t="s">
        <v>3991</v>
      </c>
    </row>
    <row r="2115" customFormat="false" ht="15" hidden="false" customHeight="false" outlineLevel="0" collapsed="false">
      <c r="A2115" s="0" t="s">
        <v>69</v>
      </c>
      <c r="B2115" s="0" t="s">
        <v>345</v>
      </c>
      <c r="C2115" s="0" t="s">
        <v>1064</v>
      </c>
      <c r="D2115" s="0" t="s">
        <v>133</v>
      </c>
      <c r="E2115" s="0" t="s">
        <v>2123</v>
      </c>
      <c r="F2115" s="0" t="n">
        <v>4</v>
      </c>
      <c r="G2115" s="0" t="n">
        <v>0</v>
      </c>
      <c r="H2115" s="0" t="s">
        <v>585</v>
      </c>
      <c r="K2115" s="0" t="s">
        <v>600</v>
      </c>
      <c r="L2115" s="0" t="s">
        <v>3992</v>
      </c>
    </row>
    <row r="2116" customFormat="false" ht="15" hidden="false" customHeight="false" outlineLevel="0" collapsed="false">
      <c r="A2116" s="0" t="s">
        <v>69</v>
      </c>
      <c r="B2116" s="0" t="s">
        <v>345</v>
      </c>
      <c r="C2116" s="0" t="s">
        <v>1064</v>
      </c>
      <c r="D2116" s="0" t="s">
        <v>141</v>
      </c>
      <c r="E2116" s="0" t="s">
        <v>2125</v>
      </c>
      <c r="F2116" s="0" t="n">
        <v>4</v>
      </c>
      <c r="G2116" s="0" t="n">
        <v>1</v>
      </c>
      <c r="H2116" s="0" t="s">
        <v>585</v>
      </c>
      <c r="I2116" s="0" t="s">
        <v>507</v>
      </c>
      <c r="K2116" s="0" t="s">
        <v>604</v>
      </c>
      <c r="L2116" s="0" t="s">
        <v>3993</v>
      </c>
    </row>
    <row r="2117" customFormat="false" ht="15" hidden="false" customHeight="false" outlineLevel="0" collapsed="false">
      <c r="A2117" s="0" t="s">
        <v>69</v>
      </c>
      <c r="B2117" s="0" t="s">
        <v>345</v>
      </c>
      <c r="C2117" s="0" t="s">
        <v>1064</v>
      </c>
      <c r="D2117" s="0" t="s">
        <v>144</v>
      </c>
      <c r="E2117" s="0" t="s">
        <v>2127</v>
      </c>
      <c r="F2117" s="0" t="n">
        <v>4</v>
      </c>
      <c r="G2117" s="0" t="n">
        <v>0</v>
      </c>
      <c r="H2117" s="0" t="s">
        <v>585</v>
      </c>
      <c r="K2117" s="0" t="s">
        <v>607</v>
      </c>
      <c r="L2117" s="0" t="s">
        <v>3994</v>
      </c>
    </row>
    <row r="2118" customFormat="false" ht="15" hidden="false" customHeight="false" outlineLevel="0" collapsed="false">
      <c r="A2118" s="0" t="s">
        <v>69</v>
      </c>
      <c r="B2118" s="0" t="s">
        <v>345</v>
      </c>
      <c r="C2118" s="0" t="s">
        <v>1064</v>
      </c>
      <c r="D2118" s="0" t="s">
        <v>147</v>
      </c>
      <c r="E2118" s="0" t="s">
        <v>2129</v>
      </c>
      <c r="F2118" s="0" t="n">
        <v>4</v>
      </c>
      <c r="G2118" s="0" t="n">
        <v>0</v>
      </c>
      <c r="H2118" s="0" t="s">
        <v>585</v>
      </c>
      <c r="K2118" s="0" t="s">
        <v>610</v>
      </c>
      <c r="L2118" s="0" t="s">
        <v>3995</v>
      </c>
    </row>
    <row r="2119" customFormat="false" ht="15" hidden="false" customHeight="false" outlineLevel="0" collapsed="false">
      <c r="A2119" s="0" t="s">
        <v>69</v>
      </c>
      <c r="B2119" s="0" t="s">
        <v>345</v>
      </c>
      <c r="C2119" s="0" t="s">
        <v>1064</v>
      </c>
      <c r="D2119" s="0" t="s">
        <v>150</v>
      </c>
      <c r="E2119" s="0" t="s">
        <v>2131</v>
      </c>
      <c r="F2119" s="0" t="n">
        <v>4</v>
      </c>
      <c r="G2119" s="0" t="n">
        <v>2</v>
      </c>
      <c r="H2119" s="0" t="s">
        <v>585</v>
      </c>
      <c r="I2119" s="0" t="s">
        <v>500</v>
      </c>
      <c r="K2119" s="0" t="s">
        <v>613</v>
      </c>
      <c r="L2119" s="0" t="s">
        <v>3996</v>
      </c>
    </row>
    <row r="2120" customFormat="false" ht="15" hidden="false" customHeight="false" outlineLevel="0" collapsed="false">
      <c r="A2120" s="0" t="s">
        <v>69</v>
      </c>
      <c r="B2120" s="0" t="s">
        <v>345</v>
      </c>
      <c r="C2120" s="0" t="s">
        <v>1064</v>
      </c>
      <c r="D2120" s="0" t="s">
        <v>153</v>
      </c>
      <c r="E2120" s="0" t="s">
        <v>2133</v>
      </c>
      <c r="F2120" s="0" t="n">
        <v>4</v>
      </c>
      <c r="G2120" s="0" t="n">
        <v>3</v>
      </c>
      <c r="H2120" s="0" t="s">
        <v>585</v>
      </c>
      <c r="I2120" s="0" t="s">
        <v>500</v>
      </c>
      <c r="K2120" s="0" t="s">
        <v>616</v>
      </c>
      <c r="L2120" s="0" t="s">
        <v>3997</v>
      </c>
    </row>
    <row r="2121" customFormat="false" ht="15" hidden="false" customHeight="false" outlineLevel="0" collapsed="false">
      <c r="A2121" s="0" t="s">
        <v>69</v>
      </c>
      <c r="B2121" s="0" t="s">
        <v>345</v>
      </c>
      <c r="C2121" s="0" t="s">
        <v>1064</v>
      </c>
      <c r="D2121" s="0" t="s">
        <v>156</v>
      </c>
      <c r="E2121" s="0" t="s">
        <v>2135</v>
      </c>
      <c r="F2121" s="0" t="n">
        <v>4</v>
      </c>
      <c r="G2121" s="0" t="n">
        <v>0</v>
      </c>
      <c r="H2121" s="0" t="s">
        <v>585</v>
      </c>
      <c r="K2121" s="0" t="s">
        <v>620</v>
      </c>
      <c r="L2121" s="0" t="s">
        <v>3998</v>
      </c>
    </row>
    <row r="2122" customFormat="false" ht="15" hidden="false" customHeight="false" outlineLevel="0" collapsed="false">
      <c r="A2122" s="0" t="s">
        <v>69</v>
      </c>
      <c r="B2122" s="0" t="s">
        <v>345</v>
      </c>
      <c r="C2122" s="0" t="s">
        <v>1089</v>
      </c>
      <c r="D2122" s="0" t="s">
        <v>578</v>
      </c>
      <c r="E2122" s="0" t="s">
        <v>2137</v>
      </c>
      <c r="F2122" s="0" t="n">
        <v>4</v>
      </c>
      <c r="G2122" s="0" t="n">
        <v>0</v>
      </c>
      <c r="H2122" s="0" t="s">
        <v>585</v>
      </c>
      <c r="K2122" s="0" t="s">
        <v>581</v>
      </c>
      <c r="L2122" s="0" t="s">
        <v>3999</v>
      </c>
    </row>
    <row r="2123" customFormat="false" ht="15" hidden="false" customHeight="false" outlineLevel="0" collapsed="false">
      <c r="A2123" s="0" t="s">
        <v>69</v>
      </c>
      <c r="B2123" s="0" t="s">
        <v>345</v>
      </c>
      <c r="C2123" s="0" t="s">
        <v>1089</v>
      </c>
      <c r="D2123" s="0" t="s">
        <v>583</v>
      </c>
      <c r="E2123" s="0" t="s">
        <v>2139</v>
      </c>
      <c r="F2123" s="0" t="n">
        <v>4</v>
      </c>
      <c r="G2123" s="0" t="n">
        <v>0</v>
      </c>
      <c r="H2123" s="0" t="s">
        <v>585</v>
      </c>
      <c r="K2123" s="0" t="s">
        <v>586</v>
      </c>
      <c r="L2123" s="0" t="s">
        <v>4000</v>
      </c>
    </row>
    <row r="2124" customFormat="false" ht="15" hidden="false" customHeight="false" outlineLevel="0" collapsed="false">
      <c r="A2124" s="0" t="s">
        <v>69</v>
      </c>
      <c r="B2124" s="0" t="s">
        <v>345</v>
      </c>
      <c r="C2124" s="0" t="s">
        <v>1089</v>
      </c>
      <c r="D2124" s="0" t="s">
        <v>588</v>
      </c>
      <c r="E2124" s="0" t="s">
        <v>2141</v>
      </c>
      <c r="F2124" s="0" t="n">
        <v>4</v>
      </c>
      <c r="G2124" s="0" t="n">
        <v>0</v>
      </c>
      <c r="H2124" s="0" t="s">
        <v>585</v>
      </c>
      <c r="K2124" s="0" t="s">
        <v>590</v>
      </c>
      <c r="L2124" s="0" t="s">
        <v>4001</v>
      </c>
    </row>
    <row r="2125" customFormat="false" ht="15" hidden="false" customHeight="false" outlineLevel="0" collapsed="false">
      <c r="A2125" s="0" t="s">
        <v>69</v>
      </c>
      <c r="B2125" s="0" t="s">
        <v>345</v>
      </c>
      <c r="C2125" s="0" t="s">
        <v>1089</v>
      </c>
      <c r="D2125" s="0" t="s">
        <v>127</v>
      </c>
      <c r="E2125" s="0" t="s">
        <v>2143</v>
      </c>
      <c r="F2125" s="0" t="n">
        <v>4</v>
      </c>
      <c r="G2125" s="0" t="n">
        <v>0</v>
      </c>
      <c r="H2125" s="0" t="s">
        <v>585</v>
      </c>
      <c r="K2125" s="0" t="s">
        <v>594</v>
      </c>
      <c r="L2125" s="0" t="s">
        <v>4002</v>
      </c>
    </row>
    <row r="2126" customFormat="false" ht="15" hidden="false" customHeight="false" outlineLevel="0" collapsed="false">
      <c r="A2126" s="0" t="s">
        <v>69</v>
      </c>
      <c r="B2126" s="0" t="s">
        <v>345</v>
      </c>
      <c r="C2126" s="0" t="s">
        <v>1089</v>
      </c>
      <c r="D2126" s="0" t="s">
        <v>130</v>
      </c>
      <c r="E2126" s="0" t="s">
        <v>2145</v>
      </c>
      <c r="F2126" s="0" t="n">
        <v>4</v>
      </c>
      <c r="G2126" s="0" t="n">
        <v>0</v>
      </c>
      <c r="H2126" s="0" t="s">
        <v>585</v>
      </c>
      <c r="K2126" s="0" t="s">
        <v>597</v>
      </c>
      <c r="L2126" s="0" t="s">
        <v>4003</v>
      </c>
    </row>
    <row r="2127" customFormat="false" ht="15" hidden="false" customHeight="false" outlineLevel="0" collapsed="false">
      <c r="A2127" s="0" t="s">
        <v>69</v>
      </c>
      <c r="B2127" s="0" t="s">
        <v>345</v>
      </c>
      <c r="C2127" s="0" t="s">
        <v>1089</v>
      </c>
      <c r="D2127" s="0" t="s">
        <v>133</v>
      </c>
      <c r="E2127" s="0" t="s">
        <v>2147</v>
      </c>
      <c r="F2127" s="0" t="n">
        <v>4</v>
      </c>
      <c r="G2127" s="0" t="n">
        <v>0</v>
      </c>
      <c r="H2127" s="0" t="s">
        <v>585</v>
      </c>
      <c r="K2127" s="0" t="s">
        <v>600</v>
      </c>
      <c r="L2127" s="0" t="s">
        <v>4004</v>
      </c>
    </row>
    <row r="2128" customFormat="false" ht="15" hidden="false" customHeight="false" outlineLevel="0" collapsed="false">
      <c r="A2128" s="0" t="s">
        <v>69</v>
      </c>
      <c r="B2128" s="0" t="s">
        <v>345</v>
      </c>
      <c r="C2128" s="0" t="s">
        <v>1089</v>
      </c>
      <c r="D2128" s="0" t="s">
        <v>141</v>
      </c>
      <c r="E2128" s="0" t="s">
        <v>2149</v>
      </c>
      <c r="F2128" s="0" t="n">
        <v>4</v>
      </c>
      <c r="G2128" s="0" t="n">
        <v>0</v>
      </c>
      <c r="H2128" s="0" t="s">
        <v>585</v>
      </c>
      <c r="K2128" s="0" t="s">
        <v>604</v>
      </c>
      <c r="L2128" s="0" t="s">
        <v>4005</v>
      </c>
    </row>
    <row r="2129" customFormat="false" ht="15" hidden="false" customHeight="false" outlineLevel="0" collapsed="false">
      <c r="A2129" s="0" t="s">
        <v>69</v>
      </c>
      <c r="B2129" s="0" t="s">
        <v>345</v>
      </c>
      <c r="C2129" s="0" t="s">
        <v>1089</v>
      </c>
      <c r="D2129" s="0" t="s">
        <v>144</v>
      </c>
      <c r="E2129" s="0" t="s">
        <v>2151</v>
      </c>
      <c r="F2129" s="0" t="n">
        <v>4</v>
      </c>
      <c r="G2129" s="0" t="n">
        <v>0</v>
      </c>
      <c r="H2129" s="0" t="s">
        <v>585</v>
      </c>
      <c r="K2129" s="0" t="s">
        <v>607</v>
      </c>
      <c r="L2129" s="0" t="s">
        <v>4006</v>
      </c>
    </row>
    <row r="2130" customFormat="false" ht="15" hidden="false" customHeight="false" outlineLevel="0" collapsed="false">
      <c r="A2130" s="0" t="s">
        <v>69</v>
      </c>
      <c r="B2130" s="0" t="s">
        <v>345</v>
      </c>
      <c r="C2130" s="0" t="s">
        <v>1089</v>
      </c>
      <c r="D2130" s="0" t="s">
        <v>147</v>
      </c>
      <c r="E2130" s="0" t="s">
        <v>2153</v>
      </c>
      <c r="F2130" s="0" t="n">
        <v>4</v>
      </c>
      <c r="G2130" s="0" t="n">
        <v>3</v>
      </c>
      <c r="H2130" s="0" t="s">
        <v>585</v>
      </c>
      <c r="I2130" s="0" t="s">
        <v>507</v>
      </c>
      <c r="K2130" s="0" t="s">
        <v>610</v>
      </c>
      <c r="L2130" s="0" t="s">
        <v>4007</v>
      </c>
    </row>
    <row r="2131" customFormat="false" ht="15" hidden="false" customHeight="false" outlineLevel="0" collapsed="false">
      <c r="A2131" s="0" t="s">
        <v>69</v>
      </c>
      <c r="B2131" s="0" t="s">
        <v>345</v>
      </c>
      <c r="C2131" s="0" t="s">
        <v>1089</v>
      </c>
      <c r="D2131" s="0" t="s">
        <v>150</v>
      </c>
      <c r="E2131" s="0" t="s">
        <v>2155</v>
      </c>
      <c r="F2131" s="0" t="n">
        <v>4</v>
      </c>
      <c r="G2131" s="0" t="n">
        <v>1</v>
      </c>
      <c r="H2131" s="0" t="s">
        <v>585</v>
      </c>
      <c r="I2131" s="0" t="s">
        <v>509</v>
      </c>
      <c r="K2131" s="0" t="s">
        <v>613</v>
      </c>
      <c r="L2131" s="0" t="s">
        <v>4008</v>
      </c>
    </row>
    <row r="2132" customFormat="false" ht="15" hidden="false" customHeight="false" outlineLevel="0" collapsed="false">
      <c r="A2132" s="0" t="s">
        <v>69</v>
      </c>
      <c r="B2132" s="0" t="s">
        <v>345</v>
      </c>
      <c r="C2132" s="0" t="s">
        <v>1089</v>
      </c>
      <c r="D2132" s="0" t="s">
        <v>153</v>
      </c>
      <c r="E2132" s="0" t="s">
        <v>2157</v>
      </c>
      <c r="F2132" s="0" t="n">
        <v>4</v>
      </c>
      <c r="G2132" s="0" t="n">
        <v>4</v>
      </c>
      <c r="H2132" s="0" t="s">
        <v>580</v>
      </c>
      <c r="I2132" s="0" t="s">
        <v>500</v>
      </c>
      <c r="K2132" s="0" t="s">
        <v>616</v>
      </c>
      <c r="L2132" s="0" t="s">
        <v>4009</v>
      </c>
    </row>
    <row r="2133" customFormat="false" ht="15" hidden="false" customHeight="false" outlineLevel="0" collapsed="false">
      <c r="A2133" s="0" t="s">
        <v>69</v>
      </c>
      <c r="B2133" s="0" t="s">
        <v>345</v>
      </c>
      <c r="C2133" s="0" t="s">
        <v>1089</v>
      </c>
      <c r="D2133" s="0" t="s">
        <v>156</v>
      </c>
      <c r="E2133" s="0" t="s">
        <v>2159</v>
      </c>
      <c r="F2133" s="0" t="n">
        <v>4</v>
      </c>
      <c r="G2133" s="0" t="n">
        <v>3</v>
      </c>
      <c r="H2133" s="0" t="s">
        <v>585</v>
      </c>
      <c r="I2133" s="0" t="s">
        <v>510</v>
      </c>
      <c r="K2133" s="0" t="s">
        <v>620</v>
      </c>
      <c r="L2133" s="0" t="s">
        <v>4010</v>
      </c>
    </row>
    <row r="2134" customFormat="false" ht="15" hidden="false" customHeight="false" outlineLevel="0" collapsed="false">
      <c r="A2134" s="0" t="s">
        <v>69</v>
      </c>
      <c r="B2134" s="0" t="s">
        <v>345</v>
      </c>
      <c r="C2134" s="0" t="s">
        <v>1114</v>
      </c>
      <c r="D2134" s="0" t="s">
        <v>578</v>
      </c>
      <c r="E2134" s="0" t="s">
        <v>2161</v>
      </c>
      <c r="F2134" s="0" t="n">
        <v>4</v>
      </c>
      <c r="G2134" s="0" t="n">
        <v>0</v>
      </c>
      <c r="H2134" s="0" t="s">
        <v>585</v>
      </c>
      <c r="K2134" s="0" t="s">
        <v>581</v>
      </c>
      <c r="L2134" s="0" t="s">
        <v>4011</v>
      </c>
    </row>
    <row r="2135" customFormat="false" ht="15" hidden="false" customHeight="false" outlineLevel="0" collapsed="false">
      <c r="A2135" s="0" t="s">
        <v>69</v>
      </c>
      <c r="B2135" s="0" t="s">
        <v>345</v>
      </c>
      <c r="C2135" s="0" t="s">
        <v>1114</v>
      </c>
      <c r="D2135" s="0" t="s">
        <v>583</v>
      </c>
      <c r="E2135" s="0" t="s">
        <v>2163</v>
      </c>
      <c r="F2135" s="0" t="n">
        <v>4</v>
      </c>
      <c r="G2135" s="0" t="n">
        <v>3</v>
      </c>
      <c r="H2135" s="0" t="s">
        <v>585</v>
      </c>
      <c r="I2135" s="0" t="s">
        <v>503</v>
      </c>
      <c r="K2135" s="0" t="s">
        <v>586</v>
      </c>
      <c r="L2135" s="0" t="s">
        <v>4012</v>
      </c>
    </row>
    <row r="2136" customFormat="false" ht="15" hidden="false" customHeight="false" outlineLevel="0" collapsed="false">
      <c r="A2136" s="0" t="s">
        <v>69</v>
      </c>
      <c r="B2136" s="0" t="s">
        <v>345</v>
      </c>
      <c r="C2136" s="0" t="s">
        <v>1114</v>
      </c>
      <c r="D2136" s="0" t="s">
        <v>588</v>
      </c>
      <c r="E2136" s="0" t="s">
        <v>2165</v>
      </c>
      <c r="F2136" s="0" t="n">
        <v>4</v>
      </c>
      <c r="G2136" s="0" t="n">
        <v>2</v>
      </c>
      <c r="H2136" s="0" t="s">
        <v>585</v>
      </c>
      <c r="I2136" s="0" t="s">
        <v>503</v>
      </c>
      <c r="K2136" s="0" t="s">
        <v>590</v>
      </c>
      <c r="L2136" s="0" t="s">
        <v>4013</v>
      </c>
    </row>
    <row r="2137" customFormat="false" ht="15" hidden="false" customHeight="false" outlineLevel="0" collapsed="false">
      <c r="A2137" s="0" t="s">
        <v>69</v>
      </c>
      <c r="B2137" s="0" t="s">
        <v>345</v>
      </c>
      <c r="C2137" s="0" t="s">
        <v>1114</v>
      </c>
      <c r="D2137" s="0" t="s">
        <v>127</v>
      </c>
      <c r="E2137" s="0" t="s">
        <v>2167</v>
      </c>
      <c r="F2137" s="0" t="n">
        <v>4</v>
      </c>
      <c r="G2137" s="0" t="n">
        <v>2</v>
      </c>
      <c r="H2137" s="0" t="s">
        <v>585</v>
      </c>
      <c r="I2137" s="0" t="s">
        <v>507</v>
      </c>
      <c r="K2137" s="0" t="s">
        <v>594</v>
      </c>
      <c r="L2137" s="0" t="s">
        <v>4014</v>
      </c>
    </row>
    <row r="2138" customFormat="false" ht="15" hidden="false" customHeight="false" outlineLevel="0" collapsed="false">
      <c r="A2138" s="0" t="s">
        <v>69</v>
      </c>
      <c r="B2138" s="0" t="s">
        <v>345</v>
      </c>
      <c r="C2138" s="0" t="s">
        <v>1114</v>
      </c>
      <c r="D2138" s="0" t="s">
        <v>130</v>
      </c>
      <c r="E2138" s="0" t="s">
        <v>2169</v>
      </c>
      <c r="F2138" s="0" t="n">
        <v>4</v>
      </c>
      <c r="G2138" s="0" t="n">
        <v>0</v>
      </c>
      <c r="H2138" s="0" t="s">
        <v>585</v>
      </c>
      <c r="K2138" s="0" t="s">
        <v>597</v>
      </c>
      <c r="L2138" s="0" t="s">
        <v>4015</v>
      </c>
    </row>
    <row r="2139" customFormat="false" ht="15" hidden="false" customHeight="false" outlineLevel="0" collapsed="false">
      <c r="A2139" s="0" t="s">
        <v>69</v>
      </c>
      <c r="B2139" s="0" t="s">
        <v>345</v>
      </c>
      <c r="C2139" s="0" t="s">
        <v>1114</v>
      </c>
      <c r="D2139" s="0" t="s">
        <v>133</v>
      </c>
      <c r="E2139" s="0" t="s">
        <v>2171</v>
      </c>
      <c r="F2139" s="0" t="n">
        <v>4</v>
      </c>
      <c r="G2139" s="0" t="n">
        <v>0</v>
      </c>
      <c r="H2139" s="0" t="s">
        <v>585</v>
      </c>
      <c r="K2139" s="0" t="s">
        <v>600</v>
      </c>
      <c r="L2139" s="0" t="s">
        <v>4016</v>
      </c>
    </row>
    <row r="2140" customFormat="false" ht="15" hidden="false" customHeight="false" outlineLevel="0" collapsed="false">
      <c r="A2140" s="0" t="s">
        <v>69</v>
      </c>
      <c r="B2140" s="0" t="s">
        <v>345</v>
      </c>
      <c r="C2140" s="0" t="s">
        <v>1114</v>
      </c>
      <c r="D2140" s="0" t="s">
        <v>141</v>
      </c>
      <c r="E2140" s="0" t="s">
        <v>2173</v>
      </c>
      <c r="F2140" s="0" t="n">
        <v>4</v>
      </c>
      <c r="G2140" s="0" t="n">
        <v>0</v>
      </c>
      <c r="H2140" s="0" t="s">
        <v>585</v>
      </c>
      <c r="K2140" s="0" t="s">
        <v>604</v>
      </c>
      <c r="L2140" s="0" t="s">
        <v>4017</v>
      </c>
    </row>
    <row r="2141" customFormat="false" ht="15" hidden="false" customHeight="false" outlineLevel="0" collapsed="false">
      <c r="A2141" s="0" t="s">
        <v>69</v>
      </c>
      <c r="B2141" s="0" t="s">
        <v>345</v>
      </c>
      <c r="C2141" s="0" t="s">
        <v>1114</v>
      </c>
      <c r="D2141" s="0" t="s">
        <v>144</v>
      </c>
      <c r="E2141" s="0" t="s">
        <v>2175</v>
      </c>
      <c r="F2141" s="0" t="n">
        <v>4</v>
      </c>
      <c r="G2141" s="0" t="n">
        <v>0</v>
      </c>
      <c r="H2141" s="0" t="s">
        <v>585</v>
      </c>
      <c r="K2141" s="0" t="s">
        <v>607</v>
      </c>
      <c r="L2141" s="0" t="s">
        <v>4018</v>
      </c>
    </row>
    <row r="2142" customFormat="false" ht="15" hidden="false" customHeight="false" outlineLevel="0" collapsed="false">
      <c r="A2142" s="0" t="s">
        <v>69</v>
      </c>
      <c r="B2142" s="0" t="s">
        <v>345</v>
      </c>
      <c r="C2142" s="0" t="s">
        <v>1114</v>
      </c>
      <c r="D2142" s="0" t="s">
        <v>147</v>
      </c>
      <c r="E2142" s="0" t="s">
        <v>2177</v>
      </c>
      <c r="F2142" s="0" t="n">
        <v>4</v>
      </c>
      <c r="G2142" s="0" t="n">
        <v>0</v>
      </c>
      <c r="H2142" s="0" t="s">
        <v>585</v>
      </c>
      <c r="K2142" s="0" t="s">
        <v>610</v>
      </c>
      <c r="L2142" s="0" t="s">
        <v>4019</v>
      </c>
    </row>
    <row r="2143" customFormat="false" ht="15" hidden="false" customHeight="false" outlineLevel="0" collapsed="false">
      <c r="A2143" s="0" t="s">
        <v>69</v>
      </c>
      <c r="B2143" s="0" t="s">
        <v>345</v>
      </c>
      <c r="C2143" s="0" t="s">
        <v>1114</v>
      </c>
      <c r="D2143" s="0" t="s">
        <v>150</v>
      </c>
      <c r="E2143" s="0" t="s">
        <v>2179</v>
      </c>
      <c r="F2143" s="0" t="n">
        <v>4</v>
      </c>
      <c r="G2143" s="0" t="n">
        <v>1</v>
      </c>
      <c r="H2143" s="0" t="s">
        <v>585</v>
      </c>
      <c r="I2143" s="0" t="s">
        <v>507</v>
      </c>
      <c r="K2143" s="0" t="s">
        <v>613</v>
      </c>
      <c r="L2143" s="0" t="s">
        <v>4020</v>
      </c>
    </row>
    <row r="2144" customFormat="false" ht="15" hidden="false" customHeight="false" outlineLevel="0" collapsed="false">
      <c r="A2144" s="0" t="s">
        <v>69</v>
      </c>
      <c r="B2144" s="0" t="s">
        <v>345</v>
      </c>
      <c r="C2144" s="0" t="s">
        <v>1114</v>
      </c>
      <c r="D2144" s="0" t="s">
        <v>153</v>
      </c>
      <c r="E2144" s="0" t="s">
        <v>2181</v>
      </c>
      <c r="F2144" s="0" t="n">
        <v>4</v>
      </c>
      <c r="G2144" s="0" t="n">
        <v>3</v>
      </c>
      <c r="H2144" s="0" t="s">
        <v>585</v>
      </c>
      <c r="I2144" s="0" t="s">
        <v>502</v>
      </c>
      <c r="K2144" s="0" t="s">
        <v>616</v>
      </c>
      <c r="L2144" s="0" t="s">
        <v>4021</v>
      </c>
    </row>
    <row r="2145" customFormat="false" ht="15" hidden="false" customHeight="false" outlineLevel="0" collapsed="false">
      <c r="A2145" s="0" t="s">
        <v>69</v>
      </c>
      <c r="B2145" s="0" t="s">
        <v>345</v>
      </c>
      <c r="C2145" s="0" t="s">
        <v>1114</v>
      </c>
      <c r="D2145" s="0" t="s">
        <v>156</v>
      </c>
      <c r="E2145" s="0" t="s">
        <v>2183</v>
      </c>
      <c r="F2145" s="0" t="n">
        <v>4</v>
      </c>
      <c r="G2145" s="0" t="n">
        <v>0</v>
      </c>
      <c r="H2145" s="0" t="s">
        <v>585</v>
      </c>
      <c r="K2145" s="0" t="s">
        <v>620</v>
      </c>
      <c r="L2145" s="0" t="s">
        <v>4022</v>
      </c>
    </row>
    <row r="2146" customFormat="false" ht="15" hidden="false" customHeight="false" outlineLevel="0" collapsed="false">
      <c r="A2146" s="0" t="s">
        <v>69</v>
      </c>
      <c r="B2146" s="0" t="s">
        <v>345</v>
      </c>
      <c r="C2146" s="0" t="s">
        <v>1139</v>
      </c>
      <c r="D2146" s="0" t="s">
        <v>578</v>
      </c>
      <c r="E2146" s="0" t="s">
        <v>2185</v>
      </c>
      <c r="F2146" s="0" t="n">
        <v>4</v>
      </c>
      <c r="G2146" s="0" t="n">
        <v>0</v>
      </c>
      <c r="H2146" s="0" t="s">
        <v>585</v>
      </c>
      <c r="K2146" s="0" t="s">
        <v>581</v>
      </c>
      <c r="L2146" s="0" t="s">
        <v>4023</v>
      </c>
    </row>
    <row r="2147" customFormat="false" ht="15" hidden="false" customHeight="false" outlineLevel="0" collapsed="false">
      <c r="A2147" s="0" t="s">
        <v>69</v>
      </c>
      <c r="B2147" s="0" t="s">
        <v>345</v>
      </c>
      <c r="C2147" s="0" t="s">
        <v>1139</v>
      </c>
      <c r="D2147" s="0" t="s">
        <v>583</v>
      </c>
      <c r="E2147" s="0" t="s">
        <v>2187</v>
      </c>
      <c r="F2147" s="0" t="n">
        <v>4</v>
      </c>
      <c r="G2147" s="0" t="n">
        <v>2</v>
      </c>
      <c r="H2147" s="0" t="s">
        <v>585</v>
      </c>
      <c r="I2147" s="0" t="s">
        <v>502</v>
      </c>
      <c r="K2147" s="0" t="s">
        <v>586</v>
      </c>
      <c r="L2147" s="0" t="s">
        <v>4024</v>
      </c>
    </row>
    <row r="2148" customFormat="false" ht="15" hidden="false" customHeight="false" outlineLevel="0" collapsed="false">
      <c r="A2148" s="0" t="s">
        <v>69</v>
      </c>
      <c r="B2148" s="0" t="s">
        <v>345</v>
      </c>
      <c r="C2148" s="0" t="s">
        <v>1139</v>
      </c>
      <c r="D2148" s="0" t="s">
        <v>588</v>
      </c>
      <c r="E2148" s="0" t="s">
        <v>2189</v>
      </c>
      <c r="F2148" s="0" t="n">
        <v>4</v>
      </c>
      <c r="G2148" s="0" t="n">
        <v>3</v>
      </c>
      <c r="H2148" s="0" t="s">
        <v>585</v>
      </c>
      <c r="I2148" s="0" t="s">
        <v>502</v>
      </c>
      <c r="K2148" s="0" t="s">
        <v>590</v>
      </c>
      <c r="L2148" s="0" t="s">
        <v>4025</v>
      </c>
    </row>
    <row r="2149" customFormat="false" ht="15" hidden="false" customHeight="false" outlineLevel="0" collapsed="false">
      <c r="A2149" s="0" t="s">
        <v>69</v>
      </c>
      <c r="B2149" s="0" t="s">
        <v>345</v>
      </c>
      <c r="C2149" s="0" t="s">
        <v>1139</v>
      </c>
      <c r="D2149" s="0" t="s">
        <v>127</v>
      </c>
      <c r="E2149" s="0" t="s">
        <v>2191</v>
      </c>
      <c r="F2149" s="0" t="n">
        <v>4</v>
      </c>
      <c r="G2149" s="0" t="n">
        <v>1</v>
      </c>
      <c r="H2149" s="0" t="s">
        <v>585</v>
      </c>
      <c r="I2149" s="0" t="s">
        <v>503</v>
      </c>
      <c r="K2149" s="0" t="s">
        <v>594</v>
      </c>
      <c r="L2149" s="0" t="s">
        <v>4026</v>
      </c>
    </row>
    <row r="2150" customFormat="false" ht="15" hidden="false" customHeight="false" outlineLevel="0" collapsed="false">
      <c r="A2150" s="0" t="s">
        <v>69</v>
      </c>
      <c r="B2150" s="0" t="s">
        <v>345</v>
      </c>
      <c r="C2150" s="0" t="s">
        <v>1139</v>
      </c>
      <c r="D2150" s="0" t="s">
        <v>130</v>
      </c>
      <c r="E2150" s="0" t="s">
        <v>2193</v>
      </c>
      <c r="F2150" s="0" t="n">
        <v>4</v>
      </c>
      <c r="G2150" s="0" t="n">
        <v>0</v>
      </c>
      <c r="H2150" s="0" t="s">
        <v>585</v>
      </c>
      <c r="K2150" s="0" t="s">
        <v>597</v>
      </c>
      <c r="L2150" s="0" t="s">
        <v>4027</v>
      </c>
    </row>
    <row r="2151" customFormat="false" ht="15" hidden="false" customHeight="false" outlineLevel="0" collapsed="false">
      <c r="A2151" s="0" t="s">
        <v>69</v>
      </c>
      <c r="B2151" s="0" t="s">
        <v>345</v>
      </c>
      <c r="C2151" s="0" t="s">
        <v>1139</v>
      </c>
      <c r="D2151" s="0" t="s">
        <v>133</v>
      </c>
      <c r="E2151" s="0" t="s">
        <v>2195</v>
      </c>
      <c r="F2151" s="0" t="n">
        <v>4</v>
      </c>
      <c r="G2151" s="0" t="n">
        <v>0</v>
      </c>
      <c r="H2151" s="0" t="s">
        <v>585</v>
      </c>
      <c r="K2151" s="0" t="s">
        <v>600</v>
      </c>
      <c r="L2151" s="0" t="s">
        <v>4028</v>
      </c>
    </row>
    <row r="2152" customFormat="false" ht="15" hidden="false" customHeight="false" outlineLevel="0" collapsed="false">
      <c r="A2152" s="0" t="s">
        <v>69</v>
      </c>
      <c r="B2152" s="0" t="s">
        <v>345</v>
      </c>
      <c r="C2152" s="0" t="s">
        <v>1139</v>
      </c>
      <c r="D2152" s="0" t="s">
        <v>141</v>
      </c>
      <c r="E2152" s="0" t="s">
        <v>2197</v>
      </c>
      <c r="F2152" s="0" t="n">
        <v>4</v>
      </c>
      <c r="G2152" s="0" t="n">
        <v>0</v>
      </c>
      <c r="H2152" s="0" t="s">
        <v>585</v>
      </c>
      <c r="K2152" s="0" t="s">
        <v>604</v>
      </c>
      <c r="L2152" s="0" t="s">
        <v>4029</v>
      </c>
    </row>
    <row r="2153" customFormat="false" ht="15" hidden="false" customHeight="false" outlineLevel="0" collapsed="false">
      <c r="A2153" s="0" t="s">
        <v>69</v>
      </c>
      <c r="B2153" s="0" t="s">
        <v>345</v>
      </c>
      <c r="C2153" s="0" t="s">
        <v>1139</v>
      </c>
      <c r="D2153" s="0" t="s">
        <v>144</v>
      </c>
      <c r="E2153" s="0" t="s">
        <v>2199</v>
      </c>
      <c r="F2153" s="0" t="n">
        <v>4</v>
      </c>
      <c r="G2153" s="0" t="n">
        <v>0</v>
      </c>
      <c r="H2153" s="0" t="s">
        <v>585</v>
      </c>
      <c r="K2153" s="0" t="s">
        <v>607</v>
      </c>
      <c r="L2153" s="0" t="s">
        <v>4030</v>
      </c>
    </row>
    <row r="2154" customFormat="false" ht="15" hidden="false" customHeight="false" outlineLevel="0" collapsed="false">
      <c r="A2154" s="0" t="s">
        <v>69</v>
      </c>
      <c r="B2154" s="0" t="s">
        <v>345</v>
      </c>
      <c r="C2154" s="0" t="s">
        <v>1139</v>
      </c>
      <c r="D2154" s="0" t="s">
        <v>147</v>
      </c>
      <c r="E2154" s="0" t="s">
        <v>2201</v>
      </c>
      <c r="F2154" s="0" t="n">
        <v>4</v>
      </c>
      <c r="G2154" s="0" t="n">
        <v>3</v>
      </c>
      <c r="H2154" s="0" t="s">
        <v>585</v>
      </c>
      <c r="I2154" s="0" t="s">
        <v>505</v>
      </c>
      <c r="K2154" s="0" t="s">
        <v>610</v>
      </c>
      <c r="L2154" s="0" t="s">
        <v>4031</v>
      </c>
    </row>
    <row r="2155" customFormat="false" ht="15" hidden="false" customHeight="false" outlineLevel="0" collapsed="false">
      <c r="A2155" s="0" t="s">
        <v>69</v>
      </c>
      <c r="B2155" s="0" t="s">
        <v>345</v>
      </c>
      <c r="C2155" s="0" t="s">
        <v>1139</v>
      </c>
      <c r="D2155" s="0" t="s">
        <v>150</v>
      </c>
      <c r="E2155" s="0" t="s">
        <v>2203</v>
      </c>
      <c r="F2155" s="0" t="n">
        <v>4</v>
      </c>
      <c r="G2155" s="0" t="n">
        <v>2</v>
      </c>
      <c r="H2155" s="0" t="s">
        <v>585</v>
      </c>
      <c r="I2155" s="0" t="s">
        <v>4032</v>
      </c>
      <c r="K2155" s="0" t="s">
        <v>613</v>
      </c>
      <c r="L2155" s="0" t="s">
        <v>4033</v>
      </c>
    </row>
    <row r="2156" customFormat="false" ht="15" hidden="false" customHeight="false" outlineLevel="0" collapsed="false">
      <c r="A2156" s="0" t="s">
        <v>69</v>
      </c>
      <c r="B2156" s="0" t="s">
        <v>345</v>
      </c>
      <c r="C2156" s="0" t="s">
        <v>1139</v>
      </c>
      <c r="D2156" s="0" t="s">
        <v>153</v>
      </c>
      <c r="E2156" s="0" t="s">
        <v>2205</v>
      </c>
      <c r="F2156" s="0" t="n">
        <v>4</v>
      </c>
      <c r="G2156" s="0" t="n">
        <v>0</v>
      </c>
      <c r="H2156" s="0" t="s">
        <v>585</v>
      </c>
      <c r="K2156" s="0" t="s">
        <v>616</v>
      </c>
      <c r="L2156" s="0" t="s">
        <v>4034</v>
      </c>
    </row>
    <row r="2157" customFormat="false" ht="15" hidden="false" customHeight="false" outlineLevel="0" collapsed="false">
      <c r="A2157" s="0" t="s">
        <v>69</v>
      </c>
      <c r="B2157" s="0" t="s">
        <v>345</v>
      </c>
      <c r="C2157" s="0" t="s">
        <v>1139</v>
      </c>
      <c r="D2157" s="0" t="s">
        <v>156</v>
      </c>
      <c r="E2157" s="0" t="s">
        <v>2207</v>
      </c>
      <c r="F2157" s="0" t="n">
        <v>4</v>
      </c>
      <c r="G2157" s="0" t="n">
        <v>0</v>
      </c>
      <c r="H2157" s="0" t="s">
        <v>585</v>
      </c>
      <c r="K2157" s="0" t="s">
        <v>620</v>
      </c>
      <c r="L2157" s="0" t="s">
        <v>4035</v>
      </c>
    </row>
    <row r="2158" customFormat="false" ht="15" hidden="false" customHeight="false" outlineLevel="0" collapsed="false">
      <c r="A2158" s="0" t="s">
        <v>69</v>
      </c>
      <c r="B2158" s="0" t="s">
        <v>266</v>
      </c>
      <c r="C2158" s="0" t="s">
        <v>1164</v>
      </c>
      <c r="D2158" s="0" t="s">
        <v>578</v>
      </c>
      <c r="E2158" s="0" t="s">
        <v>2209</v>
      </c>
      <c r="F2158" s="0" t="n">
        <v>4</v>
      </c>
      <c r="G2158" s="0" t="n">
        <v>0</v>
      </c>
      <c r="H2158" s="0" t="s">
        <v>585</v>
      </c>
      <c r="K2158" s="0" t="s">
        <v>581</v>
      </c>
      <c r="L2158" s="0" t="s">
        <v>4036</v>
      </c>
    </row>
    <row r="2159" customFormat="false" ht="15" hidden="false" customHeight="false" outlineLevel="0" collapsed="false">
      <c r="A2159" s="0" t="s">
        <v>69</v>
      </c>
      <c r="B2159" s="0" t="s">
        <v>266</v>
      </c>
      <c r="C2159" s="0" t="s">
        <v>1164</v>
      </c>
      <c r="D2159" s="0" t="s">
        <v>583</v>
      </c>
      <c r="E2159" s="0" t="s">
        <v>2211</v>
      </c>
      <c r="F2159" s="0" t="n">
        <v>4</v>
      </c>
      <c r="G2159" s="0" t="n">
        <v>0</v>
      </c>
      <c r="H2159" s="0" t="s">
        <v>585</v>
      </c>
      <c r="K2159" s="0" t="s">
        <v>586</v>
      </c>
      <c r="L2159" s="0" t="s">
        <v>4037</v>
      </c>
    </row>
    <row r="2160" customFormat="false" ht="15" hidden="false" customHeight="false" outlineLevel="0" collapsed="false">
      <c r="A2160" s="0" t="s">
        <v>69</v>
      </c>
      <c r="B2160" s="0" t="s">
        <v>266</v>
      </c>
      <c r="C2160" s="0" t="s">
        <v>1164</v>
      </c>
      <c r="D2160" s="0" t="s">
        <v>588</v>
      </c>
      <c r="E2160" s="0" t="s">
        <v>2213</v>
      </c>
      <c r="F2160" s="0" t="n">
        <v>4</v>
      </c>
      <c r="G2160" s="0" t="n">
        <v>0</v>
      </c>
      <c r="H2160" s="0" t="s">
        <v>585</v>
      </c>
      <c r="K2160" s="0" t="s">
        <v>590</v>
      </c>
      <c r="L2160" s="0" t="s">
        <v>4038</v>
      </c>
    </row>
    <row r="2161" customFormat="false" ht="15" hidden="false" customHeight="false" outlineLevel="0" collapsed="false">
      <c r="A2161" s="0" t="s">
        <v>69</v>
      </c>
      <c r="B2161" s="0" t="s">
        <v>266</v>
      </c>
      <c r="C2161" s="0" t="s">
        <v>1164</v>
      </c>
      <c r="D2161" s="0" t="s">
        <v>127</v>
      </c>
      <c r="E2161" s="0" t="s">
        <v>2215</v>
      </c>
      <c r="F2161" s="0" t="n">
        <v>4</v>
      </c>
      <c r="G2161" s="0" t="n">
        <v>0</v>
      </c>
      <c r="H2161" s="0" t="s">
        <v>585</v>
      </c>
      <c r="K2161" s="0" t="s">
        <v>594</v>
      </c>
      <c r="L2161" s="0" t="s">
        <v>4039</v>
      </c>
    </row>
    <row r="2162" customFormat="false" ht="15" hidden="false" customHeight="false" outlineLevel="0" collapsed="false">
      <c r="A2162" s="0" t="s">
        <v>69</v>
      </c>
      <c r="B2162" s="0" t="s">
        <v>266</v>
      </c>
      <c r="C2162" s="0" t="s">
        <v>1164</v>
      </c>
      <c r="D2162" s="0" t="s">
        <v>130</v>
      </c>
      <c r="E2162" s="0" t="s">
        <v>2217</v>
      </c>
      <c r="F2162" s="0" t="n">
        <v>4</v>
      </c>
      <c r="G2162" s="0" t="n">
        <v>0</v>
      </c>
      <c r="H2162" s="0" t="s">
        <v>585</v>
      </c>
      <c r="K2162" s="0" t="s">
        <v>597</v>
      </c>
      <c r="L2162" s="0" t="s">
        <v>4040</v>
      </c>
    </row>
    <row r="2163" customFormat="false" ht="15" hidden="false" customHeight="false" outlineLevel="0" collapsed="false">
      <c r="A2163" s="0" t="s">
        <v>69</v>
      </c>
      <c r="B2163" s="0" t="s">
        <v>266</v>
      </c>
      <c r="C2163" s="0" t="s">
        <v>1164</v>
      </c>
      <c r="D2163" s="0" t="s">
        <v>133</v>
      </c>
      <c r="E2163" s="0" t="s">
        <v>2219</v>
      </c>
      <c r="F2163" s="0" t="n">
        <v>4</v>
      </c>
      <c r="G2163" s="0" t="n">
        <v>0</v>
      </c>
      <c r="H2163" s="0" t="s">
        <v>585</v>
      </c>
      <c r="K2163" s="0" t="s">
        <v>600</v>
      </c>
      <c r="L2163" s="0" t="s">
        <v>4041</v>
      </c>
    </row>
    <row r="2164" customFormat="false" ht="15" hidden="false" customHeight="false" outlineLevel="0" collapsed="false">
      <c r="A2164" s="0" t="s">
        <v>69</v>
      </c>
      <c r="B2164" s="0" t="s">
        <v>266</v>
      </c>
      <c r="C2164" s="0" t="s">
        <v>1164</v>
      </c>
      <c r="D2164" s="0" t="s">
        <v>141</v>
      </c>
      <c r="E2164" s="0" t="s">
        <v>2221</v>
      </c>
      <c r="F2164" s="0" t="n">
        <v>4</v>
      </c>
      <c r="G2164" s="0" t="n">
        <v>0</v>
      </c>
      <c r="H2164" s="0" t="s">
        <v>585</v>
      </c>
      <c r="K2164" s="0" t="s">
        <v>604</v>
      </c>
      <c r="L2164" s="0" t="s">
        <v>4042</v>
      </c>
    </row>
    <row r="2165" customFormat="false" ht="15" hidden="false" customHeight="false" outlineLevel="0" collapsed="false">
      <c r="A2165" s="0" t="s">
        <v>69</v>
      </c>
      <c r="B2165" s="0" t="s">
        <v>266</v>
      </c>
      <c r="C2165" s="0" t="s">
        <v>1164</v>
      </c>
      <c r="D2165" s="0" t="s">
        <v>144</v>
      </c>
      <c r="E2165" s="0" t="s">
        <v>2223</v>
      </c>
      <c r="F2165" s="0" t="n">
        <v>4</v>
      </c>
      <c r="G2165" s="0" t="n">
        <v>1</v>
      </c>
      <c r="H2165" s="0" t="s">
        <v>585</v>
      </c>
      <c r="I2165" s="0" t="s">
        <v>505</v>
      </c>
      <c r="K2165" s="0" t="s">
        <v>607</v>
      </c>
      <c r="L2165" s="0" t="s">
        <v>4043</v>
      </c>
    </row>
    <row r="2166" customFormat="false" ht="15" hidden="false" customHeight="false" outlineLevel="0" collapsed="false">
      <c r="A2166" s="0" t="s">
        <v>69</v>
      </c>
      <c r="B2166" s="0" t="s">
        <v>266</v>
      </c>
      <c r="C2166" s="0" t="s">
        <v>1164</v>
      </c>
      <c r="D2166" s="0" t="s">
        <v>147</v>
      </c>
      <c r="E2166" s="0" t="s">
        <v>2225</v>
      </c>
      <c r="F2166" s="0" t="n">
        <v>4</v>
      </c>
      <c r="G2166" s="0" t="n">
        <v>3</v>
      </c>
      <c r="H2166" s="0" t="s">
        <v>585</v>
      </c>
      <c r="I2166" s="0" t="s">
        <v>509</v>
      </c>
      <c r="K2166" s="0" t="s">
        <v>610</v>
      </c>
      <c r="L2166" s="0" t="s">
        <v>4044</v>
      </c>
    </row>
    <row r="2167" customFormat="false" ht="15" hidden="false" customHeight="false" outlineLevel="0" collapsed="false">
      <c r="A2167" s="0" t="s">
        <v>69</v>
      </c>
      <c r="B2167" s="0" t="s">
        <v>266</v>
      </c>
      <c r="C2167" s="0" t="s">
        <v>1164</v>
      </c>
      <c r="D2167" s="0" t="s">
        <v>150</v>
      </c>
      <c r="E2167" s="0" t="s">
        <v>2227</v>
      </c>
      <c r="F2167" s="0" t="n">
        <v>4</v>
      </c>
      <c r="G2167" s="0" t="n">
        <v>4</v>
      </c>
      <c r="H2167" s="0" t="s">
        <v>580</v>
      </c>
      <c r="I2167" s="0" t="s">
        <v>503</v>
      </c>
      <c r="K2167" s="0" t="s">
        <v>613</v>
      </c>
      <c r="L2167" s="0" t="s">
        <v>4045</v>
      </c>
    </row>
    <row r="2168" customFormat="false" ht="15" hidden="false" customHeight="false" outlineLevel="0" collapsed="false">
      <c r="A2168" s="0" t="s">
        <v>69</v>
      </c>
      <c r="B2168" s="0" t="s">
        <v>266</v>
      </c>
      <c r="C2168" s="0" t="s">
        <v>1164</v>
      </c>
      <c r="D2168" s="0" t="s">
        <v>153</v>
      </c>
      <c r="E2168" s="0" t="s">
        <v>2229</v>
      </c>
      <c r="F2168" s="0" t="n">
        <v>4</v>
      </c>
      <c r="G2168" s="0" t="n">
        <v>4</v>
      </c>
      <c r="H2168" s="0" t="s">
        <v>580</v>
      </c>
      <c r="I2168" s="0" t="s">
        <v>503</v>
      </c>
      <c r="K2168" s="0" t="s">
        <v>616</v>
      </c>
      <c r="L2168" s="0" t="s">
        <v>4046</v>
      </c>
    </row>
    <row r="2169" customFormat="false" ht="15" hidden="false" customHeight="false" outlineLevel="0" collapsed="false">
      <c r="A2169" s="0" t="s">
        <v>69</v>
      </c>
      <c r="B2169" s="0" t="s">
        <v>266</v>
      </c>
      <c r="C2169" s="0" t="s">
        <v>1164</v>
      </c>
      <c r="D2169" s="0" t="s">
        <v>156</v>
      </c>
      <c r="E2169" s="0" t="s">
        <v>2231</v>
      </c>
      <c r="F2169" s="0" t="n">
        <v>4</v>
      </c>
      <c r="G2169" s="0" t="n">
        <v>0</v>
      </c>
      <c r="H2169" s="0" t="s">
        <v>585</v>
      </c>
      <c r="K2169" s="0" t="s">
        <v>620</v>
      </c>
      <c r="L2169" s="0" t="s">
        <v>4047</v>
      </c>
    </row>
    <row r="2170" customFormat="false" ht="15" hidden="false" customHeight="false" outlineLevel="0" collapsed="false">
      <c r="A2170" s="0" t="s">
        <v>69</v>
      </c>
      <c r="B2170" s="0" t="s">
        <v>266</v>
      </c>
      <c r="C2170" s="0" t="s">
        <v>1189</v>
      </c>
      <c r="D2170" s="0" t="s">
        <v>578</v>
      </c>
      <c r="E2170" s="0" t="s">
        <v>2233</v>
      </c>
      <c r="F2170" s="0" t="n">
        <v>4</v>
      </c>
      <c r="G2170" s="0" t="n">
        <v>0</v>
      </c>
      <c r="H2170" s="0" t="s">
        <v>585</v>
      </c>
      <c r="K2170" s="0" t="s">
        <v>581</v>
      </c>
      <c r="L2170" s="0" t="s">
        <v>4048</v>
      </c>
    </row>
    <row r="2171" customFormat="false" ht="15" hidden="false" customHeight="false" outlineLevel="0" collapsed="false">
      <c r="A2171" s="0" t="s">
        <v>69</v>
      </c>
      <c r="B2171" s="0" t="s">
        <v>266</v>
      </c>
      <c r="C2171" s="0" t="s">
        <v>1189</v>
      </c>
      <c r="D2171" s="0" t="s">
        <v>583</v>
      </c>
      <c r="E2171" s="0" t="s">
        <v>2235</v>
      </c>
      <c r="F2171" s="0" t="n">
        <v>4</v>
      </c>
      <c r="G2171" s="0" t="n">
        <v>0</v>
      </c>
      <c r="H2171" s="0" t="s">
        <v>585</v>
      </c>
      <c r="K2171" s="0" t="s">
        <v>586</v>
      </c>
      <c r="L2171" s="0" t="s">
        <v>4049</v>
      </c>
    </row>
    <row r="2172" customFormat="false" ht="15" hidden="false" customHeight="false" outlineLevel="0" collapsed="false">
      <c r="A2172" s="0" t="s">
        <v>69</v>
      </c>
      <c r="B2172" s="0" t="s">
        <v>266</v>
      </c>
      <c r="C2172" s="0" t="s">
        <v>1189</v>
      </c>
      <c r="D2172" s="0" t="s">
        <v>588</v>
      </c>
      <c r="E2172" s="0" t="s">
        <v>2237</v>
      </c>
      <c r="F2172" s="0" t="n">
        <v>4</v>
      </c>
      <c r="G2172" s="0" t="n">
        <v>0</v>
      </c>
      <c r="H2172" s="0" t="s">
        <v>585</v>
      </c>
      <c r="K2172" s="0" t="s">
        <v>590</v>
      </c>
      <c r="L2172" s="0" t="s">
        <v>4050</v>
      </c>
    </row>
    <row r="2173" customFormat="false" ht="15" hidden="false" customHeight="false" outlineLevel="0" collapsed="false">
      <c r="A2173" s="0" t="s">
        <v>69</v>
      </c>
      <c r="B2173" s="0" t="s">
        <v>266</v>
      </c>
      <c r="C2173" s="0" t="s">
        <v>1189</v>
      </c>
      <c r="D2173" s="0" t="s">
        <v>127</v>
      </c>
      <c r="E2173" s="0" t="s">
        <v>2239</v>
      </c>
      <c r="F2173" s="0" t="n">
        <v>4</v>
      </c>
      <c r="G2173" s="0" t="n">
        <v>0</v>
      </c>
      <c r="H2173" s="0" t="s">
        <v>585</v>
      </c>
      <c r="K2173" s="0" t="s">
        <v>594</v>
      </c>
      <c r="L2173" s="0" t="s">
        <v>4051</v>
      </c>
    </row>
    <row r="2174" customFormat="false" ht="15" hidden="false" customHeight="false" outlineLevel="0" collapsed="false">
      <c r="A2174" s="0" t="s">
        <v>69</v>
      </c>
      <c r="B2174" s="0" t="s">
        <v>266</v>
      </c>
      <c r="C2174" s="0" t="s">
        <v>1189</v>
      </c>
      <c r="D2174" s="0" t="s">
        <v>130</v>
      </c>
      <c r="E2174" s="0" t="s">
        <v>2241</v>
      </c>
      <c r="F2174" s="0" t="n">
        <v>4</v>
      </c>
      <c r="G2174" s="0" t="n">
        <v>0</v>
      </c>
      <c r="H2174" s="0" t="s">
        <v>585</v>
      </c>
      <c r="K2174" s="0" t="s">
        <v>597</v>
      </c>
      <c r="L2174" s="0" t="s">
        <v>4052</v>
      </c>
    </row>
    <row r="2175" customFormat="false" ht="15" hidden="false" customHeight="false" outlineLevel="0" collapsed="false">
      <c r="A2175" s="0" t="s">
        <v>69</v>
      </c>
      <c r="B2175" s="0" t="s">
        <v>266</v>
      </c>
      <c r="C2175" s="0" t="s">
        <v>1189</v>
      </c>
      <c r="D2175" s="0" t="s">
        <v>133</v>
      </c>
      <c r="E2175" s="0" t="s">
        <v>2243</v>
      </c>
      <c r="F2175" s="0" t="n">
        <v>4</v>
      </c>
      <c r="G2175" s="0" t="n">
        <v>0</v>
      </c>
      <c r="H2175" s="0" t="s">
        <v>585</v>
      </c>
      <c r="K2175" s="0" t="s">
        <v>600</v>
      </c>
      <c r="L2175" s="0" t="s">
        <v>4053</v>
      </c>
    </row>
    <row r="2176" customFormat="false" ht="15" hidden="false" customHeight="false" outlineLevel="0" collapsed="false">
      <c r="A2176" s="0" t="s">
        <v>69</v>
      </c>
      <c r="B2176" s="0" t="s">
        <v>266</v>
      </c>
      <c r="C2176" s="0" t="s">
        <v>1189</v>
      </c>
      <c r="D2176" s="0" t="s">
        <v>141</v>
      </c>
      <c r="E2176" s="0" t="s">
        <v>2245</v>
      </c>
      <c r="F2176" s="0" t="n">
        <v>4</v>
      </c>
      <c r="G2176" s="0" t="n">
        <v>0</v>
      </c>
      <c r="H2176" s="0" t="s">
        <v>585</v>
      </c>
      <c r="K2176" s="0" t="s">
        <v>604</v>
      </c>
      <c r="L2176" s="0" t="s">
        <v>4054</v>
      </c>
    </row>
    <row r="2177" customFormat="false" ht="15" hidden="false" customHeight="false" outlineLevel="0" collapsed="false">
      <c r="A2177" s="0" t="s">
        <v>69</v>
      </c>
      <c r="B2177" s="0" t="s">
        <v>266</v>
      </c>
      <c r="C2177" s="0" t="s">
        <v>1189</v>
      </c>
      <c r="D2177" s="0" t="s">
        <v>144</v>
      </c>
      <c r="E2177" s="0" t="s">
        <v>2247</v>
      </c>
      <c r="F2177" s="0" t="n">
        <v>4</v>
      </c>
      <c r="G2177" s="0" t="n">
        <v>0</v>
      </c>
      <c r="H2177" s="0" t="s">
        <v>585</v>
      </c>
      <c r="K2177" s="0" t="s">
        <v>607</v>
      </c>
      <c r="L2177" s="0" t="s">
        <v>4055</v>
      </c>
    </row>
    <row r="2178" customFormat="false" ht="15" hidden="false" customHeight="false" outlineLevel="0" collapsed="false">
      <c r="A2178" s="0" t="s">
        <v>69</v>
      </c>
      <c r="B2178" s="0" t="s">
        <v>266</v>
      </c>
      <c r="C2178" s="0" t="s">
        <v>1189</v>
      </c>
      <c r="D2178" s="0" t="s">
        <v>147</v>
      </c>
      <c r="E2178" s="0" t="s">
        <v>2249</v>
      </c>
      <c r="F2178" s="0" t="n">
        <v>4</v>
      </c>
      <c r="G2178" s="0" t="n">
        <v>2</v>
      </c>
      <c r="H2178" s="0" t="s">
        <v>585</v>
      </c>
      <c r="I2178" s="0" t="s">
        <v>503</v>
      </c>
      <c r="K2178" s="0" t="s">
        <v>610</v>
      </c>
      <c r="L2178" s="0" t="s">
        <v>4056</v>
      </c>
    </row>
    <row r="2179" customFormat="false" ht="15" hidden="false" customHeight="false" outlineLevel="0" collapsed="false">
      <c r="A2179" s="0" t="s">
        <v>69</v>
      </c>
      <c r="B2179" s="0" t="s">
        <v>266</v>
      </c>
      <c r="C2179" s="0" t="s">
        <v>1189</v>
      </c>
      <c r="D2179" s="0" t="s">
        <v>150</v>
      </c>
      <c r="E2179" s="0" t="s">
        <v>2251</v>
      </c>
      <c r="F2179" s="0" t="n">
        <v>4</v>
      </c>
      <c r="G2179" s="0" t="n">
        <v>0</v>
      </c>
      <c r="H2179" s="0" t="s">
        <v>585</v>
      </c>
      <c r="K2179" s="0" t="s">
        <v>613</v>
      </c>
      <c r="L2179" s="0" t="s">
        <v>4057</v>
      </c>
    </row>
    <row r="2180" customFormat="false" ht="15" hidden="false" customHeight="false" outlineLevel="0" collapsed="false">
      <c r="A2180" s="0" t="s">
        <v>69</v>
      </c>
      <c r="B2180" s="0" t="s">
        <v>266</v>
      </c>
      <c r="C2180" s="0" t="s">
        <v>1189</v>
      </c>
      <c r="D2180" s="0" t="s">
        <v>153</v>
      </c>
      <c r="E2180" s="0" t="s">
        <v>2253</v>
      </c>
      <c r="F2180" s="0" t="n">
        <v>4</v>
      </c>
      <c r="G2180" s="0" t="n">
        <v>1</v>
      </c>
      <c r="H2180" s="0" t="s">
        <v>585</v>
      </c>
      <c r="I2180" s="0" t="s">
        <v>509</v>
      </c>
      <c r="K2180" s="0" t="s">
        <v>616</v>
      </c>
      <c r="L2180" s="0" t="s">
        <v>4058</v>
      </c>
    </row>
    <row r="2181" customFormat="false" ht="15" hidden="false" customHeight="false" outlineLevel="0" collapsed="false">
      <c r="A2181" s="0" t="s">
        <v>69</v>
      </c>
      <c r="B2181" s="0" t="s">
        <v>266</v>
      </c>
      <c r="C2181" s="0" t="s">
        <v>1189</v>
      </c>
      <c r="D2181" s="0" t="s">
        <v>156</v>
      </c>
      <c r="E2181" s="0" t="s">
        <v>2255</v>
      </c>
      <c r="F2181" s="0" t="n">
        <v>4</v>
      </c>
      <c r="G2181" s="0" t="n">
        <v>0</v>
      </c>
      <c r="H2181" s="0" t="s">
        <v>585</v>
      </c>
      <c r="K2181" s="0" t="s">
        <v>620</v>
      </c>
      <c r="L2181" s="0" t="s">
        <v>4059</v>
      </c>
    </row>
    <row r="2182" customFormat="false" ht="15" hidden="false" customHeight="false" outlineLevel="0" collapsed="false">
      <c r="A2182" s="0" t="s">
        <v>69</v>
      </c>
      <c r="B2182" s="0" t="s">
        <v>266</v>
      </c>
      <c r="C2182" s="0" t="s">
        <v>1214</v>
      </c>
      <c r="D2182" s="0" t="s">
        <v>578</v>
      </c>
      <c r="E2182" s="0" t="s">
        <v>2257</v>
      </c>
      <c r="F2182" s="0" t="n">
        <v>4</v>
      </c>
      <c r="G2182" s="0" t="n">
        <v>0</v>
      </c>
      <c r="H2182" s="0" t="s">
        <v>585</v>
      </c>
      <c r="K2182" s="0" t="s">
        <v>581</v>
      </c>
      <c r="L2182" s="0" t="s">
        <v>4060</v>
      </c>
    </row>
    <row r="2183" customFormat="false" ht="15" hidden="false" customHeight="false" outlineLevel="0" collapsed="false">
      <c r="A2183" s="0" t="s">
        <v>69</v>
      </c>
      <c r="B2183" s="0" t="s">
        <v>266</v>
      </c>
      <c r="C2183" s="0" t="s">
        <v>1214</v>
      </c>
      <c r="D2183" s="0" t="s">
        <v>583</v>
      </c>
      <c r="E2183" s="0" t="s">
        <v>2259</v>
      </c>
      <c r="F2183" s="0" t="n">
        <v>4</v>
      </c>
      <c r="G2183" s="0" t="n">
        <v>0</v>
      </c>
      <c r="H2183" s="0" t="s">
        <v>585</v>
      </c>
      <c r="K2183" s="0" t="s">
        <v>586</v>
      </c>
      <c r="L2183" s="0" t="s">
        <v>4061</v>
      </c>
    </row>
    <row r="2184" customFormat="false" ht="15" hidden="false" customHeight="false" outlineLevel="0" collapsed="false">
      <c r="A2184" s="0" t="s">
        <v>69</v>
      </c>
      <c r="B2184" s="0" t="s">
        <v>266</v>
      </c>
      <c r="C2184" s="0" t="s">
        <v>1214</v>
      </c>
      <c r="D2184" s="0" t="s">
        <v>588</v>
      </c>
      <c r="E2184" s="0" t="s">
        <v>2261</v>
      </c>
      <c r="F2184" s="0" t="n">
        <v>4</v>
      </c>
      <c r="G2184" s="0" t="n">
        <v>0</v>
      </c>
      <c r="H2184" s="0" t="s">
        <v>585</v>
      </c>
      <c r="K2184" s="0" t="s">
        <v>590</v>
      </c>
      <c r="L2184" s="0" t="s">
        <v>4062</v>
      </c>
    </row>
    <row r="2185" customFormat="false" ht="15" hidden="false" customHeight="false" outlineLevel="0" collapsed="false">
      <c r="A2185" s="0" t="s">
        <v>69</v>
      </c>
      <c r="B2185" s="0" t="s">
        <v>266</v>
      </c>
      <c r="C2185" s="0" t="s">
        <v>1214</v>
      </c>
      <c r="D2185" s="0" t="s">
        <v>127</v>
      </c>
      <c r="E2185" s="0" t="s">
        <v>2263</v>
      </c>
      <c r="F2185" s="0" t="n">
        <v>4</v>
      </c>
      <c r="G2185" s="0" t="n">
        <v>0</v>
      </c>
      <c r="H2185" s="0" t="s">
        <v>585</v>
      </c>
      <c r="K2185" s="0" t="s">
        <v>594</v>
      </c>
      <c r="L2185" s="0" t="s">
        <v>4063</v>
      </c>
    </row>
    <row r="2186" customFormat="false" ht="15" hidden="false" customHeight="false" outlineLevel="0" collapsed="false">
      <c r="A2186" s="0" t="s">
        <v>69</v>
      </c>
      <c r="B2186" s="0" t="s">
        <v>266</v>
      </c>
      <c r="C2186" s="0" t="s">
        <v>1214</v>
      </c>
      <c r="D2186" s="0" t="s">
        <v>130</v>
      </c>
      <c r="E2186" s="0" t="s">
        <v>2265</v>
      </c>
      <c r="F2186" s="0" t="n">
        <v>4</v>
      </c>
      <c r="G2186" s="0" t="n">
        <v>1</v>
      </c>
      <c r="H2186" s="0" t="s">
        <v>585</v>
      </c>
      <c r="I2186" s="0" t="s">
        <v>503</v>
      </c>
      <c r="K2186" s="0" t="s">
        <v>597</v>
      </c>
      <c r="L2186" s="0" t="s">
        <v>4064</v>
      </c>
    </row>
    <row r="2187" customFormat="false" ht="15" hidden="false" customHeight="false" outlineLevel="0" collapsed="false">
      <c r="A2187" s="0" t="s">
        <v>69</v>
      </c>
      <c r="B2187" s="0" t="s">
        <v>266</v>
      </c>
      <c r="C2187" s="0" t="s">
        <v>1214</v>
      </c>
      <c r="D2187" s="0" t="s">
        <v>133</v>
      </c>
      <c r="E2187" s="0" t="s">
        <v>2267</v>
      </c>
      <c r="F2187" s="0" t="n">
        <v>4</v>
      </c>
      <c r="G2187" s="0" t="n">
        <v>0</v>
      </c>
      <c r="H2187" s="0" t="s">
        <v>585</v>
      </c>
      <c r="K2187" s="0" t="s">
        <v>600</v>
      </c>
      <c r="L2187" s="0" t="s">
        <v>4065</v>
      </c>
    </row>
    <row r="2188" customFormat="false" ht="15" hidden="false" customHeight="false" outlineLevel="0" collapsed="false">
      <c r="A2188" s="0" t="s">
        <v>69</v>
      </c>
      <c r="B2188" s="0" t="s">
        <v>266</v>
      </c>
      <c r="C2188" s="0" t="s">
        <v>1214</v>
      </c>
      <c r="D2188" s="0" t="s">
        <v>141</v>
      </c>
      <c r="E2188" s="0" t="s">
        <v>2269</v>
      </c>
      <c r="F2188" s="0" t="n">
        <v>4</v>
      </c>
      <c r="G2188" s="0" t="n">
        <v>0</v>
      </c>
      <c r="H2188" s="0" t="s">
        <v>585</v>
      </c>
      <c r="K2188" s="0" t="s">
        <v>604</v>
      </c>
      <c r="L2188" s="0" t="s">
        <v>4066</v>
      </c>
    </row>
    <row r="2189" customFormat="false" ht="15" hidden="false" customHeight="false" outlineLevel="0" collapsed="false">
      <c r="A2189" s="0" t="s">
        <v>69</v>
      </c>
      <c r="B2189" s="0" t="s">
        <v>266</v>
      </c>
      <c r="C2189" s="0" t="s">
        <v>1214</v>
      </c>
      <c r="D2189" s="0" t="s">
        <v>144</v>
      </c>
      <c r="E2189" s="0" t="s">
        <v>2271</v>
      </c>
      <c r="F2189" s="0" t="n">
        <v>4</v>
      </c>
      <c r="G2189" s="0" t="n">
        <v>0</v>
      </c>
      <c r="H2189" s="0" t="s">
        <v>585</v>
      </c>
      <c r="K2189" s="0" t="s">
        <v>607</v>
      </c>
      <c r="L2189" s="0" t="s">
        <v>4067</v>
      </c>
    </row>
    <row r="2190" customFormat="false" ht="15" hidden="false" customHeight="false" outlineLevel="0" collapsed="false">
      <c r="A2190" s="0" t="s">
        <v>69</v>
      </c>
      <c r="B2190" s="0" t="s">
        <v>266</v>
      </c>
      <c r="C2190" s="0" t="s">
        <v>1214</v>
      </c>
      <c r="D2190" s="0" t="s">
        <v>147</v>
      </c>
      <c r="E2190" s="0" t="s">
        <v>2273</v>
      </c>
      <c r="F2190" s="0" t="n">
        <v>4</v>
      </c>
      <c r="G2190" s="0" t="n">
        <v>3</v>
      </c>
      <c r="H2190" s="0" t="s">
        <v>585</v>
      </c>
      <c r="I2190" s="0" t="s">
        <v>503</v>
      </c>
      <c r="K2190" s="0" t="s">
        <v>610</v>
      </c>
      <c r="L2190" s="0" t="s">
        <v>4068</v>
      </c>
    </row>
    <row r="2191" customFormat="false" ht="15" hidden="false" customHeight="false" outlineLevel="0" collapsed="false">
      <c r="A2191" s="0" t="s">
        <v>69</v>
      </c>
      <c r="B2191" s="0" t="s">
        <v>266</v>
      </c>
      <c r="C2191" s="0" t="s">
        <v>1214</v>
      </c>
      <c r="D2191" s="0" t="s">
        <v>150</v>
      </c>
      <c r="E2191" s="0" t="s">
        <v>2275</v>
      </c>
      <c r="F2191" s="0" t="n">
        <v>4</v>
      </c>
      <c r="G2191" s="0" t="n">
        <v>0</v>
      </c>
      <c r="H2191" s="0" t="s">
        <v>585</v>
      </c>
      <c r="K2191" s="0" t="s">
        <v>613</v>
      </c>
      <c r="L2191" s="0" t="s">
        <v>4069</v>
      </c>
    </row>
    <row r="2192" customFormat="false" ht="15" hidden="false" customHeight="false" outlineLevel="0" collapsed="false">
      <c r="A2192" s="0" t="s">
        <v>69</v>
      </c>
      <c r="B2192" s="0" t="s">
        <v>266</v>
      </c>
      <c r="C2192" s="0" t="s">
        <v>1214</v>
      </c>
      <c r="D2192" s="0" t="s">
        <v>153</v>
      </c>
      <c r="E2192" s="0" t="s">
        <v>2277</v>
      </c>
      <c r="F2192" s="0" t="n">
        <v>4</v>
      </c>
      <c r="G2192" s="0" t="n">
        <v>4</v>
      </c>
      <c r="H2192" s="0" t="s">
        <v>580</v>
      </c>
      <c r="I2192" s="0" t="s">
        <v>500</v>
      </c>
      <c r="K2192" s="0" t="s">
        <v>616</v>
      </c>
      <c r="L2192" s="0" t="s">
        <v>4070</v>
      </c>
    </row>
    <row r="2193" customFormat="false" ht="15" hidden="false" customHeight="false" outlineLevel="0" collapsed="false">
      <c r="A2193" s="0" t="s">
        <v>69</v>
      </c>
      <c r="B2193" s="0" t="s">
        <v>266</v>
      </c>
      <c r="C2193" s="0" t="s">
        <v>1214</v>
      </c>
      <c r="D2193" s="0" t="s">
        <v>156</v>
      </c>
      <c r="E2193" s="0" t="s">
        <v>2279</v>
      </c>
      <c r="F2193" s="0" t="n">
        <v>4</v>
      </c>
      <c r="G2193" s="0" t="n">
        <v>0</v>
      </c>
      <c r="H2193" s="0" t="s">
        <v>585</v>
      </c>
      <c r="K2193" s="0" t="s">
        <v>620</v>
      </c>
      <c r="L2193" s="0" t="s">
        <v>4071</v>
      </c>
    </row>
    <row r="2194" customFormat="false" ht="15" hidden="false" customHeight="false" outlineLevel="0" collapsed="false">
      <c r="A2194" s="0" t="s">
        <v>69</v>
      </c>
      <c r="B2194" s="0" t="s">
        <v>266</v>
      </c>
      <c r="C2194" s="0" t="s">
        <v>1239</v>
      </c>
      <c r="D2194" s="0" t="s">
        <v>578</v>
      </c>
      <c r="E2194" s="0" t="s">
        <v>2281</v>
      </c>
      <c r="F2194" s="0" t="n">
        <v>4</v>
      </c>
      <c r="G2194" s="0" t="n">
        <v>0</v>
      </c>
      <c r="H2194" s="0" t="s">
        <v>585</v>
      </c>
      <c r="K2194" s="0" t="s">
        <v>581</v>
      </c>
      <c r="L2194" s="0" t="s">
        <v>4072</v>
      </c>
    </row>
    <row r="2195" customFormat="false" ht="15" hidden="false" customHeight="false" outlineLevel="0" collapsed="false">
      <c r="A2195" s="0" t="s">
        <v>69</v>
      </c>
      <c r="B2195" s="0" t="s">
        <v>266</v>
      </c>
      <c r="C2195" s="0" t="s">
        <v>1239</v>
      </c>
      <c r="D2195" s="0" t="s">
        <v>583</v>
      </c>
      <c r="E2195" s="0" t="s">
        <v>2283</v>
      </c>
      <c r="F2195" s="0" t="n">
        <v>4</v>
      </c>
      <c r="G2195" s="0" t="n">
        <v>0</v>
      </c>
      <c r="H2195" s="0" t="s">
        <v>585</v>
      </c>
      <c r="K2195" s="0" t="s">
        <v>586</v>
      </c>
      <c r="L2195" s="0" t="s">
        <v>4073</v>
      </c>
    </row>
    <row r="2196" customFormat="false" ht="15" hidden="false" customHeight="false" outlineLevel="0" collapsed="false">
      <c r="A2196" s="0" t="s">
        <v>69</v>
      </c>
      <c r="B2196" s="0" t="s">
        <v>266</v>
      </c>
      <c r="C2196" s="0" t="s">
        <v>1239</v>
      </c>
      <c r="D2196" s="0" t="s">
        <v>588</v>
      </c>
      <c r="E2196" s="0" t="s">
        <v>2285</v>
      </c>
      <c r="F2196" s="0" t="n">
        <v>4</v>
      </c>
      <c r="G2196" s="0" t="n">
        <v>0</v>
      </c>
      <c r="H2196" s="0" t="s">
        <v>585</v>
      </c>
      <c r="K2196" s="0" t="s">
        <v>590</v>
      </c>
      <c r="L2196" s="0" t="s">
        <v>4074</v>
      </c>
    </row>
    <row r="2197" customFormat="false" ht="15" hidden="false" customHeight="false" outlineLevel="0" collapsed="false">
      <c r="A2197" s="0" t="s">
        <v>69</v>
      </c>
      <c r="B2197" s="0" t="s">
        <v>266</v>
      </c>
      <c r="C2197" s="0" t="s">
        <v>1239</v>
      </c>
      <c r="D2197" s="0" t="s">
        <v>127</v>
      </c>
      <c r="E2197" s="0" t="s">
        <v>2287</v>
      </c>
      <c r="F2197" s="0" t="n">
        <v>4</v>
      </c>
      <c r="G2197" s="0" t="n">
        <v>0</v>
      </c>
      <c r="H2197" s="0" t="s">
        <v>585</v>
      </c>
      <c r="K2197" s="0" t="s">
        <v>594</v>
      </c>
      <c r="L2197" s="0" t="s">
        <v>4075</v>
      </c>
    </row>
    <row r="2198" customFormat="false" ht="15" hidden="false" customHeight="false" outlineLevel="0" collapsed="false">
      <c r="A2198" s="0" t="s">
        <v>69</v>
      </c>
      <c r="B2198" s="0" t="s">
        <v>266</v>
      </c>
      <c r="C2198" s="0" t="s">
        <v>1239</v>
      </c>
      <c r="D2198" s="0" t="s">
        <v>130</v>
      </c>
      <c r="E2198" s="0" t="s">
        <v>2289</v>
      </c>
      <c r="F2198" s="0" t="n">
        <v>4</v>
      </c>
      <c r="G2198" s="0" t="n">
        <v>0</v>
      </c>
      <c r="H2198" s="0" t="s">
        <v>585</v>
      </c>
      <c r="K2198" s="0" t="s">
        <v>597</v>
      </c>
      <c r="L2198" s="0" t="s">
        <v>4076</v>
      </c>
    </row>
    <row r="2199" customFormat="false" ht="15" hidden="false" customHeight="false" outlineLevel="0" collapsed="false">
      <c r="A2199" s="0" t="s">
        <v>69</v>
      </c>
      <c r="B2199" s="0" t="s">
        <v>266</v>
      </c>
      <c r="C2199" s="0" t="s">
        <v>1239</v>
      </c>
      <c r="D2199" s="0" t="s">
        <v>133</v>
      </c>
      <c r="E2199" s="0" t="s">
        <v>2291</v>
      </c>
      <c r="F2199" s="0" t="n">
        <v>4</v>
      </c>
      <c r="G2199" s="0" t="n">
        <v>0</v>
      </c>
      <c r="H2199" s="0" t="s">
        <v>585</v>
      </c>
      <c r="K2199" s="0" t="s">
        <v>600</v>
      </c>
      <c r="L2199" s="0" t="s">
        <v>4077</v>
      </c>
    </row>
    <row r="2200" customFormat="false" ht="15" hidden="false" customHeight="false" outlineLevel="0" collapsed="false">
      <c r="A2200" s="0" t="s">
        <v>69</v>
      </c>
      <c r="B2200" s="0" t="s">
        <v>266</v>
      </c>
      <c r="C2200" s="0" t="s">
        <v>1239</v>
      </c>
      <c r="D2200" s="0" t="s">
        <v>141</v>
      </c>
      <c r="E2200" s="0" t="s">
        <v>2293</v>
      </c>
      <c r="F2200" s="0" t="n">
        <v>4</v>
      </c>
      <c r="G2200" s="0" t="n">
        <v>0</v>
      </c>
      <c r="H2200" s="0" t="s">
        <v>585</v>
      </c>
      <c r="K2200" s="0" t="s">
        <v>604</v>
      </c>
      <c r="L2200" s="0" t="s">
        <v>4078</v>
      </c>
    </row>
    <row r="2201" customFormat="false" ht="15" hidden="false" customHeight="false" outlineLevel="0" collapsed="false">
      <c r="A2201" s="0" t="s">
        <v>69</v>
      </c>
      <c r="B2201" s="0" t="s">
        <v>266</v>
      </c>
      <c r="C2201" s="0" t="s">
        <v>1239</v>
      </c>
      <c r="D2201" s="0" t="s">
        <v>144</v>
      </c>
      <c r="E2201" s="0" t="s">
        <v>2295</v>
      </c>
      <c r="F2201" s="0" t="n">
        <v>4</v>
      </c>
      <c r="G2201" s="0" t="n">
        <v>0</v>
      </c>
      <c r="H2201" s="0" t="s">
        <v>585</v>
      </c>
      <c r="K2201" s="0" t="s">
        <v>607</v>
      </c>
      <c r="L2201" s="0" t="s">
        <v>4079</v>
      </c>
    </row>
    <row r="2202" customFormat="false" ht="15" hidden="false" customHeight="false" outlineLevel="0" collapsed="false">
      <c r="A2202" s="0" t="s">
        <v>69</v>
      </c>
      <c r="B2202" s="0" t="s">
        <v>266</v>
      </c>
      <c r="C2202" s="0" t="s">
        <v>1239</v>
      </c>
      <c r="D2202" s="0" t="s">
        <v>147</v>
      </c>
      <c r="E2202" s="0" t="s">
        <v>2297</v>
      </c>
      <c r="F2202" s="0" t="n">
        <v>4</v>
      </c>
      <c r="G2202" s="0" t="n">
        <v>3</v>
      </c>
      <c r="H2202" s="0" t="s">
        <v>585</v>
      </c>
      <c r="I2202" s="0" t="s">
        <v>502</v>
      </c>
      <c r="K2202" s="0" t="s">
        <v>610</v>
      </c>
      <c r="L2202" s="0" t="s">
        <v>4080</v>
      </c>
    </row>
    <row r="2203" customFormat="false" ht="15" hidden="false" customHeight="false" outlineLevel="0" collapsed="false">
      <c r="A2203" s="0" t="s">
        <v>69</v>
      </c>
      <c r="B2203" s="0" t="s">
        <v>266</v>
      </c>
      <c r="C2203" s="0" t="s">
        <v>1239</v>
      </c>
      <c r="D2203" s="0" t="s">
        <v>150</v>
      </c>
      <c r="E2203" s="0" t="s">
        <v>2299</v>
      </c>
      <c r="F2203" s="0" t="n">
        <v>4</v>
      </c>
      <c r="G2203" s="0" t="n">
        <v>3</v>
      </c>
      <c r="H2203" s="0" t="s">
        <v>585</v>
      </c>
      <c r="I2203" s="0" t="s">
        <v>502</v>
      </c>
      <c r="K2203" s="0" t="s">
        <v>613</v>
      </c>
      <c r="L2203" s="0" t="s">
        <v>4081</v>
      </c>
    </row>
    <row r="2204" customFormat="false" ht="15" hidden="false" customHeight="false" outlineLevel="0" collapsed="false">
      <c r="A2204" s="0" t="s">
        <v>69</v>
      </c>
      <c r="B2204" s="0" t="s">
        <v>266</v>
      </c>
      <c r="C2204" s="0" t="s">
        <v>1239</v>
      </c>
      <c r="D2204" s="0" t="s">
        <v>153</v>
      </c>
      <c r="E2204" s="0" t="s">
        <v>2301</v>
      </c>
      <c r="F2204" s="0" t="n">
        <v>4</v>
      </c>
      <c r="G2204" s="0" t="n">
        <v>3</v>
      </c>
      <c r="H2204" s="0" t="s">
        <v>585</v>
      </c>
      <c r="I2204" s="0" t="s">
        <v>507</v>
      </c>
      <c r="K2204" s="0" t="s">
        <v>616</v>
      </c>
      <c r="L2204" s="0" t="s">
        <v>4082</v>
      </c>
    </row>
    <row r="2205" customFormat="false" ht="15" hidden="false" customHeight="false" outlineLevel="0" collapsed="false">
      <c r="A2205" s="0" t="s">
        <v>69</v>
      </c>
      <c r="B2205" s="0" t="s">
        <v>266</v>
      </c>
      <c r="C2205" s="0" t="s">
        <v>1239</v>
      </c>
      <c r="D2205" s="0" t="s">
        <v>156</v>
      </c>
      <c r="E2205" s="0" t="s">
        <v>2303</v>
      </c>
      <c r="F2205" s="0" t="n">
        <v>4</v>
      </c>
      <c r="G2205" s="0" t="n">
        <v>1</v>
      </c>
      <c r="H2205" s="0" t="s">
        <v>585</v>
      </c>
      <c r="I2205" s="0" t="s">
        <v>510</v>
      </c>
      <c r="K2205" s="0" t="s">
        <v>620</v>
      </c>
      <c r="L2205" s="0" t="s">
        <v>4083</v>
      </c>
    </row>
    <row r="2206" customFormat="false" ht="15" hidden="false" customHeight="false" outlineLevel="0" collapsed="false">
      <c r="A2206" s="0" t="s">
        <v>69</v>
      </c>
      <c r="B2206" s="0" t="s">
        <v>266</v>
      </c>
      <c r="C2206" s="0" t="s">
        <v>1264</v>
      </c>
      <c r="D2206" s="0" t="s">
        <v>578</v>
      </c>
      <c r="E2206" s="0" t="s">
        <v>2305</v>
      </c>
      <c r="F2206" s="0" t="n">
        <v>4</v>
      </c>
      <c r="G2206" s="0" t="n">
        <v>0</v>
      </c>
      <c r="H2206" s="0" t="s">
        <v>585</v>
      </c>
      <c r="K2206" s="0" t="s">
        <v>581</v>
      </c>
      <c r="L2206" s="0" t="s">
        <v>4084</v>
      </c>
    </row>
    <row r="2207" customFormat="false" ht="15" hidden="false" customHeight="false" outlineLevel="0" collapsed="false">
      <c r="A2207" s="0" t="s">
        <v>69</v>
      </c>
      <c r="B2207" s="0" t="s">
        <v>266</v>
      </c>
      <c r="C2207" s="0" t="s">
        <v>1264</v>
      </c>
      <c r="D2207" s="0" t="s">
        <v>583</v>
      </c>
      <c r="E2207" s="0" t="s">
        <v>2307</v>
      </c>
      <c r="F2207" s="0" t="n">
        <v>4</v>
      </c>
      <c r="G2207" s="0" t="n">
        <v>0</v>
      </c>
      <c r="H2207" s="0" t="s">
        <v>585</v>
      </c>
      <c r="K2207" s="0" t="s">
        <v>586</v>
      </c>
      <c r="L2207" s="0" t="s">
        <v>4085</v>
      </c>
    </row>
    <row r="2208" customFormat="false" ht="15" hidden="false" customHeight="false" outlineLevel="0" collapsed="false">
      <c r="A2208" s="0" t="s">
        <v>69</v>
      </c>
      <c r="B2208" s="0" t="s">
        <v>266</v>
      </c>
      <c r="C2208" s="0" t="s">
        <v>1264</v>
      </c>
      <c r="D2208" s="0" t="s">
        <v>588</v>
      </c>
      <c r="E2208" s="0" t="s">
        <v>2309</v>
      </c>
      <c r="F2208" s="0" t="n">
        <v>4</v>
      </c>
      <c r="G2208" s="0" t="n">
        <v>0</v>
      </c>
      <c r="H2208" s="0" t="s">
        <v>585</v>
      </c>
      <c r="K2208" s="0" t="s">
        <v>590</v>
      </c>
      <c r="L2208" s="0" t="s">
        <v>4086</v>
      </c>
    </row>
    <row r="2209" customFormat="false" ht="15" hidden="false" customHeight="false" outlineLevel="0" collapsed="false">
      <c r="A2209" s="0" t="s">
        <v>69</v>
      </c>
      <c r="B2209" s="0" t="s">
        <v>266</v>
      </c>
      <c r="C2209" s="0" t="s">
        <v>1264</v>
      </c>
      <c r="D2209" s="0" t="s">
        <v>127</v>
      </c>
      <c r="E2209" s="0" t="s">
        <v>2311</v>
      </c>
      <c r="F2209" s="0" t="n">
        <v>4</v>
      </c>
      <c r="G2209" s="0" t="n">
        <v>0</v>
      </c>
      <c r="H2209" s="0" t="s">
        <v>585</v>
      </c>
      <c r="K2209" s="0" t="s">
        <v>594</v>
      </c>
      <c r="L2209" s="0" t="s">
        <v>4087</v>
      </c>
    </row>
    <row r="2210" customFormat="false" ht="15" hidden="false" customHeight="false" outlineLevel="0" collapsed="false">
      <c r="A2210" s="0" t="s">
        <v>69</v>
      </c>
      <c r="B2210" s="0" t="s">
        <v>266</v>
      </c>
      <c r="C2210" s="0" t="s">
        <v>1264</v>
      </c>
      <c r="D2210" s="0" t="s">
        <v>130</v>
      </c>
      <c r="E2210" s="0" t="s">
        <v>2313</v>
      </c>
      <c r="F2210" s="0" t="n">
        <v>4</v>
      </c>
      <c r="G2210" s="0" t="n">
        <v>0</v>
      </c>
      <c r="H2210" s="0" t="s">
        <v>585</v>
      </c>
      <c r="K2210" s="0" t="s">
        <v>597</v>
      </c>
      <c r="L2210" s="0" t="s">
        <v>4088</v>
      </c>
    </row>
    <row r="2211" customFormat="false" ht="15" hidden="false" customHeight="false" outlineLevel="0" collapsed="false">
      <c r="A2211" s="0" t="s">
        <v>69</v>
      </c>
      <c r="B2211" s="0" t="s">
        <v>266</v>
      </c>
      <c r="C2211" s="0" t="s">
        <v>1264</v>
      </c>
      <c r="D2211" s="0" t="s">
        <v>133</v>
      </c>
      <c r="E2211" s="0" t="s">
        <v>2315</v>
      </c>
      <c r="F2211" s="0" t="n">
        <v>4</v>
      </c>
      <c r="G2211" s="0" t="n">
        <v>0</v>
      </c>
      <c r="H2211" s="0" t="s">
        <v>585</v>
      </c>
      <c r="K2211" s="0" t="s">
        <v>600</v>
      </c>
      <c r="L2211" s="0" t="s">
        <v>4089</v>
      </c>
    </row>
    <row r="2212" customFormat="false" ht="15" hidden="false" customHeight="false" outlineLevel="0" collapsed="false">
      <c r="A2212" s="0" t="s">
        <v>69</v>
      </c>
      <c r="B2212" s="0" t="s">
        <v>266</v>
      </c>
      <c r="C2212" s="0" t="s">
        <v>1264</v>
      </c>
      <c r="D2212" s="0" t="s">
        <v>141</v>
      </c>
      <c r="E2212" s="0" t="s">
        <v>2317</v>
      </c>
      <c r="F2212" s="0" t="n">
        <v>4</v>
      </c>
      <c r="G2212" s="0" t="n">
        <v>0</v>
      </c>
      <c r="H2212" s="0" t="s">
        <v>585</v>
      </c>
      <c r="K2212" s="0" t="s">
        <v>604</v>
      </c>
      <c r="L2212" s="0" t="s">
        <v>4090</v>
      </c>
    </row>
    <row r="2213" customFormat="false" ht="15" hidden="false" customHeight="false" outlineLevel="0" collapsed="false">
      <c r="A2213" s="0" t="s">
        <v>69</v>
      </c>
      <c r="B2213" s="0" t="s">
        <v>266</v>
      </c>
      <c r="C2213" s="0" t="s">
        <v>1264</v>
      </c>
      <c r="D2213" s="0" t="s">
        <v>144</v>
      </c>
      <c r="E2213" s="0" t="s">
        <v>2319</v>
      </c>
      <c r="F2213" s="0" t="n">
        <v>4</v>
      </c>
      <c r="G2213" s="0" t="n">
        <v>3</v>
      </c>
      <c r="H2213" s="0" t="s">
        <v>585</v>
      </c>
      <c r="I2213" s="0" t="s">
        <v>502</v>
      </c>
      <c r="K2213" s="0" t="s">
        <v>607</v>
      </c>
      <c r="L2213" s="0" t="s">
        <v>4091</v>
      </c>
    </row>
    <row r="2214" customFormat="false" ht="15" hidden="false" customHeight="false" outlineLevel="0" collapsed="false">
      <c r="A2214" s="0" t="s">
        <v>69</v>
      </c>
      <c r="B2214" s="0" t="s">
        <v>266</v>
      </c>
      <c r="C2214" s="0" t="s">
        <v>1264</v>
      </c>
      <c r="D2214" s="0" t="s">
        <v>147</v>
      </c>
      <c r="E2214" s="0" t="s">
        <v>2321</v>
      </c>
      <c r="F2214" s="0" t="n">
        <v>4</v>
      </c>
      <c r="G2214" s="0" t="n">
        <v>4</v>
      </c>
      <c r="H2214" s="0" t="s">
        <v>580</v>
      </c>
      <c r="I2214" s="0" t="s">
        <v>500</v>
      </c>
      <c r="K2214" s="0" t="s">
        <v>610</v>
      </c>
      <c r="L2214" s="0" t="s">
        <v>4092</v>
      </c>
    </row>
    <row r="2215" customFormat="false" ht="15" hidden="false" customHeight="false" outlineLevel="0" collapsed="false">
      <c r="A2215" s="0" t="s">
        <v>69</v>
      </c>
      <c r="B2215" s="0" t="s">
        <v>266</v>
      </c>
      <c r="C2215" s="0" t="s">
        <v>1264</v>
      </c>
      <c r="D2215" s="0" t="s">
        <v>150</v>
      </c>
      <c r="E2215" s="0" t="s">
        <v>2323</v>
      </c>
      <c r="F2215" s="0" t="n">
        <v>4</v>
      </c>
      <c r="G2215" s="0" t="n">
        <v>2</v>
      </c>
      <c r="H2215" s="0" t="s">
        <v>585</v>
      </c>
      <c r="I2215" s="0" t="s">
        <v>502</v>
      </c>
      <c r="K2215" s="0" t="s">
        <v>613</v>
      </c>
      <c r="L2215" s="0" t="s">
        <v>4093</v>
      </c>
    </row>
    <row r="2216" customFormat="false" ht="15" hidden="false" customHeight="false" outlineLevel="0" collapsed="false">
      <c r="A2216" s="0" t="s">
        <v>69</v>
      </c>
      <c r="B2216" s="0" t="s">
        <v>266</v>
      </c>
      <c r="C2216" s="0" t="s">
        <v>1264</v>
      </c>
      <c r="D2216" s="0" t="s">
        <v>153</v>
      </c>
      <c r="E2216" s="0" t="s">
        <v>2325</v>
      </c>
      <c r="F2216" s="0" t="n">
        <v>4</v>
      </c>
      <c r="G2216" s="0" t="n">
        <v>4</v>
      </c>
      <c r="H2216" s="0" t="s">
        <v>580</v>
      </c>
      <c r="I2216" s="0" t="s">
        <v>502</v>
      </c>
      <c r="K2216" s="0" t="s">
        <v>616</v>
      </c>
      <c r="L2216" s="0" t="s">
        <v>4094</v>
      </c>
    </row>
    <row r="2217" customFormat="false" ht="15" hidden="false" customHeight="false" outlineLevel="0" collapsed="false">
      <c r="A2217" s="0" t="s">
        <v>69</v>
      </c>
      <c r="B2217" s="0" t="s">
        <v>266</v>
      </c>
      <c r="C2217" s="0" t="s">
        <v>1264</v>
      </c>
      <c r="D2217" s="0" t="s">
        <v>156</v>
      </c>
      <c r="E2217" s="0" t="s">
        <v>2327</v>
      </c>
      <c r="F2217" s="0" t="n">
        <v>4</v>
      </c>
      <c r="G2217" s="0" t="n">
        <v>4</v>
      </c>
      <c r="H2217" s="0" t="s">
        <v>580</v>
      </c>
      <c r="I2217" s="0" t="s">
        <v>507</v>
      </c>
      <c r="K2217" s="0" t="s">
        <v>620</v>
      </c>
      <c r="L2217" s="0" t="s">
        <v>4095</v>
      </c>
    </row>
    <row r="2218" customFormat="false" ht="15" hidden="false" customHeight="false" outlineLevel="0" collapsed="false">
      <c r="A2218" s="0" t="s">
        <v>69</v>
      </c>
      <c r="B2218" s="0" t="s">
        <v>266</v>
      </c>
      <c r="C2218" s="0" t="s">
        <v>1289</v>
      </c>
      <c r="D2218" s="0" t="s">
        <v>578</v>
      </c>
      <c r="E2218" s="0" t="s">
        <v>2329</v>
      </c>
      <c r="F2218" s="0" t="n">
        <v>4</v>
      </c>
      <c r="G2218" s="0" t="n">
        <v>0</v>
      </c>
      <c r="H2218" s="0" t="s">
        <v>585</v>
      </c>
      <c r="K2218" s="0" t="s">
        <v>581</v>
      </c>
      <c r="L2218" s="0" t="s">
        <v>4096</v>
      </c>
    </row>
    <row r="2219" customFormat="false" ht="15" hidden="false" customHeight="false" outlineLevel="0" collapsed="false">
      <c r="A2219" s="0" t="s">
        <v>69</v>
      </c>
      <c r="B2219" s="0" t="s">
        <v>266</v>
      </c>
      <c r="C2219" s="0" t="s">
        <v>1289</v>
      </c>
      <c r="D2219" s="0" t="s">
        <v>583</v>
      </c>
      <c r="E2219" s="0" t="s">
        <v>2331</v>
      </c>
      <c r="F2219" s="0" t="n">
        <v>4</v>
      </c>
      <c r="G2219" s="0" t="n">
        <v>0</v>
      </c>
      <c r="H2219" s="0" t="s">
        <v>585</v>
      </c>
      <c r="K2219" s="0" t="s">
        <v>586</v>
      </c>
      <c r="L2219" s="0" t="s">
        <v>4097</v>
      </c>
    </row>
    <row r="2220" customFormat="false" ht="15" hidden="false" customHeight="false" outlineLevel="0" collapsed="false">
      <c r="A2220" s="0" t="s">
        <v>69</v>
      </c>
      <c r="B2220" s="0" t="s">
        <v>266</v>
      </c>
      <c r="C2220" s="0" t="s">
        <v>1289</v>
      </c>
      <c r="D2220" s="0" t="s">
        <v>588</v>
      </c>
      <c r="E2220" s="0" t="s">
        <v>2333</v>
      </c>
      <c r="F2220" s="0" t="n">
        <v>4</v>
      </c>
      <c r="G2220" s="0" t="n">
        <v>3</v>
      </c>
      <c r="H2220" s="0" t="s">
        <v>585</v>
      </c>
      <c r="I2220" s="0" t="s">
        <v>502</v>
      </c>
      <c r="K2220" s="0" t="s">
        <v>590</v>
      </c>
      <c r="L2220" s="0" t="s">
        <v>4098</v>
      </c>
    </row>
    <row r="2221" customFormat="false" ht="15" hidden="false" customHeight="false" outlineLevel="0" collapsed="false">
      <c r="A2221" s="0" t="s">
        <v>69</v>
      </c>
      <c r="B2221" s="0" t="s">
        <v>266</v>
      </c>
      <c r="C2221" s="0" t="s">
        <v>1289</v>
      </c>
      <c r="D2221" s="0" t="s">
        <v>127</v>
      </c>
      <c r="E2221" s="0" t="s">
        <v>2335</v>
      </c>
      <c r="F2221" s="0" t="n">
        <v>4</v>
      </c>
      <c r="G2221" s="0" t="n">
        <v>2</v>
      </c>
      <c r="H2221" s="0" t="s">
        <v>585</v>
      </c>
      <c r="I2221" s="0" t="s">
        <v>505</v>
      </c>
      <c r="K2221" s="0" t="s">
        <v>594</v>
      </c>
      <c r="L2221" s="0" t="s">
        <v>4099</v>
      </c>
    </row>
    <row r="2222" customFormat="false" ht="15" hidden="false" customHeight="false" outlineLevel="0" collapsed="false">
      <c r="A2222" s="0" t="s">
        <v>69</v>
      </c>
      <c r="B2222" s="0" t="s">
        <v>266</v>
      </c>
      <c r="C2222" s="0" t="s">
        <v>1289</v>
      </c>
      <c r="D2222" s="0" t="s">
        <v>130</v>
      </c>
      <c r="E2222" s="0" t="s">
        <v>2337</v>
      </c>
      <c r="F2222" s="0" t="n">
        <v>4</v>
      </c>
      <c r="G2222" s="0" t="n">
        <v>0</v>
      </c>
      <c r="H2222" s="0" t="s">
        <v>585</v>
      </c>
      <c r="K2222" s="0" t="s">
        <v>597</v>
      </c>
      <c r="L2222" s="0" t="s">
        <v>4100</v>
      </c>
    </row>
    <row r="2223" customFormat="false" ht="15" hidden="false" customHeight="false" outlineLevel="0" collapsed="false">
      <c r="A2223" s="0" t="s">
        <v>69</v>
      </c>
      <c r="B2223" s="0" t="s">
        <v>266</v>
      </c>
      <c r="C2223" s="0" t="s">
        <v>1289</v>
      </c>
      <c r="D2223" s="0" t="s">
        <v>133</v>
      </c>
      <c r="E2223" s="0" t="s">
        <v>2339</v>
      </c>
      <c r="F2223" s="0" t="n">
        <v>4</v>
      </c>
      <c r="G2223" s="0" t="n">
        <v>0</v>
      </c>
      <c r="H2223" s="0" t="s">
        <v>585</v>
      </c>
      <c r="K2223" s="0" t="s">
        <v>600</v>
      </c>
      <c r="L2223" s="0" t="s">
        <v>4101</v>
      </c>
    </row>
    <row r="2224" customFormat="false" ht="15" hidden="false" customHeight="false" outlineLevel="0" collapsed="false">
      <c r="A2224" s="0" t="s">
        <v>69</v>
      </c>
      <c r="B2224" s="0" t="s">
        <v>266</v>
      </c>
      <c r="C2224" s="0" t="s">
        <v>1289</v>
      </c>
      <c r="D2224" s="0" t="s">
        <v>141</v>
      </c>
      <c r="E2224" s="0" t="s">
        <v>2341</v>
      </c>
      <c r="F2224" s="0" t="n">
        <v>4</v>
      </c>
      <c r="G2224" s="0" t="n">
        <v>0</v>
      </c>
      <c r="H2224" s="0" t="s">
        <v>585</v>
      </c>
      <c r="K2224" s="0" t="s">
        <v>604</v>
      </c>
      <c r="L2224" s="0" t="s">
        <v>4102</v>
      </c>
    </row>
    <row r="2225" customFormat="false" ht="15" hidden="false" customHeight="false" outlineLevel="0" collapsed="false">
      <c r="A2225" s="0" t="s">
        <v>69</v>
      </c>
      <c r="B2225" s="0" t="s">
        <v>266</v>
      </c>
      <c r="C2225" s="0" t="s">
        <v>1289</v>
      </c>
      <c r="D2225" s="0" t="s">
        <v>144</v>
      </c>
      <c r="E2225" s="0" t="s">
        <v>2343</v>
      </c>
      <c r="F2225" s="0" t="n">
        <v>4</v>
      </c>
      <c r="G2225" s="0" t="n">
        <v>3</v>
      </c>
      <c r="H2225" s="0" t="s">
        <v>585</v>
      </c>
      <c r="I2225" s="0" t="s">
        <v>505</v>
      </c>
      <c r="K2225" s="0" t="s">
        <v>607</v>
      </c>
      <c r="L2225" s="0" t="s">
        <v>4103</v>
      </c>
    </row>
    <row r="2226" customFormat="false" ht="15" hidden="false" customHeight="false" outlineLevel="0" collapsed="false">
      <c r="A2226" s="0" t="s">
        <v>69</v>
      </c>
      <c r="B2226" s="0" t="s">
        <v>266</v>
      </c>
      <c r="C2226" s="0" t="s">
        <v>1289</v>
      </c>
      <c r="D2226" s="0" t="s">
        <v>147</v>
      </c>
      <c r="E2226" s="0" t="s">
        <v>2345</v>
      </c>
      <c r="F2226" s="0" t="n">
        <v>4</v>
      </c>
      <c r="G2226" s="0" t="n">
        <v>1</v>
      </c>
      <c r="H2226" s="0" t="s">
        <v>585</v>
      </c>
      <c r="I2226" s="0" t="s">
        <v>510</v>
      </c>
      <c r="K2226" s="0" t="s">
        <v>610</v>
      </c>
      <c r="L2226" s="0" t="s">
        <v>4104</v>
      </c>
    </row>
    <row r="2227" customFormat="false" ht="15" hidden="false" customHeight="false" outlineLevel="0" collapsed="false">
      <c r="A2227" s="0" t="s">
        <v>69</v>
      </c>
      <c r="B2227" s="0" t="s">
        <v>266</v>
      </c>
      <c r="C2227" s="0" t="s">
        <v>1289</v>
      </c>
      <c r="D2227" s="0" t="s">
        <v>150</v>
      </c>
      <c r="E2227" s="0" t="s">
        <v>2347</v>
      </c>
      <c r="F2227" s="0" t="n">
        <v>4</v>
      </c>
      <c r="G2227" s="0" t="n">
        <v>0</v>
      </c>
      <c r="H2227" s="0" t="s">
        <v>585</v>
      </c>
      <c r="K2227" s="0" t="s">
        <v>613</v>
      </c>
      <c r="L2227" s="0" t="s">
        <v>4105</v>
      </c>
    </row>
    <row r="2228" customFormat="false" ht="15" hidden="false" customHeight="false" outlineLevel="0" collapsed="false">
      <c r="A2228" s="0" t="s">
        <v>69</v>
      </c>
      <c r="B2228" s="0" t="s">
        <v>266</v>
      </c>
      <c r="C2228" s="0" t="s">
        <v>1289</v>
      </c>
      <c r="D2228" s="0" t="s">
        <v>153</v>
      </c>
      <c r="E2228" s="0" t="s">
        <v>2349</v>
      </c>
      <c r="F2228" s="0" t="n">
        <v>4</v>
      </c>
      <c r="G2228" s="0" t="n">
        <v>3</v>
      </c>
      <c r="H2228" s="0" t="s">
        <v>585</v>
      </c>
      <c r="I2228" s="0" t="s">
        <v>503</v>
      </c>
      <c r="K2228" s="0" t="s">
        <v>616</v>
      </c>
      <c r="L2228" s="0" t="s">
        <v>4106</v>
      </c>
    </row>
    <row r="2229" customFormat="false" ht="15" hidden="false" customHeight="false" outlineLevel="0" collapsed="false">
      <c r="A2229" s="0" t="s">
        <v>69</v>
      </c>
      <c r="B2229" s="0" t="s">
        <v>266</v>
      </c>
      <c r="C2229" s="0" t="s">
        <v>1289</v>
      </c>
      <c r="D2229" s="0" t="s">
        <v>156</v>
      </c>
      <c r="E2229" s="0" t="s">
        <v>2351</v>
      </c>
      <c r="F2229" s="0" t="n">
        <v>4</v>
      </c>
      <c r="G2229" s="0" t="n">
        <v>0</v>
      </c>
      <c r="H2229" s="0" t="s">
        <v>585</v>
      </c>
      <c r="K2229" s="0" t="s">
        <v>620</v>
      </c>
      <c r="L2229" s="0" t="s">
        <v>4107</v>
      </c>
    </row>
    <row r="2230" customFormat="false" ht="15" hidden="false" customHeight="false" outlineLevel="0" collapsed="false">
      <c r="A2230" s="0" t="s">
        <v>69</v>
      </c>
      <c r="B2230" s="0" t="s">
        <v>266</v>
      </c>
      <c r="C2230" s="0" t="s">
        <v>1314</v>
      </c>
      <c r="D2230" s="0" t="s">
        <v>578</v>
      </c>
      <c r="E2230" s="0" t="s">
        <v>2353</v>
      </c>
      <c r="F2230" s="0" t="n">
        <v>4</v>
      </c>
      <c r="G2230" s="0" t="n">
        <v>0</v>
      </c>
      <c r="H2230" s="0" t="s">
        <v>585</v>
      </c>
      <c r="K2230" s="0" t="s">
        <v>581</v>
      </c>
      <c r="L2230" s="0" t="s">
        <v>4108</v>
      </c>
    </row>
    <row r="2231" customFormat="false" ht="15" hidden="false" customHeight="false" outlineLevel="0" collapsed="false">
      <c r="A2231" s="0" t="s">
        <v>69</v>
      </c>
      <c r="B2231" s="0" t="s">
        <v>266</v>
      </c>
      <c r="C2231" s="0" t="s">
        <v>1314</v>
      </c>
      <c r="D2231" s="0" t="s">
        <v>583</v>
      </c>
      <c r="E2231" s="0" t="s">
        <v>2355</v>
      </c>
      <c r="F2231" s="0" t="n">
        <v>4</v>
      </c>
      <c r="G2231" s="0" t="n">
        <v>4</v>
      </c>
      <c r="H2231" s="0" t="s">
        <v>580</v>
      </c>
      <c r="I2231" s="0" t="s">
        <v>503</v>
      </c>
      <c r="K2231" s="0" t="s">
        <v>586</v>
      </c>
      <c r="L2231" s="0" t="s">
        <v>4109</v>
      </c>
    </row>
    <row r="2232" customFormat="false" ht="15" hidden="false" customHeight="false" outlineLevel="0" collapsed="false">
      <c r="A2232" s="0" t="s">
        <v>69</v>
      </c>
      <c r="B2232" s="0" t="s">
        <v>266</v>
      </c>
      <c r="C2232" s="0" t="s">
        <v>1314</v>
      </c>
      <c r="D2232" s="0" t="s">
        <v>588</v>
      </c>
      <c r="E2232" s="0" t="s">
        <v>2357</v>
      </c>
      <c r="F2232" s="0" t="n">
        <v>4</v>
      </c>
      <c r="G2232" s="0" t="n">
        <v>0</v>
      </c>
      <c r="H2232" s="0" t="s">
        <v>585</v>
      </c>
      <c r="K2232" s="0" t="s">
        <v>590</v>
      </c>
      <c r="L2232" s="0" t="s">
        <v>4110</v>
      </c>
    </row>
    <row r="2233" customFormat="false" ht="15" hidden="false" customHeight="false" outlineLevel="0" collapsed="false">
      <c r="A2233" s="0" t="s">
        <v>69</v>
      </c>
      <c r="B2233" s="0" t="s">
        <v>266</v>
      </c>
      <c r="C2233" s="0" t="s">
        <v>1314</v>
      </c>
      <c r="D2233" s="0" t="s">
        <v>127</v>
      </c>
      <c r="E2233" s="0" t="s">
        <v>2359</v>
      </c>
      <c r="F2233" s="0" t="n">
        <v>4</v>
      </c>
      <c r="G2233" s="0" t="n">
        <v>0</v>
      </c>
      <c r="H2233" s="0" t="s">
        <v>585</v>
      </c>
      <c r="K2233" s="0" t="s">
        <v>594</v>
      </c>
      <c r="L2233" s="0" t="s">
        <v>4111</v>
      </c>
    </row>
    <row r="2234" customFormat="false" ht="15" hidden="false" customHeight="false" outlineLevel="0" collapsed="false">
      <c r="A2234" s="0" t="s">
        <v>69</v>
      </c>
      <c r="B2234" s="0" t="s">
        <v>266</v>
      </c>
      <c r="C2234" s="0" t="s">
        <v>1314</v>
      </c>
      <c r="D2234" s="0" t="s">
        <v>130</v>
      </c>
      <c r="E2234" s="0" t="s">
        <v>2361</v>
      </c>
      <c r="F2234" s="0" t="n">
        <v>4</v>
      </c>
      <c r="G2234" s="0" t="n">
        <v>0</v>
      </c>
      <c r="H2234" s="0" t="s">
        <v>585</v>
      </c>
      <c r="K2234" s="0" t="s">
        <v>597</v>
      </c>
      <c r="L2234" s="0" t="s">
        <v>4112</v>
      </c>
    </row>
    <row r="2235" customFormat="false" ht="15" hidden="false" customHeight="false" outlineLevel="0" collapsed="false">
      <c r="A2235" s="0" t="s">
        <v>69</v>
      </c>
      <c r="B2235" s="0" t="s">
        <v>266</v>
      </c>
      <c r="C2235" s="0" t="s">
        <v>1314</v>
      </c>
      <c r="D2235" s="0" t="s">
        <v>133</v>
      </c>
      <c r="E2235" s="0" t="s">
        <v>2363</v>
      </c>
      <c r="F2235" s="0" t="n">
        <v>4</v>
      </c>
      <c r="G2235" s="0" t="n">
        <v>0</v>
      </c>
      <c r="H2235" s="0" t="s">
        <v>585</v>
      </c>
      <c r="K2235" s="0" t="s">
        <v>600</v>
      </c>
      <c r="L2235" s="0" t="s">
        <v>4113</v>
      </c>
    </row>
    <row r="2236" customFormat="false" ht="15" hidden="false" customHeight="false" outlineLevel="0" collapsed="false">
      <c r="A2236" s="0" t="s">
        <v>69</v>
      </c>
      <c r="B2236" s="0" t="s">
        <v>266</v>
      </c>
      <c r="C2236" s="0" t="s">
        <v>1314</v>
      </c>
      <c r="D2236" s="0" t="s">
        <v>141</v>
      </c>
      <c r="E2236" s="0" t="s">
        <v>2365</v>
      </c>
      <c r="F2236" s="0" t="n">
        <v>4</v>
      </c>
      <c r="G2236" s="0" t="n">
        <v>0</v>
      </c>
      <c r="H2236" s="0" t="s">
        <v>585</v>
      </c>
      <c r="K2236" s="0" t="s">
        <v>604</v>
      </c>
      <c r="L2236" s="0" t="s">
        <v>4114</v>
      </c>
    </row>
    <row r="2237" customFormat="false" ht="15" hidden="false" customHeight="false" outlineLevel="0" collapsed="false">
      <c r="A2237" s="0" t="s">
        <v>69</v>
      </c>
      <c r="B2237" s="0" t="s">
        <v>266</v>
      </c>
      <c r="C2237" s="0" t="s">
        <v>1314</v>
      </c>
      <c r="D2237" s="0" t="s">
        <v>144</v>
      </c>
      <c r="E2237" s="0" t="s">
        <v>2367</v>
      </c>
      <c r="F2237" s="0" t="n">
        <v>4</v>
      </c>
      <c r="G2237" s="0" t="n">
        <v>3</v>
      </c>
      <c r="H2237" s="0" t="s">
        <v>585</v>
      </c>
      <c r="I2237" s="0" t="s">
        <v>500</v>
      </c>
      <c r="K2237" s="0" t="s">
        <v>607</v>
      </c>
      <c r="L2237" s="0" t="s">
        <v>4115</v>
      </c>
    </row>
    <row r="2238" customFormat="false" ht="15" hidden="false" customHeight="false" outlineLevel="0" collapsed="false">
      <c r="A2238" s="0" t="s">
        <v>69</v>
      </c>
      <c r="B2238" s="0" t="s">
        <v>266</v>
      </c>
      <c r="C2238" s="0" t="s">
        <v>1314</v>
      </c>
      <c r="D2238" s="0" t="s">
        <v>147</v>
      </c>
      <c r="E2238" s="0" t="s">
        <v>2369</v>
      </c>
      <c r="F2238" s="0" t="n">
        <v>4</v>
      </c>
      <c r="G2238" s="0" t="n">
        <v>0</v>
      </c>
      <c r="H2238" s="0" t="s">
        <v>585</v>
      </c>
      <c r="K2238" s="0" t="s">
        <v>610</v>
      </c>
      <c r="L2238" s="0" t="s">
        <v>4116</v>
      </c>
    </row>
    <row r="2239" customFormat="false" ht="15" hidden="false" customHeight="false" outlineLevel="0" collapsed="false">
      <c r="A2239" s="0" t="s">
        <v>69</v>
      </c>
      <c r="B2239" s="0" t="s">
        <v>266</v>
      </c>
      <c r="C2239" s="0" t="s">
        <v>1314</v>
      </c>
      <c r="D2239" s="0" t="s">
        <v>150</v>
      </c>
      <c r="E2239" s="0" t="s">
        <v>2371</v>
      </c>
      <c r="F2239" s="0" t="n">
        <v>4</v>
      </c>
      <c r="G2239" s="0" t="n">
        <v>1</v>
      </c>
      <c r="H2239" s="0" t="s">
        <v>585</v>
      </c>
      <c r="I2239" s="0" t="s">
        <v>503</v>
      </c>
      <c r="K2239" s="0" t="s">
        <v>613</v>
      </c>
      <c r="L2239" s="0" t="s">
        <v>4117</v>
      </c>
    </row>
    <row r="2240" customFormat="false" ht="15" hidden="false" customHeight="false" outlineLevel="0" collapsed="false">
      <c r="A2240" s="0" t="s">
        <v>69</v>
      </c>
      <c r="B2240" s="0" t="s">
        <v>266</v>
      </c>
      <c r="C2240" s="0" t="s">
        <v>1314</v>
      </c>
      <c r="D2240" s="0" t="s">
        <v>153</v>
      </c>
      <c r="E2240" s="0" t="s">
        <v>2373</v>
      </c>
      <c r="F2240" s="0" t="n">
        <v>4</v>
      </c>
      <c r="G2240" s="0" t="n">
        <v>0</v>
      </c>
      <c r="H2240" s="0" t="s">
        <v>585</v>
      </c>
      <c r="K2240" s="0" t="s">
        <v>616</v>
      </c>
      <c r="L2240" s="0" t="s">
        <v>4118</v>
      </c>
    </row>
    <row r="2241" customFormat="false" ht="15" hidden="false" customHeight="false" outlineLevel="0" collapsed="false">
      <c r="A2241" s="0" t="s">
        <v>69</v>
      </c>
      <c r="B2241" s="0" t="s">
        <v>266</v>
      </c>
      <c r="C2241" s="0" t="s">
        <v>1314</v>
      </c>
      <c r="D2241" s="0" t="s">
        <v>156</v>
      </c>
      <c r="E2241" s="0" t="s">
        <v>2375</v>
      </c>
      <c r="F2241" s="0" t="n">
        <v>4</v>
      </c>
      <c r="G2241" s="0" t="n">
        <v>0</v>
      </c>
      <c r="H2241" s="0" t="s">
        <v>585</v>
      </c>
      <c r="K2241" s="0" t="s">
        <v>620</v>
      </c>
      <c r="L2241" s="0" t="s">
        <v>4119</v>
      </c>
    </row>
    <row r="2242" customFormat="false" ht="15" hidden="false" customHeight="false" outlineLevel="0" collapsed="false">
      <c r="A2242" s="0" t="s">
        <v>69</v>
      </c>
      <c r="C2242" s="0" t="s">
        <v>1340</v>
      </c>
      <c r="D2242" s="0" t="s">
        <v>987</v>
      </c>
      <c r="E2242" s="0" t="s">
        <v>1341</v>
      </c>
      <c r="F2242" s="0" t="n">
        <v>4</v>
      </c>
      <c r="G2242" s="0" t="n">
        <v>0</v>
      </c>
      <c r="H2242" s="0" t="s">
        <v>585</v>
      </c>
      <c r="K2242" s="0" t="s">
        <v>581</v>
      </c>
      <c r="L2242" s="0" t="s">
        <v>4120</v>
      </c>
    </row>
    <row r="2243" customFormat="false" ht="15" hidden="false" customHeight="false" outlineLevel="0" collapsed="false">
      <c r="A2243" s="0" t="s">
        <v>69</v>
      </c>
      <c r="C2243" s="0" t="s">
        <v>1340</v>
      </c>
      <c r="D2243" s="0" t="s">
        <v>990</v>
      </c>
      <c r="E2243" s="0" t="s">
        <v>1343</v>
      </c>
      <c r="F2243" s="0" t="n">
        <v>4</v>
      </c>
      <c r="G2243" s="0" t="n">
        <v>0</v>
      </c>
      <c r="H2243" s="0" t="s">
        <v>585</v>
      </c>
      <c r="K2243" s="0" t="s">
        <v>586</v>
      </c>
      <c r="L2243" s="0" t="s">
        <v>4121</v>
      </c>
    </row>
    <row r="2244" customFormat="false" ht="15" hidden="false" customHeight="false" outlineLevel="0" collapsed="false">
      <c r="A2244" s="0" t="s">
        <v>69</v>
      </c>
      <c r="C2244" s="0" t="s">
        <v>1340</v>
      </c>
      <c r="D2244" s="0" t="s">
        <v>993</v>
      </c>
      <c r="E2244" s="0" t="s">
        <v>1345</v>
      </c>
      <c r="F2244" s="0" t="n">
        <v>4</v>
      </c>
      <c r="G2244" s="0" t="n">
        <v>0</v>
      </c>
      <c r="H2244" s="0" t="s">
        <v>585</v>
      </c>
      <c r="K2244" s="0" t="s">
        <v>590</v>
      </c>
      <c r="L2244" s="0" t="s">
        <v>4122</v>
      </c>
    </row>
    <row r="2245" customFormat="false" ht="15" hidden="false" customHeight="false" outlineLevel="0" collapsed="false">
      <c r="A2245" s="0" t="s">
        <v>69</v>
      </c>
      <c r="C2245" s="0" t="s">
        <v>1340</v>
      </c>
      <c r="D2245" s="0" t="s">
        <v>126</v>
      </c>
      <c r="E2245" s="0" t="s">
        <v>1347</v>
      </c>
      <c r="F2245" s="0" t="n">
        <v>4</v>
      </c>
      <c r="G2245" s="0" t="n">
        <v>0</v>
      </c>
      <c r="H2245" s="0" t="s">
        <v>585</v>
      </c>
      <c r="K2245" s="0" t="s">
        <v>594</v>
      </c>
      <c r="L2245" s="0" t="s">
        <v>4123</v>
      </c>
    </row>
    <row r="2246" customFormat="false" ht="15" hidden="false" customHeight="false" outlineLevel="0" collapsed="false">
      <c r="A2246" s="0" t="s">
        <v>69</v>
      </c>
      <c r="C2246" s="0" t="s">
        <v>1340</v>
      </c>
      <c r="D2246" s="0" t="s">
        <v>129</v>
      </c>
      <c r="E2246" s="0" t="s">
        <v>1349</v>
      </c>
      <c r="F2246" s="0" t="n">
        <v>4</v>
      </c>
      <c r="G2246" s="0" t="n">
        <v>0</v>
      </c>
      <c r="H2246" s="0" t="s">
        <v>585</v>
      </c>
      <c r="K2246" s="0" t="s">
        <v>597</v>
      </c>
      <c r="L2246" s="0" t="s">
        <v>4124</v>
      </c>
    </row>
    <row r="2247" customFormat="false" ht="15" hidden="false" customHeight="false" outlineLevel="0" collapsed="false">
      <c r="A2247" s="0" t="s">
        <v>69</v>
      </c>
      <c r="C2247" s="0" t="s">
        <v>1340</v>
      </c>
      <c r="D2247" s="0" t="s">
        <v>132</v>
      </c>
      <c r="E2247" s="0" t="s">
        <v>1351</v>
      </c>
      <c r="F2247" s="0" t="n">
        <v>4</v>
      </c>
      <c r="G2247" s="0" t="n">
        <v>0</v>
      </c>
      <c r="H2247" s="0" t="s">
        <v>585</v>
      </c>
      <c r="K2247" s="0" t="s">
        <v>600</v>
      </c>
      <c r="L2247" s="0" t="s">
        <v>4125</v>
      </c>
    </row>
    <row r="2248" customFormat="false" ht="15" hidden="false" customHeight="false" outlineLevel="0" collapsed="false">
      <c r="A2248" s="0" t="s">
        <v>69</v>
      </c>
      <c r="C2248" s="0" t="s">
        <v>1340</v>
      </c>
      <c r="D2248" s="0" t="s">
        <v>139</v>
      </c>
      <c r="E2248" s="0" t="s">
        <v>1353</v>
      </c>
      <c r="F2248" s="0" t="n">
        <v>4</v>
      </c>
      <c r="G2248" s="0" t="n">
        <v>0</v>
      </c>
      <c r="H2248" s="0" t="s">
        <v>585</v>
      </c>
      <c r="K2248" s="0" t="s">
        <v>604</v>
      </c>
      <c r="L2248" s="0" t="s">
        <v>4126</v>
      </c>
    </row>
    <row r="2249" customFormat="false" ht="15" hidden="false" customHeight="false" outlineLevel="0" collapsed="false">
      <c r="A2249" s="0" t="s">
        <v>69</v>
      </c>
      <c r="C2249" s="0" t="s">
        <v>1340</v>
      </c>
      <c r="D2249" s="0" t="s">
        <v>143</v>
      </c>
      <c r="E2249" s="0" t="s">
        <v>2384</v>
      </c>
      <c r="F2249" s="0" t="n">
        <v>4</v>
      </c>
      <c r="G2249" s="0" t="n">
        <v>0</v>
      </c>
      <c r="H2249" s="0" t="s">
        <v>585</v>
      </c>
      <c r="K2249" s="0" t="s">
        <v>607</v>
      </c>
      <c r="L2249" s="0" t="s">
        <v>4127</v>
      </c>
    </row>
    <row r="2250" customFormat="false" ht="15" hidden="false" customHeight="false" outlineLevel="0" collapsed="false">
      <c r="A2250" s="0" t="s">
        <v>69</v>
      </c>
      <c r="C2250" s="0" t="s">
        <v>1340</v>
      </c>
      <c r="D2250" s="0" t="s">
        <v>146</v>
      </c>
      <c r="E2250" s="0" t="s">
        <v>2386</v>
      </c>
      <c r="F2250" s="0" t="n">
        <v>4</v>
      </c>
      <c r="G2250" s="0" t="n">
        <v>0</v>
      </c>
      <c r="H2250" s="0" t="s">
        <v>585</v>
      </c>
      <c r="K2250" s="0" t="s">
        <v>610</v>
      </c>
      <c r="L2250" s="0" t="s">
        <v>4128</v>
      </c>
    </row>
    <row r="2251" customFormat="false" ht="15" hidden="false" customHeight="false" outlineLevel="0" collapsed="false">
      <c r="A2251" s="0" t="s">
        <v>69</v>
      </c>
      <c r="C2251" s="0" t="s">
        <v>1340</v>
      </c>
      <c r="D2251" s="0" t="s">
        <v>149</v>
      </c>
      <c r="E2251" s="0" t="s">
        <v>3019</v>
      </c>
      <c r="F2251" s="0" t="n">
        <v>4</v>
      </c>
      <c r="G2251" s="0" t="n">
        <v>0</v>
      </c>
      <c r="H2251" s="0" t="s">
        <v>585</v>
      </c>
      <c r="K2251" s="0" t="s">
        <v>613</v>
      </c>
      <c r="L2251" s="0" t="s">
        <v>4129</v>
      </c>
    </row>
    <row r="2252" customFormat="false" ht="15" hidden="false" customHeight="false" outlineLevel="0" collapsed="false">
      <c r="A2252" s="0" t="s">
        <v>69</v>
      </c>
      <c r="C2252" s="0" t="s">
        <v>1340</v>
      </c>
      <c r="D2252" s="0" t="s">
        <v>152</v>
      </c>
      <c r="E2252" s="0" t="s">
        <v>4130</v>
      </c>
      <c r="F2252" s="0" t="n">
        <v>4</v>
      </c>
      <c r="G2252" s="0" t="n">
        <v>0</v>
      </c>
      <c r="H2252" s="0" t="s">
        <v>585</v>
      </c>
      <c r="K2252" s="0" t="s">
        <v>616</v>
      </c>
      <c r="L2252" s="0" t="s">
        <v>4131</v>
      </c>
    </row>
    <row r="2253" customFormat="false" ht="15" hidden="false" customHeight="false" outlineLevel="0" collapsed="false">
      <c r="A2253" s="0" t="s">
        <v>69</v>
      </c>
      <c r="C2253" s="0" t="s">
        <v>1340</v>
      </c>
      <c r="D2253" s="0" t="s">
        <v>155</v>
      </c>
      <c r="E2253" s="0" t="s">
        <v>2391</v>
      </c>
      <c r="F2253" s="0" t="n">
        <v>4</v>
      </c>
      <c r="G2253" s="0" t="n">
        <v>0</v>
      </c>
      <c r="H2253" s="0" t="s">
        <v>585</v>
      </c>
      <c r="K2253" s="0" t="s">
        <v>620</v>
      </c>
      <c r="L2253" s="0" t="s">
        <v>4132</v>
      </c>
    </row>
    <row r="2254" customFormat="false" ht="15" hidden="false" customHeight="false" outlineLevel="0" collapsed="false">
      <c r="A2254" s="0" t="s">
        <v>69</v>
      </c>
      <c r="C2254" s="0" t="s">
        <v>1365</v>
      </c>
      <c r="D2254" s="0" t="s">
        <v>987</v>
      </c>
      <c r="E2254" s="0" t="s">
        <v>1366</v>
      </c>
      <c r="F2254" s="0" t="n">
        <v>4</v>
      </c>
      <c r="G2254" s="0" t="n">
        <v>0</v>
      </c>
      <c r="H2254" s="0" t="s">
        <v>585</v>
      </c>
      <c r="K2254" s="0" t="s">
        <v>581</v>
      </c>
      <c r="L2254" s="0" t="s">
        <v>4133</v>
      </c>
    </row>
    <row r="2255" customFormat="false" ht="15" hidden="false" customHeight="false" outlineLevel="0" collapsed="false">
      <c r="A2255" s="0" t="s">
        <v>69</v>
      </c>
      <c r="C2255" s="0" t="s">
        <v>1365</v>
      </c>
      <c r="D2255" s="0" t="s">
        <v>990</v>
      </c>
      <c r="E2255" s="0" t="s">
        <v>1368</v>
      </c>
      <c r="F2255" s="0" t="n">
        <v>4</v>
      </c>
      <c r="G2255" s="0" t="n">
        <v>0</v>
      </c>
      <c r="H2255" s="0" t="s">
        <v>585</v>
      </c>
      <c r="K2255" s="0" t="s">
        <v>586</v>
      </c>
      <c r="L2255" s="0" t="s">
        <v>4134</v>
      </c>
    </row>
    <row r="2256" customFormat="false" ht="15" hidden="false" customHeight="false" outlineLevel="0" collapsed="false">
      <c r="A2256" s="0" t="s">
        <v>69</v>
      </c>
      <c r="C2256" s="0" t="s">
        <v>1365</v>
      </c>
      <c r="D2256" s="0" t="s">
        <v>993</v>
      </c>
      <c r="E2256" s="0" t="s">
        <v>1370</v>
      </c>
      <c r="F2256" s="0" t="n">
        <v>4</v>
      </c>
      <c r="G2256" s="0" t="n">
        <v>0</v>
      </c>
      <c r="H2256" s="0" t="s">
        <v>585</v>
      </c>
      <c r="K2256" s="0" t="s">
        <v>590</v>
      </c>
      <c r="L2256" s="0" t="s">
        <v>4135</v>
      </c>
    </row>
    <row r="2257" customFormat="false" ht="15" hidden="false" customHeight="false" outlineLevel="0" collapsed="false">
      <c r="A2257" s="0" t="s">
        <v>69</v>
      </c>
      <c r="C2257" s="0" t="s">
        <v>1365</v>
      </c>
      <c r="D2257" s="0" t="s">
        <v>126</v>
      </c>
      <c r="E2257" s="0" t="s">
        <v>1372</v>
      </c>
      <c r="F2257" s="0" t="n">
        <v>4</v>
      </c>
      <c r="G2257" s="0" t="n">
        <v>0</v>
      </c>
      <c r="H2257" s="0" t="s">
        <v>585</v>
      </c>
      <c r="K2257" s="0" t="s">
        <v>594</v>
      </c>
      <c r="L2257" s="0" t="s">
        <v>4136</v>
      </c>
    </row>
    <row r="2258" customFormat="false" ht="15" hidden="false" customHeight="false" outlineLevel="0" collapsed="false">
      <c r="A2258" s="0" t="s">
        <v>69</v>
      </c>
      <c r="C2258" s="0" t="s">
        <v>1365</v>
      </c>
      <c r="D2258" s="0" t="s">
        <v>129</v>
      </c>
      <c r="E2258" s="0" t="s">
        <v>1374</v>
      </c>
      <c r="F2258" s="0" t="n">
        <v>4</v>
      </c>
      <c r="G2258" s="0" t="n">
        <v>0</v>
      </c>
      <c r="H2258" s="0" t="s">
        <v>585</v>
      </c>
      <c r="K2258" s="0" t="s">
        <v>597</v>
      </c>
      <c r="L2258" s="0" t="s">
        <v>4137</v>
      </c>
    </row>
    <row r="2259" customFormat="false" ht="15" hidden="false" customHeight="false" outlineLevel="0" collapsed="false">
      <c r="A2259" s="0" t="s">
        <v>69</v>
      </c>
      <c r="C2259" s="0" t="s">
        <v>1365</v>
      </c>
      <c r="D2259" s="0" t="s">
        <v>132</v>
      </c>
      <c r="E2259" s="0" t="s">
        <v>1376</v>
      </c>
      <c r="F2259" s="0" t="n">
        <v>4</v>
      </c>
      <c r="G2259" s="0" t="n">
        <v>0</v>
      </c>
      <c r="H2259" s="0" t="s">
        <v>585</v>
      </c>
      <c r="K2259" s="0" t="s">
        <v>600</v>
      </c>
      <c r="L2259" s="0" t="s">
        <v>4138</v>
      </c>
    </row>
    <row r="2260" customFormat="false" ht="15" hidden="false" customHeight="false" outlineLevel="0" collapsed="false">
      <c r="A2260" s="0" t="s">
        <v>69</v>
      </c>
      <c r="C2260" s="0" t="s">
        <v>1365</v>
      </c>
      <c r="D2260" s="0" t="s">
        <v>139</v>
      </c>
      <c r="E2260" s="0" t="s">
        <v>1378</v>
      </c>
      <c r="F2260" s="0" t="n">
        <v>4</v>
      </c>
      <c r="G2260" s="0" t="n">
        <v>0</v>
      </c>
      <c r="H2260" s="0" t="s">
        <v>585</v>
      </c>
      <c r="K2260" s="0" t="s">
        <v>604</v>
      </c>
      <c r="L2260" s="0" t="s">
        <v>4139</v>
      </c>
    </row>
    <row r="2261" customFormat="false" ht="15" hidden="false" customHeight="false" outlineLevel="0" collapsed="false">
      <c r="A2261" s="0" t="s">
        <v>69</v>
      </c>
      <c r="C2261" s="0" t="s">
        <v>1365</v>
      </c>
      <c r="D2261" s="0" t="s">
        <v>143</v>
      </c>
      <c r="E2261" s="0" t="s">
        <v>2400</v>
      </c>
      <c r="F2261" s="0" t="n">
        <v>4</v>
      </c>
      <c r="G2261" s="0" t="n">
        <v>0</v>
      </c>
      <c r="H2261" s="0" t="s">
        <v>585</v>
      </c>
      <c r="K2261" s="0" t="s">
        <v>607</v>
      </c>
      <c r="L2261" s="0" t="s">
        <v>4140</v>
      </c>
    </row>
    <row r="2262" customFormat="false" ht="15" hidden="false" customHeight="false" outlineLevel="0" collapsed="false">
      <c r="A2262" s="0" t="s">
        <v>69</v>
      </c>
      <c r="C2262" s="0" t="s">
        <v>1365</v>
      </c>
      <c r="D2262" s="0" t="s">
        <v>146</v>
      </c>
      <c r="E2262" s="0" t="s">
        <v>1382</v>
      </c>
      <c r="F2262" s="0" t="n">
        <v>4</v>
      </c>
      <c r="G2262" s="0" t="n">
        <v>0</v>
      </c>
      <c r="H2262" s="0" t="s">
        <v>585</v>
      </c>
      <c r="K2262" s="0" t="s">
        <v>610</v>
      </c>
      <c r="L2262" s="0" t="s">
        <v>4141</v>
      </c>
    </row>
    <row r="2263" customFormat="false" ht="15" hidden="false" customHeight="false" outlineLevel="0" collapsed="false">
      <c r="A2263" s="0" t="s">
        <v>69</v>
      </c>
      <c r="C2263" s="0" t="s">
        <v>1365</v>
      </c>
      <c r="D2263" s="0" t="s">
        <v>149</v>
      </c>
      <c r="E2263" s="0" t="s">
        <v>2404</v>
      </c>
      <c r="F2263" s="0" t="n">
        <v>4</v>
      </c>
      <c r="G2263" s="0" t="n">
        <v>0</v>
      </c>
      <c r="H2263" s="0" t="s">
        <v>585</v>
      </c>
      <c r="K2263" s="0" t="s">
        <v>613</v>
      </c>
      <c r="L2263" s="0" t="s">
        <v>4142</v>
      </c>
    </row>
    <row r="2264" customFormat="false" ht="15" hidden="false" customHeight="false" outlineLevel="0" collapsed="false">
      <c r="A2264" s="0" t="s">
        <v>69</v>
      </c>
      <c r="C2264" s="0" t="s">
        <v>1365</v>
      </c>
      <c r="D2264" s="0" t="s">
        <v>152</v>
      </c>
      <c r="E2264" s="0" t="s">
        <v>4143</v>
      </c>
      <c r="F2264" s="0" t="n">
        <v>4</v>
      </c>
      <c r="G2264" s="0" t="n">
        <v>0</v>
      </c>
      <c r="H2264" s="0" t="s">
        <v>585</v>
      </c>
      <c r="K2264" s="0" t="s">
        <v>616</v>
      </c>
      <c r="L2264" s="0" t="s">
        <v>4144</v>
      </c>
    </row>
    <row r="2265" customFormat="false" ht="15" hidden="false" customHeight="false" outlineLevel="0" collapsed="false">
      <c r="A2265" s="0" t="s">
        <v>69</v>
      </c>
      <c r="C2265" s="0" t="s">
        <v>1365</v>
      </c>
      <c r="D2265" s="0" t="s">
        <v>155</v>
      </c>
      <c r="E2265" s="0" t="s">
        <v>4145</v>
      </c>
      <c r="F2265" s="0" t="n">
        <v>4</v>
      </c>
      <c r="G2265" s="0" t="n">
        <v>0</v>
      </c>
      <c r="H2265" s="0" t="s">
        <v>585</v>
      </c>
      <c r="K2265" s="0" t="s">
        <v>620</v>
      </c>
      <c r="L2265" s="0" t="s">
        <v>4146</v>
      </c>
    </row>
    <row r="2266" customFormat="false" ht="15" hidden="false" customHeight="false" outlineLevel="0" collapsed="false">
      <c r="A2266" s="0" t="s">
        <v>69</v>
      </c>
      <c r="C2266" s="0" t="s">
        <v>1390</v>
      </c>
      <c r="D2266" s="0" t="s">
        <v>987</v>
      </c>
      <c r="E2266" s="0" t="s">
        <v>1391</v>
      </c>
      <c r="F2266" s="0" t="n">
        <v>4</v>
      </c>
      <c r="G2266" s="0" t="n">
        <v>0</v>
      </c>
      <c r="H2266" s="0" t="s">
        <v>585</v>
      </c>
      <c r="K2266" s="0" t="s">
        <v>581</v>
      </c>
      <c r="L2266" s="0" t="s">
        <v>4147</v>
      </c>
    </row>
    <row r="2267" customFormat="false" ht="15" hidden="false" customHeight="false" outlineLevel="0" collapsed="false">
      <c r="A2267" s="0" t="s">
        <v>69</v>
      </c>
      <c r="C2267" s="0" t="s">
        <v>1390</v>
      </c>
      <c r="D2267" s="0" t="s">
        <v>990</v>
      </c>
      <c r="E2267" s="0" t="s">
        <v>1393</v>
      </c>
      <c r="F2267" s="0" t="n">
        <v>4</v>
      </c>
      <c r="G2267" s="0" t="n">
        <v>0</v>
      </c>
      <c r="H2267" s="0" t="s">
        <v>585</v>
      </c>
      <c r="K2267" s="0" t="s">
        <v>586</v>
      </c>
      <c r="L2267" s="0" t="s">
        <v>4148</v>
      </c>
    </row>
    <row r="2268" customFormat="false" ht="15" hidden="false" customHeight="false" outlineLevel="0" collapsed="false">
      <c r="A2268" s="0" t="s">
        <v>69</v>
      </c>
      <c r="C2268" s="0" t="s">
        <v>1390</v>
      </c>
      <c r="D2268" s="0" t="s">
        <v>993</v>
      </c>
      <c r="E2268" s="0" t="s">
        <v>1395</v>
      </c>
      <c r="F2268" s="0" t="n">
        <v>4</v>
      </c>
      <c r="G2268" s="0" t="n">
        <v>0</v>
      </c>
      <c r="H2268" s="0" t="s">
        <v>585</v>
      </c>
      <c r="K2268" s="0" t="s">
        <v>590</v>
      </c>
      <c r="L2268" s="0" t="s">
        <v>4149</v>
      </c>
    </row>
    <row r="2269" customFormat="false" ht="15" hidden="false" customHeight="false" outlineLevel="0" collapsed="false">
      <c r="A2269" s="0" t="s">
        <v>69</v>
      </c>
      <c r="C2269" s="0" t="s">
        <v>1390</v>
      </c>
      <c r="D2269" s="0" t="s">
        <v>126</v>
      </c>
      <c r="E2269" s="0" t="s">
        <v>1397</v>
      </c>
      <c r="F2269" s="0" t="n">
        <v>4</v>
      </c>
      <c r="G2269" s="0" t="n">
        <v>0</v>
      </c>
      <c r="H2269" s="0" t="s">
        <v>585</v>
      </c>
      <c r="K2269" s="0" t="s">
        <v>594</v>
      </c>
      <c r="L2269" s="0" t="s">
        <v>4150</v>
      </c>
    </row>
    <row r="2270" customFormat="false" ht="15" hidden="false" customHeight="false" outlineLevel="0" collapsed="false">
      <c r="A2270" s="0" t="s">
        <v>69</v>
      </c>
      <c r="C2270" s="0" t="s">
        <v>1390</v>
      </c>
      <c r="D2270" s="0" t="s">
        <v>129</v>
      </c>
      <c r="E2270" s="0" t="s">
        <v>1399</v>
      </c>
      <c r="F2270" s="0" t="n">
        <v>4</v>
      </c>
      <c r="G2270" s="0" t="n">
        <v>0</v>
      </c>
      <c r="H2270" s="0" t="s">
        <v>585</v>
      </c>
      <c r="K2270" s="0" t="s">
        <v>597</v>
      </c>
      <c r="L2270" s="0" t="s">
        <v>4151</v>
      </c>
    </row>
    <row r="2271" customFormat="false" ht="15" hidden="false" customHeight="false" outlineLevel="0" collapsed="false">
      <c r="A2271" s="0" t="s">
        <v>69</v>
      </c>
      <c r="C2271" s="0" t="s">
        <v>1390</v>
      </c>
      <c r="D2271" s="0" t="s">
        <v>132</v>
      </c>
      <c r="E2271" s="0" t="s">
        <v>1401</v>
      </c>
      <c r="F2271" s="0" t="n">
        <v>4</v>
      </c>
      <c r="G2271" s="0" t="n">
        <v>0</v>
      </c>
      <c r="H2271" s="0" t="s">
        <v>585</v>
      </c>
      <c r="K2271" s="0" t="s">
        <v>600</v>
      </c>
      <c r="L2271" s="0" t="s">
        <v>4152</v>
      </c>
    </row>
    <row r="2272" customFormat="false" ht="15" hidden="false" customHeight="false" outlineLevel="0" collapsed="false">
      <c r="A2272" s="0" t="s">
        <v>69</v>
      </c>
      <c r="C2272" s="0" t="s">
        <v>1390</v>
      </c>
      <c r="D2272" s="0" t="s">
        <v>139</v>
      </c>
      <c r="E2272" s="0" t="s">
        <v>2414</v>
      </c>
      <c r="F2272" s="0" t="n">
        <v>4</v>
      </c>
      <c r="G2272" s="0" t="n">
        <v>0</v>
      </c>
      <c r="H2272" s="0" t="s">
        <v>585</v>
      </c>
      <c r="K2272" s="0" t="s">
        <v>604</v>
      </c>
      <c r="L2272" s="0" t="s">
        <v>4153</v>
      </c>
    </row>
    <row r="2273" customFormat="false" ht="15" hidden="false" customHeight="false" outlineLevel="0" collapsed="false">
      <c r="A2273" s="0" t="s">
        <v>69</v>
      </c>
      <c r="C2273" s="0" t="s">
        <v>1390</v>
      </c>
      <c r="D2273" s="0" t="s">
        <v>143</v>
      </c>
      <c r="E2273" s="0" t="s">
        <v>1405</v>
      </c>
      <c r="F2273" s="0" t="n">
        <v>4</v>
      </c>
      <c r="G2273" s="0" t="n">
        <v>0</v>
      </c>
      <c r="H2273" s="0" t="s">
        <v>585</v>
      </c>
      <c r="K2273" s="0" t="s">
        <v>607</v>
      </c>
      <c r="L2273" s="0" t="s">
        <v>4154</v>
      </c>
    </row>
    <row r="2274" customFormat="false" ht="15" hidden="false" customHeight="false" outlineLevel="0" collapsed="false">
      <c r="A2274" s="0" t="s">
        <v>69</v>
      </c>
      <c r="C2274" s="0" t="s">
        <v>1390</v>
      </c>
      <c r="D2274" s="0" t="s">
        <v>146</v>
      </c>
      <c r="E2274" s="0" t="s">
        <v>1407</v>
      </c>
      <c r="F2274" s="0" t="n">
        <v>4</v>
      </c>
      <c r="G2274" s="0" t="n">
        <v>0</v>
      </c>
      <c r="H2274" s="0" t="s">
        <v>585</v>
      </c>
      <c r="K2274" s="0" t="s">
        <v>610</v>
      </c>
      <c r="L2274" s="0" t="s">
        <v>4155</v>
      </c>
    </row>
    <row r="2275" customFormat="false" ht="15" hidden="false" customHeight="false" outlineLevel="0" collapsed="false">
      <c r="A2275" s="0" t="s">
        <v>69</v>
      </c>
      <c r="C2275" s="0" t="s">
        <v>1390</v>
      </c>
      <c r="D2275" s="0" t="s">
        <v>149</v>
      </c>
      <c r="E2275" s="0" t="s">
        <v>4156</v>
      </c>
      <c r="F2275" s="0" t="n">
        <v>4</v>
      </c>
      <c r="G2275" s="0" t="n">
        <v>0</v>
      </c>
      <c r="H2275" s="0" t="s">
        <v>585</v>
      </c>
      <c r="K2275" s="0" t="s">
        <v>613</v>
      </c>
      <c r="L2275" s="0" t="s">
        <v>4157</v>
      </c>
    </row>
    <row r="2276" customFormat="false" ht="15" hidden="false" customHeight="false" outlineLevel="0" collapsed="false">
      <c r="A2276" s="0" t="s">
        <v>69</v>
      </c>
      <c r="C2276" s="0" t="s">
        <v>1390</v>
      </c>
      <c r="D2276" s="0" t="s">
        <v>152</v>
      </c>
      <c r="E2276" s="0" t="s">
        <v>2420</v>
      </c>
      <c r="F2276" s="0" t="n">
        <v>4</v>
      </c>
      <c r="G2276" s="0" t="n">
        <v>0</v>
      </c>
      <c r="H2276" s="0" t="s">
        <v>585</v>
      </c>
      <c r="K2276" s="0" t="s">
        <v>616</v>
      </c>
      <c r="L2276" s="0" t="s">
        <v>4158</v>
      </c>
    </row>
    <row r="2277" customFormat="false" ht="15" hidden="false" customHeight="false" outlineLevel="0" collapsed="false">
      <c r="A2277" s="0" t="s">
        <v>69</v>
      </c>
      <c r="C2277" s="0" t="s">
        <v>1390</v>
      </c>
      <c r="D2277" s="0" t="s">
        <v>155</v>
      </c>
      <c r="E2277" s="0" t="s">
        <v>3054</v>
      </c>
      <c r="F2277" s="0" t="n">
        <v>4</v>
      </c>
      <c r="G2277" s="0" t="n">
        <v>0</v>
      </c>
      <c r="H2277" s="0" t="s">
        <v>585</v>
      </c>
      <c r="K2277" s="0" t="s">
        <v>620</v>
      </c>
      <c r="L2277" s="0" t="s">
        <v>4159</v>
      </c>
    </row>
    <row r="2278" customFormat="false" ht="15" hidden="false" customHeight="false" outlineLevel="0" collapsed="false">
      <c r="A2278" s="0" t="s">
        <v>69</v>
      </c>
      <c r="C2278" s="0" t="s">
        <v>1415</v>
      </c>
      <c r="D2278" s="0" t="s">
        <v>987</v>
      </c>
      <c r="E2278" s="0" t="s">
        <v>1416</v>
      </c>
      <c r="F2278" s="0" t="n">
        <v>4</v>
      </c>
      <c r="G2278" s="0" t="n">
        <v>0</v>
      </c>
      <c r="H2278" s="0" t="s">
        <v>585</v>
      </c>
      <c r="K2278" s="0" t="s">
        <v>581</v>
      </c>
      <c r="L2278" s="0" t="s">
        <v>4160</v>
      </c>
    </row>
    <row r="2279" customFormat="false" ht="15" hidden="false" customHeight="false" outlineLevel="0" collapsed="false">
      <c r="A2279" s="0" t="s">
        <v>69</v>
      </c>
      <c r="C2279" s="0" t="s">
        <v>1415</v>
      </c>
      <c r="D2279" s="0" t="s">
        <v>990</v>
      </c>
      <c r="E2279" s="0" t="s">
        <v>1418</v>
      </c>
      <c r="F2279" s="0" t="n">
        <v>4</v>
      </c>
      <c r="G2279" s="0" t="n">
        <v>0</v>
      </c>
      <c r="H2279" s="0" t="s">
        <v>585</v>
      </c>
      <c r="K2279" s="0" t="s">
        <v>586</v>
      </c>
      <c r="L2279" s="0" t="s">
        <v>4161</v>
      </c>
    </row>
    <row r="2280" customFormat="false" ht="15" hidden="false" customHeight="false" outlineLevel="0" collapsed="false">
      <c r="A2280" s="0" t="s">
        <v>69</v>
      </c>
      <c r="C2280" s="0" t="s">
        <v>1415</v>
      </c>
      <c r="D2280" s="0" t="s">
        <v>993</v>
      </c>
      <c r="E2280" s="0" t="s">
        <v>1420</v>
      </c>
      <c r="F2280" s="0" t="n">
        <v>4</v>
      </c>
      <c r="G2280" s="0" t="n">
        <v>0</v>
      </c>
      <c r="H2280" s="0" t="s">
        <v>585</v>
      </c>
      <c r="K2280" s="0" t="s">
        <v>590</v>
      </c>
      <c r="L2280" s="0" t="s">
        <v>4162</v>
      </c>
    </row>
    <row r="2281" customFormat="false" ht="15" hidden="false" customHeight="false" outlineLevel="0" collapsed="false">
      <c r="A2281" s="0" t="s">
        <v>69</v>
      </c>
      <c r="C2281" s="0" t="s">
        <v>1415</v>
      </c>
      <c r="D2281" s="0" t="s">
        <v>126</v>
      </c>
      <c r="E2281" s="0" t="s">
        <v>1422</v>
      </c>
      <c r="F2281" s="0" t="n">
        <v>4</v>
      </c>
      <c r="G2281" s="0" t="n">
        <v>0</v>
      </c>
      <c r="H2281" s="0" t="s">
        <v>585</v>
      </c>
      <c r="K2281" s="0" t="s">
        <v>594</v>
      </c>
      <c r="L2281" s="0" t="s">
        <v>4163</v>
      </c>
    </row>
    <row r="2282" customFormat="false" ht="15" hidden="false" customHeight="false" outlineLevel="0" collapsed="false">
      <c r="A2282" s="0" t="s">
        <v>69</v>
      </c>
      <c r="C2282" s="0" t="s">
        <v>1415</v>
      </c>
      <c r="D2282" s="0" t="s">
        <v>129</v>
      </c>
      <c r="E2282" s="0" t="s">
        <v>1424</v>
      </c>
      <c r="F2282" s="0" t="n">
        <v>4</v>
      </c>
      <c r="G2282" s="0" t="n">
        <v>0</v>
      </c>
      <c r="H2282" s="0" t="s">
        <v>585</v>
      </c>
      <c r="K2282" s="0" t="s">
        <v>597</v>
      </c>
      <c r="L2282" s="0" t="s">
        <v>4164</v>
      </c>
    </row>
    <row r="2283" customFormat="false" ht="15" hidden="false" customHeight="false" outlineLevel="0" collapsed="false">
      <c r="A2283" s="0" t="s">
        <v>69</v>
      </c>
      <c r="C2283" s="0" t="s">
        <v>1415</v>
      </c>
      <c r="D2283" s="0" t="s">
        <v>132</v>
      </c>
      <c r="E2283" s="0" t="s">
        <v>1426</v>
      </c>
      <c r="F2283" s="0" t="n">
        <v>4</v>
      </c>
      <c r="G2283" s="0" t="n">
        <v>0</v>
      </c>
      <c r="H2283" s="0" t="s">
        <v>585</v>
      </c>
      <c r="K2283" s="0" t="s">
        <v>600</v>
      </c>
      <c r="L2283" s="0" t="s">
        <v>4165</v>
      </c>
    </row>
    <row r="2284" customFormat="false" ht="15" hidden="false" customHeight="false" outlineLevel="0" collapsed="false">
      <c r="A2284" s="0" t="s">
        <v>69</v>
      </c>
      <c r="C2284" s="0" t="s">
        <v>1415</v>
      </c>
      <c r="D2284" s="0" t="s">
        <v>139</v>
      </c>
      <c r="E2284" s="0" t="s">
        <v>3063</v>
      </c>
      <c r="F2284" s="0" t="n">
        <v>4</v>
      </c>
      <c r="G2284" s="0" t="n">
        <v>0</v>
      </c>
      <c r="H2284" s="0" t="s">
        <v>585</v>
      </c>
      <c r="K2284" s="0" t="s">
        <v>604</v>
      </c>
      <c r="L2284" s="0" t="s">
        <v>4166</v>
      </c>
    </row>
    <row r="2285" customFormat="false" ht="15" hidden="false" customHeight="false" outlineLevel="0" collapsed="false">
      <c r="A2285" s="0" t="s">
        <v>69</v>
      </c>
      <c r="C2285" s="0" t="s">
        <v>1415</v>
      </c>
      <c r="D2285" s="0" t="s">
        <v>143</v>
      </c>
      <c r="E2285" s="0" t="s">
        <v>2430</v>
      </c>
      <c r="F2285" s="0" t="n">
        <v>4</v>
      </c>
      <c r="G2285" s="0" t="n">
        <v>0</v>
      </c>
      <c r="H2285" s="0" t="s">
        <v>585</v>
      </c>
      <c r="K2285" s="0" t="s">
        <v>607</v>
      </c>
      <c r="L2285" s="0" t="s">
        <v>4167</v>
      </c>
    </row>
    <row r="2286" customFormat="false" ht="15" hidden="false" customHeight="false" outlineLevel="0" collapsed="false">
      <c r="A2286" s="0" t="s">
        <v>69</v>
      </c>
      <c r="C2286" s="0" t="s">
        <v>1415</v>
      </c>
      <c r="D2286" s="0" t="s">
        <v>146</v>
      </c>
      <c r="E2286" s="0" t="s">
        <v>1432</v>
      </c>
      <c r="F2286" s="0" t="n">
        <v>4</v>
      </c>
      <c r="G2286" s="0" t="n">
        <v>0</v>
      </c>
      <c r="H2286" s="0" t="s">
        <v>585</v>
      </c>
      <c r="K2286" s="0" t="s">
        <v>610</v>
      </c>
      <c r="L2286" s="0" t="s">
        <v>4168</v>
      </c>
    </row>
    <row r="2287" customFormat="false" ht="15" hidden="false" customHeight="false" outlineLevel="0" collapsed="false">
      <c r="A2287" s="0" t="s">
        <v>69</v>
      </c>
      <c r="C2287" s="0" t="s">
        <v>1415</v>
      </c>
      <c r="D2287" s="0" t="s">
        <v>149</v>
      </c>
      <c r="E2287" s="0" t="s">
        <v>2433</v>
      </c>
      <c r="F2287" s="0" t="n">
        <v>4</v>
      </c>
      <c r="G2287" s="0" t="n">
        <v>0</v>
      </c>
      <c r="H2287" s="0" t="s">
        <v>585</v>
      </c>
      <c r="K2287" s="0" t="s">
        <v>613</v>
      </c>
      <c r="L2287" s="0" t="s">
        <v>4169</v>
      </c>
    </row>
    <row r="2288" customFormat="false" ht="15" hidden="false" customHeight="false" outlineLevel="0" collapsed="false">
      <c r="A2288" s="0" t="s">
        <v>69</v>
      </c>
      <c r="C2288" s="0" t="s">
        <v>1415</v>
      </c>
      <c r="D2288" s="0" t="s">
        <v>152</v>
      </c>
      <c r="E2288" s="0" t="s">
        <v>2435</v>
      </c>
      <c r="F2288" s="0" t="n">
        <v>4</v>
      </c>
      <c r="G2288" s="0" t="n">
        <v>0</v>
      </c>
      <c r="H2288" s="0" t="s">
        <v>585</v>
      </c>
      <c r="K2288" s="0" t="s">
        <v>616</v>
      </c>
      <c r="L2288" s="0" t="s">
        <v>4170</v>
      </c>
    </row>
    <row r="2289" customFormat="false" ht="15" hidden="false" customHeight="false" outlineLevel="0" collapsed="false">
      <c r="A2289" s="0" t="s">
        <v>69</v>
      </c>
      <c r="C2289" s="0" t="s">
        <v>1415</v>
      </c>
      <c r="D2289" s="0" t="s">
        <v>155</v>
      </c>
      <c r="E2289" s="0" t="s">
        <v>2437</v>
      </c>
      <c r="F2289" s="0" t="n">
        <v>4</v>
      </c>
      <c r="G2289" s="0" t="n">
        <v>0</v>
      </c>
      <c r="H2289" s="0" t="s">
        <v>585</v>
      </c>
      <c r="K2289" s="0" t="s">
        <v>620</v>
      </c>
      <c r="L2289" s="0" t="s">
        <v>4171</v>
      </c>
    </row>
    <row r="2290" customFormat="false" ht="15" hidden="false" customHeight="false" outlineLevel="0" collapsed="false">
      <c r="A2290" s="0" t="s">
        <v>69</v>
      </c>
      <c r="C2290" s="0" t="s">
        <v>1440</v>
      </c>
      <c r="D2290" s="0" t="s">
        <v>987</v>
      </c>
      <c r="E2290" s="0" t="s">
        <v>1441</v>
      </c>
      <c r="F2290" s="0" t="n">
        <v>4</v>
      </c>
      <c r="G2290" s="0" t="n">
        <v>0</v>
      </c>
      <c r="H2290" s="0" t="s">
        <v>585</v>
      </c>
      <c r="K2290" s="0" t="s">
        <v>581</v>
      </c>
      <c r="L2290" s="0" t="s">
        <v>4172</v>
      </c>
    </row>
    <row r="2291" customFormat="false" ht="15" hidden="false" customHeight="false" outlineLevel="0" collapsed="false">
      <c r="A2291" s="0" t="s">
        <v>69</v>
      </c>
      <c r="C2291" s="0" t="s">
        <v>1440</v>
      </c>
      <c r="D2291" s="0" t="s">
        <v>990</v>
      </c>
      <c r="E2291" s="0" t="s">
        <v>1443</v>
      </c>
      <c r="F2291" s="0" t="n">
        <v>4</v>
      </c>
      <c r="G2291" s="0" t="n">
        <v>0</v>
      </c>
      <c r="H2291" s="0" t="s">
        <v>585</v>
      </c>
      <c r="K2291" s="0" t="s">
        <v>586</v>
      </c>
      <c r="L2291" s="0" t="s">
        <v>4173</v>
      </c>
    </row>
    <row r="2292" customFormat="false" ht="15" hidden="false" customHeight="false" outlineLevel="0" collapsed="false">
      <c r="A2292" s="0" t="s">
        <v>69</v>
      </c>
      <c r="C2292" s="0" t="s">
        <v>1440</v>
      </c>
      <c r="D2292" s="0" t="s">
        <v>993</v>
      </c>
      <c r="E2292" s="0" t="s">
        <v>1445</v>
      </c>
      <c r="F2292" s="0" t="n">
        <v>4</v>
      </c>
      <c r="G2292" s="0" t="n">
        <v>0</v>
      </c>
      <c r="H2292" s="0" t="s">
        <v>585</v>
      </c>
      <c r="K2292" s="0" t="s">
        <v>590</v>
      </c>
      <c r="L2292" s="0" t="s">
        <v>4174</v>
      </c>
    </row>
    <row r="2293" customFormat="false" ht="15" hidden="false" customHeight="false" outlineLevel="0" collapsed="false">
      <c r="A2293" s="0" t="s">
        <v>69</v>
      </c>
      <c r="C2293" s="0" t="s">
        <v>1440</v>
      </c>
      <c r="D2293" s="0" t="s">
        <v>126</v>
      </c>
      <c r="E2293" s="0" t="s">
        <v>1447</v>
      </c>
      <c r="F2293" s="0" t="n">
        <v>4</v>
      </c>
      <c r="G2293" s="0" t="n">
        <v>0</v>
      </c>
      <c r="H2293" s="0" t="s">
        <v>585</v>
      </c>
      <c r="K2293" s="0" t="s">
        <v>594</v>
      </c>
      <c r="L2293" s="0" t="s">
        <v>4175</v>
      </c>
    </row>
    <row r="2294" customFormat="false" ht="15" hidden="false" customHeight="false" outlineLevel="0" collapsed="false">
      <c r="A2294" s="0" t="s">
        <v>69</v>
      </c>
      <c r="C2294" s="0" t="s">
        <v>1440</v>
      </c>
      <c r="D2294" s="0" t="s">
        <v>129</v>
      </c>
      <c r="E2294" s="0" t="s">
        <v>2443</v>
      </c>
      <c r="F2294" s="0" t="n">
        <v>4</v>
      </c>
      <c r="G2294" s="0" t="n">
        <v>0</v>
      </c>
      <c r="H2294" s="0" t="s">
        <v>585</v>
      </c>
      <c r="K2294" s="0" t="s">
        <v>597</v>
      </c>
      <c r="L2294" s="0" t="s">
        <v>4176</v>
      </c>
    </row>
    <row r="2295" customFormat="false" ht="15" hidden="false" customHeight="false" outlineLevel="0" collapsed="false">
      <c r="A2295" s="0" t="s">
        <v>69</v>
      </c>
      <c r="C2295" s="0" t="s">
        <v>1440</v>
      </c>
      <c r="D2295" s="0" t="s">
        <v>132</v>
      </c>
      <c r="E2295" s="0" t="s">
        <v>1451</v>
      </c>
      <c r="F2295" s="0" t="n">
        <v>4</v>
      </c>
      <c r="G2295" s="0" t="n">
        <v>0</v>
      </c>
      <c r="H2295" s="0" t="s">
        <v>585</v>
      </c>
      <c r="K2295" s="0" t="s">
        <v>600</v>
      </c>
      <c r="L2295" s="0" t="s">
        <v>4177</v>
      </c>
    </row>
    <row r="2296" customFormat="false" ht="15" hidden="false" customHeight="false" outlineLevel="0" collapsed="false">
      <c r="A2296" s="0" t="s">
        <v>69</v>
      </c>
      <c r="C2296" s="0" t="s">
        <v>1440</v>
      </c>
      <c r="D2296" s="0" t="s">
        <v>139</v>
      </c>
      <c r="E2296" s="0" t="s">
        <v>3080</v>
      </c>
      <c r="F2296" s="0" t="n">
        <v>4</v>
      </c>
      <c r="G2296" s="0" t="n">
        <v>0</v>
      </c>
      <c r="H2296" s="0" t="s">
        <v>585</v>
      </c>
      <c r="K2296" s="0" t="s">
        <v>604</v>
      </c>
      <c r="L2296" s="0" t="s">
        <v>4178</v>
      </c>
    </row>
    <row r="2297" customFormat="false" ht="15" hidden="false" customHeight="false" outlineLevel="0" collapsed="false">
      <c r="A2297" s="0" t="s">
        <v>69</v>
      </c>
      <c r="C2297" s="0" t="s">
        <v>1440</v>
      </c>
      <c r="D2297" s="0" t="s">
        <v>143</v>
      </c>
      <c r="E2297" s="0" t="s">
        <v>4179</v>
      </c>
      <c r="F2297" s="0" t="n">
        <v>4</v>
      </c>
      <c r="G2297" s="0" t="n">
        <v>0</v>
      </c>
      <c r="H2297" s="0" t="s">
        <v>585</v>
      </c>
      <c r="K2297" s="0" t="s">
        <v>607</v>
      </c>
      <c r="L2297" s="0" t="s">
        <v>4180</v>
      </c>
    </row>
    <row r="2298" customFormat="false" ht="15" hidden="false" customHeight="false" outlineLevel="0" collapsed="false">
      <c r="A2298" s="0" t="s">
        <v>69</v>
      </c>
      <c r="C2298" s="0" t="s">
        <v>1440</v>
      </c>
      <c r="D2298" s="0" t="s">
        <v>146</v>
      </c>
      <c r="E2298" s="0" t="s">
        <v>4181</v>
      </c>
      <c r="F2298" s="0" t="n">
        <v>4</v>
      </c>
      <c r="G2298" s="0" t="n">
        <v>0</v>
      </c>
      <c r="H2298" s="0" t="s">
        <v>585</v>
      </c>
      <c r="K2298" s="0" t="s">
        <v>610</v>
      </c>
      <c r="L2298" s="0" t="s">
        <v>4182</v>
      </c>
    </row>
    <row r="2299" customFormat="false" ht="15" hidden="false" customHeight="false" outlineLevel="0" collapsed="false">
      <c r="A2299" s="0" t="s">
        <v>69</v>
      </c>
      <c r="C2299" s="0" t="s">
        <v>1440</v>
      </c>
      <c r="D2299" s="0" t="s">
        <v>149</v>
      </c>
      <c r="E2299" s="0" t="s">
        <v>4183</v>
      </c>
      <c r="F2299" s="0" t="n">
        <v>4</v>
      </c>
      <c r="G2299" s="0" t="n">
        <v>0</v>
      </c>
      <c r="H2299" s="0" t="s">
        <v>585</v>
      </c>
      <c r="K2299" s="0" t="s">
        <v>613</v>
      </c>
      <c r="L2299" s="0" t="s">
        <v>4184</v>
      </c>
    </row>
    <row r="2300" customFormat="false" ht="15" hidden="false" customHeight="false" outlineLevel="0" collapsed="false">
      <c r="A2300" s="0" t="s">
        <v>69</v>
      </c>
      <c r="C2300" s="0" t="s">
        <v>1440</v>
      </c>
      <c r="D2300" s="0" t="s">
        <v>152</v>
      </c>
      <c r="E2300" s="0" t="s">
        <v>4185</v>
      </c>
      <c r="F2300" s="0" t="n">
        <v>4</v>
      </c>
      <c r="G2300" s="0" t="n">
        <v>0</v>
      </c>
      <c r="H2300" s="0" t="s">
        <v>585</v>
      </c>
      <c r="K2300" s="0" t="s">
        <v>616</v>
      </c>
      <c r="L2300" s="0" t="s">
        <v>4186</v>
      </c>
    </row>
    <row r="2301" customFormat="false" ht="15" hidden="false" customHeight="false" outlineLevel="0" collapsed="false">
      <c r="A2301" s="0" t="s">
        <v>69</v>
      </c>
      <c r="C2301" s="0" t="s">
        <v>1440</v>
      </c>
      <c r="D2301" s="0" t="s">
        <v>155</v>
      </c>
      <c r="E2301" s="0" t="s">
        <v>4187</v>
      </c>
      <c r="F2301" s="0" t="n">
        <v>4</v>
      </c>
      <c r="G2301" s="0" t="n">
        <v>0</v>
      </c>
      <c r="H2301" s="0" t="s">
        <v>585</v>
      </c>
      <c r="K2301" s="0" t="s">
        <v>620</v>
      </c>
      <c r="L2301" s="0" t="s">
        <v>4188</v>
      </c>
    </row>
    <row r="2302" customFormat="false" ht="15" hidden="false" customHeight="false" outlineLevel="0" collapsed="false">
      <c r="A2302" s="0" t="s">
        <v>69</v>
      </c>
      <c r="C2302" s="0" t="s">
        <v>1465</v>
      </c>
      <c r="D2302" s="0" t="s">
        <v>987</v>
      </c>
      <c r="E2302" s="0" t="s">
        <v>1466</v>
      </c>
      <c r="F2302" s="0" t="n">
        <v>4</v>
      </c>
      <c r="G2302" s="0" t="n">
        <v>0</v>
      </c>
      <c r="H2302" s="0" t="s">
        <v>585</v>
      </c>
      <c r="K2302" s="0" t="s">
        <v>581</v>
      </c>
      <c r="L2302" s="0" t="s">
        <v>4189</v>
      </c>
    </row>
    <row r="2303" customFormat="false" ht="15" hidden="false" customHeight="false" outlineLevel="0" collapsed="false">
      <c r="A2303" s="0" t="s">
        <v>69</v>
      </c>
      <c r="C2303" s="0" t="s">
        <v>1465</v>
      </c>
      <c r="D2303" s="0" t="s">
        <v>990</v>
      </c>
      <c r="E2303" s="0" t="s">
        <v>4190</v>
      </c>
      <c r="F2303" s="0" t="n">
        <v>4</v>
      </c>
      <c r="G2303" s="0" t="n">
        <v>0</v>
      </c>
      <c r="H2303" s="0" t="s">
        <v>585</v>
      </c>
      <c r="K2303" s="0" t="s">
        <v>586</v>
      </c>
      <c r="L2303" s="0" t="s">
        <v>4191</v>
      </c>
    </row>
    <row r="2304" customFormat="false" ht="15" hidden="false" customHeight="false" outlineLevel="0" collapsed="false">
      <c r="A2304" s="0" t="s">
        <v>69</v>
      </c>
      <c r="C2304" s="0" t="s">
        <v>1465</v>
      </c>
      <c r="D2304" s="0" t="s">
        <v>993</v>
      </c>
      <c r="E2304" s="0" t="s">
        <v>4192</v>
      </c>
      <c r="F2304" s="0" t="n">
        <v>4</v>
      </c>
      <c r="G2304" s="0" t="n">
        <v>0</v>
      </c>
      <c r="H2304" s="0" t="s">
        <v>585</v>
      </c>
      <c r="K2304" s="0" t="s">
        <v>590</v>
      </c>
      <c r="L2304" s="0" t="s">
        <v>4193</v>
      </c>
    </row>
    <row r="2305" customFormat="false" ht="15" hidden="false" customHeight="false" outlineLevel="0" collapsed="false">
      <c r="A2305" s="0" t="s">
        <v>69</v>
      </c>
      <c r="C2305" s="0" t="s">
        <v>1465</v>
      </c>
      <c r="D2305" s="0" t="s">
        <v>126</v>
      </c>
      <c r="E2305" s="0" t="s">
        <v>4194</v>
      </c>
      <c r="F2305" s="0" t="n">
        <v>4</v>
      </c>
      <c r="G2305" s="0" t="n">
        <v>0</v>
      </c>
      <c r="H2305" s="0" t="s">
        <v>585</v>
      </c>
      <c r="K2305" s="0" t="s">
        <v>594</v>
      </c>
      <c r="L2305" s="0" t="s">
        <v>4195</v>
      </c>
    </row>
    <row r="2306" customFormat="false" ht="15" hidden="false" customHeight="false" outlineLevel="0" collapsed="false">
      <c r="A2306" s="0" t="s">
        <v>69</v>
      </c>
      <c r="C2306" s="0" t="s">
        <v>1465</v>
      </c>
      <c r="D2306" s="0" t="s">
        <v>129</v>
      </c>
      <c r="E2306" s="0" t="s">
        <v>4196</v>
      </c>
      <c r="F2306" s="0" t="n">
        <v>4</v>
      </c>
      <c r="G2306" s="0" t="n">
        <v>0</v>
      </c>
      <c r="H2306" s="0" t="s">
        <v>585</v>
      </c>
      <c r="K2306" s="0" t="s">
        <v>597</v>
      </c>
      <c r="L2306" s="0" t="s">
        <v>4197</v>
      </c>
    </row>
    <row r="2307" customFormat="false" ht="15" hidden="false" customHeight="false" outlineLevel="0" collapsed="false">
      <c r="A2307" s="0" t="s">
        <v>69</v>
      </c>
      <c r="C2307" s="0" t="s">
        <v>1465</v>
      </c>
      <c r="D2307" s="0" t="s">
        <v>132</v>
      </c>
      <c r="E2307" s="0" t="s">
        <v>4198</v>
      </c>
      <c r="F2307" s="0" t="n">
        <v>4</v>
      </c>
      <c r="G2307" s="0" t="n">
        <v>0</v>
      </c>
      <c r="H2307" s="0" t="s">
        <v>585</v>
      </c>
      <c r="K2307" s="0" t="s">
        <v>600</v>
      </c>
      <c r="L2307" s="0" t="s">
        <v>4199</v>
      </c>
    </row>
    <row r="2308" customFormat="false" ht="15" hidden="false" customHeight="false" outlineLevel="0" collapsed="false">
      <c r="A2308" s="0" t="s">
        <v>69</v>
      </c>
      <c r="C2308" s="0" t="s">
        <v>1465</v>
      </c>
      <c r="D2308" s="0" t="s">
        <v>139</v>
      </c>
      <c r="E2308" s="0" t="s">
        <v>3103</v>
      </c>
      <c r="F2308" s="0" t="n">
        <v>4</v>
      </c>
      <c r="G2308" s="0" t="n">
        <v>0</v>
      </c>
      <c r="H2308" s="0" t="s">
        <v>585</v>
      </c>
      <c r="K2308" s="0" t="s">
        <v>604</v>
      </c>
      <c r="L2308" s="0" t="s">
        <v>4200</v>
      </c>
    </row>
    <row r="2309" customFormat="false" ht="15" hidden="false" customHeight="false" outlineLevel="0" collapsed="false">
      <c r="A2309" s="0" t="s">
        <v>69</v>
      </c>
      <c r="C2309" s="0" t="s">
        <v>1465</v>
      </c>
      <c r="D2309" s="0" t="s">
        <v>143</v>
      </c>
      <c r="E2309" s="0" t="s">
        <v>4201</v>
      </c>
      <c r="F2309" s="0" t="n">
        <v>4</v>
      </c>
      <c r="G2309" s="0" t="n">
        <v>0</v>
      </c>
      <c r="H2309" s="0" t="s">
        <v>585</v>
      </c>
      <c r="K2309" s="0" t="s">
        <v>607</v>
      </c>
      <c r="L2309" s="0" t="s">
        <v>4202</v>
      </c>
    </row>
    <row r="2310" customFormat="false" ht="15" hidden="false" customHeight="false" outlineLevel="0" collapsed="false">
      <c r="A2310" s="0" t="s">
        <v>69</v>
      </c>
      <c r="C2310" s="0" t="s">
        <v>1465</v>
      </c>
      <c r="D2310" s="0" t="s">
        <v>146</v>
      </c>
      <c r="E2310" s="0" t="s">
        <v>3107</v>
      </c>
      <c r="F2310" s="0" t="n">
        <v>4</v>
      </c>
      <c r="G2310" s="0" t="n">
        <v>0</v>
      </c>
      <c r="H2310" s="0" t="s">
        <v>585</v>
      </c>
      <c r="K2310" s="0" t="s">
        <v>610</v>
      </c>
      <c r="L2310" s="0" t="s">
        <v>4203</v>
      </c>
    </row>
    <row r="2311" customFormat="false" ht="15" hidden="false" customHeight="false" outlineLevel="0" collapsed="false">
      <c r="A2311" s="0" t="s">
        <v>69</v>
      </c>
      <c r="C2311" s="0" t="s">
        <v>1465</v>
      </c>
      <c r="D2311" s="0" t="s">
        <v>149</v>
      </c>
      <c r="E2311" s="0" t="s">
        <v>4204</v>
      </c>
      <c r="F2311" s="0" t="n">
        <v>4</v>
      </c>
      <c r="G2311" s="0" t="n">
        <v>0</v>
      </c>
      <c r="H2311" s="0" t="s">
        <v>585</v>
      </c>
      <c r="K2311" s="0" t="s">
        <v>613</v>
      </c>
      <c r="L2311" s="0" t="s">
        <v>4205</v>
      </c>
    </row>
    <row r="2312" customFormat="false" ht="15" hidden="false" customHeight="false" outlineLevel="0" collapsed="false">
      <c r="A2312" s="0" t="s">
        <v>69</v>
      </c>
      <c r="C2312" s="0" t="s">
        <v>1465</v>
      </c>
      <c r="D2312" s="0" t="s">
        <v>152</v>
      </c>
      <c r="E2312" s="0" t="s">
        <v>3111</v>
      </c>
      <c r="F2312" s="0" t="n">
        <v>4</v>
      </c>
      <c r="G2312" s="0" t="n">
        <v>0</v>
      </c>
      <c r="H2312" s="0" t="s">
        <v>585</v>
      </c>
      <c r="K2312" s="0" t="s">
        <v>616</v>
      </c>
      <c r="L2312" s="0" t="s">
        <v>4206</v>
      </c>
    </row>
    <row r="2313" customFormat="false" ht="15" hidden="false" customHeight="false" outlineLevel="0" collapsed="false">
      <c r="A2313" s="0" t="s">
        <v>69</v>
      </c>
      <c r="C2313" s="0" t="s">
        <v>1465</v>
      </c>
      <c r="D2313" s="0" t="s">
        <v>155</v>
      </c>
      <c r="E2313" s="0" t="s">
        <v>4207</v>
      </c>
      <c r="F2313" s="0" t="n">
        <v>4</v>
      </c>
      <c r="G2313" s="0" t="n">
        <v>0</v>
      </c>
      <c r="H2313" s="0" t="s">
        <v>585</v>
      </c>
      <c r="K2313" s="0" t="s">
        <v>620</v>
      </c>
      <c r="L2313" s="0" t="s">
        <v>4208</v>
      </c>
    </row>
    <row r="2314" customFormat="false" ht="15" hidden="false" customHeight="false" outlineLevel="0" collapsed="false">
      <c r="A2314" s="0" t="s">
        <v>69</v>
      </c>
      <c r="C2314" s="0" t="s">
        <v>1490</v>
      </c>
      <c r="D2314" s="0" t="s">
        <v>987</v>
      </c>
      <c r="E2314" s="0" t="s">
        <v>1491</v>
      </c>
      <c r="F2314" s="0" t="n">
        <v>4</v>
      </c>
      <c r="G2314" s="0" t="n">
        <v>0</v>
      </c>
      <c r="H2314" s="0" t="s">
        <v>585</v>
      </c>
      <c r="K2314" s="0" t="s">
        <v>581</v>
      </c>
      <c r="L2314" s="0" t="s">
        <v>4209</v>
      </c>
    </row>
    <row r="2315" customFormat="false" ht="15" hidden="false" customHeight="false" outlineLevel="0" collapsed="false">
      <c r="A2315" s="0" t="s">
        <v>69</v>
      </c>
      <c r="C2315" s="0" t="s">
        <v>1490</v>
      </c>
      <c r="D2315" s="0" t="s">
        <v>990</v>
      </c>
      <c r="E2315" s="0" t="s">
        <v>3116</v>
      </c>
      <c r="F2315" s="0" t="n">
        <v>4</v>
      </c>
      <c r="G2315" s="0" t="n">
        <v>0</v>
      </c>
      <c r="H2315" s="0" t="s">
        <v>585</v>
      </c>
      <c r="K2315" s="0" t="s">
        <v>586</v>
      </c>
      <c r="L2315" s="0" t="s">
        <v>4210</v>
      </c>
    </row>
    <row r="2316" customFormat="false" ht="15" hidden="false" customHeight="false" outlineLevel="0" collapsed="false">
      <c r="A2316" s="0" t="s">
        <v>69</v>
      </c>
      <c r="C2316" s="0" t="s">
        <v>1490</v>
      </c>
      <c r="D2316" s="0" t="s">
        <v>993</v>
      </c>
      <c r="E2316" s="0" t="s">
        <v>4211</v>
      </c>
      <c r="F2316" s="0" t="n">
        <v>4</v>
      </c>
      <c r="G2316" s="0" t="n">
        <v>0</v>
      </c>
      <c r="H2316" s="0" t="s">
        <v>585</v>
      </c>
      <c r="K2316" s="0" t="s">
        <v>590</v>
      </c>
      <c r="L2316" s="0" t="s">
        <v>4212</v>
      </c>
    </row>
    <row r="2317" customFormat="false" ht="15" hidden="false" customHeight="false" outlineLevel="0" collapsed="false">
      <c r="A2317" s="0" t="s">
        <v>69</v>
      </c>
      <c r="C2317" s="0" t="s">
        <v>1490</v>
      </c>
      <c r="D2317" s="0" t="s">
        <v>126</v>
      </c>
      <c r="E2317" s="0" t="s">
        <v>4213</v>
      </c>
      <c r="F2317" s="0" t="n">
        <v>4</v>
      </c>
      <c r="G2317" s="0" t="n">
        <v>0</v>
      </c>
      <c r="H2317" s="0" t="s">
        <v>585</v>
      </c>
      <c r="K2317" s="0" t="s">
        <v>594</v>
      </c>
      <c r="L2317" s="0" t="s">
        <v>4214</v>
      </c>
    </row>
    <row r="2318" customFormat="false" ht="15" hidden="false" customHeight="false" outlineLevel="0" collapsed="false">
      <c r="A2318" s="0" t="s">
        <v>69</v>
      </c>
      <c r="C2318" s="0" t="s">
        <v>1490</v>
      </c>
      <c r="D2318" s="0" t="s">
        <v>129</v>
      </c>
      <c r="E2318" s="0" t="s">
        <v>3122</v>
      </c>
      <c r="F2318" s="0" t="n">
        <v>4</v>
      </c>
      <c r="G2318" s="0" t="n">
        <v>0</v>
      </c>
      <c r="H2318" s="0" t="s">
        <v>585</v>
      </c>
      <c r="K2318" s="0" t="s">
        <v>597</v>
      </c>
      <c r="L2318" s="0" t="s">
        <v>4215</v>
      </c>
    </row>
    <row r="2319" customFormat="false" ht="15" hidden="false" customHeight="false" outlineLevel="0" collapsed="false">
      <c r="A2319" s="0" t="s">
        <v>69</v>
      </c>
      <c r="C2319" s="0" t="s">
        <v>1490</v>
      </c>
      <c r="D2319" s="0" t="s">
        <v>132</v>
      </c>
      <c r="E2319" s="0" t="s">
        <v>1501</v>
      </c>
      <c r="F2319" s="0" t="n">
        <v>4</v>
      </c>
      <c r="G2319" s="0" t="n">
        <v>0</v>
      </c>
      <c r="H2319" s="0" t="s">
        <v>585</v>
      </c>
      <c r="K2319" s="0" t="s">
        <v>600</v>
      </c>
      <c r="L2319" s="0" t="s">
        <v>4216</v>
      </c>
    </row>
    <row r="2320" customFormat="false" ht="15" hidden="false" customHeight="false" outlineLevel="0" collapsed="false">
      <c r="A2320" s="0" t="s">
        <v>69</v>
      </c>
      <c r="C2320" s="0" t="s">
        <v>1490</v>
      </c>
      <c r="D2320" s="0" t="s">
        <v>139</v>
      </c>
      <c r="E2320" s="0" t="s">
        <v>3125</v>
      </c>
      <c r="F2320" s="0" t="n">
        <v>4</v>
      </c>
      <c r="G2320" s="0" t="n">
        <v>0</v>
      </c>
      <c r="H2320" s="0" t="s">
        <v>585</v>
      </c>
      <c r="K2320" s="0" t="s">
        <v>604</v>
      </c>
      <c r="L2320" s="0" t="s">
        <v>4217</v>
      </c>
    </row>
    <row r="2321" customFormat="false" ht="15" hidden="false" customHeight="false" outlineLevel="0" collapsed="false">
      <c r="A2321" s="0" t="s">
        <v>69</v>
      </c>
      <c r="C2321" s="0" t="s">
        <v>1490</v>
      </c>
      <c r="D2321" s="0" t="s">
        <v>143</v>
      </c>
      <c r="E2321" s="0" t="s">
        <v>3127</v>
      </c>
      <c r="F2321" s="0" t="n">
        <v>4</v>
      </c>
      <c r="G2321" s="0" t="n">
        <v>0</v>
      </c>
      <c r="H2321" s="0" t="s">
        <v>585</v>
      </c>
      <c r="K2321" s="0" t="s">
        <v>607</v>
      </c>
      <c r="L2321" s="0" t="s">
        <v>4218</v>
      </c>
    </row>
    <row r="2322" customFormat="false" ht="15" hidden="false" customHeight="false" outlineLevel="0" collapsed="false">
      <c r="A2322" s="0" t="s">
        <v>69</v>
      </c>
      <c r="C2322" s="0" t="s">
        <v>1490</v>
      </c>
      <c r="D2322" s="0" t="s">
        <v>146</v>
      </c>
      <c r="E2322" s="0" t="s">
        <v>3129</v>
      </c>
      <c r="F2322" s="0" t="n">
        <v>4</v>
      </c>
      <c r="G2322" s="0" t="n">
        <v>0</v>
      </c>
      <c r="H2322" s="0" t="s">
        <v>585</v>
      </c>
      <c r="K2322" s="0" t="s">
        <v>610</v>
      </c>
      <c r="L2322" s="0" t="s">
        <v>4219</v>
      </c>
    </row>
    <row r="2323" customFormat="false" ht="15" hidden="false" customHeight="false" outlineLevel="0" collapsed="false">
      <c r="A2323" s="0" t="s">
        <v>69</v>
      </c>
      <c r="C2323" s="0" t="s">
        <v>1490</v>
      </c>
      <c r="D2323" s="0" t="s">
        <v>149</v>
      </c>
      <c r="E2323" s="0" t="s">
        <v>3131</v>
      </c>
      <c r="F2323" s="0" t="n">
        <v>4</v>
      </c>
      <c r="G2323" s="0" t="n">
        <v>0</v>
      </c>
      <c r="H2323" s="0" t="s">
        <v>585</v>
      </c>
      <c r="K2323" s="0" t="s">
        <v>613</v>
      </c>
      <c r="L2323" s="0" t="s">
        <v>4220</v>
      </c>
    </row>
    <row r="2324" customFormat="false" ht="15" hidden="false" customHeight="false" outlineLevel="0" collapsed="false">
      <c r="A2324" s="0" t="s">
        <v>69</v>
      </c>
      <c r="C2324" s="0" t="s">
        <v>1490</v>
      </c>
      <c r="D2324" s="0" t="s">
        <v>152</v>
      </c>
      <c r="E2324" s="0" t="s">
        <v>4221</v>
      </c>
      <c r="F2324" s="0" t="n">
        <v>4</v>
      </c>
      <c r="G2324" s="0" t="n">
        <v>0</v>
      </c>
      <c r="H2324" s="0" t="s">
        <v>585</v>
      </c>
      <c r="K2324" s="0" t="s">
        <v>616</v>
      </c>
      <c r="L2324" s="0" t="s">
        <v>4222</v>
      </c>
    </row>
    <row r="2325" customFormat="false" ht="15" hidden="false" customHeight="false" outlineLevel="0" collapsed="false">
      <c r="A2325" s="0" t="s">
        <v>69</v>
      </c>
      <c r="C2325" s="0" t="s">
        <v>1490</v>
      </c>
      <c r="D2325" s="0" t="s">
        <v>155</v>
      </c>
      <c r="E2325" s="0" t="s">
        <v>1513</v>
      </c>
      <c r="F2325" s="0" t="n">
        <v>4</v>
      </c>
      <c r="G2325" s="0" t="n">
        <v>0</v>
      </c>
      <c r="H2325" s="0" t="s">
        <v>585</v>
      </c>
      <c r="K2325" s="0" t="s">
        <v>620</v>
      </c>
      <c r="L2325" s="0" t="s">
        <v>4223</v>
      </c>
    </row>
    <row r="2326" customFormat="false" ht="15" hidden="false" customHeight="false" outlineLevel="0" collapsed="false">
      <c r="A2326" s="0" t="s">
        <v>69</v>
      </c>
      <c r="C2326" s="0" t="s">
        <v>1515</v>
      </c>
      <c r="D2326" s="0" t="s">
        <v>987</v>
      </c>
      <c r="E2326" s="0" t="s">
        <v>1516</v>
      </c>
      <c r="F2326" s="0" t="n">
        <v>0</v>
      </c>
      <c r="G2326" s="0" t="n">
        <v>0</v>
      </c>
      <c r="H2326" s="0" t="s">
        <v>580</v>
      </c>
      <c r="K2326" s="0" t="s">
        <v>581</v>
      </c>
      <c r="L2326" s="0" t="s">
        <v>4224</v>
      </c>
    </row>
    <row r="2327" customFormat="false" ht="15" hidden="false" customHeight="false" outlineLevel="0" collapsed="false">
      <c r="A2327" s="0" t="s">
        <v>69</v>
      </c>
      <c r="C2327" s="0" t="s">
        <v>1515</v>
      </c>
      <c r="D2327" s="0" t="s">
        <v>990</v>
      </c>
      <c r="E2327" s="0" t="s">
        <v>1518</v>
      </c>
      <c r="F2327" s="0" t="n">
        <v>0</v>
      </c>
      <c r="G2327" s="0" t="n">
        <v>0</v>
      </c>
      <c r="H2327" s="0" t="s">
        <v>580</v>
      </c>
      <c r="K2327" s="0" t="s">
        <v>586</v>
      </c>
      <c r="L2327" s="0" t="s">
        <v>4225</v>
      </c>
    </row>
    <row r="2328" customFormat="false" ht="15" hidden="false" customHeight="false" outlineLevel="0" collapsed="false">
      <c r="A2328" s="0" t="s">
        <v>69</v>
      </c>
      <c r="C2328" s="0" t="s">
        <v>1515</v>
      </c>
      <c r="D2328" s="0" t="s">
        <v>993</v>
      </c>
      <c r="E2328" s="0" t="s">
        <v>1520</v>
      </c>
      <c r="F2328" s="0" t="n">
        <v>0</v>
      </c>
      <c r="G2328" s="0" t="n">
        <v>0</v>
      </c>
      <c r="H2328" s="0" t="s">
        <v>580</v>
      </c>
      <c r="K2328" s="0" t="s">
        <v>590</v>
      </c>
      <c r="L2328" s="0" t="s">
        <v>4226</v>
      </c>
    </row>
    <row r="2329" customFormat="false" ht="15" hidden="false" customHeight="false" outlineLevel="0" collapsed="false">
      <c r="A2329" s="0" t="s">
        <v>69</v>
      </c>
      <c r="C2329" s="0" t="s">
        <v>1515</v>
      </c>
      <c r="D2329" s="0" t="s">
        <v>126</v>
      </c>
      <c r="E2329" s="0" t="s">
        <v>1522</v>
      </c>
      <c r="F2329" s="0" t="n">
        <v>0</v>
      </c>
      <c r="G2329" s="0" t="n">
        <v>0</v>
      </c>
      <c r="H2329" s="0" t="s">
        <v>580</v>
      </c>
      <c r="K2329" s="0" t="s">
        <v>594</v>
      </c>
      <c r="L2329" s="0" t="s">
        <v>4227</v>
      </c>
    </row>
    <row r="2330" customFormat="false" ht="15" hidden="false" customHeight="false" outlineLevel="0" collapsed="false">
      <c r="A2330" s="0" t="s">
        <v>69</v>
      </c>
      <c r="C2330" s="0" t="s">
        <v>1515</v>
      </c>
      <c r="D2330" s="0" t="s">
        <v>129</v>
      </c>
      <c r="E2330" s="0" t="s">
        <v>1524</v>
      </c>
      <c r="F2330" s="0" t="n">
        <v>0</v>
      </c>
      <c r="G2330" s="0" t="n">
        <v>0</v>
      </c>
      <c r="H2330" s="0" t="s">
        <v>580</v>
      </c>
      <c r="K2330" s="0" t="s">
        <v>597</v>
      </c>
      <c r="L2330" s="0" t="s">
        <v>4228</v>
      </c>
    </row>
    <row r="2331" customFormat="false" ht="15" hidden="false" customHeight="false" outlineLevel="0" collapsed="false">
      <c r="A2331" s="0" t="s">
        <v>69</v>
      </c>
      <c r="C2331" s="0" t="s">
        <v>1515</v>
      </c>
      <c r="D2331" s="0" t="s">
        <v>132</v>
      </c>
      <c r="E2331" s="0" t="s">
        <v>1526</v>
      </c>
      <c r="F2331" s="0" t="n">
        <v>0</v>
      </c>
      <c r="G2331" s="0" t="n">
        <v>0</v>
      </c>
      <c r="H2331" s="0" t="s">
        <v>580</v>
      </c>
      <c r="K2331" s="0" t="s">
        <v>600</v>
      </c>
      <c r="L2331" s="0" t="s">
        <v>4229</v>
      </c>
    </row>
    <row r="2332" customFormat="false" ht="15" hidden="false" customHeight="false" outlineLevel="0" collapsed="false">
      <c r="A2332" s="0" t="s">
        <v>69</v>
      </c>
      <c r="C2332" s="0" t="s">
        <v>1515</v>
      </c>
      <c r="D2332" s="0" t="s">
        <v>139</v>
      </c>
      <c r="E2332" s="0" t="s">
        <v>1528</v>
      </c>
      <c r="F2332" s="0" t="n">
        <v>0</v>
      </c>
      <c r="G2332" s="0" t="n">
        <v>0</v>
      </c>
      <c r="H2332" s="0" t="s">
        <v>580</v>
      </c>
      <c r="K2332" s="0" t="s">
        <v>604</v>
      </c>
      <c r="L2332" s="0" t="s">
        <v>4230</v>
      </c>
    </row>
    <row r="2333" customFormat="false" ht="15" hidden="false" customHeight="false" outlineLevel="0" collapsed="false">
      <c r="A2333" s="0" t="s">
        <v>69</v>
      </c>
      <c r="C2333" s="0" t="s">
        <v>1515</v>
      </c>
      <c r="D2333" s="0" t="s">
        <v>143</v>
      </c>
      <c r="E2333" s="0" t="s">
        <v>1530</v>
      </c>
      <c r="F2333" s="0" t="n">
        <v>0</v>
      </c>
      <c r="G2333" s="0" t="n">
        <v>0</v>
      </c>
      <c r="H2333" s="0" t="s">
        <v>580</v>
      </c>
      <c r="K2333" s="0" t="s">
        <v>607</v>
      </c>
      <c r="L2333" s="0" t="s">
        <v>4231</v>
      </c>
    </row>
    <row r="2334" customFormat="false" ht="15" hidden="false" customHeight="false" outlineLevel="0" collapsed="false">
      <c r="A2334" s="0" t="s">
        <v>69</v>
      </c>
      <c r="C2334" s="0" t="s">
        <v>1515</v>
      </c>
      <c r="D2334" s="0" t="s">
        <v>146</v>
      </c>
      <c r="E2334" s="0" t="s">
        <v>1532</v>
      </c>
      <c r="F2334" s="0" t="n">
        <v>0</v>
      </c>
      <c r="G2334" s="0" t="n">
        <v>0</v>
      </c>
      <c r="H2334" s="0" t="s">
        <v>580</v>
      </c>
      <c r="K2334" s="0" t="s">
        <v>610</v>
      </c>
      <c r="L2334" s="0" t="s">
        <v>4232</v>
      </c>
    </row>
    <row r="2335" customFormat="false" ht="15" hidden="false" customHeight="false" outlineLevel="0" collapsed="false">
      <c r="A2335" s="0" t="s">
        <v>69</v>
      </c>
      <c r="C2335" s="0" t="s">
        <v>1515</v>
      </c>
      <c r="D2335" s="0" t="s">
        <v>149</v>
      </c>
      <c r="E2335" s="0" t="s">
        <v>2499</v>
      </c>
      <c r="F2335" s="0" t="n">
        <v>0</v>
      </c>
      <c r="G2335" s="0" t="n">
        <v>0</v>
      </c>
      <c r="H2335" s="0" t="s">
        <v>580</v>
      </c>
      <c r="K2335" s="0" t="s">
        <v>613</v>
      </c>
      <c r="L2335" s="0" t="s">
        <v>4233</v>
      </c>
    </row>
    <row r="2336" customFormat="false" ht="15" hidden="false" customHeight="false" outlineLevel="0" collapsed="false">
      <c r="A2336" s="0" t="s">
        <v>69</v>
      </c>
      <c r="C2336" s="0" t="s">
        <v>1515</v>
      </c>
      <c r="D2336" s="0" t="s">
        <v>152</v>
      </c>
      <c r="E2336" s="0" t="s">
        <v>2501</v>
      </c>
      <c r="F2336" s="0" t="n">
        <v>0</v>
      </c>
      <c r="G2336" s="0" t="n">
        <v>0</v>
      </c>
      <c r="H2336" s="0" t="s">
        <v>580</v>
      </c>
      <c r="K2336" s="0" t="s">
        <v>616</v>
      </c>
      <c r="L2336" s="0" t="s">
        <v>4234</v>
      </c>
    </row>
    <row r="2337" customFormat="false" ht="15" hidden="false" customHeight="false" outlineLevel="0" collapsed="false">
      <c r="A2337" s="0" t="s">
        <v>69</v>
      </c>
      <c r="C2337" s="0" t="s">
        <v>1515</v>
      </c>
      <c r="D2337" s="0" t="s">
        <v>155</v>
      </c>
      <c r="E2337" s="0" t="s">
        <v>2503</v>
      </c>
      <c r="F2337" s="0" t="n">
        <v>0</v>
      </c>
      <c r="G2337" s="0" t="n">
        <v>0</v>
      </c>
      <c r="H2337" s="0" t="s">
        <v>580</v>
      </c>
      <c r="K2337" s="0" t="s">
        <v>620</v>
      </c>
      <c r="L2337" s="0" t="s">
        <v>4235</v>
      </c>
    </row>
    <row r="2338" customFormat="false" ht="15" hidden="false" customHeight="false" outlineLevel="0" collapsed="false">
      <c r="A2338" s="0" t="s">
        <v>69</v>
      </c>
      <c r="C2338" s="0" t="s">
        <v>1540</v>
      </c>
      <c r="D2338" s="0" t="s">
        <v>987</v>
      </c>
      <c r="E2338" s="0" t="s">
        <v>1541</v>
      </c>
      <c r="F2338" s="0" t="n">
        <v>0</v>
      </c>
      <c r="G2338" s="0" t="n">
        <v>0</v>
      </c>
      <c r="H2338" s="0" t="s">
        <v>580</v>
      </c>
      <c r="K2338" s="0" t="s">
        <v>581</v>
      </c>
      <c r="L2338" s="0" t="s">
        <v>4236</v>
      </c>
    </row>
    <row r="2339" customFormat="false" ht="15" hidden="false" customHeight="false" outlineLevel="0" collapsed="false">
      <c r="A2339" s="0" t="s">
        <v>69</v>
      </c>
      <c r="C2339" s="0" t="s">
        <v>1540</v>
      </c>
      <c r="D2339" s="0" t="s">
        <v>990</v>
      </c>
      <c r="E2339" s="0" t="s">
        <v>1543</v>
      </c>
      <c r="F2339" s="0" t="n">
        <v>0</v>
      </c>
      <c r="G2339" s="0" t="n">
        <v>0</v>
      </c>
      <c r="H2339" s="0" t="s">
        <v>580</v>
      </c>
      <c r="K2339" s="0" t="s">
        <v>586</v>
      </c>
      <c r="L2339" s="0" t="s">
        <v>4237</v>
      </c>
    </row>
    <row r="2340" customFormat="false" ht="15" hidden="false" customHeight="false" outlineLevel="0" collapsed="false">
      <c r="A2340" s="0" t="s">
        <v>69</v>
      </c>
      <c r="C2340" s="0" t="s">
        <v>1540</v>
      </c>
      <c r="D2340" s="0" t="s">
        <v>993</v>
      </c>
      <c r="E2340" s="0" t="s">
        <v>1545</v>
      </c>
      <c r="F2340" s="0" t="n">
        <v>0</v>
      </c>
      <c r="G2340" s="0" t="n">
        <v>0</v>
      </c>
      <c r="H2340" s="0" t="s">
        <v>580</v>
      </c>
      <c r="K2340" s="0" t="s">
        <v>590</v>
      </c>
      <c r="L2340" s="0" t="s">
        <v>4238</v>
      </c>
    </row>
    <row r="2341" customFormat="false" ht="15" hidden="false" customHeight="false" outlineLevel="0" collapsed="false">
      <c r="A2341" s="0" t="s">
        <v>69</v>
      </c>
      <c r="C2341" s="0" t="s">
        <v>1540</v>
      </c>
      <c r="D2341" s="0" t="s">
        <v>126</v>
      </c>
      <c r="E2341" s="0" t="s">
        <v>1547</v>
      </c>
      <c r="F2341" s="0" t="n">
        <v>0</v>
      </c>
      <c r="G2341" s="0" t="n">
        <v>0</v>
      </c>
      <c r="H2341" s="0" t="s">
        <v>580</v>
      </c>
      <c r="K2341" s="0" t="s">
        <v>594</v>
      </c>
      <c r="L2341" s="0" t="s">
        <v>4239</v>
      </c>
    </row>
    <row r="2342" customFormat="false" ht="15" hidden="false" customHeight="false" outlineLevel="0" collapsed="false">
      <c r="A2342" s="0" t="s">
        <v>69</v>
      </c>
      <c r="C2342" s="0" t="s">
        <v>1540</v>
      </c>
      <c r="D2342" s="0" t="s">
        <v>129</v>
      </c>
      <c r="E2342" s="0" t="s">
        <v>1549</v>
      </c>
      <c r="F2342" s="0" t="n">
        <v>0</v>
      </c>
      <c r="G2342" s="0" t="n">
        <v>0</v>
      </c>
      <c r="H2342" s="0" t="s">
        <v>580</v>
      </c>
      <c r="K2342" s="0" t="s">
        <v>597</v>
      </c>
      <c r="L2342" s="0" t="s">
        <v>4240</v>
      </c>
    </row>
    <row r="2343" customFormat="false" ht="15" hidden="false" customHeight="false" outlineLevel="0" collapsed="false">
      <c r="A2343" s="0" t="s">
        <v>69</v>
      </c>
      <c r="C2343" s="0" t="s">
        <v>1540</v>
      </c>
      <c r="D2343" s="0" t="s">
        <v>132</v>
      </c>
      <c r="E2343" s="0" t="s">
        <v>1551</v>
      </c>
      <c r="F2343" s="0" t="n">
        <v>0</v>
      </c>
      <c r="G2343" s="0" t="n">
        <v>0</v>
      </c>
      <c r="H2343" s="0" t="s">
        <v>580</v>
      </c>
      <c r="K2343" s="0" t="s">
        <v>600</v>
      </c>
      <c r="L2343" s="0" t="s">
        <v>4241</v>
      </c>
    </row>
    <row r="2344" customFormat="false" ht="15" hidden="false" customHeight="false" outlineLevel="0" collapsed="false">
      <c r="A2344" s="0" t="s">
        <v>69</v>
      </c>
      <c r="C2344" s="0" t="s">
        <v>1540</v>
      </c>
      <c r="D2344" s="0" t="s">
        <v>139</v>
      </c>
      <c r="E2344" s="0" t="s">
        <v>1553</v>
      </c>
      <c r="F2344" s="0" t="n">
        <v>0</v>
      </c>
      <c r="G2344" s="0" t="n">
        <v>0</v>
      </c>
      <c r="H2344" s="0" t="s">
        <v>580</v>
      </c>
      <c r="K2344" s="0" t="s">
        <v>604</v>
      </c>
      <c r="L2344" s="0" t="s">
        <v>4242</v>
      </c>
    </row>
    <row r="2345" customFormat="false" ht="15" hidden="false" customHeight="false" outlineLevel="0" collapsed="false">
      <c r="A2345" s="0" t="s">
        <v>69</v>
      </c>
      <c r="C2345" s="0" t="s">
        <v>1540</v>
      </c>
      <c r="D2345" s="0" t="s">
        <v>143</v>
      </c>
      <c r="E2345" s="0" t="s">
        <v>1555</v>
      </c>
      <c r="F2345" s="0" t="n">
        <v>0</v>
      </c>
      <c r="G2345" s="0" t="n">
        <v>0</v>
      </c>
      <c r="H2345" s="0" t="s">
        <v>580</v>
      </c>
      <c r="K2345" s="0" t="s">
        <v>607</v>
      </c>
      <c r="L2345" s="0" t="s">
        <v>4243</v>
      </c>
    </row>
    <row r="2346" customFormat="false" ht="15" hidden="false" customHeight="false" outlineLevel="0" collapsed="false">
      <c r="A2346" s="0" t="s">
        <v>69</v>
      </c>
      <c r="C2346" s="0" t="s">
        <v>1540</v>
      </c>
      <c r="D2346" s="0" t="s">
        <v>146</v>
      </c>
      <c r="E2346" s="0" t="s">
        <v>1557</v>
      </c>
      <c r="F2346" s="0" t="n">
        <v>0</v>
      </c>
      <c r="G2346" s="0" t="n">
        <v>0</v>
      </c>
      <c r="H2346" s="0" t="s">
        <v>580</v>
      </c>
      <c r="K2346" s="0" t="s">
        <v>610</v>
      </c>
      <c r="L2346" s="0" t="s">
        <v>4244</v>
      </c>
    </row>
    <row r="2347" customFormat="false" ht="15" hidden="false" customHeight="false" outlineLevel="0" collapsed="false">
      <c r="A2347" s="0" t="s">
        <v>69</v>
      </c>
      <c r="C2347" s="0" t="s">
        <v>1540</v>
      </c>
      <c r="D2347" s="0" t="s">
        <v>149</v>
      </c>
      <c r="E2347" s="0" t="s">
        <v>1559</v>
      </c>
      <c r="F2347" s="0" t="n">
        <v>0</v>
      </c>
      <c r="G2347" s="0" t="n">
        <v>0</v>
      </c>
      <c r="H2347" s="0" t="s">
        <v>580</v>
      </c>
      <c r="K2347" s="0" t="s">
        <v>613</v>
      </c>
      <c r="L2347" s="0" t="s">
        <v>4245</v>
      </c>
    </row>
    <row r="2348" customFormat="false" ht="15" hidden="false" customHeight="false" outlineLevel="0" collapsed="false">
      <c r="A2348" s="0" t="s">
        <v>69</v>
      </c>
      <c r="C2348" s="0" t="s">
        <v>1540</v>
      </c>
      <c r="D2348" s="0" t="s">
        <v>152</v>
      </c>
      <c r="E2348" s="0" t="s">
        <v>1561</v>
      </c>
      <c r="F2348" s="0" t="n">
        <v>0</v>
      </c>
      <c r="G2348" s="0" t="n">
        <v>0</v>
      </c>
      <c r="H2348" s="0" t="s">
        <v>580</v>
      </c>
      <c r="K2348" s="0" t="s">
        <v>616</v>
      </c>
      <c r="L2348" s="0" t="s">
        <v>4246</v>
      </c>
    </row>
    <row r="2349" customFormat="false" ht="15" hidden="false" customHeight="false" outlineLevel="0" collapsed="false">
      <c r="A2349" s="0" t="s">
        <v>69</v>
      </c>
      <c r="C2349" s="0" t="s">
        <v>1540</v>
      </c>
      <c r="D2349" s="0" t="s">
        <v>155</v>
      </c>
      <c r="E2349" s="0" t="s">
        <v>1563</v>
      </c>
      <c r="F2349" s="0" t="n">
        <v>0</v>
      </c>
      <c r="G2349" s="0" t="n">
        <v>0</v>
      </c>
      <c r="H2349" s="0" t="s">
        <v>580</v>
      </c>
      <c r="K2349" s="0" t="s">
        <v>620</v>
      </c>
      <c r="L2349" s="0" t="s">
        <v>4247</v>
      </c>
    </row>
    <row r="2350" customFormat="false" ht="15" hidden="false" customHeight="false" outlineLevel="0" collapsed="false">
      <c r="A2350" s="0" t="s">
        <v>69</v>
      </c>
      <c r="C2350" s="0" t="s">
        <v>1565</v>
      </c>
      <c r="D2350" s="0" t="s">
        <v>987</v>
      </c>
      <c r="E2350" s="0" t="s">
        <v>1566</v>
      </c>
      <c r="F2350" s="0" t="n">
        <v>0</v>
      </c>
      <c r="G2350" s="0" t="n">
        <v>0</v>
      </c>
      <c r="H2350" s="0" t="s">
        <v>580</v>
      </c>
      <c r="K2350" s="0" t="s">
        <v>581</v>
      </c>
      <c r="L2350" s="0" t="s">
        <v>4248</v>
      </c>
    </row>
    <row r="2351" customFormat="false" ht="15" hidden="false" customHeight="false" outlineLevel="0" collapsed="false">
      <c r="A2351" s="0" t="s">
        <v>69</v>
      </c>
      <c r="C2351" s="0" t="s">
        <v>1565</v>
      </c>
      <c r="D2351" s="0" t="s">
        <v>990</v>
      </c>
      <c r="E2351" s="0" t="s">
        <v>1568</v>
      </c>
      <c r="F2351" s="0" t="n">
        <v>0</v>
      </c>
      <c r="G2351" s="0" t="n">
        <v>0</v>
      </c>
      <c r="H2351" s="0" t="s">
        <v>580</v>
      </c>
      <c r="K2351" s="0" t="s">
        <v>586</v>
      </c>
      <c r="L2351" s="0" t="s">
        <v>4249</v>
      </c>
    </row>
    <row r="2352" customFormat="false" ht="15" hidden="false" customHeight="false" outlineLevel="0" collapsed="false">
      <c r="A2352" s="0" t="s">
        <v>69</v>
      </c>
      <c r="C2352" s="0" t="s">
        <v>1565</v>
      </c>
      <c r="D2352" s="0" t="s">
        <v>993</v>
      </c>
      <c r="E2352" s="0" t="s">
        <v>1570</v>
      </c>
      <c r="F2352" s="0" t="n">
        <v>0</v>
      </c>
      <c r="G2352" s="0" t="n">
        <v>0</v>
      </c>
      <c r="H2352" s="0" t="s">
        <v>580</v>
      </c>
      <c r="K2352" s="0" t="s">
        <v>590</v>
      </c>
      <c r="L2352" s="0" t="s">
        <v>4250</v>
      </c>
    </row>
    <row r="2353" customFormat="false" ht="15" hidden="false" customHeight="false" outlineLevel="0" collapsed="false">
      <c r="A2353" s="0" t="s">
        <v>69</v>
      </c>
      <c r="C2353" s="0" t="s">
        <v>1565</v>
      </c>
      <c r="D2353" s="0" t="s">
        <v>126</v>
      </c>
      <c r="E2353" s="0" t="s">
        <v>1572</v>
      </c>
      <c r="F2353" s="0" t="n">
        <v>0</v>
      </c>
      <c r="G2353" s="0" t="n">
        <v>0</v>
      </c>
      <c r="H2353" s="0" t="s">
        <v>580</v>
      </c>
      <c r="K2353" s="0" t="s">
        <v>594</v>
      </c>
      <c r="L2353" s="0" t="s">
        <v>4251</v>
      </c>
    </row>
    <row r="2354" customFormat="false" ht="15" hidden="false" customHeight="false" outlineLevel="0" collapsed="false">
      <c r="A2354" s="0" t="s">
        <v>69</v>
      </c>
      <c r="C2354" s="0" t="s">
        <v>1565</v>
      </c>
      <c r="D2354" s="0" t="s">
        <v>129</v>
      </c>
      <c r="E2354" s="0" t="s">
        <v>1574</v>
      </c>
      <c r="F2354" s="0" t="n">
        <v>0</v>
      </c>
      <c r="G2354" s="0" t="n">
        <v>0</v>
      </c>
      <c r="H2354" s="0" t="s">
        <v>580</v>
      </c>
      <c r="K2354" s="0" t="s">
        <v>597</v>
      </c>
      <c r="L2354" s="0" t="s">
        <v>4252</v>
      </c>
    </row>
    <row r="2355" customFormat="false" ht="15" hidden="false" customHeight="false" outlineLevel="0" collapsed="false">
      <c r="A2355" s="0" t="s">
        <v>69</v>
      </c>
      <c r="C2355" s="0" t="s">
        <v>1565</v>
      </c>
      <c r="D2355" s="0" t="s">
        <v>132</v>
      </c>
      <c r="E2355" s="0" t="s">
        <v>1576</v>
      </c>
      <c r="F2355" s="0" t="n">
        <v>0</v>
      </c>
      <c r="G2355" s="0" t="n">
        <v>0</v>
      </c>
      <c r="H2355" s="0" t="s">
        <v>580</v>
      </c>
      <c r="K2355" s="0" t="s">
        <v>600</v>
      </c>
      <c r="L2355" s="0" t="s">
        <v>4253</v>
      </c>
    </row>
    <row r="2356" customFormat="false" ht="15" hidden="false" customHeight="false" outlineLevel="0" collapsed="false">
      <c r="A2356" s="0" t="s">
        <v>69</v>
      </c>
      <c r="C2356" s="0" t="s">
        <v>1565</v>
      </c>
      <c r="D2356" s="0" t="s">
        <v>139</v>
      </c>
      <c r="E2356" s="0" t="s">
        <v>1578</v>
      </c>
      <c r="F2356" s="0" t="n">
        <v>0</v>
      </c>
      <c r="G2356" s="0" t="n">
        <v>0</v>
      </c>
      <c r="H2356" s="0" t="s">
        <v>580</v>
      </c>
      <c r="K2356" s="0" t="s">
        <v>604</v>
      </c>
      <c r="L2356" s="0" t="s">
        <v>4254</v>
      </c>
    </row>
    <row r="2357" customFormat="false" ht="15" hidden="false" customHeight="false" outlineLevel="0" collapsed="false">
      <c r="A2357" s="0" t="s">
        <v>69</v>
      </c>
      <c r="C2357" s="0" t="s">
        <v>1565</v>
      </c>
      <c r="D2357" s="0" t="s">
        <v>143</v>
      </c>
      <c r="E2357" s="0" t="s">
        <v>1580</v>
      </c>
      <c r="F2357" s="0" t="n">
        <v>0</v>
      </c>
      <c r="G2357" s="0" t="n">
        <v>0</v>
      </c>
      <c r="H2357" s="0" t="s">
        <v>580</v>
      </c>
      <c r="K2357" s="0" t="s">
        <v>607</v>
      </c>
      <c r="L2357" s="0" t="s">
        <v>4255</v>
      </c>
    </row>
    <row r="2358" customFormat="false" ht="15" hidden="false" customHeight="false" outlineLevel="0" collapsed="false">
      <c r="A2358" s="0" t="s">
        <v>69</v>
      </c>
      <c r="C2358" s="0" t="s">
        <v>1565</v>
      </c>
      <c r="D2358" s="0" t="s">
        <v>146</v>
      </c>
      <c r="E2358" s="0" t="s">
        <v>1582</v>
      </c>
      <c r="F2358" s="0" t="n">
        <v>0</v>
      </c>
      <c r="G2358" s="0" t="n">
        <v>0</v>
      </c>
      <c r="H2358" s="0" t="s">
        <v>580</v>
      </c>
      <c r="K2358" s="0" t="s">
        <v>610</v>
      </c>
      <c r="L2358" s="0" t="s">
        <v>4256</v>
      </c>
    </row>
    <row r="2359" customFormat="false" ht="15" hidden="false" customHeight="false" outlineLevel="0" collapsed="false">
      <c r="A2359" s="0" t="s">
        <v>69</v>
      </c>
      <c r="C2359" s="0" t="s">
        <v>1565</v>
      </c>
      <c r="D2359" s="0" t="s">
        <v>149</v>
      </c>
      <c r="E2359" s="0" t="s">
        <v>1584</v>
      </c>
      <c r="F2359" s="0" t="n">
        <v>0</v>
      </c>
      <c r="G2359" s="0" t="n">
        <v>0</v>
      </c>
      <c r="H2359" s="0" t="s">
        <v>580</v>
      </c>
      <c r="K2359" s="0" t="s">
        <v>613</v>
      </c>
      <c r="L2359" s="0" t="s">
        <v>4257</v>
      </c>
    </row>
    <row r="2360" customFormat="false" ht="15" hidden="false" customHeight="false" outlineLevel="0" collapsed="false">
      <c r="A2360" s="0" t="s">
        <v>69</v>
      </c>
      <c r="C2360" s="0" t="s">
        <v>1565</v>
      </c>
      <c r="D2360" s="0" t="s">
        <v>152</v>
      </c>
      <c r="E2360" s="0" t="s">
        <v>1586</v>
      </c>
      <c r="F2360" s="0" t="n">
        <v>0</v>
      </c>
      <c r="G2360" s="0" t="n">
        <v>0</v>
      </c>
      <c r="H2360" s="0" t="s">
        <v>580</v>
      </c>
      <c r="K2360" s="0" t="s">
        <v>616</v>
      </c>
      <c r="L2360" s="0" t="s">
        <v>4258</v>
      </c>
    </row>
    <row r="2361" customFormat="false" ht="15" hidden="false" customHeight="false" outlineLevel="0" collapsed="false">
      <c r="A2361" s="0" t="s">
        <v>69</v>
      </c>
      <c r="C2361" s="0" t="s">
        <v>1565</v>
      </c>
      <c r="D2361" s="0" t="s">
        <v>155</v>
      </c>
      <c r="E2361" s="0" t="s">
        <v>1588</v>
      </c>
      <c r="F2361" s="0" t="n">
        <v>0</v>
      </c>
      <c r="G2361" s="0" t="n">
        <v>0</v>
      </c>
      <c r="H2361" s="0" t="s">
        <v>580</v>
      </c>
      <c r="K2361" s="0" t="s">
        <v>620</v>
      </c>
      <c r="L2361" s="0" t="s">
        <v>4259</v>
      </c>
    </row>
    <row r="2362" customFormat="false" ht="15" hidden="false" customHeight="false" outlineLevel="0" collapsed="false">
      <c r="A2362" s="0" t="s">
        <v>69</v>
      </c>
      <c r="C2362" s="0" t="s">
        <v>1590</v>
      </c>
      <c r="D2362" s="0" t="s">
        <v>987</v>
      </c>
      <c r="E2362" s="0" t="s">
        <v>1591</v>
      </c>
      <c r="F2362" s="0" t="n">
        <v>0</v>
      </c>
      <c r="G2362" s="0" t="n">
        <v>0</v>
      </c>
      <c r="H2362" s="0" t="s">
        <v>580</v>
      </c>
      <c r="K2362" s="0" t="s">
        <v>581</v>
      </c>
      <c r="L2362" s="0" t="s">
        <v>4260</v>
      </c>
    </row>
    <row r="2363" customFormat="false" ht="15" hidden="false" customHeight="false" outlineLevel="0" collapsed="false">
      <c r="A2363" s="0" t="s">
        <v>69</v>
      </c>
      <c r="C2363" s="0" t="s">
        <v>1590</v>
      </c>
      <c r="D2363" s="0" t="s">
        <v>990</v>
      </c>
      <c r="E2363" s="0" t="s">
        <v>1593</v>
      </c>
      <c r="F2363" s="0" t="n">
        <v>0</v>
      </c>
      <c r="G2363" s="0" t="n">
        <v>0</v>
      </c>
      <c r="H2363" s="0" t="s">
        <v>580</v>
      </c>
      <c r="K2363" s="0" t="s">
        <v>586</v>
      </c>
      <c r="L2363" s="0" t="s">
        <v>4261</v>
      </c>
    </row>
    <row r="2364" customFormat="false" ht="15" hidden="false" customHeight="false" outlineLevel="0" collapsed="false">
      <c r="A2364" s="0" t="s">
        <v>69</v>
      </c>
      <c r="C2364" s="0" t="s">
        <v>1590</v>
      </c>
      <c r="D2364" s="0" t="s">
        <v>993</v>
      </c>
      <c r="E2364" s="0" t="s">
        <v>1595</v>
      </c>
      <c r="F2364" s="0" t="n">
        <v>0</v>
      </c>
      <c r="G2364" s="0" t="n">
        <v>0</v>
      </c>
      <c r="H2364" s="0" t="s">
        <v>580</v>
      </c>
      <c r="K2364" s="0" t="s">
        <v>590</v>
      </c>
      <c r="L2364" s="0" t="s">
        <v>4262</v>
      </c>
    </row>
    <row r="2365" customFormat="false" ht="15" hidden="false" customHeight="false" outlineLevel="0" collapsed="false">
      <c r="A2365" s="0" t="s">
        <v>69</v>
      </c>
      <c r="C2365" s="0" t="s">
        <v>1590</v>
      </c>
      <c r="D2365" s="0" t="s">
        <v>126</v>
      </c>
      <c r="E2365" s="0" t="s">
        <v>1597</v>
      </c>
      <c r="F2365" s="0" t="n">
        <v>0</v>
      </c>
      <c r="G2365" s="0" t="n">
        <v>0</v>
      </c>
      <c r="H2365" s="0" t="s">
        <v>580</v>
      </c>
      <c r="K2365" s="0" t="s">
        <v>594</v>
      </c>
      <c r="L2365" s="0" t="s">
        <v>4263</v>
      </c>
    </row>
    <row r="2366" customFormat="false" ht="15" hidden="false" customHeight="false" outlineLevel="0" collapsed="false">
      <c r="A2366" s="0" t="s">
        <v>69</v>
      </c>
      <c r="C2366" s="0" t="s">
        <v>1590</v>
      </c>
      <c r="D2366" s="0" t="s">
        <v>129</v>
      </c>
      <c r="E2366" s="0" t="s">
        <v>1599</v>
      </c>
      <c r="F2366" s="0" t="n">
        <v>0</v>
      </c>
      <c r="G2366" s="0" t="n">
        <v>0</v>
      </c>
      <c r="H2366" s="0" t="s">
        <v>580</v>
      </c>
      <c r="K2366" s="0" t="s">
        <v>597</v>
      </c>
      <c r="L2366" s="0" t="s">
        <v>4264</v>
      </c>
    </row>
    <row r="2367" customFormat="false" ht="15" hidden="false" customHeight="false" outlineLevel="0" collapsed="false">
      <c r="A2367" s="0" t="s">
        <v>69</v>
      </c>
      <c r="C2367" s="0" t="s">
        <v>1590</v>
      </c>
      <c r="D2367" s="0" t="s">
        <v>132</v>
      </c>
      <c r="E2367" s="0" t="s">
        <v>1601</v>
      </c>
      <c r="F2367" s="0" t="n">
        <v>0</v>
      </c>
      <c r="G2367" s="0" t="n">
        <v>0</v>
      </c>
      <c r="H2367" s="0" t="s">
        <v>580</v>
      </c>
      <c r="K2367" s="0" t="s">
        <v>600</v>
      </c>
      <c r="L2367" s="0" t="s">
        <v>4265</v>
      </c>
    </row>
    <row r="2368" customFormat="false" ht="15" hidden="false" customHeight="false" outlineLevel="0" collapsed="false">
      <c r="A2368" s="0" t="s">
        <v>69</v>
      </c>
      <c r="C2368" s="0" t="s">
        <v>1590</v>
      </c>
      <c r="D2368" s="0" t="s">
        <v>139</v>
      </c>
      <c r="E2368" s="0" t="s">
        <v>1603</v>
      </c>
      <c r="F2368" s="0" t="n">
        <v>0</v>
      </c>
      <c r="G2368" s="0" t="n">
        <v>0</v>
      </c>
      <c r="H2368" s="0" t="s">
        <v>580</v>
      </c>
      <c r="K2368" s="0" t="s">
        <v>604</v>
      </c>
      <c r="L2368" s="0" t="s">
        <v>4266</v>
      </c>
    </row>
    <row r="2369" customFormat="false" ht="15" hidden="false" customHeight="false" outlineLevel="0" collapsed="false">
      <c r="A2369" s="0" t="s">
        <v>69</v>
      </c>
      <c r="C2369" s="0" t="s">
        <v>1590</v>
      </c>
      <c r="D2369" s="0" t="s">
        <v>143</v>
      </c>
      <c r="E2369" s="0" t="s">
        <v>1605</v>
      </c>
      <c r="F2369" s="0" t="n">
        <v>0</v>
      </c>
      <c r="G2369" s="0" t="n">
        <v>0</v>
      </c>
      <c r="H2369" s="0" t="s">
        <v>580</v>
      </c>
      <c r="K2369" s="0" t="s">
        <v>607</v>
      </c>
      <c r="L2369" s="0" t="s">
        <v>4267</v>
      </c>
    </row>
    <row r="2370" customFormat="false" ht="15" hidden="false" customHeight="false" outlineLevel="0" collapsed="false">
      <c r="A2370" s="0" t="s">
        <v>69</v>
      </c>
      <c r="C2370" s="0" t="s">
        <v>1590</v>
      </c>
      <c r="D2370" s="0" t="s">
        <v>146</v>
      </c>
      <c r="E2370" s="0" t="s">
        <v>1607</v>
      </c>
      <c r="F2370" s="0" t="n">
        <v>0</v>
      </c>
      <c r="G2370" s="0" t="n">
        <v>0</v>
      </c>
      <c r="H2370" s="0" t="s">
        <v>580</v>
      </c>
      <c r="K2370" s="0" t="s">
        <v>610</v>
      </c>
      <c r="L2370" s="0" t="s">
        <v>4268</v>
      </c>
    </row>
    <row r="2371" customFormat="false" ht="15" hidden="false" customHeight="false" outlineLevel="0" collapsed="false">
      <c r="A2371" s="0" t="s">
        <v>69</v>
      </c>
      <c r="C2371" s="0" t="s">
        <v>1590</v>
      </c>
      <c r="D2371" s="0" t="s">
        <v>149</v>
      </c>
      <c r="E2371" s="0" t="s">
        <v>1609</v>
      </c>
      <c r="F2371" s="0" t="n">
        <v>0</v>
      </c>
      <c r="G2371" s="0" t="n">
        <v>0</v>
      </c>
      <c r="H2371" s="0" t="s">
        <v>580</v>
      </c>
      <c r="K2371" s="0" t="s">
        <v>613</v>
      </c>
      <c r="L2371" s="0" t="s">
        <v>4269</v>
      </c>
    </row>
    <row r="2372" customFormat="false" ht="15" hidden="false" customHeight="false" outlineLevel="0" collapsed="false">
      <c r="A2372" s="0" t="s">
        <v>69</v>
      </c>
      <c r="C2372" s="0" t="s">
        <v>1590</v>
      </c>
      <c r="D2372" s="0" t="s">
        <v>152</v>
      </c>
      <c r="E2372" s="0" t="s">
        <v>1611</v>
      </c>
      <c r="F2372" s="0" t="n">
        <v>0</v>
      </c>
      <c r="G2372" s="0" t="n">
        <v>0</v>
      </c>
      <c r="H2372" s="0" t="s">
        <v>580</v>
      </c>
      <c r="K2372" s="0" t="s">
        <v>616</v>
      </c>
      <c r="L2372" s="0" t="s">
        <v>4270</v>
      </c>
    </row>
    <row r="2373" customFormat="false" ht="15" hidden="false" customHeight="false" outlineLevel="0" collapsed="false">
      <c r="A2373" s="0" t="s">
        <v>69</v>
      </c>
      <c r="C2373" s="0" t="s">
        <v>1590</v>
      </c>
      <c r="D2373" s="0" t="s">
        <v>155</v>
      </c>
      <c r="E2373" s="0" t="s">
        <v>1613</v>
      </c>
      <c r="F2373" s="0" t="n">
        <v>0</v>
      </c>
      <c r="G2373" s="0" t="n">
        <v>0</v>
      </c>
      <c r="H2373" s="0" t="s">
        <v>580</v>
      </c>
      <c r="K2373" s="0" t="s">
        <v>620</v>
      </c>
      <c r="L2373" s="0" t="s">
        <v>4271</v>
      </c>
    </row>
    <row r="2374" customFormat="false" ht="15" hidden="false" customHeight="false" outlineLevel="0" collapsed="false">
      <c r="A2374" s="0" t="s">
        <v>69</v>
      </c>
      <c r="C2374" s="0" t="s">
        <v>1615</v>
      </c>
      <c r="D2374" s="0" t="s">
        <v>987</v>
      </c>
      <c r="E2374" s="0" t="s">
        <v>1616</v>
      </c>
      <c r="F2374" s="0" t="n">
        <v>0</v>
      </c>
      <c r="G2374" s="0" t="n">
        <v>0</v>
      </c>
      <c r="H2374" s="0" t="s">
        <v>580</v>
      </c>
      <c r="K2374" s="0" t="s">
        <v>581</v>
      </c>
      <c r="L2374" s="0" t="s">
        <v>4272</v>
      </c>
    </row>
    <row r="2375" customFormat="false" ht="15" hidden="false" customHeight="false" outlineLevel="0" collapsed="false">
      <c r="A2375" s="0" t="s">
        <v>69</v>
      </c>
      <c r="C2375" s="0" t="s">
        <v>1615</v>
      </c>
      <c r="D2375" s="0" t="s">
        <v>990</v>
      </c>
      <c r="E2375" s="0" t="s">
        <v>1618</v>
      </c>
      <c r="F2375" s="0" t="n">
        <v>0</v>
      </c>
      <c r="G2375" s="0" t="n">
        <v>0</v>
      </c>
      <c r="H2375" s="0" t="s">
        <v>580</v>
      </c>
      <c r="K2375" s="0" t="s">
        <v>586</v>
      </c>
      <c r="L2375" s="0" t="s">
        <v>4273</v>
      </c>
    </row>
    <row r="2376" customFormat="false" ht="15" hidden="false" customHeight="false" outlineLevel="0" collapsed="false">
      <c r="A2376" s="0" t="s">
        <v>69</v>
      </c>
      <c r="C2376" s="0" t="s">
        <v>1615</v>
      </c>
      <c r="D2376" s="0" t="s">
        <v>993</v>
      </c>
      <c r="E2376" s="0" t="s">
        <v>1620</v>
      </c>
      <c r="F2376" s="0" t="n">
        <v>0</v>
      </c>
      <c r="G2376" s="0" t="n">
        <v>0</v>
      </c>
      <c r="H2376" s="0" t="s">
        <v>580</v>
      </c>
      <c r="K2376" s="0" t="s">
        <v>590</v>
      </c>
      <c r="L2376" s="0" t="s">
        <v>4274</v>
      </c>
    </row>
    <row r="2377" customFormat="false" ht="15" hidden="false" customHeight="false" outlineLevel="0" collapsed="false">
      <c r="A2377" s="0" t="s">
        <v>69</v>
      </c>
      <c r="C2377" s="0" t="s">
        <v>1615</v>
      </c>
      <c r="D2377" s="0" t="s">
        <v>126</v>
      </c>
      <c r="E2377" s="0" t="s">
        <v>1622</v>
      </c>
      <c r="F2377" s="0" t="n">
        <v>0</v>
      </c>
      <c r="G2377" s="0" t="n">
        <v>0</v>
      </c>
      <c r="H2377" s="0" t="s">
        <v>580</v>
      </c>
      <c r="K2377" s="0" t="s">
        <v>594</v>
      </c>
      <c r="L2377" s="0" t="s">
        <v>4275</v>
      </c>
    </row>
    <row r="2378" customFormat="false" ht="15" hidden="false" customHeight="false" outlineLevel="0" collapsed="false">
      <c r="A2378" s="0" t="s">
        <v>69</v>
      </c>
      <c r="C2378" s="0" t="s">
        <v>1615</v>
      </c>
      <c r="D2378" s="0" t="s">
        <v>129</v>
      </c>
      <c r="E2378" s="0" t="s">
        <v>1624</v>
      </c>
      <c r="F2378" s="0" t="n">
        <v>0</v>
      </c>
      <c r="G2378" s="0" t="n">
        <v>0</v>
      </c>
      <c r="H2378" s="0" t="s">
        <v>580</v>
      </c>
      <c r="K2378" s="0" t="s">
        <v>597</v>
      </c>
      <c r="L2378" s="0" t="s">
        <v>4276</v>
      </c>
    </row>
    <row r="2379" customFormat="false" ht="15" hidden="false" customHeight="false" outlineLevel="0" collapsed="false">
      <c r="A2379" s="0" t="s">
        <v>69</v>
      </c>
      <c r="C2379" s="0" t="s">
        <v>1615</v>
      </c>
      <c r="D2379" s="0" t="s">
        <v>132</v>
      </c>
      <c r="E2379" s="0" t="s">
        <v>1626</v>
      </c>
      <c r="F2379" s="0" t="n">
        <v>0</v>
      </c>
      <c r="G2379" s="0" t="n">
        <v>0</v>
      </c>
      <c r="H2379" s="0" t="s">
        <v>580</v>
      </c>
      <c r="K2379" s="0" t="s">
        <v>600</v>
      </c>
      <c r="L2379" s="0" t="s">
        <v>4277</v>
      </c>
    </row>
    <row r="2380" customFormat="false" ht="15" hidden="false" customHeight="false" outlineLevel="0" collapsed="false">
      <c r="A2380" s="0" t="s">
        <v>69</v>
      </c>
      <c r="C2380" s="0" t="s">
        <v>1615</v>
      </c>
      <c r="D2380" s="0" t="s">
        <v>139</v>
      </c>
      <c r="E2380" s="0" t="s">
        <v>1628</v>
      </c>
      <c r="F2380" s="0" t="n">
        <v>0</v>
      </c>
      <c r="G2380" s="0" t="n">
        <v>0</v>
      </c>
      <c r="H2380" s="0" t="s">
        <v>580</v>
      </c>
      <c r="K2380" s="0" t="s">
        <v>604</v>
      </c>
      <c r="L2380" s="0" t="s">
        <v>4278</v>
      </c>
    </row>
    <row r="2381" customFormat="false" ht="15" hidden="false" customHeight="false" outlineLevel="0" collapsed="false">
      <c r="A2381" s="0" t="s">
        <v>69</v>
      </c>
      <c r="C2381" s="0" t="s">
        <v>1615</v>
      </c>
      <c r="D2381" s="0" t="s">
        <v>143</v>
      </c>
      <c r="E2381" s="0" t="s">
        <v>1630</v>
      </c>
      <c r="F2381" s="0" t="n">
        <v>0</v>
      </c>
      <c r="G2381" s="0" t="n">
        <v>0</v>
      </c>
      <c r="H2381" s="0" t="s">
        <v>580</v>
      </c>
      <c r="K2381" s="0" t="s">
        <v>607</v>
      </c>
      <c r="L2381" s="0" t="s">
        <v>4279</v>
      </c>
    </row>
    <row r="2382" customFormat="false" ht="15" hidden="false" customHeight="false" outlineLevel="0" collapsed="false">
      <c r="A2382" s="0" t="s">
        <v>69</v>
      </c>
      <c r="C2382" s="0" t="s">
        <v>1615</v>
      </c>
      <c r="D2382" s="0" t="s">
        <v>146</v>
      </c>
      <c r="E2382" s="0" t="s">
        <v>1632</v>
      </c>
      <c r="F2382" s="0" t="n">
        <v>0</v>
      </c>
      <c r="G2382" s="0" t="n">
        <v>0</v>
      </c>
      <c r="H2382" s="0" t="s">
        <v>580</v>
      </c>
      <c r="K2382" s="0" t="s">
        <v>610</v>
      </c>
      <c r="L2382" s="0" t="s">
        <v>4280</v>
      </c>
    </row>
    <row r="2383" customFormat="false" ht="15" hidden="false" customHeight="false" outlineLevel="0" collapsed="false">
      <c r="A2383" s="0" t="s">
        <v>69</v>
      </c>
      <c r="C2383" s="0" t="s">
        <v>1615</v>
      </c>
      <c r="D2383" s="0" t="s">
        <v>149</v>
      </c>
      <c r="E2383" s="0" t="s">
        <v>1634</v>
      </c>
      <c r="F2383" s="0" t="n">
        <v>0</v>
      </c>
      <c r="G2383" s="0" t="n">
        <v>0</v>
      </c>
      <c r="H2383" s="0" t="s">
        <v>580</v>
      </c>
      <c r="K2383" s="0" t="s">
        <v>613</v>
      </c>
      <c r="L2383" s="0" t="s">
        <v>4281</v>
      </c>
    </row>
    <row r="2384" customFormat="false" ht="15" hidden="false" customHeight="false" outlineLevel="0" collapsed="false">
      <c r="A2384" s="0" t="s">
        <v>69</v>
      </c>
      <c r="C2384" s="0" t="s">
        <v>1615</v>
      </c>
      <c r="D2384" s="0" t="s">
        <v>152</v>
      </c>
      <c r="E2384" s="0" t="s">
        <v>1636</v>
      </c>
      <c r="F2384" s="0" t="n">
        <v>0</v>
      </c>
      <c r="G2384" s="0" t="n">
        <v>0</v>
      </c>
      <c r="H2384" s="0" t="s">
        <v>580</v>
      </c>
      <c r="K2384" s="0" t="s">
        <v>616</v>
      </c>
      <c r="L2384" s="0" t="s">
        <v>4282</v>
      </c>
    </row>
    <row r="2385" customFormat="false" ht="15" hidden="false" customHeight="false" outlineLevel="0" collapsed="false">
      <c r="A2385" s="0" t="s">
        <v>69</v>
      </c>
      <c r="C2385" s="0" t="s">
        <v>1615</v>
      </c>
      <c r="D2385" s="0" t="s">
        <v>155</v>
      </c>
      <c r="E2385" s="0" t="s">
        <v>2552</v>
      </c>
      <c r="F2385" s="0" t="n">
        <v>0</v>
      </c>
      <c r="G2385" s="0" t="n">
        <v>0</v>
      </c>
      <c r="H2385" s="0" t="s">
        <v>580</v>
      </c>
      <c r="K2385" s="0" t="s">
        <v>620</v>
      </c>
      <c r="L2385" s="0" t="s">
        <v>4283</v>
      </c>
    </row>
    <row r="2386" customFormat="false" ht="15" hidden="false" customHeight="false" outlineLevel="0" collapsed="false">
      <c r="A2386" s="0" t="s">
        <v>69</v>
      </c>
      <c r="C2386" s="0" t="s">
        <v>1640</v>
      </c>
      <c r="D2386" s="0" t="s">
        <v>987</v>
      </c>
      <c r="E2386" s="0" t="s">
        <v>1641</v>
      </c>
      <c r="F2386" s="0" t="n">
        <v>0</v>
      </c>
      <c r="G2386" s="0" t="n">
        <v>0</v>
      </c>
      <c r="H2386" s="0" t="s">
        <v>580</v>
      </c>
      <c r="K2386" s="0" t="s">
        <v>581</v>
      </c>
      <c r="L2386" s="0" t="s">
        <v>4284</v>
      </c>
    </row>
    <row r="2387" customFormat="false" ht="15" hidden="false" customHeight="false" outlineLevel="0" collapsed="false">
      <c r="A2387" s="0" t="s">
        <v>69</v>
      </c>
      <c r="C2387" s="0" t="s">
        <v>1640</v>
      </c>
      <c r="D2387" s="0" t="s">
        <v>990</v>
      </c>
      <c r="E2387" s="0" t="s">
        <v>2555</v>
      </c>
      <c r="F2387" s="0" t="n">
        <v>0</v>
      </c>
      <c r="G2387" s="0" t="n">
        <v>0</v>
      </c>
      <c r="H2387" s="0" t="s">
        <v>580</v>
      </c>
      <c r="K2387" s="0" t="s">
        <v>586</v>
      </c>
      <c r="L2387" s="0" t="s">
        <v>4285</v>
      </c>
    </row>
    <row r="2388" customFormat="false" ht="15" hidden="false" customHeight="false" outlineLevel="0" collapsed="false">
      <c r="A2388" s="0" t="s">
        <v>69</v>
      </c>
      <c r="C2388" s="0" t="s">
        <v>1640</v>
      </c>
      <c r="D2388" s="0" t="s">
        <v>993</v>
      </c>
      <c r="E2388" s="0" t="s">
        <v>2557</v>
      </c>
      <c r="F2388" s="0" t="n">
        <v>0</v>
      </c>
      <c r="G2388" s="0" t="n">
        <v>0</v>
      </c>
      <c r="H2388" s="0" t="s">
        <v>580</v>
      </c>
      <c r="K2388" s="0" t="s">
        <v>590</v>
      </c>
      <c r="L2388" s="0" t="s">
        <v>4286</v>
      </c>
    </row>
    <row r="2389" customFormat="false" ht="15" hidden="false" customHeight="false" outlineLevel="0" collapsed="false">
      <c r="A2389" s="0" t="s">
        <v>69</v>
      </c>
      <c r="C2389" s="0" t="s">
        <v>1640</v>
      </c>
      <c r="D2389" s="0" t="s">
        <v>126</v>
      </c>
      <c r="E2389" s="0" t="s">
        <v>2559</v>
      </c>
      <c r="F2389" s="0" t="n">
        <v>0</v>
      </c>
      <c r="G2389" s="0" t="n">
        <v>0</v>
      </c>
      <c r="H2389" s="0" t="s">
        <v>580</v>
      </c>
      <c r="K2389" s="0" t="s">
        <v>594</v>
      </c>
      <c r="L2389" s="0" t="s">
        <v>4287</v>
      </c>
    </row>
    <row r="2390" customFormat="false" ht="15" hidden="false" customHeight="false" outlineLevel="0" collapsed="false">
      <c r="A2390" s="0" t="s">
        <v>69</v>
      </c>
      <c r="C2390" s="0" t="s">
        <v>1640</v>
      </c>
      <c r="D2390" s="0" t="s">
        <v>129</v>
      </c>
      <c r="E2390" s="0" t="s">
        <v>1649</v>
      </c>
      <c r="F2390" s="0" t="n">
        <v>0</v>
      </c>
      <c r="G2390" s="0" t="n">
        <v>0</v>
      </c>
      <c r="H2390" s="0" t="s">
        <v>580</v>
      </c>
      <c r="K2390" s="0" t="s">
        <v>597</v>
      </c>
      <c r="L2390" s="0" t="s">
        <v>4288</v>
      </c>
    </row>
    <row r="2391" customFormat="false" ht="15" hidden="false" customHeight="false" outlineLevel="0" collapsed="false">
      <c r="A2391" s="0" t="s">
        <v>69</v>
      </c>
      <c r="C2391" s="0" t="s">
        <v>1640</v>
      </c>
      <c r="D2391" s="0" t="s">
        <v>132</v>
      </c>
      <c r="E2391" s="0" t="s">
        <v>1651</v>
      </c>
      <c r="F2391" s="0" t="n">
        <v>0</v>
      </c>
      <c r="G2391" s="0" t="n">
        <v>0</v>
      </c>
      <c r="H2391" s="0" t="s">
        <v>580</v>
      </c>
      <c r="K2391" s="0" t="s">
        <v>600</v>
      </c>
      <c r="L2391" s="0" t="s">
        <v>4289</v>
      </c>
    </row>
    <row r="2392" customFormat="false" ht="15" hidden="false" customHeight="false" outlineLevel="0" collapsed="false">
      <c r="A2392" s="0" t="s">
        <v>69</v>
      </c>
      <c r="C2392" s="0" t="s">
        <v>1640</v>
      </c>
      <c r="D2392" s="0" t="s">
        <v>139</v>
      </c>
      <c r="E2392" s="0" t="s">
        <v>1653</v>
      </c>
      <c r="F2392" s="0" t="n">
        <v>0</v>
      </c>
      <c r="G2392" s="0" t="n">
        <v>0</v>
      </c>
      <c r="H2392" s="0" t="s">
        <v>580</v>
      </c>
      <c r="K2392" s="0" t="s">
        <v>604</v>
      </c>
      <c r="L2392" s="0" t="s">
        <v>4290</v>
      </c>
    </row>
    <row r="2393" customFormat="false" ht="15" hidden="false" customHeight="false" outlineLevel="0" collapsed="false">
      <c r="A2393" s="0" t="s">
        <v>69</v>
      </c>
      <c r="C2393" s="0" t="s">
        <v>1640</v>
      </c>
      <c r="D2393" s="0" t="s">
        <v>143</v>
      </c>
      <c r="E2393" s="0" t="s">
        <v>1655</v>
      </c>
      <c r="F2393" s="0" t="n">
        <v>0</v>
      </c>
      <c r="G2393" s="0" t="n">
        <v>0</v>
      </c>
      <c r="H2393" s="0" t="s">
        <v>580</v>
      </c>
      <c r="K2393" s="0" t="s">
        <v>607</v>
      </c>
      <c r="L2393" s="0" t="s">
        <v>4291</v>
      </c>
    </row>
    <row r="2394" customFormat="false" ht="15" hidden="false" customHeight="false" outlineLevel="0" collapsed="false">
      <c r="A2394" s="0" t="s">
        <v>69</v>
      </c>
      <c r="C2394" s="0" t="s">
        <v>1640</v>
      </c>
      <c r="D2394" s="0" t="s">
        <v>146</v>
      </c>
      <c r="E2394" s="0" t="s">
        <v>1657</v>
      </c>
      <c r="F2394" s="0" t="n">
        <v>0</v>
      </c>
      <c r="G2394" s="0" t="n">
        <v>0</v>
      </c>
      <c r="H2394" s="0" t="s">
        <v>580</v>
      </c>
      <c r="K2394" s="0" t="s">
        <v>610</v>
      </c>
      <c r="L2394" s="0" t="s">
        <v>4292</v>
      </c>
    </row>
    <row r="2395" customFormat="false" ht="15" hidden="false" customHeight="false" outlineLevel="0" collapsed="false">
      <c r="A2395" s="0" t="s">
        <v>69</v>
      </c>
      <c r="C2395" s="0" t="s">
        <v>1640</v>
      </c>
      <c r="D2395" s="0" t="s">
        <v>149</v>
      </c>
      <c r="E2395" s="0" t="s">
        <v>1659</v>
      </c>
      <c r="F2395" s="0" t="n">
        <v>0</v>
      </c>
      <c r="G2395" s="0" t="n">
        <v>0</v>
      </c>
      <c r="H2395" s="0" t="s">
        <v>580</v>
      </c>
      <c r="K2395" s="0" t="s">
        <v>613</v>
      </c>
      <c r="L2395" s="0" t="s">
        <v>4293</v>
      </c>
    </row>
    <row r="2396" customFormat="false" ht="15" hidden="false" customHeight="false" outlineLevel="0" collapsed="false">
      <c r="A2396" s="0" t="s">
        <v>69</v>
      </c>
      <c r="C2396" s="0" t="s">
        <v>1640</v>
      </c>
      <c r="D2396" s="0" t="s">
        <v>152</v>
      </c>
      <c r="E2396" s="0" t="s">
        <v>1661</v>
      </c>
      <c r="F2396" s="0" t="n">
        <v>0</v>
      </c>
      <c r="G2396" s="0" t="n">
        <v>0</v>
      </c>
      <c r="H2396" s="0" t="s">
        <v>580</v>
      </c>
      <c r="K2396" s="0" t="s">
        <v>616</v>
      </c>
      <c r="L2396" s="0" t="s">
        <v>4294</v>
      </c>
    </row>
    <row r="2397" customFormat="false" ht="15" hidden="false" customHeight="false" outlineLevel="0" collapsed="false">
      <c r="A2397" s="0" t="s">
        <v>69</v>
      </c>
      <c r="C2397" s="0" t="s">
        <v>1640</v>
      </c>
      <c r="D2397" s="0" t="s">
        <v>155</v>
      </c>
      <c r="E2397" s="0" t="s">
        <v>1663</v>
      </c>
      <c r="F2397" s="0" t="n">
        <v>0</v>
      </c>
      <c r="G2397" s="0" t="n">
        <v>0</v>
      </c>
      <c r="H2397" s="0" t="s">
        <v>580</v>
      </c>
      <c r="K2397" s="0" t="s">
        <v>620</v>
      </c>
      <c r="L2397" s="0" t="s">
        <v>4295</v>
      </c>
    </row>
    <row r="2398" customFormat="false" ht="15" hidden="false" customHeight="false" outlineLevel="0" collapsed="false">
      <c r="A2398" s="0" t="s">
        <v>69</v>
      </c>
      <c r="C2398" s="0" t="s">
        <v>1665</v>
      </c>
      <c r="D2398" s="0" t="s">
        <v>987</v>
      </c>
      <c r="E2398" s="0" t="s">
        <v>1666</v>
      </c>
      <c r="F2398" s="0" t="n">
        <v>0</v>
      </c>
      <c r="G2398" s="0" t="n">
        <v>0</v>
      </c>
      <c r="H2398" s="0" t="s">
        <v>580</v>
      </c>
      <c r="K2398" s="0" t="s">
        <v>581</v>
      </c>
      <c r="L2398" s="0" t="s">
        <v>4296</v>
      </c>
    </row>
    <row r="2399" customFormat="false" ht="15" hidden="false" customHeight="false" outlineLevel="0" collapsed="false">
      <c r="A2399" s="0" t="s">
        <v>69</v>
      </c>
      <c r="C2399" s="0" t="s">
        <v>1665</v>
      </c>
      <c r="D2399" s="0" t="s">
        <v>990</v>
      </c>
      <c r="E2399" s="0" t="s">
        <v>1668</v>
      </c>
      <c r="F2399" s="0" t="n">
        <v>0</v>
      </c>
      <c r="G2399" s="0" t="n">
        <v>0</v>
      </c>
      <c r="H2399" s="0" t="s">
        <v>580</v>
      </c>
      <c r="K2399" s="0" t="s">
        <v>586</v>
      </c>
      <c r="L2399" s="0" t="s">
        <v>4297</v>
      </c>
    </row>
    <row r="2400" customFormat="false" ht="15" hidden="false" customHeight="false" outlineLevel="0" collapsed="false">
      <c r="A2400" s="0" t="s">
        <v>69</v>
      </c>
      <c r="C2400" s="0" t="s">
        <v>1665</v>
      </c>
      <c r="D2400" s="0" t="s">
        <v>993</v>
      </c>
      <c r="E2400" s="0" t="s">
        <v>1670</v>
      </c>
      <c r="F2400" s="0" t="n">
        <v>0</v>
      </c>
      <c r="G2400" s="0" t="n">
        <v>0</v>
      </c>
      <c r="H2400" s="0" t="s">
        <v>580</v>
      </c>
      <c r="K2400" s="0" t="s">
        <v>590</v>
      </c>
      <c r="L2400" s="0" t="s">
        <v>4298</v>
      </c>
    </row>
    <row r="2401" customFormat="false" ht="15" hidden="false" customHeight="false" outlineLevel="0" collapsed="false">
      <c r="A2401" s="0" t="s">
        <v>69</v>
      </c>
      <c r="C2401" s="0" t="s">
        <v>1665</v>
      </c>
      <c r="D2401" s="0" t="s">
        <v>126</v>
      </c>
      <c r="E2401" s="0" t="s">
        <v>1672</v>
      </c>
      <c r="F2401" s="0" t="n">
        <v>0</v>
      </c>
      <c r="G2401" s="0" t="n">
        <v>0</v>
      </c>
      <c r="H2401" s="0" t="s">
        <v>580</v>
      </c>
      <c r="K2401" s="0" t="s">
        <v>594</v>
      </c>
      <c r="L2401" s="0" t="s">
        <v>4299</v>
      </c>
    </row>
    <row r="2402" customFormat="false" ht="15" hidden="false" customHeight="false" outlineLevel="0" collapsed="false">
      <c r="A2402" s="0" t="s">
        <v>69</v>
      </c>
      <c r="C2402" s="0" t="s">
        <v>1665</v>
      </c>
      <c r="D2402" s="0" t="s">
        <v>129</v>
      </c>
      <c r="E2402" s="0" t="s">
        <v>1674</v>
      </c>
      <c r="F2402" s="0" t="n">
        <v>0</v>
      </c>
      <c r="G2402" s="0" t="n">
        <v>0</v>
      </c>
      <c r="H2402" s="0" t="s">
        <v>580</v>
      </c>
      <c r="K2402" s="0" t="s">
        <v>597</v>
      </c>
      <c r="L2402" s="0" t="s">
        <v>4300</v>
      </c>
    </row>
    <row r="2403" customFormat="false" ht="15" hidden="false" customHeight="false" outlineLevel="0" collapsed="false">
      <c r="A2403" s="0" t="s">
        <v>69</v>
      </c>
      <c r="C2403" s="0" t="s">
        <v>1665</v>
      </c>
      <c r="D2403" s="0" t="s">
        <v>132</v>
      </c>
      <c r="E2403" s="0" t="s">
        <v>1676</v>
      </c>
      <c r="F2403" s="0" t="n">
        <v>0</v>
      </c>
      <c r="G2403" s="0" t="n">
        <v>0</v>
      </c>
      <c r="H2403" s="0" t="s">
        <v>580</v>
      </c>
      <c r="K2403" s="0" t="s">
        <v>600</v>
      </c>
      <c r="L2403" s="0" t="s">
        <v>4301</v>
      </c>
    </row>
    <row r="2404" customFormat="false" ht="15" hidden="false" customHeight="false" outlineLevel="0" collapsed="false">
      <c r="A2404" s="0" t="s">
        <v>69</v>
      </c>
      <c r="C2404" s="0" t="s">
        <v>1665</v>
      </c>
      <c r="D2404" s="0" t="s">
        <v>139</v>
      </c>
      <c r="E2404" s="0" t="s">
        <v>1678</v>
      </c>
      <c r="F2404" s="0" t="n">
        <v>0</v>
      </c>
      <c r="G2404" s="0" t="n">
        <v>0</v>
      </c>
      <c r="H2404" s="0" t="s">
        <v>580</v>
      </c>
      <c r="K2404" s="0" t="s">
        <v>604</v>
      </c>
      <c r="L2404" s="0" t="s">
        <v>4302</v>
      </c>
    </row>
    <row r="2405" customFormat="false" ht="15" hidden="false" customHeight="false" outlineLevel="0" collapsed="false">
      <c r="A2405" s="0" t="s">
        <v>69</v>
      </c>
      <c r="C2405" s="0" t="s">
        <v>1665</v>
      </c>
      <c r="D2405" s="0" t="s">
        <v>143</v>
      </c>
      <c r="E2405" s="0" t="s">
        <v>1680</v>
      </c>
      <c r="F2405" s="0" t="n">
        <v>0</v>
      </c>
      <c r="G2405" s="0" t="n">
        <v>0</v>
      </c>
      <c r="H2405" s="0" t="s">
        <v>580</v>
      </c>
      <c r="K2405" s="0" t="s">
        <v>607</v>
      </c>
      <c r="L2405" s="0" t="s">
        <v>4303</v>
      </c>
    </row>
    <row r="2406" customFormat="false" ht="15" hidden="false" customHeight="false" outlineLevel="0" collapsed="false">
      <c r="A2406" s="0" t="s">
        <v>69</v>
      </c>
      <c r="C2406" s="0" t="s">
        <v>1665</v>
      </c>
      <c r="D2406" s="0" t="s">
        <v>146</v>
      </c>
      <c r="E2406" s="0" t="s">
        <v>1682</v>
      </c>
      <c r="F2406" s="0" t="n">
        <v>0</v>
      </c>
      <c r="G2406" s="0" t="n">
        <v>0</v>
      </c>
      <c r="H2406" s="0" t="s">
        <v>580</v>
      </c>
      <c r="K2406" s="0" t="s">
        <v>610</v>
      </c>
      <c r="L2406" s="0" t="s">
        <v>4304</v>
      </c>
    </row>
    <row r="2407" customFormat="false" ht="15" hidden="false" customHeight="false" outlineLevel="0" collapsed="false">
      <c r="A2407" s="0" t="s">
        <v>69</v>
      </c>
      <c r="C2407" s="0" t="s">
        <v>1665</v>
      </c>
      <c r="D2407" s="0" t="s">
        <v>149</v>
      </c>
      <c r="E2407" s="0" t="s">
        <v>1684</v>
      </c>
      <c r="F2407" s="0" t="n">
        <v>0</v>
      </c>
      <c r="G2407" s="0" t="n">
        <v>0</v>
      </c>
      <c r="H2407" s="0" t="s">
        <v>580</v>
      </c>
      <c r="K2407" s="0" t="s">
        <v>613</v>
      </c>
      <c r="L2407" s="0" t="s">
        <v>4305</v>
      </c>
    </row>
    <row r="2408" customFormat="false" ht="15" hidden="false" customHeight="false" outlineLevel="0" collapsed="false">
      <c r="A2408" s="0" t="s">
        <v>69</v>
      </c>
      <c r="C2408" s="0" t="s">
        <v>1665</v>
      </c>
      <c r="D2408" s="0" t="s">
        <v>152</v>
      </c>
      <c r="E2408" s="0" t="s">
        <v>2579</v>
      </c>
      <c r="F2408" s="0" t="n">
        <v>0</v>
      </c>
      <c r="G2408" s="0" t="n">
        <v>0</v>
      </c>
      <c r="H2408" s="0" t="s">
        <v>580</v>
      </c>
      <c r="K2408" s="0" t="s">
        <v>616</v>
      </c>
      <c r="L2408" s="0" t="s">
        <v>4306</v>
      </c>
    </row>
    <row r="2409" customFormat="false" ht="15" hidden="false" customHeight="false" outlineLevel="0" collapsed="false">
      <c r="A2409" s="0" t="s">
        <v>69</v>
      </c>
      <c r="C2409" s="0" t="s">
        <v>1665</v>
      </c>
      <c r="D2409" s="0" t="s">
        <v>155</v>
      </c>
      <c r="E2409" s="0" t="s">
        <v>1688</v>
      </c>
      <c r="F2409" s="0" t="n">
        <v>0</v>
      </c>
      <c r="G2409" s="0" t="n">
        <v>0</v>
      </c>
      <c r="H2409" s="0" t="s">
        <v>580</v>
      </c>
      <c r="K2409" s="0" t="s">
        <v>620</v>
      </c>
      <c r="L2409" s="0" t="s">
        <v>4307</v>
      </c>
    </row>
    <row r="2410" customFormat="false" ht="15" hidden="false" customHeight="false" outlineLevel="0" collapsed="false">
      <c r="A2410" s="0" t="s">
        <v>71</v>
      </c>
      <c r="B2410" s="0" t="s">
        <v>303</v>
      </c>
      <c r="C2410" s="0" t="s">
        <v>577</v>
      </c>
      <c r="D2410" s="0" t="s">
        <v>987</v>
      </c>
      <c r="E2410" s="0" t="s">
        <v>1690</v>
      </c>
      <c r="F2410" s="0" t="n">
        <v>5</v>
      </c>
      <c r="G2410" s="0" t="n">
        <v>0</v>
      </c>
      <c r="H2410" s="0" t="s">
        <v>585</v>
      </c>
      <c r="K2410" s="0" t="s">
        <v>581</v>
      </c>
      <c r="L2410" s="0" t="s">
        <v>4308</v>
      </c>
    </row>
    <row r="2411" customFormat="false" ht="15" hidden="false" customHeight="false" outlineLevel="0" collapsed="false">
      <c r="A2411" s="0" t="s">
        <v>71</v>
      </c>
      <c r="B2411" s="0" t="s">
        <v>303</v>
      </c>
      <c r="C2411" s="0" t="s">
        <v>577</v>
      </c>
      <c r="D2411" s="0" t="s">
        <v>990</v>
      </c>
      <c r="E2411" s="0" t="s">
        <v>1692</v>
      </c>
      <c r="F2411" s="0" t="n">
        <v>5</v>
      </c>
      <c r="G2411" s="0" t="n">
        <v>0</v>
      </c>
      <c r="H2411" s="0" t="s">
        <v>585</v>
      </c>
      <c r="K2411" s="0" t="s">
        <v>586</v>
      </c>
      <c r="L2411" s="0" t="s">
        <v>4309</v>
      </c>
    </row>
    <row r="2412" customFormat="false" ht="15" hidden="false" customHeight="false" outlineLevel="0" collapsed="false">
      <c r="A2412" s="0" t="s">
        <v>71</v>
      </c>
      <c r="B2412" s="0" t="s">
        <v>303</v>
      </c>
      <c r="C2412" s="0" t="s">
        <v>577</v>
      </c>
      <c r="D2412" s="0" t="s">
        <v>993</v>
      </c>
      <c r="E2412" s="0" t="s">
        <v>1694</v>
      </c>
      <c r="F2412" s="0" t="n">
        <v>5</v>
      </c>
      <c r="G2412" s="0" t="n">
        <v>0</v>
      </c>
      <c r="H2412" s="0" t="s">
        <v>585</v>
      </c>
      <c r="K2412" s="0" t="s">
        <v>590</v>
      </c>
      <c r="L2412" s="0" t="s">
        <v>4310</v>
      </c>
    </row>
    <row r="2413" customFormat="false" ht="15" hidden="false" customHeight="false" outlineLevel="0" collapsed="false">
      <c r="A2413" s="0" t="s">
        <v>71</v>
      </c>
      <c r="B2413" s="0" t="s">
        <v>303</v>
      </c>
      <c r="C2413" s="0" t="s">
        <v>577</v>
      </c>
      <c r="D2413" s="0" t="s">
        <v>126</v>
      </c>
      <c r="E2413" s="0" t="s">
        <v>1696</v>
      </c>
      <c r="F2413" s="0" t="n">
        <v>5</v>
      </c>
      <c r="G2413" s="0" t="n">
        <v>0</v>
      </c>
      <c r="H2413" s="0" t="s">
        <v>585</v>
      </c>
      <c r="K2413" s="0" t="s">
        <v>594</v>
      </c>
      <c r="L2413" s="0" t="s">
        <v>4311</v>
      </c>
    </row>
    <row r="2414" customFormat="false" ht="15" hidden="false" customHeight="false" outlineLevel="0" collapsed="false">
      <c r="A2414" s="0" t="s">
        <v>71</v>
      </c>
      <c r="B2414" s="0" t="s">
        <v>303</v>
      </c>
      <c r="C2414" s="0" t="s">
        <v>577</v>
      </c>
      <c r="D2414" s="0" t="s">
        <v>129</v>
      </c>
      <c r="E2414" s="0" t="s">
        <v>1698</v>
      </c>
      <c r="F2414" s="0" t="n">
        <v>5</v>
      </c>
      <c r="G2414" s="0" t="n">
        <v>0</v>
      </c>
      <c r="H2414" s="0" t="s">
        <v>585</v>
      </c>
      <c r="K2414" s="0" t="s">
        <v>597</v>
      </c>
      <c r="L2414" s="0" t="s">
        <v>4312</v>
      </c>
    </row>
    <row r="2415" customFormat="false" ht="15" hidden="false" customHeight="false" outlineLevel="0" collapsed="false">
      <c r="A2415" s="0" t="s">
        <v>71</v>
      </c>
      <c r="B2415" s="0" t="s">
        <v>303</v>
      </c>
      <c r="C2415" s="0" t="s">
        <v>577</v>
      </c>
      <c r="D2415" s="0" t="s">
        <v>132</v>
      </c>
      <c r="E2415" s="0" t="s">
        <v>1700</v>
      </c>
      <c r="F2415" s="0" t="n">
        <v>5</v>
      </c>
      <c r="G2415" s="0" t="n">
        <v>0</v>
      </c>
      <c r="H2415" s="0" t="s">
        <v>585</v>
      </c>
      <c r="K2415" s="0" t="s">
        <v>600</v>
      </c>
      <c r="L2415" s="0" t="s">
        <v>4313</v>
      </c>
    </row>
    <row r="2416" customFormat="false" ht="15" hidden="false" customHeight="false" outlineLevel="0" collapsed="false">
      <c r="A2416" s="0" t="s">
        <v>71</v>
      </c>
      <c r="B2416" s="0" t="s">
        <v>303</v>
      </c>
      <c r="C2416" s="0" t="s">
        <v>577</v>
      </c>
      <c r="D2416" s="0" t="s">
        <v>139</v>
      </c>
      <c r="E2416" s="0" t="s">
        <v>1702</v>
      </c>
      <c r="F2416" s="0" t="n">
        <v>5</v>
      </c>
      <c r="G2416" s="0" t="n">
        <v>0</v>
      </c>
      <c r="H2416" s="0" t="s">
        <v>585</v>
      </c>
      <c r="K2416" s="0" t="s">
        <v>604</v>
      </c>
      <c r="L2416" s="0" t="s">
        <v>4314</v>
      </c>
    </row>
    <row r="2417" customFormat="false" ht="15" hidden="false" customHeight="false" outlineLevel="0" collapsed="false">
      <c r="A2417" s="0" t="s">
        <v>71</v>
      </c>
      <c r="B2417" s="0" t="s">
        <v>303</v>
      </c>
      <c r="C2417" s="0" t="s">
        <v>577</v>
      </c>
      <c r="D2417" s="0" t="s">
        <v>143</v>
      </c>
      <c r="E2417" s="0" t="s">
        <v>1704</v>
      </c>
      <c r="F2417" s="0" t="n">
        <v>5</v>
      </c>
      <c r="G2417" s="0" t="n">
        <v>0</v>
      </c>
      <c r="H2417" s="0" t="s">
        <v>585</v>
      </c>
      <c r="K2417" s="0" t="s">
        <v>607</v>
      </c>
      <c r="L2417" s="0" t="s">
        <v>4315</v>
      </c>
    </row>
    <row r="2418" customFormat="false" ht="15" hidden="false" customHeight="false" outlineLevel="0" collapsed="false">
      <c r="A2418" s="0" t="s">
        <v>71</v>
      </c>
      <c r="B2418" s="0" t="s">
        <v>303</v>
      </c>
      <c r="C2418" s="0" t="s">
        <v>577</v>
      </c>
      <c r="D2418" s="0" t="s">
        <v>146</v>
      </c>
      <c r="E2418" s="0" t="s">
        <v>1706</v>
      </c>
      <c r="F2418" s="0" t="n">
        <v>5</v>
      </c>
      <c r="G2418" s="0" t="n">
        <v>0</v>
      </c>
      <c r="H2418" s="0" t="s">
        <v>585</v>
      </c>
      <c r="K2418" s="0" t="s">
        <v>610</v>
      </c>
      <c r="L2418" s="0" t="s">
        <v>4316</v>
      </c>
    </row>
    <row r="2419" customFormat="false" ht="15" hidden="false" customHeight="false" outlineLevel="0" collapsed="false">
      <c r="A2419" s="0" t="s">
        <v>71</v>
      </c>
      <c r="B2419" s="0" t="s">
        <v>303</v>
      </c>
      <c r="C2419" s="0" t="s">
        <v>577</v>
      </c>
      <c r="D2419" s="0" t="s">
        <v>149</v>
      </c>
      <c r="E2419" s="0" t="s">
        <v>1708</v>
      </c>
      <c r="F2419" s="0" t="n">
        <v>5</v>
      </c>
      <c r="G2419" s="0" t="n">
        <v>0</v>
      </c>
      <c r="H2419" s="0" t="s">
        <v>585</v>
      </c>
      <c r="K2419" s="0" t="s">
        <v>613</v>
      </c>
      <c r="L2419" s="0" t="s">
        <v>4317</v>
      </c>
    </row>
    <row r="2420" customFormat="false" ht="15" hidden="false" customHeight="false" outlineLevel="0" collapsed="false">
      <c r="A2420" s="0" t="s">
        <v>71</v>
      </c>
      <c r="B2420" s="0" t="s">
        <v>303</v>
      </c>
      <c r="C2420" s="0" t="s">
        <v>577</v>
      </c>
      <c r="D2420" s="0" t="s">
        <v>152</v>
      </c>
      <c r="E2420" s="0" t="s">
        <v>1710</v>
      </c>
      <c r="F2420" s="0" t="n">
        <v>5</v>
      </c>
      <c r="G2420" s="0" t="n">
        <v>0</v>
      </c>
      <c r="H2420" s="0" t="s">
        <v>585</v>
      </c>
      <c r="K2420" s="0" t="s">
        <v>616</v>
      </c>
      <c r="L2420" s="0" t="s">
        <v>4318</v>
      </c>
    </row>
    <row r="2421" customFormat="false" ht="15" hidden="false" customHeight="false" outlineLevel="0" collapsed="false">
      <c r="A2421" s="0" t="s">
        <v>71</v>
      </c>
      <c r="B2421" s="0" t="s">
        <v>303</v>
      </c>
      <c r="C2421" s="0" t="s">
        <v>577</v>
      </c>
      <c r="D2421" s="0" t="s">
        <v>155</v>
      </c>
      <c r="E2421" s="0" t="s">
        <v>1712</v>
      </c>
      <c r="F2421" s="0" t="n">
        <v>5</v>
      </c>
      <c r="G2421" s="0" t="n">
        <v>0</v>
      </c>
      <c r="H2421" s="0" t="s">
        <v>585</v>
      </c>
      <c r="K2421" s="0" t="s">
        <v>620</v>
      </c>
      <c r="L2421" s="0" t="s">
        <v>4319</v>
      </c>
    </row>
    <row r="2422" customFormat="false" ht="15" hidden="false" customHeight="false" outlineLevel="0" collapsed="false">
      <c r="A2422" s="0" t="s">
        <v>71</v>
      </c>
      <c r="B2422" s="0" t="s">
        <v>303</v>
      </c>
      <c r="C2422" s="0" t="s">
        <v>622</v>
      </c>
      <c r="D2422" s="0" t="s">
        <v>987</v>
      </c>
      <c r="E2422" s="0" t="s">
        <v>1714</v>
      </c>
      <c r="F2422" s="0" t="n">
        <v>5</v>
      </c>
      <c r="G2422" s="0" t="n">
        <v>0</v>
      </c>
      <c r="H2422" s="0" t="s">
        <v>585</v>
      </c>
      <c r="K2422" s="0" t="s">
        <v>581</v>
      </c>
      <c r="L2422" s="0" t="s">
        <v>4320</v>
      </c>
    </row>
    <row r="2423" customFormat="false" ht="15" hidden="false" customHeight="false" outlineLevel="0" collapsed="false">
      <c r="A2423" s="0" t="s">
        <v>71</v>
      </c>
      <c r="B2423" s="0" t="s">
        <v>303</v>
      </c>
      <c r="C2423" s="0" t="s">
        <v>622</v>
      </c>
      <c r="D2423" s="0" t="s">
        <v>990</v>
      </c>
      <c r="E2423" s="0" t="s">
        <v>1716</v>
      </c>
      <c r="F2423" s="0" t="n">
        <v>5</v>
      </c>
      <c r="G2423" s="0" t="n">
        <v>0</v>
      </c>
      <c r="H2423" s="0" t="s">
        <v>585</v>
      </c>
      <c r="K2423" s="0" t="s">
        <v>586</v>
      </c>
      <c r="L2423" s="0" t="s">
        <v>4321</v>
      </c>
    </row>
    <row r="2424" customFormat="false" ht="15" hidden="false" customHeight="false" outlineLevel="0" collapsed="false">
      <c r="A2424" s="0" t="s">
        <v>71</v>
      </c>
      <c r="B2424" s="0" t="s">
        <v>303</v>
      </c>
      <c r="C2424" s="0" t="s">
        <v>622</v>
      </c>
      <c r="D2424" s="0" t="s">
        <v>993</v>
      </c>
      <c r="E2424" s="0" t="s">
        <v>1718</v>
      </c>
      <c r="F2424" s="0" t="n">
        <v>5</v>
      </c>
      <c r="G2424" s="0" t="n">
        <v>0</v>
      </c>
      <c r="H2424" s="0" t="s">
        <v>585</v>
      </c>
      <c r="K2424" s="0" t="s">
        <v>590</v>
      </c>
      <c r="L2424" s="0" t="s">
        <v>4322</v>
      </c>
    </row>
    <row r="2425" customFormat="false" ht="15" hidden="false" customHeight="false" outlineLevel="0" collapsed="false">
      <c r="A2425" s="0" t="s">
        <v>71</v>
      </c>
      <c r="B2425" s="0" t="s">
        <v>303</v>
      </c>
      <c r="C2425" s="0" t="s">
        <v>622</v>
      </c>
      <c r="D2425" s="0" t="s">
        <v>126</v>
      </c>
      <c r="E2425" s="0" t="s">
        <v>1720</v>
      </c>
      <c r="F2425" s="0" t="n">
        <v>5</v>
      </c>
      <c r="G2425" s="0" t="n">
        <v>0</v>
      </c>
      <c r="H2425" s="0" t="s">
        <v>585</v>
      </c>
      <c r="K2425" s="0" t="s">
        <v>594</v>
      </c>
      <c r="L2425" s="0" t="s">
        <v>4323</v>
      </c>
    </row>
    <row r="2426" customFormat="false" ht="15" hidden="false" customHeight="false" outlineLevel="0" collapsed="false">
      <c r="A2426" s="0" t="s">
        <v>71</v>
      </c>
      <c r="B2426" s="0" t="s">
        <v>303</v>
      </c>
      <c r="C2426" s="0" t="s">
        <v>622</v>
      </c>
      <c r="D2426" s="0" t="s">
        <v>129</v>
      </c>
      <c r="E2426" s="0" t="s">
        <v>1722</v>
      </c>
      <c r="F2426" s="0" t="n">
        <v>5</v>
      </c>
      <c r="G2426" s="0" t="n">
        <v>1</v>
      </c>
      <c r="H2426" s="0" t="s">
        <v>585</v>
      </c>
      <c r="I2426" s="0" t="s">
        <v>4324</v>
      </c>
      <c r="K2426" s="0" t="s">
        <v>597</v>
      </c>
      <c r="L2426" s="0" t="s">
        <v>4325</v>
      </c>
    </row>
    <row r="2427" customFormat="false" ht="15" hidden="false" customHeight="false" outlineLevel="0" collapsed="false">
      <c r="A2427" s="0" t="s">
        <v>71</v>
      </c>
      <c r="B2427" s="0" t="s">
        <v>303</v>
      </c>
      <c r="C2427" s="0" t="s">
        <v>622</v>
      </c>
      <c r="D2427" s="0" t="s">
        <v>132</v>
      </c>
      <c r="E2427" s="0" t="s">
        <v>1724</v>
      </c>
      <c r="F2427" s="0" t="n">
        <v>5</v>
      </c>
      <c r="G2427" s="0" t="n">
        <v>0</v>
      </c>
      <c r="H2427" s="0" t="s">
        <v>585</v>
      </c>
      <c r="K2427" s="0" t="s">
        <v>600</v>
      </c>
      <c r="L2427" s="0" t="s">
        <v>4326</v>
      </c>
    </row>
    <row r="2428" customFormat="false" ht="15" hidden="false" customHeight="false" outlineLevel="0" collapsed="false">
      <c r="A2428" s="0" t="s">
        <v>71</v>
      </c>
      <c r="B2428" s="0" t="s">
        <v>303</v>
      </c>
      <c r="C2428" s="0" t="s">
        <v>622</v>
      </c>
      <c r="D2428" s="0" t="s">
        <v>139</v>
      </c>
      <c r="E2428" s="0" t="s">
        <v>1726</v>
      </c>
      <c r="F2428" s="0" t="n">
        <v>5</v>
      </c>
      <c r="G2428" s="0" t="n">
        <v>0</v>
      </c>
      <c r="H2428" s="0" t="s">
        <v>585</v>
      </c>
      <c r="K2428" s="0" t="s">
        <v>604</v>
      </c>
      <c r="L2428" s="0" t="s">
        <v>4327</v>
      </c>
    </row>
    <row r="2429" customFormat="false" ht="15" hidden="false" customHeight="false" outlineLevel="0" collapsed="false">
      <c r="A2429" s="0" t="s">
        <v>71</v>
      </c>
      <c r="B2429" s="0" t="s">
        <v>303</v>
      </c>
      <c r="C2429" s="0" t="s">
        <v>622</v>
      </c>
      <c r="D2429" s="0" t="s">
        <v>143</v>
      </c>
      <c r="E2429" s="0" t="s">
        <v>1728</v>
      </c>
      <c r="F2429" s="0" t="n">
        <v>5</v>
      </c>
      <c r="G2429" s="0" t="n">
        <v>0</v>
      </c>
      <c r="H2429" s="0" t="s">
        <v>585</v>
      </c>
      <c r="K2429" s="0" t="s">
        <v>607</v>
      </c>
      <c r="L2429" s="0" t="s">
        <v>4328</v>
      </c>
    </row>
    <row r="2430" customFormat="false" ht="15" hidden="false" customHeight="false" outlineLevel="0" collapsed="false">
      <c r="A2430" s="0" t="s">
        <v>71</v>
      </c>
      <c r="B2430" s="0" t="s">
        <v>303</v>
      </c>
      <c r="C2430" s="0" t="s">
        <v>622</v>
      </c>
      <c r="D2430" s="0" t="s">
        <v>146</v>
      </c>
      <c r="E2430" s="0" t="s">
        <v>1730</v>
      </c>
      <c r="F2430" s="0" t="n">
        <v>5</v>
      </c>
      <c r="G2430" s="0" t="n">
        <v>0</v>
      </c>
      <c r="H2430" s="0" t="s">
        <v>585</v>
      </c>
      <c r="K2430" s="0" t="s">
        <v>610</v>
      </c>
      <c r="L2430" s="0" t="s">
        <v>4329</v>
      </c>
    </row>
    <row r="2431" customFormat="false" ht="15" hidden="false" customHeight="false" outlineLevel="0" collapsed="false">
      <c r="A2431" s="0" t="s">
        <v>71</v>
      </c>
      <c r="B2431" s="0" t="s">
        <v>303</v>
      </c>
      <c r="C2431" s="0" t="s">
        <v>622</v>
      </c>
      <c r="D2431" s="0" t="s">
        <v>149</v>
      </c>
      <c r="E2431" s="0" t="s">
        <v>1732</v>
      </c>
      <c r="F2431" s="0" t="n">
        <v>5</v>
      </c>
      <c r="G2431" s="0" t="n">
        <v>0</v>
      </c>
      <c r="H2431" s="0" t="s">
        <v>585</v>
      </c>
      <c r="K2431" s="0" t="s">
        <v>613</v>
      </c>
      <c r="L2431" s="0" t="s">
        <v>4330</v>
      </c>
    </row>
    <row r="2432" customFormat="false" ht="15" hidden="false" customHeight="false" outlineLevel="0" collapsed="false">
      <c r="A2432" s="0" t="s">
        <v>71</v>
      </c>
      <c r="B2432" s="0" t="s">
        <v>303</v>
      </c>
      <c r="C2432" s="0" t="s">
        <v>622</v>
      </c>
      <c r="D2432" s="0" t="s">
        <v>152</v>
      </c>
      <c r="E2432" s="0" t="s">
        <v>1734</v>
      </c>
      <c r="F2432" s="0" t="n">
        <v>5</v>
      </c>
      <c r="G2432" s="0" t="n">
        <v>0</v>
      </c>
      <c r="H2432" s="0" t="s">
        <v>585</v>
      </c>
      <c r="K2432" s="0" t="s">
        <v>616</v>
      </c>
      <c r="L2432" s="0" t="s">
        <v>4331</v>
      </c>
    </row>
    <row r="2433" customFormat="false" ht="15" hidden="false" customHeight="false" outlineLevel="0" collapsed="false">
      <c r="A2433" s="0" t="s">
        <v>71</v>
      </c>
      <c r="B2433" s="0" t="s">
        <v>303</v>
      </c>
      <c r="C2433" s="0" t="s">
        <v>622</v>
      </c>
      <c r="D2433" s="0" t="s">
        <v>155</v>
      </c>
      <c r="E2433" s="0" t="s">
        <v>1736</v>
      </c>
      <c r="F2433" s="0" t="n">
        <v>5</v>
      </c>
      <c r="G2433" s="0" t="n">
        <v>0</v>
      </c>
      <c r="H2433" s="0" t="s">
        <v>585</v>
      </c>
      <c r="K2433" s="0" t="s">
        <v>620</v>
      </c>
      <c r="L2433" s="0" t="s">
        <v>4332</v>
      </c>
    </row>
    <row r="2434" customFormat="false" ht="15" hidden="false" customHeight="false" outlineLevel="0" collapsed="false">
      <c r="A2434" s="0" t="s">
        <v>71</v>
      </c>
      <c r="B2434" s="0" t="s">
        <v>303</v>
      </c>
      <c r="C2434" s="0" t="s">
        <v>649</v>
      </c>
      <c r="D2434" s="0" t="s">
        <v>987</v>
      </c>
      <c r="E2434" s="0" t="s">
        <v>1738</v>
      </c>
      <c r="F2434" s="0" t="n">
        <v>5</v>
      </c>
      <c r="G2434" s="0" t="n">
        <v>0</v>
      </c>
      <c r="H2434" s="0" t="s">
        <v>585</v>
      </c>
      <c r="K2434" s="0" t="s">
        <v>581</v>
      </c>
      <c r="L2434" s="0" t="s">
        <v>4333</v>
      </c>
    </row>
    <row r="2435" customFormat="false" ht="15" hidden="false" customHeight="false" outlineLevel="0" collapsed="false">
      <c r="A2435" s="0" t="s">
        <v>71</v>
      </c>
      <c r="B2435" s="0" t="s">
        <v>303</v>
      </c>
      <c r="C2435" s="0" t="s">
        <v>649</v>
      </c>
      <c r="D2435" s="0" t="s">
        <v>990</v>
      </c>
      <c r="E2435" s="0" t="s">
        <v>1740</v>
      </c>
      <c r="F2435" s="0" t="n">
        <v>5</v>
      </c>
      <c r="G2435" s="0" t="n">
        <v>0</v>
      </c>
      <c r="H2435" s="0" t="s">
        <v>585</v>
      </c>
      <c r="K2435" s="0" t="s">
        <v>586</v>
      </c>
      <c r="L2435" s="0" t="s">
        <v>4334</v>
      </c>
    </row>
    <row r="2436" customFormat="false" ht="15" hidden="false" customHeight="false" outlineLevel="0" collapsed="false">
      <c r="A2436" s="0" t="s">
        <v>71</v>
      </c>
      <c r="B2436" s="0" t="s">
        <v>303</v>
      </c>
      <c r="C2436" s="0" t="s">
        <v>649</v>
      </c>
      <c r="D2436" s="0" t="s">
        <v>993</v>
      </c>
      <c r="E2436" s="0" t="s">
        <v>1742</v>
      </c>
      <c r="F2436" s="0" t="n">
        <v>5</v>
      </c>
      <c r="G2436" s="0" t="n">
        <v>0</v>
      </c>
      <c r="H2436" s="0" t="s">
        <v>585</v>
      </c>
      <c r="K2436" s="0" t="s">
        <v>590</v>
      </c>
      <c r="L2436" s="0" t="s">
        <v>4335</v>
      </c>
    </row>
    <row r="2437" customFormat="false" ht="15" hidden="false" customHeight="false" outlineLevel="0" collapsed="false">
      <c r="A2437" s="0" t="s">
        <v>71</v>
      </c>
      <c r="B2437" s="0" t="s">
        <v>303</v>
      </c>
      <c r="C2437" s="0" t="s">
        <v>649</v>
      </c>
      <c r="D2437" s="0" t="s">
        <v>126</v>
      </c>
      <c r="E2437" s="0" t="s">
        <v>1744</v>
      </c>
      <c r="F2437" s="0" t="n">
        <v>5</v>
      </c>
      <c r="G2437" s="0" t="n">
        <v>0</v>
      </c>
      <c r="H2437" s="0" t="s">
        <v>585</v>
      </c>
      <c r="K2437" s="0" t="s">
        <v>594</v>
      </c>
      <c r="L2437" s="0" t="s">
        <v>4336</v>
      </c>
    </row>
    <row r="2438" customFormat="false" ht="15" hidden="false" customHeight="false" outlineLevel="0" collapsed="false">
      <c r="A2438" s="0" t="s">
        <v>71</v>
      </c>
      <c r="B2438" s="0" t="s">
        <v>303</v>
      </c>
      <c r="C2438" s="0" t="s">
        <v>649</v>
      </c>
      <c r="D2438" s="0" t="s">
        <v>129</v>
      </c>
      <c r="E2438" s="0" t="s">
        <v>1746</v>
      </c>
      <c r="F2438" s="0" t="n">
        <v>5</v>
      </c>
      <c r="G2438" s="0" t="n">
        <v>1</v>
      </c>
      <c r="H2438" s="0" t="s">
        <v>585</v>
      </c>
      <c r="I2438" s="0" t="s">
        <v>4337</v>
      </c>
      <c r="K2438" s="0" t="s">
        <v>597</v>
      </c>
      <c r="L2438" s="0" t="s">
        <v>4338</v>
      </c>
    </row>
    <row r="2439" customFormat="false" ht="15" hidden="false" customHeight="false" outlineLevel="0" collapsed="false">
      <c r="A2439" s="0" t="s">
        <v>71</v>
      </c>
      <c r="B2439" s="0" t="s">
        <v>303</v>
      </c>
      <c r="C2439" s="0" t="s">
        <v>649</v>
      </c>
      <c r="D2439" s="0" t="s">
        <v>132</v>
      </c>
      <c r="E2439" s="0" t="s">
        <v>1748</v>
      </c>
      <c r="F2439" s="0" t="n">
        <v>5</v>
      </c>
      <c r="G2439" s="0" t="n">
        <v>0</v>
      </c>
      <c r="H2439" s="0" t="s">
        <v>585</v>
      </c>
      <c r="K2439" s="0" t="s">
        <v>600</v>
      </c>
      <c r="L2439" s="0" t="s">
        <v>4339</v>
      </c>
    </row>
    <row r="2440" customFormat="false" ht="15" hidden="false" customHeight="false" outlineLevel="0" collapsed="false">
      <c r="A2440" s="0" t="s">
        <v>71</v>
      </c>
      <c r="B2440" s="0" t="s">
        <v>303</v>
      </c>
      <c r="C2440" s="0" t="s">
        <v>649</v>
      </c>
      <c r="D2440" s="0" t="s">
        <v>139</v>
      </c>
      <c r="E2440" s="0" t="s">
        <v>1750</v>
      </c>
      <c r="F2440" s="0" t="n">
        <v>5</v>
      </c>
      <c r="G2440" s="0" t="n">
        <v>0</v>
      </c>
      <c r="H2440" s="0" t="s">
        <v>585</v>
      </c>
      <c r="K2440" s="0" t="s">
        <v>604</v>
      </c>
      <c r="L2440" s="0" t="s">
        <v>4340</v>
      </c>
    </row>
    <row r="2441" customFormat="false" ht="15" hidden="false" customHeight="false" outlineLevel="0" collapsed="false">
      <c r="A2441" s="0" t="s">
        <v>71</v>
      </c>
      <c r="B2441" s="0" t="s">
        <v>303</v>
      </c>
      <c r="C2441" s="0" t="s">
        <v>649</v>
      </c>
      <c r="D2441" s="0" t="s">
        <v>143</v>
      </c>
      <c r="E2441" s="0" t="s">
        <v>1752</v>
      </c>
      <c r="F2441" s="0" t="n">
        <v>5</v>
      </c>
      <c r="G2441" s="0" t="n">
        <v>0</v>
      </c>
      <c r="H2441" s="0" t="s">
        <v>585</v>
      </c>
      <c r="K2441" s="0" t="s">
        <v>607</v>
      </c>
      <c r="L2441" s="0" t="s">
        <v>4341</v>
      </c>
    </row>
    <row r="2442" customFormat="false" ht="15" hidden="false" customHeight="false" outlineLevel="0" collapsed="false">
      <c r="A2442" s="0" t="s">
        <v>71</v>
      </c>
      <c r="B2442" s="0" t="s">
        <v>303</v>
      </c>
      <c r="C2442" s="0" t="s">
        <v>649</v>
      </c>
      <c r="D2442" s="0" t="s">
        <v>146</v>
      </c>
      <c r="E2442" s="0" t="s">
        <v>1754</v>
      </c>
      <c r="F2442" s="0" t="n">
        <v>5</v>
      </c>
      <c r="G2442" s="0" t="n">
        <v>1</v>
      </c>
      <c r="H2442" s="0" t="s">
        <v>585</v>
      </c>
      <c r="I2442" s="0" t="s">
        <v>4324</v>
      </c>
      <c r="K2442" s="0" t="s">
        <v>610</v>
      </c>
      <c r="L2442" s="0" t="s">
        <v>4342</v>
      </c>
    </row>
    <row r="2443" customFormat="false" ht="15" hidden="false" customHeight="false" outlineLevel="0" collapsed="false">
      <c r="A2443" s="0" t="s">
        <v>71</v>
      </c>
      <c r="B2443" s="0" t="s">
        <v>303</v>
      </c>
      <c r="C2443" s="0" t="s">
        <v>649</v>
      </c>
      <c r="D2443" s="0" t="s">
        <v>149</v>
      </c>
      <c r="E2443" s="0" t="s">
        <v>1756</v>
      </c>
      <c r="F2443" s="0" t="n">
        <v>5</v>
      </c>
      <c r="G2443" s="0" t="n">
        <v>0</v>
      </c>
      <c r="H2443" s="0" t="s">
        <v>585</v>
      </c>
      <c r="K2443" s="0" t="s">
        <v>613</v>
      </c>
      <c r="L2443" s="0" t="s">
        <v>4343</v>
      </c>
    </row>
    <row r="2444" customFormat="false" ht="15" hidden="false" customHeight="false" outlineLevel="0" collapsed="false">
      <c r="A2444" s="0" t="s">
        <v>71</v>
      </c>
      <c r="B2444" s="0" t="s">
        <v>303</v>
      </c>
      <c r="C2444" s="0" t="s">
        <v>649</v>
      </c>
      <c r="D2444" s="0" t="s">
        <v>152</v>
      </c>
      <c r="E2444" s="0" t="s">
        <v>1758</v>
      </c>
      <c r="F2444" s="0" t="n">
        <v>5</v>
      </c>
      <c r="G2444" s="0" t="n">
        <v>0</v>
      </c>
      <c r="H2444" s="0" t="s">
        <v>585</v>
      </c>
      <c r="K2444" s="0" t="s">
        <v>616</v>
      </c>
      <c r="L2444" s="0" t="s">
        <v>4344</v>
      </c>
    </row>
    <row r="2445" customFormat="false" ht="15" hidden="false" customHeight="false" outlineLevel="0" collapsed="false">
      <c r="A2445" s="0" t="s">
        <v>71</v>
      </c>
      <c r="B2445" s="0" t="s">
        <v>303</v>
      </c>
      <c r="C2445" s="0" t="s">
        <v>649</v>
      </c>
      <c r="D2445" s="0" t="s">
        <v>155</v>
      </c>
      <c r="E2445" s="0" t="s">
        <v>1760</v>
      </c>
      <c r="F2445" s="0" t="n">
        <v>5</v>
      </c>
      <c r="G2445" s="0" t="n">
        <v>0</v>
      </c>
      <c r="H2445" s="0" t="s">
        <v>585</v>
      </c>
      <c r="K2445" s="0" t="s">
        <v>620</v>
      </c>
      <c r="L2445" s="0" t="s">
        <v>4345</v>
      </c>
    </row>
    <row r="2446" customFormat="false" ht="15" hidden="false" customHeight="false" outlineLevel="0" collapsed="false">
      <c r="A2446" s="0" t="s">
        <v>71</v>
      </c>
      <c r="B2446" s="0" t="s">
        <v>303</v>
      </c>
      <c r="C2446" s="0" t="s">
        <v>675</v>
      </c>
      <c r="D2446" s="0" t="s">
        <v>987</v>
      </c>
      <c r="E2446" s="0" t="s">
        <v>1762</v>
      </c>
      <c r="F2446" s="0" t="n">
        <v>5</v>
      </c>
      <c r="G2446" s="0" t="n">
        <v>0</v>
      </c>
      <c r="H2446" s="0" t="s">
        <v>585</v>
      </c>
      <c r="K2446" s="0" t="s">
        <v>581</v>
      </c>
      <c r="L2446" s="0" t="s">
        <v>4346</v>
      </c>
    </row>
    <row r="2447" customFormat="false" ht="15" hidden="false" customHeight="false" outlineLevel="0" collapsed="false">
      <c r="A2447" s="0" t="s">
        <v>71</v>
      </c>
      <c r="B2447" s="0" t="s">
        <v>303</v>
      </c>
      <c r="C2447" s="0" t="s">
        <v>675</v>
      </c>
      <c r="D2447" s="0" t="s">
        <v>990</v>
      </c>
      <c r="E2447" s="0" t="s">
        <v>1764</v>
      </c>
      <c r="F2447" s="0" t="n">
        <v>5</v>
      </c>
      <c r="G2447" s="0" t="n">
        <v>0</v>
      </c>
      <c r="H2447" s="0" t="s">
        <v>585</v>
      </c>
      <c r="K2447" s="0" t="s">
        <v>586</v>
      </c>
      <c r="L2447" s="0" t="s">
        <v>4347</v>
      </c>
    </row>
    <row r="2448" customFormat="false" ht="15" hidden="false" customHeight="false" outlineLevel="0" collapsed="false">
      <c r="A2448" s="0" t="s">
        <v>71</v>
      </c>
      <c r="B2448" s="0" t="s">
        <v>303</v>
      </c>
      <c r="C2448" s="0" t="s">
        <v>675</v>
      </c>
      <c r="D2448" s="0" t="s">
        <v>993</v>
      </c>
      <c r="E2448" s="0" t="s">
        <v>1766</v>
      </c>
      <c r="F2448" s="0" t="n">
        <v>5</v>
      </c>
      <c r="G2448" s="0" t="n">
        <v>0</v>
      </c>
      <c r="H2448" s="0" t="s">
        <v>585</v>
      </c>
      <c r="K2448" s="0" t="s">
        <v>590</v>
      </c>
      <c r="L2448" s="0" t="s">
        <v>4348</v>
      </c>
    </row>
    <row r="2449" customFormat="false" ht="15" hidden="false" customHeight="false" outlineLevel="0" collapsed="false">
      <c r="A2449" s="0" t="s">
        <v>71</v>
      </c>
      <c r="B2449" s="0" t="s">
        <v>303</v>
      </c>
      <c r="C2449" s="0" t="s">
        <v>675</v>
      </c>
      <c r="D2449" s="0" t="s">
        <v>126</v>
      </c>
      <c r="E2449" s="0" t="s">
        <v>1768</v>
      </c>
      <c r="F2449" s="0" t="n">
        <v>5</v>
      </c>
      <c r="G2449" s="0" t="n">
        <v>0</v>
      </c>
      <c r="H2449" s="0" t="s">
        <v>585</v>
      </c>
      <c r="K2449" s="0" t="s">
        <v>594</v>
      </c>
      <c r="L2449" s="0" t="s">
        <v>4349</v>
      </c>
    </row>
    <row r="2450" customFormat="false" ht="15" hidden="false" customHeight="false" outlineLevel="0" collapsed="false">
      <c r="A2450" s="0" t="s">
        <v>71</v>
      </c>
      <c r="B2450" s="0" t="s">
        <v>303</v>
      </c>
      <c r="C2450" s="0" t="s">
        <v>675</v>
      </c>
      <c r="D2450" s="0" t="s">
        <v>129</v>
      </c>
      <c r="E2450" s="0" t="s">
        <v>1770</v>
      </c>
      <c r="F2450" s="0" t="n">
        <v>5</v>
      </c>
      <c r="G2450" s="0" t="n">
        <v>0</v>
      </c>
      <c r="H2450" s="0" t="s">
        <v>585</v>
      </c>
      <c r="K2450" s="0" t="s">
        <v>597</v>
      </c>
      <c r="L2450" s="0" t="s">
        <v>4350</v>
      </c>
    </row>
    <row r="2451" customFormat="false" ht="15" hidden="false" customHeight="false" outlineLevel="0" collapsed="false">
      <c r="A2451" s="0" t="s">
        <v>71</v>
      </c>
      <c r="B2451" s="0" t="s">
        <v>303</v>
      </c>
      <c r="C2451" s="0" t="s">
        <v>675</v>
      </c>
      <c r="D2451" s="0" t="s">
        <v>132</v>
      </c>
      <c r="E2451" s="0" t="s">
        <v>1772</v>
      </c>
      <c r="F2451" s="0" t="n">
        <v>5</v>
      </c>
      <c r="G2451" s="0" t="n">
        <v>0</v>
      </c>
      <c r="H2451" s="0" t="s">
        <v>585</v>
      </c>
      <c r="K2451" s="0" t="s">
        <v>600</v>
      </c>
      <c r="L2451" s="0" t="s">
        <v>4351</v>
      </c>
    </row>
    <row r="2452" customFormat="false" ht="15" hidden="false" customHeight="false" outlineLevel="0" collapsed="false">
      <c r="A2452" s="0" t="s">
        <v>71</v>
      </c>
      <c r="B2452" s="0" t="s">
        <v>303</v>
      </c>
      <c r="C2452" s="0" t="s">
        <v>675</v>
      </c>
      <c r="D2452" s="0" t="s">
        <v>139</v>
      </c>
      <c r="E2452" s="0" t="s">
        <v>1774</v>
      </c>
      <c r="F2452" s="0" t="n">
        <v>5</v>
      </c>
      <c r="G2452" s="0" t="n">
        <v>1</v>
      </c>
      <c r="H2452" s="0" t="s">
        <v>585</v>
      </c>
      <c r="I2452" s="0" t="s">
        <v>4337</v>
      </c>
      <c r="K2452" s="0" t="s">
        <v>604</v>
      </c>
      <c r="L2452" s="0" t="s">
        <v>4352</v>
      </c>
    </row>
    <row r="2453" customFormat="false" ht="15" hidden="false" customHeight="false" outlineLevel="0" collapsed="false">
      <c r="A2453" s="0" t="s">
        <v>71</v>
      </c>
      <c r="B2453" s="0" t="s">
        <v>303</v>
      </c>
      <c r="C2453" s="0" t="s">
        <v>675</v>
      </c>
      <c r="D2453" s="0" t="s">
        <v>143</v>
      </c>
      <c r="E2453" s="0" t="s">
        <v>1776</v>
      </c>
      <c r="F2453" s="0" t="n">
        <v>5</v>
      </c>
      <c r="G2453" s="0" t="n">
        <v>0</v>
      </c>
      <c r="H2453" s="0" t="s">
        <v>585</v>
      </c>
      <c r="K2453" s="0" t="s">
        <v>607</v>
      </c>
      <c r="L2453" s="0" t="s">
        <v>4353</v>
      </c>
    </row>
    <row r="2454" customFormat="false" ht="15" hidden="false" customHeight="false" outlineLevel="0" collapsed="false">
      <c r="A2454" s="0" t="s">
        <v>71</v>
      </c>
      <c r="B2454" s="0" t="s">
        <v>303</v>
      </c>
      <c r="C2454" s="0" t="s">
        <v>675</v>
      </c>
      <c r="D2454" s="0" t="s">
        <v>146</v>
      </c>
      <c r="E2454" s="0" t="s">
        <v>1778</v>
      </c>
      <c r="F2454" s="0" t="n">
        <v>5</v>
      </c>
      <c r="G2454" s="0" t="n">
        <v>0</v>
      </c>
      <c r="H2454" s="0" t="s">
        <v>585</v>
      </c>
      <c r="K2454" s="0" t="s">
        <v>610</v>
      </c>
      <c r="L2454" s="0" t="s">
        <v>4354</v>
      </c>
    </row>
    <row r="2455" customFormat="false" ht="15" hidden="false" customHeight="false" outlineLevel="0" collapsed="false">
      <c r="A2455" s="0" t="s">
        <v>71</v>
      </c>
      <c r="B2455" s="0" t="s">
        <v>303</v>
      </c>
      <c r="C2455" s="0" t="s">
        <v>675</v>
      </c>
      <c r="D2455" s="0" t="s">
        <v>149</v>
      </c>
      <c r="E2455" s="0" t="s">
        <v>1780</v>
      </c>
      <c r="F2455" s="0" t="n">
        <v>5</v>
      </c>
      <c r="G2455" s="0" t="n">
        <v>0</v>
      </c>
      <c r="H2455" s="0" t="s">
        <v>585</v>
      </c>
      <c r="K2455" s="0" t="s">
        <v>613</v>
      </c>
      <c r="L2455" s="0" t="s">
        <v>4355</v>
      </c>
    </row>
    <row r="2456" customFormat="false" ht="15" hidden="false" customHeight="false" outlineLevel="0" collapsed="false">
      <c r="A2456" s="0" t="s">
        <v>71</v>
      </c>
      <c r="B2456" s="0" t="s">
        <v>303</v>
      </c>
      <c r="C2456" s="0" t="s">
        <v>675</v>
      </c>
      <c r="D2456" s="0" t="s">
        <v>152</v>
      </c>
      <c r="E2456" s="0" t="s">
        <v>1782</v>
      </c>
      <c r="F2456" s="0" t="n">
        <v>5</v>
      </c>
      <c r="G2456" s="0" t="n">
        <v>0</v>
      </c>
      <c r="H2456" s="0" t="s">
        <v>585</v>
      </c>
      <c r="K2456" s="0" t="s">
        <v>616</v>
      </c>
      <c r="L2456" s="0" t="s">
        <v>4356</v>
      </c>
    </row>
    <row r="2457" customFormat="false" ht="15" hidden="false" customHeight="false" outlineLevel="0" collapsed="false">
      <c r="A2457" s="0" t="s">
        <v>71</v>
      </c>
      <c r="B2457" s="0" t="s">
        <v>303</v>
      </c>
      <c r="C2457" s="0" t="s">
        <v>675</v>
      </c>
      <c r="D2457" s="0" t="s">
        <v>155</v>
      </c>
      <c r="E2457" s="0" t="s">
        <v>1784</v>
      </c>
      <c r="F2457" s="0" t="n">
        <v>5</v>
      </c>
      <c r="G2457" s="0" t="n">
        <v>0</v>
      </c>
      <c r="H2457" s="0" t="s">
        <v>585</v>
      </c>
      <c r="K2457" s="0" t="s">
        <v>620</v>
      </c>
      <c r="L2457" s="0" t="s">
        <v>4357</v>
      </c>
    </row>
    <row r="2458" customFormat="false" ht="15" hidden="false" customHeight="false" outlineLevel="0" collapsed="false">
      <c r="A2458" s="0" t="s">
        <v>71</v>
      </c>
      <c r="B2458" s="0" t="s">
        <v>303</v>
      </c>
      <c r="C2458" s="0" t="s">
        <v>701</v>
      </c>
      <c r="D2458" s="0" t="s">
        <v>987</v>
      </c>
      <c r="E2458" s="0" t="s">
        <v>1786</v>
      </c>
      <c r="F2458" s="0" t="n">
        <v>5</v>
      </c>
      <c r="G2458" s="0" t="n">
        <v>0</v>
      </c>
      <c r="H2458" s="0" t="s">
        <v>585</v>
      </c>
      <c r="K2458" s="0" t="s">
        <v>581</v>
      </c>
      <c r="L2458" s="0" t="s">
        <v>4358</v>
      </c>
    </row>
    <row r="2459" customFormat="false" ht="15" hidden="false" customHeight="false" outlineLevel="0" collapsed="false">
      <c r="A2459" s="0" t="s">
        <v>71</v>
      </c>
      <c r="B2459" s="0" t="s">
        <v>303</v>
      </c>
      <c r="C2459" s="0" t="s">
        <v>701</v>
      </c>
      <c r="D2459" s="0" t="s">
        <v>990</v>
      </c>
      <c r="E2459" s="0" t="s">
        <v>1788</v>
      </c>
      <c r="F2459" s="0" t="n">
        <v>5</v>
      </c>
      <c r="G2459" s="0" t="n">
        <v>1</v>
      </c>
      <c r="H2459" s="0" t="s">
        <v>585</v>
      </c>
      <c r="I2459" s="0" t="s">
        <v>4337</v>
      </c>
      <c r="K2459" s="0" t="s">
        <v>586</v>
      </c>
      <c r="L2459" s="0" t="s">
        <v>4359</v>
      </c>
    </row>
    <row r="2460" customFormat="false" ht="15" hidden="false" customHeight="false" outlineLevel="0" collapsed="false">
      <c r="A2460" s="0" t="s">
        <v>71</v>
      </c>
      <c r="B2460" s="0" t="s">
        <v>303</v>
      </c>
      <c r="C2460" s="0" t="s">
        <v>701</v>
      </c>
      <c r="D2460" s="0" t="s">
        <v>993</v>
      </c>
      <c r="E2460" s="0" t="s">
        <v>1790</v>
      </c>
      <c r="F2460" s="0" t="n">
        <v>5</v>
      </c>
      <c r="G2460" s="0" t="n">
        <v>0</v>
      </c>
      <c r="H2460" s="0" t="s">
        <v>585</v>
      </c>
      <c r="K2460" s="0" t="s">
        <v>590</v>
      </c>
      <c r="L2460" s="0" t="s">
        <v>4360</v>
      </c>
    </row>
    <row r="2461" customFormat="false" ht="15" hidden="false" customHeight="false" outlineLevel="0" collapsed="false">
      <c r="A2461" s="0" t="s">
        <v>71</v>
      </c>
      <c r="B2461" s="0" t="s">
        <v>303</v>
      </c>
      <c r="C2461" s="0" t="s">
        <v>701</v>
      </c>
      <c r="D2461" s="0" t="s">
        <v>126</v>
      </c>
      <c r="E2461" s="0" t="s">
        <v>1792</v>
      </c>
      <c r="F2461" s="0" t="n">
        <v>5</v>
      </c>
      <c r="G2461" s="0" t="n">
        <v>0</v>
      </c>
      <c r="H2461" s="0" t="s">
        <v>585</v>
      </c>
      <c r="K2461" s="0" t="s">
        <v>594</v>
      </c>
      <c r="L2461" s="0" t="s">
        <v>4361</v>
      </c>
    </row>
    <row r="2462" customFormat="false" ht="15" hidden="false" customHeight="false" outlineLevel="0" collapsed="false">
      <c r="A2462" s="0" t="s">
        <v>71</v>
      </c>
      <c r="B2462" s="0" t="s">
        <v>303</v>
      </c>
      <c r="C2462" s="0" t="s">
        <v>701</v>
      </c>
      <c r="D2462" s="0" t="s">
        <v>129</v>
      </c>
      <c r="E2462" s="0" t="s">
        <v>1794</v>
      </c>
      <c r="F2462" s="0" t="n">
        <v>5</v>
      </c>
      <c r="G2462" s="0" t="n">
        <v>0</v>
      </c>
      <c r="H2462" s="0" t="s">
        <v>585</v>
      </c>
      <c r="K2462" s="0" t="s">
        <v>597</v>
      </c>
      <c r="L2462" s="0" t="s">
        <v>4362</v>
      </c>
    </row>
    <row r="2463" customFormat="false" ht="15" hidden="false" customHeight="false" outlineLevel="0" collapsed="false">
      <c r="A2463" s="0" t="s">
        <v>71</v>
      </c>
      <c r="B2463" s="0" t="s">
        <v>303</v>
      </c>
      <c r="C2463" s="0" t="s">
        <v>701</v>
      </c>
      <c r="D2463" s="0" t="s">
        <v>132</v>
      </c>
      <c r="E2463" s="0" t="s">
        <v>1796</v>
      </c>
      <c r="F2463" s="0" t="n">
        <v>5</v>
      </c>
      <c r="G2463" s="0" t="n">
        <v>0</v>
      </c>
      <c r="H2463" s="0" t="s">
        <v>585</v>
      </c>
      <c r="K2463" s="0" t="s">
        <v>600</v>
      </c>
      <c r="L2463" s="0" t="s">
        <v>4363</v>
      </c>
    </row>
    <row r="2464" customFormat="false" ht="15" hidden="false" customHeight="false" outlineLevel="0" collapsed="false">
      <c r="A2464" s="0" t="s">
        <v>71</v>
      </c>
      <c r="B2464" s="0" t="s">
        <v>303</v>
      </c>
      <c r="C2464" s="0" t="s">
        <v>701</v>
      </c>
      <c r="D2464" s="0" t="s">
        <v>139</v>
      </c>
      <c r="E2464" s="0" t="s">
        <v>1798</v>
      </c>
      <c r="F2464" s="0" t="n">
        <v>5</v>
      </c>
      <c r="G2464" s="0" t="n">
        <v>0</v>
      </c>
      <c r="H2464" s="0" t="s">
        <v>585</v>
      </c>
      <c r="K2464" s="0" t="s">
        <v>604</v>
      </c>
      <c r="L2464" s="0" t="s">
        <v>4364</v>
      </c>
    </row>
    <row r="2465" customFormat="false" ht="15" hidden="false" customHeight="false" outlineLevel="0" collapsed="false">
      <c r="A2465" s="0" t="s">
        <v>71</v>
      </c>
      <c r="B2465" s="0" t="s">
        <v>303</v>
      </c>
      <c r="C2465" s="0" t="s">
        <v>701</v>
      </c>
      <c r="D2465" s="0" t="s">
        <v>143</v>
      </c>
      <c r="E2465" s="0" t="s">
        <v>1800</v>
      </c>
      <c r="F2465" s="0" t="n">
        <v>5</v>
      </c>
      <c r="G2465" s="0" t="n">
        <v>0</v>
      </c>
      <c r="H2465" s="0" t="s">
        <v>585</v>
      </c>
      <c r="K2465" s="0" t="s">
        <v>607</v>
      </c>
      <c r="L2465" s="0" t="s">
        <v>4365</v>
      </c>
    </row>
    <row r="2466" customFormat="false" ht="15" hidden="false" customHeight="false" outlineLevel="0" collapsed="false">
      <c r="A2466" s="0" t="s">
        <v>71</v>
      </c>
      <c r="B2466" s="0" t="s">
        <v>303</v>
      </c>
      <c r="C2466" s="0" t="s">
        <v>701</v>
      </c>
      <c r="D2466" s="0" t="s">
        <v>146</v>
      </c>
      <c r="E2466" s="0" t="s">
        <v>1802</v>
      </c>
      <c r="F2466" s="0" t="n">
        <v>5</v>
      </c>
      <c r="G2466" s="0" t="n">
        <v>0</v>
      </c>
      <c r="H2466" s="0" t="s">
        <v>585</v>
      </c>
      <c r="K2466" s="0" t="s">
        <v>610</v>
      </c>
      <c r="L2466" s="0" t="s">
        <v>4366</v>
      </c>
    </row>
    <row r="2467" customFormat="false" ht="15" hidden="false" customHeight="false" outlineLevel="0" collapsed="false">
      <c r="A2467" s="0" t="s">
        <v>71</v>
      </c>
      <c r="B2467" s="0" t="s">
        <v>303</v>
      </c>
      <c r="C2467" s="0" t="s">
        <v>701</v>
      </c>
      <c r="D2467" s="0" t="s">
        <v>149</v>
      </c>
      <c r="E2467" s="0" t="s">
        <v>1804</v>
      </c>
      <c r="F2467" s="0" t="n">
        <v>5</v>
      </c>
      <c r="G2467" s="0" t="n">
        <v>0</v>
      </c>
      <c r="H2467" s="0" t="s">
        <v>585</v>
      </c>
      <c r="K2467" s="0" t="s">
        <v>613</v>
      </c>
      <c r="L2467" s="0" t="s">
        <v>4367</v>
      </c>
    </row>
    <row r="2468" customFormat="false" ht="15" hidden="false" customHeight="false" outlineLevel="0" collapsed="false">
      <c r="A2468" s="0" t="s">
        <v>71</v>
      </c>
      <c r="B2468" s="0" t="s">
        <v>303</v>
      </c>
      <c r="C2468" s="0" t="s">
        <v>701</v>
      </c>
      <c r="D2468" s="0" t="s">
        <v>152</v>
      </c>
      <c r="E2468" s="0" t="s">
        <v>1806</v>
      </c>
      <c r="F2468" s="0" t="n">
        <v>5</v>
      </c>
      <c r="G2468" s="0" t="n">
        <v>2</v>
      </c>
      <c r="H2468" s="0" t="s">
        <v>585</v>
      </c>
      <c r="I2468" s="0" t="s">
        <v>4337</v>
      </c>
      <c r="K2468" s="0" t="s">
        <v>616</v>
      </c>
      <c r="L2468" s="0" t="s">
        <v>4368</v>
      </c>
    </row>
    <row r="2469" customFormat="false" ht="15" hidden="false" customHeight="false" outlineLevel="0" collapsed="false">
      <c r="A2469" s="0" t="s">
        <v>71</v>
      </c>
      <c r="B2469" s="0" t="s">
        <v>303</v>
      </c>
      <c r="C2469" s="0" t="s">
        <v>701</v>
      </c>
      <c r="D2469" s="0" t="s">
        <v>155</v>
      </c>
      <c r="E2469" s="0" t="s">
        <v>1808</v>
      </c>
      <c r="F2469" s="0" t="n">
        <v>5</v>
      </c>
      <c r="G2469" s="0" t="n">
        <v>0</v>
      </c>
      <c r="H2469" s="0" t="s">
        <v>585</v>
      </c>
      <c r="K2469" s="0" t="s">
        <v>620</v>
      </c>
      <c r="L2469" s="0" t="s">
        <v>4369</v>
      </c>
    </row>
    <row r="2470" customFormat="false" ht="15" hidden="false" customHeight="false" outlineLevel="0" collapsed="false">
      <c r="A2470" s="0" t="s">
        <v>71</v>
      </c>
      <c r="B2470" s="0" t="s">
        <v>303</v>
      </c>
      <c r="C2470" s="0" t="s">
        <v>728</v>
      </c>
      <c r="D2470" s="0" t="s">
        <v>987</v>
      </c>
      <c r="E2470" s="0" t="s">
        <v>1810</v>
      </c>
      <c r="F2470" s="0" t="n">
        <v>5</v>
      </c>
      <c r="G2470" s="0" t="n">
        <v>0</v>
      </c>
      <c r="H2470" s="0" t="s">
        <v>585</v>
      </c>
      <c r="K2470" s="0" t="s">
        <v>581</v>
      </c>
      <c r="L2470" s="0" t="s">
        <v>4370</v>
      </c>
    </row>
    <row r="2471" customFormat="false" ht="15" hidden="false" customHeight="false" outlineLevel="0" collapsed="false">
      <c r="A2471" s="0" t="s">
        <v>71</v>
      </c>
      <c r="B2471" s="0" t="s">
        <v>303</v>
      </c>
      <c r="C2471" s="0" t="s">
        <v>728</v>
      </c>
      <c r="D2471" s="0" t="s">
        <v>990</v>
      </c>
      <c r="E2471" s="0" t="s">
        <v>1812</v>
      </c>
      <c r="F2471" s="0" t="n">
        <v>5</v>
      </c>
      <c r="G2471" s="0" t="n">
        <v>1</v>
      </c>
      <c r="H2471" s="0" t="s">
        <v>585</v>
      </c>
      <c r="I2471" s="0" t="s">
        <v>4324</v>
      </c>
      <c r="K2471" s="0" t="s">
        <v>586</v>
      </c>
      <c r="L2471" s="0" t="s">
        <v>4371</v>
      </c>
    </row>
    <row r="2472" customFormat="false" ht="15" hidden="false" customHeight="false" outlineLevel="0" collapsed="false">
      <c r="A2472" s="0" t="s">
        <v>71</v>
      </c>
      <c r="B2472" s="0" t="s">
        <v>303</v>
      </c>
      <c r="C2472" s="0" t="s">
        <v>728</v>
      </c>
      <c r="D2472" s="0" t="s">
        <v>993</v>
      </c>
      <c r="E2472" s="0" t="s">
        <v>1814</v>
      </c>
      <c r="F2472" s="0" t="n">
        <v>5</v>
      </c>
      <c r="G2472" s="0" t="n">
        <v>1</v>
      </c>
      <c r="H2472" s="0" t="s">
        <v>585</v>
      </c>
      <c r="I2472" s="0" t="s">
        <v>4337</v>
      </c>
      <c r="K2472" s="0" t="s">
        <v>590</v>
      </c>
      <c r="L2472" s="0" t="s">
        <v>4372</v>
      </c>
    </row>
    <row r="2473" customFormat="false" ht="15" hidden="false" customHeight="false" outlineLevel="0" collapsed="false">
      <c r="A2473" s="0" t="s">
        <v>71</v>
      </c>
      <c r="B2473" s="0" t="s">
        <v>303</v>
      </c>
      <c r="C2473" s="0" t="s">
        <v>728</v>
      </c>
      <c r="D2473" s="0" t="s">
        <v>126</v>
      </c>
      <c r="E2473" s="0" t="s">
        <v>1816</v>
      </c>
      <c r="F2473" s="0" t="n">
        <v>5</v>
      </c>
      <c r="G2473" s="0" t="n">
        <v>3</v>
      </c>
      <c r="H2473" s="0" t="s">
        <v>585</v>
      </c>
      <c r="I2473" s="0" t="s">
        <v>4337</v>
      </c>
      <c r="K2473" s="0" t="s">
        <v>594</v>
      </c>
      <c r="L2473" s="0" t="s">
        <v>4373</v>
      </c>
    </row>
    <row r="2474" customFormat="false" ht="15" hidden="false" customHeight="false" outlineLevel="0" collapsed="false">
      <c r="A2474" s="0" t="s">
        <v>71</v>
      </c>
      <c r="B2474" s="0" t="s">
        <v>303</v>
      </c>
      <c r="C2474" s="0" t="s">
        <v>728</v>
      </c>
      <c r="D2474" s="0" t="s">
        <v>129</v>
      </c>
      <c r="E2474" s="0" t="s">
        <v>1818</v>
      </c>
      <c r="F2474" s="0" t="n">
        <v>5</v>
      </c>
      <c r="G2474" s="0" t="n">
        <v>0</v>
      </c>
      <c r="H2474" s="0" t="s">
        <v>585</v>
      </c>
      <c r="K2474" s="0" t="s">
        <v>597</v>
      </c>
      <c r="L2474" s="0" t="s">
        <v>4374</v>
      </c>
    </row>
    <row r="2475" customFormat="false" ht="15" hidden="false" customHeight="false" outlineLevel="0" collapsed="false">
      <c r="A2475" s="0" t="s">
        <v>71</v>
      </c>
      <c r="B2475" s="0" t="s">
        <v>303</v>
      </c>
      <c r="C2475" s="0" t="s">
        <v>728</v>
      </c>
      <c r="D2475" s="0" t="s">
        <v>132</v>
      </c>
      <c r="E2475" s="0" t="s">
        <v>1820</v>
      </c>
      <c r="F2475" s="0" t="n">
        <v>5</v>
      </c>
      <c r="G2475" s="0" t="n">
        <v>0</v>
      </c>
      <c r="H2475" s="0" t="s">
        <v>585</v>
      </c>
      <c r="K2475" s="0" t="s">
        <v>600</v>
      </c>
      <c r="L2475" s="0" t="s">
        <v>4375</v>
      </c>
    </row>
    <row r="2476" customFormat="false" ht="15" hidden="false" customHeight="false" outlineLevel="0" collapsed="false">
      <c r="A2476" s="0" t="s">
        <v>71</v>
      </c>
      <c r="B2476" s="0" t="s">
        <v>303</v>
      </c>
      <c r="C2476" s="0" t="s">
        <v>728</v>
      </c>
      <c r="D2476" s="0" t="s">
        <v>139</v>
      </c>
      <c r="E2476" s="0" t="s">
        <v>1822</v>
      </c>
      <c r="F2476" s="0" t="n">
        <v>5</v>
      </c>
      <c r="G2476" s="0" t="n">
        <v>1</v>
      </c>
      <c r="H2476" s="0" t="s">
        <v>585</v>
      </c>
      <c r="I2476" s="0" t="s">
        <v>4337</v>
      </c>
      <c r="K2476" s="0" t="s">
        <v>604</v>
      </c>
      <c r="L2476" s="0" t="s">
        <v>4376</v>
      </c>
    </row>
    <row r="2477" customFormat="false" ht="15" hidden="false" customHeight="false" outlineLevel="0" collapsed="false">
      <c r="A2477" s="0" t="s">
        <v>71</v>
      </c>
      <c r="B2477" s="0" t="s">
        <v>303</v>
      </c>
      <c r="C2477" s="0" t="s">
        <v>728</v>
      </c>
      <c r="D2477" s="0" t="s">
        <v>143</v>
      </c>
      <c r="E2477" s="0" t="s">
        <v>1824</v>
      </c>
      <c r="F2477" s="0" t="n">
        <v>5</v>
      </c>
      <c r="G2477" s="0" t="n">
        <v>0</v>
      </c>
      <c r="H2477" s="0" t="s">
        <v>585</v>
      </c>
      <c r="K2477" s="0" t="s">
        <v>607</v>
      </c>
      <c r="L2477" s="0" t="s">
        <v>4377</v>
      </c>
    </row>
    <row r="2478" customFormat="false" ht="15" hidden="false" customHeight="false" outlineLevel="0" collapsed="false">
      <c r="A2478" s="0" t="s">
        <v>71</v>
      </c>
      <c r="B2478" s="0" t="s">
        <v>303</v>
      </c>
      <c r="C2478" s="0" t="s">
        <v>728</v>
      </c>
      <c r="D2478" s="0" t="s">
        <v>146</v>
      </c>
      <c r="E2478" s="0" t="s">
        <v>1826</v>
      </c>
      <c r="F2478" s="0" t="n">
        <v>5</v>
      </c>
      <c r="G2478" s="0" t="n">
        <v>0</v>
      </c>
      <c r="H2478" s="0" t="s">
        <v>585</v>
      </c>
      <c r="K2478" s="0" t="s">
        <v>610</v>
      </c>
      <c r="L2478" s="0" t="s">
        <v>4378</v>
      </c>
    </row>
    <row r="2479" customFormat="false" ht="15" hidden="false" customHeight="false" outlineLevel="0" collapsed="false">
      <c r="A2479" s="0" t="s">
        <v>71</v>
      </c>
      <c r="B2479" s="0" t="s">
        <v>303</v>
      </c>
      <c r="C2479" s="0" t="s">
        <v>728</v>
      </c>
      <c r="D2479" s="0" t="s">
        <v>149</v>
      </c>
      <c r="E2479" s="0" t="s">
        <v>1828</v>
      </c>
      <c r="F2479" s="0" t="n">
        <v>5</v>
      </c>
      <c r="G2479" s="0" t="n">
        <v>0</v>
      </c>
      <c r="H2479" s="0" t="s">
        <v>585</v>
      </c>
      <c r="I2479" s="0" t="s">
        <v>4324</v>
      </c>
      <c r="K2479" s="0" t="s">
        <v>613</v>
      </c>
      <c r="L2479" s="0" t="s">
        <v>4379</v>
      </c>
    </row>
    <row r="2480" customFormat="false" ht="15" hidden="false" customHeight="false" outlineLevel="0" collapsed="false">
      <c r="A2480" s="0" t="s">
        <v>71</v>
      </c>
      <c r="B2480" s="0" t="s">
        <v>303</v>
      </c>
      <c r="C2480" s="0" t="s">
        <v>728</v>
      </c>
      <c r="D2480" s="0" t="s">
        <v>152</v>
      </c>
      <c r="E2480" s="0" t="s">
        <v>1830</v>
      </c>
      <c r="F2480" s="0" t="n">
        <v>5</v>
      </c>
      <c r="G2480" s="0" t="n">
        <v>2</v>
      </c>
      <c r="H2480" s="0" t="s">
        <v>585</v>
      </c>
      <c r="I2480" s="0" t="s">
        <v>4324</v>
      </c>
      <c r="K2480" s="0" t="s">
        <v>616</v>
      </c>
      <c r="L2480" s="0" t="s">
        <v>4380</v>
      </c>
    </row>
    <row r="2481" customFormat="false" ht="15" hidden="false" customHeight="false" outlineLevel="0" collapsed="false">
      <c r="A2481" s="0" t="s">
        <v>71</v>
      </c>
      <c r="B2481" s="0" t="s">
        <v>303</v>
      </c>
      <c r="C2481" s="0" t="s">
        <v>728</v>
      </c>
      <c r="D2481" s="0" t="s">
        <v>155</v>
      </c>
      <c r="E2481" s="0" t="s">
        <v>1832</v>
      </c>
      <c r="F2481" s="0" t="n">
        <v>5</v>
      </c>
      <c r="G2481" s="0" t="n">
        <v>0</v>
      </c>
      <c r="H2481" s="0" t="s">
        <v>585</v>
      </c>
      <c r="K2481" s="0" t="s">
        <v>620</v>
      </c>
      <c r="L2481" s="0" t="s">
        <v>4381</v>
      </c>
    </row>
    <row r="2482" customFormat="false" ht="15" hidden="false" customHeight="false" outlineLevel="0" collapsed="false">
      <c r="A2482" s="0" t="s">
        <v>71</v>
      </c>
      <c r="B2482" s="0" t="s">
        <v>303</v>
      </c>
      <c r="C2482" s="0" t="s">
        <v>754</v>
      </c>
      <c r="D2482" s="0" t="s">
        <v>987</v>
      </c>
      <c r="E2482" s="0" t="s">
        <v>1834</v>
      </c>
      <c r="F2482" s="0" t="n">
        <v>5</v>
      </c>
      <c r="G2482" s="0" t="n">
        <v>0</v>
      </c>
      <c r="H2482" s="0" t="s">
        <v>585</v>
      </c>
      <c r="K2482" s="0" t="s">
        <v>581</v>
      </c>
      <c r="L2482" s="0" t="s">
        <v>4382</v>
      </c>
    </row>
    <row r="2483" customFormat="false" ht="15" hidden="false" customHeight="false" outlineLevel="0" collapsed="false">
      <c r="A2483" s="0" t="s">
        <v>71</v>
      </c>
      <c r="B2483" s="0" t="s">
        <v>303</v>
      </c>
      <c r="C2483" s="0" t="s">
        <v>754</v>
      </c>
      <c r="D2483" s="0" t="s">
        <v>990</v>
      </c>
      <c r="E2483" s="0" t="s">
        <v>1836</v>
      </c>
      <c r="F2483" s="0" t="n">
        <v>5</v>
      </c>
      <c r="G2483" s="0" t="n">
        <v>0</v>
      </c>
      <c r="H2483" s="0" t="s">
        <v>585</v>
      </c>
      <c r="K2483" s="0" t="s">
        <v>586</v>
      </c>
      <c r="L2483" s="0" t="s">
        <v>4383</v>
      </c>
    </row>
    <row r="2484" customFormat="false" ht="15" hidden="false" customHeight="false" outlineLevel="0" collapsed="false">
      <c r="A2484" s="0" t="s">
        <v>71</v>
      </c>
      <c r="B2484" s="0" t="s">
        <v>303</v>
      </c>
      <c r="C2484" s="0" t="s">
        <v>754</v>
      </c>
      <c r="D2484" s="0" t="s">
        <v>993</v>
      </c>
      <c r="E2484" s="0" t="s">
        <v>1838</v>
      </c>
      <c r="F2484" s="0" t="n">
        <v>5</v>
      </c>
      <c r="G2484" s="0" t="n">
        <v>4</v>
      </c>
      <c r="H2484" s="0" t="s">
        <v>585</v>
      </c>
      <c r="I2484" s="0" t="s">
        <v>4337</v>
      </c>
      <c r="K2484" s="0" t="s">
        <v>590</v>
      </c>
      <c r="L2484" s="0" t="s">
        <v>4384</v>
      </c>
    </row>
    <row r="2485" customFormat="false" ht="15" hidden="false" customHeight="false" outlineLevel="0" collapsed="false">
      <c r="A2485" s="0" t="s">
        <v>71</v>
      </c>
      <c r="B2485" s="0" t="s">
        <v>303</v>
      </c>
      <c r="C2485" s="0" t="s">
        <v>754</v>
      </c>
      <c r="D2485" s="0" t="s">
        <v>126</v>
      </c>
      <c r="E2485" s="0" t="s">
        <v>1840</v>
      </c>
      <c r="F2485" s="0" t="n">
        <v>5</v>
      </c>
      <c r="G2485" s="0" t="n">
        <v>0</v>
      </c>
      <c r="H2485" s="0" t="s">
        <v>585</v>
      </c>
      <c r="K2485" s="0" t="s">
        <v>594</v>
      </c>
      <c r="L2485" s="0" t="s">
        <v>4385</v>
      </c>
    </row>
    <row r="2486" customFormat="false" ht="15" hidden="false" customHeight="false" outlineLevel="0" collapsed="false">
      <c r="A2486" s="0" t="s">
        <v>71</v>
      </c>
      <c r="B2486" s="0" t="s">
        <v>303</v>
      </c>
      <c r="C2486" s="0" t="s">
        <v>754</v>
      </c>
      <c r="D2486" s="0" t="s">
        <v>129</v>
      </c>
      <c r="E2486" s="0" t="s">
        <v>1842</v>
      </c>
      <c r="F2486" s="0" t="n">
        <v>5</v>
      </c>
      <c r="G2486" s="0" t="n">
        <v>0</v>
      </c>
      <c r="H2486" s="0" t="s">
        <v>585</v>
      </c>
      <c r="K2486" s="0" t="s">
        <v>597</v>
      </c>
      <c r="L2486" s="0" t="s">
        <v>4386</v>
      </c>
    </row>
    <row r="2487" customFormat="false" ht="15" hidden="false" customHeight="false" outlineLevel="0" collapsed="false">
      <c r="A2487" s="0" t="s">
        <v>71</v>
      </c>
      <c r="B2487" s="0" t="s">
        <v>303</v>
      </c>
      <c r="C2487" s="0" t="s">
        <v>754</v>
      </c>
      <c r="D2487" s="0" t="s">
        <v>132</v>
      </c>
      <c r="E2487" s="0" t="s">
        <v>1844</v>
      </c>
      <c r="F2487" s="0" t="n">
        <v>5</v>
      </c>
      <c r="G2487" s="0" t="n">
        <v>1</v>
      </c>
      <c r="H2487" s="0" t="s">
        <v>585</v>
      </c>
      <c r="I2487" s="0" t="s">
        <v>4337</v>
      </c>
      <c r="K2487" s="0" t="s">
        <v>600</v>
      </c>
      <c r="L2487" s="0" t="s">
        <v>4387</v>
      </c>
    </row>
    <row r="2488" customFormat="false" ht="15" hidden="false" customHeight="false" outlineLevel="0" collapsed="false">
      <c r="A2488" s="0" t="s">
        <v>71</v>
      </c>
      <c r="B2488" s="0" t="s">
        <v>303</v>
      </c>
      <c r="C2488" s="0" t="s">
        <v>754</v>
      </c>
      <c r="D2488" s="0" t="s">
        <v>139</v>
      </c>
      <c r="E2488" s="0" t="s">
        <v>1846</v>
      </c>
      <c r="F2488" s="0" t="n">
        <v>5</v>
      </c>
      <c r="G2488" s="0" t="n">
        <v>0</v>
      </c>
      <c r="H2488" s="0" t="s">
        <v>585</v>
      </c>
      <c r="K2488" s="0" t="s">
        <v>604</v>
      </c>
      <c r="L2488" s="0" t="s">
        <v>4388</v>
      </c>
    </row>
    <row r="2489" customFormat="false" ht="15" hidden="false" customHeight="false" outlineLevel="0" collapsed="false">
      <c r="A2489" s="0" t="s">
        <v>71</v>
      </c>
      <c r="B2489" s="0" t="s">
        <v>303</v>
      </c>
      <c r="C2489" s="0" t="s">
        <v>754</v>
      </c>
      <c r="D2489" s="0" t="s">
        <v>143</v>
      </c>
      <c r="E2489" s="0" t="s">
        <v>1848</v>
      </c>
      <c r="F2489" s="0" t="n">
        <v>5</v>
      </c>
      <c r="G2489" s="0" t="n">
        <v>1</v>
      </c>
      <c r="H2489" s="0" t="s">
        <v>585</v>
      </c>
      <c r="I2489" s="0" t="s">
        <v>4337</v>
      </c>
      <c r="K2489" s="0" t="s">
        <v>607</v>
      </c>
      <c r="L2489" s="0" t="s">
        <v>4389</v>
      </c>
    </row>
    <row r="2490" customFormat="false" ht="15" hidden="false" customHeight="false" outlineLevel="0" collapsed="false">
      <c r="A2490" s="0" t="s">
        <v>71</v>
      </c>
      <c r="B2490" s="0" t="s">
        <v>303</v>
      </c>
      <c r="C2490" s="0" t="s">
        <v>754</v>
      </c>
      <c r="D2490" s="0" t="s">
        <v>146</v>
      </c>
      <c r="E2490" s="0" t="s">
        <v>1850</v>
      </c>
      <c r="F2490" s="0" t="n">
        <v>5</v>
      </c>
      <c r="G2490" s="0" t="n">
        <v>0</v>
      </c>
      <c r="H2490" s="0" t="s">
        <v>585</v>
      </c>
      <c r="K2490" s="0" t="s">
        <v>610</v>
      </c>
      <c r="L2490" s="0" t="s">
        <v>4390</v>
      </c>
    </row>
    <row r="2491" customFormat="false" ht="15" hidden="false" customHeight="false" outlineLevel="0" collapsed="false">
      <c r="A2491" s="0" t="s">
        <v>71</v>
      </c>
      <c r="B2491" s="0" t="s">
        <v>303</v>
      </c>
      <c r="C2491" s="0" t="s">
        <v>754</v>
      </c>
      <c r="D2491" s="0" t="s">
        <v>149</v>
      </c>
      <c r="E2491" s="0" t="s">
        <v>1852</v>
      </c>
      <c r="F2491" s="0" t="n">
        <v>5</v>
      </c>
      <c r="G2491" s="0" t="n">
        <v>0</v>
      </c>
      <c r="H2491" s="0" t="s">
        <v>585</v>
      </c>
      <c r="K2491" s="0" t="s">
        <v>613</v>
      </c>
      <c r="L2491" s="0" t="s">
        <v>4391</v>
      </c>
    </row>
    <row r="2492" customFormat="false" ht="15" hidden="false" customHeight="false" outlineLevel="0" collapsed="false">
      <c r="A2492" s="0" t="s">
        <v>71</v>
      </c>
      <c r="B2492" s="0" t="s">
        <v>303</v>
      </c>
      <c r="C2492" s="0" t="s">
        <v>754</v>
      </c>
      <c r="D2492" s="0" t="s">
        <v>152</v>
      </c>
      <c r="E2492" s="0" t="s">
        <v>1854</v>
      </c>
      <c r="F2492" s="0" t="n">
        <v>5</v>
      </c>
      <c r="G2492" s="0" t="n">
        <v>0</v>
      </c>
      <c r="H2492" s="0" t="s">
        <v>585</v>
      </c>
      <c r="K2492" s="0" t="s">
        <v>616</v>
      </c>
      <c r="L2492" s="0" t="s">
        <v>4392</v>
      </c>
    </row>
    <row r="2493" customFormat="false" ht="15" hidden="false" customHeight="false" outlineLevel="0" collapsed="false">
      <c r="A2493" s="0" t="s">
        <v>71</v>
      </c>
      <c r="B2493" s="0" t="s">
        <v>303</v>
      </c>
      <c r="C2493" s="0" t="s">
        <v>754</v>
      </c>
      <c r="D2493" s="0" t="s">
        <v>155</v>
      </c>
      <c r="E2493" s="0" t="s">
        <v>1856</v>
      </c>
      <c r="F2493" s="0" t="n">
        <v>5</v>
      </c>
      <c r="G2493" s="0" t="n">
        <v>0</v>
      </c>
      <c r="H2493" s="0" t="s">
        <v>585</v>
      </c>
      <c r="K2493" s="0" t="s">
        <v>620</v>
      </c>
      <c r="L2493" s="0" t="s">
        <v>4393</v>
      </c>
    </row>
    <row r="2494" customFormat="false" ht="15" hidden="false" customHeight="false" outlineLevel="0" collapsed="false">
      <c r="A2494" s="0" t="s">
        <v>71</v>
      </c>
      <c r="B2494" s="0" t="s">
        <v>779</v>
      </c>
      <c r="C2494" s="0" t="s">
        <v>577</v>
      </c>
      <c r="D2494" s="0" t="s">
        <v>780</v>
      </c>
      <c r="E2494" s="0" t="s">
        <v>781</v>
      </c>
      <c r="F2494" s="0" t="n">
        <v>8</v>
      </c>
      <c r="G2494" s="0" t="n">
        <v>0</v>
      </c>
      <c r="H2494" s="0" t="s">
        <v>585</v>
      </c>
      <c r="K2494" s="0" t="s">
        <v>782</v>
      </c>
      <c r="L2494" s="0" t="s">
        <v>4394</v>
      </c>
    </row>
    <row r="2495" customFormat="false" ht="15" hidden="false" customHeight="false" outlineLevel="0" collapsed="false">
      <c r="A2495" s="0" t="s">
        <v>71</v>
      </c>
      <c r="B2495" s="0" t="s">
        <v>779</v>
      </c>
      <c r="C2495" s="0" t="s">
        <v>622</v>
      </c>
      <c r="D2495" s="0" t="s">
        <v>780</v>
      </c>
      <c r="E2495" s="0" t="s">
        <v>784</v>
      </c>
      <c r="F2495" s="0" t="n">
        <v>8</v>
      </c>
      <c r="G2495" s="0" t="n">
        <v>0</v>
      </c>
      <c r="H2495" s="0" t="s">
        <v>585</v>
      </c>
      <c r="K2495" s="0" t="s">
        <v>782</v>
      </c>
      <c r="L2495" s="0" t="s">
        <v>4395</v>
      </c>
    </row>
    <row r="2496" customFormat="false" ht="15" hidden="false" customHeight="false" outlineLevel="0" collapsed="false">
      <c r="A2496" s="0" t="s">
        <v>71</v>
      </c>
      <c r="B2496" s="0" t="s">
        <v>779</v>
      </c>
      <c r="C2496" s="0" t="s">
        <v>649</v>
      </c>
      <c r="D2496" s="0" t="s">
        <v>780</v>
      </c>
      <c r="E2496" s="0" t="s">
        <v>786</v>
      </c>
      <c r="F2496" s="0" t="n">
        <v>8</v>
      </c>
      <c r="G2496" s="0" t="n">
        <v>0</v>
      </c>
      <c r="H2496" s="0" t="s">
        <v>585</v>
      </c>
      <c r="K2496" s="0" t="s">
        <v>782</v>
      </c>
      <c r="L2496" s="0" t="s">
        <v>4396</v>
      </c>
    </row>
    <row r="2497" customFormat="false" ht="15" hidden="false" customHeight="false" outlineLevel="0" collapsed="false">
      <c r="A2497" s="0" t="s">
        <v>71</v>
      </c>
      <c r="B2497" s="0" t="s">
        <v>779</v>
      </c>
      <c r="C2497" s="0" t="s">
        <v>675</v>
      </c>
      <c r="D2497" s="0" t="s">
        <v>780</v>
      </c>
      <c r="E2497" s="0" t="s">
        <v>788</v>
      </c>
      <c r="F2497" s="0" t="n">
        <v>8</v>
      </c>
      <c r="G2497" s="0" t="n">
        <v>0</v>
      </c>
      <c r="H2497" s="0" t="s">
        <v>585</v>
      </c>
      <c r="K2497" s="0" t="s">
        <v>782</v>
      </c>
      <c r="L2497" s="0" t="s">
        <v>4397</v>
      </c>
    </row>
    <row r="2498" customFormat="false" ht="15" hidden="false" customHeight="false" outlineLevel="0" collapsed="false">
      <c r="A2498" s="0" t="s">
        <v>71</v>
      </c>
      <c r="B2498" s="0" t="s">
        <v>779</v>
      </c>
      <c r="C2498" s="0" t="s">
        <v>701</v>
      </c>
      <c r="D2498" s="0" t="s">
        <v>780</v>
      </c>
      <c r="E2498" s="0" t="s">
        <v>790</v>
      </c>
      <c r="F2498" s="0" t="n">
        <v>8</v>
      </c>
      <c r="G2498" s="0" t="n">
        <v>0</v>
      </c>
      <c r="H2498" s="0" t="s">
        <v>585</v>
      </c>
      <c r="K2498" s="0" t="s">
        <v>782</v>
      </c>
      <c r="L2498" s="0" t="s">
        <v>4398</v>
      </c>
    </row>
    <row r="2499" customFormat="false" ht="15" hidden="false" customHeight="false" outlineLevel="0" collapsed="false">
      <c r="A2499" s="0" t="s">
        <v>71</v>
      </c>
      <c r="B2499" s="0" t="s">
        <v>779</v>
      </c>
      <c r="C2499" s="0" t="s">
        <v>728</v>
      </c>
      <c r="D2499" s="0" t="s">
        <v>780</v>
      </c>
      <c r="E2499" s="0" t="s">
        <v>792</v>
      </c>
      <c r="F2499" s="0" t="n">
        <v>8</v>
      </c>
      <c r="G2499" s="0" t="n">
        <v>1</v>
      </c>
      <c r="H2499" s="0" t="s">
        <v>585</v>
      </c>
      <c r="I2499" s="0" t="s">
        <v>4337</v>
      </c>
      <c r="K2499" s="0" t="s">
        <v>782</v>
      </c>
      <c r="L2499" s="0" t="s">
        <v>4399</v>
      </c>
    </row>
    <row r="2500" customFormat="false" ht="15" hidden="false" customHeight="false" outlineLevel="0" collapsed="false">
      <c r="A2500" s="0" t="s">
        <v>71</v>
      </c>
      <c r="B2500" s="0" t="s">
        <v>779</v>
      </c>
      <c r="C2500" s="0" t="s">
        <v>754</v>
      </c>
      <c r="D2500" s="0" t="s">
        <v>780</v>
      </c>
      <c r="E2500" s="0" t="s">
        <v>794</v>
      </c>
      <c r="F2500" s="0" t="n">
        <v>8</v>
      </c>
      <c r="G2500" s="0" t="n">
        <v>0</v>
      </c>
      <c r="H2500" s="0" t="s">
        <v>585</v>
      </c>
      <c r="K2500" s="0" t="s">
        <v>782</v>
      </c>
      <c r="L2500" s="0" t="s">
        <v>4400</v>
      </c>
    </row>
    <row r="2501" customFormat="false" ht="15" hidden="false" customHeight="false" outlineLevel="0" collapsed="false">
      <c r="A2501" s="0" t="s">
        <v>71</v>
      </c>
      <c r="B2501" s="0" t="s">
        <v>779</v>
      </c>
      <c r="C2501" s="0" t="s">
        <v>577</v>
      </c>
      <c r="D2501" s="0" t="s">
        <v>160</v>
      </c>
      <c r="E2501" s="0" t="s">
        <v>796</v>
      </c>
      <c r="F2501" s="0" t="n">
        <v>8</v>
      </c>
      <c r="G2501" s="0" t="n">
        <v>0</v>
      </c>
      <c r="H2501" s="0" t="s">
        <v>585</v>
      </c>
      <c r="K2501" s="0" t="s">
        <v>782</v>
      </c>
      <c r="L2501" s="0" t="s">
        <v>4401</v>
      </c>
    </row>
    <row r="2502" customFormat="false" ht="15" hidden="false" customHeight="false" outlineLevel="0" collapsed="false">
      <c r="A2502" s="0" t="s">
        <v>71</v>
      </c>
      <c r="B2502" s="0" t="s">
        <v>779</v>
      </c>
      <c r="C2502" s="0" t="s">
        <v>622</v>
      </c>
      <c r="D2502" s="0" t="s">
        <v>160</v>
      </c>
      <c r="E2502" s="0" t="s">
        <v>798</v>
      </c>
      <c r="F2502" s="0" t="n">
        <v>8</v>
      </c>
      <c r="G2502" s="0" t="n">
        <v>0</v>
      </c>
      <c r="H2502" s="0" t="s">
        <v>585</v>
      </c>
      <c r="K2502" s="0" t="s">
        <v>782</v>
      </c>
      <c r="L2502" s="0" t="s">
        <v>4402</v>
      </c>
    </row>
    <row r="2503" customFormat="false" ht="15" hidden="false" customHeight="false" outlineLevel="0" collapsed="false">
      <c r="A2503" s="0" t="s">
        <v>71</v>
      </c>
      <c r="B2503" s="0" t="s">
        <v>779</v>
      </c>
      <c r="C2503" s="0" t="s">
        <v>649</v>
      </c>
      <c r="D2503" s="0" t="s">
        <v>160</v>
      </c>
      <c r="E2503" s="0" t="s">
        <v>800</v>
      </c>
      <c r="F2503" s="0" t="n">
        <v>8</v>
      </c>
      <c r="G2503" s="0" t="n">
        <v>0</v>
      </c>
      <c r="H2503" s="0" t="s">
        <v>585</v>
      </c>
      <c r="K2503" s="0" t="s">
        <v>782</v>
      </c>
      <c r="L2503" s="0" t="s">
        <v>4403</v>
      </c>
    </row>
    <row r="2504" customFormat="false" ht="15" hidden="false" customHeight="false" outlineLevel="0" collapsed="false">
      <c r="A2504" s="0" t="s">
        <v>71</v>
      </c>
      <c r="B2504" s="0" t="s">
        <v>779</v>
      </c>
      <c r="C2504" s="0" t="s">
        <v>675</v>
      </c>
      <c r="D2504" s="0" t="s">
        <v>160</v>
      </c>
      <c r="E2504" s="0" t="s">
        <v>802</v>
      </c>
      <c r="F2504" s="0" t="n">
        <v>8</v>
      </c>
      <c r="G2504" s="0" t="n">
        <v>0</v>
      </c>
      <c r="H2504" s="0" t="s">
        <v>585</v>
      </c>
      <c r="K2504" s="0" t="s">
        <v>782</v>
      </c>
      <c r="L2504" s="0" t="s">
        <v>4404</v>
      </c>
    </row>
    <row r="2505" customFormat="false" ht="15" hidden="false" customHeight="false" outlineLevel="0" collapsed="false">
      <c r="A2505" s="0" t="s">
        <v>71</v>
      </c>
      <c r="B2505" s="0" t="s">
        <v>779</v>
      </c>
      <c r="C2505" s="0" t="s">
        <v>701</v>
      </c>
      <c r="D2505" s="0" t="s">
        <v>160</v>
      </c>
      <c r="E2505" s="0" t="s">
        <v>804</v>
      </c>
      <c r="F2505" s="0" t="n">
        <v>8</v>
      </c>
      <c r="G2505" s="0" t="n">
        <v>0</v>
      </c>
      <c r="H2505" s="0" t="s">
        <v>585</v>
      </c>
      <c r="K2505" s="0" t="s">
        <v>782</v>
      </c>
      <c r="L2505" s="0" t="s">
        <v>4405</v>
      </c>
    </row>
    <row r="2506" customFormat="false" ht="15" hidden="false" customHeight="false" outlineLevel="0" collapsed="false">
      <c r="A2506" s="0" t="s">
        <v>71</v>
      </c>
      <c r="B2506" s="0" t="s">
        <v>779</v>
      </c>
      <c r="C2506" s="0" t="s">
        <v>728</v>
      </c>
      <c r="D2506" s="0" t="s">
        <v>160</v>
      </c>
      <c r="E2506" s="0" t="s">
        <v>806</v>
      </c>
      <c r="F2506" s="0" t="n">
        <v>8</v>
      </c>
      <c r="G2506" s="0" t="n">
        <v>0</v>
      </c>
      <c r="H2506" s="0" t="s">
        <v>585</v>
      </c>
      <c r="K2506" s="0" t="s">
        <v>782</v>
      </c>
      <c r="L2506" s="0" t="s">
        <v>4406</v>
      </c>
    </row>
    <row r="2507" customFormat="false" ht="15" hidden="false" customHeight="false" outlineLevel="0" collapsed="false">
      <c r="A2507" s="0" t="s">
        <v>71</v>
      </c>
      <c r="B2507" s="0" t="s">
        <v>779</v>
      </c>
      <c r="C2507" s="0" t="s">
        <v>754</v>
      </c>
      <c r="D2507" s="0" t="s">
        <v>160</v>
      </c>
      <c r="E2507" s="0" t="s">
        <v>808</v>
      </c>
      <c r="F2507" s="0" t="n">
        <v>8</v>
      </c>
      <c r="G2507" s="0" t="n">
        <v>0</v>
      </c>
      <c r="H2507" s="0" t="s">
        <v>585</v>
      </c>
      <c r="K2507" s="0" t="s">
        <v>782</v>
      </c>
      <c r="L2507" s="0" t="s">
        <v>4407</v>
      </c>
    </row>
    <row r="2508" customFormat="false" ht="15" hidden="false" customHeight="false" outlineLevel="0" collapsed="false">
      <c r="A2508" s="0" t="s">
        <v>71</v>
      </c>
      <c r="B2508" s="0" t="s">
        <v>42</v>
      </c>
      <c r="C2508" s="0" t="s">
        <v>810</v>
      </c>
      <c r="D2508" s="0" t="s">
        <v>987</v>
      </c>
      <c r="E2508" s="0" t="s">
        <v>1872</v>
      </c>
      <c r="F2508" s="0" t="n">
        <v>5</v>
      </c>
      <c r="G2508" s="0" t="n">
        <v>0</v>
      </c>
      <c r="H2508" s="0" t="s">
        <v>585</v>
      </c>
      <c r="K2508" s="0" t="s">
        <v>581</v>
      </c>
      <c r="L2508" s="0" t="s">
        <v>4408</v>
      </c>
    </row>
    <row r="2509" customFormat="false" ht="15" hidden="false" customHeight="false" outlineLevel="0" collapsed="false">
      <c r="A2509" s="0" t="s">
        <v>71</v>
      </c>
      <c r="B2509" s="0" t="s">
        <v>42</v>
      </c>
      <c r="C2509" s="0" t="s">
        <v>810</v>
      </c>
      <c r="D2509" s="0" t="s">
        <v>990</v>
      </c>
      <c r="E2509" s="0" t="s">
        <v>1874</v>
      </c>
      <c r="F2509" s="0" t="n">
        <v>5</v>
      </c>
      <c r="G2509" s="0" t="n">
        <v>0</v>
      </c>
      <c r="H2509" s="0" t="s">
        <v>585</v>
      </c>
      <c r="K2509" s="0" t="s">
        <v>586</v>
      </c>
      <c r="L2509" s="0" t="s">
        <v>4409</v>
      </c>
    </row>
    <row r="2510" customFormat="false" ht="15" hidden="false" customHeight="false" outlineLevel="0" collapsed="false">
      <c r="A2510" s="0" t="s">
        <v>71</v>
      </c>
      <c r="B2510" s="0" t="s">
        <v>42</v>
      </c>
      <c r="C2510" s="0" t="s">
        <v>810</v>
      </c>
      <c r="D2510" s="0" t="s">
        <v>993</v>
      </c>
      <c r="E2510" s="0" t="s">
        <v>1876</v>
      </c>
      <c r="F2510" s="0" t="n">
        <v>5</v>
      </c>
      <c r="G2510" s="0" t="n">
        <v>0</v>
      </c>
      <c r="H2510" s="0" t="s">
        <v>585</v>
      </c>
      <c r="K2510" s="0" t="s">
        <v>590</v>
      </c>
      <c r="L2510" s="0" t="s">
        <v>4410</v>
      </c>
    </row>
    <row r="2511" customFormat="false" ht="15" hidden="false" customHeight="false" outlineLevel="0" collapsed="false">
      <c r="A2511" s="0" t="s">
        <v>71</v>
      </c>
      <c r="B2511" s="0" t="s">
        <v>42</v>
      </c>
      <c r="C2511" s="0" t="s">
        <v>810</v>
      </c>
      <c r="D2511" s="0" t="s">
        <v>126</v>
      </c>
      <c r="E2511" s="0" t="s">
        <v>1878</v>
      </c>
      <c r="F2511" s="0" t="n">
        <v>5</v>
      </c>
      <c r="G2511" s="0" t="n">
        <v>1</v>
      </c>
      <c r="H2511" s="0" t="s">
        <v>585</v>
      </c>
      <c r="I2511" s="0" t="s">
        <v>4324</v>
      </c>
      <c r="K2511" s="0" t="s">
        <v>594</v>
      </c>
      <c r="L2511" s="0" t="s">
        <v>4411</v>
      </c>
    </row>
    <row r="2512" customFormat="false" ht="15" hidden="false" customHeight="false" outlineLevel="0" collapsed="false">
      <c r="A2512" s="0" t="s">
        <v>71</v>
      </c>
      <c r="B2512" s="0" t="s">
        <v>42</v>
      </c>
      <c r="C2512" s="0" t="s">
        <v>810</v>
      </c>
      <c r="D2512" s="0" t="s">
        <v>129</v>
      </c>
      <c r="E2512" s="0" t="s">
        <v>1880</v>
      </c>
      <c r="F2512" s="0" t="n">
        <v>5</v>
      </c>
      <c r="G2512" s="0" t="n">
        <v>0</v>
      </c>
      <c r="H2512" s="0" t="s">
        <v>585</v>
      </c>
      <c r="K2512" s="0" t="s">
        <v>597</v>
      </c>
      <c r="L2512" s="0" t="s">
        <v>4412</v>
      </c>
    </row>
    <row r="2513" customFormat="false" ht="15" hidden="false" customHeight="false" outlineLevel="0" collapsed="false">
      <c r="A2513" s="0" t="s">
        <v>71</v>
      </c>
      <c r="B2513" s="0" t="s">
        <v>42</v>
      </c>
      <c r="C2513" s="0" t="s">
        <v>810</v>
      </c>
      <c r="D2513" s="0" t="s">
        <v>132</v>
      </c>
      <c r="E2513" s="0" t="s">
        <v>1882</v>
      </c>
      <c r="F2513" s="0" t="n">
        <v>5</v>
      </c>
      <c r="G2513" s="0" t="n">
        <v>0</v>
      </c>
      <c r="H2513" s="0" t="s">
        <v>585</v>
      </c>
      <c r="K2513" s="0" t="s">
        <v>600</v>
      </c>
      <c r="L2513" s="0" t="s">
        <v>4413</v>
      </c>
    </row>
    <row r="2514" customFormat="false" ht="15" hidden="false" customHeight="false" outlineLevel="0" collapsed="false">
      <c r="A2514" s="0" t="s">
        <v>71</v>
      </c>
      <c r="B2514" s="0" t="s">
        <v>42</v>
      </c>
      <c r="C2514" s="0" t="s">
        <v>810</v>
      </c>
      <c r="D2514" s="0" t="s">
        <v>139</v>
      </c>
      <c r="E2514" s="0" t="s">
        <v>1884</v>
      </c>
      <c r="F2514" s="0" t="n">
        <v>5</v>
      </c>
      <c r="G2514" s="0" t="n">
        <v>0</v>
      </c>
      <c r="H2514" s="0" t="s">
        <v>585</v>
      </c>
      <c r="K2514" s="0" t="s">
        <v>604</v>
      </c>
      <c r="L2514" s="0" t="s">
        <v>4414</v>
      </c>
    </row>
    <row r="2515" customFormat="false" ht="15" hidden="false" customHeight="false" outlineLevel="0" collapsed="false">
      <c r="A2515" s="0" t="s">
        <v>71</v>
      </c>
      <c r="B2515" s="0" t="s">
        <v>42</v>
      </c>
      <c r="C2515" s="0" t="s">
        <v>810</v>
      </c>
      <c r="D2515" s="0" t="s">
        <v>143</v>
      </c>
      <c r="E2515" s="0" t="s">
        <v>1886</v>
      </c>
      <c r="F2515" s="0" t="n">
        <v>5</v>
      </c>
      <c r="G2515" s="0" t="n">
        <v>0</v>
      </c>
      <c r="H2515" s="0" t="s">
        <v>585</v>
      </c>
      <c r="K2515" s="0" t="s">
        <v>607</v>
      </c>
      <c r="L2515" s="0" t="s">
        <v>4415</v>
      </c>
    </row>
    <row r="2516" customFormat="false" ht="15" hidden="false" customHeight="false" outlineLevel="0" collapsed="false">
      <c r="A2516" s="0" t="s">
        <v>71</v>
      </c>
      <c r="B2516" s="0" t="s">
        <v>42</v>
      </c>
      <c r="C2516" s="0" t="s">
        <v>810</v>
      </c>
      <c r="D2516" s="0" t="s">
        <v>146</v>
      </c>
      <c r="E2516" s="0" t="s">
        <v>1888</v>
      </c>
      <c r="F2516" s="0" t="n">
        <v>5</v>
      </c>
      <c r="G2516" s="0" t="n">
        <v>0</v>
      </c>
      <c r="H2516" s="0" t="s">
        <v>585</v>
      </c>
      <c r="K2516" s="0" t="s">
        <v>610</v>
      </c>
      <c r="L2516" s="0" t="s">
        <v>4416</v>
      </c>
    </row>
    <row r="2517" customFormat="false" ht="15" hidden="false" customHeight="false" outlineLevel="0" collapsed="false">
      <c r="A2517" s="0" t="s">
        <v>71</v>
      </c>
      <c r="B2517" s="0" t="s">
        <v>42</v>
      </c>
      <c r="C2517" s="0" t="s">
        <v>810</v>
      </c>
      <c r="D2517" s="0" t="s">
        <v>149</v>
      </c>
      <c r="E2517" s="0" t="s">
        <v>1890</v>
      </c>
      <c r="F2517" s="0" t="n">
        <v>5</v>
      </c>
      <c r="G2517" s="0" t="n">
        <v>0</v>
      </c>
      <c r="H2517" s="0" t="s">
        <v>585</v>
      </c>
      <c r="K2517" s="0" t="s">
        <v>613</v>
      </c>
      <c r="L2517" s="0" t="s">
        <v>4417</v>
      </c>
    </row>
    <row r="2518" customFormat="false" ht="15" hidden="false" customHeight="false" outlineLevel="0" collapsed="false">
      <c r="A2518" s="0" t="s">
        <v>71</v>
      </c>
      <c r="B2518" s="0" t="s">
        <v>42</v>
      </c>
      <c r="C2518" s="0" t="s">
        <v>810</v>
      </c>
      <c r="D2518" s="0" t="s">
        <v>152</v>
      </c>
      <c r="E2518" s="0" t="s">
        <v>1892</v>
      </c>
      <c r="F2518" s="0" t="n">
        <v>5</v>
      </c>
      <c r="G2518" s="0" t="n">
        <v>0</v>
      </c>
      <c r="H2518" s="0" t="s">
        <v>585</v>
      </c>
      <c r="K2518" s="0" t="s">
        <v>616</v>
      </c>
      <c r="L2518" s="0" t="s">
        <v>4418</v>
      </c>
    </row>
    <row r="2519" customFormat="false" ht="15" hidden="false" customHeight="false" outlineLevel="0" collapsed="false">
      <c r="A2519" s="0" t="s">
        <v>71</v>
      </c>
      <c r="B2519" s="0" t="s">
        <v>42</v>
      </c>
      <c r="C2519" s="0" t="s">
        <v>810</v>
      </c>
      <c r="D2519" s="0" t="s">
        <v>155</v>
      </c>
      <c r="E2519" s="0" t="s">
        <v>1894</v>
      </c>
      <c r="F2519" s="0" t="n">
        <v>5</v>
      </c>
      <c r="G2519" s="0" t="n">
        <v>0</v>
      </c>
      <c r="H2519" s="0" t="s">
        <v>585</v>
      </c>
      <c r="K2519" s="0" t="s">
        <v>620</v>
      </c>
      <c r="L2519" s="0" t="s">
        <v>4419</v>
      </c>
    </row>
    <row r="2520" customFormat="false" ht="15" hidden="false" customHeight="false" outlineLevel="0" collapsed="false">
      <c r="A2520" s="0" t="s">
        <v>71</v>
      </c>
      <c r="B2520" s="0" t="s">
        <v>42</v>
      </c>
      <c r="C2520" s="0" t="s">
        <v>835</v>
      </c>
      <c r="D2520" s="0" t="s">
        <v>987</v>
      </c>
      <c r="E2520" s="0" t="s">
        <v>1896</v>
      </c>
      <c r="F2520" s="0" t="n">
        <v>5</v>
      </c>
      <c r="G2520" s="0" t="n">
        <v>0</v>
      </c>
      <c r="H2520" s="0" t="s">
        <v>585</v>
      </c>
      <c r="K2520" s="0" t="s">
        <v>581</v>
      </c>
      <c r="L2520" s="0" t="s">
        <v>4420</v>
      </c>
    </row>
    <row r="2521" customFormat="false" ht="15" hidden="false" customHeight="false" outlineLevel="0" collapsed="false">
      <c r="A2521" s="0" t="s">
        <v>71</v>
      </c>
      <c r="B2521" s="0" t="s">
        <v>42</v>
      </c>
      <c r="C2521" s="0" t="s">
        <v>835</v>
      </c>
      <c r="D2521" s="0" t="s">
        <v>990</v>
      </c>
      <c r="E2521" s="0" t="s">
        <v>1898</v>
      </c>
      <c r="F2521" s="0" t="n">
        <v>5</v>
      </c>
      <c r="G2521" s="0" t="n">
        <v>0</v>
      </c>
      <c r="H2521" s="0" t="s">
        <v>585</v>
      </c>
      <c r="K2521" s="0" t="s">
        <v>586</v>
      </c>
      <c r="L2521" s="0" t="s">
        <v>4421</v>
      </c>
    </row>
    <row r="2522" customFormat="false" ht="15" hidden="false" customHeight="false" outlineLevel="0" collapsed="false">
      <c r="A2522" s="0" t="s">
        <v>71</v>
      </c>
      <c r="B2522" s="0" t="s">
        <v>42</v>
      </c>
      <c r="C2522" s="0" t="s">
        <v>835</v>
      </c>
      <c r="D2522" s="0" t="s">
        <v>993</v>
      </c>
      <c r="E2522" s="0" t="s">
        <v>1900</v>
      </c>
      <c r="F2522" s="0" t="n">
        <v>5</v>
      </c>
      <c r="G2522" s="0" t="n">
        <v>0</v>
      </c>
      <c r="H2522" s="0" t="s">
        <v>585</v>
      </c>
      <c r="K2522" s="0" t="s">
        <v>590</v>
      </c>
      <c r="L2522" s="0" t="s">
        <v>4422</v>
      </c>
    </row>
    <row r="2523" customFormat="false" ht="15" hidden="false" customHeight="false" outlineLevel="0" collapsed="false">
      <c r="A2523" s="0" t="s">
        <v>71</v>
      </c>
      <c r="B2523" s="0" t="s">
        <v>42</v>
      </c>
      <c r="C2523" s="0" t="s">
        <v>835</v>
      </c>
      <c r="D2523" s="0" t="s">
        <v>126</v>
      </c>
      <c r="E2523" s="0" t="s">
        <v>1902</v>
      </c>
      <c r="F2523" s="0" t="n">
        <v>5</v>
      </c>
      <c r="G2523" s="0" t="n">
        <v>0</v>
      </c>
      <c r="H2523" s="0" t="s">
        <v>585</v>
      </c>
      <c r="K2523" s="0" t="s">
        <v>594</v>
      </c>
      <c r="L2523" s="0" t="s">
        <v>4423</v>
      </c>
    </row>
    <row r="2524" customFormat="false" ht="15" hidden="false" customHeight="false" outlineLevel="0" collapsed="false">
      <c r="A2524" s="0" t="s">
        <v>71</v>
      </c>
      <c r="B2524" s="0" t="s">
        <v>42</v>
      </c>
      <c r="C2524" s="0" t="s">
        <v>835</v>
      </c>
      <c r="D2524" s="0" t="s">
        <v>129</v>
      </c>
      <c r="E2524" s="0" t="s">
        <v>1904</v>
      </c>
      <c r="F2524" s="0" t="n">
        <v>5</v>
      </c>
      <c r="G2524" s="0" t="n">
        <v>0</v>
      </c>
      <c r="H2524" s="0" t="s">
        <v>585</v>
      </c>
      <c r="K2524" s="0" t="s">
        <v>597</v>
      </c>
      <c r="L2524" s="0" t="s">
        <v>4424</v>
      </c>
    </row>
    <row r="2525" customFormat="false" ht="15" hidden="false" customHeight="false" outlineLevel="0" collapsed="false">
      <c r="A2525" s="0" t="s">
        <v>71</v>
      </c>
      <c r="B2525" s="0" t="s">
        <v>42</v>
      </c>
      <c r="C2525" s="0" t="s">
        <v>835</v>
      </c>
      <c r="D2525" s="0" t="s">
        <v>132</v>
      </c>
      <c r="E2525" s="0" t="s">
        <v>1906</v>
      </c>
      <c r="F2525" s="0" t="n">
        <v>5</v>
      </c>
      <c r="G2525" s="0" t="n">
        <v>0</v>
      </c>
      <c r="H2525" s="0" t="s">
        <v>585</v>
      </c>
      <c r="K2525" s="0" t="s">
        <v>600</v>
      </c>
      <c r="L2525" s="0" t="s">
        <v>4425</v>
      </c>
    </row>
    <row r="2526" customFormat="false" ht="15" hidden="false" customHeight="false" outlineLevel="0" collapsed="false">
      <c r="A2526" s="0" t="s">
        <v>71</v>
      </c>
      <c r="B2526" s="0" t="s">
        <v>42</v>
      </c>
      <c r="C2526" s="0" t="s">
        <v>835</v>
      </c>
      <c r="D2526" s="0" t="s">
        <v>139</v>
      </c>
      <c r="E2526" s="0" t="s">
        <v>1908</v>
      </c>
      <c r="F2526" s="0" t="n">
        <v>5</v>
      </c>
      <c r="G2526" s="0" t="n">
        <v>0</v>
      </c>
      <c r="H2526" s="0" t="s">
        <v>585</v>
      </c>
      <c r="K2526" s="0" t="s">
        <v>604</v>
      </c>
      <c r="L2526" s="0" t="s">
        <v>4426</v>
      </c>
    </row>
    <row r="2527" customFormat="false" ht="15" hidden="false" customHeight="false" outlineLevel="0" collapsed="false">
      <c r="A2527" s="0" t="s">
        <v>71</v>
      </c>
      <c r="B2527" s="0" t="s">
        <v>42</v>
      </c>
      <c r="C2527" s="0" t="s">
        <v>835</v>
      </c>
      <c r="D2527" s="0" t="s">
        <v>143</v>
      </c>
      <c r="E2527" s="0" t="s">
        <v>1910</v>
      </c>
      <c r="F2527" s="0" t="n">
        <v>5</v>
      </c>
      <c r="G2527" s="0" t="n">
        <v>0</v>
      </c>
      <c r="H2527" s="0" t="s">
        <v>585</v>
      </c>
      <c r="K2527" s="0" t="s">
        <v>607</v>
      </c>
      <c r="L2527" s="0" t="s">
        <v>4427</v>
      </c>
    </row>
    <row r="2528" customFormat="false" ht="15" hidden="false" customHeight="false" outlineLevel="0" collapsed="false">
      <c r="A2528" s="0" t="s">
        <v>71</v>
      </c>
      <c r="B2528" s="0" t="s">
        <v>42</v>
      </c>
      <c r="C2528" s="0" t="s">
        <v>835</v>
      </c>
      <c r="D2528" s="0" t="s">
        <v>146</v>
      </c>
      <c r="E2528" s="0" t="s">
        <v>1912</v>
      </c>
      <c r="F2528" s="0" t="n">
        <v>5</v>
      </c>
      <c r="G2528" s="0" t="n">
        <v>0</v>
      </c>
      <c r="H2528" s="0" t="s">
        <v>585</v>
      </c>
      <c r="K2528" s="0" t="s">
        <v>610</v>
      </c>
      <c r="L2528" s="0" t="s">
        <v>4428</v>
      </c>
    </row>
    <row r="2529" customFormat="false" ht="15" hidden="false" customHeight="false" outlineLevel="0" collapsed="false">
      <c r="A2529" s="0" t="s">
        <v>71</v>
      </c>
      <c r="B2529" s="0" t="s">
        <v>42</v>
      </c>
      <c r="C2529" s="0" t="s">
        <v>835</v>
      </c>
      <c r="D2529" s="0" t="s">
        <v>149</v>
      </c>
      <c r="E2529" s="0" t="s">
        <v>1914</v>
      </c>
      <c r="F2529" s="0" t="n">
        <v>5</v>
      </c>
      <c r="G2529" s="0" t="n">
        <v>0</v>
      </c>
      <c r="H2529" s="0" t="s">
        <v>585</v>
      </c>
      <c r="K2529" s="0" t="s">
        <v>613</v>
      </c>
      <c r="L2529" s="0" t="s">
        <v>4429</v>
      </c>
    </row>
    <row r="2530" customFormat="false" ht="15" hidden="false" customHeight="false" outlineLevel="0" collapsed="false">
      <c r="A2530" s="0" t="s">
        <v>71</v>
      </c>
      <c r="B2530" s="0" t="s">
        <v>42</v>
      </c>
      <c r="C2530" s="0" t="s">
        <v>835</v>
      </c>
      <c r="D2530" s="0" t="s">
        <v>152</v>
      </c>
      <c r="E2530" s="0" t="s">
        <v>1916</v>
      </c>
      <c r="F2530" s="0" t="n">
        <v>5</v>
      </c>
      <c r="G2530" s="0" t="n">
        <v>0</v>
      </c>
      <c r="H2530" s="0" t="s">
        <v>585</v>
      </c>
      <c r="K2530" s="0" t="s">
        <v>616</v>
      </c>
      <c r="L2530" s="0" t="s">
        <v>4430</v>
      </c>
    </row>
    <row r="2531" customFormat="false" ht="15" hidden="false" customHeight="false" outlineLevel="0" collapsed="false">
      <c r="A2531" s="0" t="s">
        <v>71</v>
      </c>
      <c r="B2531" s="0" t="s">
        <v>42</v>
      </c>
      <c r="C2531" s="0" t="s">
        <v>835</v>
      </c>
      <c r="D2531" s="0" t="s">
        <v>155</v>
      </c>
      <c r="E2531" s="0" t="s">
        <v>1918</v>
      </c>
      <c r="F2531" s="0" t="n">
        <v>5</v>
      </c>
      <c r="G2531" s="0" t="n">
        <v>0</v>
      </c>
      <c r="H2531" s="0" t="s">
        <v>585</v>
      </c>
      <c r="K2531" s="0" t="s">
        <v>620</v>
      </c>
      <c r="L2531" s="0" t="s">
        <v>4431</v>
      </c>
    </row>
    <row r="2532" customFormat="false" ht="15" hidden="false" customHeight="false" outlineLevel="0" collapsed="false">
      <c r="A2532" s="0" t="s">
        <v>71</v>
      </c>
      <c r="B2532" s="0" t="s">
        <v>42</v>
      </c>
      <c r="C2532" s="0" t="s">
        <v>860</v>
      </c>
      <c r="D2532" s="0" t="s">
        <v>987</v>
      </c>
      <c r="E2532" s="0" t="s">
        <v>1920</v>
      </c>
      <c r="F2532" s="0" t="n">
        <v>5</v>
      </c>
      <c r="G2532" s="0" t="n">
        <v>0</v>
      </c>
      <c r="H2532" s="0" t="s">
        <v>585</v>
      </c>
      <c r="K2532" s="0" t="s">
        <v>581</v>
      </c>
      <c r="L2532" s="0" t="s">
        <v>4432</v>
      </c>
    </row>
    <row r="2533" customFormat="false" ht="15" hidden="false" customHeight="false" outlineLevel="0" collapsed="false">
      <c r="A2533" s="0" t="s">
        <v>71</v>
      </c>
      <c r="B2533" s="0" t="s">
        <v>42</v>
      </c>
      <c r="C2533" s="0" t="s">
        <v>860</v>
      </c>
      <c r="D2533" s="0" t="s">
        <v>990</v>
      </c>
      <c r="E2533" s="0" t="s">
        <v>1922</v>
      </c>
      <c r="F2533" s="0" t="n">
        <v>5</v>
      </c>
      <c r="G2533" s="0" t="n">
        <v>1</v>
      </c>
      <c r="H2533" s="0" t="s">
        <v>585</v>
      </c>
      <c r="I2533" s="0" t="s">
        <v>4324</v>
      </c>
      <c r="K2533" s="0" t="s">
        <v>586</v>
      </c>
      <c r="L2533" s="0" t="s">
        <v>4433</v>
      </c>
    </row>
    <row r="2534" customFormat="false" ht="15" hidden="false" customHeight="false" outlineLevel="0" collapsed="false">
      <c r="A2534" s="0" t="s">
        <v>71</v>
      </c>
      <c r="B2534" s="0" t="s">
        <v>42</v>
      </c>
      <c r="C2534" s="0" t="s">
        <v>860</v>
      </c>
      <c r="D2534" s="0" t="s">
        <v>993</v>
      </c>
      <c r="E2534" s="0" t="s">
        <v>1924</v>
      </c>
      <c r="F2534" s="0" t="n">
        <v>5</v>
      </c>
      <c r="G2534" s="0" t="n">
        <v>2</v>
      </c>
      <c r="H2534" s="0" t="s">
        <v>585</v>
      </c>
      <c r="I2534" s="0" t="s">
        <v>4337</v>
      </c>
      <c r="K2534" s="0" t="s">
        <v>590</v>
      </c>
      <c r="L2534" s="0" t="s">
        <v>4434</v>
      </c>
    </row>
    <row r="2535" customFormat="false" ht="15" hidden="false" customHeight="false" outlineLevel="0" collapsed="false">
      <c r="A2535" s="0" t="s">
        <v>71</v>
      </c>
      <c r="B2535" s="0" t="s">
        <v>42</v>
      </c>
      <c r="C2535" s="0" t="s">
        <v>860</v>
      </c>
      <c r="D2535" s="0" t="s">
        <v>126</v>
      </c>
      <c r="E2535" s="0" t="s">
        <v>1926</v>
      </c>
      <c r="F2535" s="0" t="n">
        <v>5</v>
      </c>
      <c r="G2535" s="0" t="n">
        <v>2</v>
      </c>
      <c r="H2535" s="0" t="s">
        <v>585</v>
      </c>
      <c r="I2535" s="0" t="s">
        <v>4337</v>
      </c>
      <c r="K2535" s="0" t="s">
        <v>594</v>
      </c>
      <c r="L2535" s="0" t="s">
        <v>4435</v>
      </c>
    </row>
    <row r="2536" customFormat="false" ht="15" hidden="false" customHeight="false" outlineLevel="0" collapsed="false">
      <c r="A2536" s="0" t="s">
        <v>71</v>
      </c>
      <c r="B2536" s="0" t="s">
        <v>42</v>
      </c>
      <c r="C2536" s="0" t="s">
        <v>860</v>
      </c>
      <c r="D2536" s="0" t="s">
        <v>129</v>
      </c>
      <c r="E2536" s="0" t="s">
        <v>1928</v>
      </c>
      <c r="F2536" s="0" t="n">
        <v>5</v>
      </c>
      <c r="G2536" s="0" t="n">
        <v>0</v>
      </c>
      <c r="H2536" s="0" t="s">
        <v>585</v>
      </c>
      <c r="K2536" s="0" t="s">
        <v>597</v>
      </c>
      <c r="L2536" s="0" t="s">
        <v>4436</v>
      </c>
    </row>
    <row r="2537" customFormat="false" ht="15" hidden="false" customHeight="false" outlineLevel="0" collapsed="false">
      <c r="A2537" s="0" t="s">
        <v>71</v>
      </c>
      <c r="B2537" s="0" t="s">
        <v>42</v>
      </c>
      <c r="C2537" s="0" t="s">
        <v>860</v>
      </c>
      <c r="D2537" s="0" t="s">
        <v>132</v>
      </c>
      <c r="E2537" s="0" t="s">
        <v>1930</v>
      </c>
      <c r="F2537" s="0" t="n">
        <v>5</v>
      </c>
      <c r="G2537" s="0" t="n">
        <v>0</v>
      </c>
      <c r="H2537" s="0" t="s">
        <v>585</v>
      </c>
      <c r="K2537" s="0" t="s">
        <v>600</v>
      </c>
      <c r="L2537" s="0" t="s">
        <v>4437</v>
      </c>
    </row>
    <row r="2538" customFormat="false" ht="15" hidden="false" customHeight="false" outlineLevel="0" collapsed="false">
      <c r="A2538" s="0" t="s">
        <v>71</v>
      </c>
      <c r="B2538" s="0" t="s">
        <v>42</v>
      </c>
      <c r="C2538" s="0" t="s">
        <v>860</v>
      </c>
      <c r="D2538" s="0" t="s">
        <v>139</v>
      </c>
      <c r="E2538" s="0" t="s">
        <v>1932</v>
      </c>
      <c r="F2538" s="0" t="n">
        <v>5</v>
      </c>
      <c r="G2538" s="0" t="n">
        <v>0</v>
      </c>
      <c r="H2538" s="0" t="s">
        <v>585</v>
      </c>
      <c r="K2538" s="0" t="s">
        <v>604</v>
      </c>
      <c r="L2538" s="0" t="s">
        <v>4438</v>
      </c>
    </row>
    <row r="2539" customFormat="false" ht="15" hidden="false" customHeight="false" outlineLevel="0" collapsed="false">
      <c r="A2539" s="0" t="s">
        <v>71</v>
      </c>
      <c r="B2539" s="0" t="s">
        <v>42</v>
      </c>
      <c r="C2539" s="0" t="s">
        <v>860</v>
      </c>
      <c r="D2539" s="0" t="s">
        <v>143</v>
      </c>
      <c r="E2539" s="0" t="s">
        <v>1934</v>
      </c>
      <c r="F2539" s="0" t="n">
        <v>5</v>
      </c>
      <c r="G2539" s="0" t="n">
        <v>0</v>
      </c>
      <c r="H2539" s="0" t="s">
        <v>585</v>
      </c>
      <c r="K2539" s="0" t="s">
        <v>607</v>
      </c>
      <c r="L2539" s="0" t="s">
        <v>4439</v>
      </c>
    </row>
    <row r="2540" customFormat="false" ht="15" hidden="false" customHeight="false" outlineLevel="0" collapsed="false">
      <c r="A2540" s="0" t="s">
        <v>71</v>
      </c>
      <c r="B2540" s="0" t="s">
        <v>42</v>
      </c>
      <c r="C2540" s="0" t="s">
        <v>860</v>
      </c>
      <c r="D2540" s="0" t="s">
        <v>146</v>
      </c>
      <c r="E2540" s="0" t="s">
        <v>1936</v>
      </c>
      <c r="F2540" s="0" t="n">
        <v>5</v>
      </c>
      <c r="G2540" s="0" t="n">
        <v>0</v>
      </c>
      <c r="H2540" s="0" t="s">
        <v>585</v>
      </c>
      <c r="K2540" s="0" t="s">
        <v>610</v>
      </c>
      <c r="L2540" s="0" t="s">
        <v>4440</v>
      </c>
    </row>
    <row r="2541" customFormat="false" ht="15" hidden="false" customHeight="false" outlineLevel="0" collapsed="false">
      <c r="A2541" s="0" t="s">
        <v>71</v>
      </c>
      <c r="B2541" s="0" t="s">
        <v>42</v>
      </c>
      <c r="C2541" s="0" t="s">
        <v>860</v>
      </c>
      <c r="D2541" s="0" t="s">
        <v>149</v>
      </c>
      <c r="E2541" s="0" t="s">
        <v>1938</v>
      </c>
      <c r="F2541" s="0" t="n">
        <v>5</v>
      </c>
      <c r="G2541" s="0" t="n">
        <v>4</v>
      </c>
      <c r="H2541" s="0" t="s">
        <v>585</v>
      </c>
      <c r="I2541" s="0" t="s">
        <v>4337</v>
      </c>
      <c r="K2541" s="0" t="s">
        <v>613</v>
      </c>
      <c r="L2541" s="0" t="s">
        <v>4441</v>
      </c>
    </row>
    <row r="2542" customFormat="false" ht="15" hidden="false" customHeight="false" outlineLevel="0" collapsed="false">
      <c r="A2542" s="0" t="s">
        <v>71</v>
      </c>
      <c r="B2542" s="0" t="s">
        <v>42</v>
      </c>
      <c r="C2542" s="0" t="s">
        <v>860</v>
      </c>
      <c r="D2542" s="0" t="s">
        <v>152</v>
      </c>
      <c r="E2542" s="0" t="s">
        <v>1940</v>
      </c>
      <c r="F2542" s="0" t="n">
        <v>5</v>
      </c>
      <c r="G2542" s="0" t="n">
        <v>0</v>
      </c>
      <c r="H2542" s="0" t="s">
        <v>585</v>
      </c>
      <c r="I2542" s="0" t="s">
        <v>4324</v>
      </c>
      <c r="K2542" s="0" t="s">
        <v>616</v>
      </c>
      <c r="L2542" s="0" t="s">
        <v>4442</v>
      </c>
    </row>
    <row r="2543" customFormat="false" ht="15" hidden="false" customHeight="false" outlineLevel="0" collapsed="false">
      <c r="A2543" s="0" t="s">
        <v>71</v>
      </c>
      <c r="B2543" s="0" t="s">
        <v>42</v>
      </c>
      <c r="C2543" s="0" t="s">
        <v>860</v>
      </c>
      <c r="D2543" s="0" t="s">
        <v>155</v>
      </c>
      <c r="E2543" s="0" t="s">
        <v>1942</v>
      </c>
      <c r="F2543" s="0" t="n">
        <v>5</v>
      </c>
      <c r="G2543" s="0" t="n">
        <v>0</v>
      </c>
      <c r="H2543" s="0" t="s">
        <v>585</v>
      </c>
      <c r="K2543" s="0" t="s">
        <v>620</v>
      </c>
      <c r="L2543" s="0" t="s">
        <v>4443</v>
      </c>
    </row>
    <row r="2544" customFormat="false" ht="15" hidden="false" customHeight="false" outlineLevel="0" collapsed="false">
      <c r="A2544" s="0" t="s">
        <v>71</v>
      </c>
      <c r="B2544" s="0" t="s">
        <v>42</v>
      </c>
      <c r="C2544" s="0" t="s">
        <v>885</v>
      </c>
      <c r="D2544" s="0" t="s">
        <v>987</v>
      </c>
      <c r="E2544" s="0" t="s">
        <v>1944</v>
      </c>
      <c r="F2544" s="0" t="n">
        <v>5</v>
      </c>
      <c r="G2544" s="0" t="n">
        <v>0</v>
      </c>
      <c r="H2544" s="0" t="s">
        <v>585</v>
      </c>
      <c r="K2544" s="0" t="s">
        <v>581</v>
      </c>
      <c r="L2544" s="0" t="s">
        <v>4444</v>
      </c>
    </row>
    <row r="2545" customFormat="false" ht="15" hidden="false" customHeight="false" outlineLevel="0" collapsed="false">
      <c r="A2545" s="0" t="s">
        <v>71</v>
      </c>
      <c r="B2545" s="0" t="s">
        <v>42</v>
      </c>
      <c r="C2545" s="0" t="s">
        <v>885</v>
      </c>
      <c r="D2545" s="0" t="s">
        <v>990</v>
      </c>
      <c r="E2545" s="0" t="s">
        <v>1946</v>
      </c>
      <c r="F2545" s="0" t="n">
        <v>5</v>
      </c>
      <c r="G2545" s="0" t="n">
        <v>0</v>
      </c>
      <c r="H2545" s="0" t="s">
        <v>585</v>
      </c>
      <c r="K2545" s="0" t="s">
        <v>586</v>
      </c>
      <c r="L2545" s="0" t="s">
        <v>4445</v>
      </c>
    </row>
    <row r="2546" customFormat="false" ht="15" hidden="false" customHeight="false" outlineLevel="0" collapsed="false">
      <c r="A2546" s="0" t="s">
        <v>71</v>
      </c>
      <c r="B2546" s="0" t="s">
        <v>42</v>
      </c>
      <c r="C2546" s="0" t="s">
        <v>885</v>
      </c>
      <c r="D2546" s="0" t="s">
        <v>993</v>
      </c>
      <c r="E2546" s="0" t="s">
        <v>1948</v>
      </c>
      <c r="F2546" s="0" t="n">
        <v>5</v>
      </c>
      <c r="G2546" s="0" t="n">
        <v>2</v>
      </c>
      <c r="H2546" s="0" t="s">
        <v>585</v>
      </c>
      <c r="I2546" s="0" t="s">
        <v>4337</v>
      </c>
      <c r="K2546" s="0" t="s">
        <v>590</v>
      </c>
      <c r="L2546" s="0" t="s">
        <v>4446</v>
      </c>
    </row>
    <row r="2547" customFormat="false" ht="15" hidden="false" customHeight="false" outlineLevel="0" collapsed="false">
      <c r="A2547" s="0" t="s">
        <v>71</v>
      </c>
      <c r="B2547" s="0" t="s">
        <v>42</v>
      </c>
      <c r="C2547" s="0" t="s">
        <v>885</v>
      </c>
      <c r="D2547" s="0" t="s">
        <v>126</v>
      </c>
      <c r="E2547" s="0" t="s">
        <v>1950</v>
      </c>
      <c r="F2547" s="0" t="n">
        <v>5</v>
      </c>
      <c r="G2547" s="0" t="n">
        <v>1</v>
      </c>
      <c r="H2547" s="0" t="s">
        <v>585</v>
      </c>
      <c r="I2547" s="0" t="s">
        <v>4337</v>
      </c>
      <c r="K2547" s="0" t="s">
        <v>594</v>
      </c>
      <c r="L2547" s="0" t="s">
        <v>4447</v>
      </c>
    </row>
    <row r="2548" customFormat="false" ht="15" hidden="false" customHeight="false" outlineLevel="0" collapsed="false">
      <c r="A2548" s="0" t="s">
        <v>71</v>
      </c>
      <c r="B2548" s="0" t="s">
        <v>42</v>
      </c>
      <c r="C2548" s="0" t="s">
        <v>885</v>
      </c>
      <c r="D2548" s="0" t="s">
        <v>129</v>
      </c>
      <c r="E2548" s="0" t="s">
        <v>1952</v>
      </c>
      <c r="F2548" s="0" t="n">
        <v>5</v>
      </c>
      <c r="G2548" s="0" t="n">
        <v>1</v>
      </c>
      <c r="H2548" s="0" t="s">
        <v>585</v>
      </c>
      <c r="I2548" s="0" t="s">
        <v>4337</v>
      </c>
      <c r="K2548" s="0" t="s">
        <v>597</v>
      </c>
      <c r="L2548" s="0" t="s">
        <v>4448</v>
      </c>
    </row>
    <row r="2549" customFormat="false" ht="15" hidden="false" customHeight="false" outlineLevel="0" collapsed="false">
      <c r="A2549" s="0" t="s">
        <v>71</v>
      </c>
      <c r="B2549" s="0" t="s">
        <v>42</v>
      </c>
      <c r="C2549" s="0" t="s">
        <v>885</v>
      </c>
      <c r="D2549" s="0" t="s">
        <v>132</v>
      </c>
      <c r="E2549" s="0" t="s">
        <v>1954</v>
      </c>
      <c r="F2549" s="0" t="n">
        <v>5</v>
      </c>
      <c r="G2549" s="0" t="n">
        <v>1</v>
      </c>
      <c r="H2549" s="0" t="s">
        <v>585</v>
      </c>
      <c r="I2549" s="0" t="s">
        <v>4337</v>
      </c>
      <c r="K2549" s="0" t="s">
        <v>600</v>
      </c>
      <c r="L2549" s="0" t="s">
        <v>4449</v>
      </c>
    </row>
    <row r="2550" customFormat="false" ht="15" hidden="false" customHeight="false" outlineLevel="0" collapsed="false">
      <c r="A2550" s="0" t="s">
        <v>71</v>
      </c>
      <c r="B2550" s="0" t="s">
        <v>42</v>
      </c>
      <c r="C2550" s="0" t="s">
        <v>885</v>
      </c>
      <c r="D2550" s="0" t="s">
        <v>139</v>
      </c>
      <c r="E2550" s="0" t="s">
        <v>1956</v>
      </c>
      <c r="F2550" s="0" t="n">
        <v>5</v>
      </c>
      <c r="G2550" s="0" t="n">
        <v>0</v>
      </c>
      <c r="H2550" s="0" t="s">
        <v>585</v>
      </c>
      <c r="K2550" s="0" t="s">
        <v>604</v>
      </c>
      <c r="L2550" s="0" t="s">
        <v>4450</v>
      </c>
    </row>
    <row r="2551" customFormat="false" ht="15" hidden="false" customHeight="false" outlineLevel="0" collapsed="false">
      <c r="A2551" s="0" t="s">
        <v>71</v>
      </c>
      <c r="B2551" s="0" t="s">
        <v>42</v>
      </c>
      <c r="C2551" s="0" t="s">
        <v>885</v>
      </c>
      <c r="D2551" s="0" t="s">
        <v>143</v>
      </c>
      <c r="E2551" s="0" t="s">
        <v>1958</v>
      </c>
      <c r="F2551" s="0" t="n">
        <v>5</v>
      </c>
      <c r="G2551" s="0" t="n">
        <v>0</v>
      </c>
      <c r="H2551" s="0" t="s">
        <v>585</v>
      </c>
      <c r="K2551" s="0" t="s">
        <v>607</v>
      </c>
      <c r="L2551" s="0" t="s">
        <v>4451</v>
      </c>
    </row>
    <row r="2552" customFormat="false" ht="15" hidden="false" customHeight="false" outlineLevel="0" collapsed="false">
      <c r="A2552" s="0" t="s">
        <v>71</v>
      </c>
      <c r="B2552" s="0" t="s">
        <v>42</v>
      </c>
      <c r="C2552" s="0" t="s">
        <v>885</v>
      </c>
      <c r="D2552" s="0" t="s">
        <v>146</v>
      </c>
      <c r="E2552" s="0" t="s">
        <v>1960</v>
      </c>
      <c r="F2552" s="0" t="n">
        <v>5</v>
      </c>
      <c r="G2552" s="0" t="n">
        <v>0</v>
      </c>
      <c r="H2552" s="0" t="s">
        <v>585</v>
      </c>
      <c r="K2552" s="0" t="s">
        <v>610</v>
      </c>
      <c r="L2552" s="0" t="s">
        <v>4452</v>
      </c>
    </row>
    <row r="2553" customFormat="false" ht="15" hidden="false" customHeight="false" outlineLevel="0" collapsed="false">
      <c r="A2553" s="0" t="s">
        <v>71</v>
      </c>
      <c r="B2553" s="0" t="s">
        <v>42</v>
      </c>
      <c r="C2553" s="0" t="s">
        <v>885</v>
      </c>
      <c r="D2553" s="0" t="s">
        <v>149</v>
      </c>
      <c r="E2553" s="0" t="s">
        <v>1962</v>
      </c>
      <c r="F2553" s="0" t="n">
        <v>5</v>
      </c>
      <c r="G2553" s="0" t="n">
        <v>0</v>
      </c>
      <c r="H2553" s="0" t="s">
        <v>585</v>
      </c>
      <c r="K2553" s="0" t="s">
        <v>613</v>
      </c>
      <c r="L2553" s="0" t="s">
        <v>4453</v>
      </c>
    </row>
    <row r="2554" customFormat="false" ht="15" hidden="false" customHeight="false" outlineLevel="0" collapsed="false">
      <c r="A2554" s="0" t="s">
        <v>71</v>
      </c>
      <c r="B2554" s="0" t="s">
        <v>42</v>
      </c>
      <c r="C2554" s="0" t="s">
        <v>885</v>
      </c>
      <c r="D2554" s="0" t="s">
        <v>152</v>
      </c>
      <c r="E2554" s="0" t="s">
        <v>1964</v>
      </c>
      <c r="F2554" s="0" t="n">
        <v>5</v>
      </c>
      <c r="G2554" s="0" t="n">
        <v>0</v>
      </c>
      <c r="H2554" s="0" t="s">
        <v>585</v>
      </c>
      <c r="K2554" s="0" t="s">
        <v>616</v>
      </c>
      <c r="L2554" s="0" t="s">
        <v>4454</v>
      </c>
    </row>
    <row r="2555" customFormat="false" ht="15" hidden="false" customHeight="false" outlineLevel="0" collapsed="false">
      <c r="A2555" s="0" t="s">
        <v>71</v>
      </c>
      <c r="B2555" s="0" t="s">
        <v>42</v>
      </c>
      <c r="C2555" s="0" t="s">
        <v>885</v>
      </c>
      <c r="D2555" s="0" t="s">
        <v>155</v>
      </c>
      <c r="E2555" s="0" t="s">
        <v>1966</v>
      </c>
      <c r="F2555" s="0" t="n">
        <v>5</v>
      </c>
      <c r="G2555" s="0" t="n">
        <v>0</v>
      </c>
      <c r="H2555" s="0" t="s">
        <v>585</v>
      </c>
      <c r="K2555" s="0" t="s">
        <v>620</v>
      </c>
      <c r="L2555" s="0" t="s">
        <v>4455</v>
      </c>
    </row>
    <row r="2556" customFormat="false" ht="15" hidden="false" customHeight="false" outlineLevel="0" collapsed="false">
      <c r="A2556" s="0" t="s">
        <v>71</v>
      </c>
      <c r="B2556" s="0" t="s">
        <v>42</v>
      </c>
      <c r="C2556" s="0" t="s">
        <v>910</v>
      </c>
      <c r="D2556" s="0" t="s">
        <v>987</v>
      </c>
      <c r="E2556" s="0" t="s">
        <v>1968</v>
      </c>
      <c r="F2556" s="0" t="n">
        <v>5</v>
      </c>
      <c r="G2556" s="0" t="n">
        <v>0</v>
      </c>
      <c r="H2556" s="0" t="s">
        <v>585</v>
      </c>
      <c r="K2556" s="0" t="s">
        <v>581</v>
      </c>
      <c r="L2556" s="0" t="s">
        <v>4456</v>
      </c>
    </row>
    <row r="2557" customFormat="false" ht="15" hidden="false" customHeight="false" outlineLevel="0" collapsed="false">
      <c r="A2557" s="0" t="s">
        <v>71</v>
      </c>
      <c r="B2557" s="0" t="s">
        <v>42</v>
      </c>
      <c r="C2557" s="0" t="s">
        <v>910</v>
      </c>
      <c r="D2557" s="0" t="s">
        <v>990</v>
      </c>
      <c r="E2557" s="0" t="s">
        <v>1970</v>
      </c>
      <c r="F2557" s="0" t="n">
        <v>5</v>
      </c>
      <c r="G2557" s="0" t="n">
        <v>0</v>
      </c>
      <c r="H2557" s="0" t="s">
        <v>585</v>
      </c>
      <c r="K2557" s="0" t="s">
        <v>586</v>
      </c>
      <c r="L2557" s="0" t="s">
        <v>4457</v>
      </c>
    </row>
    <row r="2558" customFormat="false" ht="15" hidden="false" customHeight="false" outlineLevel="0" collapsed="false">
      <c r="A2558" s="0" t="s">
        <v>71</v>
      </c>
      <c r="B2558" s="0" t="s">
        <v>42</v>
      </c>
      <c r="C2558" s="0" t="s">
        <v>910</v>
      </c>
      <c r="D2558" s="0" t="s">
        <v>993</v>
      </c>
      <c r="E2558" s="0" t="s">
        <v>1972</v>
      </c>
      <c r="F2558" s="0" t="n">
        <v>5</v>
      </c>
      <c r="G2558" s="0" t="n">
        <v>1</v>
      </c>
      <c r="H2558" s="0" t="s">
        <v>585</v>
      </c>
      <c r="I2558" s="0" t="s">
        <v>4337</v>
      </c>
      <c r="K2558" s="0" t="s">
        <v>590</v>
      </c>
      <c r="L2558" s="0" t="s">
        <v>4458</v>
      </c>
    </row>
    <row r="2559" customFormat="false" ht="15" hidden="false" customHeight="false" outlineLevel="0" collapsed="false">
      <c r="A2559" s="0" t="s">
        <v>71</v>
      </c>
      <c r="B2559" s="0" t="s">
        <v>42</v>
      </c>
      <c r="C2559" s="0" t="s">
        <v>910</v>
      </c>
      <c r="D2559" s="0" t="s">
        <v>126</v>
      </c>
      <c r="E2559" s="0" t="s">
        <v>1974</v>
      </c>
      <c r="F2559" s="0" t="n">
        <v>5</v>
      </c>
      <c r="G2559" s="0" t="n">
        <v>0</v>
      </c>
      <c r="H2559" s="0" t="s">
        <v>585</v>
      </c>
      <c r="K2559" s="0" t="s">
        <v>594</v>
      </c>
      <c r="L2559" s="0" t="s">
        <v>4459</v>
      </c>
    </row>
    <row r="2560" customFormat="false" ht="15" hidden="false" customHeight="false" outlineLevel="0" collapsed="false">
      <c r="A2560" s="0" t="s">
        <v>71</v>
      </c>
      <c r="B2560" s="0" t="s">
        <v>42</v>
      </c>
      <c r="C2560" s="0" t="s">
        <v>910</v>
      </c>
      <c r="D2560" s="0" t="s">
        <v>129</v>
      </c>
      <c r="E2560" s="0" t="s">
        <v>1976</v>
      </c>
      <c r="F2560" s="0" t="n">
        <v>5</v>
      </c>
      <c r="G2560" s="0" t="n">
        <v>0</v>
      </c>
      <c r="H2560" s="0" t="s">
        <v>585</v>
      </c>
      <c r="K2560" s="0" t="s">
        <v>597</v>
      </c>
      <c r="L2560" s="0" t="s">
        <v>4460</v>
      </c>
    </row>
    <row r="2561" customFormat="false" ht="15" hidden="false" customHeight="false" outlineLevel="0" collapsed="false">
      <c r="A2561" s="0" t="s">
        <v>71</v>
      </c>
      <c r="B2561" s="0" t="s">
        <v>42</v>
      </c>
      <c r="C2561" s="0" t="s">
        <v>910</v>
      </c>
      <c r="D2561" s="0" t="s">
        <v>132</v>
      </c>
      <c r="E2561" s="0" t="s">
        <v>1978</v>
      </c>
      <c r="F2561" s="0" t="n">
        <v>5</v>
      </c>
      <c r="G2561" s="0" t="n">
        <v>0</v>
      </c>
      <c r="H2561" s="0" t="s">
        <v>585</v>
      </c>
      <c r="K2561" s="0" t="s">
        <v>600</v>
      </c>
      <c r="L2561" s="0" t="s">
        <v>4461</v>
      </c>
    </row>
    <row r="2562" customFormat="false" ht="15" hidden="false" customHeight="false" outlineLevel="0" collapsed="false">
      <c r="A2562" s="0" t="s">
        <v>71</v>
      </c>
      <c r="B2562" s="0" t="s">
        <v>42</v>
      </c>
      <c r="C2562" s="0" t="s">
        <v>910</v>
      </c>
      <c r="D2562" s="0" t="s">
        <v>139</v>
      </c>
      <c r="E2562" s="0" t="s">
        <v>1980</v>
      </c>
      <c r="F2562" s="0" t="n">
        <v>5</v>
      </c>
      <c r="G2562" s="0" t="n">
        <v>0</v>
      </c>
      <c r="H2562" s="0" t="s">
        <v>585</v>
      </c>
      <c r="K2562" s="0" t="s">
        <v>604</v>
      </c>
      <c r="L2562" s="0" t="s">
        <v>4462</v>
      </c>
    </row>
    <row r="2563" customFormat="false" ht="15" hidden="false" customHeight="false" outlineLevel="0" collapsed="false">
      <c r="A2563" s="0" t="s">
        <v>71</v>
      </c>
      <c r="B2563" s="0" t="s">
        <v>42</v>
      </c>
      <c r="C2563" s="0" t="s">
        <v>910</v>
      </c>
      <c r="D2563" s="0" t="s">
        <v>143</v>
      </c>
      <c r="E2563" s="0" t="s">
        <v>1982</v>
      </c>
      <c r="F2563" s="0" t="n">
        <v>5</v>
      </c>
      <c r="G2563" s="0" t="n">
        <v>0</v>
      </c>
      <c r="H2563" s="0" t="s">
        <v>585</v>
      </c>
      <c r="K2563" s="0" t="s">
        <v>607</v>
      </c>
      <c r="L2563" s="0" t="s">
        <v>4463</v>
      </c>
    </row>
    <row r="2564" customFormat="false" ht="15" hidden="false" customHeight="false" outlineLevel="0" collapsed="false">
      <c r="A2564" s="0" t="s">
        <v>71</v>
      </c>
      <c r="B2564" s="0" t="s">
        <v>42</v>
      </c>
      <c r="C2564" s="0" t="s">
        <v>910</v>
      </c>
      <c r="D2564" s="0" t="s">
        <v>146</v>
      </c>
      <c r="E2564" s="0" t="s">
        <v>1984</v>
      </c>
      <c r="F2564" s="0" t="n">
        <v>5</v>
      </c>
      <c r="G2564" s="0" t="n">
        <v>0</v>
      </c>
      <c r="H2564" s="0" t="s">
        <v>585</v>
      </c>
      <c r="K2564" s="0" t="s">
        <v>610</v>
      </c>
      <c r="L2564" s="0" t="s">
        <v>4464</v>
      </c>
    </row>
    <row r="2565" customFormat="false" ht="15" hidden="false" customHeight="false" outlineLevel="0" collapsed="false">
      <c r="A2565" s="0" t="s">
        <v>71</v>
      </c>
      <c r="B2565" s="0" t="s">
        <v>42</v>
      </c>
      <c r="C2565" s="0" t="s">
        <v>910</v>
      </c>
      <c r="D2565" s="0" t="s">
        <v>149</v>
      </c>
      <c r="E2565" s="0" t="s">
        <v>1986</v>
      </c>
      <c r="F2565" s="0" t="n">
        <v>5</v>
      </c>
      <c r="G2565" s="0" t="n">
        <v>1</v>
      </c>
      <c r="H2565" s="0" t="s">
        <v>585</v>
      </c>
      <c r="I2565" s="0" t="s">
        <v>4337</v>
      </c>
      <c r="K2565" s="0" t="s">
        <v>613</v>
      </c>
      <c r="L2565" s="0" t="s">
        <v>4465</v>
      </c>
    </row>
    <row r="2566" customFormat="false" ht="15" hidden="false" customHeight="false" outlineLevel="0" collapsed="false">
      <c r="A2566" s="0" t="s">
        <v>71</v>
      </c>
      <c r="B2566" s="0" t="s">
        <v>42</v>
      </c>
      <c r="C2566" s="0" t="s">
        <v>910</v>
      </c>
      <c r="D2566" s="0" t="s">
        <v>152</v>
      </c>
      <c r="E2566" s="0" t="s">
        <v>1988</v>
      </c>
      <c r="F2566" s="0" t="n">
        <v>5</v>
      </c>
      <c r="G2566" s="0" t="n">
        <v>0</v>
      </c>
      <c r="H2566" s="0" t="s">
        <v>585</v>
      </c>
      <c r="K2566" s="0" t="s">
        <v>616</v>
      </c>
      <c r="L2566" s="0" t="s">
        <v>4466</v>
      </c>
    </row>
    <row r="2567" customFormat="false" ht="15" hidden="false" customHeight="false" outlineLevel="0" collapsed="false">
      <c r="A2567" s="0" t="s">
        <v>71</v>
      </c>
      <c r="B2567" s="0" t="s">
        <v>42</v>
      </c>
      <c r="C2567" s="0" t="s">
        <v>910</v>
      </c>
      <c r="D2567" s="0" t="s">
        <v>155</v>
      </c>
      <c r="E2567" s="0" t="s">
        <v>1990</v>
      </c>
      <c r="F2567" s="0" t="n">
        <v>5</v>
      </c>
      <c r="G2567" s="0" t="n">
        <v>0</v>
      </c>
      <c r="H2567" s="0" t="s">
        <v>585</v>
      </c>
      <c r="K2567" s="0" t="s">
        <v>620</v>
      </c>
      <c r="L2567" s="0" t="s">
        <v>4467</v>
      </c>
    </row>
    <row r="2568" customFormat="false" ht="15" hidden="false" customHeight="false" outlineLevel="0" collapsed="false">
      <c r="A2568" s="0" t="s">
        <v>71</v>
      </c>
      <c r="B2568" s="0" t="s">
        <v>42</v>
      </c>
      <c r="C2568" s="0" t="s">
        <v>935</v>
      </c>
      <c r="D2568" s="0" t="s">
        <v>987</v>
      </c>
      <c r="E2568" s="0" t="s">
        <v>1992</v>
      </c>
      <c r="F2568" s="0" t="n">
        <v>5</v>
      </c>
      <c r="G2568" s="0" t="n">
        <v>0</v>
      </c>
      <c r="H2568" s="0" t="s">
        <v>585</v>
      </c>
      <c r="K2568" s="0" t="s">
        <v>581</v>
      </c>
      <c r="L2568" s="0" t="s">
        <v>4468</v>
      </c>
    </row>
    <row r="2569" customFormat="false" ht="15" hidden="false" customHeight="false" outlineLevel="0" collapsed="false">
      <c r="A2569" s="0" t="s">
        <v>71</v>
      </c>
      <c r="B2569" s="0" t="s">
        <v>42</v>
      </c>
      <c r="C2569" s="0" t="s">
        <v>935</v>
      </c>
      <c r="D2569" s="0" t="s">
        <v>990</v>
      </c>
      <c r="E2569" s="0" t="s">
        <v>1994</v>
      </c>
      <c r="F2569" s="0" t="n">
        <v>5</v>
      </c>
      <c r="G2569" s="0" t="n">
        <v>3</v>
      </c>
      <c r="H2569" s="0" t="s">
        <v>585</v>
      </c>
      <c r="I2569" s="0" t="s">
        <v>4337</v>
      </c>
      <c r="K2569" s="0" t="s">
        <v>586</v>
      </c>
      <c r="L2569" s="0" t="s">
        <v>4469</v>
      </c>
    </row>
    <row r="2570" customFormat="false" ht="15" hidden="false" customHeight="false" outlineLevel="0" collapsed="false">
      <c r="A2570" s="0" t="s">
        <v>71</v>
      </c>
      <c r="B2570" s="0" t="s">
        <v>42</v>
      </c>
      <c r="C2570" s="0" t="s">
        <v>935</v>
      </c>
      <c r="D2570" s="0" t="s">
        <v>993</v>
      </c>
      <c r="E2570" s="0" t="s">
        <v>1996</v>
      </c>
      <c r="F2570" s="0" t="n">
        <v>5</v>
      </c>
      <c r="G2570" s="0" t="n">
        <v>1</v>
      </c>
      <c r="H2570" s="0" t="s">
        <v>585</v>
      </c>
      <c r="I2570" s="0" t="s">
        <v>4324</v>
      </c>
      <c r="K2570" s="0" t="s">
        <v>590</v>
      </c>
      <c r="L2570" s="0" t="s">
        <v>4470</v>
      </c>
    </row>
    <row r="2571" customFormat="false" ht="15" hidden="false" customHeight="false" outlineLevel="0" collapsed="false">
      <c r="A2571" s="0" t="s">
        <v>71</v>
      </c>
      <c r="B2571" s="0" t="s">
        <v>42</v>
      </c>
      <c r="C2571" s="0" t="s">
        <v>935</v>
      </c>
      <c r="D2571" s="0" t="s">
        <v>126</v>
      </c>
      <c r="E2571" s="0" t="s">
        <v>1998</v>
      </c>
      <c r="F2571" s="0" t="n">
        <v>5</v>
      </c>
      <c r="G2571" s="0" t="n">
        <v>2</v>
      </c>
      <c r="H2571" s="0" t="s">
        <v>585</v>
      </c>
      <c r="I2571" s="0" t="s">
        <v>4324</v>
      </c>
      <c r="K2571" s="0" t="s">
        <v>594</v>
      </c>
      <c r="L2571" s="0" t="s">
        <v>4471</v>
      </c>
    </row>
    <row r="2572" customFormat="false" ht="15" hidden="false" customHeight="false" outlineLevel="0" collapsed="false">
      <c r="A2572" s="0" t="s">
        <v>71</v>
      </c>
      <c r="B2572" s="0" t="s">
        <v>42</v>
      </c>
      <c r="C2572" s="0" t="s">
        <v>935</v>
      </c>
      <c r="D2572" s="0" t="s">
        <v>129</v>
      </c>
      <c r="E2572" s="0" t="s">
        <v>2000</v>
      </c>
      <c r="F2572" s="0" t="n">
        <v>5</v>
      </c>
      <c r="G2572" s="0" t="n">
        <v>0</v>
      </c>
      <c r="H2572" s="0" t="s">
        <v>585</v>
      </c>
      <c r="K2572" s="0" t="s">
        <v>597</v>
      </c>
      <c r="L2572" s="0" t="s">
        <v>4472</v>
      </c>
    </row>
    <row r="2573" customFormat="false" ht="15" hidden="false" customHeight="false" outlineLevel="0" collapsed="false">
      <c r="A2573" s="0" t="s">
        <v>71</v>
      </c>
      <c r="B2573" s="0" t="s">
        <v>42</v>
      </c>
      <c r="C2573" s="0" t="s">
        <v>935</v>
      </c>
      <c r="D2573" s="0" t="s">
        <v>132</v>
      </c>
      <c r="E2573" s="0" t="s">
        <v>2002</v>
      </c>
      <c r="F2573" s="0" t="n">
        <v>5</v>
      </c>
      <c r="G2573" s="0" t="n">
        <v>2</v>
      </c>
      <c r="H2573" s="0" t="s">
        <v>585</v>
      </c>
      <c r="I2573" s="0" t="s">
        <v>4337</v>
      </c>
      <c r="K2573" s="0" t="s">
        <v>600</v>
      </c>
      <c r="L2573" s="0" t="s">
        <v>4473</v>
      </c>
    </row>
    <row r="2574" customFormat="false" ht="15" hidden="false" customHeight="false" outlineLevel="0" collapsed="false">
      <c r="A2574" s="0" t="s">
        <v>71</v>
      </c>
      <c r="B2574" s="0" t="s">
        <v>42</v>
      </c>
      <c r="C2574" s="0" t="s">
        <v>935</v>
      </c>
      <c r="D2574" s="0" t="s">
        <v>139</v>
      </c>
      <c r="E2574" s="0" t="s">
        <v>2004</v>
      </c>
      <c r="F2574" s="0" t="n">
        <v>5</v>
      </c>
      <c r="G2574" s="0" t="n">
        <v>0</v>
      </c>
      <c r="H2574" s="0" t="s">
        <v>585</v>
      </c>
      <c r="K2574" s="0" t="s">
        <v>604</v>
      </c>
      <c r="L2574" s="0" t="s">
        <v>4474</v>
      </c>
    </row>
    <row r="2575" customFormat="false" ht="15" hidden="false" customHeight="false" outlineLevel="0" collapsed="false">
      <c r="A2575" s="0" t="s">
        <v>71</v>
      </c>
      <c r="B2575" s="0" t="s">
        <v>42</v>
      </c>
      <c r="C2575" s="0" t="s">
        <v>935</v>
      </c>
      <c r="D2575" s="0" t="s">
        <v>143</v>
      </c>
      <c r="E2575" s="0" t="s">
        <v>2006</v>
      </c>
      <c r="F2575" s="0" t="n">
        <v>5</v>
      </c>
      <c r="G2575" s="0" t="n">
        <v>0</v>
      </c>
      <c r="H2575" s="0" t="s">
        <v>585</v>
      </c>
      <c r="K2575" s="0" t="s">
        <v>607</v>
      </c>
      <c r="L2575" s="0" t="s">
        <v>4475</v>
      </c>
    </row>
    <row r="2576" customFormat="false" ht="15" hidden="false" customHeight="false" outlineLevel="0" collapsed="false">
      <c r="A2576" s="0" t="s">
        <v>71</v>
      </c>
      <c r="B2576" s="0" t="s">
        <v>42</v>
      </c>
      <c r="C2576" s="0" t="s">
        <v>935</v>
      </c>
      <c r="D2576" s="0" t="s">
        <v>146</v>
      </c>
      <c r="E2576" s="0" t="s">
        <v>2008</v>
      </c>
      <c r="F2576" s="0" t="n">
        <v>5</v>
      </c>
      <c r="G2576" s="0" t="n">
        <v>0</v>
      </c>
      <c r="H2576" s="0" t="s">
        <v>585</v>
      </c>
      <c r="K2576" s="0" t="s">
        <v>610</v>
      </c>
      <c r="L2576" s="0" t="s">
        <v>4476</v>
      </c>
    </row>
    <row r="2577" customFormat="false" ht="15" hidden="false" customHeight="false" outlineLevel="0" collapsed="false">
      <c r="A2577" s="0" t="s">
        <v>71</v>
      </c>
      <c r="B2577" s="0" t="s">
        <v>42</v>
      </c>
      <c r="C2577" s="0" t="s">
        <v>935</v>
      </c>
      <c r="D2577" s="0" t="s">
        <v>149</v>
      </c>
      <c r="E2577" s="0" t="s">
        <v>2010</v>
      </c>
      <c r="F2577" s="0" t="n">
        <v>5</v>
      </c>
      <c r="G2577" s="0" t="n">
        <v>1</v>
      </c>
      <c r="H2577" s="0" t="s">
        <v>585</v>
      </c>
      <c r="I2577" s="0" t="s">
        <v>4324</v>
      </c>
      <c r="K2577" s="0" t="s">
        <v>613</v>
      </c>
      <c r="L2577" s="0" t="s">
        <v>4477</v>
      </c>
    </row>
    <row r="2578" customFormat="false" ht="15" hidden="false" customHeight="false" outlineLevel="0" collapsed="false">
      <c r="A2578" s="0" t="s">
        <v>71</v>
      </c>
      <c r="B2578" s="0" t="s">
        <v>42</v>
      </c>
      <c r="C2578" s="0" t="s">
        <v>935</v>
      </c>
      <c r="D2578" s="0" t="s">
        <v>152</v>
      </c>
      <c r="E2578" s="0" t="s">
        <v>2012</v>
      </c>
      <c r="F2578" s="0" t="n">
        <v>5</v>
      </c>
      <c r="G2578" s="0" t="n">
        <v>0</v>
      </c>
      <c r="H2578" s="0" t="s">
        <v>585</v>
      </c>
      <c r="K2578" s="0" t="s">
        <v>616</v>
      </c>
      <c r="L2578" s="0" t="s">
        <v>4478</v>
      </c>
    </row>
    <row r="2579" customFormat="false" ht="15" hidden="false" customHeight="false" outlineLevel="0" collapsed="false">
      <c r="A2579" s="0" t="s">
        <v>71</v>
      </c>
      <c r="B2579" s="0" t="s">
        <v>42</v>
      </c>
      <c r="C2579" s="0" t="s">
        <v>935</v>
      </c>
      <c r="D2579" s="0" t="s">
        <v>155</v>
      </c>
      <c r="E2579" s="0" t="s">
        <v>2014</v>
      </c>
      <c r="F2579" s="0" t="n">
        <v>5</v>
      </c>
      <c r="G2579" s="0" t="n">
        <v>0</v>
      </c>
      <c r="H2579" s="0" t="s">
        <v>585</v>
      </c>
      <c r="K2579" s="0" t="s">
        <v>620</v>
      </c>
      <c r="L2579" s="0" t="s">
        <v>4479</v>
      </c>
    </row>
    <row r="2580" customFormat="false" ht="15" hidden="false" customHeight="false" outlineLevel="0" collapsed="false">
      <c r="A2580" s="0" t="s">
        <v>71</v>
      </c>
      <c r="B2580" s="0" t="s">
        <v>42</v>
      </c>
      <c r="C2580" s="0" t="s">
        <v>961</v>
      </c>
      <c r="D2580" s="0" t="s">
        <v>987</v>
      </c>
      <c r="E2580" s="0" t="s">
        <v>2016</v>
      </c>
      <c r="F2580" s="0" t="n">
        <v>5</v>
      </c>
      <c r="G2580" s="0" t="n">
        <v>0</v>
      </c>
      <c r="H2580" s="0" t="s">
        <v>585</v>
      </c>
      <c r="K2580" s="0" t="s">
        <v>581</v>
      </c>
      <c r="L2580" s="0" t="s">
        <v>4480</v>
      </c>
    </row>
    <row r="2581" customFormat="false" ht="15" hidden="false" customHeight="false" outlineLevel="0" collapsed="false">
      <c r="A2581" s="0" t="s">
        <v>71</v>
      </c>
      <c r="B2581" s="0" t="s">
        <v>42</v>
      </c>
      <c r="C2581" s="0" t="s">
        <v>961</v>
      </c>
      <c r="D2581" s="0" t="s">
        <v>990</v>
      </c>
      <c r="E2581" s="0" t="s">
        <v>2018</v>
      </c>
      <c r="F2581" s="0" t="n">
        <v>5</v>
      </c>
      <c r="G2581" s="0" t="n">
        <v>1</v>
      </c>
      <c r="H2581" s="0" t="s">
        <v>585</v>
      </c>
      <c r="I2581" s="0" t="s">
        <v>4337</v>
      </c>
      <c r="K2581" s="0" t="s">
        <v>586</v>
      </c>
      <c r="L2581" s="0" t="s">
        <v>4481</v>
      </c>
    </row>
    <row r="2582" customFormat="false" ht="15" hidden="false" customHeight="false" outlineLevel="0" collapsed="false">
      <c r="A2582" s="0" t="s">
        <v>71</v>
      </c>
      <c r="B2582" s="0" t="s">
        <v>42</v>
      </c>
      <c r="C2582" s="0" t="s">
        <v>961</v>
      </c>
      <c r="D2582" s="0" t="s">
        <v>993</v>
      </c>
      <c r="E2582" s="0" t="s">
        <v>2020</v>
      </c>
      <c r="F2582" s="0" t="n">
        <v>5</v>
      </c>
      <c r="G2582" s="0" t="n">
        <v>0</v>
      </c>
      <c r="H2582" s="0" t="s">
        <v>585</v>
      </c>
      <c r="K2582" s="0" t="s">
        <v>590</v>
      </c>
      <c r="L2582" s="0" t="s">
        <v>4482</v>
      </c>
    </row>
    <row r="2583" customFormat="false" ht="15" hidden="false" customHeight="false" outlineLevel="0" collapsed="false">
      <c r="A2583" s="0" t="s">
        <v>71</v>
      </c>
      <c r="B2583" s="0" t="s">
        <v>42</v>
      </c>
      <c r="C2583" s="0" t="s">
        <v>961</v>
      </c>
      <c r="D2583" s="0" t="s">
        <v>126</v>
      </c>
      <c r="E2583" s="0" t="s">
        <v>2022</v>
      </c>
      <c r="F2583" s="0" t="n">
        <v>5</v>
      </c>
      <c r="G2583" s="0" t="n">
        <v>0</v>
      </c>
      <c r="H2583" s="0" t="s">
        <v>585</v>
      </c>
      <c r="K2583" s="0" t="s">
        <v>594</v>
      </c>
      <c r="L2583" s="0" t="s">
        <v>4483</v>
      </c>
    </row>
    <row r="2584" customFormat="false" ht="15" hidden="false" customHeight="false" outlineLevel="0" collapsed="false">
      <c r="A2584" s="0" t="s">
        <v>71</v>
      </c>
      <c r="B2584" s="0" t="s">
        <v>42</v>
      </c>
      <c r="C2584" s="0" t="s">
        <v>961</v>
      </c>
      <c r="D2584" s="0" t="s">
        <v>129</v>
      </c>
      <c r="E2584" s="0" t="s">
        <v>2024</v>
      </c>
      <c r="F2584" s="0" t="n">
        <v>5</v>
      </c>
      <c r="G2584" s="0" t="n">
        <v>3</v>
      </c>
      <c r="H2584" s="0" t="s">
        <v>585</v>
      </c>
      <c r="I2584" s="0" t="s">
        <v>4337</v>
      </c>
      <c r="K2584" s="0" t="s">
        <v>597</v>
      </c>
      <c r="L2584" s="0" t="s">
        <v>4484</v>
      </c>
    </row>
    <row r="2585" customFormat="false" ht="15" hidden="false" customHeight="false" outlineLevel="0" collapsed="false">
      <c r="A2585" s="0" t="s">
        <v>71</v>
      </c>
      <c r="B2585" s="0" t="s">
        <v>42</v>
      </c>
      <c r="C2585" s="0" t="s">
        <v>961</v>
      </c>
      <c r="D2585" s="0" t="s">
        <v>132</v>
      </c>
      <c r="E2585" s="0" t="s">
        <v>2026</v>
      </c>
      <c r="F2585" s="0" t="n">
        <v>5</v>
      </c>
      <c r="G2585" s="0" t="n">
        <v>0</v>
      </c>
      <c r="H2585" s="0" t="s">
        <v>585</v>
      </c>
      <c r="K2585" s="0" t="s">
        <v>600</v>
      </c>
      <c r="L2585" s="0" t="s">
        <v>4485</v>
      </c>
    </row>
    <row r="2586" customFormat="false" ht="15" hidden="false" customHeight="false" outlineLevel="0" collapsed="false">
      <c r="A2586" s="0" t="s">
        <v>71</v>
      </c>
      <c r="B2586" s="0" t="s">
        <v>42</v>
      </c>
      <c r="C2586" s="0" t="s">
        <v>961</v>
      </c>
      <c r="D2586" s="0" t="s">
        <v>139</v>
      </c>
      <c r="E2586" s="0" t="s">
        <v>2028</v>
      </c>
      <c r="F2586" s="0" t="n">
        <v>5</v>
      </c>
      <c r="G2586" s="0" t="n">
        <v>0</v>
      </c>
      <c r="H2586" s="0" t="s">
        <v>585</v>
      </c>
      <c r="K2586" s="0" t="s">
        <v>604</v>
      </c>
      <c r="L2586" s="0" t="s">
        <v>4486</v>
      </c>
    </row>
    <row r="2587" customFormat="false" ht="15" hidden="false" customHeight="false" outlineLevel="0" collapsed="false">
      <c r="A2587" s="0" t="s">
        <v>71</v>
      </c>
      <c r="B2587" s="0" t="s">
        <v>42</v>
      </c>
      <c r="C2587" s="0" t="s">
        <v>961</v>
      </c>
      <c r="D2587" s="0" t="s">
        <v>143</v>
      </c>
      <c r="E2587" s="0" t="s">
        <v>2031</v>
      </c>
      <c r="F2587" s="0" t="n">
        <v>5</v>
      </c>
      <c r="G2587" s="0" t="n">
        <v>0</v>
      </c>
      <c r="H2587" s="0" t="s">
        <v>585</v>
      </c>
      <c r="K2587" s="0" t="s">
        <v>607</v>
      </c>
      <c r="L2587" s="0" t="s">
        <v>4487</v>
      </c>
    </row>
    <row r="2588" customFormat="false" ht="15" hidden="false" customHeight="false" outlineLevel="0" collapsed="false">
      <c r="A2588" s="0" t="s">
        <v>71</v>
      </c>
      <c r="B2588" s="0" t="s">
        <v>42</v>
      </c>
      <c r="C2588" s="0" t="s">
        <v>961</v>
      </c>
      <c r="D2588" s="0" t="s">
        <v>146</v>
      </c>
      <c r="E2588" s="0" t="s">
        <v>2033</v>
      </c>
      <c r="F2588" s="0" t="n">
        <v>5</v>
      </c>
      <c r="G2588" s="0" t="n">
        <v>0</v>
      </c>
      <c r="H2588" s="0" t="s">
        <v>585</v>
      </c>
      <c r="K2588" s="0" t="s">
        <v>610</v>
      </c>
      <c r="L2588" s="0" t="s">
        <v>4488</v>
      </c>
    </row>
    <row r="2589" customFormat="false" ht="15" hidden="false" customHeight="false" outlineLevel="0" collapsed="false">
      <c r="A2589" s="0" t="s">
        <v>71</v>
      </c>
      <c r="B2589" s="0" t="s">
        <v>42</v>
      </c>
      <c r="C2589" s="0" t="s">
        <v>961</v>
      </c>
      <c r="D2589" s="0" t="s">
        <v>149</v>
      </c>
      <c r="E2589" s="0" t="s">
        <v>2035</v>
      </c>
      <c r="F2589" s="0" t="n">
        <v>5</v>
      </c>
      <c r="G2589" s="0" t="n">
        <v>0</v>
      </c>
      <c r="H2589" s="0" t="s">
        <v>585</v>
      </c>
      <c r="K2589" s="0" t="s">
        <v>613</v>
      </c>
      <c r="L2589" s="0" t="s">
        <v>4489</v>
      </c>
    </row>
    <row r="2590" customFormat="false" ht="15" hidden="false" customHeight="false" outlineLevel="0" collapsed="false">
      <c r="A2590" s="0" t="s">
        <v>71</v>
      </c>
      <c r="B2590" s="0" t="s">
        <v>42</v>
      </c>
      <c r="C2590" s="0" t="s">
        <v>961</v>
      </c>
      <c r="D2590" s="0" t="s">
        <v>152</v>
      </c>
      <c r="E2590" s="0" t="s">
        <v>2037</v>
      </c>
      <c r="F2590" s="0" t="n">
        <v>5</v>
      </c>
      <c r="G2590" s="0" t="n">
        <v>0</v>
      </c>
      <c r="H2590" s="0" t="s">
        <v>585</v>
      </c>
      <c r="K2590" s="0" t="s">
        <v>616</v>
      </c>
      <c r="L2590" s="0" t="s">
        <v>4490</v>
      </c>
    </row>
    <row r="2591" customFormat="false" ht="15" hidden="false" customHeight="false" outlineLevel="0" collapsed="false">
      <c r="A2591" s="0" t="s">
        <v>71</v>
      </c>
      <c r="B2591" s="0" t="s">
        <v>42</v>
      </c>
      <c r="C2591" s="0" t="s">
        <v>961</v>
      </c>
      <c r="D2591" s="0" t="s">
        <v>155</v>
      </c>
      <c r="E2591" s="0" t="s">
        <v>2039</v>
      </c>
      <c r="F2591" s="0" t="n">
        <v>5</v>
      </c>
      <c r="G2591" s="0" t="n">
        <v>0</v>
      </c>
      <c r="H2591" s="0" t="s">
        <v>585</v>
      </c>
      <c r="K2591" s="0" t="s">
        <v>620</v>
      </c>
      <c r="L2591" s="0" t="s">
        <v>4491</v>
      </c>
    </row>
    <row r="2592" customFormat="false" ht="15" hidden="false" customHeight="false" outlineLevel="0" collapsed="false">
      <c r="A2592" s="0" t="s">
        <v>71</v>
      </c>
      <c r="B2592" s="0" t="s">
        <v>345</v>
      </c>
      <c r="C2592" s="0" t="s">
        <v>986</v>
      </c>
      <c r="D2592" s="0" t="s">
        <v>578</v>
      </c>
      <c r="E2592" s="0" t="s">
        <v>2041</v>
      </c>
      <c r="F2592" s="0" t="n">
        <v>4</v>
      </c>
      <c r="G2592" s="0" t="n">
        <v>0</v>
      </c>
      <c r="H2592" s="0" t="s">
        <v>585</v>
      </c>
      <c r="K2592" s="0" t="s">
        <v>581</v>
      </c>
      <c r="L2592" s="0" t="s">
        <v>4492</v>
      </c>
    </row>
    <row r="2593" customFormat="false" ht="15" hidden="false" customHeight="false" outlineLevel="0" collapsed="false">
      <c r="A2593" s="0" t="s">
        <v>71</v>
      </c>
      <c r="B2593" s="0" t="s">
        <v>345</v>
      </c>
      <c r="C2593" s="0" t="s">
        <v>986</v>
      </c>
      <c r="D2593" s="0" t="s">
        <v>583</v>
      </c>
      <c r="E2593" s="0" t="s">
        <v>2043</v>
      </c>
      <c r="F2593" s="0" t="n">
        <v>4</v>
      </c>
      <c r="G2593" s="0" t="n">
        <v>0</v>
      </c>
      <c r="H2593" s="0" t="s">
        <v>585</v>
      </c>
      <c r="K2593" s="0" t="s">
        <v>586</v>
      </c>
      <c r="L2593" s="0" t="s">
        <v>4493</v>
      </c>
    </row>
    <row r="2594" customFormat="false" ht="15" hidden="false" customHeight="false" outlineLevel="0" collapsed="false">
      <c r="A2594" s="0" t="s">
        <v>71</v>
      </c>
      <c r="B2594" s="0" t="s">
        <v>345</v>
      </c>
      <c r="C2594" s="0" t="s">
        <v>986</v>
      </c>
      <c r="D2594" s="0" t="s">
        <v>588</v>
      </c>
      <c r="E2594" s="0" t="s">
        <v>2045</v>
      </c>
      <c r="F2594" s="0" t="n">
        <v>4</v>
      </c>
      <c r="G2594" s="0" t="n">
        <v>1</v>
      </c>
      <c r="H2594" s="0" t="s">
        <v>585</v>
      </c>
      <c r="I2594" s="0" t="s">
        <v>4494</v>
      </c>
      <c r="K2594" s="0" t="s">
        <v>590</v>
      </c>
      <c r="L2594" s="0" t="s">
        <v>4495</v>
      </c>
    </row>
    <row r="2595" customFormat="false" ht="15" hidden="false" customHeight="false" outlineLevel="0" collapsed="false">
      <c r="A2595" s="0" t="s">
        <v>71</v>
      </c>
      <c r="B2595" s="0" t="s">
        <v>345</v>
      </c>
      <c r="C2595" s="0" t="s">
        <v>986</v>
      </c>
      <c r="D2595" s="0" t="s">
        <v>127</v>
      </c>
      <c r="E2595" s="0" t="s">
        <v>2047</v>
      </c>
      <c r="F2595" s="0" t="n">
        <v>4</v>
      </c>
      <c r="G2595" s="0" t="n">
        <v>1</v>
      </c>
      <c r="H2595" s="0" t="s">
        <v>585</v>
      </c>
      <c r="I2595" s="0" t="s">
        <v>4494</v>
      </c>
      <c r="K2595" s="0" t="s">
        <v>594</v>
      </c>
      <c r="L2595" s="0" t="s">
        <v>4496</v>
      </c>
    </row>
    <row r="2596" customFormat="false" ht="15" hidden="false" customHeight="false" outlineLevel="0" collapsed="false">
      <c r="A2596" s="0" t="s">
        <v>71</v>
      </c>
      <c r="B2596" s="0" t="s">
        <v>345</v>
      </c>
      <c r="C2596" s="0" t="s">
        <v>986</v>
      </c>
      <c r="D2596" s="0" t="s">
        <v>130</v>
      </c>
      <c r="E2596" s="0" t="s">
        <v>2049</v>
      </c>
      <c r="F2596" s="0" t="n">
        <v>4</v>
      </c>
      <c r="G2596" s="0" t="n">
        <v>1</v>
      </c>
      <c r="H2596" s="0" t="s">
        <v>585</v>
      </c>
      <c r="I2596" s="0" t="s">
        <v>4494</v>
      </c>
      <c r="K2596" s="0" t="s">
        <v>597</v>
      </c>
      <c r="L2596" s="0" t="s">
        <v>4497</v>
      </c>
    </row>
    <row r="2597" customFormat="false" ht="15" hidden="false" customHeight="false" outlineLevel="0" collapsed="false">
      <c r="A2597" s="0" t="s">
        <v>71</v>
      </c>
      <c r="B2597" s="0" t="s">
        <v>345</v>
      </c>
      <c r="C2597" s="0" t="s">
        <v>986</v>
      </c>
      <c r="D2597" s="0" t="s">
        <v>133</v>
      </c>
      <c r="E2597" s="0" t="s">
        <v>2051</v>
      </c>
      <c r="F2597" s="0" t="n">
        <v>4</v>
      </c>
      <c r="G2597" s="0" t="n">
        <v>0</v>
      </c>
      <c r="H2597" s="0" t="s">
        <v>585</v>
      </c>
      <c r="K2597" s="0" t="s">
        <v>600</v>
      </c>
      <c r="L2597" s="0" t="s">
        <v>4498</v>
      </c>
    </row>
    <row r="2598" customFormat="false" ht="15" hidden="false" customHeight="false" outlineLevel="0" collapsed="false">
      <c r="A2598" s="0" t="s">
        <v>71</v>
      </c>
      <c r="B2598" s="0" t="s">
        <v>345</v>
      </c>
      <c r="C2598" s="0" t="s">
        <v>986</v>
      </c>
      <c r="D2598" s="0" t="s">
        <v>141</v>
      </c>
      <c r="E2598" s="0" t="s">
        <v>2053</v>
      </c>
      <c r="F2598" s="0" t="n">
        <v>4</v>
      </c>
      <c r="G2598" s="0" t="n">
        <v>1</v>
      </c>
      <c r="H2598" s="0" t="s">
        <v>585</v>
      </c>
      <c r="I2598" s="0" t="s">
        <v>4494</v>
      </c>
      <c r="K2598" s="0" t="s">
        <v>604</v>
      </c>
      <c r="L2598" s="0" t="s">
        <v>4499</v>
      </c>
    </row>
    <row r="2599" customFormat="false" ht="15" hidden="false" customHeight="false" outlineLevel="0" collapsed="false">
      <c r="A2599" s="0" t="s">
        <v>71</v>
      </c>
      <c r="B2599" s="0" t="s">
        <v>345</v>
      </c>
      <c r="C2599" s="0" t="s">
        <v>986</v>
      </c>
      <c r="D2599" s="0" t="s">
        <v>144</v>
      </c>
      <c r="E2599" s="0" t="s">
        <v>2055</v>
      </c>
      <c r="F2599" s="0" t="n">
        <v>4</v>
      </c>
      <c r="G2599" s="0" t="n">
        <v>0</v>
      </c>
      <c r="H2599" s="0" t="s">
        <v>585</v>
      </c>
      <c r="K2599" s="0" t="s">
        <v>607</v>
      </c>
      <c r="L2599" s="0" t="s">
        <v>4500</v>
      </c>
    </row>
    <row r="2600" customFormat="false" ht="15" hidden="false" customHeight="false" outlineLevel="0" collapsed="false">
      <c r="A2600" s="0" t="s">
        <v>71</v>
      </c>
      <c r="B2600" s="0" t="s">
        <v>345</v>
      </c>
      <c r="C2600" s="0" t="s">
        <v>986</v>
      </c>
      <c r="D2600" s="0" t="s">
        <v>147</v>
      </c>
      <c r="E2600" s="0" t="s">
        <v>2057</v>
      </c>
      <c r="F2600" s="0" t="n">
        <v>4</v>
      </c>
      <c r="G2600" s="0" t="n">
        <v>0</v>
      </c>
      <c r="H2600" s="0" t="s">
        <v>585</v>
      </c>
      <c r="K2600" s="0" t="s">
        <v>610</v>
      </c>
      <c r="L2600" s="0" t="s">
        <v>4501</v>
      </c>
    </row>
    <row r="2601" customFormat="false" ht="15" hidden="false" customHeight="false" outlineLevel="0" collapsed="false">
      <c r="A2601" s="0" t="s">
        <v>71</v>
      </c>
      <c r="B2601" s="0" t="s">
        <v>345</v>
      </c>
      <c r="C2601" s="0" t="s">
        <v>986</v>
      </c>
      <c r="D2601" s="0" t="s">
        <v>150</v>
      </c>
      <c r="E2601" s="0" t="s">
        <v>2059</v>
      </c>
      <c r="F2601" s="0" t="n">
        <v>4</v>
      </c>
      <c r="G2601" s="0" t="n">
        <v>1</v>
      </c>
      <c r="H2601" s="0" t="s">
        <v>585</v>
      </c>
      <c r="I2601" s="0" t="s">
        <v>4502</v>
      </c>
      <c r="K2601" s="0" t="s">
        <v>613</v>
      </c>
      <c r="L2601" s="0" t="s">
        <v>4503</v>
      </c>
    </row>
    <row r="2602" customFormat="false" ht="15" hidden="false" customHeight="false" outlineLevel="0" collapsed="false">
      <c r="A2602" s="0" t="s">
        <v>71</v>
      </c>
      <c r="B2602" s="0" t="s">
        <v>345</v>
      </c>
      <c r="C2602" s="0" t="s">
        <v>986</v>
      </c>
      <c r="D2602" s="0" t="s">
        <v>153</v>
      </c>
      <c r="E2602" s="0" t="s">
        <v>2061</v>
      </c>
      <c r="F2602" s="0" t="n">
        <v>4</v>
      </c>
      <c r="G2602" s="0" t="n">
        <v>0</v>
      </c>
      <c r="H2602" s="0" t="s">
        <v>585</v>
      </c>
      <c r="K2602" s="0" t="s">
        <v>616</v>
      </c>
      <c r="L2602" s="0" t="s">
        <v>4504</v>
      </c>
    </row>
    <row r="2603" customFormat="false" ht="15" hidden="false" customHeight="false" outlineLevel="0" collapsed="false">
      <c r="A2603" s="0" t="s">
        <v>71</v>
      </c>
      <c r="B2603" s="0" t="s">
        <v>345</v>
      </c>
      <c r="C2603" s="0" t="s">
        <v>986</v>
      </c>
      <c r="D2603" s="0" t="s">
        <v>156</v>
      </c>
      <c r="E2603" s="0" t="s">
        <v>2063</v>
      </c>
      <c r="F2603" s="0" t="n">
        <v>4</v>
      </c>
      <c r="G2603" s="0" t="n">
        <v>0</v>
      </c>
      <c r="H2603" s="0" t="s">
        <v>585</v>
      </c>
      <c r="K2603" s="0" t="s">
        <v>620</v>
      </c>
      <c r="L2603" s="0" t="s">
        <v>4505</v>
      </c>
    </row>
    <row r="2604" customFormat="false" ht="15" hidden="false" customHeight="false" outlineLevel="0" collapsed="false">
      <c r="A2604" s="0" t="s">
        <v>71</v>
      </c>
      <c r="B2604" s="0" t="s">
        <v>345</v>
      </c>
      <c r="C2604" s="0" t="s">
        <v>1014</v>
      </c>
      <c r="D2604" s="0" t="s">
        <v>578</v>
      </c>
      <c r="E2604" s="0" t="s">
        <v>2065</v>
      </c>
      <c r="F2604" s="0" t="n">
        <v>4</v>
      </c>
      <c r="G2604" s="0" t="n">
        <v>0</v>
      </c>
      <c r="H2604" s="0" t="s">
        <v>585</v>
      </c>
      <c r="K2604" s="0" t="s">
        <v>581</v>
      </c>
      <c r="L2604" s="0" t="s">
        <v>4506</v>
      </c>
    </row>
    <row r="2605" customFormat="false" ht="15" hidden="false" customHeight="false" outlineLevel="0" collapsed="false">
      <c r="A2605" s="0" t="s">
        <v>71</v>
      </c>
      <c r="B2605" s="0" t="s">
        <v>345</v>
      </c>
      <c r="C2605" s="0" t="s">
        <v>1014</v>
      </c>
      <c r="D2605" s="0" t="s">
        <v>583</v>
      </c>
      <c r="E2605" s="0" t="s">
        <v>2067</v>
      </c>
      <c r="F2605" s="0" t="n">
        <v>4</v>
      </c>
      <c r="G2605" s="0" t="n">
        <v>0</v>
      </c>
      <c r="H2605" s="0" t="s">
        <v>585</v>
      </c>
      <c r="K2605" s="0" t="s">
        <v>586</v>
      </c>
      <c r="L2605" s="0" t="s">
        <v>4507</v>
      </c>
    </row>
    <row r="2606" customFormat="false" ht="15" hidden="false" customHeight="false" outlineLevel="0" collapsed="false">
      <c r="A2606" s="0" t="s">
        <v>71</v>
      </c>
      <c r="B2606" s="0" t="s">
        <v>345</v>
      </c>
      <c r="C2606" s="0" t="s">
        <v>1014</v>
      </c>
      <c r="D2606" s="0" t="s">
        <v>588</v>
      </c>
      <c r="E2606" s="0" t="s">
        <v>2069</v>
      </c>
      <c r="F2606" s="0" t="n">
        <v>4</v>
      </c>
      <c r="G2606" s="0" t="n">
        <v>3</v>
      </c>
      <c r="H2606" s="0" t="s">
        <v>585</v>
      </c>
      <c r="I2606" s="0" t="s">
        <v>4502</v>
      </c>
      <c r="K2606" s="0" t="s">
        <v>590</v>
      </c>
      <c r="L2606" s="0" t="s">
        <v>4508</v>
      </c>
    </row>
    <row r="2607" customFormat="false" ht="15" hidden="false" customHeight="false" outlineLevel="0" collapsed="false">
      <c r="A2607" s="0" t="s">
        <v>71</v>
      </c>
      <c r="B2607" s="0" t="s">
        <v>345</v>
      </c>
      <c r="C2607" s="0" t="s">
        <v>1014</v>
      </c>
      <c r="D2607" s="0" t="s">
        <v>127</v>
      </c>
      <c r="E2607" s="0" t="s">
        <v>2071</v>
      </c>
      <c r="F2607" s="0" t="n">
        <v>4</v>
      </c>
      <c r="G2607" s="0" t="n">
        <v>0</v>
      </c>
      <c r="H2607" s="0" t="s">
        <v>585</v>
      </c>
      <c r="K2607" s="0" t="s">
        <v>594</v>
      </c>
      <c r="L2607" s="0" t="s">
        <v>4509</v>
      </c>
    </row>
    <row r="2608" customFormat="false" ht="15" hidden="false" customHeight="false" outlineLevel="0" collapsed="false">
      <c r="A2608" s="0" t="s">
        <v>71</v>
      </c>
      <c r="B2608" s="0" t="s">
        <v>345</v>
      </c>
      <c r="C2608" s="0" t="s">
        <v>1014</v>
      </c>
      <c r="D2608" s="0" t="s">
        <v>130</v>
      </c>
      <c r="E2608" s="0" t="s">
        <v>2073</v>
      </c>
      <c r="F2608" s="0" t="n">
        <v>4</v>
      </c>
      <c r="G2608" s="0" t="n">
        <v>2</v>
      </c>
      <c r="H2608" s="0" t="s">
        <v>585</v>
      </c>
      <c r="I2608" s="0" t="s">
        <v>4502</v>
      </c>
      <c r="K2608" s="0" t="s">
        <v>597</v>
      </c>
      <c r="L2608" s="0" t="s">
        <v>4510</v>
      </c>
    </row>
    <row r="2609" customFormat="false" ht="15" hidden="false" customHeight="false" outlineLevel="0" collapsed="false">
      <c r="A2609" s="0" t="s">
        <v>71</v>
      </c>
      <c r="B2609" s="0" t="s">
        <v>345</v>
      </c>
      <c r="C2609" s="0" t="s">
        <v>1014</v>
      </c>
      <c r="D2609" s="0" t="s">
        <v>133</v>
      </c>
      <c r="E2609" s="0" t="s">
        <v>2075</v>
      </c>
      <c r="F2609" s="0" t="n">
        <v>4</v>
      </c>
      <c r="G2609" s="0" t="n">
        <v>0</v>
      </c>
      <c r="H2609" s="0" t="s">
        <v>585</v>
      </c>
      <c r="K2609" s="0" t="s">
        <v>600</v>
      </c>
      <c r="L2609" s="0" t="s">
        <v>4511</v>
      </c>
    </row>
    <row r="2610" customFormat="false" ht="15" hidden="false" customHeight="false" outlineLevel="0" collapsed="false">
      <c r="A2610" s="0" t="s">
        <v>71</v>
      </c>
      <c r="B2610" s="0" t="s">
        <v>345</v>
      </c>
      <c r="C2610" s="0" t="s">
        <v>1014</v>
      </c>
      <c r="D2610" s="0" t="s">
        <v>141</v>
      </c>
      <c r="E2610" s="0" t="s">
        <v>2077</v>
      </c>
      <c r="F2610" s="0" t="n">
        <v>4</v>
      </c>
      <c r="G2610" s="0" t="n">
        <v>0</v>
      </c>
      <c r="H2610" s="0" t="s">
        <v>585</v>
      </c>
      <c r="K2610" s="0" t="s">
        <v>604</v>
      </c>
      <c r="L2610" s="0" t="s">
        <v>4512</v>
      </c>
    </row>
    <row r="2611" customFormat="false" ht="15" hidden="false" customHeight="false" outlineLevel="0" collapsed="false">
      <c r="A2611" s="0" t="s">
        <v>71</v>
      </c>
      <c r="B2611" s="0" t="s">
        <v>345</v>
      </c>
      <c r="C2611" s="0" t="s">
        <v>1014</v>
      </c>
      <c r="D2611" s="0" t="s">
        <v>144</v>
      </c>
      <c r="E2611" s="0" t="s">
        <v>2079</v>
      </c>
      <c r="F2611" s="0" t="n">
        <v>4</v>
      </c>
      <c r="G2611" s="0" t="n">
        <v>0</v>
      </c>
      <c r="H2611" s="0" t="s">
        <v>585</v>
      </c>
      <c r="K2611" s="0" t="s">
        <v>607</v>
      </c>
      <c r="L2611" s="0" t="s">
        <v>4513</v>
      </c>
    </row>
    <row r="2612" customFormat="false" ht="15" hidden="false" customHeight="false" outlineLevel="0" collapsed="false">
      <c r="A2612" s="0" t="s">
        <v>71</v>
      </c>
      <c r="B2612" s="0" t="s">
        <v>345</v>
      </c>
      <c r="C2612" s="0" t="s">
        <v>1014</v>
      </c>
      <c r="D2612" s="0" t="s">
        <v>147</v>
      </c>
      <c r="E2612" s="0" t="s">
        <v>2081</v>
      </c>
      <c r="F2612" s="0" t="n">
        <v>4</v>
      </c>
      <c r="G2612" s="0" t="n">
        <v>0</v>
      </c>
      <c r="H2612" s="0" t="s">
        <v>585</v>
      </c>
      <c r="K2612" s="0" t="s">
        <v>610</v>
      </c>
      <c r="L2612" s="0" t="s">
        <v>4514</v>
      </c>
    </row>
    <row r="2613" customFormat="false" ht="15" hidden="false" customHeight="false" outlineLevel="0" collapsed="false">
      <c r="A2613" s="0" t="s">
        <v>71</v>
      </c>
      <c r="B2613" s="0" t="s">
        <v>345</v>
      </c>
      <c r="C2613" s="0" t="s">
        <v>1014</v>
      </c>
      <c r="D2613" s="0" t="s">
        <v>150</v>
      </c>
      <c r="E2613" s="0" t="s">
        <v>2083</v>
      </c>
      <c r="F2613" s="0" t="n">
        <v>4</v>
      </c>
      <c r="G2613" s="0" t="n">
        <v>2</v>
      </c>
      <c r="H2613" s="0" t="s">
        <v>585</v>
      </c>
      <c r="I2613" s="0" t="s">
        <v>4494</v>
      </c>
      <c r="K2613" s="0" t="s">
        <v>613</v>
      </c>
      <c r="L2613" s="0" t="s">
        <v>4515</v>
      </c>
    </row>
    <row r="2614" customFormat="false" ht="15" hidden="false" customHeight="false" outlineLevel="0" collapsed="false">
      <c r="A2614" s="0" t="s">
        <v>71</v>
      </c>
      <c r="B2614" s="0" t="s">
        <v>345</v>
      </c>
      <c r="C2614" s="0" t="s">
        <v>1014</v>
      </c>
      <c r="D2614" s="0" t="s">
        <v>153</v>
      </c>
      <c r="E2614" s="0" t="s">
        <v>2085</v>
      </c>
      <c r="F2614" s="0" t="n">
        <v>4</v>
      </c>
      <c r="G2614" s="0" t="n">
        <v>0</v>
      </c>
      <c r="H2614" s="0" t="s">
        <v>585</v>
      </c>
      <c r="K2614" s="0" t="s">
        <v>616</v>
      </c>
      <c r="L2614" s="0" t="s">
        <v>4516</v>
      </c>
    </row>
    <row r="2615" customFormat="false" ht="15" hidden="false" customHeight="false" outlineLevel="0" collapsed="false">
      <c r="A2615" s="0" t="s">
        <v>71</v>
      </c>
      <c r="B2615" s="0" t="s">
        <v>345</v>
      </c>
      <c r="C2615" s="0" t="s">
        <v>1014</v>
      </c>
      <c r="D2615" s="0" t="s">
        <v>156</v>
      </c>
      <c r="E2615" s="0" t="s">
        <v>2087</v>
      </c>
      <c r="F2615" s="0" t="n">
        <v>4</v>
      </c>
      <c r="G2615" s="0" t="n">
        <v>0</v>
      </c>
      <c r="H2615" s="0" t="s">
        <v>585</v>
      </c>
      <c r="K2615" s="0" t="s">
        <v>620</v>
      </c>
      <c r="L2615" s="0" t="s">
        <v>4517</v>
      </c>
    </row>
    <row r="2616" customFormat="false" ht="15" hidden="false" customHeight="false" outlineLevel="0" collapsed="false">
      <c r="A2616" s="0" t="s">
        <v>71</v>
      </c>
      <c r="B2616" s="0" t="s">
        <v>345</v>
      </c>
      <c r="C2616" s="0" t="s">
        <v>1039</v>
      </c>
      <c r="D2616" s="0" t="s">
        <v>578</v>
      </c>
      <c r="E2616" s="0" t="s">
        <v>2089</v>
      </c>
      <c r="F2616" s="0" t="n">
        <v>4</v>
      </c>
      <c r="G2616" s="0" t="n">
        <v>0</v>
      </c>
      <c r="H2616" s="0" t="s">
        <v>585</v>
      </c>
      <c r="K2616" s="0" t="s">
        <v>581</v>
      </c>
      <c r="L2616" s="0" t="s">
        <v>4518</v>
      </c>
    </row>
    <row r="2617" customFormat="false" ht="15" hidden="false" customHeight="false" outlineLevel="0" collapsed="false">
      <c r="A2617" s="0" t="s">
        <v>71</v>
      </c>
      <c r="B2617" s="0" t="s">
        <v>345</v>
      </c>
      <c r="C2617" s="0" t="s">
        <v>1039</v>
      </c>
      <c r="D2617" s="0" t="s">
        <v>583</v>
      </c>
      <c r="E2617" s="0" t="s">
        <v>2091</v>
      </c>
      <c r="F2617" s="0" t="n">
        <v>4</v>
      </c>
      <c r="G2617" s="0" t="n">
        <v>0</v>
      </c>
      <c r="H2617" s="0" t="s">
        <v>585</v>
      </c>
      <c r="K2617" s="0" t="s">
        <v>586</v>
      </c>
      <c r="L2617" s="0" t="s">
        <v>4519</v>
      </c>
    </row>
    <row r="2618" customFormat="false" ht="15" hidden="false" customHeight="false" outlineLevel="0" collapsed="false">
      <c r="A2618" s="0" t="s">
        <v>71</v>
      </c>
      <c r="B2618" s="0" t="s">
        <v>345</v>
      </c>
      <c r="C2618" s="0" t="s">
        <v>1039</v>
      </c>
      <c r="D2618" s="0" t="s">
        <v>588</v>
      </c>
      <c r="E2618" s="0" t="s">
        <v>2093</v>
      </c>
      <c r="F2618" s="0" t="n">
        <v>4</v>
      </c>
      <c r="G2618" s="0" t="n">
        <v>0</v>
      </c>
      <c r="H2618" s="0" t="s">
        <v>585</v>
      </c>
      <c r="K2618" s="0" t="s">
        <v>590</v>
      </c>
      <c r="L2618" s="0" t="s">
        <v>4520</v>
      </c>
    </row>
    <row r="2619" customFormat="false" ht="15" hidden="false" customHeight="false" outlineLevel="0" collapsed="false">
      <c r="A2619" s="0" t="s">
        <v>71</v>
      </c>
      <c r="B2619" s="0" t="s">
        <v>345</v>
      </c>
      <c r="C2619" s="0" t="s">
        <v>1039</v>
      </c>
      <c r="D2619" s="0" t="s">
        <v>127</v>
      </c>
      <c r="E2619" s="0" t="s">
        <v>2095</v>
      </c>
      <c r="F2619" s="0" t="n">
        <v>4</v>
      </c>
      <c r="G2619" s="0" t="n">
        <v>1</v>
      </c>
      <c r="H2619" s="0" t="s">
        <v>585</v>
      </c>
      <c r="I2619" s="0" t="s">
        <v>4502</v>
      </c>
      <c r="K2619" s="0" t="s">
        <v>594</v>
      </c>
      <c r="L2619" s="0" t="s">
        <v>4521</v>
      </c>
    </row>
    <row r="2620" customFormat="false" ht="15" hidden="false" customHeight="false" outlineLevel="0" collapsed="false">
      <c r="A2620" s="0" t="s">
        <v>71</v>
      </c>
      <c r="B2620" s="0" t="s">
        <v>345</v>
      </c>
      <c r="C2620" s="0" t="s">
        <v>1039</v>
      </c>
      <c r="D2620" s="0" t="s">
        <v>130</v>
      </c>
      <c r="E2620" s="0" t="s">
        <v>2097</v>
      </c>
      <c r="F2620" s="0" t="n">
        <v>4</v>
      </c>
      <c r="G2620" s="0" t="n">
        <v>0</v>
      </c>
      <c r="H2620" s="0" t="s">
        <v>585</v>
      </c>
      <c r="K2620" s="0" t="s">
        <v>597</v>
      </c>
      <c r="L2620" s="0" t="s">
        <v>4522</v>
      </c>
    </row>
    <row r="2621" customFormat="false" ht="15" hidden="false" customHeight="false" outlineLevel="0" collapsed="false">
      <c r="A2621" s="0" t="s">
        <v>71</v>
      </c>
      <c r="B2621" s="0" t="s">
        <v>345</v>
      </c>
      <c r="C2621" s="0" t="s">
        <v>1039</v>
      </c>
      <c r="D2621" s="0" t="s">
        <v>133</v>
      </c>
      <c r="E2621" s="0" t="s">
        <v>2099</v>
      </c>
      <c r="F2621" s="0" t="n">
        <v>4</v>
      </c>
      <c r="G2621" s="0" t="n">
        <v>0</v>
      </c>
      <c r="H2621" s="0" t="s">
        <v>585</v>
      </c>
      <c r="K2621" s="0" t="s">
        <v>600</v>
      </c>
      <c r="L2621" s="0" t="s">
        <v>4523</v>
      </c>
    </row>
    <row r="2622" customFormat="false" ht="15" hidden="false" customHeight="false" outlineLevel="0" collapsed="false">
      <c r="A2622" s="0" t="s">
        <v>71</v>
      </c>
      <c r="B2622" s="0" t="s">
        <v>345</v>
      </c>
      <c r="C2622" s="0" t="s">
        <v>1039</v>
      </c>
      <c r="D2622" s="0" t="s">
        <v>141</v>
      </c>
      <c r="E2622" s="0" t="s">
        <v>2101</v>
      </c>
      <c r="F2622" s="0" t="n">
        <v>4</v>
      </c>
      <c r="G2622" s="0" t="n">
        <v>0</v>
      </c>
      <c r="H2622" s="0" t="s">
        <v>585</v>
      </c>
      <c r="K2622" s="0" t="s">
        <v>604</v>
      </c>
      <c r="L2622" s="0" t="s">
        <v>4524</v>
      </c>
    </row>
    <row r="2623" customFormat="false" ht="15" hidden="false" customHeight="false" outlineLevel="0" collapsed="false">
      <c r="A2623" s="0" t="s">
        <v>71</v>
      </c>
      <c r="B2623" s="0" t="s">
        <v>345</v>
      </c>
      <c r="C2623" s="0" t="s">
        <v>1039</v>
      </c>
      <c r="D2623" s="0" t="s">
        <v>144</v>
      </c>
      <c r="E2623" s="0" t="s">
        <v>2103</v>
      </c>
      <c r="F2623" s="0" t="n">
        <v>4</v>
      </c>
      <c r="G2623" s="0" t="n">
        <v>0</v>
      </c>
      <c r="H2623" s="0" t="s">
        <v>585</v>
      </c>
      <c r="K2623" s="0" t="s">
        <v>607</v>
      </c>
      <c r="L2623" s="0" t="s">
        <v>4525</v>
      </c>
    </row>
    <row r="2624" customFormat="false" ht="15" hidden="false" customHeight="false" outlineLevel="0" collapsed="false">
      <c r="A2624" s="0" t="s">
        <v>71</v>
      </c>
      <c r="B2624" s="0" t="s">
        <v>345</v>
      </c>
      <c r="C2624" s="0" t="s">
        <v>1039</v>
      </c>
      <c r="D2624" s="0" t="s">
        <v>147</v>
      </c>
      <c r="E2624" s="0" t="s">
        <v>2105</v>
      </c>
      <c r="F2624" s="0" t="n">
        <v>4</v>
      </c>
      <c r="G2624" s="0" t="n">
        <v>2</v>
      </c>
      <c r="H2624" s="0" t="s">
        <v>585</v>
      </c>
      <c r="I2624" s="0" t="s">
        <v>4502</v>
      </c>
      <c r="K2624" s="0" t="s">
        <v>610</v>
      </c>
      <c r="L2624" s="0" t="s">
        <v>4526</v>
      </c>
    </row>
    <row r="2625" customFormat="false" ht="15" hidden="false" customHeight="false" outlineLevel="0" collapsed="false">
      <c r="A2625" s="0" t="s">
        <v>71</v>
      </c>
      <c r="B2625" s="0" t="s">
        <v>345</v>
      </c>
      <c r="C2625" s="0" t="s">
        <v>1039</v>
      </c>
      <c r="D2625" s="0" t="s">
        <v>150</v>
      </c>
      <c r="E2625" s="0" t="s">
        <v>2107</v>
      </c>
      <c r="F2625" s="0" t="n">
        <v>4</v>
      </c>
      <c r="G2625" s="0" t="n">
        <v>1</v>
      </c>
      <c r="H2625" s="0" t="s">
        <v>585</v>
      </c>
      <c r="I2625" s="0" t="s">
        <v>4502</v>
      </c>
      <c r="K2625" s="0" t="s">
        <v>613</v>
      </c>
      <c r="L2625" s="0" t="s">
        <v>4527</v>
      </c>
    </row>
    <row r="2626" customFormat="false" ht="15" hidden="false" customHeight="false" outlineLevel="0" collapsed="false">
      <c r="A2626" s="0" t="s">
        <v>71</v>
      </c>
      <c r="B2626" s="0" t="s">
        <v>345</v>
      </c>
      <c r="C2626" s="0" t="s">
        <v>1039</v>
      </c>
      <c r="D2626" s="0" t="s">
        <v>153</v>
      </c>
      <c r="E2626" s="0" t="s">
        <v>2109</v>
      </c>
      <c r="F2626" s="0" t="n">
        <v>4</v>
      </c>
      <c r="G2626" s="0" t="n">
        <v>0</v>
      </c>
      <c r="H2626" s="0" t="s">
        <v>585</v>
      </c>
      <c r="K2626" s="0" t="s">
        <v>616</v>
      </c>
      <c r="L2626" s="0" t="s">
        <v>4528</v>
      </c>
    </row>
    <row r="2627" customFormat="false" ht="15" hidden="false" customHeight="false" outlineLevel="0" collapsed="false">
      <c r="A2627" s="0" t="s">
        <v>71</v>
      </c>
      <c r="B2627" s="0" t="s">
        <v>345</v>
      </c>
      <c r="C2627" s="0" t="s">
        <v>1039</v>
      </c>
      <c r="D2627" s="0" t="s">
        <v>156</v>
      </c>
      <c r="E2627" s="0" t="s">
        <v>2111</v>
      </c>
      <c r="F2627" s="0" t="n">
        <v>4</v>
      </c>
      <c r="G2627" s="0" t="n">
        <v>0</v>
      </c>
      <c r="H2627" s="0" t="s">
        <v>585</v>
      </c>
      <c r="K2627" s="0" t="s">
        <v>620</v>
      </c>
      <c r="L2627" s="0" t="s">
        <v>4529</v>
      </c>
    </row>
    <row r="2628" customFormat="false" ht="15" hidden="false" customHeight="false" outlineLevel="0" collapsed="false">
      <c r="A2628" s="0" t="s">
        <v>71</v>
      </c>
      <c r="B2628" s="0" t="s">
        <v>345</v>
      </c>
      <c r="C2628" s="0" t="s">
        <v>1064</v>
      </c>
      <c r="D2628" s="0" t="s">
        <v>578</v>
      </c>
      <c r="E2628" s="0" t="s">
        <v>3986</v>
      </c>
      <c r="F2628" s="0" t="n">
        <v>4</v>
      </c>
      <c r="G2628" s="0" t="n">
        <v>0</v>
      </c>
      <c r="H2628" s="0" t="s">
        <v>585</v>
      </c>
      <c r="K2628" s="0" t="s">
        <v>581</v>
      </c>
      <c r="L2628" s="0" t="s">
        <v>4530</v>
      </c>
    </row>
    <row r="2629" customFormat="false" ht="15" hidden="false" customHeight="false" outlineLevel="0" collapsed="false">
      <c r="A2629" s="0" t="s">
        <v>71</v>
      </c>
      <c r="B2629" s="0" t="s">
        <v>345</v>
      </c>
      <c r="C2629" s="0" t="s">
        <v>1064</v>
      </c>
      <c r="D2629" s="0" t="s">
        <v>583</v>
      </c>
      <c r="E2629" s="0" t="s">
        <v>2115</v>
      </c>
      <c r="F2629" s="0" t="n">
        <v>4</v>
      </c>
      <c r="G2629" s="0" t="n">
        <v>0</v>
      </c>
      <c r="H2629" s="0" t="s">
        <v>585</v>
      </c>
      <c r="K2629" s="0" t="s">
        <v>586</v>
      </c>
      <c r="L2629" s="0" t="s">
        <v>4531</v>
      </c>
    </row>
    <row r="2630" customFormat="false" ht="15" hidden="false" customHeight="false" outlineLevel="0" collapsed="false">
      <c r="A2630" s="0" t="s">
        <v>71</v>
      </c>
      <c r="B2630" s="0" t="s">
        <v>345</v>
      </c>
      <c r="C2630" s="0" t="s">
        <v>1064</v>
      </c>
      <c r="D2630" s="0" t="s">
        <v>588</v>
      </c>
      <c r="E2630" s="0" t="s">
        <v>2117</v>
      </c>
      <c r="F2630" s="0" t="n">
        <v>4</v>
      </c>
      <c r="G2630" s="0" t="n">
        <v>3</v>
      </c>
      <c r="H2630" s="0" t="s">
        <v>585</v>
      </c>
      <c r="I2630" s="0" t="s">
        <v>4532</v>
      </c>
      <c r="K2630" s="0" t="s">
        <v>590</v>
      </c>
      <c r="L2630" s="0" t="s">
        <v>4533</v>
      </c>
    </row>
    <row r="2631" customFormat="false" ht="15" hidden="false" customHeight="false" outlineLevel="0" collapsed="false">
      <c r="A2631" s="0" t="s">
        <v>71</v>
      </c>
      <c r="B2631" s="0" t="s">
        <v>345</v>
      </c>
      <c r="C2631" s="0" t="s">
        <v>1064</v>
      </c>
      <c r="D2631" s="0" t="s">
        <v>127</v>
      </c>
      <c r="E2631" s="0" t="s">
        <v>2119</v>
      </c>
      <c r="F2631" s="0" t="n">
        <v>4</v>
      </c>
      <c r="G2631" s="0" t="n">
        <v>1</v>
      </c>
      <c r="H2631" s="0" t="s">
        <v>585</v>
      </c>
      <c r="I2631" s="0" t="s">
        <v>4532</v>
      </c>
      <c r="K2631" s="0" t="s">
        <v>594</v>
      </c>
      <c r="L2631" s="0" t="s">
        <v>4534</v>
      </c>
    </row>
    <row r="2632" customFormat="false" ht="15" hidden="false" customHeight="false" outlineLevel="0" collapsed="false">
      <c r="A2632" s="0" t="s">
        <v>71</v>
      </c>
      <c r="B2632" s="0" t="s">
        <v>345</v>
      </c>
      <c r="C2632" s="0" t="s">
        <v>1064</v>
      </c>
      <c r="D2632" s="0" t="s">
        <v>130</v>
      </c>
      <c r="E2632" s="0" t="s">
        <v>2121</v>
      </c>
      <c r="F2632" s="0" t="n">
        <v>4</v>
      </c>
      <c r="G2632" s="0" t="n">
        <v>1</v>
      </c>
      <c r="H2632" s="0" t="s">
        <v>585</v>
      </c>
      <c r="I2632" s="0" t="s">
        <v>4532</v>
      </c>
      <c r="K2632" s="0" t="s">
        <v>597</v>
      </c>
      <c r="L2632" s="0" t="s">
        <v>4535</v>
      </c>
    </row>
    <row r="2633" customFormat="false" ht="15" hidden="false" customHeight="false" outlineLevel="0" collapsed="false">
      <c r="A2633" s="0" t="s">
        <v>71</v>
      </c>
      <c r="B2633" s="0" t="s">
        <v>345</v>
      </c>
      <c r="C2633" s="0" t="s">
        <v>1064</v>
      </c>
      <c r="D2633" s="0" t="s">
        <v>133</v>
      </c>
      <c r="E2633" s="0" t="s">
        <v>2123</v>
      </c>
      <c r="F2633" s="0" t="n">
        <v>4</v>
      </c>
      <c r="G2633" s="0" t="n">
        <v>0</v>
      </c>
      <c r="H2633" s="0" t="s">
        <v>585</v>
      </c>
      <c r="K2633" s="0" t="s">
        <v>600</v>
      </c>
      <c r="L2633" s="0" t="s">
        <v>4536</v>
      </c>
    </row>
    <row r="2634" customFormat="false" ht="15" hidden="false" customHeight="false" outlineLevel="0" collapsed="false">
      <c r="A2634" s="0" t="s">
        <v>71</v>
      </c>
      <c r="B2634" s="0" t="s">
        <v>345</v>
      </c>
      <c r="C2634" s="0" t="s">
        <v>1064</v>
      </c>
      <c r="D2634" s="0" t="s">
        <v>141</v>
      </c>
      <c r="E2634" s="0" t="s">
        <v>2125</v>
      </c>
      <c r="F2634" s="0" t="n">
        <v>4</v>
      </c>
      <c r="G2634" s="0" t="n">
        <v>0</v>
      </c>
      <c r="H2634" s="0" t="s">
        <v>585</v>
      </c>
      <c r="K2634" s="0" t="s">
        <v>604</v>
      </c>
      <c r="L2634" s="0" t="s">
        <v>4537</v>
      </c>
    </row>
    <row r="2635" customFormat="false" ht="15" hidden="false" customHeight="false" outlineLevel="0" collapsed="false">
      <c r="A2635" s="0" t="s">
        <v>71</v>
      </c>
      <c r="B2635" s="0" t="s">
        <v>345</v>
      </c>
      <c r="C2635" s="0" t="s">
        <v>1064</v>
      </c>
      <c r="D2635" s="0" t="s">
        <v>144</v>
      </c>
      <c r="E2635" s="0" t="s">
        <v>2127</v>
      </c>
      <c r="F2635" s="0" t="n">
        <v>4</v>
      </c>
      <c r="G2635" s="0" t="n">
        <v>0</v>
      </c>
      <c r="H2635" s="0" t="s">
        <v>585</v>
      </c>
      <c r="K2635" s="0" t="s">
        <v>607</v>
      </c>
      <c r="L2635" s="0" t="s">
        <v>4538</v>
      </c>
    </row>
    <row r="2636" customFormat="false" ht="15" hidden="false" customHeight="false" outlineLevel="0" collapsed="false">
      <c r="A2636" s="0" t="s">
        <v>71</v>
      </c>
      <c r="B2636" s="0" t="s">
        <v>345</v>
      </c>
      <c r="C2636" s="0" t="s">
        <v>1064</v>
      </c>
      <c r="D2636" s="0" t="s">
        <v>147</v>
      </c>
      <c r="E2636" s="0" t="s">
        <v>2129</v>
      </c>
      <c r="F2636" s="0" t="n">
        <v>4</v>
      </c>
      <c r="G2636" s="0" t="n">
        <v>0</v>
      </c>
      <c r="H2636" s="0" t="s">
        <v>585</v>
      </c>
      <c r="K2636" s="0" t="s">
        <v>610</v>
      </c>
      <c r="L2636" s="0" t="s">
        <v>4539</v>
      </c>
    </row>
    <row r="2637" customFormat="false" ht="15" hidden="false" customHeight="false" outlineLevel="0" collapsed="false">
      <c r="A2637" s="0" t="s">
        <v>71</v>
      </c>
      <c r="B2637" s="0" t="s">
        <v>345</v>
      </c>
      <c r="C2637" s="0" t="s">
        <v>1064</v>
      </c>
      <c r="D2637" s="0" t="s">
        <v>150</v>
      </c>
      <c r="E2637" s="0" t="s">
        <v>2131</v>
      </c>
      <c r="F2637" s="0" t="n">
        <v>4</v>
      </c>
      <c r="G2637" s="0" t="n">
        <v>1</v>
      </c>
      <c r="H2637" s="0" t="s">
        <v>585</v>
      </c>
      <c r="I2637" s="0" t="s">
        <v>4540</v>
      </c>
      <c r="K2637" s="0" t="s">
        <v>613</v>
      </c>
      <c r="L2637" s="0" t="s">
        <v>4541</v>
      </c>
    </row>
    <row r="2638" customFormat="false" ht="15" hidden="false" customHeight="false" outlineLevel="0" collapsed="false">
      <c r="A2638" s="0" t="s">
        <v>71</v>
      </c>
      <c r="B2638" s="0" t="s">
        <v>345</v>
      </c>
      <c r="C2638" s="0" t="s">
        <v>1064</v>
      </c>
      <c r="D2638" s="0" t="s">
        <v>153</v>
      </c>
      <c r="E2638" s="0" t="s">
        <v>2133</v>
      </c>
      <c r="F2638" s="0" t="n">
        <v>4</v>
      </c>
      <c r="G2638" s="0" t="n">
        <v>0</v>
      </c>
      <c r="H2638" s="0" t="s">
        <v>585</v>
      </c>
      <c r="K2638" s="0" t="s">
        <v>616</v>
      </c>
      <c r="L2638" s="0" t="s">
        <v>4542</v>
      </c>
    </row>
    <row r="2639" customFormat="false" ht="15" hidden="false" customHeight="false" outlineLevel="0" collapsed="false">
      <c r="A2639" s="0" t="s">
        <v>71</v>
      </c>
      <c r="B2639" s="0" t="s">
        <v>345</v>
      </c>
      <c r="C2639" s="0" t="s">
        <v>1064</v>
      </c>
      <c r="D2639" s="0" t="s">
        <v>156</v>
      </c>
      <c r="E2639" s="0" t="s">
        <v>2135</v>
      </c>
      <c r="F2639" s="0" t="n">
        <v>4</v>
      </c>
      <c r="G2639" s="0" t="n">
        <v>0</v>
      </c>
      <c r="H2639" s="0" t="s">
        <v>585</v>
      </c>
      <c r="K2639" s="0" t="s">
        <v>620</v>
      </c>
      <c r="L2639" s="0" t="s">
        <v>4543</v>
      </c>
    </row>
    <row r="2640" customFormat="false" ht="15" hidden="false" customHeight="false" outlineLevel="0" collapsed="false">
      <c r="A2640" s="0" t="s">
        <v>71</v>
      </c>
      <c r="B2640" s="0" t="s">
        <v>345</v>
      </c>
      <c r="C2640" s="0" t="s">
        <v>1089</v>
      </c>
      <c r="D2640" s="0" t="s">
        <v>578</v>
      </c>
      <c r="E2640" s="0" t="s">
        <v>2137</v>
      </c>
      <c r="F2640" s="0" t="n">
        <v>4</v>
      </c>
      <c r="G2640" s="0" t="n">
        <v>0</v>
      </c>
      <c r="H2640" s="0" t="s">
        <v>585</v>
      </c>
      <c r="K2640" s="0" t="s">
        <v>581</v>
      </c>
      <c r="L2640" s="0" t="s">
        <v>4544</v>
      </c>
    </row>
    <row r="2641" customFormat="false" ht="15" hidden="false" customHeight="false" outlineLevel="0" collapsed="false">
      <c r="A2641" s="0" t="s">
        <v>71</v>
      </c>
      <c r="B2641" s="0" t="s">
        <v>345</v>
      </c>
      <c r="C2641" s="0" t="s">
        <v>1089</v>
      </c>
      <c r="D2641" s="0" t="s">
        <v>583</v>
      </c>
      <c r="E2641" s="0" t="s">
        <v>2139</v>
      </c>
      <c r="F2641" s="0" t="n">
        <v>4</v>
      </c>
      <c r="G2641" s="0" t="n">
        <v>0</v>
      </c>
      <c r="H2641" s="0" t="s">
        <v>585</v>
      </c>
      <c r="K2641" s="0" t="s">
        <v>586</v>
      </c>
      <c r="L2641" s="0" t="s">
        <v>4545</v>
      </c>
    </row>
    <row r="2642" customFormat="false" ht="15" hidden="false" customHeight="false" outlineLevel="0" collapsed="false">
      <c r="A2642" s="0" t="s">
        <v>71</v>
      </c>
      <c r="B2642" s="0" t="s">
        <v>345</v>
      </c>
      <c r="C2642" s="0" t="s">
        <v>1089</v>
      </c>
      <c r="D2642" s="0" t="s">
        <v>588</v>
      </c>
      <c r="E2642" s="0" t="s">
        <v>2141</v>
      </c>
      <c r="F2642" s="0" t="n">
        <v>4</v>
      </c>
      <c r="G2642" s="0" t="n">
        <v>0</v>
      </c>
      <c r="H2642" s="0" t="s">
        <v>585</v>
      </c>
      <c r="K2642" s="0" t="s">
        <v>590</v>
      </c>
      <c r="L2642" s="0" t="s">
        <v>4546</v>
      </c>
    </row>
    <row r="2643" customFormat="false" ht="15" hidden="false" customHeight="false" outlineLevel="0" collapsed="false">
      <c r="A2643" s="0" t="s">
        <v>71</v>
      </c>
      <c r="B2643" s="0" t="s">
        <v>345</v>
      </c>
      <c r="C2643" s="0" t="s">
        <v>1089</v>
      </c>
      <c r="D2643" s="0" t="s">
        <v>127</v>
      </c>
      <c r="E2643" s="0" t="s">
        <v>2143</v>
      </c>
      <c r="F2643" s="0" t="n">
        <v>4</v>
      </c>
      <c r="G2643" s="0" t="n">
        <v>1</v>
      </c>
      <c r="H2643" s="0" t="s">
        <v>585</v>
      </c>
      <c r="I2643" s="0" t="s">
        <v>4532</v>
      </c>
      <c r="K2643" s="0" t="s">
        <v>594</v>
      </c>
      <c r="L2643" s="0" t="s">
        <v>4547</v>
      </c>
    </row>
    <row r="2644" customFormat="false" ht="15" hidden="false" customHeight="false" outlineLevel="0" collapsed="false">
      <c r="A2644" s="0" t="s">
        <v>71</v>
      </c>
      <c r="B2644" s="0" t="s">
        <v>345</v>
      </c>
      <c r="C2644" s="0" t="s">
        <v>1089</v>
      </c>
      <c r="D2644" s="0" t="s">
        <v>130</v>
      </c>
      <c r="E2644" s="0" t="s">
        <v>2145</v>
      </c>
      <c r="F2644" s="0" t="n">
        <v>4</v>
      </c>
      <c r="G2644" s="0" t="n">
        <v>1</v>
      </c>
      <c r="H2644" s="0" t="s">
        <v>585</v>
      </c>
      <c r="I2644" s="0" t="s">
        <v>4494</v>
      </c>
      <c r="K2644" s="0" t="s">
        <v>597</v>
      </c>
      <c r="L2644" s="0" t="s">
        <v>4548</v>
      </c>
    </row>
    <row r="2645" customFormat="false" ht="15" hidden="false" customHeight="false" outlineLevel="0" collapsed="false">
      <c r="A2645" s="0" t="s">
        <v>71</v>
      </c>
      <c r="B2645" s="0" t="s">
        <v>345</v>
      </c>
      <c r="C2645" s="0" t="s">
        <v>1089</v>
      </c>
      <c r="D2645" s="0" t="s">
        <v>133</v>
      </c>
      <c r="E2645" s="0" t="s">
        <v>2147</v>
      </c>
      <c r="F2645" s="0" t="n">
        <v>4</v>
      </c>
      <c r="G2645" s="0" t="n">
        <v>0</v>
      </c>
      <c r="H2645" s="0" t="s">
        <v>585</v>
      </c>
      <c r="K2645" s="0" t="s">
        <v>600</v>
      </c>
      <c r="L2645" s="0" t="s">
        <v>4549</v>
      </c>
    </row>
    <row r="2646" customFormat="false" ht="15" hidden="false" customHeight="false" outlineLevel="0" collapsed="false">
      <c r="A2646" s="0" t="s">
        <v>71</v>
      </c>
      <c r="B2646" s="0" t="s">
        <v>345</v>
      </c>
      <c r="C2646" s="0" t="s">
        <v>1089</v>
      </c>
      <c r="D2646" s="0" t="s">
        <v>141</v>
      </c>
      <c r="E2646" s="0" t="s">
        <v>2149</v>
      </c>
      <c r="F2646" s="0" t="n">
        <v>4</v>
      </c>
      <c r="G2646" s="0" t="n">
        <v>1</v>
      </c>
      <c r="H2646" s="0" t="s">
        <v>585</v>
      </c>
      <c r="I2646" s="0" t="s">
        <v>4494</v>
      </c>
      <c r="K2646" s="0" t="s">
        <v>604</v>
      </c>
      <c r="L2646" s="0" t="s">
        <v>4550</v>
      </c>
    </row>
    <row r="2647" customFormat="false" ht="15" hidden="false" customHeight="false" outlineLevel="0" collapsed="false">
      <c r="A2647" s="0" t="s">
        <v>71</v>
      </c>
      <c r="B2647" s="0" t="s">
        <v>345</v>
      </c>
      <c r="C2647" s="0" t="s">
        <v>1089</v>
      </c>
      <c r="D2647" s="0" t="s">
        <v>144</v>
      </c>
      <c r="E2647" s="0" t="s">
        <v>2151</v>
      </c>
      <c r="F2647" s="0" t="n">
        <v>4</v>
      </c>
      <c r="G2647" s="0" t="n">
        <v>0</v>
      </c>
      <c r="H2647" s="0" t="s">
        <v>585</v>
      </c>
      <c r="K2647" s="0" t="s">
        <v>607</v>
      </c>
      <c r="L2647" s="0" t="s">
        <v>4551</v>
      </c>
    </row>
    <row r="2648" customFormat="false" ht="15" hidden="false" customHeight="false" outlineLevel="0" collapsed="false">
      <c r="A2648" s="0" t="s">
        <v>71</v>
      </c>
      <c r="B2648" s="0" t="s">
        <v>345</v>
      </c>
      <c r="C2648" s="0" t="s">
        <v>1089</v>
      </c>
      <c r="D2648" s="0" t="s">
        <v>147</v>
      </c>
      <c r="E2648" s="0" t="s">
        <v>2153</v>
      </c>
      <c r="F2648" s="0" t="n">
        <v>4</v>
      </c>
      <c r="G2648" s="0" t="n">
        <v>0</v>
      </c>
      <c r="H2648" s="0" t="s">
        <v>585</v>
      </c>
      <c r="K2648" s="0" t="s">
        <v>610</v>
      </c>
      <c r="L2648" s="0" t="s">
        <v>4552</v>
      </c>
    </row>
    <row r="2649" customFormat="false" ht="15" hidden="false" customHeight="false" outlineLevel="0" collapsed="false">
      <c r="A2649" s="0" t="s">
        <v>71</v>
      </c>
      <c r="B2649" s="0" t="s">
        <v>345</v>
      </c>
      <c r="C2649" s="0" t="s">
        <v>1089</v>
      </c>
      <c r="D2649" s="0" t="s">
        <v>150</v>
      </c>
      <c r="E2649" s="0" t="s">
        <v>2155</v>
      </c>
      <c r="F2649" s="0" t="n">
        <v>4</v>
      </c>
      <c r="G2649" s="0" t="n">
        <v>2</v>
      </c>
      <c r="H2649" s="0" t="s">
        <v>585</v>
      </c>
      <c r="I2649" s="0" t="s">
        <v>4532</v>
      </c>
      <c r="K2649" s="0" t="s">
        <v>613</v>
      </c>
      <c r="L2649" s="0" t="s">
        <v>4553</v>
      </c>
    </row>
    <row r="2650" customFormat="false" ht="15" hidden="false" customHeight="false" outlineLevel="0" collapsed="false">
      <c r="A2650" s="0" t="s">
        <v>71</v>
      </c>
      <c r="B2650" s="0" t="s">
        <v>345</v>
      </c>
      <c r="C2650" s="0" t="s">
        <v>1089</v>
      </c>
      <c r="D2650" s="0" t="s">
        <v>153</v>
      </c>
      <c r="E2650" s="0" t="s">
        <v>2157</v>
      </c>
      <c r="F2650" s="0" t="n">
        <v>4</v>
      </c>
      <c r="G2650" s="0" t="n">
        <v>2</v>
      </c>
      <c r="H2650" s="0" t="s">
        <v>585</v>
      </c>
      <c r="I2650" s="0" t="s">
        <v>4494</v>
      </c>
      <c r="K2650" s="0" t="s">
        <v>616</v>
      </c>
      <c r="L2650" s="0" t="s">
        <v>4554</v>
      </c>
    </row>
    <row r="2651" customFormat="false" ht="15" hidden="false" customHeight="false" outlineLevel="0" collapsed="false">
      <c r="A2651" s="0" t="s">
        <v>71</v>
      </c>
      <c r="B2651" s="0" t="s">
        <v>345</v>
      </c>
      <c r="C2651" s="0" t="s">
        <v>1089</v>
      </c>
      <c r="D2651" s="0" t="s">
        <v>156</v>
      </c>
      <c r="E2651" s="0" t="s">
        <v>2159</v>
      </c>
      <c r="F2651" s="0" t="n">
        <v>4</v>
      </c>
      <c r="G2651" s="0" t="n">
        <v>0</v>
      </c>
      <c r="H2651" s="0" t="s">
        <v>585</v>
      </c>
      <c r="K2651" s="0" t="s">
        <v>620</v>
      </c>
      <c r="L2651" s="0" t="s">
        <v>4555</v>
      </c>
    </row>
    <row r="2652" customFormat="false" ht="15" hidden="false" customHeight="false" outlineLevel="0" collapsed="false">
      <c r="A2652" s="0" t="s">
        <v>71</v>
      </c>
      <c r="B2652" s="0" t="s">
        <v>345</v>
      </c>
      <c r="C2652" s="0" t="s">
        <v>1114</v>
      </c>
      <c r="D2652" s="0" t="s">
        <v>578</v>
      </c>
      <c r="E2652" s="0" t="s">
        <v>2161</v>
      </c>
      <c r="F2652" s="0" t="n">
        <v>4</v>
      </c>
      <c r="G2652" s="0" t="n">
        <v>0</v>
      </c>
      <c r="H2652" s="0" t="s">
        <v>585</v>
      </c>
      <c r="K2652" s="0" t="s">
        <v>581</v>
      </c>
      <c r="L2652" s="0" t="s">
        <v>4556</v>
      </c>
    </row>
    <row r="2653" customFormat="false" ht="15" hidden="false" customHeight="false" outlineLevel="0" collapsed="false">
      <c r="A2653" s="0" t="s">
        <v>71</v>
      </c>
      <c r="B2653" s="0" t="s">
        <v>345</v>
      </c>
      <c r="C2653" s="0" t="s">
        <v>1114</v>
      </c>
      <c r="D2653" s="0" t="s">
        <v>583</v>
      </c>
      <c r="E2653" s="0" t="s">
        <v>2163</v>
      </c>
      <c r="F2653" s="0" t="n">
        <v>4</v>
      </c>
      <c r="G2653" s="0" t="n">
        <v>4</v>
      </c>
      <c r="H2653" s="0" t="s">
        <v>580</v>
      </c>
      <c r="I2653" s="0" t="s">
        <v>4494</v>
      </c>
      <c r="K2653" s="0" t="s">
        <v>586</v>
      </c>
      <c r="L2653" s="0" t="s">
        <v>4557</v>
      </c>
    </row>
    <row r="2654" customFormat="false" ht="15" hidden="false" customHeight="false" outlineLevel="0" collapsed="false">
      <c r="A2654" s="0" t="s">
        <v>71</v>
      </c>
      <c r="B2654" s="0" t="s">
        <v>345</v>
      </c>
      <c r="C2654" s="0" t="s">
        <v>1114</v>
      </c>
      <c r="D2654" s="0" t="s">
        <v>588</v>
      </c>
      <c r="E2654" s="0" t="s">
        <v>2165</v>
      </c>
      <c r="F2654" s="0" t="n">
        <v>4</v>
      </c>
      <c r="G2654" s="0" t="n">
        <v>4</v>
      </c>
      <c r="H2654" s="0" t="s">
        <v>580</v>
      </c>
      <c r="I2654" s="0" t="s">
        <v>4494</v>
      </c>
      <c r="K2654" s="0" t="s">
        <v>590</v>
      </c>
      <c r="L2654" s="0" t="s">
        <v>4558</v>
      </c>
    </row>
    <row r="2655" customFormat="false" ht="15" hidden="false" customHeight="false" outlineLevel="0" collapsed="false">
      <c r="A2655" s="0" t="s">
        <v>71</v>
      </c>
      <c r="B2655" s="0" t="s">
        <v>345</v>
      </c>
      <c r="C2655" s="0" t="s">
        <v>1114</v>
      </c>
      <c r="D2655" s="0" t="s">
        <v>127</v>
      </c>
      <c r="E2655" s="0" t="s">
        <v>2167</v>
      </c>
      <c r="F2655" s="0" t="n">
        <v>4</v>
      </c>
      <c r="G2655" s="0" t="n">
        <v>4</v>
      </c>
      <c r="H2655" s="0" t="s">
        <v>580</v>
      </c>
      <c r="I2655" s="0" t="s">
        <v>4532</v>
      </c>
      <c r="K2655" s="0" t="s">
        <v>594</v>
      </c>
      <c r="L2655" s="0" t="s">
        <v>4559</v>
      </c>
    </row>
    <row r="2656" customFormat="false" ht="15" hidden="false" customHeight="false" outlineLevel="0" collapsed="false">
      <c r="A2656" s="0" t="s">
        <v>71</v>
      </c>
      <c r="B2656" s="0" t="s">
        <v>345</v>
      </c>
      <c r="C2656" s="0" t="s">
        <v>1114</v>
      </c>
      <c r="D2656" s="0" t="s">
        <v>130</v>
      </c>
      <c r="E2656" s="0" t="s">
        <v>2169</v>
      </c>
      <c r="F2656" s="0" t="n">
        <v>4</v>
      </c>
      <c r="G2656" s="0" t="n">
        <v>2</v>
      </c>
      <c r="H2656" s="0" t="s">
        <v>585</v>
      </c>
      <c r="I2656" s="0" t="s">
        <v>4502</v>
      </c>
      <c r="K2656" s="0" t="s">
        <v>597</v>
      </c>
      <c r="L2656" s="0" t="s">
        <v>4560</v>
      </c>
    </row>
    <row r="2657" customFormat="false" ht="15" hidden="false" customHeight="false" outlineLevel="0" collapsed="false">
      <c r="A2657" s="0" t="s">
        <v>71</v>
      </c>
      <c r="B2657" s="0" t="s">
        <v>345</v>
      </c>
      <c r="C2657" s="0" t="s">
        <v>1114</v>
      </c>
      <c r="D2657" s="0" t="s">
        <v>133</v>
      </c>
      <c r="E2657" s="0" t="s">
        <v>2171</v>
      </c>
      <c r="F2657" s="0" t="n">
        <v>4</v>
      </c>
      <c r="G2657" s="0" t="n">
        <v>0</v>
      </c>
      <c r="H2657" s="0" t="s">
        <v>585</v>
      </c>
      <c r="K2657" s="0" t="s">
        <v>600</v>
      </c>
      <c r="L2657" s="0" t="s">
        <v>4561</v>
      </c>
    </row>
    <row r="2658" customFormat="false" ht="15" hidden="false" customHeight="false" outlineLevel="0" collapsed="false">
      <c r="A2658" s="0" t="s">
        <v>71</v>
      </c>
      <c r="B2658" s="0" t="s">
        <v>345</v>
      </c>
      <c r="C2658" s="0" t="s">
        <v>1114</v>
      </c>
      <c r="D2658" s="0" t="s">
        <v>141</v>
      </c>
      <c r="E2658" s="0" t="s">
        <v>2173</v>
      </c>
      <c r="F2658" s="0" t="n">
        <v>4</v>
      </c>
      <c r="G2658" s="0" t="n">
        <v>1</v>
      </c>
      <c r="H2658" s="0" t="s">
        <v>585</v>
      </c>
      <c r="K2658" s="0" t="s">
        <v>604</v>
      </c>
      <c r="L2658" s="0" t="s">
        <v>4562</v>
      </c>
    </row>
    <row r="2659" customFormat="false" ht="15" hidden="false" customHeight="false" outlineLevel="0" collapsed="false">
      <c r="A2659" s="0" t="s">
        <v>71</v>
      </c>
      <c r="B2659" s="0" t="s">
        <v>345</v>
      </c>
      <c r="C2659" s="0" t="s">
        <v>1114</v>
      </c>
      <c r="D2659" s="0" t="s">
        <v>144</v>
      </c>
      <c r="E2659" s="0" t="s">
        <v>2175</v>
      </c>
      <c r="F2659" s="0" t="n">
        <v>4</v>
      </c>
      <c r="G2659" s="0" t="n">
        <v>1</v>
      </c>
      <c r="H2659" s="0" t="s">
        <v>585</v>
      </c>
      <c r="I2659" s="0" t="s">
        <v>4324</v>
      </c>
      <c r="K2659" s="0" t="s">
        <v>607</v>
      </c>
      <c r="L2659" s="0" t="s">
        <v>4563</v>
      </c>
    </row>
    <row r="2660" customFormat="false" ht="15" hidden="false" customHeight="false" outlineLevel="0" collapsed="false">
      <c r="A2660" s="0" t="s">
        <v>71</v>
      </c>
      <c r="B2660" s="0" t="s">
        <v>345</v>
      </c>
      <c r="C2660" s="0" t="s">
        <v>1114</v>
      </c>
      <c r="D2660" s="0" t="s">
        <v>147</v>
      </c>
      <c r="E2660" s="0" t="s">
        <v>2177</v>
      </c>
      <c r="F2660" s="0" t="n">
        <v>4</v>
      </c>
      <c r="G2660" s="0" t="n">
        <v>1</v>
      </c>
      <c r="H2660" s="0" t="s">
        <v>585</v>
      </c>
      <c r="I2660" s="0" t="s">
        <v>4502</v>
      </c>
      <c r="K2660" s="0" t="s">
        <v>610</v>
      </c>
      <c r="L2660" s="0" t="s">
        <v>4564</v>
      </c>
    </row>
    <row r="2661" customFormat="false" ht="15" hidden="false" customHeight="false" outlineLevel="0" collapsed="false">
      <c r="A2661" s="0" t="s">
        <v>71</v>
      </c>
      <c r="B2661" s="0" t="s">
        <v>345</v>
      </c>
      <c r="C2661" s="0" t="s">
        <v>1114</v>
      </c>
      <c r="D2661" s="0" t="s">
        <v>150</v>
      </c>
      <c r="E2661" s="0" t="s">
        <v>2179</v>
      </c>
      <c r="F2661" s="0" t="n">
        <v>4</v>
      </c>
      <c r="G2661" s="0" t="n">
        <v>0</v>
      </c>
      <c r="H2661" s="0" t="s">
        <v>585</v>
      </c>
      <c r="K2661" s="0" t="s">
        <v>613</v>
      </c>
      <c r="L2661" s="0" t="s">
        <v>4565</v>
      </c>
    </row>
    <row r="2662" customFormat="false" ht="15" hidden="false" customHeight="false" outlineLevel="0" collapsed="false">
      <c r="A2662" s="0" t="s">
        <v>71</v>
      </c>
      <c r="B2662" s="0" t="s">
        <v>345</v>
      </c>
      <c r="C2662" s="0" t="s">
        <v>1114</v>
      </c>
      <c r="D2662" s="0" t="s">
        <v>153</v>
      </c>
      <c r="E2662" s="0" t="s">
        <v>2181</v>
      </c>
      <c r="F2662" s="0" t="n">
        <v>4</v>
      </c>
      <c r="G2662" s="0" t="n">
        <v>0</v>
      </c>
      <c r="H2662" s="0" t="s">
        <v>585</v>
      </c>
      <c r="K2662" s="0" t="s">
        <v>616</v>
      </c>
      <c r="L2662" s="0" t="s">
        <v>4566</v>
      </c>
    </row>
    <row r="2663" customFormat="false" ht="15" hidden="false" customHeight="false" outlineLevel="0" collapsed="false">
      <c r="A2663" s="0" t="s">
        <v>71</v>
      </c>
      <c r="B2663" s="0" t="s">
        <v>345</v>
      </c>
      <c r="C2663" s="0" t="s">
        <v>1114</v>
      </c>
      <c r="D2663" s="0" t="s">
        <v>156</v>
      </c>
      <c r="E2663" s="0" t="s">
        <v>2183</v>
      </c>
      <c r="F2663" s="0" t="n">
        <v>4</v>
      </c>
      <c r="G2663" s="0" t="n">
        <v>0</v>
      </c>
      <c r="H2663" s="0" t="s">
        <v>585</v>
      </c>
      <c r="K2663" s="0" t="s">
        <v>620</v>
      </c>
      <c r="L2663" s="0" t="s">
        <v>4567</v>
      </c>
    </row>
    <row r="2664" customFormat="false" ht="15" hidden="false" customHeight="false" outlineLevel="0" collapsed="false">
      <c r="A2664" s="0" t="s">
        <v>71</v>
      </c>
      <c r="B2664" s="0" t="s">
        <v>345</v>
      </c>
      <c r="C2664" s="0" t="s">
        <v>1139</v>
      </c>
      <c r="D2664" s="0" t="s">
        <v>578</v>
      </c>
      <c r="E2664" s="0" t="s">
        <v>2185</v>
      </c>
      <c r="F2664" s="0" t="n">
        <v>4</v>
      </c>
      <c r="G2664" s="0" t="n">
        <v>0</v>
      </c>
      <c r="H2664" s="0" t="s">
        <v>585</v>
      </c>
      <c r="K2664" s="0" t="s">
        <v>581</v>
      </c>
      <c r="L2664" s="0" t="s">
        <v>4568</v>
      </c>
    </row>
    <row r="2665" customFormat="false" ht="15" hidden="false" customHeight="false" outlineLevel="0" collapsed="false">
      <c r="A2665" s="0" t="s">
        <v>71</v>
      </c>
      <c r="B2665" s="0" t="s">
        <v>345</v>
      </c>
      <c r="C2665" s="0" t="s">
        <v>1139</v>
      </c>
      <c r="D2665" s="0" t="s">
        <v>583</v>
      </c>
      <c r="E2665" s="0" t="s">
        <v>2187</v>
      </c>
      <c r="F2665" s="0" t="n">
        <v>4</v>
      </c>
      <c r="G2665" s="0" t="n">
        <v>3</v>
      </c>
      <c r="H2665" s="0" t="s">
        <v>585</v>
      </c>
      <c r="I2665" s="0" t="s">
        <v>4494</v>
      </c>
      <c r="K2665" s="0" t="s">
        <v>586</v>
      </c>
      <c r="L2665" s="0" t="s">
        <v>4569</v>
      </c>
    </row>
    <row r="2666" customFormat="false" ht="15" hidden="false" customHeight="false" outlineLevel="0" collapsed="false">
      <c r="A2666" s="0" t="s">
        <v>71</v>
      </c>
      <c r="B2666" s="0" t="s">
        <v>345</v>
      </c>
      <c r="C2666" s="0" t="s">
        <v>1139</v>
      </c>
      <c r="D2666" s="0" t="s">
        <v>588</v>
      </c>
      <c r="E2666" s="0" t="s">
        <v>2189</v>
      </c>
      <c r="F2666" s="0" t="n">
        <v>4</v>
      </c>
      <c r="G2666" s="0" t="n">
        <v>3</v>
      </c>
      <c r="H2666" s="0" t="s">
        <v>585</v>
      </c>
      <c r="I2666" s="0" t="s">
        <v>4502</v>
      </c>
      <c r="K2666" s="0" t="s">
        <v>590</v>
      </c>
      <c r="L2666" s="0" t="s">
        <v>4570</v>
      </c>
    </row>
    <row r="2667" customFormat="false" ht="15" hidden="false" customHeight="false" outlineLevel="0" collapsed="false">
      <c r="A2667" s="0" t="s">
        <v>71</v>
      </c>
      <c r="B2667" s="0" t="s">
        <v>345</v>
      </c>
      <c r="C2667" s="0" t="s">
        <v>1139</v>
      </c>
      <c r="D2667" s="0" t="s">
        <v>127</v>
      </c>
      <c r="E2667" s="0" t="s">
        <v>2191</v>
      </c>
      <c r="F2667" s="0" t="n">
        <v>4</v>
      </c>
      <c r="G2667" s="0" t="n">
        <v>4</v>
      </c>
      <c r="H2667" s="0" t="s">
        <v>580</v>
      </c>
      <c r="I2667" s="0" t="s">
        <v>4532</v>
      </c>
      <c r="K2667" s="0" t="s">
        <v>594</v>
      </c>
      <c r="L2667" s="0" t="s">
        <v>4571</v>
      </c>
    </row>
    <row r="2668" customFormat="false" ht="15" hidden="false" customHeight="false" outlineLevel="0" collapsed="false">
      <c r="A2668" s="0" t="s">
        <v>71</v>
      </c>
      <c r="B2668" s="0" t="s">
        <v>345</v>
      </c>
      <c r="C2668" s="0" t="s">
        <v>1139</v>
      </c>
      <c r="D2668" s="0" t="s">
        <v>130</v>
      </c>
      <c r="E2668" s="0" t="s">
        <v>2193</v>
      </c>
      <c r="F2668" s="0" t="n">
        <v>4</v>
      </c>
      <c r="G2668" s="0" t="n">
        <v>2</v>
      </c>
      <c r="H2668" s="0" t="s">
        <v>585</v>
      </c>
      <c r="I2668" s="0" t="s">
        <v>4540</v>
      </c>
      <c r="K2668" s="0" t="s">
        <v>597</v>
      </c>
      <c r="L2668" s="0" t="s">
        <v>4572</v>
      </c>
    </row>
    <row r="2669" customFormat="false" ht="15" hidden="false" customHeight="false" outlineLevel="0" collapsed="false">
      <c r="A2669" s="0" t="s">
        <v>71</v>
      </c>
      <c r="B2669" s="0" t="s">
        <v>345</v>
      </c>
      <c r="C2669" s="0" t="s">
        <v>1139</v>
      </c>
      <c r="D2669" s="0" t="s">
        <v>133</v>
      </c>
      <c r="E2669" s="0" t="s">
        <v>2195</v>
      </c>
      <c r="F2669" s="0" t="n">
        <v>4</v>
      </c>
      <c r="G2669" s="0" t="n">
        <v>0</v>
      </c>
      <c r="H2669" s="0" t="s">
        <v>585</v>
      </c>
      <c r="K2669" s="0" t="s">
        <v>600</v>
      </c>
      <c r="L2669" s="0" t="s">
        <v>4573</v>
      </c>
    </row>
    <row r="2670" customFormat="false" ht="15" hidden="false" customHeight="false" outlineLevel="0" collapsed="false">
      <c r="A2670" s="0" t="s">
        <v>71</v>
      </c>
      <c r="B2670" s="0" t="s">
        <v>345</v>
      </c>
      <c r="C2670" s="0" t="s">
        <v>1139</v>
      </c>
      <c r="D2670" s="0" t="s">
        <v>141</v>
      </c>
      <c r="E2670" s="0" t="s">
        <v>2197</v>
      </c>
      <c r="F2670" s="0" t="n">
        <v>4</v>
      </c>
      <c r="G2670" s="0" t="n">
        <v>0</v>
      </c>
      <c r="H2670" s="0" t="s">
        <v>585</v>
      </c>
      <c r="K2670" s="0" t="s">
        <v>604</v>
      </c>
      <c r="L2670" s="0" t="s">
        <v>4574</v>
      </c>
    </row>
    <row r="2671" customFormat="false" ht="15" hidden="false" customHeight="false" outlineLevel="0" collapsed="false">
      <c r="A2671" s="0" t="s">
        <v>71</v>
      </c>
      <c r="B2671" s="0" t="s">
        <v>345</v>
      </c>
      <c r="C2671" s="0" t="s">
        <v>1139</v>
      </c>
      <c r="D2671" s="0" t="s">
        <v>144</v>
      </c>
      <c r="E2671" s="0" t="s">
        <v>2199</v>
      </c>
      <c r="F2671" s="0" t="n">
        <v>4</v>
      </c>
      <c r="G2671" s="0" t="n">
        <v>0</v>
      </c>
      <c r="H2671" s="0" t="s">
        <v>585</v>
      </c>
      <c r="K2671" s="0" t="s">
        <v>607</v>
      </c>
      <c r="L2671" s="0" t="s">
        <v>4575</v>
      </c>
    </row>
    <row r="2672" customFormat="false" ht="15" hidden="false" customHeight="false" outlineLevel="0" collapsed="false">
      <c r="A2672" s="0" t="s">
        <v>71</v>
      </c>
      <c r="B2672" s="0" t="s">
        <v>345</v>
      </c>
      <c r="C2672" s="0" t="s">
        <v>1139</v>
      </c>
      <c r="D2672" s="0" t="s">
        <v>147</v>
      </c>
      <c r="E2672" s="0" t="s">
        <v>2201</v>
      </c>
      <c r="F2672" s="0" t="n">
        <v>4</v>
      </c>
      <c r="G2672" s="0" t="n">
        <v>0</v>
      </c>
      <c r="H2672" s="0" t="s">
        <v>585</v>
      </c>
      <c r="K2672" s="0" t="s">
        <v>610</v>
      </c>
      <c r="L2672" s="0" t="s">
        <v>4576</v>
      </c>
    </row>
    <row r="2673" customFormat="false" ht="15" hidden="false" customHeight="false" outlineLevel="0" collapsed="false">
      <c r="A2673" s="0" t="s">
        <v>71</v>
      </c>
      <c r="B2673" s="0" t="s">
        <v>345</v>
      </c>
      <c r="C2673" s="0" t="s">
        <v>1139</v>
      </c>
      <c r="D2673" s="0" t="s">
        <v>150</v>
      </c>
      <c r="E2673" s="0" t="s">
        <v>2203</v>
      </c>
      <c r="F2673" s="0" t="n">
        <v>4</v>
      </c>
      <c r="G2673" s="0" t="n">
        <v>1</v>
      </c>
      <c r="H2673" s="0" t="s">
        <v>585</v>
      </c>
      <c r="I2673" s="0" t="s">
        <v>4532</v>
      </c>
      <c r="K2673" s="0" t="s">
        <v>613</v>
      </c>
      <c r="L2673" s="0" t="s">
        <v>4577</v>
      </c>
    </row>
    <row r="2674" customFormat="false" ht="15" hidden="false" customHeight="false" outlineLevel="0" collapsed="false">
      <c r="A2674" s="0" t="s">
        <v>71</v>
      </c>
      <c r="B2674" s="0" t="s">
        <v>345</v>
      </c>
      <c r="C2674" s="0" t="s">
        <v>1139</v>
      </c>
      <c r="D2674" s="0" t="s">
        <v>153</v>
      </c>
      <c r="E2674" s="0" t="s">
        <v>2205</v>
      </c>
      <c r="F2674" s="0" t="n">
        <v>4</v>
      </c>
      <c r="G2674" s="0" t="n">
        <v>0</v>
      </c>
      <c r="H2674" s="0" t="s">
        <v>585</v>
      </c>
      <c r="K2674" s="0" t="s">
        <v>616</v>
      </c>
      <c r="L2674" s="0" t="s">
        <v>4578</v>
      </c>
    </row>
    <row r="2675" customFormat="false" ht="15" hidden="false" customHeight="false" outlineLevel="0" collapsed="false">
      <c r="A2675" s="0" t="s">
        <v>71</v>
      </c>
      <c r="B2675" s="0" t="s">
        <v>345</v>
      </c>
      <c r="C2675" s="0" t="s">
        <v>1139</v>
      </c>
      <c r="D2675" s="0" t="s">
        <v>156</v>
      </c>
      <c r="E2675" s="0" t="s">
        <v>2207</v>
      </c>
      <c r="F2675" s="0" t="n">
        <v>4</v>
      </c>
      <c r="G2675" s="0" t="n">
        <v>0</v>
      </c>
      <c r="H2675" s="0" t="s">
        <v>585</v>
      </c>
      <c r="K2675" s="0" t="s">
        <v>620</v>
      </c>
      <c r="L2675" s="0" t="s">
        <v>4579</v>
      </c>
    </row>
    <row r="2676" customFormat="false" ht="15" hidden="false" customHeight="false" outlineLevel="0" collapsed="false">
      <c r="A2676" s="0" t="s">
        <v>71</v>
      </c>
      <c r="B2676" s="0" t="s">
        <v>266</v>
      </c>
      <c r="C2676" s="0" t="s">
        <v>1164</v>
      </c>
      <c r="D2676" s="0" t="s">
        <v>578</v>
      </c>
      <c r="E2676" s="0" t="s">
        <v>2209</v>
      </c>
      <c r="F2676" s="0" t="n">
        <v>4</v>
      </c>
      <c r="G2676" s="0" t="n">
        <v>0</v>
      </c>
      <c r="H2676" s="0" t="s">
        <v>585</v>
      </c>
      <c r="K2676" s="0" t="s">
        <v>581</v>
      </c>
      <c r="L2676" s="0" t="s">
        <v>4580</v>
      </c>
    </row>
    <row r="2677" customFormat="false" ht="15" hidden="false" customHeight="false" outlineLevel="0" collapsed="false">
      <c r="A2677" s="0" t="s">
        <v>71</v>
      </c>
      <c r="B2677" s="0" t="s">
        <v>266</v>
      </c>
      <c r="C2677" s="0" t="s">
        <v>1164</v>
      </c>
      <c r="D2677" s="0" t="s">
        <v>583</v>
      </c>
      <c r="E2677" s="0" t="s">
        <v>2211</v>
      </c>
      <c r="F2677" s="0" t="n">
        <v>4</v>
      </c>
      <c r="G2677" s="0" t="n">
        <v>0</v>
      </c>
      <c r="H2677" s="0" t="s">
        <v>585</v>
      </c>
      <c r="K2677" s="0" t="s">
        <v>586</v>
      </c>
      <c r="L2677" s="0" t="s">
        <v>4581</v>
      </c>
    </row>
    <row r="2678" customFormat="false" ht="15" hidden="false" customHeight="false" outlineLevel="0" collapsed="false">
      <c r="A2678" s="0" t="s">
        <v>71</v>
      </c>
      <c r="B2678" s="0" t="s">
        <v>266</v>
      </c>
      <c r="C2678" s="0" t="s">
        <v>1164</v>
      </c>
      <c r="D2678" s="0" t="s">
        <v>588</v>
      </c>
      <c r="E2678" s="0" t="s">
        <v>2213</v>
      </c>
      <c r="F2678" s="0" t="n">
        <v>4</v>
      </c>
      <c r="G2678" s="0" t="n">
        <v>0</v>
      </c>
      <c r="H2678" s="0" t="s">
        <v>585</v>
      </c>
      <c r="K2678" s="0" t="s">
        <v>590</v>
      </c>
      <c r="L2678" s="0" t="s">
        <v>4582</v>
      </c>
    </row>
    <row r="2679" customFormat="false" ht="15" hidden="false" customHeight="false" outlineLevel="0" collapsed="false">
      <c r="A2679" s="0" t="s">
        <v>71</v>
      </c>
      <c r="B2679" s="0" t="s">
        <v>266</v>
      </c>
      <c r="C2679" s="0" t="s">
        <v>1164</v>
      </c>
      <c r="D2679" s="0" t="s">
        <v>127</v>
      </c>
      <c r="E2679" s="0" t="s">
        <v>2215</v>
      </c>
      <c r="F2679" s="0" t="n">
        <v>4</v>
      </c>
      <c r="G2679" s="0" t="n">
        <v>0</v>
      </c>
      <c r="H2679" s="0" t="s">
        <v>585</v>
      </c>
      <c r="K2679" s="0" t="s">
        <v>594</v>
      </c>
      <c r="L2679" s="0" t="s">
        <v>4583</v>
      </c>
    </row>
    <row r="2680" customFormat="false" ht="15" hidden="false" customHeight="false" outlineLevel="0" collapsed="false">
      <c r="A2680" s="0" t="s">
        <v>71</v>
      </c>
      <c r="B2680" s="0" t="s">
        <v>266</v>
      </c>
      <c r="C2680" s="0" t="s">
        <v>1164</v>
      </c>
      <c r="D2680" s="0" t="s">
        <v>130</v>
      </c>
      <c r="E2680" s="0" t="s">
        <v>2217</v>
      </c>
      <c r="F2680" s="0" t="n">
        <v>4</v>
      </c>
      <c r="G2680" s="0" t="n">
        <v>0</v>
      </c>
      <c r="H2680" s="0" t="s">
        <v>585</v>
      </c>
      <c r="K2680" s="0" t="s">
        <v>597</v>
      </c>
      <c r="L2680" s="0" t="s">
        <v>4584</v>
      </c>
    </row>
    <row r="2681" customFormat="false" ht="15" hidden="false" customHeight="false" outlineLevel="0" collapsed="false">
      <c r="A2681" s="0" t="s">
        <v>71</v>
      </c>
      <c r="B2681" s="0" t="s">
        <v>266</v>
      </c>
      <c r="C2681" s="0" t="s">
        <v>1164</v>
      </c>
      <c r="D2681" s="0" t="s">
        <v>133</v>
      </c>
      <c r="E2681" s="0" t="s">
        <v>2219</v>
      </c>
      <c r="F2681" s="0" t="n">
        <v>4</v>
      </c>
      <c r="G2681" s="0" t="n">
        <v>0</v>
      </c>
      <c r="H2681" s="0" t="s">
        <v>585</v>
      </c>
      <c r="K2681" s="0" t="s">
        <v>600</v>
      </c>
      <c r="L2681" s="0" t="s">
        <v>4585</v>
      </c>
    </row>
    <row r="2682" customFormat="false" ht="15" hidden="false" customHeight="false" outlineLevel="0" collapsed="false">
      <c r="A2682" s="0" t="s">
        <v>71</v>
      </c>
      <c r="B2682" s="0" t="s">
        <v>266</v>
      </c>
      <c r="C2682" s="0" t="s">
        <v>1164</v>
      </c>
      <c r="D2682" s="0" t="s">
        <v>141</v>
      </c>
      <c r="E2682" s="0" t="s">
        <v>2221</v>
      </c>
      <c r="F2682" s="0" t="n">
        <v>4</v>
      </c>
      <c r="G2682" s="0" t="n">
        <v>0</v>
      </c>
      <c r="H2682" s="0" t="s">
        <v>585</v>
      </c>
      <c r="K2682" s="0" t="s">
        <v>604</v>
      </c>
      <c r="L2682" s="0" t="s">
        <v>4586</v>
      </c>
    </row>
    <row r="2683" customFormat="false" ht="15" hidden="false" customHeight="false" outlineLevel="0" collapsed="false">
      <c r="A2683" s="0" t="s">
        <v>71</v>
      </c>
      <c r="B2683" s="0" t="s">
        <v>266</v>
      </c>
      <c r="C2683" s="0" t="s">
        <v>1164</v>
      </c>
      <c r="D2683" s="0" t="s">
        <v>144</v>
      </c>
      <c r="E2683" s="0" t="s">
        <v>2223</v>
      </c>
      <c r="F2683" s="0" t="n">
        <v>4</v>
      </c>
      <c r="G2683" s="0" t="n">
        <v>0</v>
      </c>
      <c r="H2683" s="0" t="s">
        <v>585</v>
      </c>
      <c r="K2683" s="0" t="s">
        <v>607</v>
      </c>
      <c r="L2683" s="0" t="s">
        <v>4587</v>
      </c>
    </row>
    <row r="2684" customFormat="false" ht="15" hidden="false" customHeight="false" outlineLevel="0" collapsed="false">
      <c r="A2684" s="0" t="s">
        <v>71</v>
      </c>
      <c r="B2684" s="0" t="s">
        <v>266</v>
      </c>
      <c r="C2684" s="0" t="s">
        <v>1164</v>
      </c>
      <c r="D2684" s="0" t="s">
        <v>147</v>
      </c>
      <c r="E2684" s="0" t="s">
        <v>2225</v>
      </c>
      <c r="F2684" s="0" t="n">
        <v>4</v>
      </c>
      <c r="G2684" s="0" t="n">
        <v>0</v>
      </c>
      <c r="H2684" s="0" t="s">
        <v>585</v>
      </c>
      <c r="I2684" s="0" t="s">
        <v>4502</v>
      </c>
      <c r="K2684" s="0" t="s">
        <v>610</v>
      </c>
      <c r="L2684" s="0" t="s">
        <v>4588</v>
      </c>
    </row>
    <row r="2685" customFormat="false" ht="15" hidden="false" customHeight="false" outlineLevel="0" collapsed="false">
      <c r="A2685" s="0" t="s">
        <v>71</v>
      </c>
      <c r="B2685" s="0" t="s">
        <v>266</v>
      </c>
      <c r="C2685" s="0" t="s">
        <v>1164</v>
      </c>
      <c r="D2685" s="0" t="s">
        <v>150</v>
      </c>
      <c r="E2685" s="0" t="s">
        <v>2227</v>
      </c>
      <c r="F2685" s="0" t="n">
        <v>4</v>
      </c>
      <c r="G2685" s="0" t="n">
        <v>0</v>
      </c>
      <c r="H2685" s="0" t="s">
        <v>585</v>
      </c>
      <c r="K2685" s="0" t="s">
        <v>613</v>
      </c>
      <c r="L2685" s="0" t="s">
        <v>4589</v>
      </c>
    </row>
    <row r="2686" customFormat="false" ht="15" hidden="false" customHeight="false" outlineLevel="0" collapsed="false">
      <c r="A2686" s="0" t="s">
        <v>71</v>
      </c>
      <c r="B2686" s="0" t="s">
        <v>266</v>
      </c>
      <c r="C2686" s="0" t="s">
        <v>1164</v>
      </c>
      <c r="D2686" s="0" t="s">
        <v>153</v>
      </c>
      <c r="E2686" s="0" t="s">
        <v>2229</v>
      </c>
      <c r="F2686" s="0" t="n">
        <v>4</v>
      </c>
      <c r="G2686" s="0" t="n">
        <v>1</v>
      </c>
      <c r="H2686" s="0" t="s">
        <v>585</v>
      </c>
      <c r="K2686" s="0" t="s">
        <v>616</v>
      </c>
      <c r="L2686" s="0" t="s">
        <v>4590</v>
      </c>
    </row>
    <row r="2687" customFormat="false" ht="15" hidden="false" customHeight="false" outlineLevel="0" collapsed="false">
      <c r="A2687" s="0" t="s">
        <v>71</v>
      </c>
      <c r="B2687" s="0" t="s">
        <v>266</v>
      </c>
      <c r="C2687" s="0" t="s">
        <v>1164</v>
      </c>
      <c r="D2687" s="0" t="s">
        <v>156</v>
      </c>
      <c r="E2687" s="0" t="s">
        <v>2231</v>
      </c>
      <c r="F2687" s="0" t="n">
        <v>4</v>
      </c>
      <c r="G2687" s="0" t="n">
        <v>2</v>
      </c>
      <c r="H2687" s="0" t="s">
        <v>585</v>
      </c>
      <c r="I2687" s="0" t="s">
        <v>4502</v>
      </c>
      <c r="K2687" s="0" t="s">
        <v>620</v>
      </c>
      <c r="L2687" s="0" t="s">
        <v>4591</v>
      </c>
    </row>
    <row r="2688" customFormat="false" ht="15" hidden="false" customHeight="false" outlineLevel="0" collapsed="false">
      <c r="A2688" s="0" t="s">
        <v>71</v>
      </c>
      <c r="B2688" s="0" t="s">
        <v>266</v>
      </c>
      <c r="C2688" s="0" t="s">
        <v>1189</v>
      </c>
      <c r="D2688" s="0" t="s">
        <v>578</v>
      </c>
      <c r="E2688" s="0" t="s">
        <v>2233</v>
      </c>
      <c r="F2688" s="0" t="n">
        <v>4</v>
      </c>
      <c r="G2688" s="0" t="n">
        <v>0</v>
      </c>
      <c r="H2688" s="0" t="s">
        <v>585</v>
      </c>
      <c r="K2688" s="0" t="s">
        <v>581</v>
      </c>
      <c r="L2688" s="0" t="s">
        <v>4592</v>
      </c>
    </row>
    <row r="2689" customFormat="false" ht="15" hidden="false" customHeight="false" outlineLevel="0" collapsed="false">
      <c r="A2689" s="0" t="s">
        <v>71</v>
      </c>
      <c r="B2689" s="0" t="s">
        <v>266</v>
      </c>
      <c r="C2689" s="0" t="s">
        <v>1189</v>
      </c>
      <c r="D2689" s="0" t="s">
        <v>583</v>
      </c>
      <c r="E2689" s="0" t="s">
        <v>2235</v>
      </c>
      <c r="F2689" s="0" t="n">
        <v>4</v>
      </c>
      <c r="G2689" s="0" t="n">
        <v>0</v>
      </c>
      <c r="H2689" s="0" t="s">
        <v>585</v>
      </c>
      <c r="K2689" s="0" t="s">
        <v>586</v>
      </c>
      <c r="L2689" s="0" t="s">
        <v>4593</v>
      </c>
    </row>
    <row r="2690" customFormat="false" ht="15" hidden="false" customHeight="false" outlineLevel="0" collapsed="false">
      <c r="A2690" s="0" t="s">
        <v>71</v>
      </c>
      <c r="B2690" s="0" t="s">
        <v>266</v>
      </c>
      <c r="C2690" s="0" t="s">
        <v>1189</v>
      </c>
      <c r="D2690" s="0" t="s">
        <v>588</v>
      </c>
      <c r="E2690" s="0" t="s">
        <v>2237</v>
      </c>
      <c r="F2690" s="0" t="n">
        <v>4</v>
      </c>
      <c r="G2690" s="0" t="n">
        <v>0</v>
      </c>
      <c r="H2690" s="0" t="s">
        <v>585</v>
      </c>
      <c r="K2690" s="0" t="s">
        <v>590</v>
      </c>
      <c r="L2690" s="0" t="s">
        <v>4594</v>
      </c>
    </row>
    <row r="2691" customFormat="false" ht="15" hidden="false" customHeight="false" outlineLevel="0" collapsed="false">
      <c r="A2691" s="0" t="s">
        <v>71</v>
      </c>
      <c r="B2691" s="0" t="s">
        <v>266</v>
      </c>
      <c r="C2691" s="0" t="s">
        <v>1189</v>
      </c>
      <c r="D2691" s="0" t="s">
        <v>127</v>
      </c>
      <c r="E2691" s="0" t="s">
        <v>2239</v>
      </c>
      <c r="F2691" s="0" t="n">
        <v>4</v>
      </c>
      <c r="G2691" s="0" t="n">
        <v>0</v>
      </c>
      <c r="H2691" s="0" t="s">
        <v>585</v>
      </c>
      <c r="K2691" s="0" t="s">
        <v>594</v>
      </c>
      <c r="L2691" s="0" t="s">
        <v>4595</v>
      </c>
    </row>
    <row r="2692" customFormat="false" ht="15" hidden="false" customHeight="false" outlineLevel="0" collapsed="false">
      <c r="A2692" s="0" t="s">
        <v>71</v>
      </c>
      <c r="B2692" s="0" t="s">
        <v>266</v>
      </c>
      <c r="C2692" s="0" t="s">
        <v>1189</v>
      </c>
      <c r="D2692" s="0" t="s">
        <v>130</v>
      </c>
      <c r="E2692" s="0" t="s">
        <v>2241</v>
      </c>
      <c r="F2692" s="0" t="n">
        <v>4</v>
      </c>
      <c r="G2692" s="0" t="n">
        <v>0</v>
      </c>
      <c r="H2692" s="0" t="s">
        <v>585</v>
      </c>
      <c r="K2692" s="0" t="s">
        <v>597</v>
      </c>
      <c r="L2692" s="0" t="s">
        <v>4596</v>
      </c>
    </row>
    <row r="2693" customFormat="false" ht="15" hidden="false" customHeight="false" outlineLevel="0" collapsed="false">
      <c r="A2693" s="0" t="s">
        <v>71</v>
      </c>
      <c r="B2693" s="0" t="s">
        <v>266</v>
      </c>
      <c r="C2693" s="0" t="s">
        <v>1189</v>
      </c>
      <c r="D2693" s="0" t="s">
        <v>133</v>
      </c>
      <c r="E2693" s="0" t="s">
        <v>2243</v>
      </c>
      <c r="F2693" s="0" t="n">
        <v>4</v>
      </c>
      <c r="G2693" s="0" t="n">
        <v>0</v>
      </c>
      <c r="H2693" s="0" t="s">
        <v>585</v>
      </c>
      <c r="K2693" s="0" t="s">
        <v>600</v>
      </c>
      <c r="L2693" s="0" t="s">
        <v>4597</v>
      </c>
    </row>
    <row r="2694" customFormat="false" ht="15" hidden="false" customHeight="false" outlineLevel="0" collapsed="false">
      <c r="A2694" s="0" t="s">
        <v>71</v>
      </c>
      <c r="B2694" s="0" t="s">
        <v>266</v>
      </c>
      <c r="C2694" s="0" t="s">
        <v>1189</v>
      </c>
      <c r="D2694" s="0" t="s">
        <v>141</v>
      </c>
      <c r="E2694" s="0" t="s">
        <v>2245</v>
      </c>
      <c r="F2694" s="0" t="n">
        <v>4</v>
      </c>
      <c r="G2694" s="0" t="n">
        <v>0</v>
      </c>
      <c r="H2694" s="0" t="s">
        <v>585</v>
      </c>
      <c r="K2694" s="0" t="s">
        <v>604</v>
      </c>
      <c r="L2694" s="0" t="s">
        <v>4598</v>
      </c>
    </row>
    <row r="2695" customFormat="false" ht="15" hidden="false" customHeight="false" outlineLevel="0" collapsed="false">
      <c r="A2695" s="0" t="s">
        <v>71</v>
      </c>
      <c r="B2695" s="0" t="s">
        <v>266</v>
      </c>
      <c r="C2695" s="0" t="s">
        <v>1189</v>
      </c>
      <c r="D2695" s="0" t="s">
        <v>144</v>
      </c>
      <c r="E2695" s="0" t="s">
        <v>2247</v>
      </c>
      <c r="F2695" s="0" t="n">
        <v>4</v>
      </c>
      <c r="G2695" s="0" t="n">
        <v>1</v>
      </c>
      <c r="H2695" s="0" t="s">
        <v>585</v>
      </c>
      <c r="I2695" s="0" t="s">
        <v>4494</v>
      </c>
      <c r="K2695" s="0" t="s">
        <v>607</v>
      </c>
      <c r="L2695" s="0" t="s">
        <v>4599</v>
      </c>
    </row>
    <row r="2696" customFormat="false" ht="15" hidden="false" customHeight="false" outlineLevel="0" collapsed="false">
      <c r="A2696" s="0" t="s">
        <v>71</v>
      </c>
      <c r="B2696" s="0" t="s">
        <v>266</v>
      </c>
      <c r="C2696" s="0" t="s">
        <v>1189</v>
      </c>
      <c r="D2696" s="0" t="s">
        <v>147</v>
      </c>
      <c r="E2696" s="0" t="s">
        <v>2249</v>
      </c>
      <c r="F2696" s="0" t="n">
        <v>4</v>
      </c>
      <c r="G2696" s="0" t="n">
        <v>0</v>
      </c>
      <c r="H2696" s="0" t="s">
        <v>585</v>
      </c>
      <c r="K2696" s="0" t="s">
        <v>610</v>
      </c>
      <c r="L2696" s="0" t="s">
        <v>4600</v>
      </c>
    </row>
    <row r="2697" customFormat="false" ht="15" hidden="false" customHeight="false" outlineLevel="0" collapsed="false">
      <c r="A2697" s="0" t="s">
        <v>71</v>
      </c>
      <c r="B2697" s="0" t="s">
        <v>266</v>
      </c>
      <c r="C2697" s="0" t="s">
        <v>1189</v>
      </c>
      <c r="D2697" s="0" t="s">
        <v>150</v>
      </c>
      <c r="E2697" s="0" t="s">
        <v>2251</v>
      </c>
      <c r="F2697" s="0" t="n">
        <v>4</v>
      </c>
      <c r="G2697" s="0" t="n">
        <v>0</v>
      </c>
      <c r="H2697" s="0" t="s">
        <v>585</v>
      </c>
      <c r="K2697" s="0" t="s">
        <v>613</v>
      </c>
      <c r="L2697" s="0" t="s">
        <v>4601</v>
      </c>
    </row>
    <row r="2698" customFormat="false" ht="15" hidden="false" customHeight="false" outlineLevel="0" collapsed="false">
      <c r="A2698" s="0" t="s">
        <v>71</v>
      </c>
      <c r="B2698" s="0" t="s">
        <v>266</v>
      </c>
      <c r="C2698" s="0" t="s">
        <v>1189</v>
      </c>
      <c r="D2698" s="0" t="s">
        <v>153</v>
      </c>
      <c r="E2698" s="0" t="s">
        <v>2253</v>
      </c>
      <c r="F2698" s="0" t="n">
        <v>4</v>
      </c>
      <c r="G2698" s="0" t="n">
        <v>1</v>
      </c>
      <c r="H2698" s="0" t="s">
        <v>585</v>
      </c>
      <c r="I2698" s="0" t="s">
        <v>4494</v>
      </c>
      <c r="K2698" s="0" t="s">
        <v>616</v>
      </c>
      <c r="L2698" s="0" t="s">
        <v>4602</v>
      </c>
    </row>
    <row r="2699" customFormat="false" ht="15" hidden="false" customHeight="false" outlineLevel="0" collapsed="false">
      <c r="A2699" s="0" t="s">
        <v>71</v>
      </c>
      <c r="B2699" s="0" t="s">
        <v>266</v>
      </c>
      <c r="C2699" s="0" t="s">
        <v>1189</v>
      </c>
      <c r="D2699" s="0" t="s">
        <v>156</v>
      </c>
      <c r="E2699" s="0" t="s">
        <v>2255</v>
      </c>
      <c r="F2699" s="0" t="n">
        <v>4</v>
      </c>
      <c r="G2699" s="0" t="n">
        <v>0</v>
      </c>
      <c r="H2699" s="0" t="s">
        <v>585</v>
      </c>
      <c r="K2699" s="0" t="s">
        <v>620</v>
      </c>
      <c r="L2699" s="0" t="s">
        <v>4603</v>
      </c>
    </row>
    <row r="2700" customFormat="false" ht="15" hidden="false" customHeight="false" outlineLevel="0" collapsed="false">
      <c r="A2700" s="0" t="s">
        <v>71</v>
      </c>
      <c r="B2700" s="0" t="s">
        <v>266</v>
      </c>
      <c r="C2700" s="0" t="s">
        <v>1214</v>
      </c>
      <c r="D2700" s="0" t="s">
        <v>578</v>
      </c>
      <c r="E2700" s="0" t="s">
        <v>2257</v>
      </c>
      <c r="F2700" s="0" t="n">
        <v>4</v>
      </c>
      <c r="G2700" s="0" t="n">
        <v>0</v>
      </c>
      <c r="H2700" s="0" t="s">
        <v>585</v>
      </c>
      <c r="K2700" s="0" t="s">
        <v>581</v>
      </c>
      <c r="L2700" s="0" t="s">
        <v>4604</v>
      </c>
    </row>
    <row r="2701" customFormat="false" ht="15" hidden="false" customHeight="false" outlineLevel="0" collapsed="false">
      <c r="A2701" s="0" t="s">
        <v>71</v>
      </c>
      <c r="B2701" s="0" t="s">
        <v>266</v>
      </c>
      <c r="C2701" s="0" t="s">
        <v>1214</v>
      </c>
      <c r="D2701" s="0" t="s">
        <v>583</v>
      </c>
      <c r="E2701" s="0" t="s">
        <v>2259</v>
      </c>
      <c r="F2701" s="0" t="n">
        <v>4</v>
      </c>
      <c r="G2701" s="0" t="n">
        <v>0</v>
      </c>
      <c r="H2701" s="0" t="s">
        <v>585</v>
      </c>
      <c r="K2701" s="0" t="s">
        <v>586</v>
      </c>
      <c r="L2701" s="0" t="s">
        <v>4605</v>
      </c>
    </row>
    <row r="2702" customFormat="false" ht="15" hidden="false" customHeight="false" outlineLevel="0" collapsed="false">
      <c r="A2702" s="0" t="s">
        <v>71</v>
      </c>
      <c r="B2702" s="0" t="s">
        <v>266</v>
      </c>
      <c r="C2702" s="0" t="s">
        <v>1214</v>
      </c>
      <c r="D2702" s="0" t="s">
        <v>588</v>
      </c>
      <c r="E2702" s="0" t="s">
        <v>2261</v>
      </c>
      <c r="F2702" s="0" t="n">
        <v>4</v>
      </c>
      <c r="G2702" s="0" t="n">
        <v>0</v>
      </c>
      <c r="H2702" s="0" t="s">
        <v>585</v>
      </c>
      <c r="K2702" s="0" t="s">
        <v>590</v>
      </c>
      <c r="L2702" s="0" t="s">
        <v>4606</v>
      </c>
    </row>
    <row r="2703" customFormat="false" ht="15" hidden="false" customHeight="false" outlineLevel="0" collapsed="false">
      <c r="A2703" s="0" t="s">
        <v>71</v>
      </c>
      <c r="B2703" s="0" t="s">
        <v>266</v>
      </c>
      <c r="C2703" s="0" t="s">
        <v>1214</v>
      </c>
      <c r="D2703" s="0" t="s">
        <v>127</v>
      </c>
      <c r="E2703" s="0" t="s">
        <v>2263</v>
      </c>
      <c r="F2703" s="0" t="n">
        <v>4</v>
      </c>
      <c r="G2703" s="0" t="n">
        <v>0</v>
      </c>
      <c r="H2703" s="0" t="s">
        <v>585</v>
      </c>
      <c r="K2703" s="0" t="s">
        <v>594</v>
      </c>
      <c r="L2703" s="0" t="s">
        <v>4607</v>
      </c>
    </row>
    <row r="2704" customFormat="false" ht="15" hidden="false" customHeight="false" outlineLevel="0" collapsed="false">
      <c r="A2704" s="0" t="s">
        <v>71</v>
      </c>
      <c r="B2704" s="0" t="s">
        <v>266</v>
      </c>
      <c r="C2704" s="0" t="s">
        <v>1214</v>
      </c>
      <c r="D2704" s="0" t="s">
        <v>130</v>
      </c>
      <c r="E2704" s="0" t="s">
        <v>2265</v>
      </c>
      <c r="F2704" s="0" t="n">
        <v>4</v>
      </c>
      <c r="G2704" s="0" t="n">
        <v>1</v>
      </c>
      <c r="H2704" s="0" t="s">
        <v>585</v>
      </c>
      <c r="I2704" s="0" t="s">
        <v>4502</v>
      </c>
      <c r="K2704" s="0" t="s">
        <v>597</v>
      </c>
      <c r="L2704" s="0" t="s">
        <v>4608</v>
      </c>
    </row>
    <row r="2705" customFormat="false" ht="15" hidden="false" customHeight="false" outlineLevel="0" collapsed="false">
      <c r="A2705" s="0" t="s">
        <v>71</v>
      </c>
      <c r="B2705" s="0" t="s">
        <v>266</v>
      </c>
      <c r="C2705" s="0" t="s">
        <v>1214</v>
      </c>
      <c r="D2705" s="0" t="s">
        <v>133</v>
      </c>
      <c r="E2705" s="0" t="s">
        <v>2267</v>
      </c>
      <c r="F2705" s="0" t="n">
        <v>4</v>
      </c>
      <c r="G2705" s="0" t="n">
        <v>0</v>
      </c>
      <c r="H2705" s="0" t="s">
        <v>585</v>
      </c>
      <c r="K2705" s="0" t="s">
        <v>600</v>
      </c>
      <c r="L2705" s="0" t="s">
        <v>4609</v>
      </c>
    </row>
    <row r="2706" customFormat="false" ht="15" hidden="false" customHeight="false" outlineLevel="0" collapsed="false">
      <c r="A2706" s="0" t="s">
        <v>71</v>
      </c>
      <c r="B2706" s="0" t="s">
        <v>266</v>
      </c>
      <c r="C2706" s="0" t="s">
        <v>1214</v>
      </c>
      <c r="D2706" s="0" t="s">
        <v>141</v>
      </c>
      <c r="E2706" s="0" t="s">
        <v>2269</v>
      </c>
      <c r="F2706" s="0" t="n">
        <v>4</v>
      </c>
      <c r="G2706" s="0" t="n">
        <v>1</v>
      </c>
      <c r="H2706" s="0" t="s">
        <v>585</v>
      </c>
      <c r="I2706" s="0" t="s">
        <v>4337</v>
      </c>
      <c r="K2706" s="0" t="s">
        <v>604</v>
      </c>
      <c r="L2706" s="0" t="s">
        <v>4610</v>
      </c>
    </row>
    <row r="2707" customFormat="false" ht="15" hidden="false" customHeight="false" outlineLevel="0" collapsed="false">
      <c r="A2707" s="0" t="s">
        <v>71</v>
      </c>
      <c r="B2707" s="0" t="s">
        <v>266</v>
      </c>
      <c r="C2707" s="0" t="s">
        <v>1214</v>
      </c>
      <c r="D2707" s="0" t="s">
        <v>144</v>
      </c>
      <c r="E2707" s="0" t="s">
        <v>2271</v>
      </c>
      <c r="F2707" s="0" t="n">
        <v>4</v>
      </c>
      <c r="G2707" s="0" t="n">
        <v>0</v>
      </c>
      <c r="H2707" s="0" t="s">
        <v>585</v>
      </c>
      <c r="K2707" s="0" t="s">
        <v>607</v>
      </c>
      <c r="L2707" s="0" t="s">
        <v>4611</v>
      </c>
    </row>
    <row r="2708" customFormat="false" ht="15" hidden="false" customHeight="false" outlineLevel="0" collapsed="false">
      <c r="A2708" s="0" t="s">
        <v>71</v>
      </c>
      <c r="B2708" s="0" t="s">
        <v>266</v>
      </c>
      <c r="C2708" s="0" t="s">
        <v>1214</v>
      </c>
      <c r="D2708" s="0" t="s">
        <v>147</v>
      </c>
      <c r="E2708" s="0" t="s">
        <v>2273</v>
      </c>
      <c r="F2708" s="0" t="n">
        <v>4</v>
      </c>
      <c r="G2708" s="0" t="n">
        <v>0</v>
      </c>
      <c r="H2708" s="0" t="s">
        <v>585</v>
      </c>
      <c r="K2708" s="0" t="s">
        <v>610</v>
      </c>
      <c r="L2708" s="0" t="s">
        <v>4612</v>
      </c>
    </row>
    <row r="2709" customFormat="false" ht="15" hidden="false" customHeight="false" outlineLevel="0" collapsed="false">
      <c r="A2709" s="0" t="s">
        <v>71</v>
      </c>
      <c r="B2709" s="0" t="s">
        <v>266</v>
      </c>
      <c r="C2709" s="0" t="s">
        <v>1214</v>
      </c>
      <c r="D2709" s="0" t="s">
        <v>150</v>
      </c>
      <c r="E2709" s="0" t="s">
        <v>2275</v>
      </c>
      <c r="F2709" s="0" t="n">
        <v>4</v>
      </c>
      <c r="G2709" s="0" t="n">
        <v>1</v>
      </c>
      <c r="H2709" s="0" t="s">
        <v>585</v>
      </c>
      <c r="I2709" s="0" t="s">
        <v>4540</v>
      </c>
      <c r="K2709" s="0" t="s">
        <v>613</v>
      </c>
      <c r="L2709" s="0" t="s">
        <v>4613</v>
      </c>
    </row>
    <row r="2710" customFormat="false" ht="15" hidden="false" customHeight="false" outlineLevel="0" collapsed="false">
      <c r="A2710" s="0" t="s">
        <v>71</v>
      </c>
      <c r="B2710" s="0" t="s">
        <v>266</v>
      </c>
      <c r="C2710" s="0" t="s">
        <v>1214</v>
      </c>
      <c r="D2710" s="0" t="s">
        <v>153</v>
      </c>
      <c r="E2710" s="0" t="s">
        <v>2277</v>
      </c>
      <c r="F2710" s="0" t="n">
        <v>4</v>
      </c>
      <c r="G2710" s="0" t="n">
        <v>0</v>
      </c>
      <c r="H2710" s="0" t="s">
        <v>585</v>
      </c>
      <c r="K2710" s="0" t="s">
        <v>616</v>
      </c>
      <c r="L2710" s="0" t="s">
        <v>4614</v>
      </c>
    </row>
    <row r="2711" customFormat="false" ht="15" hidden="false" customHeight="false" outlineLevel="0" collapsed="false">
      <c r="A2711" s="0" t="s">
        <v>71</v>
      </c>
      <c r="B2711" s="0" t="s">
        <v>266</v>
      </c>
      <c r="C2711" s="0" t="s">
        <v>1214</v>
      </c>
      <c r="D2711" s="0" t="s">
        <v>156</v>
      </c>
      <c r="E2711" s="0" t="s">
        <v>2279</v>
      </c>
      <c r="F2711" s="0" t="n">
        <v>4</v>
      </c>
      <c r="G2711" s="0" t="n">
        <v>0</v>
      </c>
      <c r="H2711" s="0" t="s">
        <v>585</v>
      </c>
      <c r="K2711" s="0" t="s">
        <v>620</v>
      </c>
      <c r="L2711" s="0" t="s">
        <v>4615</v>
      </c>
    </row>
    <row r="2712" customFormat="false" ht="15" hidden="false" customHeight="false" outlineLevel="0" collapsed="false">
      <c r="A2712" s="0" t="s">
        <v>71</v>
      </c>
      <c r="B2712" s="0" t="s">
        <v>266</v>
      </c>
      <c r="C2712" s="0" t="s">
        <v>1239</v>
      </c>
      <c r="D2712" s="0" t="s">
        <v>578</v>
      </c>
      <c r="E2712" s="0" t="s">
        <v>2281</v>
      </c>
      <c r="F2712" s="0" t="n">
        <v>4</v>
      </c>
      <c r="G2712" s="0" t="n">
        <v>0</v>
      </c>
      <c r="H2712" s="0" t="s">
        <v>585</v>
      </c>
      <c r="K2712" s="0" t="s">
        <v>581</v>
      </c>
      <c r="L2712" s="0" t="s">
        <v>4616</v>
      </c>
    </row>
    <row r="2713" customFormat="false" ht="15" hidden="false" customHeight="false" outlineLevel="0" collapsed="false">
      <c r="A2713" s="0" t="s">
        <v>71</v>
      </c>
      <c r="B2713" s="0" t="s">
        <v>266</v>
      </c>
      <c r="C2713" s="0" t="s">
        <v>1239</v>
      </c>
      <c r="D2713" s="0" t="s">
        <v>583</v>
      </c>
      <c r="E2713" s="0" t="s">
        <v>2283</v>
      </c>
      <c r="F2713" s="0" t="n">
        <v>4</v>
      </c>
      <c r="G2713" s="0" t="n">
        <v>0</v>
      </c>
      <c r="H2713" s="0" t="s">
        <v>585</v>
      </c>
      <c r="K2713" s="0" t="s">
        <v>586</v>
      </c>
      <c r="L2713" s="0" t="s">
        <v>4617</v>
      </c>
    </row>
    <row r="2714" customFormat="false" ht="15" hidden="false" customHeight="false" outlineLevel="0" collapsed="false">
      <c r="A2714" s="0" t="s">
        <v>71</v>
      </c>
      <c r="B2714" s="0" t="s">
        <v>266</v>
      </c>
      <c r="C2714" s="0" t="s">
        <v>1239</v>
      </c>
      <c r="D2714" s="0" t="s">
        <v>588</v>
      </c>
      <c r="E2714" s="0" t="s">
        <v>2285</v>
      </c>
      <c r="F2714" s="0" t="n">
        <v>4</v>
      </c>
      <c r="G2714" s="0" t="n">
        <v>0</v>
      </c>
      <c r="H2714" s="0" t="s">
        <v>585</v>
      </c>
      <c r="K2714" s="0" t="s">
        <v>590</v>
      </c>
      <c r="L2714" s="0" t="s">
        <v>4618</v>
      </c>
    </row>
    <row r="2715" customFormat="false" ht="15" hidden="false" customHeight="false" outlineLevel="0" collapsed="false">
      <c r="A2715" s="0" t="s">
        <v>71</v>
      </c>
      <c r="B2715" s="0" t="s">
        <v>266</v>
      </c>
      <c r="C2715" s="0" t="s">
        <v>1239</v>
      </c>
      <c r="D2715" s="0" t="s">
        <v>127</v>
      </c>
      <c r="E2715" s="0" t="s">
        <v>2287</v>
      </c>
      <c r="F2715" s="0" t="n">
        <v>4</v>
      </c>
      <c r="G2715" s="0" t="n">
        <v>0</v>
      </c>
      <c r="H2715" s="0" t="s">
        <v>585</v>
      </c>
      <c r="K2715" s="0" t="s">
        <v>594</v>
      </c>
      <c r="L2715" s="0" t="s">
        <v>4619</v>
      </c>
    </row>
    <row r="2716" customFormat="false" ht="15" hidden="false" customHeight="false" outlineLevel="0" collapsed="false">
      <c r="A2716" s="0" t="s">
        <v>71</v>
      </c>
      <c r="B2716" s="0" t="s">
        <v>266</v>
      </c>
      <c r="C2716" s="0" t="s">
        <v>1239</v>
      </c>
      <c r="D2716" s="0" t="s">
        <v>130</v>
      </c>
      <c r="E2716" s="0" t="s">
        <v>2289</v>
      </c>
      <c r="F2716" s="0" t="n">
        <v>4</v>
      </c>
      <c r="G2716" s="0" t="n">
        <v>0</v>
      </c>
      <c r="H2716" s="0" t="s">
        <v>585</v>
      </c>
      <c r="K2716" s="0" t="s">
        <v>597</v>
      </c>
      <c r="L2716" s="0" t="s">
        <v>4620</v>
      </c>
    </row>
    <row r="2717" customFormat="false" ht="15" hidden="false" customHeight="false" outlineLevel="0" collapsed="false">
      <c r="A2717" s="0" t="s">
        <v>71</v>
      </c>
      <c r="B2717" s="0" t="s">
        <v>266</v>
      </c>
      <c r="C2717" s="0" t="s">
        <v>1239</v>
      </c>
      <c r="D2717" s="0" t="s">
        <v>133</v>
      </c>
      <c r="E2717" s="0" t="s">
        <v>2291</v>
      </c>
      <c r="F2717" s="0" t="n">
        <v>4</v>
      </c>
      <c r="G2717" s="0" t="n">
        <v>0</v>
      </c>
      <c r="H2717" s="0" t="s">
        <v>585</v>
      </c>
      <c r="K2717" s="0" t="s">
        <v>600</v>
      </c>
      <c r="L2717" s="0" t="s">
        <v>4621</v>
      </c>
    </row>
    <row r="2718" customFormat="false" ht="15" hidden="false" customHeight="false" outlineLevel="0" collapsed="false">
      <c r="A2718" s="0" t="s">
        <v>71</v>
      </c>
      <c r="B2718" s="0" t="s">
        <v>266</v>
      </c>
      <c r="C2718" s="0" t="s">
        <v>1239</v>
      </c>
      <c r="D2718" s="0" t="s">
        <v>141</v>
      </c>
      <c r="E2718" s="0" t="s">
        <v>2293</v>
      </c>
      <c r="F2718" s="0" t="n">
        <v>4</v>
      </c>
      <c r="G2718" s="0" t="n">
        <v>0</v>
      </c>
      <c r="H2718" s="0" t="s">
        <v>585</v>
      </c>
      <c r="K2718" s="0" t="s">
        <v>604</v>
      </c>
      <c r="L2718" s="0" t="s">
        <v>4622</v>
      </c>
    </row>
    <row r="2719" customFormat="false" ht="15" hidden="false" customHeight="false" outlineLevel="0" collapsed="false">
      <c r="A2719" s="0" t="s">
        <v>71</v>
      </c>
      <c r="B2719" s="0" t="s">
        <v>266</v>
      </c>
      <c r="C2719" s="0" t="s">
        <v>1239</v>
      </c>
      <c r="D2719" s="0" t="s">
        <v>144</v>
      </c>
      <c r="E2719" s="0" t="s">
        <v>2295</v>
      </c>
      <c r="F2719" s="0" t="n">
        <v>4</v>
      </c>
      <c r="G2719" s="0" t="n">
        <v>1</v>
      </c>
      <c r="H2719" s="0" t="s">
        <v>585</v>
      </c>
      <c r="I2719" s="0" t="s">
        <v>4540</v>
      </c>
      <c r="K2719" s="0" t="s">
        <v>607</v>
      </c>
      <c r="L2719" s="0" t="s">
        <v>4623</v>
      </c>
    </row>
    <row r="2720" customFormat="false" ht="15" hidden="false" customHeight="false" outlineLevel="0" collapsed="false">
      <c r="A2720" s="0" t="s">
        <v>71</v>
      </c>
      <c r="B2720" s="0" t="s">
        <v>266</v>
      </c>
      <c r="C2720" s="0" t="s">
        <v>1239</v>
      </c>
      <c r="D2720" s="0" t="s">
        <v>147</v>
      </c>
      <c r="E2720" s="0" t="s">
        <v>2297</v>
      </c>
      <c r="F2720" s="0" t="n">
        <v>4</v>
      </c>
      <c r="G2720" s="0" t="n">
        <v>0</v>
      </c>
      <c r="H2720" s="0" t="s">
        <v>585</v>
      </c>
      <c r="K2720" s="0" t="s">
        <v>610</v>
      </c>
      <c r="L2720" s="0" t="s">
        <v>4624</v>
      </c>
    </row>
    <row r="2721" customFormat="false" ht="15" hidden="false" customHeight="false" outlineLevel="0" collapsed="false">
      <c r="A2721" s="0" t="s">
        <v>71</v>
      </c>
      <c r="B2721" s="0" t="s">
        <v>266</v>
      </c>
      <c r="C2721" s="0" t="s">
        <v>1239</v>
      </c>
      <c r="D2721" s="0" t="s">
        <v>150</v>
      </c>
      <c r="E2721" s="0" t="s">
        <v>2299</v>
      </c>
      <c r="F2721" s="0" t="n">
        <v>4</v>
      </c>
      <c r="G2721" s="0" t="n">
        <v>4</v>
      </c>
      <c r="H2721" s="0" t="s">
        <v>580</v>
      </c>
      <c r="I2721" s="0" t="s">
        <v>4532</v>
      </c>
      <c r="K2721" s="0" t="s">
        <v>613</v>
      </c>
      <c r="L2721" s="0" t="s">
        <v>4625</v>
      </c>
    </row>
    <row r="2722" customFormat="false" ht="15" hidden="false" customHeight="false" outlineLevel="0" collapsed="false">
      <c r="A2722" s="0" t="s">
        <v>71</v>
      </c>
      <c r="B2722" s="0" t="s">
        <v>266</v>
      </c>
      <c r="C2722" s="0" t="s">
        <v>1239</v>
      </c>
      <c r="D2722" s="0" t="s">
        <v>153</v>
      </c>
      <c r="E2722" s="0" t="s">
        <v>2301</v>
      </c>
      <c r="F2722" s="0" t="n">
        <v>4</v>
      </c>
      <c r="G2722" s="0" t="n">
        <v>1</v>
      </c>
      <c r="H2722" s="0" t="s">
        <v>585</v>
      </c>
      <c r="I2722" s="0" t="s">
        <v>4540</v>
      </c>
      <c r="K2722" s="0" t="s">
        <v>616</v>
      </c>
      <c r="L2722" s="0" t="s">
        <v>4626</v>
      </c>
    </row>
    <row r="2723" customFormat="false" ht="15" hidden="false" customHeight="false" outlineLevel="0" collapsed="false">
      <c r="A2723" s="0" t="s">
        <v>71</v>
      </c>
      <c r="B2723" s="0" t="s">
        <v>266</v>
      </c>
      <c r="C2723" s="0" t="s">
        <v>1239</v>
      </c>
      <c r="D2723" s="0" t="s">
        <v>156</v>
      </c>
      <c r="E2723" s="0" t="s">
        <v>2303</v>
      </c>
      <c r="F2723" s="0" t="n">
        <v>4</v>
      </c>
      <c r="G2723" s="0" t="n">
        <v>0</v>
      </c>
      <c r="H2723" s="0" t="s">
        <v>585</v>
      </c>
      <c r="K2723" s="0" t="s">
        <v>620</v>
      </c>
      <c r="L2723" s="0" t="s">
        <v>4627</v>
      </c>
    </row>
    <row r="2724" customFormat="false" ht="15" hidden="false" customHeight="false" outlineLevel="0" collapsed="false">
      <c r="A2724" s="0" t="s">
        <v>71</v>
      </c>
      <c r="B2724" s="0" t="s">
        <v>266</v>
      </c>
      <c r="C2724" s="0" t="s">
        <v>1264</v>
      </c>
      <c r="D2724" s="0" t="s">
        <v>578</v>
      </c>
      <c r="E2724" s="0" t="s">
        <v>2305</v>
      </c>
      <c r="F2724" s="0" t="n">
        <v>4</v>
      </c>
      <c r="G2724" s="0" t="n">
        <v>0</v>
      </c>
      <c r="H2724" s="0" t="s">
        <v>585</v>
      </c>
      <c r="K2724" s="0" t="s">
        <v>581</v>
      </c>
      <c r="L2724" s="0" t="s">
        <v>4628</v>
      </c>
    </row>
    <row r="2725" customFormat="false" ht="15" hidden="false" customHeight="false" outlineLevel="0" collapsed="false">
      <c r="A2725" s="0" t="s">
        <v>71</v>
      </c>
      <c r="B2725" s="0" t="s">
        <v>266</v>
      </c>
      <c r="C2725" s="0" t="s">
        <v>1264</v>
      </c>
      <c r="D2725" s="0" t="s">
        <v>583</v>
      </c>
      <c r="E2725" s="0" t="s">
        <v>2307</v>
      </c>
      <c r="F2725" s="0" t="n">
        <v>4</v>
      </c>
      <c r="G2725" s="0" t="n">
        <v>0</v>
      </c>
      <c r="H2725" s="0" t="s">
        <v>585</v>
      </c>
      <c r="K2725" s="0" t="s">
        <v>586</v>
      </c>
      <c r="L2725" s="0" t="s">
        <v>4629</v>
      </c>
    </row>
    <row r="2726" customFormat="false" ht="15" hidden="false" customHeight="false" outlineLevel="0" collapsed="false">
      <c r="A2726" s="0" t="s">
        <v>71</v>
      </c>
      <c r="B2726" s="0" t="s">
        <v>266</v>
      </c>
      <c r="C2726" s="0" t="s">
        <v>1264</v>
      </c>
      <c r="D2726" s="0" t="s">
        <v>588</v>
      </c>
      <c r="E2726" s="0" t="s">
        <v>2309</v>
      </c>
      <c r="F2726" s="0" t="n">
        <v>4</v>
      </c>
      <c r="G2726" s="0" t="n">
        <v>0</v>
      </c>
      <c r="H2726" s="0" t="s">
        <v>585</v>
      </c>
      <c r="K2726" s="0" t="s">
        <v>590</v>
      </c>
      <c r="L2726" s="0" t="s">
        <v>4630</v>
      </c>
    </row>
    <row r="2727" customFormat="false" ht="15" hidden="false" customHeight="false" outlineLevel="0" collapsed="false">
      <c r="A2727" s="0" t="s">
        <v>71</v>
      </c>
      <c r="B2727" s="0" t="s">
        <v>266</v>
      </c>
      <c r="C2727" s="0" t="s">
        <v>1264</v>
      </c>
      <c r="D2727" s="0" t="s">
        <v>127</v>
      </c>
      <c r="E2727" s="0" t="s">
        <v>2311</v>
      </c>
      <c r="F2727" s="0" t="n">
        <v>4</v>
      </c>
      <c r="G2727" s="0" t="n">
        <v>0</v>
      </c>
      <c r="H2727" s="0" t="s">
        <v>585</v>
      </c>
      <c r="K2727" s="0" t="s">
        <v>594</v>
      </c>
      <c r="L2727" s="0" t="s">
        <v>4631</v>
      </c>
    </row>
    <row r="2728" customFormat="false" ht="15" hidden="false" customHeight="false" outlineLevel="0" collapsed="false">
      <c r="A2728" s="0" t="s">
        <v>71</v>
      </c>
      <c r="B2728" s="0" t="s">
        <v>266</v>
      </c>
      <c r="C2728" s="0" t="s">
        <v>1264</v>
      </c>
      <c r="D2728" s="0" t="s">
        <v>130</v>
      </c>
      <c r="E2728" s="0" t="s">
        <v>2313</v>
      </c>
      <c r="F2728" s="0" t="n">
        <v>4</v>
      </c>
      <c r="G2728" s="0" t="n">
        <v>0</v>
      </c>
      <c r="H2728" s="0" t="s">
        <v>585</v>
      </c>
      <c r="K2728" s="0" t="s">
        <v>597</v>
      </c>
      <c r="L2728" s="0" t="s">
        <v>4632</v>
      </c>
    </row>
    <row r="2729" customFormat="false" ht="15" hidden="false" customHeight="false" outlineLevel="0" collapsed="false">
      <c r="A2729" s="0" t="s">
        <v>71</v>
      </c>
      <c r="B2729" s="0" t="s">
        <v>266</v>
      </c>
      <c r="C2729" s="0" t="s">
        <v>1264</v>
      </c>
      <c r="D2729" s="0" t="s">
        <v>133</v>
      </c>
      <c r="E2729" s="0" t="s">
        <v>2315</v>
      </c>
      <c r="F2729" s="0" t="n">
        <v>4</v>
      </c>
      <c r="G2729" s="0" t="n">
        <v>0</v>
      </c>
      <c r="H2729" s="0" t="s">
        <v>585</v>
      </c>
      <c r="K2729" s="0" t="s">
        <v>600</v>
      </c>
      <c r="L2729" s="0" t="s">
        <v>4633</v>
      </c>
    </row>
    <row r="2730" customFormat="false" ht="15" hidden="false" customHeight="false" outlineLevel="0" collapsed="false">
      <c r="A2730" s="0" t="s">
        <v>71</v>
      </c>
      <c r="B2730" s="0" t="s">
        <v>266</v>
      </c>
      <c r="C2730" s="0" t="s">
        <v>1264</v>
      </c>
      <c r="D2730" s="0" t="s">
        <v>141</v>
      </c>
      <c r="E2730" s="0" t="s">
        <v>2317</v>
      </c>
      <c r="F2730" s="0" t="n">
        <v>4</v>
      </c>
      <c r="G2730" s="0" t="n">
        <v>2</v>
      </c>
      <c r="H2730" s="0" t="s">
        <v>585</v>
      </c>
      <c r="I2730" s="0" t="s">
        <v>4532</v>
      </c>
      <c r="K2730" s="0" t="s">
        <v>604</v>
      </c>
      <c r="L2730" s="0" t="s">
        <v>4634</v>
      </c>
    </row>
    <row r="2731" customFormat="false" ht="15" hidden="false" customHeight="false" outlineLevel="0" collapsed="false">
      <c r="A2731" s="0" t="s">
        <v>71</v>
      </c>
      <c r="B2731" s="0" t="s">
        <v>266</v>
      </c>
      <c r="C2731" s="0" t="s">
        <v>1264</v>
      </c>
      <c r="D2731" s="0" t="s">
        <v>144</v>
      </c>
      <c r="E2731" s="0" t="s">
        <v>2319</v>
      </c>
      <c r="F2731" s="0" t="n">
        <v>4</v>
      </c>
      <c r="G2731" s="0" t="n">
        <v>2</v>
      </c>
      <c r="H2731" s="0" t="s">
        <v>585</v>
      </c>
      <c r="I2731" s="0" t="s">
        <v>4532</v>
      </c>
      <c r="K2731" s="0" t="s">
        <v>607</v>
      </c>
      <c r="L2731" s="0" t="s">
        <v>4635</v>
      </c>
    </row>
    <row r="2732" customFormat="false" ht="15" hidden="false" customHeight="false" outlineLevel="0" collapsed="false">
      <c r="A2732" s="0" t="s">
        <v>71</v>
      </c>
      <c r="B2732" s="0" t="s">
        <v>266</v>
      </c>
      <c r="C2732" s="0" t="s">
        <v>1264</v>
      </c>
      <c r="D2732" s="0" t="s">
        <v>147</v>
      </c>
      <c r="E2732" s="0" t="s">
        <v>2321</v>
      </c>
      <c r="F2732" s="0" t="n">
        <v>4</v>
      </c>
      <c r="G2732" s="0" t="n">
        <v>3</v>
      </c>
      <c r="H2732" s="0" t="s">
        <v>585</v>
      </c>
      <c r="I2732" s="0" t="s">
        <v>4494</v>
      </c>
      <c r="K2732" s="0" t="s">
        <v>610</v>
      </c>
      <c r="L2732" s="0" t="s">
        <v>4636</v>
      </c>
    </row>
    <row r="2733" customFormat="false" ht="15" hidden="false" customHeight="false" outlineLevel="0" collapsed="false">
      <c r="A2733" s="0" t="s">
        <v>71</v>
      </c>
      <c r="B2733" s="0" t="s">
        <v>266</v>
      </c>
      <c r="C2733" s="0" t="s">
        <v>1264</v>
      </c>
      <c r="D2733" s="0" t="s">
        <v>150</v>
      </c>
      <c r="E2733" s="0" t="s">
        <v>2323</v>
      </c>
      <c r="F2733" s="0" t="n">
        <v>4</v>
      </c>
      <c r="G2733" s="0" t="n">
        <v>4</v>
      </c>
      <c r="H2733" s="0" t="s">
        <v>580</v>
      </c>
      <c r="I2733" s="0" t="s">
        <v>4494</v>
      </c>
      <c r="K2733" s="0" t="s">
        <v>613</v>
      </c>
      <c r="L2733" s="0" t="s">
        <v>4637</v>
      </c>
    </row>
    <row r="2734" customFormat="false" ht="15" hidden="false" customHeight="false" outlineLevel="0" collapsed="false">
      <c r="A2734" s="0" t="s">
        <v>71</v>
      </c>
      <c r="B2734" s="0" t="s">
        <v>266</v>
      </c>
      <c r="C2734" s="0" t="s">
        <v>1264</v>
      </c>
      <c r="D2734" s="0" t="s">
        <v>153</v>
      </c>
      <c r="E2734" s="0" t="s">
        <v>2325</v>
      </c>
      <c r="F2734" s="0" t="n">
        <v>4</v>
      </c>
      <c r="G2734" s="0" t="n">
        <v>4</v>
      </c>
      <c r="H2734" s="0" t="s">
        <v>580</v>
      </c>
      <c r="I2734" s="0" t="s">
        <v>4532</v>
      </c>
      <c r="K2734" s="0" t="s">
        <v>616</v>
      </c>
      <c r="L2734" s="0" t="s">
        <v>4638</v>
      </c>
    </row>
    <row r="2735" customFormat="false" ht="15" hidden="false" customHeight="false" outlineLevel="0" collapsed="false">
      <c r="A2735" s="0" t="s">
        <v>71</v>
      </c>
      <c r="B2735" s="0" t="s">
        <v>266</v>
      </c>
      <c r="C2735" s="0" t="s">
        <v>1264</v>
      </c>
      <c r="D2735" s="0" t="s">
        <v>156</v>
      </c>
      <c r="E2735" s="0" t="s">
        <v>2327</v>
      </c>
      <c r="F2735" s="0" t="n">
        <v>4</v>
      </c>
      <c r="G2735" s="0" t="n">
        <v>3</v>
      </c>
      <c r="H2735" s="0" t="s">
        <v>585</v>
      </c>
      <c r="I2735" s="0" t="s">
        <v>4540</v>
      </c>
      <c r="K2735" s="0" t="s">
        <v>620</v>
      </c>
      <c r="L2735" s="0" t="s">
        <v>4639</v>
      </c>
    </row>
    <row r="2736" customFormat="false" ht="15" hidden="false" customHeight="false" outlineLevel="0" collapsed="false">
      <c r="A2736" s="0" t="s">
        <v>71</v>
      </c>
      <c r="B2736" s="0" t="s">
        <v>266</v>
      </c>
      <c r="C2736" s="0" t="s">
        <v>1289</v>
      </c>
      <c r="D2736" s="0" t="s">
        <v>578</v>
      </c>
      <c r="E2736" s="0" t="s">
        <v>2329</v>
      </c>
      <c r="F2736" s="0" t="n">
        <v>4</v>
      </c>
      <c r="G2736" s="0" t="n">
        <v>0</v>
      </c>
      <c r="H2736" s="0" t="s">
        <v>585</v>
      </c>
      <c r="K2736" s="0" t="s">
        <v>581</v>
      </c>
      <c r="L2736" s="0" t="s">
        <v>4640</v>
      </c>
    </row>
    <row r="2737" customFormat="false" ht="15" hidden="false" customHeight="false" outlineLevel="0" collapsed="false">
      <c r="A2737" s="0" t="s">
        <v>71</v>
      </c>
      <c r="B2737" s="0" t="s">
        <v>266</v>
      </c>
      <c r="C2737" s="0" t="s">
        <v>1289</v>
      </c>
      <c r="D2737" s="0" t="s">
        <v>583</v>
      </c>
      <c r="E2737" s="0" t="s">
        <v>2331</v>
      </c>
      <c r="F2737" s="0" t="n">
        <v>4</v>
      </c>
      <c r="G2737" s="0" t="n">
        <v>4</v>
      </c>
      <c r="H2737" s="0" t="s">
        <v>580</v>
      </c>
      <c r="I2737" s="0" t="s">
        <v>4502</v>
      </c>
      <c r="K2737" s="0" t="s">
        <v>586</v>
      </c>
      <c r="L2737" s="0" t="s">
        <v>4641</v>
      </c>
    </row>
    <row r="2738" customFormat="false" ht="15" hidden="false" customHeight="false" outlineLevel="0" collapsed="false">
      <c r="A2738" s="0" t="s">
        <v>71</v>
      </c>
      <c r="B2738" s="0" t="s">
        <v>266</v>
      </c>
      <c r="C2738" s="0" t="s">
        <v>1289</v>
      </c>
      <c r="D2738" s="0" t="s">
        <v>588</v>
      </c>
      <c r="E2738" s="0" t="s">
        <v>2333</v>
      </c>
      <c r="F2738" s="0" t="n">
        <v>4</v>
      </c>
      <c r="G2738" s="0" t="n">
        <v>1</v>
      </c>
      <c r="H2738" s="0" t="s">
        <v>585</v>
      </c>
      <c r="I2738" s="0" t="s">
        <v>4532</v>
      </c>
      <c r="K2738" s="0" t="s">
        <v>590</v>
      </c>
      <c r="L2738" s="0" t="s">
        <v>4642</v>
      </c>
    </row>
    <row r="2739" customFormat="false" ht="15" hidden="false" customHeight="false" outlineLevel="0" collapsed="false">
      <c r="A2739" s="0" t="s">
        <v>71</v>
      </c>
      <c r="B2739" s="0" t="s">
        <v>266</v>
      </c>
      <c r="C2739" s="0" t="s">
        <v>1289</v>
      </c>
      <c r="D2739" s="0" t="s">
        <v>127</v>
      </c>
      <c r="E2739" s="0" t="s">
        <v>2335</v>
      </c>
      <c r="F2739" s="0" t="n">
        <v>4</v>
      </c>
      <c r="G2739" s="0" t="n">
        <v>0</v>
      </c>
      <c r="H2739" s="0" t="s">
        <v>585</v>
      </c>
      <c r="K2739" s="0" t="s">
        <v>594</v>
      </c>
      <c r="L2739" s="0" t="s">
        <v>4643</v>
      </c>
    </row>
    <row r="2740" customFormat="false" ht="15" hidden="false" customHeight="false" outlineLevel="0" collapsed="false">
      <c r="A2740" s="0" t="s">
        <v>71</v>
      </c>
      <c r="B2740" s="0" t="s">
        <v>266</v>
      </c>
      <c r="C2740" s="0" t="s">
        <v>1289</v>
      </c>
      <c r="D2740" s="0" t="s">
        <v>130</v>
      </c>
      <c r="E2740" s="0" t="s">
        <v>2337</v>
      </c>
      <c r="F2740" s="0" t="n">
        <v>4</v>
      </c>
      <c r="G2740" s="0" t="n">
        <v>3</v>
      </c>
      <c r="H2740" s="0" t="s">
        <v>585</v>
      </c>
      <c r="I2740" s="0" t="s">
        <v>4540</v>
      </c>
      <c r="K2740" s="0" t="s">
        <v>597</v>
      </c>
      <c r="L2740" s="0" t="s">
        <v>4644</v>
      </c>
    </row>
    <row r="2741" customFormat="false" ht="15" hidden="false" customHeight="false" outlineLevel="0" collapsed="false">
      <c r="A2741" s="0" t="s">
        <v>71</v>
      </c>
      <c r="B2741" s="0" t="s">
        <v>266</v>
      </c>
      <c r="C2741" s="0" t="s">
        <v>1289</v>
      </c>
      <c r="D2741" s="0" t="s">
        <v>133</v>
      </c>
      <c r="E2741" s="0" t="s">
        <v>2339</v>
      </c>
      <c r="F2741" s="0" t="n">
        <v>4</v>
      </c>
      <c r="G2741" s="0" t="n">
        <v>0</v>
      </c>
      <c r="H2741" s="0" t="s">
        <v>585</v>
      </c>
      <c r="K2741" s="0" t="s">
        <v>600</v>
      </c>
      <c r="L2741" s="0" t="s">
        <v>4645</v>
      </c>
    </row>
    <row r="2742" customFormat="false" ht="15" hidden="false" customHeight="false" outlineLevel="0" collapsed="false">
      <c r="A2742" s="0" t="s">
        <v>71</v>
      </c>
      <c r="B2742" s="0" t="s">
        <v>266</v>
      </c>
      <c r="C2742" s="0" t="s">
        <v>1289</v>
      </c>
      <c r="D2742" s="0" t="s">
        <v>141</v>
      </c>
      <c r="E2742" s="0" t="s">
        <v>2341</v>
      </c>
      <c r="F2742" s="0" t="n">
        <v>4</v>
      </c>
      <c r="G2742" s="0" t="n">
        <v>3</v>
      </c>
      <c r="H2742" s="0" t="s">
        <v>585</v>
      </c>
      <c r="I2742" s="0" t="s">
        <v>4502</v>
      </c>
      <c r="K2742" s="0" t="s">
        <v>604</v>
      </c>
      <c r="L2742" s="0" t="s">
        <v>4646</v>
      </c>
    </row>
    <row r="2743" customFormat="false" ht="15" hidden="false" customHeight="false" outlineLevel="0" collapsed="false">
      <c r="A2743" s="0" t="s">
        <v>71</v>
      </c>
      <c r="B2743" s="0" t="s">
        <v>266</v>
      </c>
      <c r="C2743" s="0" t="s">
        <v>1289</v>
      </c>
      <c r="D2743" s="0" t="s">
        <v>144</v>
      </c>
      <c r="E2743" s="0" t="s">
        <v>2343</v>
      </c>
      <c r="F2743" s="0" t="n">
        <v>4</v>
      </c>
      <c r="G2743" s="0" t="n">
        <v>4</v>
      </c>
      <c r="H2743" s="0" t="s">
        <v>580</v>
      </c>
      <c r="I2743" s="0" t="s">
        <v>4494</v>
      </c>
      <c r="K2743" s="0" t="s">
        <v>607</v>
      </c>
      <c r="L2743" s="0" t="s">
        <v>4647</v>
      </c>
    </row>
    <row r="2744" customFormat="false" ht="15" hidden="false" customHeight="false" outlineLevel="0" collapsed="false">
      <c r="A2744" s="0" t="s">
        <v>71</v>
      </c>
      <c r="B2744" s="0" t="s">
        <v>266</v>
      </c>
      <c r="C2744" s="0" t="s">
        <v>1289</v>
      </c>
      <c r="D2744" s="0" t="s">
        <v>147</v>
      </c>
      <c r="E2744" s="0" t="s">
        <v>2345</v>
      </c>
      <c r="F2744" s="0" t="n">
        <v>4</v>
      </c>
      <c r="G2744" s="0" t="n">
        <v>4</v>
      </c>
      <c r="H2744" s="0" t="s">
        <v>580</v>
      </c>
      <c r="I2744" s="0" t="s">
        <v>4532</v>
      </c>
      <c r="K2744" s="0" t="s">
        <v>610</v>
      </c>
      <c r="L2744" s="0" t="s">
        <v>4648</v>
      </c>
    </row>
    <row r="2745" customFormat="false" ht="15" hidden="false" customHeight="false" outlineLevel="0" collapsed="false">
      <c r="A2745" s="0" t="s">
        <v>71</v>
      </c>
      <c r="B2745" s="0" t="s">
        <v>266</v>
      </c>
      <c r="C2745" s="0" t="s">
        <v>1289</v>
      </c>
      <c r="D2745" s="0" t="s">
        <v>150</v>
      </c>
      <c r="E2745" s="0" t="s">
        <v>2347</v>
      </c>
      <c r="F2745" s="0" t="n">
        <v>4</v>
      </c>
      <c r="G2745" s="0" t="n">
        <v>0</v>
      </c>
      <c r="H2745" s="0" t="s">
        <v>585</v>
      </c>
      <c r="K2745" s="0" t="s">
        <v>613</v>
      </c>
      <c r="L2745" s="0" t="s">
        <v>4649</v>
      </c>
    </row>
    <row r="2746" customFormat="false" ht="15" hidden="false" customHeight="false" outlineLevel="0" collapsed="false">
      <c r="A2746" s="0" t="s">
        <v>71</v>
      </c>
      <c r="B2746" s="0" t="s">
        <v>266</v>
      </c>
      <c r="C2746" s="0" t="s">
        <v>1289</v>
      </c>
      <c r="D2746" s="0" t="s">
        <v>153</v>
      </c>
      <c r="E2746" s="0" t="s">
        <v>2349</v>
      </c>
      <c r="F2746" s="0" t="n">
        <v>4</v>
      </c>
      <c r="G2746" s="0" t="n">
        <v>2</v>
      </c>
      <c r="H2746" s="0" t="s">
        <v>585</v>
      </c>
      <c r="I2746" s="0" t="s">
        <v>4532</v>
      </c>
      <c r="K2746" s="0" t="s">
        <v>616</v>
      </c>
      <c r="L2746" s="0" t="s">
        <v>4650</v>
      </c>
    </row>
    <row r="2747" customFormat="false" ht="15" hidden="false" customHeight="false" outlineLevel="0" collapsed="false">
      <c r="A2747" s="0" t="s">
        <v>71</v>
      </c>
      <c r="B2747" s="0" t="s">
        <v>266</v>
      </c>
      <c r="C2747" s="0" t="s">
        <v>1289</v>
      </c>
      <c r="D2747" s="0" t="s">
        <v>156</v>
      </c>
      <c r="E2747" s="0" t="s">
        <v>2351</v>
      </c>
      <c r="F2747" s="0" t="n">
        <v>4</v>
      </c>
      <c r="G2747" s="0" t="n">
        <v>1</v>
      </c>
      <c r="H2747" s="0" t="s">
        <v>585</v>
      </c>
      <c r="I2747" s="0" t="s">
        <v>4532</v>
      </c>
      <c r="K2747" s="0" t="s">
        <v>620</v>
      </c>
      <c r="L2747" s="0" t="s">
        <v>4651</v>
      </c>
    </row>
    <row r="2748" customFormat="false" ht="15" hidden="false" customHeight="false" outlineLevel="0" collapsed="false">
      <c r="A2748" s="0" t="s">
        <v>71</v>
      </c>
      <c r="B2748" s="0" t="s">
        <v>266</v>
      </c>
      <c r="C2748" s="0" t="s">
        <v>1314</v>
      </c>
      <c r="D2748" s="0" t="s">
        <v>578</v>
      </c>
      <c r="E2748" s="0" t="s">
        <v>2353</v>
      </c>
      <c r="F2748" s="0" t="n">
        <v>4</v>
      </c>
      <c r="G2748" s="0" t="n">
        <v>0</v>
      </c>
      <c r="H2748" s="0" t="s">
        <v>585</v>
      </c>
      <c r="K2748" s="0" t="s">
        <v>581</v>
      </c>
      <c r="L2748" s="0" t="s">
        <v>4652</v>
      </c>
    </row>
    <row r="2749" customFormat="false" ht="15" hidden="false" customHeight="false" outlineLevel="0" collapsed="false">
      <c r="A2749" s="0" t="s">
        <v>71</v>
      </c>
      <c r="B2749" s="0" t="s">
        <v>266</v>
      </c>
      <c r="C2749" s="0" t="s">
        <v>1314</v>
      </c>
      <c r="D2749" s="0" t="s">
        <v>583</v>
      </c>
      <c r="E2749" s="0" t="s">
        <v>2355</v>
      </c>
      <c r="F2749" s="0" t="n">
        <v>4</v>
      </c>
      <c r="G2749" s="0" t="n">
        <v>2</v>
      </c>
      <c r="H2749" s="0" t="s">
        <v>585</v>
      </c>
      <c r="I2749" s="0" t="s">
        <v>4502</v>
      </c>
      <c r="K2749" s="0" t="s">
        <v>586</v>
      </c>
      <c r="L2749" s="0" t="s">
        <v>4653</v>
      </c>
    </row>
    <row r="2750" customFormat="false" ht="15" hidden="false" customHeight="false" outlineLevel="0" collapsed="false">
      <c r="A2750" s="0" t="s">
        <v>71</v>
      </c>
      <c r="B2750" s="0" t="s">
        <v>266</v>
      </c>
      <c r="C2750" s="0" t="s">
        <v>1314</v>
      </c>
      <c r="D2750" s="0" t="s">
        <v>588</v>
      </c>
      <c r="E2750" s="0" t="s">
        <v>2357</v>
      </c>
      <c r="F2750" s="0" t="n">
        <v>4</v>
      </c>
      <c r="G2750" s="0" t="n">
        <v>0</v>
      </c>
      <c r="H2750" s="0" t="s">
        <v>585</v>
      </c>
      <c r="K2750" s="0" t="s">
        <v>590</v>
      </c>
      <c r="L2750" s="0" t="s">
        <v>4654</v>
      </c>
    </row>
    <row r="2751" customFormat="false" ht="15" hidden="false" customHeight="false" outlineLevel="0" collapsed="false">
      <c r="A2751" s="0" t="s">
        <v>71</v>
      </c>
      <c r="B2751" s="0" t="s">
        <v>266</v>
      </c>
      <c r="C2751" s="0" t="s">
        <v>1314</v>
      </c>
      <c r="D2751" s="0" t="s">
        <v>127</v>
      </c>
      <c r="E2751" s="0" t="s">
        <v>2359</v>
      </c>
      <c r="F2751" s="0" t="n">
        <v>4</v>
      </c>
      <c r="G2751" s="0" t="n">
        <v>2</v>
      </c>
      <c r="H2751" s="0" t="s">
        <v>585</v>
      </c>
      <c r="I2751" s="0" t="s">
        <v>4494</v>
      </c>
      <c r="K2751" s="0" t="s">
        <v>594</v>
      </c>
      <c r="L2751" s="0" t="s">
        <v>4655</v>
      </c>
    </row>
    <row r="2752" customFormat="false" ht="15" hidden="false" customHeight="false" outlineLevel="0" collapsed="false">
      <c r="A2752" s="0" t="s">
        <v>71</v>
      </c>
      <c r="B2752" s="0" t="s">
        <v>266</v>
      </c>
      <c r="C2752" s="0" t="s">
        <v>1314</v>
      </c>
      <c r="D2752" s="0" t="s">
        <v>130</v>
      </c>
      <c r="E2752" s="0" t="s">
        <v>2361</v>
      </c>
      <c r="F2752" s="0" t="n">
        <v>4</v>
      </c>
      <c r="G2752" s="0" t="n">
        <v>0</v>
      </c>
      <c r="H2752" s="0" t="s">
        <v>585</v>
      </c>
      <c r="K2752" s="0" t="s">
        <v>597</v>
      </c>
      <c r="L2752" s="0" t="s">
        <v>4656</v>
      </c>
    </row>
    <row r="2753" customFormat="false" ht="15" hidden="false" customHeight="false" outlineLevel="0" collapsed="false">
      <c r="A2753" s="0" t="s">
        <v>71</v>
      </c>
      <c r="B2753" s="0" t="s">
        <v>266</v>
      </c>
      <c r="C2753" s="0" t="s">
        <v>1314</v>
      </c>
      <c r="D2753" s="0" t="s">
        <v>133</v>
      </c>
      <c r="E2753" s="0" t="s">
        <v>2363</v>
      </c>
      <c r="F2753" s="0" t="n">
        <v>4</v>
      </c>
      <c r="G2753" s="0" t="n">
        <v>0</v>
      </c>
      <c r="H2753" s="0" t="s">
        <v>585</v>
      </c>
      <c r="K2753" s="0" t="s">
        <v>600</v>
      </c>
      <c r="L2753" s="0" t="s">
        <v>4657</v>
      </c>
    </row>
    <row r="2754" customFormat="false" ht="15" hidden="false" customHeight="false" outlineLevel="0" collapsed="false">
      <c r="A2754" s="0" t="s">
        <v>71</v>
      </c>
      <c r="B2754" s="0" t="s">
        <v>266</v>
      </c>
      <c r="C2754" s="0" t="s">
        <v>1314</v>
      </c>
      <c r="D2754" s="0" t="s">
        <v>141</v>
      </c>
      <c r="E2754" s="0" t="s">
        <v>2365</v>
      </c>
      <c r="F2754" s="0" t="n">
        <v>4</v>
      </c>
      <c r="G2754" s="0" t="n">
        <v>0</v>
      </c>
      <c r="H2754" s="0" t="s">
        <v>585</v>
      </c>
      <c r="K2754" s="0" t="s">
        <v>604</v>
      </c>
      <c r="L2754" s="0" t="s">
        <v>4658</v>
      </c>
    </row>
    <row r="2755" customFormat="false" ht="15" hidden="false" customHeight="false" outlineLevel="0" collapsed="false">
      <c r="A2755" s="0" t="s">
        <v>71</v>
      </c>
      <c r="B2755" s="0" t="s">
        <v>266</v>
      </c>
      <c r="C2755" s="0" t="s">
        <v>1314</v>
      </c>
      <c r="D2755" s="0" t="s">
        <v>144</v>
      </c>
      <c r="E2755" s="0" t="s">
        <v>2367</v>
      </c>
      <c r="F2755" s="0" t="n">
        <v>4</v>
      </c>
      <c r="G2755" s="0" t="n">
        <v>1</v>
      </c>
      <c r="H2755" s="0" t="s">
        <v>585</v>
      </c>
      <c r="I2755" s="0" t="s">
        <v>4540</v>
      </c>
      <c r="K2755" s="0" t="s">
        <v>607</v>
      </c>
      <c r="L2755" s="0" t="s">
        <v>4659</v>
      </c>
    </row>
    <row r="2756" customFormat="false" ht="15" hidden="false" customHeight="false" outlineLevel="0" collapsed="false">
      <c r="A2756" s="0" t="s">
        <v>71</v>
      </c>
      <c r="B2756" s="0" t="s">
        <v>266</v>
      </c>
      <c r="C2756" s="0" t="s">
        <v>1314</v>
      </c>
      <c r="D2756" s="0" t="s">
        <v>147</v>
      </c>
      <c r="E2756" s="0" t="s">
        <v>2369</v>
      </c>
      <c r="F2756" s="0" t="n">
        <v>4</v>
      </c>
      <c r="G2756" s="0" t="n">
        <v>0</v>
      </c>
      <c r="H2756" s="0" t="s">
        <v>585</v>
      </c>
      <c r="K2756" s="0" t="s">
        <v>610</v>
      </c>
      <c r="L2756" s="0" t="s">
        <v>4660</v>
      </c>
    </row>
    <row r="2757" customFormat="false" ht="15" hidden="false" customHeight="false" outlineLevel="0" collapsed="false">
      <c r="A2757" s="0" t="s">
        <v>71</v>
      </c>
      <c r="B2757" s="0" t="s">
        <v>266</v>
      </c>
      <c r="C2757" s="0" t="s">
        <v>1314</v>
      </c>
      <c r="D2757" s="0" t="s">
        <v>150</v>
      </c>
      <c r="E2757" s="0" t="s">
        <v>2371</v>
      </c>
      <c r="F2757" s="0" t="n">
        <v>4</v>
      </c>
      <c r="G2757" s="0" t="n">
        <v>0</v>
      </c>
      <c r="H2757" s="0" t="s">
        <v>585</v>
      </c>
      <c r="K2757" s="0" t="s">
        <v>613</v>
      </c>
      <c r="L2757" s="0" t="s">
        <v>4661</v>
      </c>
    </row>
    <row r="2758" customFormat="false" ht="15" hidden="false" customHeight="false" outlineLevel="0" collapsed="false">
      <c r="A2758" s="0" t="s">
        <v>71</v>
      </c>
      <c r="B2758" s="0" t="s">
        <v>266</v>
      </c>
      <c r="C2758" s="0" t="s">
        <v>1314</v>
      </c>
      <c r="D2758" s="0" t="s">
        <v>153</v>
      </c>
      <c r="E2758" s="0" t="s">
        <v>2373</v>
      </c>
      <c r="F2758" s="0" t="n">
        <v>4</v>
      </c>
      <c r="G2758" s="0" t="n">
        <v>1</v>
      </c>
      <c r="H2758" s="0" t="s">
        <v>585</v>
      </c>
      <c r="I2758" s="0" t="s">
        <v>4532</v>
      </c>
      <c r="K2758" s="0" t="s">
        <v>616</v>
      </c>
      <c r="L2758" s="0" t="s">
        <v>4662</v>
      </c>
    </row>
    <row r="2759" customFormat="false" ht="15" hidden="false" customHeight="false" outlineLevel="0" collapsed="false">
      <c r="A2759" s="0" t="s">
        <v>71</v>
      </c>
      <c r="B2759" s="0" t="s">
        <v>266</v>
      </c>
      <c r="C2759" s="0" t="s">
        <v>1314</v>
      </c>
      <c r="D2759" s="0" t="s">
        <v>156</v>
      </c>
      <c r="E2759" s="0" t="s">
        <v>2375</v>
      </c>
      <c r="F2759" s="0" t="n">
        <v>4</v>
      </c>
      <c r="G2759" s="0" t="n">
        <v>0</v>
      </c>
      <c r="H2759" s="0" t="s">
        <v>585</v>
      </c>
      <c r="K2759" s="0" t="s">
        <v>620</v>
      </c>
      <c r="L2759" s="0" t="s">
        <v>4663</v>
      </c>
    </row>
    <row r="2760" customFormat="false" ht="15" hidden="false" customHeight="false" outlineLevel="0" collapsed="false">
      <c r="A2760" s="0" t="s">
        <v>71</v>
      </c>
      <c r="C2760" s="0" t="s">
        <v>1340</v>
      </c>
      <c r="D2760" s="0" t="s">
        <v>987</v>
      </c>
      <c r="E2760" s="0" t="s">
        <v>1341</v>
      </c>
      <c r="F2760" s="0" t="n">
        <v>4</v>
      </c>
      <c r="G2760" s="0" t="n">
        <v>0</v>
      </c>
      <c r="H2760" s="0" t="s">
        <v>585</v>
      </c>
      <c r="K2760" s="0" t="s">
        <v>581</v>
      </c>
      <c r="L2760" s="0" t="s">
        <v>4664</v>
      </c>
    </row>
    <row r="2761" customFormat="false" ht="15" hidden="false" customHeight="false" outlineLevel="0" collapsed="false">
      <c r="A2761" s="0" t="s">
        <v>71</v>
      </c>
      <c r="C2761" s="0" t="s">
        <v>1340</v>
      </c>
      <c r="D2761" s="0" t="s">
        <v>990</v>
      </c>
      <c r="E2761" s="0" t="s">
        <v>1343</v>
      </c>
      <c r="F2761" s="0" t="n">
        <v>4</v>
      </c>
      <c r="G2761" s="0" t="n">
        <v>0</v>
      </c>
      <c r="H2761" s="0" t="s">
        <v>585</v>
      </c>
      <c r="K2761" s="0" t="s">
        <v>586</v>
      </c>
      <c r="L2761" s="0" t="s">
        <v>4665</v>
      </c>
    </row>
    <row r="2762" customFormat="false" ht="15" hidden="false" customHeight="false" outlineLevel="0" collapsed="false">
      <c r="A2762" s="0" t="s">
        <v>71</v>
      </c>
      <c r="C2762" s="0" t="s">
        <v>1340</v>
      </c>
      <c r="D2762" s="0" t="s">
        <v>993</v>
      </c>
      <c r="E2762" s="0" t="s">
        <v>1345</v>
      </c>
      <c r="F2762" s="0" t="n">
        <v>4</v>
      </c>
      <c r="G2762" s="0" t="n">
        <v>0</v>
      </c>
      <c r="H2762" s="0" t="s">
        <v>585</v>
      </c>
      <c r="K2762" s="0" t="s">
        <v>590</v>
      </c>
      <c r="L2762" s="0" t="s">
        <v>4666</v>
      </c>
    </row>
    <row r="2763" customFormat="false" ht="15" hidden="false" customHeight="false" outlineLevel="0" collapsed="false">
      <c r="A2763" s="0" t="s">
        <v>71</v>
      </c>
      <c r="C2763" s="0" t="s">
        <v>1340</v>
      </c>
      <c r="D2763" s="0" t="s">
        <v>126</v>
      </c>
      <c r="E2763" s="0" t="s">
        <v>1347</v>
      </c>
      <c r="F2763" s="0" t="n">
        <v>4</v>
      </c>
      <c r="G2763" s="0" t="n">
        <v>0</v>
      </c>
      <c r="H2763" s="0" t="s">
        <v>585</v>
      </c>
      <c r="K2763" s="0" t="s">
        <v>594</v>
      </c>
      <c r="L2763" s="0" t="s">
        <v>4667</v>
      </c>
    </row>
    <row r="2764" customFormat="false" ht="15" hidden="false" customHeight="false" outlineLevel="0" collapsed="false">
      <c r="A2764" s="0" t="s">
        <v>71</v>
      </c>
      <c r="C2764" s="0" t="s">
        <v>1340</v>
      </c>
      <c r="D2764" s="0" t="s">
        <v>129</v>
      </c>
      <c r="E2764" s="0" t="s">
        <v>1349</v>
      </c>
      <c r="F2764" s="0" t="n">
        <v>4</v>
      </c>
      <c r="G2764" s="0" t="n">
        <v>0</v>
      </c>
      <c r="H2764" s="0" t="s">
        <v>585</v>
      </c>
      <c r="K2764" s="0" t="s">
        <v>597</v>
      </c>
      <c r="L2764" s="0" t="s">
        <v>4668</v>
      </c>
    </row>
    <row r="2765" customFormat="false" ht="15" hidden="false" customHeight="false" outlineLevel="0" collapsed="false">
      <c r="A2765" s="0" t="s">
        <v>71</v>
      </c>
      <c r="C2765" s="0" t="s">
        <v>1340</v>
      </c>
      <c r="D2765" s="0" t="s">
        <v>132</v>
      </c>
      <c r="E2765" s="0" t="s">
        <v>1351</v>
      </c>
      <c r="F2765" s="0" t="n">
        <v>4</v>
      </c>
      <c r="G2765" s="0" t="n">
        <v>0</v>
      </c>
      <c r="H2765" s="0" t="s">
        <v>585</v>
      </c>
      <c r="K2765" s="0" t="s">
        <v>600</v>
      </c>
      <c r="L2765" s="0" t="s">
        <v>4669</v>
      </c>
    </row>
    <row r="2766" customFormat="false" ht="15" hidden="false" customHeight="false" outlineLevel="0" collapsed="false">
      <c r="A2766" s="0" t="s">
        <v>71</v>
      </c>
      <c r="C2766" s="0" t="s">
        <v>1340</v>
      </c>
      <c r="D2766" s="0" t="s">
        <v>139</v>
      </c>
      <c r="E2766" s="0" t="s">
        <v>1353</v>
      </c>
      <c r="F2766" s="0" t="n">
        <v>4</v>
      </c>
      <c r="G2766" s="0" t="n">
        <v>0</v>
      </c>
      <c r="H2766" s="0" t="s">
        <v>585</v>
      </c>
      <c r="K2766" s="0" t="s">
        <v>604</v>
      </c>
      <c r="L2766" s="0" t="s">
        <v>4670</v>
      </c>
    </row>
    <row r="2767" customFormat="false" ht="15" hidden="false" customHeight="false" outlineLevel="0" collapsed="false">
      <c r="A2767" s="0" t="s">
        <v>71</v>
      </c>
      <c r="C2767" s="0" t="s">
        <v>1340</v>
      </c>
      <c r="D2767" s="0" t="s">
        <v>143</v>
      </c>
      <c r="E2767" s="0" t="s">
        <v>2384</v>
      </c>
      <c r="F2767" s="0" t="n">
        <v>4</v>
      </c>
      <c r="G2767" s="0" t="n">
        <v>0</v>
      </c>
      <c r="H2767" s="0" t="s">
        <v>585</v>
      </c>
      <c r="K2767" s="0" t="s">
        <v>607</v>
      </c>
      <c r="L2767" s="0" t="s">
        <v>4671</v>
      </c>
    </row>
    <row r="2768" customFormat="false" ht="15" hidden="false" customHeight="false" outlineLevel="0" collapsed="false">
      <c r="A2768" s="0" t="s">
        <v>71</v>
      </c>
      <c r="C2768" s="0" t="s">
        <v>1340</v>
      </c>
      <c r="D2768" s="0" t="s">
        <v>146</v>
      </c>
      <c r="E2768" s="0" t="s">
        <v>2386</v>
      </c>
      <c r="F2768" s="0" t="n">
        <v>4</v>
      </c>
      <c r="G2768" s="0" t="n">
        <v>0</v>
      </c>
      <c r="H2768" s="0" t="s">
        <v>585</v>
      </c>
      <c r="K2768" s="0" t="s">
        <v>610</v>
      </c>
      <c r="L2768" s="0" t="s">
        <v>4672</v>
      </c>
    </row>
    <row r="2769" customFormat="false" ht="15" hidden="false" customHeight="false" outlineLevel="0" collapsed="false">
      <c r="A2769" s="0" t="s">
        <v>71</v>
      </c>
      <c r="C2769" s="0" t="s">
        <v>1340</v>
      </c>
      <c r="D2769" s="0" t="s">
        <v>149</v>
      </c>
      <c r="E2769" s="0" t="s">
        <v>3019</v>
      </c>
      <c r="F2769" s="0" t="n">
        <v>4</v>
      </c>
      <c r="G2769" s="0" t="n">
        <v>0</v>
      </c>
      <c r="H2769" s="0" t="s">
        <v>585</v>
      </c>
      <c r="K2769" s="0" t="s">
        <v>613</v>
      </c>
      <c r="L2769" s="0" t="s">
        <v>4673</v>
      </c>
    </row>
    <row r="2770" customFormat="false" ht="15" hidden="false" customHeight="false" outlineLevel="0" collapsed="false">
      <c r="A2770" s="0" t="s">
        <v>71</v>
      </c>
      <c r="C2770" s="0" t="s">
        <v>1340</v>
      </c>
      <c r="D2770" s="0" t="s">
        <v>152</v>
      </c>
      <c r="E2770" s="0" t="s">
        <v>4130</v>
      </c>
      <c r="F2770" s="0" t="n">
        <v>4</v>
      </c>
      <c r="G2770" s="0" t="n">
        <v>0</v>
      </c>
      <c r="H2770" s="0" t="s">
        <v>585</v>
      </c>
      <c r="K2770" s="0" t="s">
        <v>616</v>
      </c>
      <c r="L2770" s="0" t="s">
        <v>4674</v>
      </c>
    </row>
    <row r="2771" customFormat="false" ht="15" hidden="false" customHeight="false" outlineLevel="0" collapsed="false">
      <c r="A2771" s="0" t="s">
        <v>71</v>
      </c>
      <c r="C2771" s="0" t="s">
        <v>1340</v>
      </c>
      <c r="D2771" s="0" t="s">
        <v>155</v>
      </c>
      <c r="E2771" s="0" t="s">
        <v>2391</v>
      </c>
      <c r="F2771" s="0" t="n">
        <v>4</v>
      </c>
      <c r="G2771" s="0" t="n">
        <v>0</v>
      </c>
      <c r="H2771" s="0" t="s">
        <v>585</v>
      </c>
      <c r="K2771" s="0" t="s">
        <v>620</v>
      </c>
      <c r="L2771" s="0" t="s">
        <v>4675</v>
      </c>
    </row>
    <row r="2772" customFormat="false" ht="15" hidden="false" customHeight="false" outlineLevel="0" collapsed="false">
      <c r="A2772" s="0" t="s">
        <v>71</v>
      </c>
      <c r="C2772" s="0" t="s">
        <v>1365</v>
      </c>
      <c r="D2772" s="0" t="s">
        <v>987</v>
      </c>
      <c r="E2772" s="0" t="s">
        <v>1366</v>
      </c>
      <c r="F2772" s="0" t="n">
        <v>4</v>
      </c>
      <c r="G2772" s="0" t="n">
        <v>0</v>
      </c>
      <c r="H2772" s="0" t="s">
        <v>585</v>
      </c>
      <c r="K2772" s="0" t="s">
        <v>581</v>
      </c>
      <c r="L2772" s="0" t="s">
        <v>4676</v>
      </c>
    </row>
    <row r="2773" customFormat="false" ht="15" hidden="false" customHeight="false" outlineLevel="0" collapsed="false">
      <c r="A2773" s="0" t="s">
        <v>71</v>
      </c>
      <c r="C2773" s="0" t="s">
        <v>1365</v>
      </c>
      <c r="D2773" s="0" t="s">
        <v>990</v>
      </c>
      <c r="E2773" s="0" t="s">
        <v>1368</v>
      </c>
      <c r="F2773" s="0" t="n">
        <v>4</v>
      </c>
      <c r="G2773" s="0" t="n">
        <v>0</v>
      </c>
      <c r="H2773" s="0" t="s">
        <v>585</v>
      </c>
      <c r="K2773" s="0" t="s">
        <v>586</v>
      </c>
      <c r="L2773" s="0" t="s">
        <v>4677</v>
      </c>
    </row>
    <row r="2774" customFormat="false" ht="15" hidden="false" customHeight="false" outlineLevel="0" collapsed="false">
      <c r="A2774" s="0" t="s">
        <v>71</v>
      </c>
      <c r="C2774" s="0" t="s">
        <v>1365</v>
      </c>
      <c r="D2774" s="0" t="s">
        <v>993</v>
      </c>
      <c r="E2774" s="0" t="s">
        <v>1370</v>
      </c>
      <c r="F2774" s="0" t="n">
        <v>4</v>
      </c>
      <c r="G2774" s="0" t="n">
        <v>0</v>
      </c>
      <c r="H2774" s="0" t="s">
        <v>585</v>
      </c>
      <c r="K2774" s="0" t="s">
        <v>590</v>
      </c>
      <c r="L2774" s="0" t="s">
        <v>4678</v>
      </c>
    </row>
    <row r="2775" customFormat="false" ht="15" hidden="false" customHeight="false" outlineLevel="0" collapsed="false">
      <c r="A2775" s="0" t="s">
        <v>71</v>
      </c>
      <c r="C2775" s="0" t="s">
        <v>1365</v>
      </c>
      <c r="D2775" s="0" t="s">
        <v>126</v>
      </c>
      <c r="E2775" s="0" t="s">
        <v>1372</v>
      </c>
      <c r="F2775" s="0" t="n">
        <v>4</v>
      </c>
      <c r="G2775" s="0" t="n">
        <v>0</v>
      </c>
      <c r="H2775" s="0" t="s">
        <v>585</v>
      </c>
      <c r="K2775" s="0" t="s">
        <v>594</v>
      </c>
      <c r="L2775" s="0" t="s">
        <v>4679</v>
      </c>
    </row>
    <row r="2776" customFormat="false" ht="15" hidden="false" customHeight="false" outlineLevel="0" collapsed="false">
      <c r="A2776" s="0" t="s">
        <v>71</v>
      </c>
      <c r="C2776" s="0" t="s">
        <v>1365</v>
      </c>
      <c r="D2776" s="0" t="s">
        <v>129</v>
      </c>
      <c r="E2776" s="0" t="s">
        <v>1374</v>
      </c>
      <c r="F2776" s="0" t="n">
        <v>4</v>
      </c>
      <c r="G2776" s="0" t="n">
        <v>0</v>
      </c>
      <c r="H2776" s="0" t="s">
        <v>585</v>
      </c>
      <c r="K2776" s="0" t="s">
        <v>597</v>
      </c>
      <c r="L2776" s="0" t="s">
        <v>4680</v>
      </c>
    </row>
    <row r="2777" customFormat="false" ht="15" hidden="false" customHeight="false" outlineLevel="0" collapsed="false">
      <c r="A2777" s="0" t="s">
        <v>71</v>
      </c>
      <c r="C2777" s="0" t="s">
        <v>1365</v>
      </c>
      <c r="D2777" s="0" t="s">
        <v>132</v>
      </c>
      <c r="E2777" s="0" t="s">
        <v>1376</v>
      </c>
      <c r="F2777" s="0" t="n">
        <v>4</v>
      </c>
      <c r="G2777" s="0" t="n">
        <v>0</v>
      </c>
      <c r="H2777" s="0" t="s">
        <v>585</v>
      </c>
      <c r="K2777" s="0" t="s">
        <v>600</v>
      </c>
      <c r="L2777" s="0" t="s">
        <v>4681</v>
      </c>
    </row>
    <row r="2778" customFormat="false" ht="15" hidden="false" customHeight="false" outlineLevel="0" collapsed="false">
      <c r="A2778" s="0" t="s">
        <v>71</v>
      </c>
      <c r="C2778" s="0" t="s">
        <v>1365</v>
      </c>
      <c r="D2778" s="0" t="s">
        <v>139</v>
      </c>
      <c r="E2778" s="0" t="s">
        <v>1378</v>
      </c>
      <c r="F2778" s="0" t="n">
        <v>4</v>
      </c>
      <c r="G2778" s="0" t="n">
        <v>0</v>
      </c>
      <c r="H2778" s="0" t="s">
        <v>585</v>
      </c>
      <c r="K2778" s="0" t="s">
        <v>604</v>
      </c>
      <c r="L2778" s="0" t="s">
        <v>4682</v>
      </c>
    </row>
    <row r="2779" customFormat="false" ht="15" hidden="false" customHeight="false" outlineLevel="0" collapsed="false">
      <c r="A2779" s="0" t="s">
        <v>71</v>
      </c>
      <c r="C2779" s="0" t="s">
        <v>1365</v>
      </c>
      <c r="D2779" s="0" t="s">
        <v>143</v>
      </c>
      <c r="E2779" s="0" t="s">
        <v>2400</v>
      </c>
      <c r="F2779" s="0" t="n">
        <v>4</v>
      </c>
      <c r="G2779" s="0" t="n">
        <v>0</v>
      </c>
      <c r="H2779" s="0" t="s">
        <v>585</v>
      </c>
      <c r="K2779" s="0" t="s">
        <v>607</v>
      </c>
      <c r="L2779" s="0" t="s">
        <v>4683</v>
      </c>
    </row>
    <row r="2780" customFormat="false" ht="15" hidden="false" customHeight="false" outlineLevel="0" collapsed="false">
      <c r="A2780" s="0" t="s">
        <v>71</v>
      </c>
      <c r="C2780" s="0" t="s">
        <v>1365</v>
      </c>
      <c r="D2780" s="0" t="s">
        <v>146</v>
      </c>
      <c r="E2780" s="0" t="s">
        <v>1382</v>
      </c>
      <c r="F2780" s="0" t="n">
        <v>4</v>
      </c>
      <c r="G2780" s="0" t="n">
        <v>0</v>
      </c>
      <c r="H2780" s="0" t="s">
        <v>585</v>
      </c>
      <c r="K2780" s="0" t="s">
        <v>610</v>
      </c>
      <c r="L2780" s="0" t="s">
        <v>4684</v>
      </c>
    </row>
    <row r="2781" customFormat="false" ht="15" hidden="false" customHeight="false" outlineLevel="0" collapsed="false">
      <c r="A2781" s="0" t="s">
        <v>71</v>
      </c>
      <c r="C2781" s="0" t="s">
        <v>1365</v>
      </c>
      <c r="D2781" s="0" t="s">
        <v>149</v>
      </c>
      <c r="E2781" s="0" t="s">
        <v>2404</v>
      </c>
      <c r="F2781" s="0" t="n">
        <v>4</v>
      </c>
      <c r="G2781" s="0" t="n">
        <v>0</v>
      </c>
      <c r="H2781" s="0" t="s">
        <v>585</v>
      </c>
      <c r="K2781" s="0" t="s">
        <v>613</v>
      </c>
      <c r="L2781" s="0" t="s">
        <v>4685</v>
      </c>
    </row>
    <row r="2782" customFormat="false" ht="15" hidden="false" customHeight="false" outlineLevel="0" collapsed="false">
      <c r="A2782" s="0" t="s">
        <v>71</v>
      </c>
      <c r="C2782" s="0" t="s">
        <v>1365</v>
      </c>
      <c r="D2782" s="0" t="s">
        <v>152</v>
      </c>
      <c r="E2782" s="0" t="s">
        <v>4143</v>
      </c>
      <c r="F2782" s="0" t="n">
        <v>4</v>
      </c>
      <c r="G2782" s="0" t="n">
        <v>0</v>
      </c>
      <c r="H2782" s="0" t="s">
        <v>585</v>
      </c>
      <c r="K2782" s="0" t="s">
        <v>616</v>
      </c>
      <c r="L2782" s="0" t="s">
        <v>4686</v>
      </c>
    </row>
    <row r="2783" customFormat="false" ht="15" hidden="false" customHeight="false" outlineLevel="0" collapsed="false">
      <c r="A2783" s="0" t="s">
        <v>71</v>
      </c>
      <c r="C2783" s="0" t="s">
        <v>1365</v>
      </c>
      <c r="D2783" s="0" t="s">
        <v>155</v>
      </c>
      <c r="E2783" s="0" t="s">
        <v>4145</v>
      </c>
      <c r="F2783" s="0" t="n">
        <v>4</v>
      </c>
      <c r="G2783" s="0" t="n">
        <v>0</v>
      </c>
      <c r="H2783" s="0" t="s">
        <v>585</v>
      </c>
      <c r="K2783" s="0" t="s">
        <v>620</v>
      </c>
      <c r="L2783" s="0" t="s">
        <v>4687</v>
      </c>
    </row>
    <row r="2784" customFormat="false" ht="15" hidden="false" customHeight="false" outlineLevel="0" collapsed="false">
      <c r="A2784" s="0" t="s">
        <v>71</v>
      </c>
      <c r="C2784" s="0" t="s">
        <v>1390</v>
      </c>
      <c r="D2784" s="0" t="s">
        <v>987</v>
      </c>
      <c r="E2784" s="0" t="s">
        <v>1391</v>
      </c>
      <c r="F2784" s="0" t="n">
        <v>4</v>
      </c>
      <c r="G2784" s="0" t="n">
        <v>0</v>
      </c>
      <c r="H2784" s="0" t="s">
        <v>585</v>
      </c>
      <c r="K2784" s="0" t="s">
        <v>581</v>
      </c>
      <c r="L2784" s="0" t="s">
        <v>4688</v>
      </c>
    </row>
    <row r="2785" customFormat="false" ht="15" hidden="false" customHeight="false" outlineLevel="0" collapsed="false">
      <c r="A2785" s="0" t="s">
        <v>71</v>
      </c>
      <c r="C2785" s="0" t="s">
        <v>1390</v>
      </c>
      <c r="D2785" s="0" t="s">
        <v>990</v>
      </c>
      <c r="E2785" s="0" t="s">
        <v>1393</v>
      </c>
      <c r="F2785" s="0" t="n">
        <v>4</v>
      </c>
      <c r="G2785" s="0" t="n">
        <v>0</v>
      </c>
      <c r="H2785" s="0" t="s">
        <v>585</v>
      </c>
      <c r="K2785" s="0" t="s">
        <v>586</v>
      </c>
      <c r="L2785" s="0" t="s">
        <v>4689</v>
      </c>
    </row>
    <row r="2786" customFormat="false" ht="15" hidden="false" customHeight="false" outlineLevel="0" collapsed="false">
      <c r="A2786" s="0" t="s">
        <v>71</v>
      </c>
      <c r="C2786" s="0" t="s">
        <v>1390</v>
      </c>
      <c r="D2786" s="0" t="s">
        <v>993</v>
      </c>
      <c r="E2786" s="0" t="s">
        <v>1395</v>
      </c>
      <c r="F2786" s="0" t="n">
        <v>4</v>
      </c>
      <c r="G2786" s="0" t="n">
        <v>0</v>
      </c>
      <c r="H2786" s="0" t="s">
        <v>585</v>
      </c>
      <c r="K2786" s="0" t="s">
        <v>590</v>
      </c>
      <c r="L2786" s="0" t="s">
        <v>4690</v>
      </c>
    </row>
    <row r="2787" customFormat="false" ht="15" hidden="false" customHeight="false" outlineLevel="0" collapsed="false">
      <c r="A2787" s="0" t="s">
        <v>71</v>
      </c>
      <c r="C2787" s="0" t="s">
        <v>1390</v>
      </c>
      <c r="D2787" s="0" t="s">
        <v>126</v>
      </c>
      <c r="E2787" s="0" t="s">
        <v>1397</v>
      </c>
      <c r="F2787" s="0" t="n">
        <v>4</v>
      </c>
      <c r="G2787" s="0" t="n">
        <v>0</v>
      </c>
      <c r="H2787" s="0" t="s">
        <v>585</v>
      </c>
      <c r="K2787" s="0" t="s">
        <v>594</v>
      </c>
      <c r="L2787" s="0" t="s">
        <v>4691</v>
      </c>
    </row>
    <row r="2788" customFormat="false" ht="15" hidden="false" customHeight="false" outlineLevel="0" collapsed="false">
      <c r="A2788" s="0" t="s">
        <v>71</v>
      </c>
      <c r="C2788" s="0" t="s">
        <v>1390</v>
      </c>
      <c r="D2788" s="0" t="s">
        <v>129</v>
      </c>
      <c r="E2788" s="0" t="s">
        <v>1399</v>
      </c>
      <c r="F2788" s="0" t="n">
        <v>4</v>
      </c>
      <c r="G2788" s="0" t="n">
        <v>0</v>
      </c>
      <c r="H2788" s="0" t="s">
        <v>585</v>
      </c>
      <c r="K2788" s="0" t="s">
        <v>597</v>
      </c>
      <c r="L2788" s="0" t="s">
        <v>4692</v>
      </c>
    </row>
    <row r="2789" customFormat="false" ht="15" hidden="false" customHeight="false" outlineLevel="0" collapsed="false">
      <c r="A2789" s="0" t="s">
        <v>71</v>
      </c>
      <c r="C2789" s="0" t="s">
        <v>1390</v>
      </c>
      <c r="D2789" s="0" t="s">
        <v>132</v>
      </c>
      <c r="E2789" s="0" t="s">
        <v>1401</v>
      </c>
      <c r="F2789" s="0" t="n">
        <v>4</v>
      </c>
      <c r="G2789" s="0" t="n">
        <v>0</v>
      </c>
      <c r="H2789" s="0" t="s">
        <v>585</v>
      </c>
      <c r="K2789" s="0" t="s">
        <v>600</v>
      </c>
      <c r="L2789" s="0" t="s">
        <v>4693</v>
      </c>
    </row>
    <row r="2790" customFormat="false" ht="15" hidden="false" customHeight="false" outlineLevel="0" collapsed="false">
      <c r="A2790" s="0" t="s">
        <v>71</v>
      </c>
      <c r="C2790" s="0" t="s">
        <v>1390</v>
      </c>
      <c r="D2790" s="0" t="s">
        <v>139</v>
      </c>
      <c r="E2790" s="0" t="s">
        <v>2414</v>
      </c>
      <c r="F2790" s="0" t="n">
        <v>4</v>
      </c>
      <c r="G2790" s="0" t="n">
        <v>0</v>
      </c>
      <c r="H2790" s="0" t="s">
        <v>585</v>
      </c>
      <c r="K2790" s="0" t="s">
        <v>604</v>
      </c>
      <c r="L2790" s="0" t="s">
        <v>4694</v>
      </c>
    </row>
    <row r="2791" customFormat="false" ht="15" hidden="false" customHeight="false" outlineLevel="0" collapsed="false">
      <c r="A2791" s="0" t="s">
        <v>71</v>
      </c>
      <c r="C2791" s="0" t="s">
        <v>1390</v>
      </c>
      <c r="D2791" s="0" t="s">
        <v>143</v>
      </c>
      <c r="E2791" s="0" t="s">
        <v>1405</v>
      </c>
      <c r="F2791" s="0" t="n">
        <v>4</v>
      </c>
      <c r="G2791" s="0" t="n">
        <v>0</v>
      </c>
      <c r="H2791" s="0" t="s">
        <v>585</v>
      </c>
      <c r="K2791" s="0" t="s">
        <v>607</v>
      </c>
      <c r="L2791" s="0" t="s">
        <v>4695</v>
      </c>
    </row>
    <row r="2792" customFormat="false" ht="15" hidden="false" customHeight="false" outlineLevel="0" collapsed="false">
      <c r="A2792" s="0" t="s">
        <v>71</v>
      </c>
      <c r="C2792" s="0" t="s">
        <v>1390</v>
      </c>
      <c r="D2792" s="0" t="s">
        <v>146</v>
      </c>
      <c r="E2792" s="0" t="s">
        <v>1407</v>
      </c>
      <c r="F2792" s="0" t="n">
        <v>4</v>
      </c>
      <c r="G2792" s="0" t="n">
        <v>0</v>
      </c>
      <c r="H2792" s="0" t="s">
        <v>585</v>
      </c>
      <c r="K2792" s="0" t="s">
        <v>610</v>
      </c>
      <c r="L2792" s="0" t="s">
        <v>4696</v>
      </c>
    </row>
    <row r="2793" customFormat="false" ht="15" hidden="false" customHeight="false" outlineLevel="0" collapsed="false">
      <c r="A2793" s="0" t="s">
        <v>71</v>
      </c>
      <c r="C2793" s="0" t="s">
        <v>1390</v>
      </c>
      <c r="D2793" s="0" t="s">
        <v>149</v>
      </c>
      <c r="E2793" s="0" t="s">
        <v>4156</v>
      </c>
      <c r="F2793" s="0" t="n">
        <v>4</v>
      </c>
      <c r="G2793" s="0" t="n">
        <v>0</v>
      </c>
      <c r="H2793" s="0" t="s">
        <v>585</v>
      </c>
      <c r="K2793" s="0" t="s">
        <v>613</v>
      </c>
      <c r="L2793" s="0" t="s">
        <v>4697</v>
      </c>
    </row>
    <row r="2794" customFormat="false" ht="15" hidden="false" customHeight="false" outlineLevel="0" collapsed="false">
      <c r="A2794" s="0" t="s">
        <v>71</v>
      </c>
      <c r="C2794" s="0" t="s">
        <v>1390</v>
      </c>
      <c r="D2794" s="0" t="s">
        <v>152</v>
      </c>
      <c r="E2794" s="0" t="s">
        <v>2420</v>
      </c>
      <c r="F2794" s="0" t="n">
        <v>4</v>
      </c>
      <c r="G2794" s="0" t="n">
        <v>0</v>
      </c>
      <c r="H2794" s="0" t="s">
        <v>585</v>
      </c>
      <c r="K2794" s="0" t="s">
        <v>616</v>
      </c>
      <c r="L2794" s="0" t="s">
        <v>4698</v>
      </c>
    </row>
    <row r="2795" customFormat="false" ht="15" hidden="false" customHeight="false" outlineLevel="0" collapsed="false">
      <c r="A2795" s="0" t="s">
        <v>71</v>
      </c>
      <c r="C2795" s="0" t="s">
        <v>1390</v>
      </c>
      <c r="D2795" s="0" t="s">
        <v>155</v>
      </c>
      <c r="E2795" s="0" t="s">
        <v>3054</v>
      </c>
      <c r="F2795" s="0" t="n">
        <v>4</v>
      </c>
      <c r="G2795" s="0" t="n">
        <v>0</v>
      </c>
      <c r="H2795" s="0" t="s">
        <v>585</v>
      </c>
      <c r="K2795" s="0" t="s">
        <v>620</v>
      </c>
      <c r="L2795" s="0" t="s">
        <v>4699</v>
      </c>
    </row>
    <row r="2796" customFormat="false" ht="15" hidden="false" customHeight="false" outlineLevel="0" collapsed="false">
      <c r="A2796" s="0" t="s">
        <v>71</v>
      </c>
      <c r="C2796" s="0" t="s">
        <v>1415</v>
      </c>
      <c r="D2796" s="0" t="s">
        <v>987</v>
      </c>
      <c r="E2796" s="0" t="s">
        <v>1416</v>
      </c>
      <c r="F2796" s="0" t="n">
        <v>4</v>
      </c>
      <c r="G2796" s="0" t="n">
        <v>0</v>
      </c>
      <c r="H2796" s="0" t="s">
        <v>585</v>
      </c>
      <c r="K2796" s="0" t="s">
        <v>581</v>
      </c>
      <c r="L2796" s="0" t="s">
        <v>4700</v>
      </c>
    </row>
    <row r="2797" customFormat="false" ht="15" hidden="false" customHeight="false" outlineLevel="0" collapsed="false">
      <c r="A2797" s="0" t="s">
        <v>71</v>
      </c>
      <c r="C2797" s="0" t="s">
        <v>1415</v>
      </c>
      <c r="D2797" s="0" t="s">
        <v>990</v>
      </c>
      <c r="E2797" s="0" t="s">
        <v>1418</v>
      </c>
      <c r="F2797" s="0" t="n">
        <v>4</v>
      </c>
      <c r="G2797" s="0" t="n">
        <v>0</v>
      </c>
      <c r="H2797" s="0" t="s">
        <v>585</v>
      </c>
      <c r="K2797" s="0" t="s">
        <v>586</v>
      </c>
      <c r="L2797" s="0" t="s">
        <v>4701</v>
      </c>
    </row>
    <row r="2798" customFormat="false" ht="15" hidden="false" customHeight="false" outlineLevel="0" collapsed="false">
      <c r="A2798" s="0" t="s">
        <v>71</v>
      </c>
      <c r="C2798" s="0" t="s">
        <v>1415</v>
      </c>
      <c r="D2798" s="0" t="s">
        <v>993</v>
      </c>
      <c r="E2798" s="0" t="s">
        <v>1420</v>
      </c>
      <c r="F2798" s="0" t="n">
        <v>4</v>
      </c>
      <c r="G2798" s="0" t="n">
        <v>0</v>
      </c>
      <c r="H2798" s="0" t="s">
        <v>585</v>
      </c>
      <c r="K2798" s="0" t="s">
        <v>590</v>
      </c>
      <c r="L2798" s="0" t="s">
        <v>4702</v>
      </c>
    </row>
    <row r="2799" customFormat="false" ht="15" hidden="false" customHeight="false" outlineLevel="0" collapsed="false">
      <c r="A2799" s="0" t="s">
        <v>71</v>
      </c>
      <c r="C2799" s="0" t="s">
        <v>1415</v>
      </c>
      <c r="D2799" s="0" t="s">
        <v>126</v>
      </c>
      <c r="E2799" s="0" t="s">
        <v>1422</v>
      </c>
      <c r="F2799" s="0" t="n">
        <v>4</v>
      </c>
      <c r="G2799" s="0" t="n">
        <v>0</v>
      </c>
      <c r="H2799" s="0" t="s">
        <v>585</v>
      </c>
      <c r="K2799" s="0" t="s">
        <v>594</v>
      </c>
      <c r="L2799" s="0" t="s">
        <v>4703</v>
      </c>
    </row>
    <row r="2800" customFormat="false" ht="15" hidden="false" customHeight="false" outlineLevel="0" collapsed="false">
      <c r="A2800" s="0" t="s">
        <v>71</v>
      </c>
      <c r="C2800" s="0" t="s">
        <v>1415</v>
      </c>
      <c r="D2800" s="0" t="s">
        <v>129</v>
      </c>
      <c r="E2800" s="0" t="s">
        <v>1424</v>
      </c>
      <c r="F2800" s="0" t="n">
        <v>4</v>
      </c>
      <c r="G2800" s="0" t="n">
        <v>0</v>
      </c>
      <c r="H2800" s="0" t="s">
        <v>585</v>
      </c>
      <c r="K2800" s="0" t="s">
        <v>597</v>
      </c>
      <c r="L2800" s="0" t="s">
        <v>4704</v>
      </c>
    </row>
    <row r="2801" customFormat="false" ht="15" hidden="false" customHeight="false" outlineLevel="0" collapsed="false">
      <c r="A2801" s="0" t="s">
        <v>71</v>
      </c>
      <c r="C2801" s="0" t="s">
        <v>1415</v>
      </c>
      <c r="D2801" s="0" t="s">
        <v>132</v>
      </c>
      <c r="E2801" s="0" t="s">
        <v>1426</v>
      </c>
      <c r="F2801" s="0" t="n">
        <v>4</v>
      </c>
      <c r="G2801" s="0" t="n">
        <v>0</v>
      </c>
      <c r="H2801" s="0" t="s">
        <v>585</v>
      </c>
      <c r="K2801" s="0" t="s">
        <v>600</v>
      </c>
      <c r="L2801" s="0" t="s">
        <v>4705</v>
      </c>
    </row>
    <row r="2802" customFormat="false" ht="15" hidden="false" customHeight="false" outlineLevel="0" collapsed="false">
      <c r="A2802" s="0" t="s">
        <v>71</v>
      </c>
      <c r="C2802" s="0" t="s">
        <v>1415</v>
      </c>
      <c r="D2802" s="0" t="s">
        <v>139</v>
      </c>
      <c r="E2802" s="0" t="s">
        <v>3063</v>
      </c>
      <c r="F2802" s="0" t="n">
        <v>4</v>
      </c>
      <c r="G2802" s="0" t="n">
        <v>0</v>
      </c>
      <c r="H2802" s="0" t="s">
        <v>585</v>
      </c>
      <c r="K2802" s="0" t="s">
        <v>604</v>
      </c>
      <c r="L2802" s="0" t="s">
        <v>4706</v>
      </c>
    </row>
    <row r="2803" customFormat="false" ht="15" hidden="false" customHeight="false" outlineLevel="0" collapsed="false">
      <c r="A2803" s="0" t="s">
        <v>71</v>
      </c>
      <c r="C2803" s="0" t="s">
        <v>1415</v>
      </c>
      <c r="D2803" s="0" t="s">
        <v>143</v>
      </c>
      <c r="E2803" s="0" t="s">
        <v>2430</v>
      </c>
      <c r="F2803" s="0" t="n">
        <v>4</v>
      </c>
      <c r="G2803" s="0" t="n">
        <v>0</v>
      </c>
      <c r="H2803" s="0" t="s">
        <v>585</v>
      </c>
      <c r="K2803" s="0" t="s">
        <v>607</v>
      </c>
      <c r="L2803" s="0" t="s">
        <v>4707</v>
      </c>
    </row>
    <row r="2804" customFormat="false" ht="15" hidden="false" customHeight="false" outlineLevel="0" collapsed="false">
      <c r="A2804" s="0" t="s">
        <v>71</v>
      </c>
      <c r="C2804" s="0" t="s">
        <v>1415</v>
      </c>
      <c r="D2804" s="0" t="s">
        <v>146</v>
      </c>
      <c r="E2804" s="0" t="s">
        <v>1432</v>
      </c>
      <c r="F2804" s="0" t="n">
        <v>4</v>
      </c>
      <c r="G2804" s="0" t="n">
        <v>0</v>
      </c>
      <c r="H2804" s="0" t="s">
        <v>585</v>
      </c>
      <c r="K2804" s="0" t="s">
        <v>610</v>
      </c>
      <c r="L2804" s="0" t="s">
        <v>4708</v>
      </c>
    </row>
    <row r="2805" customFormat="false" ht="15" hidden="false" customHeight="false" outlineLevel="0" collapsed="false">
      <c r="A2805" s="0" t="s">
        <v>71</v>
      </c>
      <c r="C2805" s="0" t="s">
        <v>1415</v>
      </c>
      <c r="D2805" s="0" t="s">
        <v>149</v>
      </c>
      <c r="E2805" s="0" t="s">
        <v>2433</v>
      </c>
      <c r="F2805" s="0" t="n">
        <v>4</v>
      </c>
      <c r="G2805" s="0" t="n">
        <v>0</v>
      </c>
      <c r="H2805" s="0" t="s">
        <v>585</v>
      </c>
      <c r="K2805" s="0" t="s">
        <v>613</v>
      </c>
      <c r="L2805" s="0" t="s">
        <v>4709</v>
      </c>
    </row>
    <row r="2806" customFormat="false" ht="15" hidden="false" customHeight="false" outlineLevel="0" collapsed="false">
      <c r="A2806" s="0" t="s">
        <v>71</v>
      </c>
      <c r="C2806" s="0" t="s">
        <v>1415</v>
      </c>
      <c r="D2806" s="0" t="s">
        <v>152</v>
      </c>
      <c r="E2806" s="0" t="s">
        <v>2435</v>
      </c>
      <c r="F2806" s="0" t="n">
        <v>4</v>
      </c>
      <c r="G2806" s="0" t="n">
        <v>0</v>
      </c>
      <c r="H2806" s="0" t="s">
        <v>585</v>
      </c>
      <c r="K2806" s="0" t="s">
        <v>616</v>
      </c>
      <c r="L2806" s="0" t="s">
        <v>4710</v>
      </c>
    </row>
    <row r="2807" customFormat="false" ht="15" hidden="false" customHeight="false" outlineLevel="0" collapsed="false">
      <c r="A2807" s="0" t="s">
        <v>71</v>
      </c>
      <c r="C2807" s="0" t="s">
        <v>1415</v>
      </c>
      <c r="D2807" s="0" t="s">
        <v>155</v>
      </c>
      <c r="E2807" s="0" t="s">
        <v>2437</v>
      </c>
      <c r="F2807" s="0" t="n">
        <v>4</v>
      </c>
      <c r="G2807" s="0" t="n">
        <v>0</v>
      </c>
      <c r="H2807" s="0" t="s">
        <v>585</v>
      </c>
      <c r="K2807" s="0" t="s">
        <v>620</v>
      </c>
      <c r="L2807" s="0" t="s">
        <v>4711</v>
      </c>
    </row>
    <row r="2808" customFormat="false" ht="15" hidden="false" customHeight="false" outlineLevel="0" collapsed="false">
      <c r="A2808" s="0" t="s">
        <v>71</v>
      </c>
      <c r="C2808" s="0" t="s">
        <v>1440</v>
      </c>
      <c r="D2808" s="0" t="s">
        <v>987</v>
      </c>
      <c r="E2808" s="0" t="s">
        <v>1441</v>
      </c>
      <c r="F2808" s="0" t="n">
        <v>4</v>
      </c>
      <c r="G2808" s="0" t="n">
        <v>0</v>
      </c>
      <c r="H2808" s="0" t="s">
        <v>585</v>
      </c>
      <c r="K2808" s="0" t="s">
        <v>581</v>
      </c>
      <c r="L2808" s="0" t="s">
        <v>4712</v>
      </c>
    </row>
    <row r="2809" customFormat="false" ht="15" hidden="false" customHeight="false" outlineLevel="0" collapsed="false">
      <c r="A2809" s="0" t="s">
        <v>71</v>
      </c>
      <c r="C2809" s="0" t="s">
        <v>1440</v>
      </c>
      <c r="D2809" s="0" t="s">
        <v>990</v>
      </c>
      <c r="E2809" s="0" t="s">
        <v>1443</v>
      </c>
      <c r="F2809" s="0" t="n">
        <v>4</v>
      </c>
      <c r="G2809" s="0" t="n">
        <v>0</v>
      </c>
      <c r="H2809" s="0" t="s">
        <v>585</v>
      </c>
      <c r="K2809" s="0" t="s">
        <v>586</v>
      </c>
      <c r="L2809" s="0" t="s">
        <v>4713</v>
      </c>
    </row>
    <row r="2810" customFormat="false" ht="15" hidden="false" customHeight="false" outlineLevel="0" collapsed="false">
      <c r="A2810" s="0" t="s">
        <v>71</v>
      </c>
      <c r="C2810" s="0" t="s">
        <v>1440</v>
      </c>
      <c r="D2810" s="0" t="s">
        <v>993</v>
      </c>
      <c r="E2810" s="0" t="s">
        <v>1445</v>
      </c>
      <c r="F2810" s="0" t="n">
        <v>4</v>
      </c>
      <c r="G2810" s="0" t="n">
        <v>0</v>
      </c>
      <c r="H2810" s="0" t="s">
        <v>585</v>
      </c>
      <c r="K2810" s="0" t="s">
        <v>590</v>
      </c>
      <c r="L2810" s="0" t="s">
        <v>4714</v>
      </c>
    </row>
    <row r="2811" customFormat="false" ht="15" hidden="false" customHeight="false" outlineLevel="0" collapsed="false">
      <c r="A2811" s="0" t="s">
        <v>71</v>
      </c>
      <c r="C2811" s="0" t="s">
        <v>1440</v>
      </c>
      <c r="D2811" s="0" t="s">
        <v>126</v>
      </c>
      <c r="E2811" s="0" t="s">
        <v>1447</v>
      </c>
      <c r="F2811" s="0" t="n">
        <v>4</v>
      </c>
      <c r="G2811" s="0" t="n">
        <v>0</v>
      </c>
      <c r="H2811" s="0" t="s">
        <v>585</v>
      </c>
      <c r="K2811" s="0" t="s">
        <v>594</v>
      </c>
      <c r="L2811" s="0" t="s">
        <v>4715</v>
      </c>
    </row>
    <row r="2812" customFormat="false" ht="15" hidden="false" customHeight="false" outlineLevel="0" collapsed="false">
      <c r="A2812" s="0" t="s">
        <v>71</v>
      </c>
      <c r="C2812" s="0" t="s">
        <v>1440</v>
      </c>
      <c r="D2812" s="0" t="s">
        <v>129</v>
      </c>
      <c r="E2812" s="0" t="s">
        <v>2443</v>
      </c>
      <c r="F2812" s="0" t="n">
        <v>4</v>
      </c>
      <c r="G2812" s="0" t="n">
        <v>0</v>
      </c>
      <c r="H2812" s="0" t="s">
        <v>585</v>
      </c>
      <c r="K2812" s="0" t="s">
        <v>597</v>
      </c>
      <c r="L2812" s="0" t="s">
        <v>4716</v>
      </c>
    </row>
    <row r="2813" customFormat="false" ht="15" hidden="false" customHeight="false" outlineLevel="0" collapsed="false">
      <c r="A2813" s="0" t="s">
        <v>71</v>
      </c>
      <c r="C2813" s="0" t="s">
        <v>1440</v>
      </c>
      <c r="D2813" s="0" t="s">
        <v>132</v>
      </c>
      <c r="E2813" s="0" t="s">
        <v>1451</v>
      </c>
      <c r="F2813" s="0" t="n">
        <v>4</v>
      </c>
      <c r="G2813" s="0" t="n">
        <v>0</v>
      </c>
      <c r="H2813" s="0" t="s">
        <v>585</v>
      </c>
      <c r="K2813" s="0" t="s">
        <v>600</v>
      </c>
      <c r="L2813" s="0" t="s">
        <v>4717</v>
      </c>
    </row>
    <row r="2814" customFormat="false" ht="15" hidden="false" customHeight="false" outlineLevel="0" collapsed="false">
      <c r="A2814" s="0" t="s">
        <v>71</v>
      </c>
      <c r="C2814" s="0" t="s">
        <v>1440</v>
      </c>
      <c r="D2814" s="0" t="s">
        <v>139</v>
      </c>
      <c r="E2814" s="0" t="s">
        <v>3080</v>
      </c>
      <c r="F2814" s="0" t="n">
        <v>4</v>
      </c>
      <c r="G2814" s="0" t="n">
        <v>0</v>
      </c>
      <c r="H2814" s="0" t="s">
        <v>585</v>
      </c>
      <c r="K2814" s="0" t="s">
        <v>604</v>
      </c>
      <c r="L2814" s="0" t="s">
        <v>4718</v>
      </c>
    </row>
    <row r="2815" customFormat="false" ht="15" hidden="false" customHeight="false" outlineLevel="0" collapsed="false">
      <c r="A2815" s="0" t="s">
        <v>71</v>
      </c>
      <c r="C2815" s="0" t="s">
        <v>1440</v>
      </c>
      <c r="D2815" s="0" t="s">
        <v>143</v>
      </c>
      <c r="E2815" s="0" t="s">
        <v>4179</v>
      </c>
      <c r="F2815" s="0" t="n">
        <v>4</v>
      </c>
      <c r="G2815" s="0" t="n">
        <v>0</v>
      </c>
      <c r="H2815" s="0" t="s">
        <v>585</v>
      </c>
      <c r="K2815" s="0" t="s">
        <v>607</v>
      </c>
      <c r="L2815" s="0" t="s">
        <v>4719</v>
      </c>
    </row>
    <row r="2816" customFormat="false" ht="15" hidden="false" customHeight="false" outlineLevel="0" collapsed="false">
      <c r="A2816" s="0" t="s">
        <v>71</v>
      </c>
      <c r="C2816" s="0" t="s">
        <v>1440</v>
      </c>
      <c r="D2816" s="0" t="s">
        <v>146</v>
      </c>
      <c r="E2816" s="0" t="s">
        <v>4181</v>
      </c>
      <c r="F2816" s="0" t="n">
        <v>4</v>
      </c>
      <c r="G2816" s="0" t="n">
        <v>0</v>
      </c>
      <c r="H2816" s="0" t="s">
        <v>585</v>
      </c>
      <c r="K2816" s="0" t="s">
        <v>610</v>
      </c>
      <c r="L2816" s="0" t="s">
        <v>4720</v>
      </c>
    </row>
    <row r="2817" customFormat="false" ht="15" hidden="false" customHeight="false" outlineLevel="0" collapsed="false">
      <c r="A2817" s="0" t="s">
        <v>71</v>
      </c>
      <c r="C2817" s="0" t="s">
        <v>1440</v>
      </c>
      <c r="D2817" s="0" t="s">
        <v>149</v>
      </c>
      <c r="E2817" s="0" t="s">
        <v>4183</v>
      </c>
      <c r="F2817" s="0" t="n">
        <v>4</v>
      </c>
      <c r="G2817" s="0" t="n">
        <v>0</v>
      </c>
      <c r="H2817" s="0" t="s">
        <v>585</v>
      </c>
      <c r="K2817" s="0" t="s">
        <v>613</v>
      </c>
      <c r="L2817" s="0" t="s">
        <v>4721</v>
      </c>
    </row>
    <row r="2818" customFormat="false" ht="15" hidden="false" customHeight="false" outlineLevel="0" collapsed="false">
      <c r="A2818" s="0" t="s">
        <v>71</v>
      </c>
      <c r="C2818" s="0" t="s">
        <v>1440</v>
      </c>
      <c r="D2818" s="0" t="s">
        <v>152</v>
      </c>
      <c r="E2818" s="0" t="s">
        <v>4185</v>
      </c>
      <c r="F2818" s="0" t="n">
        <v>4</v>
      </c>
      <c r="G2818" s="0" t="n">
        <v>0</v>
      </c>
      <c r="H2818" s="0" t="s">
        <v>585</v>
      </c>
      <c r="K2818" s="0" t="s">
        <v>616</v>
      </c>
      <c r="L2818" s="0" t="s">
        <v>4722</v>
      </c>
    </row>
    <row r="2819" customFormat="false" ht="15" hidden="false" customHeight="false" outlineLevel="0" collapsed="false">
      <c r="A2819" s="0" t="s">
        <v>71</v>
      </c>
      <c r="C2819" s="0" t="s">
        <v>1440</v>
      </c>
      <c r="D2819" s="0" t="s">
        <v>155</v>
      </c>
      <c r="E2819" s="0" t="s">
        <v>4187</v>
      </c>
      <c r="F2819" s="0" t="n">
        <v>4</v>
      </c>
      <c r="G2819" s="0" t="n">
        <v>0</v>
      </c>
      <c r="H2819" s="0" t="s">
        <v>585</v>
      </c>
      <c r="K2819" s="0" t="s">
        <v>620</v>
      </c>
      <c r="L2819" s="0" t="s">
        <v>4723</v>
      </c>
    </row>
    <row r="2820" customFormat="false" ht="15" hidden="false" customHeight="false" outlineLevel="0" collapsed="false">
      <c r="A2820" s="0" t="s">
        <v>71</v>
      </c>
      <c r="C2820" s="0" t="s">
        <v>1465</v>
      </c>
      <c r="D2820" s="0" t="s">
        <v>987</v>
      </c>
      <c r="E2820" s="0" t="s">
        <v>1466</v>
      </c>
      <c r="F2820" s="0" t="n">
        <v>4</v>
      </c>
      <c r="G2820" s="0" t="n">
        <v>0</v>
      </c>
      <c r="H2820" s="0" t="s">
        <v>585</v>
      </c>
      <c r="K2820" s="0" t="s">
        <v>581</v>
      </c>
      <c r="L2820" s="0" t="s">
        <v>4724</v>
      </c>
    </row>
    <row r="2821" customFormat="false" ht="15" hidden="false" customHeight="false" outlineLevel="0" collapsed="false">
      <c r="A2821" s="0" t="s">
        <v>71</v>
      </c>
      <c r="C2821" s="0" t="s">
        <v>1465</v>
      </c>
      <c r="D2821" s="0" t="s">
        <v>990</v>
      </c>
      <c r="E2821" s="0" t="s">
        <v>4190</v>
      </c>
      <c r="F2821" s="0" t="n">
        <v>4</v>
      </c>
      <c r="G2821" s="0" t="n">
        <v>0</v>
      </c>
      <c r="H2821" s="0" t="s">
        <v>585</v>
      </c>
      <c r="K2821" s="0" t="s">
        <v>586</v>
      </c>
      <c r="L2821" s="0" t="s">
        <v>4725</v>
      </c>
    </row>
    <row r="2822" customFormat="false" ht="15" hidden="false" customHeight="false" outlineLevel="0" collapsed="false">
      <c r="A2822" s="0" t="s">
        <v>71</v>
      </c>
      <c r="C2822" s="0" t="s">
        <v>1465</v>
      </c>
      <c r="D2822" s="0" t="s">
        <v>993</v>
      </c>
      <c r="E2822" s="0" t="s">
        <v>4192</v>
      </c>
      <c r="F2822" s="0" t="n">
        <v>4</v>
      </c>
      <c r="G2822" s="0" t="n">
        <v>0</v>
      </c>
      <c r="H2822" s="0" t="s">
        <v>585</v>
      </c>
      <c r="K2822" s="0" t="s">
        <v>590</v>
      </c>
      <c r="L2822" s="0" t="s">
        <v>4726</v>
      </c>
    </row>
    <row r="2823" customFormat="false" ht="15" hidden="false" customHeight="false" outlineLevel="0" collapsed="false">
      <c r="A2823" s="0" t="s">
        <v>71</v>
      </c>
      <c r="C2823" s="0" t="s">
        <v>1465</v>
      </c>
      <c r="D2823" s="0" t="s">
        <v>126</v>
      </c>
      <c r="E2823" s="0" t="s">
        <v>4194</v>
      </c>
      <c r="F2823" s="0" t="n">
        <v>4</v>
      </c>
      <c r="G2823" s="0" t="n">
        <v>0</v>
      </c>
      <c r="H2823" s="0" t="s">
        <v>585</v>
      </c>
      <c r="K2823" s="0" t="s">
        <v>594</v>
      </c>
      <c r="L2823" s="0" t="s">
        <v>4727</v>
      </c>
    </row>
    <row r="2824" customFormat="false" ht="15" hidden="false" customHeight="false" outlineLevel="0" collapsed="false">
      <c r="A2824" s="0" t="s">
        <v>71</v>
      </c>
      <c r="C2824" s="0" t="s">
        <v>1465</v>
      </c>
      <c r="D2824" s="0" t="s">
        <v>129</v>
      </c>
      <c r="E2824" s="0" t="s">
        <v>4196</v>
      </c>
      <c r="F2824" s="0" t="n">
        <v>4</v>
      </c>
      <c r="G2824" s="0" t="n">
        <v>0</v>
      </c>
      <c r="H2824" s="0" t="s">
        <v>585</v>
      </c>
      <c r="K2824" s="0" t="s">
        <v>597</v>
      </c>
      <c r="L2824" s="0" t="s">
        <v>4728</v>
      </c>
    </row>
    <row r="2825" customFormat="false" ht="15" hidden="false" customHeight="false" outlineLevel="0" collapsed="false">
      <c r="A2825" s="0" t="s">
        <v>71</v>
      </c>
      <c r="C2825" s="0" t="s">
        <v>1465</v>
      </c>
      <c r="D2825" s="0" t="s">
        <v>132</v>
      </c>
      <c r="E2825" s="0" t="s">
        <v>4198</v>
      </c>
      <c r="F2825" s="0" t="n">
        <v>4</v>
      </c>
      <c r="G2825" s="0" t="n">
        <v>0</v>
      </c>
      <c r="H2825" s="0" t="s">
        <v>585</v>
      </c>
      <c r="K2825" s="0" t="s">
        <v>600</v>
      </c>
      <c r="L2825" s="0" t="s">
        <v>4729</v>
      </c>
    </row>
    <row r="2826" customFormat="false" ht="15" hidden="false" customHeight="false" outlineLevel="0" collapsed="false">
      <c r="A2826" s="0" t="s">
        <v>71</v>
      </c>
      <c r="C2826" s="0" t="s">
        <v>1465</v>
      </c>
      <c r="D2826" s="0" t="s">
        <v>139</v>
      </c>
      <c r="E2826" s="0" t="s">
        <v>3103</v>
      </c>
      <c r="F2826" s="0" t="n">
        <v>4</v>
      </c>
      <c r="G2826" s="0" t="n">
        <v>0</v>
      </c>
      <c r="H2826" s="0" t="s">
        <v>585</v>
      </c>
      <c r="K2826" s="0" t="s">
        <v>604</v>
      </c>
      <c r="L2826" s="0" t="s">
        <v>4730</v>
      </c>
    </row>
    <row r="2827" customFormat="false" ht="15" hidden="false" customHeight="false" outlineLevel="0" collapsed="false">
      <c r="A2827" s="0" t="s">
        <v>71</v>
      </c>
      <c r="C2827" s="0" t="s">
        <v>1465</v>
      </c>
      <c r="D2827" s="0" t="s">
        <v>143</v>
      </c>
      <c r="E2827" s="0" t="s">
        <v>4201</v>
      </c>
      <c r="F2827" s="0" t="n">
        <v>4</v>
      </c>
      <c r="G2827" s="0" t="n">
        <v>0</v>
      </c>
      <c r="H2827" s="0" t="s">
        <v>585</v>
      </c>
      <c r="K2827" s="0" t="s">
        <v>607</v>
      </c>
      <c r="L2827" s="0" t="s">
        <v>4731</v>
      </c>
    </row>
    <row r="2828" customFormat="false" ht="15" hidden="false" customHeight="false" outlineLevel="0" collapsed="false">
      <c r="A2828" s="0" t="s">
        <v>71</v>
      </c>
      <c r="C2828" s="0" t="s">
        <v>1465</v>
      </c>
      <c r="D2828" s="0" t="s">
        <v>146</v>
      </c>
      <c r="E2828" s="0" t="s">
        <v>3107</v>
      </c>
      <c r="F2828" s="0" t="n">
        <v>4</v>
      </c>
      <c r="G2828" s="0" t="n">
        <v>0</v>
      </c>
      <c r="H2828" s="0" t="s">
        <v>585</v>
      </c>
      <c r="K2828" s="0" t="s">
        <v>610</v>
      </c>
      <c r="L2828" s="0" t="s">
        <v>4732</v>
      </c>
    </row>
    <row r="2829" customFormat="false" ht="15" hidden="false" customHeight="false" outlineLevel="0" collapsed="false">
      <c r="A2829" s="0" t="s">
        <v>71</v>
      </c>
      <c r="C2829" s="0" t="s">
        <v>1465</v>
      </c>
      <c r="D2829" s="0" t="s">
        <v>149</v>
      </c>
      <c r="E2829" s="0" t="s">
        <v>4204</v>
      </c>
      <c r="F2829" s="0" t="n">
        <v>4</v>
      </c>
      <c r="G2829" s="0" t="n">
        <v>0</v>
      </c>
      <c r="H2829" s="0" t="s">
        <v>585</v>
      </c>
      <c r="K2829" s="0" t="s">
        <v>613</v>
      </c>
      <c r="L2829" s="0" t="s">
        <v>4733</v>
      </c>
    </row>
    <row r="2830" customFormat="false" ht="15" hidden="false" customHeight="false" outlineLevel="0" collapsed="false">
      <c r="A2830" s="0" t="s">
        <v>71</v>
      </c>
      <c r="C2830" s="0" t="s">
        <v>1465</v>
      </c>
      <c r="D2830" s="0" t="s">
        <v>152</v>
      </c>
      <c r="E2830" s="0" t="s">
        <v>3111</v>
      </c>
      <c r="F2830" s="0" t="n">
        <v>4</v>
      </c>
      <c r="G2830" s="0" t="n">
        <v>0</v>
      </c>
      <c r="H2830" s="0" t="s">
        <v>585</v>
      </c>
      <c r="K2830" s="0" t="s">
        <v>616</v>
      </c>
      <c r="L2830" s="0" t="s">
        <v>4734</v>
      </c>
    </row>
    <row r="2831" customFormat="false" ht="15" hidden="false" customHeight="false" outlineLevel="0" collapsed="false">
      <c r="A2831" s="0" t="s">
        <v>71</v>
      </c>
      <c r="C2831" s="0" t="s">
        <v>1465</v>
      </c>
      <c r="D2831" s="0" t="s">
        <v>155</v>
      </c>
      <c r="E2831" s="0" t="s">
        <v>4207</v>
      </c>
      <c r="F2831" s="0" t="n">
        <v>4</v>
      </c>
      <c r="G2831" s="0" t="n">
        <v>0</v>
      </c>
      <c r="H2831" s="0" t="s">
        <v>585</v>
      </c>
      <c r="K2831" s="0" t="s">
        <v>620</v>
      </c>
      <c r="L2831" s="0" t="s">
        <v>4735</v>
      </c>
    </row>
    <row r="2832" customFormat="false" ht="15" hidden="false" customHeight="false" outlineLevel="0" collapsed="false">
      <c r="A2832" s="0" t="s">
        <v>71</v>
      </c>
      <c r="C2832" s="0" t="s">
        <v>1490</v>
      </c>
      <c r="D2832" s="0" t="s">
        <v>987</v>
      </c>
      <c r="E2832" s="0" t="s">
        <v>1491</v>
      </c>
      <c r="F2832" s="0" t="n">
        <v>4</v>
      </c>
      <c r="G2832" s="0" t="n">
        <v>0</v>
      </c>
      <c r="H2832" s="0" t="s">
        <v>585</v>
      </c>
      <c r="K2832" s="0" t="s">
        <v>581</v>
      </c>
      <c r="L2832" s="0" t="s">
        <v>4736</v>
      </c>
    </row>
    <row r="2833" customFormat="false" ht="15" hidden="false" customHeight="false" outlineLevel="0" collapsed="false">
      <c r="A2833" s="0" t="s">
        <v>71</v>
      </c>
      <c r="C2833" s="0" t="s">
        <v>1490</v>
      </c>
      <c r="D2833" s="0" t="s">
        <v>990</v>
      </c>
      <c r="E2833" s="0" t="s">
        <v>3116</v>
      </c>
      <c r="F2833" s="0" t="n">
        <v>4</v>
      </c>
      <c r="G2833" s="0" t="n">
        <v>0</v>
      </c>
      <c r="H2833" s="0" t="s">
        <v>585</v>
      </c>
      <c r="K2833" s="0" t="s">
        <v>586</v>
      </c>
      <c r="L2833" s="0" t="s">
        <v>4737</v>
      </c>
    </row>
    <row r="2834" customFormat="false" ht="15" hidden="false" customHeight="false" outlineLevel="0" collapsed="false">
      <c r="A2834" s="0" t="s">
        <v>71</v>
      </c>
      <c r="C2834" s="0" t="s">
        <v>1490</v>
      </c>
      <c r="D2834" s="0" t="s">
        <v>993</v>
      </c>
      <c r="E2834" s="0" t="s">
        <v>4211</v>
      </c>
      <c r="F2834" s="0" t="n">
        <v>4</v>
      </c>
      <c r="G2834" s="0" t="n">
        <v>0</v>
      </c>
      <c r="H2834" s="0" t="s">
        <v>585</v>
      </c>
      <c r="K2834" s="0" t="s">
        <v>590</v>
      </c>
      <c r="L2834" s="0" t="s">
        <v>4738</v>
      </c>
    </row>
    <row r="2835" customFormat="false" ht="15" hidden="false" customHeight="false" outlineLevel="0" collapsed="false">
      <c r="A2835" s="0" t="s">
        <v>71</v>
      </c>
      <c r="C2835" s="0" t="s">
        <v>1490</v>
      </c>
      <c r="D2835" s="0" t="s">
        <v>126</v>
      </c>
      <c r="E2835" s="0" t="s">
        <v>4213</v>
      </c>
      <c r="F2835" s="0" t="n">
        <v>4</v>
      </c>
      <c r="G2835" s="0" t="n">
        <v>0</v>
      </c>
      <c r="H2835" s="0" t="s">
        <v>585</v>
      </c>
      <c r="K2835" s="0" t="s">
        <v>594</v>
      </c>
      <c r="L2835" s="0" t="s">
        <v>4739</v>
      </c>
    </row>
    <row r="2836" customFormat="false" ht="15" hidden="false" customHeight="false" outlineLevel="0" collapsed="false">
      <c r="A2836" s="0" t="s">
        <v>71</v>
      </c>
      <c r="C2836" s="0" t="s">
        <v>1490</v>
      </c>
      <c r="D2836" s="0" t="s">
        <v>129</v>
      </c>
      <c r="E2836" s="0" t="s">
        <v>3122</v>
      </c>
      <c r="F2836" s="0" t="n">
        <v>4</v>
      </c>
      <c r="G2836" s="0" t="n">
        <v>0</v>
      </c>
      <c r="H2836" s="0" t="s">
        <v>585</v>
      </c>
      <c r="K2836" s="0" t="s">
        <v>597</v>
      </c>
      <c r="L2836" s="0" t="s">
        <v>4740</v>
      </c>
    </row>
    <row r="2837" customFormat="false" ht="15" hidden="false" customHeight="false" outlineLevel="0" collapsed="false">
      <c r="A2837" s="0" t="s">
        <v>71</v>
      </c>
      <c r="C2837" s="0" t="s">
        <v>1490</v>
      </c>
      <c r="D2837" s="0" t="s">
        <v>132</v>
      </c>
      <c r="E2837" s="0" t="s">
        <v>1501</v>
      </c>
      <c r="F2837" s="0" t="n">
        <v>4</v>
      </c>
      <c r="G2837" s="0" t="n">
        <v>0</v>
      </c>
      <c r="H2837" s="0" t="s">
        <v>585</v>
      </c>
      <c r="K2837" s="0" t="s">
        <v>600</v>
      </c>
      <c r="L2837" s="0" t="s">
        <v>4741</v>
      </c>
    </row>
    <row r="2838" customFormat="false" ht="15" hidden="false" customHeight="false" outlineLevel="0" collapsed="false">
      <c r="A2838" s="0" t="s">
        <v>71</v>
      </c>
      <c r="C2838" s="0" t="s">
        <v>1490</v>
      </c>
      <c r="D2838" s="0" t="s">
        <v>139</v>
      </c>
      <c r="E2838" s="0" t="s">
        <v>3125</v>
      </c>
      <c r="F2838" s="0" t="n">
        <v>4</v>
      </c>
      <c r="G2838" s="0" t="n">
        <v>0</v>
      </c>
      <c r="H2838" s="0" t="s">
        <v>585</v>
      </c>
      <c r="K2838" s="0" t="s">
        <v>604</v>
      </c>
      <c r="L2838" s="0" t="s">
        <v>4742</v>
      </c>
    </row>
    <row r="2839" customFormat="false" ht="15" hidden="false" customHeight="false" outlineLevel="0" collapsed="false">
      <c r="A2839" s="0" t="s">
        <v>71</v>
      </c>
      <c r="C2839" s="0" t="s">
        <v>1490</v>
      </c>
      <c r="D2839" s="0" t="s">
        <v>143</v>
      </c>
      <c r="E2839" s="0" t="s">
        <v>3127</v>
      </c>
      <c r="F2839" s="0" t="n">
        <v>4</v>
      </c>
      <c r="G2839" s="0" t="n">
        <v>0</v>
      </c>
      <c r="H2839" s="0" t="s">
        <v>585</v>
      </c>
      <c r="K2839" s="0" t="s">
        <v>607</v>
      </c>
      <c r="L2839" s="0" t="s">
        <v>4743</v>
      </c>
    </row>
    <row r="2840" customFormat="false" ht="15" hidden="false" customHeight="false" outlineLevel="0" collapsed="false">
      <c r="A2840" s="0" t="s">
        <v>71</v>
      </c>
      <c r="C2840" s="0" t="s">
        <v>1490</v>
      </c>
      <c r="D2840" s="0" t="s">
        <v>146</v>
      </c>
      <c r="E2840" s="0" t="s">
        <v>3129</v>
      </c>
      <c r="F2840" s="0" t="n">
        <v>4</v>
      </c>
      <c r="G2840" s="0" t="n">
        <v>0</v>
      </c>
      <c r="H2840" s="0" t="s">
        <v>585</v>
      </c>
      <c r="K2840" s="0" t="s">
        <v>610</v>
      </c>
      <c r="L2840" s="0" t="s">
        <v>4744</v>
      </c>
    </row>
    <row r="2841" customFormat="false" ht="15" hidden="false" customHeight="false" outlineLevel="0" collapsed="false">
      <c r="A2841" s="0" t="s">
        <v>71</v>
      </c>
      <c r="C2841" s="0" t="s">
        <v>1490</v>
      </c>
      <c r="D2841" s="0" t="s">
        <v>149</v>
      </c>
      <c r="E2841" s="0" t="s">
        <v>3131</v>
      </c>
      <c r="F2841" s="0" t="n">
        <v>4</v>
      </c>
      <c r="G2841" s="0" t="n">
        <v>0</v>
      </c>
      <c r="H2841" s="0" t="s">
        <v>585</v>
      </c>
      <c r="K2841" s="0" t="s">
        <v>613</v>
      </c>
      <c r="L2841" s="0" t="s">
        <v>4745</v>
      </c>
    </row>
    <row r="2842" customFormat="false" ht="15" hidden="false" customHeight="false" outlineLevel="0" collapsed="false">
      <c r="A2842" s="0" t="s">
        <v>71</v>
      </c>
      <c r="C2842" s="0" t="s">
        <v>1490</v>
      </c>
      <c r="D2842" s="0" t="s">
        <v>152</v>
      </c>
      <c r="E2842" s="0" t="s">
        <v>4221</v>
      </c>
      <c r="F2842" s="0" t="n">
        <v>4</v>
      </c>
      <c r="G2842" s="0" t="n">
        <v>0</v>
      </c>
      <c r="H2842" s="0" t="s">
        <v>585</v>
      </c>
      <c r="K2842" s="0" t="s">
        <v>616</v>
      </c>
      <c r="L2842" s="0" t="s">
        <v>4746</v>
      </c>
    </row>
    <row r="2843" customFormat="false" ht="15" hidden="false" customHeight="false" outlineLevel="0" collapsed="false">
      <c r="A2843" s="0" t="s">
        <v>71</v>
      </c>
      <c r="C2843" s="0" t="s">
        <v>1490</v>
      </c>
      <c r="D2843" s="0" t="s">
        <v>155</v>
      </c>
      <c r="E2843" s="0" t="s">
        <v>1513</v>
      </c>
      <c r="F2843" s="0" t="n">
        <v>4</v>
      </c>
      <c r="G2843" s="0" t="n">
        <v>0</v>
      </c>
      <c r="H2843" s="0" t="s">
        <v>585</v>
      </c>
      <c r="K2843" s="0" t="s">
        <v>620</v>
      </c>
      <c r="L2843" s="0" t="s">
        <v>4747</v>
      </c>
    </row>
    <row r="2844" customFormat="false" ht="15" hidden="false" customHeight="false" outlineLevel="0" collapsed="false">
      <c r="A2844" s="0" t="s">
        <v>71</v>
      </c>
      <c r="C2844" s="0" t="s">
        <v>1515</v>
      </c>
      <c r="D2844" s="0" t="s">
        <v>987</v>
      </c>
      <c r="E2844" s="0" t="s">
        <v>1516</v>
      </c>
      <c r="F2844" s="0" t="n">
        <v>0</v>
      </c>
      <c r="G2844" s="0" t="n">
        <v>0</v>
      </c>
      <c r="H2844" s="0" t="s">
        <v>580</v>
      </c>
      <c r="K2844" s="0" t="s">
        <v>581</v>
      </c>
      <c r="L2844" s="0" t="s">
        <v>4748</v>
      </c>
    </row>
    <row r="2845" customFormat="false" ht="15" hidden="false" customHeight="false" outlineLevel="0" collapsed="false">
      <c r="A2845" s="0" t="s">
        <v>71</v>
      </c>
      <c r="C2845" s="0" t="s">
        <v>1515</v>
      </c>
      <c r="D2845" s="0" t="s">
        <v>990</v>
      </c>
      <c r="E2845" s="0" t="s">
        <v>1518</v>
      </c>
      <c r="F2845" s="0" t="n">
        <v>0</v>
      </c>
      <c r="G2845" s="0" t="n">
        <v>0</v>
      </c>
      <c r="H2845" s="0" t="s">
        <v>580</v>
      </c>
      <c r="K2845" s="0" t="s">
        <v>586</v>
      </c>
      <c r="L2845" s="0" t="s">
        <v>4749</v>
      </c>
    </row>
    <row r="2846" customFormat="false" ht="15" hidden="false" customHeight="false" outlineLevel="0" collapsed="false">
      <c r="A2846" s="0" t="s">
        <v>71</v>
      </c>
      <c r="C2846" s="0" t="s">
        <v>1515</v>
      </c>
      <c r="D2846" s="0" t="s">
        <v>993</v>
      </c>
      <c r="E2846" s="0" t="s">
        <v>1520</v>
      </c>
      <c r="F2846" s="0" t="n">
        <v>0</v>
      </c>
      <c r="G2846" s="0" t="n">
        <v>0</v>
      </c>
      <c r="H2846" s="0" t="s">
        <v>580</v>
      </c>
      <c r="K2846" s="0" t="s">
        <v>590</v>
      </c>
      <c r="L2846" s="0" t="s">
        <v>4750</v>
      </c>
    </row>
    <row r="2847" customFormat="false" ht="15" hidden="false" customHeight="false" outlineLevel="0" collapsed="false">
      <c r="A2847" s="0" t="s">
        <v>71</v>
      </c>
      <c r="C2847" s="0" t="s">
        <v>1515</v>
      </c>
      <c r="D2847" s="0" t="s">
        <v>126</v>
      </c>
      <c r="E2847" s="0" t="s">
        <v>1522</v>
      </c>
      <c r="F2847" s="0" t="n">
        <v>0</v>
      </c>
      <c r="G2847" s="0" t="n">
        <v>0</v>
      </c>
      <c r="H2847" s="0" t="s">
        <v>580</v>
      </c>
      <c r="K2847" s="0" t="s">
        <v>594</v>
      </c>
      <c r="L2847" s="0" t="s">
        <v>4751</v>
      </c>
    </row>
    <row r="2848" customFormat="false" ht="15" hidden="false" customHeight="false" outlineLevel="0" collapsed="false">
      <c r="A2848" s="0" t="s">
        <v>71</v>
      </c>
      <c r="C2848" s="0" t="s">
        <v>1515</v>
      </c>
      <c r="D2848" s="0" t="s">
        <v>129</v>
      </c>
      <c r="E2848" s="0" t="s">
        <v>1524</v>
      </c>
      <c r="F2848" s="0" t="n">
        <v>0</v>
      </c>
      <c r="G2848" s="0" t="n">
        <v>0</v>
      </c>
      <c r="H2848" s="0" t="s">
        <v>580</v>
      </c>
      <c r="K2848" s="0" t="s">
        <v>597</v>
      </c>
      <c r="L2848" s="0" t="s">
        <v>4752</v>
      </c>
    </row>
    <row r="2849" customFormat="false" ht="15" hidden="false" customHeight="false" outlineLevel="0" collapsed="false">
      <c r="A2849" s="0" t="s">
        <v>71</v>
      </c>
      <c r="C2849" s="0" t="s">
        <v>1515</v>
      </c>
      <c r="D2849" s="0" t="s">
        <v>132</v>
      </c>
      <c r="E2849" s="0" t="s">
        <v>1526</v>
      </c>
      <c r="F2849" s="0" t="n">
        <v>0</v>
      </c>
      <c r="G2849" s="0" t="n">
        <v>0</v>
      </c>
      <c r="H2849" s="0" t="s">
        <v>580</v>
      </c>
      <c r="K2849" s="0" t="s">
        <v>600</v>
      </c>
      <c r="L2849" s="0" t="s">
        <v>4753</v>
      </c>
    </row>
    <row r="2850" customFormat="false" ht="15" hidden="false" customHeight="false" outlineLevel="0" collapsed="false">
      <c r="A2850" s="0" t="s">
        <v>71</v>
      </c>
      <c r="C2850" s="0" t="s">
        <v>1515</v>
      </c>
      <c r="D2850" s="0" t="s">
        <v>139</v>
      </c>
      <c r="E2850" s="0" t="s">
        <v>1528</v>
      </c>
      <c r="F2850" s="0" t="n">
        <v>0</v>
      </c>
      <c r="G2850" s="0" t="n">
        <v>0</v>
      </c>
      <c r="H2850" s="0" t="s">
        <v>580</v>
      </c>
      <c r="K2850" s="0" t="s">
        <v>604</v>
      </c>
      <c r="L2850" s="0" t="s">
        <v>4754</v>
      </c>
    </row>
    <row r="2851" customFormat="false" ht="15" hidden="false" customHeight="false" outlineLevel="0" collapsed="false">
      <c r="A2851" s="0" t="s">
        <v>71</v>
      </c>
      <c r="C2851" s="0" t="s">
        <v>1515</v>
      </c>
      <c r="D2851" s="0" t="s">
        <v>143</v>
      </c>
      <c r="E2851" s="0" t="s">
        <v>1530</v>
      </c>
      <c r="F2851" s="0" t="n">
        <v>0</v>
      </c>
      <c r="G2851" s="0" t="n">
        <v>0</v>
      </c>
      <c r="H2851" s="0" t="s">
        <v>580</v>
      </c>
      <c r="K2851" s="0" t="s">
        <v>607</v>
      </c>
      <c r="L2851" s="0" t="s">
        <v>4755</v>
      </c>
    </row>
    <row r="2852" customFormat="false" ht="15" hidden="false" customHeight="false" outlineLevel="0" collapsed="false">
      <c r="A2852" s="0" t="s">
        <v>71</v>
      </c>
      <c r="C2852" s="0" t="s">
        <v>1515</v>
      </c>
      <c r="D2852" s="0" t="s">
        <v>146</v>
      </c>
      <c r="E2852" s="0" t="s">
        <v>1532</v>
      </c>
      <c r="F2852" s="0" t="n">
        <v>0</v>
      </c>
      <c r="G2852" s="0" t="n">
        <v>0</v>
      </c>
      <c r="H2852" s="0" t="s">
        <v>580</v>
      </c>
      <c r="K2852" s="0" t="s">
        <v>610</v>
      </c>
      <c r="L2852" s="0" t="s">
        <v>4756</v>
      </c>
    </row>
    <row r="2853" customFormat="false" ht="15" hidden="false" customHeight="false" outlineLevel="0" collapsed="false">
      <c r="A2853" s="0" t="s">
        <v>71</v>
      </c>
      <c r="C2853" s="0" t="s">
        <v>1515</v>
      </c>
      <c r="D2853" s="0" t="s">
        <v>149</v>
      </c>
      <c r="E2853" s="0" t="s">
        <v>2499</v>
      </c>
      <c r="F2853" s="0" t="n">
        <v>0</v>
      </c>
      <c r="G2853" s="0" t="n">
        <v>0</v>
      </c>
      <c r="H2853" s="0" t="s">
        <v>580</v>
      </c>
      <c r="K2853" s="0" t="s">
        <v>613</v>
      </c>
      <c r="L2853" s="0" t="s">
        <v>4757</v>
      </c>
    </row>
    <row r="2854" customFormat="false" ht="15" hidden="false" customHeight="false" outlineLevel="0" collapsed="false">
      <c r="A2854" s="0" t="s">
        <v>71</v>
      </c>
      <c r="C2854" s="0" t="s">
        <v>1515</v>
      </c>
      <c r="D2854" s="0" t="s">
        <v>152</v>
      </c>
      <c r="E2854" s="0" t="s">
        <v>2501</v>
      </c>
      <c r="F2854" s="0" t="n">
        <v>0</v>
      </c>
      <c r="G2854" s="0" t="n">
        <v>0</v>
      </c>
      <c r="H2854" s="0" t="s">
        <v>580</v>
      </c>
      <c r="K2854" s="0" t="s">
        <v>616</v>
      </c>
      <c r="L2854" s="0" t="s">
        <v>4758</v>
      </c>
    </row>
    <row r="2855" customFormat="false" ht="15" hidden="false" customHeight="false" outlineLevel="0" collapsed="false">
      <c r="A2855" s="0" t="s">
        <v>71</v>
      </c>
      <c r="C2855" s="0" t="s">
        <v>1515</v>
      </c>
      <c r="D2855" s="0" t="s">
        <v>155</v>
      </c>
      <c r="E2855" s="0" t="s">
        <v>2503</v>
      </c>
      <c r="F2855" s="0" t="n">
        <v>0</v>
      </c>
      <c r="G2855" s="0" t="n">
        <v>0</v>
      </c>
      <c r="H2855" s="0" t="s">
        <v>580</v>
      </c>
      <c r="K2855" s="0" t="s">
        <v>620</v>
      </c>
      <c r="L2855" s="0" t="s">
        <v>4759</v>
      </c>
    </row>
    <row r="2856" customFormat="false" ht="15" hidden="false" customHeight="false" outlineLevel="0" collapsed="false">
      <c r="A2856" s="0" t="s">
        <v>71</v>
      </c>
      <c r="C2856" s="0" t="s">
        <v>1540</v>
      </c>
      <c r="D2856" s="0" t="s">
        <v>987</v>
      </c>
      <c r="E2856" s="0" t="s">
        <v>1541</v>
      </c>
      <c r="F2856" s="0" t="n">
        <v>0</v>
      </c>
      <c r="G2856" s="0" t="n">
        <v>0</v>
      </c>
      <c r="H2856" s="0" t="s">
        <v>580</v>
      </c>
      <c r="K2856" s="0" t="s">
        <v>581</v>
      </c>
      <c r="L2856" s="0" t="s">
        <v>4760</v>
      </c>
    </row>
    <row r="2857" customFormat="false" ht="15" hidden="false" customHeight="false" outlineLevel="0" collapsed="false">
      <c r="A2857" s="0" t="s">
        <v>71</v>
      </c>
      <c r="C2857" s="0" t="s">
        <v>1540</v>
      </c>
      <c r="D2857" s="0" t="s">
        <v>990</v>
      </c>
      <c r="E2857" s="0" t="s">
        <v>1543</v>
      </c>
      <c r="F2857" s="0" t="n">
        <v>0</v>
      </c>
      <c r="G2857" s="0" t="n">
        <v>0</v>
      </c>
      <c r="H2857" s="0" t="s">
        <v>580</v>
      </c>
      <c r="K2857" s="0" t="s">
        <v>586</v>
      </c>
      <c r="L2857" s="0" t="s">
        <v>4761</v>
      </c>
    </row>
    <row r="2858" customFormat="false" ht="15" hidden="false" customHeight="false" outlineLevel="0" collapsed="false">
      <c r="A2858" s="0" t="s">
        <v>71</v>
      </c>
      <c r="C2858" s="0" t="s">
        <v>1540</v>
      </c>
      <c r="D2858" s="0" t="s">
        <v>993</v>
      </c>
      <c r="E2858" s="0" t="s">
        <v>1545</v>
      </c>
      <c r="F2858" s="0" t="n">
        <v>0</v>
      </c>
      <c r="G2858" s="0" t="n">
        <v>0</v>
      </c>
      <c r="H2858" s="0" t="s">
        <v>580</v>
      </c>
      <c r="K2858" s="0" t="s">
        <v>590</v>
      </c>
      <c r="L2858" s="0" t="s">
        <v>4762</v>
      </c>
    </row>
    <row r="2859" customFormat="false" ht="15" hidden="false" customHeight="false" outlineLevel="0" collapsed="false">
      <c r="A2859" s="0" t="s">
        <v>71</v>
      </c>
      <c r="C2859" s="0" t="s">
        <v>1540</v>
      </c>
      <c r="D2859" s="0" t="s">
        <v>126</v>
      </c>
      <c r="E2859" s="0" t="s">
        <v>1547</v>
      </c>
      <c r="F2859" s="0" t="n">
        <v>0</v>
      </c>
      <c r="G2859" s="0" t="n">
        <v>0</v>
      </c>
      <c r="H2859" s="0" t="s">
        <v>580</v>
      </c>
      <c r="K2859" s="0" t="s">
        <v>594</v>
      </c>
      <c r="L2859" s="0" t="s">
        <v>4763</v>
      </c>
    </row>
    <row r="2860" customFormat="false" ht="15" hidden="false" customHeight="false" outlineLevel="0" collapsed="false">
      <c r="A2860" s="0" t="s">
        <v>71</v>
      </c>
      <c r="C2860" s="0" t="s">
        <v>1540</v>
      </c>
      <c r="D2860" s="0" t="s">
        <v>129</v>
      </c>
      <c r="E2860" s="0" t="s">
        <v>1549</v>
      </c>
      <c r="F2860" s="0" t="n">
        <v>0</v>
      </c>
      <c r="G2860" s="0" t="n">
        <v>0</v>
      </c>
      <c r="H2860" s="0" t="s">
        <v>580</v>
      </c>
      <c r="K2860" s="0" t="s">
        <v>597</v>
      </c>
      <c r="L2860" s="0" t="s">
        <v>4764</v>
      </c>
    </row>
    <row r="2861" customFormat="false" ht="15" hidden="false" customHeight="false" outlineLevel="0" collapsed="false">
      <c r="A2861" s="0" t="s">
        <v>71</v>
      </c>
      <c r="C2861" s="0" t="s">
        <v>1540</v>
      </c>
      <c r="D2861" s="0" t="s">
        <v>132</v>
      </c>
      <c r="E2861" s="0" t="s">
        <v>1551</v>
      </c>
      <c r="F2861" s="0" t="n">
        <v>0</v>
      </c>
      <c r="G2861" s="0" t="n">
        <v>0</v>
      </c>
      <c r="H2861" s="0" t="s">
        <v>580</v>
      </c>
      <c r="K2861" s="0" t="s">
        <v>600</v>
      </c>
      <c r="L2861" s="0" t="s">
        <v>4765</v>
      </c>
    </row>
    <row r="2862" customFormat="false" ht="15" hidden="false" customHeight="false" outlineLevel="0" collapsed="false">
      <c r="A2862" s="0" t="s">
        <v>71</v>
      </c>
      <c r="C2862" s="0" t="s">
        <v>1540</v>
      </c>
      <c r="D2862" s="0" t="s">
        <v>139</v>
      </c>
      <c r="E2862" s="0" t="s">
        <v>1553</v>
      </c>
      <c r="F2862" s="0" t="n">
        <v>0</v>
      </c>
      <c r="G2862" s="0" t="n">
        <v>0</v>
      </c>
      <c r="H2862" s="0" t="s">
        <v>580</v>
      </c>
      <c r="K2862" s="0" t="s">
        <v>604</v>
      </c>
      <c r="L2862" s="0" t="s">
        <v>4766</v>
      </c>
    </row>
    <row r="2863" customFormat="false" ht="15" hidden="false" customHeight="false" outlineLevel="0" collapsed="false">
      <c r="A2863" s="0" t="s">
        <v>71</v>
      </c>
      <c r="C2863" s="0" t="s">
        <v>1540</v>
      </c>
      <c r="D2863" s="0" t="s">
        <v>143</v>
      </c>
      <c r="E2863" s="0" t="s">
        <v>1555</v>
      </c>
      <c r="F2863" s="0" t="n">
        <v>0</v>
      </c>
      <c r="G2863" s="0" t="n">
        <v>0</v>
      </c>
      <c r="H2863" s="0" t="s">
        <v>580</v>
      </c>
      <c r="K2863" s="0" t="s">
        <v>607</v>
      </c>
      <c r="L2863" s="0" t="s">
        <v>4767</v>
      </c>
    </row>
    <row r="2864" customFormat="false" ht="15" hidden="false" customHeight="false" outlineLevel="0" collapsed="false">
      <c r="A2864" s="0" t="s">
        <v>71</v>
      </c>
      <c r="C2864" s="0" t="s">
        <v>1540</v>
      </c>
      <c r="D2864" s="0" t="s">
        <v>146</v>
      </c>
      <c r="E2864" s="0" t="s">
        <v>1557</v>
      </c>
      <c r="F2864" s="0" t="n">
        <v>0</v>
      </c>
      <c r="G2864" s="0" t="n">
        <v>0</v>
      </c>
      <c r="H2864" s="0" t="s">
        <v>580</v>
      </c>
      <c r="K2864" s="0" t="s">
        <v>610</v>
      </c>
      <c r="L2864" s="0" t="s">
        <v>4768</v>
      </c>
    </row>
    <row r="2865" customFormat="false" ht="15" hidden="false" customHeight="false" outlineLevel="0" collapsed="false">
      <c r="A2865" s="0" t="s">
        <v>71</v>
      </c>
      <c r="C2865" s="0" t="s">
        <v>1540</v>
      </c>
      <c r="D2865" s="0" t="s">
        <v>149</v>
      </c>
      <c r="E2865" s="0" t="s">
        <v>1559</v>
      </c>
      <c r="F2865" s="0" t="n">
        <v>0</v>
      </c>
      <c r="G2865" s="0" t="n">
        <v>0</v>
      </c>
      <c r="H2865" s="0" t="s">
        <v>580</v>
      </c>
      <c r="K2865" s="0" t="s">
        <v>613</v>
      </c>
      <c r="L2865" s="0" t="s">
        <v>4769</v>
      </c>
    </row>
    <row r="2866" customFormat="false" ht="15" hidden="false" customHeight="false" outlineLevel="0" collapsed="false">
      <c r="A2866" s="0" t="s">
        <v>71</v>
      </c>
      <c r="C2866" s="0" t="s">
        <v>1540</v>
      </c>
      <c r="D2866" s="0" t="s">
        <v>152</v>
      </c>
      <c r="E2866" s="0" t="s">
        <v>1561</v>
      </c>
      <c r="F2866" s="0" t="n">
        <v>0</v>
      </c>
      <c r="G2866" s="0" t="n">
        <v>0</v>
      </c>
      <c r="H2866" s="0" t="s">
        <v>580</v>
      </c>
      <c r="K2866" s="0" t="s">
        <v>616</v>
      </c>
      <c r="L2866" s="0" t="s">
        <v>4770</v>
      </c>
    </row>
    <row r="2867" customFormat="false" ht="15" hidden="false" customHeight="false" outlineLevel="0" collapsed="false">
      <c r="A2867" s="0" t="s">
        <v>71</v>
      </c>
      <c r="C2867" s="0" t="s">
        <v>1540</v>
      </c>
      <c r="D2867" s="0" t="s">
        <v>155</v>
      </c>
      <c r="E2867" s="0" t="s">
        <v>1563</v>
      </c>
      <c r="F2867" s="0" t="n">
        <v>0</v>
      </c>
      <c r="G2867" s="0" t="n">
        <v>0</v>
      </c>
      <c r="H2867" s="0" t="s">
        <v>580</v>
      </c>
      <c r="K2867" s="0" t="s">
        <v>620</v>
      </c>
      <c r="L2867" s="0" t="s">
        <v>4771</v>
      </c>
    </row>
    <row r="2868" customFormat="false" ht="15" hidden="false" customHeight="false" outlineLevel="0" collapsed="false">
      <c r="A2868" s="0" t="s">
        <v>71</v>
      </c>
      <c r="C2868" s="0" t="s">
        <v>1565</v>
      </c>
      <c r="D2868" s="0" t="s">
        <v>987</v>
      </c>
      <c r="E2868" s="0" t="s">
        <v>1566</v>
      </c>
      <c r="F2868" s="0" t="n">
        <v>0</v>
      </c>
      <c r="G2868" s="0" t="n">
        <v>0</v>
      </c>
      <c r="H2868" s="0" t="s">
        <v>580</v>
      </c>
      <c r="K2868" s="0" t="s">
        <v>581</v>
      </c>
      <c r="L2868" s="0" t="s">
        <v>4772</v>
      </c>
    </row>
    <row r="2869" customFormat="false" ht="15" hidden="false" customHeight="false" outlineLevel="0" collapsed="false">
      <c r="A2869" s="0" t="s">
        <v>71</v>
      </c>
      <c r="C2869" s="0" t="s">
        <v>1565</v>
      </c>
      <c r="D2869" s="0" t="s">
        <v>990</v>
      </c>
      <c r="E2869" s="0" t="s">
        <v>1568</v>
      </c>
      <c r="F2869" s="0" t="n">
        <v>0</v>
      </c>
      <c r="G2869" s="0" t="n">
        <v>0</v>
      </c>
      <c r="H2869" s="0" t="s">
        <v>580</v>
      </c>
      <c r="K2869" s="0" t="s">
        <v>586</v>
      </c>
      <c r="L2869" s="0" t="s">
        <v>4773</v>
      </c>
    </row>
    <row r="2870" customFormat="false" ht="15" hidden="false" customHeight="false" outlineLevel="0" collapsed="false">
      <c r="A2870" s="0" t="s">
        <v>71</v>
      </c>
      <c r="C2870" s="0" t="s">
        <v>1565</v>
      </c>
      <c r="D2870" s="0" t="s">
        <v>993</v>
      </c>
      <c r="E2870" s="0" t="s">
        <v>1570</v>
      </c>
      <c r="F2870" s="0" t="n">
        <v>0</v>
      </c>
      <c r="G2870" s="0" t="n">
        <v>0</v>
      </c>
      <c r="H2870" s="0" t="s">
        <v>580</v>
      </c>
      <c r="K2870" s="0" t="s">
        <v>590</v>
      </c>
      <c r="L2870" s="0" t="s">
        <v>4774</v>
      </c>
    </row>
    <row r="2871" customFormat="false" ht="15" hidden="false" customHeight="false" outlineLevel="0" collapsed="false">
      <c r="A2871" s="0" t="s">
        <v>71</v>
      </c>
      <c r="C2871" s="0" t="s">
        <v>1565</v>
      </c>
      <c r="D2871" s="0" t="s">
        <v>126</v>
      </c>
      <c r="E2871" s="0" t="s">
        <v>1572</v>
      </c>
      <c r="F2871" s="0" t="n">
        <v>0</v>
      </c>
      <c r="G2871" s="0" t="n">
        <v>0</v>
      </c>
      <c r="H2871" s="0" t="s">
        <v>580</v>
      </c>
      <c r="K2871" s="0" t="s">
        <v>594</v>
      </c>
      <c r="L2871" s="0" t="s">
        <v>4775</v>
      </c>
    </row>
    <row r="2872" customFormat="false" ht="15" hidden="false" customHeight="false" outlineLevel="0" collapsed="false">
      <c r="A2872" s="0" t="s">
        <v>71</v>
      </c>
      <c r="C2872" s="0" t="s">
        <v>1565</v>
      </c>
      <c r="D2872" s="0" t="s">
        <v>129</v>
      </c>
      <c r="E2872" s="0" t="s">
        <v>1574</v>
      </c>
      <c r="F2872" s="0" t="n">
        <v>0</v>
      </c>
      <c r="G2872" s="0" t="n">
        <v>0</v>
      </c>
      <c r="H2872" s="0" t="s">
        <v>580</v>
      </c>
      <c r="K2872" s="0" t="s">
        <v>597</v>
      </c>
      <c r="L2872" s="0" t="s">
        <v>4776</v>
      </c>
    </row>
    <row r="2873" customFormat="false" ht="15" hidden="false" customHeight="false" outlineLevel="0" collapsed="false">
      <c r="A2873" s="0" t="s">
        <v>71</v>
      </c>
      <c r="C2873" s="0" t="s">
        <v>1565</v>
      </c>
      <c r="D2873" s="0" t="s">
        <v>132</v>
      </c>
      <c r="E2873" s="0" t="s">
        <v>1576</v>
      </c>
      <c r="F2873" s="0" t="n">
        <v>0</v>
      </c>
      <c r="G2873" s="0" t="n">
        <v>0</v>
      </c>
      <c r="H2873" s="0" t="s">
        <v>580</v>
      </c>
      <c r="K2873" s="0" t="s">
        <v>600</v>
      </c>
      <c r="L2873" s="0" t="s">
        <v>4777</v>
      </c>
    </row>
    <row r="2874" customFormat="false" ht="15" hidden="false" customHeight="false" outlineLevel="0" collapsed="false">
      <c r="A2874" s="0" t="s">
        <v>71</v>
      </c>
      <c r="C2874" s="0" t="s">
        <v>1565</v>
      </c>
      <c r="D2874" s="0" t="s">
        <v>139</v>
      </c>
      <c r="E2874" s="0" t="s">
        <v>1578</v>
      </c>
      <c r="F2874" s="0" t="n">
        <v>0</v>
      </c>
      <c r="G2874" s="0" t="n">
        <v>0</v>
      </c>
      <c r="H2874" s="0" t="s">
        <v>580</v>
      </c>
      <c r="K2874" s="0" t="s">
        <v>604</v>
      </c>
      <c r="L2874" s="0" t="s">
        <v>4778</v>
      </c>
    </row>
    <row r="2875" customFormat="false" ht="15" hidden="false" customHeight="false" outlineLevel="0" collapsed="false">
      <c r="A2875" s="0" t="s">
        <v>71</v>
      </c>
      <c r="C2875" s="0" t="s">
        <v>1565</v>
      </c>
      <c r="D2875" s="0" t="s">
        <v>143</v>
      </c>
      <c r="E2875" s="0" t="s">
        <v>1580</v>
      </c>
      <c r="F2875" s="0" t="n">
        <v>0</v>
      </c>
      <c r="G2875" s="0" t="n">
        <v>0</v>
      </c>
      <c r="H2875" s="0" t="s">
        <v>580</v>
      </c>
      <c r="K2875" s="0" t="s">
        <v>607</v>
      </c>
      <c r="L2875" s="0" t="s">
        <v>4779</v>
      </c>
    </row>
    <row r="2876" customFormat="false" ht="15" hidden="false" customHeight="false" outlineLevel="0" collapsed="false">
      <c r="A2876" s="0" t="s">
        <v>71</v>
      </c>
      <c r="C2876" s="0" t="s">
        <v>1565</v>
      </c>
      <c r="D2876" s="0" t="s">
        <v>146</v>
      </c>
      <c r="E2876" s="0" t="s">
        <v>1582</v>
      </c>
      <c r="F2876" s="0" t="n">
        <v>0</v>
      </c>
      <c r="G2876" s="0" t="n">
        <v>0</v>
      </c>
      <c r="H2876" s="0" t="s">
        <v>580</v>
      </c>
      <c r="K2876" s="0" t="s">
        <v>610</v>
      </c>
      <c r="L2876" s="0" t="s">
        <v>4780</v>
      </c>
    </row>
    <row r="2877" customFormat="false" ht="15" hidden="false" customHeight="false" outlineLevel="0" collapsed="false">
      <c r="A2877" s="0" t="s">
        <v>71</v>
      </c>
      <c r="C2877" s="0" t="s">
        <v>1565</v>
      </c>
      <c r="D2877" s="0" t="s">
        <v>149</v>
      </c>
      <c r="E2877" s="0" t="s">
        <v>1584</v>
      </c>
      <c r="F2877" s="0" t="n">
        <v>0</v>
      </c>
      <c r="G2877" s="0" t="n">
        <v>0</v>
      </c>
      <c r="H2877" s="0" t="s">
        <v>580</v>
      </c>
      <c r="K2877" s="0" t="s">
        <v>613</v>
      </c>
      <c r="L2877" s="0" t="s">
        <v>4781</v>
      </c>
    </row>
    <row r="2878" customFormat="false" ht="15" hidden="false" customHeight="false" outlineLevel="0" collapsed="false">
      <c r="A2878" s="0" t="s">
        <v>71</v>
      </c>
      <c r="C2878" s="0" t="s">
        <v>1565</v>
      </c>
      <c r="D2878" s="0" t="s">
        <v>152</v>
      </c>
      <c r="E2878" s="0" t="s">
        <v>1586</v>
      </c>
      <c r="F2878" s="0" t="n">
        <v>0</v>
      </c>
      <c r="G2878" s="0" t="n">
        <v>0</v>
      </c>
      <c r="H2878" s="0" t="s">
        <v>580</v>
      </c>
      <c r="K2878" s="0" t="s">
        <v>616</v>
      </c>
      <c r="L2878" s="0" t="s">
        <v>4782</v>
      </c>
    </row>
    <row r="2879" customFormat="false" ht="15" hidden="false" customHeight="false" outlineLevel="0" collapsed="false">
      <c r="A2879" s="0" t="s">
        <v>71</v>
      </c>
      <c r="C2879" s="0" t="s">
        <v>1565</v>
      </c>
      <c r="D2879" s="0" t="s">
        <v>155</v>
      </c>
      <c r="E2879" s="0" t="s">
        <v>1588</v>
      </c>
      <c r="F2879" s="0" t="n">
        <v>0</v>
      </c>
      <c r="G2879" s="0" t="n">
        <v>0</v>
      </c>
      <c r="H2879" s="0" t="s">
        <v>580</v>
      </c>
      <c r="K2879" s="0" t="s">
        <v>620</v>
      </c>
      <c r="L2879" s="0" t="s">
        <v>4783</v>
      </c>
    </row>
    <row r="2880" customFormat="false" ht="15" hidden="false" customHeight="false" outlineLevel="0" collapsed="false">
      <c r="A2880" s="0" t="s">
        <v>71</v>
      </c>
      <c r="C2880" s="0" t="s">
        <v>1590</v>
      </c>
      <c r="D2880" s="0" t="s">
        <v>987</v>
      </c>
      <c r="E2880" s="0" t="s">
        <v>1591</v>
      </c>
      <c r="F2880" s="0" t="n">
        <v>0</v>
      </c>
      <c r="G2880" s="0" t="n">
        <v>0</v>
      </c>
      <c r="H2880" s="0" t="s">
        <v>580</v>
      </c>
      <c r="K2880" s="0" t="s">
        <v>581</v>
      </c>
      <c r="L2880" s="0" t="s">
        <v>4784</v>
      </c>
    </row>
    <row r="2881" customFormat="false" ht="15" hidden="false" customHeight="false" outlineLevel="0" collapsed="false">
      <c r="A2881" s="0" t="s">
        <v>71</v>
      </c>
      <c r="C2881" s="0" t="s">
        <v>1590</v>
      </c>
      <c r="D2881" s="0" t="s">
        <v>990</v>
      </c>
      <c r="E2881" s="0" t="s">
        <v>1593</v>
      </c>
      <c r="F2881" s="0" t="n">
        <v>0</v>
      </c>
      <c r="G2881" s="0" t="n">
        <v>0</v>
      </c>
      <c r="H2881" s="0" t="s">
        <v>580</v>
      </c>
      <c r="K2881" s="0" t="s">
        <v>586</v>
      </c>
      <c r="L2881" s="0" t="s">
        <v>4785</v>
      </c>
    </row>
    <row r="2882" customFormat="false" ht="15" hidden="false" customHeight="false" outlineLevel="0" collapsed="false">
      <c r="A2882" s="0" t="s">
        <v>71</v>
      </c>
      <c r="C2882" s="0" t="s">
        <v>1590</v>
      </c>
      <c r="D2882" s="0" t="s">
        <v>993</v>
      </c>
      <c r="E2882" s="0" t="s">
        <v>1595</v>
      </c>
      <c r="F2882" s="0" t="n">
        <v>0</v>
      </c>
      <c r="G2882" s="0" t="n">
        <v>0</v>
      </c>
      <c r="H2882" s="0" t="s">
        <v>580</v>
      </c>
      <c r="K2882" s="0" t="s">
        <v>590</v>
      </c>
      <c r="L2882" s="0" t="s">
        <v>4786</v>
      </c>
    </row>
    <row r="2883" customFormat="false" ht="15" hidden="false" customHeight="false" outlineLevel="0" collapsed="false">
      <c r="A2883" s="0" t="s">
        <v>71</v>
      </c>
      <c r="C2883" s="0" t="s">
        <v>1590</v>
      </c>
      <c r="D2883" s="0" t="s">
        <v>126</v>
      </c>
      <c r="E2883" s="0" t="s">
        <v>1597</v>
      </c>
      <c r="F2883" s="0" t="n">
        <v>0</v>
      </c>
      <c r="G2883" s="0" t="n">
        <v>0</v>
      </c>
      <c r="H2883" s="0" t="s">
        <v>580</v>
      </c>
      <c r="K2883" s="0" t="s">
        <v>594</v>
      </c>
      <c r="L2883" s="0" t="s">
        <v>4787</v>
      </c>
    </row>
    <row r="2884" customFormat="false" ht="15" hidden="false" customHeight="false" outlineLevel="0" collapsed="false">
      <c r="A2884" s="0" t="s">
        <v>71</v>
      </c>
      <c r="C2884" s="0" t="s">
        <v>1590</v>
      </c>
      <c r="D2884" s="0" t="s">
        <v>129</v>
      </c>
      <c r="E2884" s="0" t="s">
        <v>1599</v>
      </c>
      <c r="F2884" s="0" t="n">
        <v>0</v>
      </c>
      <c r="G2884" s="0" t="n">
        <v>0</v>
      </c>
      <c r="H2884" s="0" t="s">
        <v>580</v>
      </c>
      <c r="K2884" s="0" t="s">
        <v>597</v>
      </c>
      <c r="L2884" s="0" t="s">
        <v>4788</v>
      </c>
    </row>
    <row r="2885" customFormat="false" ht="15" hidden="false" customHeight="false" outlineLevel="0" collapsed="false">
      <c r="A2885" s="0" t="s">
        <v>71</v>
      </c>
      <c r="C2885" s="0" t="s">
        <v>1590</v>
      </c>
      <c r="D2885" s="0" t="s">
        <v>132</v>
      </c>
      <c r="E2885" s="0" t="s">
        <v>1601</v>
      </c>
      <c r="F2885" s="0" t="n">
        <v>0</v>
      </c>
      <c r="G2885" s="0" t="n">
        <v>0</v>
      </c>
      <c r="H2885" s="0" t="s">
        <v>580</v>
      </c>
      <c r="K2885" s="0" t="s">
        <v>600</v>
      </c>
      <c r="L2885" s="0" t="s">
        <v>4789</v>
      </c>
    </row>
    <row r="2886" customFormat="false" ht="15" hidden="false" customHeight="false" outlineLevel="0" collapsed="false">
      <c r="A2886" s="0" t="s">
        <v>71</v>
      </c>
      <c r="C2886" s="0" t="s">
        <v>1590</v>
      </c>
      <c r="D2886" s="0" t="s">
        <v>139</v>
      </c>
      <c r="E2886" s="0" t="s">
        <v>1603</v>
      </c>
      <c r="F2886" s="0" t="n">
        <v>0</v>
      </c>
      <c r="G2886" s="0" t="n">
        <v>0</v>
      </c>
      <c r="H2886" s="0" t="s">
        <v>580</v>
      </c>
      <c r="K2886" s="0" t="s">
        <v>604</v>
      </c>
      <c r="L2886" s="0" t="s">
        <v>4790</v>
      </c>
    </row>
    <row r="2887" customFormat="false" ht="15" hidden="false" customHeight="false" outlineLevel="0" collapsed="false">
      <c r="A2887" s="0" t="s">
        <v>71</v>
      </c>
      <c r="C2887" s="0" t="s">
        <v>1590</v>
      </c>
      <c r="D2887" s="0" t="s">
        <v>143</v>
      </c>
      <c r="E2887" s="0" t="s">
        <v>1605</v>
      </c>
      <c r="F2887" s="0" t="n">
        <v>0</v>
      </c>
      <c r="G2887" s="0" t="n">
        <v>0</v>
      </c>
      <c r="H2887" s="0" t="s">
        <v>580</v>
      </c>
      <c r="K2887" s="0" t="s">
        <v>607</v>
      </c>
      <c r="L2887" s="0" t="s">
        <v>4791</v>
      </c>
    </row>
    <row r="2888" customFormat="false" ht="15" hidden="false" customHeight="false" outlineLevel="0" collapsed="false">
      <c r="A2888" s="0" t="s">
        <v>71</v>
      </c>
      <c r="C2888" s="0" t="s">
        <v>1590</v>
      </c>
      <c r="D2888" s="0" t="s">
        <v>146</v>
      </c>
      <c r="E2888" s="0" t="s">
        <v>1607</v>
      </c>
      <c r="F2888" s="0" t="n">
        <v>0</v>
      </c>
      <c r="G2888" s="0" t="n">
        <v>0</v>
      </c>
      <c r="H2888" s="0" t="s">
        <v>580</v>
      </c>
      <c r="K2888" s="0" t="s">
        <v>610</v>
      </c>
      <c r="L2888" s="0" t="s">
        <v>4792</v>
      </c>
    </row>
    <row r="2889" customFormat="false" ht="15" hidden="false" customHeight="false" outlineLevel="0" collapsed="false">
      <c r="A2889" s="0" t="s">
        <v>71</v>
      </c>
      <c r="C2889" s="0" t="s">
        <v>1590</v>
      </c>
      <c r="D2889" s="0" t="s">
        <v>149</v>
      </c>
      <c r="E2889" s="0" t="s">
        <v>1609</v>
      </c>
      <c r="F2889" s="0" t="n">
        <v>0</v>
      </c>
      <c r="G2889" s="0" t="n">
        <v>0</v>
      </c>
      <c r="H2889" s="0" t="s">
        <v>580</v>
      </c>
      <c r="K2889" s="0" t="s">
        <v>613</v>
      </c>
      <c r="L2889" s="0" t="s">
        <v>4793</v>
      </c>
    </row>
    <row r="2890" customFormat="false" ht="15" hidden="false" customHeight="false" outlineLevel="0" collapsed="false">
      <c r="A2890" s="0" t="s">
        <v>71</v>
      </c>
      <c r="C2890" s="0" t="s">
        <v>1590</v>
      </c>
      <c r="D2890" s="0" t="s">
        <v>152</v>
      </c>
      <c r="E2890" s="0" t="s">
        <v>1611</v>
      </c>
      <c r="F2890" s="0" t="n">
        <v>0</v>
      </c>
      <c r="G2890" s="0" t="n">
        <v>0</v>
      </c>
      <c r="H2890" s="0" t="s">
        <v>580</v>
      </c>
      <c r="K2890" s="0" t="s">
        <v>616</v>
      </c>
      <c r="L2890" s="0" t="s">
        <v>4794</v>
      </c>
    </row>
    <row r="2891" customFormat="false" ht="15" hidden="false" customHeight="false" outlineLevel="0" collapsed="false">
      <c r="A2891" s="0" t="s">
        <v>71</v>
      </c>
      <c r="C2891" s="0" t="s">
        <v>1590</v>
      </c>
      <c r="D2891" s="0" t="s">
        <v>155</v>
      </c>
      <c r="E2891" s="0" t="s">
        <v>1613</v>
      </c>
      <c r="F2891" s="0" t="n">
        <v>0</v>
      </c>
      <c r="G2891" s="0" t="n">
        <v>0</v>
      </c>
      <c r="H2891" s="0" t="s">
        <v>580</v>
      </c>
      <c r="K2891" s="0" t="s">
        <v>620</v>
      </c>
      <c r="L2891" s="0" t="s">
        <v>4795</v>
      </c>
    </row>
    <row r="2892" customFormat="false" ht="15" hidden="false" customHeight="false" outlineLevel="0" collapsed="false">
      <c r="A2892" s="0" t="s">
        <v>71</v>
      </c>
      <c r="C2892" s="0" t="s">
        <v>1615</v>
      </c>
      <c r="D2892" s="0" t="s">
        <v>987</v>
      </c>
      <c r="E2892" s="0" t="s">
        <v>1616</v>
      </c>
      <c r="F2892" s="0" t="n">
        <v>0</v>
      </c>
      <c r="G2892" s="0" t="n">
        <v>0</v>
      </c>
      <c r="H2892" s="0" t="s">
        <v>580</v>
      </c>
      <c r="K2892" s="0" t="s">
        <v>581</v>
      </c>
      <c r="L2892" s="0" t="s">
        <v>4796</v>
      </c>
    </row>
    <row r="2893" customFormat="false" ht="15" hidden="false" customHeight="false" outlineLevel="0" collapsed="false">
      <c r="A2893" s="0" t="s">
        <v>71</v>
      </c>
      <c r="C2893" s="0" t="s">
        <v>1615</v>
      </c>
      <c r="D2893" s="0" t="s">
        <v>990</v>
      </c>
      <c r="E2893" s="0" t="s">
        <v>1618</v>
      </c>
      <c r="F2893" s="0" t="n">
        <v>0</v>
      </c>
      <c r="G2893" s="0" t="n">
        <v>0</v>
      </c>
      <c r="H2893" s="0" t="s">
        <v>580</v>
      </c>
      <c r="K2893" s="0" t="s">
        <v>586</v>
      </c>
      <c r="L2893" s="0" t="s">
        <v>4797</v>
      </c>
    </row>
    <row r="2894" customFormat="false" ht="15" hidden="false" customHeight="false" outlineLevel="0" collapsed="false">
      <c r="A2894" s="0" t="s">
        <v>71</v>
      </c>
      <c r="C2894" s="0" t="s">
        <v>1615</v>
      </c>
      <c r="D2894" s="0" t="s">
        <v>993</v>
      </c>
      <c r="E2894" s="0" t="s">
        <v>1620</v>
      </c>
      <c r="F2894" s="0" t="n">
        <v>0</v>
      </c>
      <c r="G2894" s="0" t="n">
        <v>0</v>
      </c>
      <c r="H2894" s="0" t="s">
        <v>580</v>
      </c>
      <c r="K2894" s="0" t="s">
        <v>590</v>
      </c>
      <c r="L2894" s="0" t="s">
        <v>4798</v>
      </c>
    </row>
    <row r="2895" customFormat="false" ht="15" hidden="false" customHeight="false" outlineLevel="0" collapsed="false">
      <c r="A2895" s="0" t="s">
        <v>71</v>
      </c>
      <c r="C2895" s="0" t="s">
        <v>1615</v>
      </c>
      <c r="D2895" s="0" t="s">
        <v>126</v>
      </c>
      <c r="E2895" s="0" t="s">
        <v>1622</v>
      </c>
      <c r="F2895" s="0" t="n">
        <v>0</v>
      </c>
      <c r="G2895" s="0" t="n">
        <v>0</v>
      </c>
      <c r="H2895" s="0" t="s">
        <v>580</v>
      </c>
      <c r="K2895" s="0" t="s">
        <v>594</v>
      </c>
      <c r="L2895" s="0" t="s">
        <v>4799</v>
      </c>
    </row>
    <row r="2896" customFormat="false" ht="15" hidden="false" customHeight="false" outlineLevel="0" collapsed="false">
      <c r="A2896" s="0" t="s">
        <v>71</v>
      </c>
      <c r="C2896" s="0" t="s">
        <v>1615</v>
      </c>
      <c r="D2896" s="0" t="s">
        <v>129</v>
      </c>
      <c r="E2896" s="0" t="s">
        <v>1624</v>
      </c>
      <c r="F2896" s="0" t="n">
        <v>0</v>
      </c>
      <c r="G2896" s="0" t="n">
        <v>0</v>
      </c>
      <c r="H2896" s="0" t="s">
        <v>580</v>
      </c>
      <c r="K2896" s="0" t="s">
        <v>597</v>
      </c>
      <c r="L2896" s="0" t="s">
        <v>4800</v>
      </c>
    </row>
    <row r="2897" customFormat="false" ht="15" hidden="false" customHeight="false" outlineLevel="0" collapsed="false">
      <c r="A2897" s="0" t="s">
        <v>71</v>
      </c>
      <c r="C2897" s="0" t="s">
        <v>1615</v>
      </c>
      <c r="D2897" s="0" t="s">
        <v>132</v>
      </c>
      <c r="E2897" s="0" t="s">
        <v>1626</v>
      </c>
      <c r="F2897" s="0" t="n">
        <v>0</v>
      </c>
      <c r="G2897" s="0" t="n">
        <v>0</v>
      </c>
      <c r="H2897" s="0" t="s">
        <v>580</v>
      </c>
      <c r="K2897" s="0" t="s">
        <v>600</v>
      </c>
      <c r="L2897" s="0" t="s">
        <v>4801</v>
      </c>
    </row>
    <row r="2898" customFormat="false" ht="15" hidden="false" customHeight="false" outlineLevel="0" collapsed="false">
      <c r="A2898" s="0" t="s">
        <v>71</v>
      </c>
      <c r="C2898" s="0" t="s">
        <v>1615</v>
      </c>
      <c r="D2898" s="0" t="s">
        <v>139</v>
      </c>
      <c r="E2898" s="0" t="s">
        <v>1628</v>
      </c>
      <c r="F2898" s="0" t="n">
        <v>0</v>
      </c>
      <c r="G2898" s="0" t="n">
        <v>0</v>
      </c>
      <c r="H2898" s="0" t="s">
        <v>580</v>
      </c>
      <c r="K2898" s="0" t="s">
        <v>604</v>
      </c>
      <c r="L2898" s="0" t="s">
        <v>4802</v>
      </c>
    </row>
    <row r="2899" customFormat="false" ht="15" hidden="false" customHeight="false" outlineLevel="0" collapsed="false">
      <c r="A2899" s="0" t="s">
        <v>71</v>
      </c>
      <c r="C2899" s="0" t="s">
        <v>1615</v>
      </c>
      <c r="D2899" s="0" t="s">
        <v>143</v>
      </c>
      <c r="E2899" s="0" t="s">
        <v>1630</v>
      </c>
      <c r="F2899" s="0" t="n">
        <v>0</v>
      </c>
      <c r="G2899" s="0" t="n">
        <v>0</v>
      </c>
      <c r="H2899" s="0" t="s">
        <v>580</v>
      </c>
      <c r="K2899" s="0" t="s">
        <v>607</v>
      </c>
      <c r="L2899" s="0" t="s">
        <v>4803</v>
      </c>
    </row>
    <row r="2900" customFormat="false" ht="15" hidden="false" customHeight="false" outlineLevel="0" collapsed="false">
      <c r="A2900" s="0" t="s">
        <v>71</v>
      </c>
      <c r="C2900" s="0" t="s">
        <v>1615</v>
      </c>
      <c r="D2900" s="0" t="s">
        <v>146</v>
      </c>
      <c r="E2900" s="0" t="s">
        <v>1632</v>
      </c>
      <c r="F2900" s="0" t="n">
        <v>0</v>
      </c>
      <c r="G2900" s="0" t="n">
        <v>0</v>
      </c>
      <c r="H2900" s="0" t="s">
        <v>580</v>
      </c>
      <c r="K2900" s="0" t="s">
        <v>610</v>
      </c>
      <c r="L2900" s="0" t="s">
        <v>4804</v>
      </c>
    </row>
    <row r="2901" customFormat="false" ht="15" hidden="false" customHeight="false" outlineLevel="0" collapsed="false">
      <c r="A2901" s="0" t="s">
        <v>71</v>
      </c>
      <c r="C2901" s="0" t="s">
        <v>1615</v>
      </c>
      <c r="D2901" s="0" t="s">
        <v>149</v>
      </c>
      <c r="E2901" s="0" t="s">
        <v>1634</v>
      </c>
      <c r="F2901" s="0" t="n">
        <v>0</v>
      </c>
      <c r="G2901" s="0" t="n">
        <v>0</v>
      </c>
      <c r="H2901" s="0" t="s">
        <v>580</v>
      </c>
      <c r="K2901" s="0" t="s">
        <v>613</v>
      </c>
      <c r="L2901" s="0" t="s">
        <v>4805</v>
      </c>
    </row>
    <row r="2902" customFormat="false" ht="15" hidden="false" customHeight="false" outlineLevel="0" collapsed="false">
      <c r="A2902" s="0" t="s">
        <v>71</v>
      </c>
      <c r="C2902" s="0" t="s">
        <v>1615</v>
      </c>
      <c r="D2902" s="0" t="s">
        <v>152</v>
      </c>
      <c r="E2902" s="0" t="s">
        <v>1636</v>
      </c>
      <c r="F2902" s="0" t="n">
        <v>0</v>
      </c>
      <c r="G2902" s="0" t="n">
        <v>0</v>
      </c>
      <c r="H2902" s="0" t="s">
        <v>580</v>
      </c>
      <c r="K2902" s="0" t="s">
        <v>616</v>
      </c>
      <c r="L2902" s="0" t="s">
        <v>4806</v>
      </c>
    </row>
    <row r="2903" customFormat="false" ht="15" hidden="false" customHeight="false" outlineLevel="0" collapsed="false">
      <c r="A2903" s="0" t="s">
        <v>71</v>
      </c>
      <c r="C2903" s="0" t="s">
        <v>1615</v>
      </c>
      <c r="D2903" s="0" t="s">
        <v>155</v>
      </c>
      <c r="E2903" s="0" t="s">
        <v>2552</v>
      </c>
      <c r="F2903" s="0" t="n">
        <v>0</v>
      </c>
      <c r="G2903" s="0" t="n">
        <v>0</v>
      </c>
      <c r="H2903" s="0" t="s">
        <v>580</v>
      </c>
      <c r="K2903" s="0" t="s">
        <v>620</v>
      </c>
      <c r="L2903" s="0" t="s">
        <v>4807</v>
      </c>
    </row>
    <row r="2904" customFormat="false" ht="15" hidden="false" customHeight="false" outlineLevel="0" collapsed="false">
      <c r="A2904" s="0" t="s">
        <v>71</v>
      </c>
      <c r="C2904" s="0" t="s">
        <v>1640</v>
      </c>
      <c r="D2904" s="0" t="s">
        <v>987</v>
      </c>
      <c r="E2904" s="0" t="s">
        <v>1641</v>
      </c>
      <c r="F2904" s="0" t="n">
        <v>0</v>
      </c>
      <c r="G2904" s="0" t="n">
        <v>0</v>
      </c>
      <c r="H2904" s="0" t="s">
        <v>580</v>
      </c>
      <c r="K2904" s="0" t="s">
        <v>581</v>
      </c>
      <c r="L2904" s="0" t="s">
        <v>4808</v>
      </c>
    </row>
    <row r="2905" customFormat="false" ht="15" hidden="false" customHeight="false" outlineLevel="0" collapsed="false">
      <c r="A2905" s="0" t="s">
        <v>71</v>
      </c>
      <c r="C2905" s="0" t="s">
        <v>1640</v>
      </c>
      <c r="D2905" s="0" t="s">
        <v>990</v>
      </c>
      <c r="E2905" s="0" t="s">
        <v>2555</v>
      </c>
      <c r="F2905" s="0" t="n">
        <v>0</v>
      </c>
      <c r="G2905" s="0" t="n">
        <v>0</v>
      </c>
      <c r="H2905" s="0" t="s">
        <v>580</v>
      </c>
      <c r="K2905" s="0" t="s">
        <v>586</v>
      </c>
      <c r="L2905" s="0" t="s">
        <v>4809</v>
      </c>
    </row>
    <row r="2906" customFormat="false" ht="15" hidden="false" customHeight="false" outlineLevel="0" collapsed="false">
      <c r="A2906" s="0" t="s">
        <v>71</v>
      </c>
      <c r="C2906" s="0" t="s">
        <v>1640</v>
      </c>
      <c r="D2906" s="0" t="s">
        <v>993</v>
      </c>
      <c r="E2906" s="0" t="s">
        <v>2557</v>
      </c>
      <c r="F2906" s="0" t="n">
        <v>0</v>
      </c>
      <c r="G2906" s="0" t="n">
        <v>0</v>
      </c>
      <c r="H2906" s="0" t="s">
        <v>580</v>
      </c>
      <c r="K2906" s="0" t="s">
        <v>590</v>
      </c>
      <c r="L2906" s="0" t="s">
        <v>4810</v>
      </c>
    </row>
    <row r="2907" customFormat="false" ht="15" hidden="false" customHeight="false" outlineLevel="0" collapsed="false">
      <c r="A2907" s="0" t="s">
        <v>71</v>
      </c>
      <c r="C2907" s="0" t="s">
        <v>1640</v>
      </c>
      <c r="D2907" s="0" t="s">
        <v>126</v>
      </c>
      <c r="E2907" s="0" t="s">
        <v>2559</v>
      </c>
      <c r="F2907" s="0" t="n">
        <v>0</v>
      </c>
      <c r="G2907" s="0" t="n">
        <v>0</v>
      </c>
      <c r="H2907" s="0" t="s">
        <v>580</v>
      </c>
      <c r="K2907" s="0" t="s">
        <v>594</v>
      </c>
      <c r="L2907" s="0" t="s">
        <v>4811</v>
      </c>
    </row>
    <row r="2908" customFormat="false" ht="15" hidden="false" customHeight="false" outlineLevel="0" collapsed="false">
      <c r="A2908" s="0" t="s">
        <v>71</v>
      </c>
      <c r="C2908" s="0" t="s">
        <v>1640</v>
      </c>
      <c r="D2908" s="0" t="s">
        <v>129</v>
      </c>
      <c r="E2908" s="0" t="s">
        <v>1649</v>
      </c>
      <c r="F2908" s="0" t="n">
        <v>0</v>
      </c>
      <c r="G2908" s="0" t="n">
        <v>0</v>
      </c>
      <c r="H2908" s="0" t="s">
        <v>580</v>
      </c>
      <c r="K2908" s="0" t="s">
        <v>597</v>
      </c>
      <c r="L2908" s="0" t="s">
        <v>4812</v>
      </c>
    </row>
    <row r="2909" customFormat="false" ht="15" hidden="false" customHeight="false" outlineLevel="0" collapsed="false">
      <c r="A2909" s="0" t="s">
        <v>71</v>
      </c>
      <c r="C2909" s="0" t="s">
        <v>1640</v>
      </c>
      <c r="D2909" s="0" t="s">
        <v>132</v>
      </c>
      <c r="E2909" s="0" t="s">
        <v>1651</v>
      </c>
      <c r="F2909" s="0" t="n">
        <v>0</v>
      </c>
      <c r="G2909" s="0" t="n">
        <v>0</v>
      </c>
      <c r="H2909" s="0" t="s">
        <v>580</v>
      </c>
      <c r="K2909" s="0" t="s">
        <v>600</v>
      </c>
      <c r="L2909" s="0" t="s">
        <v>4813</v>
      </c>
    </row>
    <row r="2910" customFormat="false" ht="15" hidden="false" customHeight="false" outlineLevel="0" collapsed="false">
      <c r="A2910" s="0" t="s">
        <v>71</v>
      </c>
      <c r="C2910" s="0" t="s">
        <v>1640</v>
      </c>
      <c r="D2910" s="0" t="s">
        <v>139</v>
      </c>
      <c r="E2910" s="0" t="s">
        <v>1653</v>
      </c>
      <c r="F2910" s="0" t="n">
        <v>0</v>
      </c>
      <c r="G2910" s="0" t="n">
        <v>0</v>
      </c>
      <c r="H2910" s="0" t="s">
        <v>580</v>
      </c>
      <c r="K2910" s="0" t="s">
        <v>604</v>
      </c>
      <c r="L2910" s="0" t="s">
        <v>4814</v>
      </c>
    </row>
    <row r="2911" customFormat="false" ht="15" hidden="false" customHeight="false" outlineLevel="0" collapsed="false">
      <c r="A2911" s="0" t="s">
        <v>71</v>
      </c>
      <c r="C2911" s="0" t="s">
        <v>1640</v>
      </c>
      <c r="D2911" s="0" t="s">
        <v>143</v>
      </c>
      <c r="E2911" s="0" t="s">
        <v>1655</v>
      </c>
      <c r="F2911" s="0" t="n">
        <v>0</v>
      </c>
      <c r="G2911" s="0" t="n">
        <v>0</v>
      </c>
      <c r="H2911" s="0" t="s">
        <v>580</v>
      </c>
      <c r="K2911" s="0" t="s">
        <v>607</v>
      </c>
      <c r="L2911" s="0" t="s">
        <v>4815</v>
      </c>
    </row>
    <row r="2912" customFormat="false" ht="15" hidden="false" customHeight="false" outlineLevel="0" collapsed="false">
      <c r="A2912" s="0" t="s">
        <v>71</v>
      </c>
      <c r="C2912" s="0" t="s">
        <v>1640</v>
      </c>
      <c r="D2912" s="0" t="s">
        <v>146</v>
      </c>
      <c r="E2912" s="0" t="s">
        <v>1657</v>
      </c>
      <c r="F2912" s="0" t="n">
        <v>0</v>
      </c>
      <c r="G2912" s="0" t="n">
        <v>0</v>
      </c>
      <c r="H2912" s="0" t="s">
        <v>580</v>
      </c>
      <c r="K2912" s="0" t="s">
        <v>610</v>
      </c>
      <c r="L2912" s="0" t="s">
        <v>4816</v>
      </c>
    </row>
    <row r="2913" customFormat="false" ht="15" hidden="false" customHeight="false" outlineLevel="0" collapsed="false">
      <c r="A2913" s="0" t="s">
        <v>71</v>
      </c>
      <c r="C2913" s="0" t="s">
        <v>1640</v>
      </c>
      <c r="D2913" s="0" t="s">
        <v>149</v>
      </c>
      <c r="E2913" s="0" t="s">
        <v>1659</v>
      </c>
      <c r="F2913" s="0" t="n">
        <v>0</v>
      </c>
      <c r="G2913" s="0" t="n">
        <v>0</v>
      </c>
      <c r="H2913" s="0" t="s">
        <v>580</v>
      </c>
      <c r="K2913" s="0" t="s">
        <v>613</v>
      </c>
      <c r="L2913" s="0" t="s">
        <v>4817</v>
      </c>
    </row>
    <row r="2914" customFormat="false" ht="15" hidden="false" customHeight="false" outlineLevel="0" collapsed="false">
      <c r="A2914" s="0" t="s">
        <v>71</v>
      </c>
      <c r="C2914" s="0" t="s">
        <v>1640</v>
      </c>
      <c r="D2914" s="0" t="s">
        <v>152</v>
      </c>
      <c r="E2914" s="0" t="s">
        <v>1661</v>
      </c>
      <c r="F2914" s="0" t="n">
        <v>0</v>
      </c>
      <c r="G2914" s="0" t="n">
        <v>0</v>
      </c>
      <c r="H2914" s="0" t="s">
        <v>580</v>
      </c>
      <c r="K2914" s="0" t="s">
        <v>616</v>
      </c>
      <c r="L2914" s="0" t="s">
        <v>4818</v>
      </c>
    </row>
    <row r="2915" customFormat="false" ht="15" hidden="false" customHeight="false" outlineLevel="0" collapsed="false">
      <c r="A2915" s="0" t="s">
        <v>71</v>
      </c>
      <c r="C2915" s="0" t="s">
        <v>1640</v>
      </c>
      <c r="D2915" s="0" t="s">
        <v>155</v>
      </c>
      <c r="E2915" s="0" t="s">
        <v>1663</v>
      </c>
      <c r="F2915" s="0" t="n">
        <v>0</v>
      </c>
      <c r="G2915" s="0" t="n">
        <v>0</v>
      </c>
      <c r="H2915" s="0" t="s">
        <v>580</v>
      </c>
      <c r="K2915" s="0" t="s">
        <v>620</v>
      </c>
      <c r="L2915" s="0" t="s">
        <v>4819</v>
      </c>
    </row>
    <row r="2916" customFormat="false" ht="15" hidden="false" customHeight="false" outlineLevel="0" collapsed="false">
      <c r="A2916" s="0" t="s">
        <v>71</v>
      </c>
      <c r="C2916" s="0" t="s">
        <v>1665</v>
      </c>
      <c r="D2916" s="0" t="s">
        <v>987</v>
      </c>
      <c r="E2916" s="0" t="s">
        <v>1666</v>
      </c>
      <c r="F2916" s="0" t="n">
        <v>0</v>
      </c>
      <c r="G2916" s="0" t="n">
        <v>0</v>
      </c>
      <c r="H2916" s="0" t="s">
        <v>580</v>
      </c>
      <c r="K2916" s="0" t="s">
        <v>581</v>
      </c>
      <c r="L2916" s="0" t="s">
        <v>4820</v>
      </c>
    </row>
    <row r="2917" customFormat="false" ht="15" hidden="false" customHeight="false" outlineLevel="0" collapsed="false">
      <c r="A2917" s="0" t="s">
        <v>71</v>
      </c>
      <c r="C2917" s="0" t="s">
        <v>1665</v>
      </c>
      <c r="D2917" s="0" t="s">
        <v>990</v>
      </c>
      <c r="E2917" s="0" t="s">
        <v>1668</v>
      </c>
      <c r="F2917" s="0" t="n">
        <v>0</v>
      </c>
      <c r="G2917" s="0" t="n">
        <v>0</v>
      </c>
      <c r="H2917" s="0" t="s">
        <v>580</v>
      </c>
      <c r="K2917" s="0" t="s">
        <v>586</v>
      </c>
      <c r="L2917" s="0" t="s">
        <v>4821</v>
      </c>
    </row>
    <row r="2918" customFormat="false" ht="15" hidden="false" customHeight="false" outlineLevel="0" collapsed="false">
      <c r="A2918" s="0" t="s">
        <v>71</v>
      </c>
      <c r="C2918" s="0" t="s">
        <v>1665</v>
      </c>
      <c r="D2918" s="0" t="s">
        <v>993</v>
      </c>
      <c r="E2918" s="0" t="s">
        <v>1670</v>
      </c>
      <c r="F2918" s="0" t="n">
        <v>0</v>
      </c>
      <c r="G2918" s="0" t="n">
        <v>0</v>
      </c>
      <c r="H2918" s="0" t="s">
        <v>580</v>
      </c>
      <c r="K2918" s="0" t="s">
        <v>590</v>
      </c>
      <c r="L2918" s="0" t="s">
        <v>4822</v>
      </c>
    </row>
    <row r="2919" customFormat="false" ht="15" hidden="false" customHeight="false" outlineLevel="0" collapsed="false">
      <c r="A2919" s="0" t="s">
        <v>71</v>
      </c>
      <c r="C2919" s="0" t="s">
        <v>1665</v>
      </c>
      <c r="D2919" s="0" t="s">
        <v>126</v>
      </c>
      <c r="E2919" s="0" t="s">
        <v>1672</v>
      </c>
      <c r="F2919" s="0" t="n">
        <v>0</v>
      </c>
      <c r="G2919" s="0" t="n">
        <v>0</v>
      </c>
      <c r="H2919" s="0" t="s">
        <v>580</v>
      </c>
      <c r="K2919" s="0" t="s">
        <v>594</v>
      </c>
      <c r="L2919" s="0" t="s">
        <v>4823</v>
      </c>
    </row>
    <row r="2920" customFormat="false" ht="15" hidden="false" customHeight="false" outlineLevel="0" collapsed="false">
      <c r="A2920" s="0" t="s">
        <v>71</v>
      </c>
      <c r="C2920" s="0" t="s">
        <v>1665</v>
      </c>
      <c r="D2920" s="0" t="s">
        <v>129</v>
      </c>
      <c r="E2920" s="0" t="s">
        <v>1674</v>
      </c>
      <c r="F2920" s="0" t="n">
        <v>0</v>
      </c>
      <c r="G2920" s="0" t="n">
        <v>0</v>
      </c>
      <c r="H2920" s="0" t="s">
        <v>580</v>
      </c>
      <c r="K2920" s="0" t="s">
        <v>597</v>
      </c>
      <c r="L2920" s="0" t="s">
        <v>4824</v>
      </c>
    </row>
    <row r="2921" customFormat="false" ht="15" hidden="false" customHeight="false" outlineLevel="0" collapsed="false">
      <c r="A2921" s="0" t="s">
        <v>71</v>
      </c>
      <c r="C2921" s="0" t="s">
        <v>1665</v>
      </c>
      <c r="D2921" s="0" t="s">
        <v>132</v>
      </c>
      <c r="E2921" s="0" t="s">
        <v>1676</v>
      </c>
      <c r="F2921" s="0" t="n">
        <v>0</v>
      </c>
      <c r="G2921" s="0" t="n">
        <v>0</v>
      </c>
      <c r="H2921" s="0" t="s">
        <v>580</v>
      </c>
      <c r="K2921" s="0" t="s">
        <v>600</v>
      </c>
      <c r="L2921" s="0" t="s">
        <v>4825</v>
      </c>
    </row>
    <row r="2922" customFormat="false" ht="15" hidden="false" customHeight="false" outlineLevel="0" collapsed="false">
      <c r="A2922" s="0" t="s">
        <v>71</v>
      </c>
      <c r="C2922" s="0" t="s">
        <v>1665</v>
      </c>
      <c r="D2922" s="0" t="s">
        <v>139</v>
      </c>
      <c r="E2922" s="0" t="s">
        <v>1678</v>
      </c>
      <c r="F2922" s="0" t="n">
        <v>0</v>
      </c>
      <c r="G2922" s="0" t="n">
        <v>0</v>
      </c>
      <c r="H2922" s="0" t="s">
        <v>580</v>
      </c>
      <c r="K2922" s="0" t="s">
        <v>604</v>
      </c>
      <c r="L2922" s="0" t="s">
        <v>4826</v>
      </c>
    </row>
    <row r="2923" customFormat="false" ht="15" hidden="false" customHeight="false" outlineLevel="0" collapsed="false">
      <c r="A2923" s="0" t="s">
        <v>71</v>
      </c>
      <c r="C2923" s="0" t="s">
        <v>1665</v>
      </c>
      <c r="D2923" s="0" t="s">
        <v>143</v>
      </c>
      <c r="E2923" s="0" t="s">
        <v>1680</v>
      </c>
      <c r="F2923" s="0" t="n">
        <v>0</v>
      </c>
      <c r="G2923" s="0" t="n">
        <v>0</v>
      </c>
      <c r="H2923" s="0" t="s">
        <v>580</v>
      </c>
      <c r="K2923" s="0" t="s">
        <v>607</v>
      </c>
      <c r="L2923" s="0" t="s">
        <v>4827</v>
      </c>
    </row>
    <row r="2924" customFormat="false" ht="15" hidden="false" customHeight="false" outlineLevel="0" collapsed="false">
      <c r="A2924" s="0" t="s">
        <v>71</v>
      </c>
      <c r="C2924" s="0" t="s">
        <v>1665</v>
      </c>
      <c r="D2924" s="0" t="s">
        <v>146</v>
      </c>
      <c r="E2924" s="0" t="s">
        <v>1682</v>
      </c>
      <c r="F2924" s="0" t="n">
        <v>0</v>
      </c>
      <c r="G2924" s="0" t="n">
        <v>0</v>
      </c>
      <c r="H2924" s="0" t="s">
        <v>580</v>
      </c>
      <c r="K2924" s="0" t="s">
        <v>610</v>
      </c>
      <c r="L2924" s="0" t="s">
        <v>4828</v>
      </c>
    </row>
    <row r="2925" customFormat="false" ht="15" hidden="false" customHeight="false" outlineLevel="0" collapsed="false">
      <c r="A2925" s="0" t="s">
        <v>71</v>
      </c>
      <c r="C2925" s="0" t="s">
        <v>1665</v>
      </c>
      <c r="D2925" s="0" t="s">
        <v>149</v>
      </c>
      <c r="E2925" s="0" t="s">
        <v>1684</v>
      </c>
      <c r="F2925" s="0" t="n">
        <v>0</v>
      </c>
      <c r="G2925" s="0" t="n">
        <v>0</v>
      </c>
      <c r="H2925" s="0" t="s">
        <v>580</v>
      </c>
      <c r="K2925" s="0" t="s">
        <v>613</v>
      </c>
      <c r="L2925" s="0" t="s">
        <v>4829</v>
      </c>
    </row>
    <row r="2926" customFormat="false" ht="15" hidden="false" customHeight="false" outlineLevel="0" collapsed="false">
      <c r="A2926" s="0" t="s">
        <v>71</v>
      </c>
      <c r="C2926" s="0" t="s">
        <v>1665</v>
      </c>
      <c r="D2926" s="0" t="s">
        <v>152</v>
      </c>
      <c r="E2926" s="0" t="s">
        <v>2579</v>
      </c>
      <c r="F2926" s="0" t="n">
        <v>0</v>
      </c>
      <c r="G2926" s="0" t="n">
        <v>0</v>
      </c>
      <c r="H2926" s="0" t="s">
        <v>580</v>
      </c>
      <c r="I2926" s="0" t="s">
        <v>603</v>
      </c>
      <c r="K2926" s="0" t="s">
        <v>616</v>
      </c>
      <c r="L2926" s="0" t="s">
        <v>4830</v>
      </c>
    </row>
    <row r="2927" customFormat="false" ht="15" hidden="false" customHeight="false" outlineLevel="0" collapsed="false">
      <c r="A2927" s="0" t="s">
        <v>71</v>
      </c>
      <c r="C2927" s="0" t="s">
        <v>1665</v>
      </c>
      <c r="D2927" s="0" t="s">
        <v>155</v>
      </c>
      <c r="E2927" s="0" t="s">
        <v>1688</v>
      </c>
      <c r="F2927" s="0" t="n">
        <v>0</v>
      </c>
      <c r="G2927" s="0" t="n">
        <v>0</v>
      </c>
      <c r="H2927" s="0" t="s">
        <v>580</v>
      </c>
      <c r="K2927" s="0" t="s">
        <v>620</v>
      </c>
      <c r="L2927" s="0" t="s">
        <v>4831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2026-09-26T12:59:44Z</dcterms:created>
  <dc:creator>openpyxl</dc:creator>
  <dc:description/>
  <dc:language>en-US</dc:language>
  <cp:lastModifiedBy/>
  <dcterms:modified xsi:type="dcterms:W3CDTF">2026-09-26T12:59:47Z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